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results\"/>
    </mc:Choice>
  </mc:AlternateContent>
  <xr:revisionPtr revIDLastSave="0" documentId="13_ncr:1_{B72159CE-E358-4D43-8579-2A9A33FADBAC}" xr6:coauthVersionLast="47" xr6:coauthVersionMax="47" xr10:uidLastSave="{00000000-0000-0000-0000-000000000000}"/>
  <bookViews>
    <workbookView xWindow="28680" yWindow="-7410" windowWidth="29040" windowHeight="15720" xr2:uid="{00000000-000D-0000-FFFF-FFFF00000000}"/>
  </bookViews>
  <sheets>
    <sheet name="experimentslist" sheetId="13" r:id="rId1"/>
    <sheet name="Parameters" sheetId="8" r:id="rId2"/>
    <sheet name="scarcity_Aug1st" sheetId="10" r:id="rId3"/>
    <sheet name="scarcity_Jun18" sheetId="11" r:id="rId4"/>
    <sheet name="isone_fcm" sheetId="12" r:id="rId5"/>
    <sheet name="250901" sheetId="9" r:id="rId6"/>
    <sheet name="Experiments" sheetId="1" r:id="rId7"/>
    <sheet name="250718_investment" sheetId="7" r:id="rId8"/>
    <sheet name="250616_plan" sheetId="6" r:id="rId9"/>
    <sheet name="20250425" sheetId="3" r:id="rId10"/>
    <sheet name="20250424" sheetId="2" r:id="rId11"/>
    <sheet name="20250505_Ops" sheetId="4" r:id="rId12"/>
    <sheet name="250601_ops" sheetId="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3" l="1"/>
  <c r="J30" i="13"/>
  <c r="I26" i="13"/>
  <c r="J26" i="13"/>
  <c r="H30" i="13"/>
  <c r="H26" i="13"/>
  <c r="E30" i="13"/>
  <c r="E26" i="13"/>
  <c r="M3" i="12"/>
  <c r="L3" i="12"/>
  <c r="C30" i="13"/>
  <c r="D30" i="13"/>
  <c r="F30" i="13"/>
  <c r="G30" i="13"/>
  <c r="B30" i="13"/>
  <c r="C26" i="13"/>
  <c r="D26" i="13"/>
  <c r="F26" i="13"/>
  <c r="G26" i="13"/>
  <c r="B26" i="13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4" i="10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4" i="11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38" i="12"/>
  <c r="C28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" i="8"/>
  <c r="O4" i="8"/>
  <c r="O5" i="8"/>
  <c r="O6" i="8"/>
  <c r="O7" i="8" s="1"/>
  <c r="O8" i="8" s="1"/>
  <c r="O9" i="8"/>
  <c r="O10" i="8" s="1"/>
  <c r="O11" i="8"/>
  <c r="O12" i="8"/>
  <c r="O13" i="8"/>
  <c r="O14" i="8"/>
  <c r="O15" i="8"/>
  <c r="O16" i="8" s="1"/>
  <c r="O17" i="8"/>
  <c r="O18" i="8" s="1"/>
  <c r="O19" i="8" s="1"/>
  <c r="O20" i="8" s="1"/>
  <c r="O21" i="8" s="1"/>
  <c r="O22" i="8" s="1"/>
  <c r="O23" i="8"/>
  <c r="O24" i="8" s="1"/>
  <c r="O25" i="8" s="1"/>
  <c r="O26" i="8" s="1"/>
  <c r="O27" i="8" s="1"/>
  <c r="O28" i="8" s="1"/>
  <c r="O29" i="8" s="1"/>
  <c r="O30" i="8" s="1"/>
  <c r="O31" i="8" s="1"/>
  <c r="O32" i="8" s="1"/>
  <c r="O33" i="8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O86" i="8" s="1"/>
  <c r="O87" i="8" s="1"/>
  <c r="O88" i="8" s="1"/>
  <c r="O89" i="8" s="1"/>
  <c r="O90" i="8" s="1"/>
  <c r="O91" i="8" s="1"/>
  <c r="O92" i="8" s="1"/>
  <c r="O93" i="8" s="1"/>
  <c r="O94" i="8" s="1"/>
  <c r="O95" i="8" s="1"/>
  <c r="O96" i="8" s="1"/>
  <c r="O97" i="8" s="1"/>
  <c r="O98" i="8" s="1"/>
  <c r="O99" i="8" s="1"/>
  <c r="O100" i="8" s="1"/>
  <c r="O101" i="8" s="1"/>
  <c r="O102" i="8" s="1"/>
  <c r="O103" i="8" s="1"/>
  <c r="O104" i="8" s="1"/>
  <c r="O105" i="8" s="1"/>
  <c r="O106" i="8" s="1"/>
  <c r="O107" i="8" s="1"/>
  <c r="O108" i="8" s="1"/>
  <c r="O109" i="8" s="1"/>
  <c r="O110" i="8" s="1"/>
  <c r="O111" i="8" s="1"/>
  <c r="O112" i="8" s="1"/>
  <c r="O113" i="8" s="1"/>
  <c r="O114" i="8" s="1"/>
  <c r="O115" i="8" s="1"/>
  <c r="O116" i="8" s="1"/>
  <c r="O117" i="8" s="1"/>
  <c r="O118" i="8" s="1"/>
  <c r="O119" i="8" s="1"/>
  <c r="O120" i="8" s="1"/>
  <c r="O121" i="8" s="1"/>
  <c r="O122" i="8" s="1"/>
  <c r="O123" i="8" s="1"/>
  <c r="O124" i="8" s="1"/>
  <c r="O125" i="8" s="1"/>
  <c r="O126" i="8" s="1"/>
  <c r="O127" i="8" s="1"/>
  <c r="O128" i="8" s="1"/>
  <c r="O129" i="8" s="1"/>
  <c r="O130" i="8" s="1"/>
  <c r="O131" i="8" s="1"/>
  <c r="O132" i="8" s="1"/>
  <c r="O133" i="8" s="1"/>
  <c r="O134" i="8" s="1"/>
  <c r="O135" i="8" s="1"/>
  <c r="O136" i="8" s="1"/>
  <c r="O137" i="8" s="1"/>
  <c r="O138" i="8" s="1"/>
  <c r="O139" i="8" s="1"/>
  <c r="O140" i="8" s="1"/>
  <c r="O141" i="8" s="1"/>
  <c r="O142" i="8" s="1"/>
  <c r="O143" i="8" s="1"/>
  <c r="O144" i="8" s="1"/>
  <c r="O145" i="8" s="1"/>
  <c r="O146" i="8" s="1"/>
  <c r="O147" i="8" s="1"/>
  <c r="O148" i="8" s="1"/>
  <c r="O149" i="8" s="1"/>
  <c r="O150" i="8" s="1"/>
  <c r="O151" i="8" s="1"/>
  <c r="O152" i="8" s="1"/>
  <c r="O153" i="8" s="1"/>
  <c r="O154" i="8" s="1"/>
  <c r="O155" i="8" s="1"/>
  <c r="O156" i="8" s="1"/>
  <c r="O157" i="8" s="1"/>
  <c r="O158" i="8" s="1"/>
  <c r="O159" i="8" s="1"/>
  <c r="O160" i="8" s="1"/>
  <c r="O161" i="8" s="1"/>
  <c r="O162" i="8" s="1"/>
  <c r="O163" i="8" s="1"/>
  <c r="O164" i="8" s="1"/>
  <c r="O165" i="8" s="1"/>
  <c r="O166" i="8" s="1"/>
  <c r="O167" i="8" s="1"/>
  <c r="O168" i="8" s="1"/>
  <c r="O169" i="8" s="1"/>
  <c r="O170" i="8" s="1"/>
  <c r="O171" i="8" s="1"/>
  <c r="O172" i="8" s="1"/>
  <c r="O173" i="8" s="1"/>
  <c r="O174" i="8" s="1"/>
  <c r="O175" i="8" s="1"/>
  <c r="O176" i="8" s="1"/>
  <c r="O177" i="8" s="1"/>
  <c r="O178" i="8" s="1"/>
  <c r="O179" i="8" s="1"/>
  <c r="O180" i="8" s="1"/>
  <c r="O181" i="8" s="1"/>
  <c r="O182" i="8" s="1"/>
  <c r="O183" i="8" s="1"/>
  <c r="O184" i="8" s="1"/>
  <c r="O185" i="8" s="1"/>
  <c r="O186" i="8" s="1"/>
  <c r="O187" i="8" s="1"/>
  <c r="O188" i="8" s="1"/>
  <c r="O189" i="8" s="1"/>
  <c r="O190" i="8" s="1"/>
  <c r="O191" i="8" s="1"/>
  <c r="O192" i="8" s="1"/>
  <c r="O193" i="8" s="1"/>
  <c r="O194" i="8" s="1"/>
  <c r="O195" i="8" s="1"/>
  <c r="O196" i="8" s="1"/>
  <c r="O197" i="8" s="1"/>
  <c r="O198" i="8" s="1"/>
  <c r="O199" i="8" s="1"/>
  <c r="O200" i="8" s="1"/>
  <c r="O201" i="8" s="1"/>
  <c r="O202" i="8" s="1"/>
  <c r="O203" i="8" s="1"/>
  <c r="O204" i="8" s="1"/>
  <c r="O205" i="8" s="1"/>
  <c r="O206" i="8" s="1"/>
  <c r="O207" i="8" s="1"/>
  <c r="O208" i="8" s="1"/>
  <c r="O209" i="8" s="1"/>
  <c r="O210" i="8" s="1"/>
  <c r="O211" i="8" s="1"/>
  <c r="O212" i="8" s="1"/>
  <c r="O213" i="8" s="1"/>
  <c r="O214" i="8" s="1"/>
  <c r="O215" i="8" s="1"/>
  <c r="O216" i="8" s="1"/>
  <c r="O217" i="8" s="1"/>
  <c r="O218" i="8" s="1"/>
  <c r="O219" i="8" s="1"/>
  <c r="O220" i="8" s="1"/>
  <c r="O221" i="8" s="1"/>
  <c r="O222" i="8" s="1"/>
  <c r="O223" i="8" s="1"/>
  <c r="O224" i="8" s="1"/>
  <c r="O225" i="8" s="1"/>
  <c r="O226" i="8" s="1"/>
  <c r="O227" i="8" s="1"/>
  <c r="O228" i="8" s="1"/>
  <c r="O229" i="8" s="1"/>
  <c r="O230" i="8" s="1"/>
  <c r="O231" i="8" s="1"/>
  <c r="O232" i="8" s="1"/>
  <c r="O233" i="8" s="1"/>
  <c r="O234" i="8" s="1"/>
  <c r="O235" i="8" s="1"/>
  <c r="O236" i="8" s="1"/>
  <c r="O237" i="8" s="1"/>
  <c r="O238" i="8" s="1"/>
  <c r="O239" i="8" s="1"/>
  <c r="O240" i="8" s="1"/>
  <c r="O241" i="8" s="1"/>
  <c r="O242" i="8" s="1"/>
  <c r="O243" i="8" s="1"/>
  <c r="O244" i="8" s="1"/>
  <c r="O245" i="8" s="1"/>
  <c r="O246" i="8" s="1"/>
  <c r="O247" i="8" s="1"/>
  <c r="O248" i="8" s="1"/>
  <c r="O249" i="8" s="1"/>
  <c r="O250" i="8" s="1"/>
  <c r="O251" i="8" s="1"/>
  <c r="O252" i="8" s="1"/>
  <c r="O253" i="8" s="1"/>
  <c r="O254" i="8" s="1"/>
  <c r="O255" i="8" s="1"/>
  <c r="O256" i="8" s="1"/>
  <c r="O257" i="8" s="1"/>
  <c r="O258" i="8" s="1"/>
  <c r="O259" i="8" s="1"/>
  <c r="O260" i="8" s="1"/>
  <c r="O261" i="8" s="1"/>
  <c r="O262" i="8" s="1"/>
  <c r="O263" i="8" s="1"/>
  <c r="O264" i="8" s="1"/>
  <c r="O265" i="8" s="1"/>
  <c r="O266" i="8" s="1"/>
  <c r="O267" i="8" s="1"/>
  <c r="O268" i="8" s="1"/>
  <c r="O269" i="8" s="1"/>
  <c r="O270" i="8" s="1"/>
  <c r="O271" i="8" s="1"/>
  <c r="O272" i="8" s="1"/>
  <c r="O273" i="8" s="1"/>
  <c r="O274" i="8" s="1"/>
  <c r="O275" i="8" s="1"/>
  <c r="O276" i="8" s="1"/>
  <c r="O277" i="8" s="1"/>
  <c r="O278" i="8" s="1"/>
  <c r="O279" i="8" s="1"/>
  <c r="O280" i="8" s="1"/>
  <c r="O281" i="8" s="1"/>
  <c r="O282" i="8" s="1"/>
  <c r="O283" i="8" s="1"/>
  <c r="O284" i="8" s="1"/>
  <c r="O285" i="8" s="1"/>
  <c r="O286" i="8" s="1"/>
  <c r="O287" i="8" s="1"/>
  <c r="O288" i="8" s="1"/>
  <c r="O289" i="8" s="1"/>
  <c r="O290" i="8" s="1"/>
  <c r="O291" i="8" s="1"/>
  <c r="O292" i="8" s="1"/>
  <c r="O293" i="8" s="1"/>
  <c r="O294" i="8" s="1"/>
  <c r="O295" i="8" s="1"/>
  <c r="O296" i="8" s="1"/>
  <c r="O297" i="8" s="1"/>
  <c r="O298" i="8" s="1"/>
  <c r="O299" i="8" s="1"/>
  <c r="O300" i="8" s="1"/>
  <c r="O301" i="8" s="1"/>
  <c r="O302" i="8" s="1"/>
  <c r="O303" i="8" s="1"/>
  <c r="O304" i="8" s="1"/>
  <c r="O305" i="8" s="1"/>
  <c r="O306" i="8" s="1"/>
  <c r="O307" i="8" s="1"/>
  <c r="O308" i="8" s="1"/>
  <c r="O309" i="8" s="1"/>
  <c r="O310" i="8" s="1"/>
  <c r="O311" i="8" s="1"/>
  <c r="O312" i="8" s="1"/>
  <c r="O313" i="8" s="1"/>
  <c r="O314" i="8" s="1"/>
  <c r="O315" i="8" s="1"/>
  <c r="O316" i="8" s="1"/>
  <c r="O317" i="8" s="1"/>
  <c r="O318" i="8" s="1"/>
  <c r="O319" i="8" s="1"/>
  <c r="O320" i="8" s="1"/>
  <c r="O321" i="8" s="1"/>
  <c r="O322" i="8" s="1"/>
  <c r="O323" i="8" s="1"/>
  <c r="O324" i="8" s="1"/>
  <c r="O325" i="8" s="1"/>
  <c r="O326" i="8" s="1"/>
  <c r="O327" i="8" s="1"/>
  <c r="O328" i="8" s="1"/>
  <c r="O329" i="8" s="1"/>
  <c r="O330" i="8" s="1"/>
  <c r="O331" i="8" s="1"/>
  <c r="O332" i="8" s="1"/>
  <c r="O333" i="8" s="1"/>
  <c r="O334" i="8" s="1"/>
  <c r="O335" i="8" s="1"/>
  <c r="O336" i="8" s="1"/>
  <c r="O337" i="8" s="1"/>
  <c r="O338" i="8" s="1"/>
  <c r="O339" i="8" s="1"/>
  <c r="O340" i="8" s="1"/>
  <c r="O341" i="8" s="1"/>
  <c r="O342" i="8" s="1"/>
  <c r="O343" i="8" s="1"/>
  <c r="O344" i="8" s="1"/>
  <c r="O345" i="8" s="1"/>
  <c r="O346" i="8" s="1"/>
  <c r="O347" i="8" s="1"/>
  <c r="O348" i="8" s="1"/>
  <c r="O349" i="8" s="1"/>
  <c r="O350" i="8" s="1"/>
  <c r="O351" i="8" s="1"/>
  <c r="O352" i="8" s="1"/>
  <c r="O353" i="8" s="1"/>
  <c r="O354" i="8" s="1"/>
  <c r="O355" i="8" s="1"/>
  <c r="O356" i="8" s="1"/>
  <c r="O357" i="8" s="1"/>
  <c r="O358" i="8" s="1"/>
  <c r="O359" i="8" s="1"/>
  <c r="O360" i="8" s="1"/>
  <c r="O361" i="8" s="1"/>
  <c r="O362" i="8" s="1"/>
  <c r="O363" i="8" s="1"/>
  <c r="O364" i="8" s="1"/>
  <c r="O365" i="8" s="1"/>
  <c r="O366" i="8" s="1"/>
  <c r="O367" i="8" s="1"/>
  <c r="O368" i="8" s="1"/>
  <c r="O369" i="8" s="1"/>
  <c r="O370" i="8" s="1"/>
  <c r="O371" i="8" s="1"/>
  <c r="O372" i="8" s="1"/>
  <c r="O373" i="8" s="1"/>
  <c r="O374" i="8" s="1"/>
  <c r="O375" i="8" s="1"/>
  <c r="O376" i="8" s="1"/>
  <c r="O377" i="8" s="1"/>
  <c r="O378" i="8" s="1"/>
  <c r="O379" i="8" s="1"/>
  <c r="O380" i="8" s="1"/>
  <c r="O381" i="8" s="1"/>
  <c r="O382" i="8" s="1"/>
  <c r="O383" i="8" s="1"/>
  <c r="O384" i="8" s="1"/>
  <c r="O385" i="8" s="1"/>
  <c r="O386" i="8" s="1"/>
  <c r="O387" i="8" s="1"/>
  <c r="O388" i="8" s="1"/>
  <c r="O389" i="8" s="1"/>
  <c r="O390" i="8" s="1"/>
  <c r="O391" i="8" s="1"/>
  <c r="O392" i="8" s="1"/>
  <c r="O393" i="8" s="1"/>
  <c r="O394" i="8" s="1"/>
  <c r="O395" i="8" s="1"/>
  <c r="O396" i="8" s="1"/>
  <c r="O397" i="8" s="1"/>
  <c r="O398" i="8" s="1"/>
  <c r="O399" i="8" s="1"/>
  <c r="O400" i="8" s="1"/>
  <c r="O401" i="8" s="1"/>
  <c r="O402" i="8" s="1"/>
  <c r="O403" i="8" s="1"/>
  <c r="O404" i="8" s="1"/>
  <c r="O405" i="8" s="1"/>
  <c r="O406" i="8" s="1"/>
  <c r="O407" i="8" s="1"/>
  <c r="O408" i="8" s="1"/>
  <c r="O409" i="8" s="1"/>
  <c r="O410" i="8" s="1"/>
  <c r="O411" i="8" s="1"/>
  <c r="O412" i="8" s="1"/>
  <c r="O413" i="8" s="1"/>
  <c r="O414" i="8" s="1"/>
  <c r="O415" i="8" s="1"/>
  <c r="O416" i="8" s="1"/>
  <c r="O417" i="8" s="1"/>
  <c r="O418" i="8" s="1"/>
  <c r="O419" i="8" s="1"/>
  <c r="O420" i="8" s="1"/>
  <c r="O421" i="8" s="1"/>
  <c r="O422" i="8" s="1"/>
  <c r="O423" i="8" s="1"/>
  <c r="O424" i="8" s="1"/>
  <c r="O425" i="8" s="1"/>
  <c r="O426" i="8" s="1"/>
  <c r="O427" i="8" s="1"/>
  <c r="O428" i="8" s="1"/>
  <c r="O429" i="8" s="1"/>
  <c r="O430" i="8" s="1"/>
  <c r="O431" i="8" s="1"/>
  <c r="O432" i="8" s="1"/>
  <c r="O433" i="8" s="1"/>
  <c r="O434" i="8" s="1"/>
  <c r="O435" i="8" s="1"/>
  <c r="O436" i="8" s="1"/>
  <c r="O437" i="8" s="1"/>
  <c r="O438" i="8" s="1"/>
  <c r="O439" i="8" s="1"/>
  <c r="O440" i="8" s="1"/>
  <c r="O441" i="8" s="1"/>
  <c r="O442" i="8" s="1"/>
  <c r="O443" i="8" s="1"/>
  <c r="O444" i="8" s="1"/>
  <c r="O445" i="8" s="1"/>
  <c r="O446" i="8" s="1"/>
  <c r="O447" i="8" s="1"/>
  <c r="O448" i="8" s="1"/>
  <c r="O449" i="8" s="1"/>
  <c r="O450" i="8" s="1"/>
  <c r="O451" i="8" s="1"/>
  <c r="O452" i="8" s="1"/>
  <c r="O453" i="8" s="1"/>
  <c r="O454" i="8" s="1"/>
  <c r="O455" i="8" s="1"/>
  <c r="O456" i="8" s="1"/>
  <c r="O457" i="8" s="1"/>
  <c r="O458" i="8" s="1"/>
  <c r="O459" i="8" s="1"/>
  <c r="O460" i="8" s="1"/>
  <c r="O461" i="8" s="1"/>
  <c r="O462" i="8" s="1"/>
  <c r="O463" i="8" s="1"/>
  <c r="O464" i="8" s="1"/>
  <c r="O465" i="8" s="1"/>
  <c r="O466" i="8" s="1"/>
  <c r="O467" i="8" s="1"/>
  <c r="O468" i="8" s="1"/>
  <c r="O469" i="8" s="1"/>
  <c r="O470" i="8" s="1"/>
  <c r="O471" i="8" s="1"/>
  <c r="O472" i="8" s="1"/>
  <c r="O473" i="8" s="1"/>
  <c r="O474" i="8" s="1"/>
  <c r="O475" i="8" s="1"/>
  <c r="O476" i="8" s="1"/>
  <c r="O477" i="8" s="1"/>
  <c r="O478" i="8" s="1"/>
  <c r="O479" i="8" s="1"/>
  <c r="O480" i="8" s="1"/>
  <c r="O481" i="8" s="1"/>
  <c r="O482" i="8" s="1"/>
  <c r="O483" i="8" s="1"/>
  <c r="O484" i="8" s="1"/>
  <c r="O485" i="8" s="1"/>
  <c r="O486" i="8" s="1"/>
  <c r="O487" i="8" s="1"/>
  <c r="O488" i="8" s="1"/>
  <c r="O489" i="8" s="1"/>
  <c r="O490" i="8" s="1"/>
  <c r="O491" i="8" s="1"/>
  <c r="O492" i="8" s="1"/>
  <c r="O493" i="8" s="1"/>
  <c r="O494" i="8" s="1"/>
  <c r="O495" i="8" s="1"/>
  <c r="O496" i="8" s="1"/>
  <c r="O497" i="8" s="1"/>
  <c r="O498" i="8" s="1"/>
  <c r="O499" i="8" s="1"/>
  <c r="O500" i="8" s="1"/>
  <c r="O501" i="8" s="1"/>
  <c r="O502" i="8" s="1"/>
  <c r="O503" i="8" s="1"/>
  <c r="O504" i="8" s="1"/>
  <c r="O505" i="8" s="1"/>
  <c r="O506" i="8" s="1"/>
  <c r="O507" i="8" s="1"/>
  <c r="O508" i="8" s="1"/>
  <c r="O509" i="8" s="1"/>
  <c r="O510" i="8" s="1"/>
  <c r="O511" i="8" s="1"/>
  <c r="O512" i="8" s="1"/>
  <c r="O513" i="8" s="1"/>
  <c r="O514" i="8" s="1"/>
  <c r="O515" i="8" s="1"/>
  <c r="O516" i="8" s="1"/>
  <c r="O517" i="8" s="1"/>
  <c r="O518" i="8" s="1"/>
  <c r="O519" i="8" s="1"/>
  <c r="O520" i="8" s="1"/>
  <c r="O521" i="8" s="1"/>
  <c r="O522" i="8" s="1"/>
  <c r="O523" i="8" s="1"/>
  <c r="O524" i="8" s="1"/>
  <c r="O525" i="8" s="1"/>
  <c r="O526" i="8" s="1"/>
  <c r="O527" i="8" s="1"/>
  <c r="O528" i="8" s="1"/>
  <c r="O529" i="8" s="1"/>
  <c r="O530" i="8" s="1"/>
  <c r="O531" i="8" s="1"/>
  <c r="O532" i="8" s="1"/>
  <c r="O533" i="8" s="1"/>
  <c r="O534" i="8" s="1"/>
  <c r="O535" i="8" s="1"/>
  <c r="O536" i="8" s="1"/>
  <c r="O537" i="8" s="1"/>
  <c r="O538" i="8" s="1"/>
  <c r="O539" i="8" s="1"/>
  <c r="O540" i="8" s="1"/>
  <c r="O541" i="8" s="1"/>
  <c r="O542" i="8" s="1"/>
  <c r="O543" i="8" s="1"/>
  <c r="O544" i="8" s="1"/>
  <c r="O545" i="8" s="1"/>
  <c r="O546" i="8" s="1"/>
  <c r="O547" i="8" s="1"/>
  <c r="O548" i="8" s="1"/>
  <c r="O549" i="8" s="1"/>
  <c r="O550" i="8" s="1"/>
  <c r="O551" i="8" s="1"/>
  <c r="O552" i="8" s="1"/>
  <c r="O553" i="8" s="1"/>
  <c r="O554" i="8" s="1"/>
  <c r="O555" i="8" s="1"/>
  <c r="O556" i="8" s="1"/>
  <c r="O557" i="8" s="1"/>
  <c r="O558" i="8" s="1"/>
  <c r="O559" i="8" s="1"/>
  <c r="O560" i="8" s="1"/>
  <c r="O561" i="8" s="1"/>
  <c r="O562" i="8" s="1"/>
  <c r="O563" i="8" s="1"/>
  <c r="O564" i="8" s="1"/>
  <c r="O565" i="8" s="1"/>
  <c r="O566" i="8" s="1"/>
  <c r="O567" i="8" s="1"/>
  <c r="O568" i="8" s="1"/>
  <c r="O569" i="8" s="1"/>
  <c r="O570" i="8" s="1"/>
  <c r="O571" i="8" s="1"/>
  <c r="O572" i="8" s="1"/>
  <c r="O573" i="8" s="1"/>
  <c r="O574" i="8" s="1"/>
  <c r="O575" i="8" s="1"/>
  <c r="O576" i="8" s="1"/>
  <c r="O577" i="8" s="1"/>
  <c r="O578" i="8" s="1"/>
  <c r="O579" i="8" s="1"/>
  <c r="O580" i="8" s="1"/>
  <c r="O581" i="8" s="1"/>
  <c r="O582" i="8" s="1"/>
  <c r="O583" i="8" s="1"/>
  <c r="O584" i="8" s="1"/>
  <c r="O585" i="8" s="1"/>
  <c r="O586" i="8" s="1"/>
  <c r="O587" i="8" s="1"/>
  <c r="O588" i="8" s="1"/>
  <c r="O589" i="8" s="1"/>
  <c r="O590" i="8" s="1"/>
  <c r="O591" i="8" s="1"/>
  <c r="O592" i="8" s="1"/>
  <c r="O593" i="8" s="1"/>
  <c r="O594" i="8" s="1"/>
  <c r="O595" i="8" s="1"/>
  <c r="O596" i="8" s="1"/>
  <c r="O597" i="8" s="1"/>
  <c r="O598" i="8" s="1"/>
  <c r="O599" i="8" s="1"/>
  <c r="O600" i="8" s="1"/>
  <c r="O601" i="8" s="1"/>
  <c r="O602" i="8" s="1"/>
  <c r="O603" i="8" s="1"/>
  <c r="O604" i="8" s="1"/>
  <c r="O605" i="8" s="1"/>
  <c r="O606" i="8" s="1"/>
  <c r="O607" i="8" s="1"/>
  <c r="O608" i="8" s="1"/>
  <c r="O609" i="8" s="1"/>
  <c r="O610" i="8" s="1"/>
  <c r="O611" i="8" s="1"/>
  <c r="O612" i="8" s="1"/>
  <c r="O613" i="8" s="1"/>
  <c r="O614" i="8" s="1"/>
  <c r="O615" i="8" s="1"/>
  <c r="O616" i="8" s="1"/>
  <c r="O617" i="8" s="1"/>
  <c r="O618" i="8" s="1"/>
  <c r="O619" i="8" s="1"/>
  <c r="O620" i="8" s="1"/>
  <c r="O621" i="8" s="1"/>
  <c r="O622" i="8" s="1"/>
  <c r="O623" i="8" s="1"/>
  <c r="O624" i="8" s="1"/>
  <c r="O625" i="8" s="1"/>
  <c r="O626" i="8" s="1"/>
  <c r="O627" i="8" s="1"/>
  <c r="O628" i="8" s="1"/>
  <c r="O629" i="8" s="1"/>
  <c r="O630" i="8" s="1"/>
  <c r="O631" i="8" s="1"/>
  <c r="O632" i="8" s="1"/>
  <c r="O633" i="8" s="1"/>
  <c r="O634" i="8" s="1"/>
  <c r="O635" i="8" s="1"/>
  <c r="O636" i="8" s="1"/>
  <c r="O637" i="8" s="1"/>
  <c r="O638" i="8" s="1"/>
  <c r="O639" i="8" s="1"/>
  <c r="O640" i="8" s="1"/>
  <c r="O641" i="8" s="1"/>
  <c r="O642" i="8" s="1"/>
  <c r="O643" i="8" s="1"/>
  <c r="O644" i="8" s="1"/>
  <c r="O645" i="8" s="1"/>
  <c r="O646" i="8" s="1"/>
  <c r="O647" i="8" s="1"/>
  <c r="O648" i="8" s="1"/>
  <c r="O649" i="8" s="1"/>
  <c r="O650" i="8" s="1"/>
  <c r="O651" i="8" s="1"/>
  <c r="O652" i="8" s="1"/>
  <c r="O653" i="8" s="1"/>
  <c r="O654" i="8" s="1"/>
  <c r="O655" i="8" s="1"/>
  <c r="O656" i="8" s="1"/>
  <c r="O657" i="8" s="1"/>
  <c r="O658" i="8" s="1"/>
  <c r="O659" i="8" s="1"/>
  <c r="O660" i="8" s="1"/>
  <c r="O661" i="8" s="1"/>
  <c r="O662" i="8" s="1"/>
  <c r="O663" i="8" s="1"/>
  <c r="O664" i="8" s="1"/>
  <c r="O665" i="8" s="1"/>
  <c r="O666" i="8" s="1"/>
  <c r="O667" i="8" s="1"/>
  <c r="O668" i="8" s="1"/>
  <c r="O669" i="8" s="1"/>
  <c r="O670" i="8" s="1"/>
  <c r="O671" i="8" s="1"/>
  <c r="O672" i="8" s="1"/>
  <c r="O673" i="8" s="1"/>
  <c r="O674" i="8" s="1"/>
  <c r="O675" i="8" s="1"/>
  <c r="O676" i="8" s="1"/>
  <c r="O677" i="8" s="1"/>
  <c r="O678" i="8" s="1"/>
  <c r="O679" i="8" s="1"/>
  <c r="O680" i="8" s="1"/>
  <c r="O681" i="8" s="1"/>
  <c r="O682" i="8" s="1"/>
  <c r="O683" i="8" s="1"/>
  <c r="O684" i="8" s="1"/>
  <c r="O685" i="8" s="1"/>
  <c r="O686" i="8" s="1"/>
  <c r="O687" i="8" s="1"/>
  <c r="O688" i="8" s="1"/>
  <c r="O689" i="8" s="1"/>
  <c r="O690" i="8" s="1"/>
  <c r="O691" i="8" s="1"/>
  <c r="O692" i="8" s="1"/>
  <c r="O693" i="8" s="1"/>
  <c r="O694" i="8" s="1"/>
  <c r="O695" i="8" s="1"/>
  <c r="O696" i="8" s="1"/>
  <c r="O697" i="8" s="1"/>
  <c r="O698" i="8" s="1"/>
  <c r="O699" i="8" s="1"/>
  <c r="O700" i="8" s="1"/>
  <c r="O701" i="8" s="1"/>
  <c r="O702" i="8" s="1"/>
  <c r="O703" i="8" s="1"/>
  <c r="O704" i="8" s="1"/>
  <c r="O705" i="8" s="1"/>
  <c r="O706" i="8" s="1"/>
  <c r="O707" i="8" s="1"/>
  <c r="O708" i="8" s="1"/>
  <c r="O709" i="8" s="1"/>
  <c r="O710" i="8" s="1"/>
  <c r="O711" i="8" s="1"/>
  <c r="O712" i="8" s="1"/>
  <c r="O713" i="8" s="1"/>
  <c r="O714" i="8" s="1"/>
  <c r="O715" i="8" s="1"/>
  <c r="O716" i="8" s="1"/>
  <c r="O717" i="8" s="1"/>
  <c r="O718" i="8" s="1"/>
  <c r="O719" i="8" s="1"/>
  <c r="O720" i="8" s="1"/>
  <c r="O721" i="8" s="1"/>
  <c r="O722" i="8" s="1"/>
  <c r="O723" i="8" s="1"/>
  <c r="O724" i="8" s="1"/>
  <c r="O725" i="8" s="1"/>
  <c r="O726" i="8" s="1"/>
  <c r="O727" i="8" s="1"/>
  <c r="O728" i="8" s="1"/>
  <c r="O729" i="8" s="1"/>
  <c r="O730" i="8" s="1"/>
  <c r="O731" i="8" s="1"/>
  <c r="O732" i="8" s="1"/>
  <c r="O733" i="8" s="1"/>
  <c r="O734" i="8" s="1"/>
  <c r="O735" i="8" s="1"/>
  <c r="O736" i="8" s="1"/>
  <c r="O737" i="8" s="1"/>
  <c r="O738" i="8" s="1"/>
  <c r="O739" i="8" s="1"/>
  <c r="O740" i="8" s="1"/>
  <c r="O741" i="8" s="1"/>
  <c r="O742" i="8" s="1"/>
  <c r="O743" i="8" s="1"/>
  <c r="O744" i="8" s="1"/>
  <c r="O745" i="8" s="1"/>
  <c r="O746" i="8" s="1"/>
  <c r="O747" i="8" s="1"/>
  <c r="O748" i="8" s="1"/>
  <c r="O749" i="8" s="1"/>
  <c r="O750" i="8" s="1"/>
  <c r="O751" i="8" s="1"/>
  <c r="O752" i="8" s="1"/>
  <c r="O753" i="8" s="1"/>
  <c r="O754" i="8" s="1"/>
  <c r="O755" i="8" s="1"/>
  <c r="O756" i="8" s="1"/>
  <c r="O757" i="8" s="1"/>
  <c r="O758" i="8" s="1"/>
  <c r="O759" i="8" s="1"/>
  <c r="O760" i="8" s="1"/>
  <c r="O761" i="8" s="1"/>
  <c r="O762" i="8" s="1"/>
  <c r="O763" i="8" s="1"/>
  <c r="O764" i="8" s="1"/>
  <c r="O765" i="8" s="1"/>
  <c r="O766" i="8" s="1"/>
  <c r="O767" i="8" s="1"/>
  <c r="O768" i="8" s="1"/>
  <c r="O769" i="8" s="1"/>
  <c r="O770" i="8" s="1"/>
  <c r="O771" i="8" s="1"/>
  <c r="O772" i="8" s="1"/>
  <c r="O773" i="8" s="1"/>
  <c r="O774" i="8" s="1"/>
  <c r="O775" i="8" s="1"/>
  <c r="O776" i="8" s="1"/>
  <c r="O777" i="8" s="1"/>
  <c r="O778" i="8" s="1"/>
  <c r="O779" i="8" s="1"/>
  <c r="O780" i="8" s="1"/>
  <c r="O781" i="8" s="1"/>
  <c r="O782" i="8" s="1"/>
  <c r="O783" i="8" s="1"/>
  <c r="O784" i="8" s="1"/>
  <c r="O785" i="8" s="1"/>
  <c r="O786" i="8" s="1"/>
  <c r="O787" i="8" s="1"/>
  <c r="O788" i="8" s="1"/>
  <c r="O789" i="8" s="1"/>
  <c r="O790" i="8" s="1"/>
  <c r="O791" i="8" s="1"/>
  <c r="O792" i="8" s="1"/>
  <c r="O793" i="8" s="1"/>
  <c r="O794" i="8" s="1"/>
  <c r="O795" i="8" s="1"/>
  <c r="O796" i="8" s="1"/>
  <c r="O797" i="8" s="1"/>
  <c r="O798" i="8" s="1"/>
  <c r="O799" i="8" s="1"/>
  <c r="O800" i="8" s="1"/>
  <c r="O801" i="8" s="1"/>
  <c r="O802" i="8" s="1"/>
  <c r="O803" i="8" s="1"/>
  <c r="O804" i="8" s="1"/>
  <c r="O805" i="8" s="1"/>
  <c r="O806" i="8" s="1"/>
  <c r="O807" i="8" s="1"/>
  <c r="O808" i="8" s="1"/>
  <c r="O809" i="8" s="1"/>
  <c r="O810" i="8" s="1"/>
  <c r="O811" i="8" s="1"/>
  <c r="O812" i="8" s="1"/>
  <c r="O813" i="8" s="1"/>
  <c r="O814" i="8" s="1"/>
  <c r="O815" i="8" s="1"/>
  <c r="O816" i="8" s="1"/>
  <c r="O817" i="8" s="1"/>
  <c r="O818" i="8" s="1"/>
  <c r="O819" i="8" s="1"/>
  <c r="O820" i="8" s="1"/>
  <c r="O821" i="8" s="1"/>
  <c r="O822" i="8" s="1"/>
  <c r="O823" i="8" s="1"/>
  <c r="O824" i="8" s="1"/>
  <c r="O825" i="8" s="1"/>
  <c r="O826" i="8" s="1"/>
  <c r="O827" i="8" s="1"/>
  <c r="O828" i="8" s="1"/>
  <c r="O829" i="8" s="1"/>
  <c r="O830" i="8" s="1"/>
  <c r="O831" i="8" s="1"/>
  <c r="O832" i="8" s="1"/>
  <c r="O833" i="8" s="1"/>
  <c r="O834" i="8" s="1"/>
  <c r="O835" i="8" s="1"/>
  <c r="O836" i="8" s="1"/>
  <c r="O837" i="8" s="1"/>
  <c r="O838" i="8" s="1"/>
  <c r="O839" i="8" s="1"/>
  <c r="O840" i="8" s="1"/>
  <c r="O841" i="8" s="1"/>
  <c r="O842" i="8" s="1"/>
  <c r="O843" i="8" s="1"/>
  <c r="O844" i="8" s="1"/>
  <c r="O845" i="8" s="1"/>
  <c r="O846" i="8" s="1"/>
  <c r="O847" i="8" s="1"/>
  <c r="O848" i="8" s="1"/>
  <c r="O849" i="8" s="1"/>
  <c r="O850" i="8" s="1"/>
  <c r="O851" i="8" s="1"/>
  <c r="O852" i="8" s="1"/>
  <c r="O853" i="8" s="1"/>
  <c r="O854" i="8" s="1"/>
  <c r="O855" i="8" s="1"/>
  <c r="O856" i="8" s="1"/>
  <c r="O857" i="8" s="1"/>
  <c r="O858" i="8" s="1"/>
  <c r="O859" i="8" s="1"/>
  <c r="O860" i="8" s="1"/>
  <c r="O861" i="8" s="1"/>
  <c r="O862" i="8" s="1"/>
  <c r="O863" i="8" s="1"/>
  <c r="O864" i="8" s="1"/>
  <c r="O865" i="8" s="1"/>
  <c r="O866" i="8" s="1"/>
  <c r="O867" i="8" s="1"/>
  <c r="O868" i="8" s="1"/>
  <c r="O869" i="8" s="1"/>
  <c r="O870" i="8" s="1"/>
  <c r="O871" i="8" s="1"/>
  <c r="O872" i="8" s="1"/>
  <c r="O873" i="8" s="1"/>
  <c r="O874" i="8" s="1"/>
  <c r="O875" i="8" s="1"/>
  <c r="O876" i="8" s="1"/>
  <c r="O877" i="8" s="1"/>
  <c r="O878" i="8" s="1"/>
  <c r="O879" i="8" s="1"/>
  <c r="O880" i="8" s="1"/>
  <c r="O881" i="8" s="1"/>
  <c r="O882" i="8" s="1"/>
  <c r="O883" i="8" s="1"/>
  <c r="O884" i="8" s="1"/>
  <c r="O885" i="8" s="1"/>
  <c r="O886" i="8" s="1"/>
  <c r="O887" i="8" s="1"/>
  <c r="O888" i="8" s="1"/>
  <c r="O889" i="8" s="1"/>
  <c r="O890" i="8" s="1"/>
  <c r="O891" i="8" s="1"/>
  <c r="O892" i="8" s="1"/>
  <c r="O893" i="8" s="1"/>
  <c r="O894" i="8" s="1"/>
  <c r="O895" i="8" s="1"/>
  <c r="O896" i="8" s="1"/>
  <c r="O897" i="8" s="1"/>
  <c r="O898" i="8" s="1"/>
  <c r="O899" i="8" s="1"/>
  <c r="O900" i="8" s="1"/>
  <c r="O901" i="8" s="1"/>
  <c r="O902" i="8" s="1"/>
  <c r="O903" i="8" s="1"/>
  <c r="O904" i="8" s="1"/>
  <c r="O905" i="8" s="1"/>
  <c r="O906" i="8" s="1"/>
  <c r="O907" i="8" s="1"/>
  <c r="O908" i="8" s="1"/>
  <c r="O909" i="8" s="1"/>
  <c r="O910" i="8" s="1"/>
  <c r="O911" i="8" s="1"/>
  <c r="O912" i="8" s="1"/>
  <c r="O913" i="8" s="1"/>
  <c r="O914" i="8" s="1"/>
  <c r="O915" i="8" s="1"/>
  <c r="O916" i="8" s="1"/>
  <c r="O917" i="8" s="1"/>
  <c r="O918" i="8" s="1"/>
  <c r="O919" i="8" s="1"/>
  <c r="O920" i="8" s="1"/>
  <c r="O921" i="8" s="1"/>
  <c r="O922" i="8" s="1"/>
  <c r="O923" i="8" s="1"/>
  <c r="O924" i="8" s="1"/>
  <c r="O925" i="8" s="1"/>
  <c r="O926" i="8" s="1"/>
  <c r="O927" i="8" s="1"/>
  <c r="O928" i="8" s="1"/>
  <c r="O929" i="8" s="1"/>
  <c r="O930" i="8" s="1"/>
  <c r="O931" i="8" s="1"/>
  <c r="O932" i="8" s="1"/>
  <c r="O933" i="8" s="1"/>
  <c r="O934" i="8" s="1"/>
  <c r="O935" i="8" s="1"/>
  <c r="O936" i="8" s="1"/>
  <c r="O937" i="8" s="1"/>
  <c r="O938" i="8" s="1"/>
  <c r="O939" i="8" s="1"/>
  <c r="O940" i="8" s="1"/>
  <c r="O941" i="8" s="1"/>
  <c r="O942" i="8" s="1"/>
  <c r="O943" i="8" s="1"/>
  <c r="O944" i="8" s="1"/>
  <c r="O945" i="8" s="1"/>
  <c r="O946" i="8" s="1"/>
  <c r="O947" i="8" s="1"/>
  <c r="O948" i="8" s="1"/>
  <c r="O949" i="8" s="1"/>
  <c r="O950" i="8" s="1"/>
  <c r="O951" i="8" s="1"/>
  <c r="O952" i="8" s="1"/>
  <c r="O953" i="8" s="1"/>
  <c r="O954" i="8" s="1"/>
  <c r="O955" i="8" s="1"/>
  <c r="O956" i="8" s="1"/>
  <c r="O957" i="8" s="1"/>
  <c r="O958" i="8" s="1"/>
  <c r="O959" i="8" s="1"/>
  <c r="O960" i="8" s="1"/>
  <c r="O961" i="8" s="1"/>
  <c r="O962" i="8" s="1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O987" i="8" s="1"/>
  <c r="O988" i="8" s="1"/>
  <c r="O989" i="8" s="1"/>
  <c r="O990" i="8" s="1"/>
  <c r="O991" i="8" s="1"/>
  <c r="O992" i="8" s="1"/>
  <c r="O993" i="8" s="1"/>
  <c r="O994" i="8" s="1"/>
  <c r="O995" i="8" s="1"/>
  <c r="O996" i="8" s="1"/>
  <c r="O997" i="8" s="1"/>
  <c r="O998" i="8" s="1"/>
  <c r="O999" i="8" s="1"/>
  <c r="O1000" i="8" s="1"/>
  <c r="O1001" i="8" s="1"/>
  <c r="O1002" i="8" s="1"/>
  <c r="O1003" i="8" s="1"/>
  <c r="O1004" i="8" s="1"/>
  <c r="O1005" i="8" s="1"/>
  <c r="O1006" i="8" s="1"/>
  <c r="O1007" i="8" s="1"/>
  <c r="O1008" i="8" s="1"/>
  <c r="O1009" i="8" s="1"/>
  <c r="O1010" i="8" s="1"/>
  <c r="O1011" i="8" s="1"/>
  <c r="O1012" i="8" s="1"/>
  <c r="O1013" i="8" s="1"/>
  <c r="O1014" i="8" s="1"/>
  <c r="O1015" i="8" s="1"/>
  <c r="O1016" i="8" s="1"/>
  <c r="O1017" i="8" s="1"/>
  <c r="O1018" i="8" s="1"/>
  <c r="O1019" i="8" s="1"/>
  <c r="O1020" i="8" s="1"/>
  <c r="O1021" i="8" s="1"/>
  <c r="O1022" i="8" s="1"/>
  <c r="O1023" i="8" s="1"/>
  <c r="O1024" i="8" s="1"/>
  <c r="O1025" i="8" s="1"/>
  <c r="O1026" i="8" s="1"/>
  <c r="O1027" i="8" s="1"/>
  <c r="O1028" i="8" s="1"/>
  <c r="O1029" i="8" s="1"/>
  <c r="O1030" i="8" s="1"/>
  <c r="O1031" i="8" s="1"/>
  <c r="O1032" i="8" s="1"/>
  <c r="O1033" i="8" s="1"/>
  <c r="O1034" i="8" s="1"/>
  <c r="O1035" i="8" s="1"/>
  <c r="O1036" i="8" s="1"/>
  <c r="O1037" i="8" s="1"/>
  <c r="O1038" i="8" s="1"/>
  <c r="O1039" i="8" s="1"/>
  <c r="O1040" i="8" s="1"/>
  <c r="O1041" i="8" s="1"/>
  <c r="O1042" i="8" s="1"/>
  <c r="O1043" i="8" s="1"/>
  <c r="O1044" i="8" s="1"/>
  <c r="O1045" i="8" s="1"/>
  <c r="O1046" i="8" s="1"/>
  <c r="O1047" i="8" s="1"/>
  <c r="O1048" i="8" s="1"/>
  <c r="O1049" i="8" s="1"/>
  <c r="O1050" i="8" s="1"/>
  <c r="O1051" i="8" s="1"/>
  <c r="O1052" i="8" s="1"/>
  <c r="O1053" i="8" s="1"/>
  <c r="O1054" i="8" s="1"/>
  <c r="O1055" i="8" s="1"/>
  <c r="O1056" i="8" s="1"/>
  <c r="O1057" i="8" s="1"/>
  <c r="O1058" i="8" s="1"/>
  <c r="O1059" i="8" s="1"/>
  <c r="O1060" i="8" s="1"/>
  <c r="O1061" i="8" s="1"/>
  <c r="O1062" i="8" s="1"/>
  <c r="O1063" i="8" s="1"/>
  <c r="O1064" i="8" s="1"/>
  <c r="O1065" i="8" s="1"/>
  <c r="O1066" i="8" s="1"/>
  <c r="O1067" i="8" s="1"/>
  <c r="O1068" i="8" s="1"/>
  <c r="O1069" i="8" s="1"/>
  <c r="O1070" i="8" s="1"/>
  <c r="O1071" i="8" s="1"/>
  <c r="O1072" i="8" s="1"/>
  <c r="O1073" i="8" s="1"/>
  <c r="O1074" i="8" s="1"/>
  <c r="O1075" i="8" s="1"/>
  <c r="O1076" i="8" s="1"/>
  <c r="O1077" i="8" s="1"/>
  <c r="O1078" i="8" s="1"/>
  <c r="O1079" i="8" s="1"/>
  <c r="O1080" i="8" s="1"/>
  <c r="O1081" i="8" s="1"/>
  <c r="O1082" i="8" s="1"/>
  <c r="O1083" i="8" s="1"/>
  <c r="O1084" i="8" s="1"/>
  <c r="O1085" i="8" s="1"/>
  <c r="O1086" i="8" s="1"/>
  <c r="O1087" i="8" s="1"/>
  <c r="O1088" i="8" s="1"/>
  <c r="O1089" i="8" s="1"/>
  <c r="O1090" i="8" s="1"/>
  <c r="O1091" i="8" s="1"/>
  <c r="O1092" i="8" s="1"/>
  <c r="O1093" i="8" s="1"/>
  <c r="O1094" i="8" s="1"/>
  <c r="O1095" i="8" s="1"/>
  <c r="O1096" i="8" s="1"/>
  <c r="O1097" i="8" s="1"/>
  <c r="O1098" i="8" s="1"/>
  <c r="O1099" i="8" s="1"/>
  <c r="O1100" i="8" s="1"/>
  <c r="O1101" i="8" s="1"/>
  <c r="O1102" i="8" s="1"/>
  <c r="O1103" i="8" s="1"/>
  <c r="O1104" i="8" s="1"/>
  <c r="O1105" i="8" s="1"/>
  <c r="O1106" i="8" s="1"/>
  <c r="O1107" i="8" s="1"/>
  <c r="O1108" i="8" s="1"/>
  <c r="O1109" i="8" s="1"/>
  <c r="O1110" i="8" s="1"/>
  <c r="O1111" i="8" s="1"/>
  <c r="O1112" i="8" s="1"/>
  <c r="O1113" i="8" s="1"/>
  <c r="O1114" i="8" s="1"/>
  <c r="O1115" i="8" s="1"/>
  <c r="O1116" i="8" s="1"/>
  <c r="O1117" i="8" s="1"/>
  <c r="O1118" i="8" s="1"/>
  <c r="O1119" i="8" s="1"/>
  <c r="O1120" i="8" s="1"/>
  <c r="O1121" i="8" s="1"/>
  <c r="O1122" i="8" s="1"/>
  <c r="O1123" i="8" s="1"/>
  <c r="O1124" i="8" s="1"/>
  <c r="O1125" i="8" s="1"/>
  <c r="O1126" i="8" s="1"/>
  <c r="O1127" i="8" s="1"/>
  <c r="O1128" i="8" s="1"/>
  <c r="O1129" i="8" s="1"/>
  <c r="O1130" i="8" s="1"/>
  <c r="O1131" i="8" s="1"/>
  <c r="O1132" i="8" s="1"/>
  <c r="O1133" i="8" s="1"/>
  <c r="O1134" i="8" s="1"/>
  <c r="O1135" i="8" s="1"/>
  <c r="O1136" i="8" s="1"/>
  <c r="O1137" i="8" s="1"/>
  <c r="O1138" i="8" s="1"/>
  <c r="O1139" i="8" s="1"/>
  <c r="O1140" i="8" s="1"/>
  <c r="O1141" i="8" s="1"/>
  <c r="O1142" i="8" s="1"/>
  <c r="O1143" i="8" s="1"/>
  <c r="O1144" i="8" s="1"/>
  <c r="O1145" i="8" s="1"/>
  <c r="O1146" i="8" s="1"/>
  <c r="O1147" i="8" s="1"/>
  <c r="O1148" i="8" s="1"/>
  <c r="O1149" i="8" s="1"/>
  <c r="O1150" i="8" s="1"/>
  <c r="O1151" i="8" s="1"/>
  <c r="O1152" i="8" s="1"/>
  <c r="O1153" i="8" s="1"/>
  <c r="O1154" i="8" s="1"/>
  <c r="O1155" i="8" s="1"/>
  <c r="O1156" i="8" s="1"/>
  <c r="O1157" i="8" s="1"/>
  <c r="O1158" i="8" s="1"/>
  <c r="O1159" i="8" s="1"/>
  <c r="O1160" i="8" s="1"/>
  <c r="O1161" i="8" s="1"/>
  <c r="O1162" i="8" s="1"/>
  <c r="O1163" i="8" s="1"/>
  <c r="O1164" i="8" s="1"/>
  <c r="O1165" i="8" s="1"/>
  <c r="O1166" i="8" s="1"/>
  <c r="O1167" i="8" s="1"/>
  <c r="O1168" i="8" s="1"/>
  <c r="O1169" i="8" s="1"/>
  <c r="O1170" i="8" s="1"/>
  <c r="O1171" i="8" s="1"/>
  <c r="O1172" i="8" s="1"/>
  <c r="O1173" i="8" s="1"/>
  <c r="O1174" i="8" s="1"/>
  <c r="O1175" i="8" s="1"/>
  <c r="O1176" i="8" s="1"/>
  <c r="O1177" i="8" s="1"/>
  <c r="O1178" i="8" s="1"/>
  <c r="O1179" i="8" s="1"/>
  <c r="O1180" i="8" s="1"/>
  <c r="O1181" i="8" s="1"/>
  <c r="O1182" i="8" s="1"/>
  <c r="O1183" i="8" s="1"/>
  <c r="O1184" i="8" s="1"/>
  <c r="O1185" i="8" s="1"/>
  <c r="O1186" i="8" s="1"/>
  <c r="O1187" i="8" s="1"/>
  <c r="O1188" i="8" s="1"/>
  <c r="O1189" i="8" s="1"/>
  <c r="O1190" i="8" s="1"/>
  <c r="O1191" i="8" s="1"/>
  <c r="O1192" i="8" s="1"/>
  <c r="O1193" i="8" s="1"/>
  <c r="O1194" i="8" s="1"/>
  <c r="O1195" i="8" s="1"/>
  <c r="O1196" i="8" s="1"/>
  <c r="O1197" i="8" s="1"/>
  <c r="O1198" i="8" s="1"/>
  <c r="O1199" i="8" s="1"/>
  <c r="O1200" i="8" s="1"/>
  <c r="O1201" i="8" s="1"/>
  <c r="O1202" i="8" s="1"/>
  <c r="O1203" i="8" s="1"/>
  <c r="O1204" i="8" s="1"/>
  <c r="O1205" i="8" s="1"/>
  <c r="O1206" i="8" s="1"/>
  <c r="O1207" i="8" s="1"/>
  <c r="O1208" i="8" s="1"/>
  <c r="O1209" i="8" s="1"/>
  <c r="O1210" i="8" s="1"/>
  <c r="O1211" i="8" s="1"/>
  <c r="O1212" i="8" s="1"/>
  <c r="O1213" i="8" s="1"/>
  <c r="O1214" i="8" s="1"/>
  <c r="O1215" i="8" s="1"/>
  <c r="O1216" i="8" s="1"/>
  <c r="O1217" i="8" s="1"/>
  <c r="O1218" i="8" s="1"/>
  <c r="O1219" i="8" s="1"/>
  <c r="O1220" i="8" s="1"/>
  <c r="O1221" i="8" s="1"/>
  <c r="O1222" i="8" s="1"/>
  <c r="O1223" i="8" s="1"/>
  <c r="O1224" i="8" s="1"/>
  <c r="O1225" i="8" s="1"/>
  <c r="O1226" i="8" s="1"/>
  <c r="O1227" i="8" s="1"/>
  <c r="O1228" i="8" s="1"/>
  <c r="O1229" i="8" s="1"/>
  <c r="O1230" i="8" s="1"/>
  <c r="O1231" i="8" s="1"/>
  <c r="O1232" i="8" s="1"/>
  <c r="O1233" i="8" s="1"/>
  <c r="O1234" i="8" s="1"/>
  <c r="O1235" i="8" s="1"/>
  <c r="O1236" i="8" s="1"/>
  <c r="O1237" i="8" s="1"/>
  <c r="O1238" i="8" s="1"/>
  <c r="O1239" i="8" s="1"/>
  <c r="O1240" i="8" s="1"/>
  <c r="O1241" i="8" s="1"/>
  <c r="O1242" i="8" s="1"/>
  <c r="O1243" i="8" s="1"/>
  <c r="O1244" i="8" s="1"/>
  <c r="O1245" i="8" s="1"/>
  <c r="O1246" i="8" s="1"/>
  <c r="O1247" i="8" s="1"/>
  <c r="O1248" i="8" s="1"/>
  <c r="O1249" i="8" s="1"/>
  <c r="O1250" i="8" s="1"/>
  <c r="O1251" i="8" s="1"/>
  <c r="O1252" i="8" s="1"/>
  <c r="O1253" i="8" s="1"/>
  <c r="O1254" i="8" s="1"/>
  <c r="O1255" i="8" s="1"/>
  <c r="O1256" i="8" s="1"/>
  <c r="O1257" i="8" s="1"/>
  <c r="O1258" i="8" s="1"/>
  <c r="O1259" i="8" s="1"/>
  <c r="O1260" i="8" s="1"/>
  <c r="O1261" i="8" s="1"/>
  <c r="O1262" i="8" s="1"/>
  <c r="O1263" i="8" s="1"/>
  <c r="O1264" i="8" s="1"/>
  <c r="O1265" i="8" s="1"/>
  <c r="O1266" i="8" s="1"/>
  <c r="O1267" i="8" s="1"/>
  <c r="O1268" i="8" s="1"/>
  <c r="O1269" i="8" s="1"/>
  <c r="O1270" i="8" s="1"/>
  <c r="O1271" i="8" s="1"/>
  <c r="O1272" i="8" s="1"/>
  <c r="O1273" i="8" s="1"/>
  <c r="O1274" i="8" s="1"/>
  <c r="O1275" i="8" s="1"/>
  <c r="O1276" i="8" s="1"/>
  <c r="O1277" i="8" s="1"/>
  <c r="O1278" i="8" s="1"/>
  <c r="O1279" i="8" s="1"/>
  <c r="O1280" i="8" s="1"/>
  <c r="O1281" i="8" s="1"/>
  <c r="O1282" i="8" s="1"/>
  <c r="O1283" i="8" s="1"/>
  <c r="O1284" i="8" s="1"/>
  <c r="O1285" i="8" s="1"/>
  <c r="O1286" i="8" s="1"/>
  <c r="O1287" i="8" s="1"/>
  <c r="O1288" i="8" s="1"/>
  <c r="O1289" i="8" s="1"/>
  <c r="O1290" i="8" s="1"/>
  <c r="O1291" i="8" s="1"/>
  <c r="O1292" i="8" s="1"/>
  <c r="O1293" i="8" s="1"/>
  <c r="O1294" i="8" s="1"/>
  <c r="O1295" i="8" s="1"/>
  <c r="O1296" i="8" s="1"/>
  <c r="O1297" i="8" s="1"/>
  <c r="O1298" i="8" s="1"/>
  <c r="O1299" i="8" s="1"/>
  <c r="O1300" i="8" s="1"/>
  <c r="O1301" i="8" s="1"/>
  <c r="O1302" i="8" s="1"/>
  <c r="O1303" i="8" s="1"/>
  <c r="O1304" i="8" s="1"/>
  <c r="O1305" i="8" s="1"/>
  <c r="O1306" i="8" s="1"/>
  <c r="O1307" i="8" s="1"/>
  <c r="O1308" i="8" s="1"/>
  <c r="O1309" i="8" s="1"/>
  <c r="O1310" i="8" s="1"/>
  <c r="O1311" i="8" s="1"/>
  <c r="O1312" i="8" s="1"/>
  <c r="O1313" i="8" s="1"/>
  <c r="O1314" i="8" s="1"/>
  <c r="O1315" i="8" s="1"/>
  <c r="O1316" i="8" s="1"/>
  <c r="O1317" i="8" s="1"/>
  <c r="O1318" i="8" s="1"/>
  <c r="O1319" i="8" s="1"/>
  <c r="O1320" i="8" s="1"/>
  <c r="O1321" i="8" s="1"/>
  <c r="O1322" i="8" s="1"/>
  <c r="O1323" i="8" s="1"/>
  <c r="O1324" i="8" s="1"/>
  <c r="O1325" i="8" s="1"/>
  <c r="O1326" i="8" s="1"/>
  <c r="O1327" i="8" s="1"/>
  <c r="O1328" i="8" s="1"/>
  <c r="O1329" i="8" s="1"/>
  <c r="O1330" i="8" s="1"/>
  <c r="O1331" i="8" s="1"/>
  <c r="O1332" i="8" s="1"/>
  <c r="O1333" i="8" s="1"/>
  <c r="O1334" i="8" s="1"/>
  <c r="O1335" i="8" s="1"/>
  <c r="O1336" i="8" s="1"/>
  <c r="O1337" i="8" s="1"/>
  <c r="O1338" i="8" s="1"/>
  <c r="O1339" i="8" s="1"/>
  <c r="O1340" i="8" s="1"/>
  <c r="O1341" i="8" s="1"/>
  <c r="O1342" i="8" s="1"/>
  <c r="O1343" i="8" s="1"/>
  <c r="O1344" i="8" s="1"/>
  <c r="O1345" i="8" s="1"/>
  <c r="O1346" i="8" s="1"/>
  <c r="O1347" i="8" s="1"/>
  <c r="O1348" i="8" s="1"/>
  <c r="O1349" i="8" s="1"/>
  <c r="O1350" i="8" s="1"/>
  <c r="O1351" i="8" s="1"/>
  <c r="O1352" i="8" s="1"/>
  <c r="O1353" i="8" s="1"/>
  <c r="O1354" i="8" s="1"/>
  <c r="O1355" i="8" s="1"/>
  <c r="O1356" i="8" s="1"/>
  <c r="O1357" i="8" s="1"/>
  <c r="O1358" i="8" s="1"/>
  <c r="O1359" i="8" s="1"/>
  <c r="O1360" i="8" s="1"/>
  <c r="O1361" i="8" s="1"/>
  <c r="O1362" i="8" s="1"/>
  <c r="O1363" i="8" s="1"/>
  <c r="O1364" i="8" s="1"/>
  <c r="O1365" i="8" s="1"/>
  <c r="O1366" i="8" s="1"/>
  <c r="O1367" i="8" s="1"/>
  <c r="O1368" i="8" s="1"/>
  <c r="O1369" i="8" s="1"/>
  <c r="O1370" i="8" s="1"/>
  <c r="O1371" i="8" s="1"/>
  <c r="O1372" i="8" s="1"/>
  <c r="O1373" i="8" s="1"/>
  <c r="O1374" i="8" s="1"/>
  <c r="O1375" i="8" s="1"/>
  <c r="O1376" i="8" s="1"/>
  <c r="O1377" i="8" s="1"/>
  <c r="O1378" i="8" s="1"/>
  <c r="O1379" i="8" s="1"/>
  <c r="O1380" i="8" s="1"/>
  <c r="O1381" i="8" s="1"/>
  <c r="O1382" i="8" s="1"/>
  <c r="O1383" i="8" s="1"/>
  <c r="O1384" i="8" s="1"/>
  <c r="O1385" i="8" s="1"/>
  <c r="O1386" i="8" s="1"/>
  <c r="O1387" i="8" s="1"/>
  <c r="O1388" i="8" s="1"/>
  <c r="O1389" i="8" s="1"/>
  <c r="O1390" i="8" s="1"/>
  <c r="O1391" i="8" s="1"/>
  <c r="O1392" i="8" s="1"/>
  <c r="O1393" i="8" s="1"/>
  <c r="O1394" i="8" s="1"/>
  <c r="O1395" i="8" s="1"/>
  <c r="O1396" i="8" s="1"/>
  <c r="O1397" i="8" s="1"/>
  <c r="O1398" i="8" s="1"/>
  <c r="O1399" i="8" s="1"/>
  <c r="O1400" i="8" s="1"/>
  <c r="O1401" i="8" s="1"/>
  <c r="O1402" i="8" s="1"/>
  <c r="O1403" i="8" s="1"/>
  <c r="O1404" i="8" s="1"/>
  <c r="O1405" i="8" s="1"/>
  <c r="O1406" i="8" s="1"/>
  <c r="O1407" i="8" s="1"/>
  <c r="O1408" i="8" s="1"/>
  <c r="O1409" i="8" s="1"/>
  <c r="O1410" i="8" s="1"/>
  <c r="O1411" i="8" s="1"/>
  <c r="O1412" i="8" s="1"/>
  <c r="O1413" i="8" s="1"/>
  <c r="O1414" i="8" s="1"/>
  <c r="O1415" i="8" s="1"/>
  <c r="O1416" i="8" s="1"/>
  <c r="O1417" i="8" s="1"/>
  <c r="O1418" i="8" s="1"/>
  <c r="O1419" i="8" s="1"/>
  <c r="O1420" i="8" s="1"/>
  <c r="O1421" i="8" s="1"/>
  <c r="O1422" i="8" s="1"/>
  <c r="O1423" i="8" s="1"/>
  <c r="O1424" i="8" s="1"/>
  <c r="O1425" i="8" s="1"/>
  <c r="O1426" i="8" s="1"/>
  <c r="O1427" i="8" s="1"/>
  <c r="O1428" i="8" s="1"/>
  <c r="O1429" i="8" s="1"/>
  <c r="O1430" i="8" s="1"/>
  <c r="O1431" i="8" s="1"/>
  <c r="O1432" i="8" s="1"/>
  <c r="O1433" i="8" s="1"/>
  <c r="O1434" i="8" s="1"/>
  <c r="O1435" i="8" s="1"/>
  <c r="O1436" i="8" s="1"/>
  <c r="O1437" i="8" s="1"/>
  <c r="O1438" i="8" s="1"/>
  <c r="O1439" i="8" s="1"/>
  <c r="O1440" i="8" s="1"/>
  <c r="O1441" i="8" s="1"/>
  <c r="O1442" i="8" s="1"/>
  <c r="O1443" i="8" s="1"/>
  <c r="O1444" i="8" s="1"/>
  <c r="O1445" i="8" s="1"/>
  <c r="O1446" i="8" s="1"/>
  <c r="O1447" i="8" s="1"/>
  <c r="O1448" i="8" s="1"/>
  <c r="O1449" i="8" s="1"/>
  <c r="O1450" i="8" s="1"/>
  <c r="O1451" i="8" s="1"/>
  <c r="O1452" i="8" s="1"/>
  <c r="O1453" i="8" s="1"/>
  <c r="O1454" i="8" s="1"/>
  <c r="O1455" i="8" s="1"/>
  <c r="O1456" i="8" s="1"/>
  <c r="O1457" i="8" s="1"/>
  <c r="O1458" i="8" s="1"/>
  <c r="O1459" i="8" s="1"/>
  <c r="O1460" i="8" s="1"/>
  <c r="O1461" i="8" s="1"/>
  <c r="O1462" i="8" s="1"/>
  <c r="O1463" i="8" s="1"/>
  <c r="O1464" i="8" s="1"/>
  <c r="O1465" i="8" s="1"/>
  <c r="O1466" i="8" s="1"/>
  <c r="O1467" i="8" s="1"/>
  <c r="O1468" i="8" s="1"/>
  <c r="O1469" i="8" s="1"/>
  <c r="O1470" i="8" s="1"/>
  <c r="O1471" i="8" s="1"/>
  <c r="O1472" i="8" s="1"/>
  <c r="O1473" i="8" s="1"/>
  <c r="O1474" i="8" s="1"/>
  <c r="O1475" i="8" s="1"/>
  <c r="O1476" i="8" s="1"/>
  <c r="O1477" i="8" s="1"/>
  <c r="O1478" i="8" s="1"/>
  <c r="O1479" i="8" s="1"/>
  <c r="O1480" i="8" s="1"/>
  <c r="O1481" i="8" s="1"/>
  <c r="O1482" i="8" s="1"/>
  <c r="O1483" i="8" s="1"/>
  <c r="O1484" i="8" s="1"/>
  <c r="O1485" i="8" s="1"/>
  <c r="O1486" i="8" s="1"/>
  <c r="O1487" i="8" s="1"/>
  <c r="O1488" i="8" s="1"/>
  <c r="O1489" i="8" s="1"/>
  <c r="O1490" i="8" s="1"/>
  <c r="O1491" i="8" s="1"/>
  <c r="O1492" i="8" s="1"/>
  <c r="O1493" i="8" s="1"/>
  <c r="O1494" i="8" s="1"/>
  <c r="O1495" i="8" s="1"/>
  <c r="O1496" i="8" s="1"/>
  <c r="O1497" i="8" s="1"/>
  <c r="O1498" i="8" s="1"/>
  <c r="O1499" i="8" s="1"/>
  <c r="O1500" i="8" s="1"/>
  <c r="O1501" i="8" s="1"/>
  <c r="O1502" i="8" s="1"/>
  <c r="O1503" i="8" s="1"/>
  <c r="O1504" i="8" s="1"/>
  <c r="O1505" i="8" s="1"/>
  <c r="O1506" i="8" s="1"/>
  <c r="O1507" i="8" s="1"/>
  <c r="O1508" i="8" s="1"/>
  <c r="O1509" i="8" s="1"/>
  <c r="O1510" i="8" s="1"/>
  <c r="O1511" i="8" s="1"/>
  <c r="O1512" i="8" s="1"/>
  <c r="O1513" i="8" s="1"/>
  <c r="O1514" i="8" s="1"/>
  <c r="O1515" i="8" s="1"/>
  <c r="O1516" i="8" s="1"/>
  <c r="O1517" i="8" s="1"/>
  <c r="O1518" i="8" s="1"/>
  <c r="O1519" i="8" s="1"/>
  <c r="O1520" i="8" s="1"/>
  <c r="O1521" i="8" s="1"/>
  <c r="O1522" i="8" s="1"/>
  <c r="O1523" i="8" s="1"/>
  <c r="O1524" i="8" s="1"/>
  <c r="O1525" i="8" s="1"/>
  <c r="O1526" i="8" s="1"/>
  <c r="O1527" i="8" s="1"/>
  <c r="O1528" i="8" s="1"/>
  <c r="O1529" i="8" s="1"/>
  <c r="O1530" i="8" s="1"/>
  <c r="O1531" i="8" s="1"/>
  <c r="O1532" i="8" s="1"/>
  <c r="O1533" i="8" s="1"/>
  <c r="O1534" i="8" s="1"/>
  <c r="O1535" i="8" s="1"/>
  <c r="O1536" i="8" s="1"/>
  <c r="O1537" i="8" s="1"/>
  <c r="O1538" i="8" s="1"/>
  <c r="O1539" i="8" s="1"/>
  <c r="O1540" i="8" s="1"/>
  <c r="O1541" i="8" s="1"/>
  <c r="O1542" i="8" s="1"/>
  <c r="O1543" i="8" s="1"/>
  <c r="O1544" i="8" s="1"/>
  <c r="O1545" i="8" s="1"/>
  <c r="O1546" i="8" s="1"/>
  <c r="O1547" i="8" s="1"/>
  <c r="O1548" i="8" s="1"/>
  <c r="O1549" i="8" s="1"/>
  <c r="O1550" i="8" s="1"/>
  <c r="O1551" i="8" s="1"/>
  <c r="O1552" i="8" s="1"/>
  <c r="O1553" i="8" s="1"/>
  <c r="O1554" i="8" s="1"/>
  <c r="O1555" i="8" s="1"/>
  <c r="O1556" i="8" s="1"/>
  <c r="O1557" i="8" s="1"/>
  <c r="O1558" i="8" s="1"/>
  <c r="O1559" i="8" s="1"/>
  <c r="O1560" i="8" s="1"/>
  <c r="O1561" i="8" s="1"/>
  <c r="O1562" i="8" s="1"/>
  <c r="O1563" i="8" s="1"/>
  <c r="O1564" i="8" s="1"/>
  <c r="O1565" i="8" s="1"/>
  <c r="O1566" i="8" s="1"/>
  <c r="O1567" i="8" s="1"/>
  <c r="O1568" i="8" s="1"/>
  <c r="O1569" i="8" s="1"/>
  <c r="O1570" i="8" s="1"/>
  <c r="O1571" i="8" s="1"/>
  <c r="O1572" i="8" s="1"/>
  <c r="O1573" i="8" s="1"/>
  <c r="O1574" i="8" s="1"/>
  <c r="O1575" i="8" s="1"/>
  <c r="O1576" i="8" s="1"/>
  <c r="O1577" i="8" s="1"/>
  <c r="O1578" i="8" s="1"/>
  <c r="O1579" i="8" s="1"/>
  <c r="O1580" i="8" s="1"/>
  <c r="O1581" i="8" s="1"/>
  <c r="O1582" i="8" s="1"/>
  <c r="O1583" i="8" s="1"/>
  <c r="O1584" i="8" s="1"/>
  <c r="O1585" i="8" s="1"/>
  <c r="O1586" i="8" s="1"/>
  <c r="O1587" i="8" s="1"/>
  <c r="O1588" i="8" s="1"/>
  <c r="O1589" i="8" s="1"/>
  <c r="O1590" i="8" s="1"/>
  <c r="O1591" i="8" s="1"/>
  <c r="O1592" i="8" s="1"/>
  <c r="O1593" i="8" s="1"/>
  <c r="O1594" i="8" s="1"/>
  <c r="O1595" i="8" s="1"/>
  <c r="O1596" i="8" s="1"/>
  <c r="O1597" i="8" s="1"/>
  <c r="O1598" i="8" s="1"/>
  <c r="O1599" i="8" s="1"/>
  <c r="O1600" i="8" s="1"/>
  <c r="O1601" i="8" s="1"/>
  <c r="O1602" i="8" s="1"/>
  <c r="O1603" i="8" s="1"/>
  <c r="O1604" i="8" s="1"/>
  <c r="O1605" i="8" s="1"/>
  <c r="O1606" i="8" s="1"/>
  <c r="O1607" i="8" s="1"/>
  <c r="O1608" i="8" s="1"/>
  <c r="O1609" i="8" s="1"/>
  <c r="O1610" i="8" s="1"/>
  <c r="O1611" i="8" s="1"/>
  <c r="O1612" i="8" s="1"/>
  <c r="O1613" i="8" s="1"/>
  <c r="O1614" i="8" s="1"/>
  <c r="O1615" i="8" s="1"/>
  <c r="O1616" i="8" s="1"/>
  <c r="O1617" i="8" s="1"/>
  <c r="O1618" i="8" s="1"/>
  <c r="O1619" i="8" s="1"/>
  <c r="O1620" i="8" s="1"/>
  <c r="O1621" i="8" s="1"/>
  <c r="O1622" i="8" s="1"/>
  <c r="O1623" i="8" s="1"/>
  <c r="O1624" i="8" s="1"/>
  <c r="O1625" i="8" s="1"/>
  <c r="O1626" i="8" s="1"/>
  <c r="O1627" i="8" s="1"/>
  <c r="O1628" i="8" s="1"/>
  <c r="O1629" i="8" s="1"/>
  <c r="O1630" i="8" s="1"/>
  <c r="O1631" i="8" s="1"/>
  <c r="O1632" i="8" s="1"/>
  <c r="O1633" i="8" s="1"/>
  <c r="O1634" i="8" s="1"/>
  <c r="O1635" i="8" s="1"/>
  <c r="O1636" i="8" s="1"/>
  <c r="O1637" i="8" s="1"/>
  <c r="O1638" i="8" s="1"/>
  <c r="O1639" i="8" s="1"/>
  <c r="O1640" i="8" s="1"/>
  <c r="O1641" i="8" s="1"/>
  <c r="O1642" i="8" s="1"/>
  <c r="O1643" i="8" s="1"/>
  <c r="O1644" i="8" s="1"/>
  <c r="O1645" i="8" s="1"/>
  <c r="O1646" i="8" s="1"/>
  <c r="O1647" i="8" s="1"/>
  <c r="O1648" i="8" s="1"/>
  <c r="O1649" i="8" s="1"/>
  <c r="O1650" i="8" s="1"/>
  <c r="O1651" i="8" s="1"/>
  <c r="O1652" i="8" s="1"/>
  <c r="O1653" i="8" s="1"/>
  <c r="O1654" i="8" s="1"/>
  <c r="O1655" i="8" s="1"/>
  <c r="O1656" i="8" s="1"/>
  <c r="O1657" i="8" s="1"/>
  <c r="O1658" i="8" s="1"/>
  <c r="O1659" i="8" s="1"/>
  <c r="O1660" i="8" s="1"/>
  <c r="O1661" i="8" s="1"/>
  <c r="O1662" i="8" s="1"/>
  <c r="O1663" i="8" s="1"/>
  <c r="O1664" i="8" s="1"/>
  <c r="O1665" i="8" s="1"/>
  <c r="O1666" i="8" s="1"/>
  <c r="O1667" i="8" s="1"/>
  <c r="O1668" i="8" s="1"/>
  <c r="O1669" i="8" s="1"/>
  <c r="O1670" i="8" s="1"/>
  <c r="O1671" i="8" s="1"/>
  <c r="O1672" i="8" s="1"/>
  <c r="O1673" i="8" s="1"/>
  <c r="O1674" i="8" s="1"/>
  <c r="O1675" i="8" s="1"/>
  <c r="O1676" i="8" s="1"/>
  <c r="O1677" i="8" s="1"/>
  <c r="O1678" i="8" s="1"/>
  <c r="O1679" i="8" s="1"/>
  <c r="O1680" i="8" s="1"/>
  <c r="O1681" i="8" s="1"/>
  <c r="O1682" i="8" s="1"/>
  <c r="O1683" i="8" s="1"/>
  <c r="O1684" i="8" s="1"/>
  <c r="O1685" i="8" s="1"/>
  <c r="O1686" i="8" s="1"/>
  <c r="O1687" i="8" s="1"/>
  <c r="O1688" i="8" s="1"/>
  <c r="O1689" i="8" s="1"/>
  <c r="O1690" i="8" s="1"/>
  <c r="O1691" i="8" s="1"/>
  <c r="O1692" i="8" s="1"/>
  <c r="O1693" i="8" s="1"/>
  <c r="O1694" i="8" s="1"/>
  <c r="O1695" i="8" s="1"/>
  <c r="O1696" i="8" s="1"/>
  <c r="O1697" i="8" s="1"/>
  <c r="O1698" i="8" s="1"/>
  <c r="O1699" i="8" s="1"/>
  <c r="O1700" i="8" s="1"/>
  <c r="O1701" i="8" s="1"/>
  <c r="O1702" i="8" s="1"/>
  <c r="O1703" i="8" s="1"/>
  <c r="O1704" i="8" s="1"/>
  <c r="O1705" i="8" s="1"/>
  <c r="O1706" i="8" s="1"/>
  <c r="O1707" i="8" s="1"/>
  <c r="O1708" i="8" s="1"/>
  <c r="O1709" i="8" s="1"/>
  <c r="O1710" i="8" s="1"/>
  <c r="O1711" i="8" s="1"/>
  <c r="O1712" i="8" s="1"/>
  <c r="O1713" i="8" s="1"/>
  <c r="O1714" i="8" s="1"/>
  <c r="O1715" i="8" s="1"/>
  <c r="O1716" i="8" s="1"/>
  <c r="O1717" i="8" s="1"/>
  <c r="O1718" i="8" s="1"/>
  <c r="O1719" i="8" s="1"/>
  <c r="O1720" i="8" s="1"/>
  <c r="O1721" i="8" s="1"/>
  <c r="O1722" i="8" s="1"/>
  <c r="O1723" i="8" s="1"/>
  <c r="O1724" i="8" s="1"/>
  <c r="O1725" i="8" s="1"/>
  <c r="O1726" i="8" s="1"/>
  <c r="O1727" i="8" s="1"/>
  <c r="O1728" i="8" s="1"/>
  <c r="O1729" i="8" s="1"/>
  <c r="O1730" i="8" s="1"/>
  <c r="O1731" i="8" s="1"/>
  <c r="O1732" i="8" s="1"/>
  <c r="O1733" i="8" s="1"/>
  <c r="O1734" i="8" s="1"/>
  <c r="O1735" i="8" s="1"/>
  <c r="O1736" i="8" s="1"/>
  <c r="O1737" i="8" s="1"/>
  <c r="O1738" i="8" s="1"/>
  <c r="O1739" i="8" s="1"/>
  <c r="O1740" i="8" s="1"/>
  <c r="O1741" i="8" s="1"/>
  <c r="O1742" i="8" s="1"/>
  <c r="O1743" i="8" s="1"/>
  <c r="O1744" i="8" s="1"/>
  <c r="O1745" i="8" s="1"/>
  <c r="O1746" i="8" s="1"/>
  <c r="O1747" i="8" s="1"/>
  <c r="O1748" i="8" s="1"/>
  <c r="O1749" i="8" s="1"/>
  <c r="O1750" i="8" s="1"/>
  <c r="O1751" i="8" s="1"/>
  <c r="O1752" i="8" s="1"/>
  <c r="O1753" i="8" s="1"/>
  <c r="O1754" i="8" s="1"/>
  <c r="O1755" i="8" s="1"/>
  <c r="O1756" i="8" s="1"/>
  <c r="O1757" i="8" s="1"/>
  <c r="O1758" i="8" s="1"/>
  <c r="O1759" i="8" s="1"/>
  <c r="O1760" i="8" s="1"/>
  <c r="O1761" i="8" s="1"/>
  <c r="O1762" i="8" s="1"/>
  <c r="O1763" i="8" s="1"/>
  <c r="O1764" i="8" s="1"/>
  <c r="O1765" i="8" s="1"/>
  <c r="O1766" i="8" s="1"/>
  <c r="O1767" i="8" s="1"/>
  <c r="O1768" i="8" s="1"/>
  <c r="O1769" i="8" s="1"/>
  <c r="O1770" i="8" s="1"/>
  <c r="O1771" i="8" s="1"/>
  <c r="O1772" i="8" s="1"/>
  <c r="O1773" i="8" s="1"/>
  <c r="O1774" i="8" s="1"/>
  <c r="O1775" i="8" s="1"/>
  <c r="O1776" i="8" s="1"/>
  <c r="O1777" i="8" s="1"/>
  <c r="O1778" i="8" s="1"/>
  <c r="O1779" i="8" s="1"/>
  <c r="O1780" i="8" s="1"/>
  <c r="O1781" i="8" s="1"/>
  <c r="O1782" i="8" s="1"/>
  <c r="O1783" i="8" s="1"/>
  <c r="O1784" i="8" s="1"/>
  <c r="O1785" i="8" s="1"/>
  <c r="O1786" i="8" s="1"/>
  <c r="O1787" i="8" s="1"/>
  <c r="O1788" i="8" s="1"/>
  <c r="O1789" i="8" s="1"/>
  <c r="O1790" i="8" s="1"/>
  <c r="O1791" i="8" s="1"/>
  <c r="O1792" i="8" s="1"/>
  <c r="O1793" i="8" s="1"/>
  <c r="O1794" i="8" s="1"/>
  <c r="O1795" i="8" s="1"/>
  <c r="O1796" i="8" s="1"/>
  <c r="O1797" i="8" s="1"/>
  <c r="O1798" i="8" s="1"/>
  <c r="O1799" i="8" s="1"/>
  <c r="O1800" i="8" s="1"/>
  <c r="O1801" i="8" s="1"/>
  <c r="O1802" i="8" s="1"/>
  <c r="O1803" i="8" s="1"/>
  <c r="O1804" i="8" s="1"/>
  <c r="O1805" i="8" s="1"/>
  <c r="O1806" i="8" s="1"/>
  <c r="O1807" i="8" s="1"/>
  <c r="O1808" i="8" s="1"/>
  <c r="O1809" i="8" s="1"/>
  <c r="O1810" i="8" s="1"/>
  <c r="O1811" i="8" s="1"/>
  <c r="O1812" i="8" s="1"/>
  <c r="O1813" i="8" s="1"/>
  <c r="O1814" i="8" s="1"/>
  <c r="O1815" i="8" s="1"/>
  <c r="O1816" i="8" s="1"/>
  <c r="O1817" i="8" s="1"/>
  <c r="O1818" i="8" s="1"/>
  <c r="O1819" i="8" s="1"/>
  <c r="O1820" i="8" s="1"/>
  <c r="O1821" i="8" s="1"/>
  <c r="O1822" i="8" s="1"/>
  <c r="O1823" i="8" s="1"/>
  <c r="O1824" i="8" s="1"/>
  <c r="O1825" i="8" s="1"/>
  <c r="O1826" i="8" s="1"/>
  <c r="O1827" i="8" s="1"/>
  <c r="O1828" i="8" s="1"/>
  <c r="O1829" i="8" s="1"/>
  <c r="O1830" i="8" s="1"/>
  <c r="O1831" i="8" s="1"/>
  <c r="O1832" i="8" s="1"/>
  <c r="O1833" i="8" s="1"/>
  <c r="O1834" i="8" s="1"/>
  <c r="O1835" i="8" s="1"/>
  <c r="O1836" i="8" s="1"/>
  <c r="O1837" i="8" s="1"/>
  <c r="O1838" i="8" s="1"/>
  <c r="O1839" i="8" s="1"/>
  <c r="O1840" i="8" s="1"/>
  <c r="O1841" i="8" s="1"/>
  <c r="O1842" i="8" s="1"/>
  <c r="O1843" i="8" s="1"/>
  <c r="O1844" i="8" s="1"/>
  <c r="O1845" i="8" s="1"/>
  <c r="O1846" i="8" s="1"/>
  <c r="O1847" i="8" s="1"/>
  <c r="O1848" i="8" s="1"/>
  <c r="O1849" i="8" s="1"/>
  <c r="O1850" i="8" s="1"/>
  <c r="O1851" i="8" s="1"/>
  <c r="O1852" i="8" s="1"/>
  <c r="O1853" i="8" s="1"/>
  <c r="O1854" i="8" s="1"/>
  <c r="O1855" i="8" s="1"/>
  <c r="O1856" i="8" s="1"/>
  <c r="O1857" i="8" s="1"/>
  <c r="O1858" i="8" s="1"/>
  <c r="O1859" i="8" s="1"/>
  <c r="O1860" i="8" s="1"/>
  <c r="O1861" i="8" s="1"/>
  <c r="O1862" i="8" s="1"/>
  <c r="O1863" i="8" s="1"/>
  <c r="O1864" i="8" s="1"/>
  <c r="O1865" i="8" s="1"/>
  <c r="O1866" i="8" s="1"/>
  <c r="O1867" i="8" s="1"/>
  <c r="O1868" i="8" s="1"/>
  <c r="O1869" i="8" s="1"/>
  <c r="O1870" i="8" s="1"/>
  <c r="O1871" i="8" s="1"/>
  <c r="O1872" i="8" s="1"/>
  <c r="O1873" i="8" s="1"/>
  <c r="O1874" i="8" s="1"/>
  <c r="O1875" i="8" s="1"/>
  <c r="O1876" i="8" s="1"/>
  <c r="O1877" i="8" s="1"/>
  <c r="O1878" i="8" s="1"/>
  <c r="O1879" i="8" s="1"/>
  <c r="O1880" i="8" s="1"/>
  <c r="O1881" i="8" s="1"/>
  <c r="O1882" i="8" s="1"/>
  <c r="O1883" i="8" s="1"/>
  <c r="O1884" i="8" s="1"/>
  <c r="O1885" i="8" s="1"/>
  <c r="O1886" i="8" s="1"/>
  <c r="O1887" i="8" s="1"/>
  <c r="O1888" i="8" s="1"/>
  <c r="O1889" i="8" s="1"/>
  <c r="O1890" i="8" s="1"/>
  <c r="O1891" i="8" s="1"/>
  <c r="O1892" i="8" s="1"/>
  <c r="O1893" i="8" s="1"/>
  <c r="O1894" i="8" s="1"/>
  <c r="O1895" i="8" s="1"/>
  <c r="O1896" i="8" s="1"/>
  <c r="O1897" i="8" s="1"/>
  <c r="O1898" i="8" s="1"/>
  <c r="O1899" i="8" s="1"/>
  <c r="O1900" i="8" s="1"/>
  <c r="O1901" i="8" s="1"/>
  <c r="O1902" i="8" s="1"/>
  <c r="O1903" i="8" s="1"/>
  <c r="O1904" i="8" s="1"/>
  <c r="O1905" i="8" s="1"/>
  <c r="O1906" i="8" s="1"/>
  <c r="O1907" i="8" s="1"/>
  <c r="O1908" i="8" s="1"/>
  <c r="O1909" i="8" s="1"/>
  <c r="O1910" i="8" s="1"/>
  <c r="O1911" i="8" s="1"/>
  <c r="O1912" i="8" s="1"/>
  <c r="O1913" i="8" s="1"/>
  <c r="O1914" i="8" s="1"/>
  <c r="O1915" i="8" s="1"/>
  <c r="O1916" i="8" s="1"/>
  <c r="O1917" i="8" s="1"/>
  <c r="O1918" i="8" s="1"/>
  <c r="O1919" i="8" s="1"/>
  <c r="O1920" i="8" s="1"/>
  <c r="O1921" i="8" s="1"/>
  <c r="O1922" i="8" s="1"/>
  <c r="O1923" i="8" s="1"/>
  <c r="O1924" i="8" s="1"/>
  <c r="O1925" i="8" s="1"/>
  <c r="O1926" i="8" s="1"/>
  <c r="O1927" i="8" s="1"/>
  <c r="O1928" i="8" s="1"/>
  <c r="O1929" i="8" s="1"/>
  <c r="O1930" i="8" s="1"/>
  <c r="O1931" i="8" s="1"/>
  <c r="O1932" i="8" s="1"/>
  <c r="O1933" i="8" s="1"/>
  <c r="O1934" i="8" s="1"/>
  <c r="O1935" i="8" s="1"/>
  <c r="O1936" i="8" s="1"/>
  <c r="O1937" i="8" s="1"/>
  <c r="O1938" i="8" s="1"/>
  <c r="O1939" i="8" s="1"/>
  <c r="O1940" i="8" s="1"/>
  <c r="O1941" i="8" s="1"/>
  <c r="O1942" i="8" s="1"/>
  <c r="O1943" i="8" s="1"/>
  <c r="O1944" i="8" s="1"/>
  <c r="O1945" i="8" s="1"/>
  <c r="O1946" i="8" s="1"/>
  <c r="O1947" i="8" s="1"/>
  <c r="O1948" i="8" s="1"/>
  <c r="O1949" i="8" s="1"/>
  <c r="O1950" i="8" s="1"/>
  <c r="O1951" i="8" s="1"/>
  <c r="O1952" i="8" s="1"/>
  <c r="O1953" i="8" s="1"/>
  <c r="O1954" i="8" s="1"/>
  <c r="O1955" i="8" s="1"/>
  <c r="O1956" i="8" s="1"/>
  <c r="O1957" i="8" s="1"/>
  <c r="O1958" i="8" s="1"/>
  <c r="O1959" i="8" s="1"/>
  <c r="O1960" i="8" s="1"/>
  <c r="O1961" i="8" s="1"/>
  <c r="O1962" i="8" s="1"/>
  <c r="O1963" i="8" s="1"/>
  <c r="O1964" i="8" s="1"/>
  <c r="O1965" i="8" s="1"/>
  <c r="O1966" i="8" s="1"/>
  <c r="O1967" i="8" s="1"/>
  <c r="O1968" i="8" s="1"/>
  <c r="O1969" i="8" s="1"/>
  <c r="O1970" i="8" s="1"/>
  <c r="O1971" i="8" s="1"/>
  <c r="O1972" i="8" s="1"/>
  <c r="O1973" i="8" s="1"/>
  <c r="O1974" i="8" s="1"/>
  <c r="O1975" i="8" s="1"/>
  <c r="O1976" i="8" s="1"/>
  <c r="O1977" i="8" s="1"/>
  <c r="O1978" i="8" s="1"/>
  <c r="O1979" i="8" s="1"/>
  <c r="O1980" i="8" s="1"/>
  <c r="O1981" i="8" s="1"/>
  <c r="O1982" i="8" s="1"/>
  <c r="O1983" i="8" s="1"/>
  <c r="O1984" i="8" s="1"/>
  <c r="O1985" i="8" s="1"/>
  <c r="O1986" i="8" s="1"/>
  <c r="O1987" i="8" s="1"/>
  <c r="O1988" i="8" s="1"/>
  <c r="O1989" i="8" s="1"/>
  <c r="O1990" i="8" s="1"/>
  <c r="O1991" i="8" s="1"/>
  <c r="O1992" i="8" s="1"/>
  <c r="O1993" i="8" s="1"/>
  <c r="O1994" i="8" s="1"/>
  <c r="O1995" i="8" s="1"/>
  <c r="O1996" i="8" s="1"/>
  <c r="O1997" i="8" s="1"/>
  <c r="O1998" i="8" s="1"/>
  <c r="O1999" i="8" s="1"/>
  <c r="O2000" i="8" s="1"/>
  <c r="O2001" i="8" s="1"/>
  <c r="O2002" i="8" s="1"/>
  <c r="O2003" i="8" s="1"/>
  <c r="O2004" i="8" s="1"/>
  <c r="O2005" i="8" s="1"/>
  <c r="O2006" i="8" s="1"/>
  <c r="O2007" i="8" s="1"/>
  <c r="O2008" i="8" s="1"/>
  <c r="O2009" i="8" s="1"/>
  <c r="O2010" i="8" s="1"/>
  <c r="O2011" i="8" s="1"/>
  <c r="O2012" i="8" s="1"/>
  <c r="O2013" i="8" s="1"/>
  <c r="O2014" i="8" s="1"/>
  <c r="O2015" i="8" s="1"/>
  <c r="O2016" i="8" s="1"/>
  <c r="O2017" i="8" s="1"/>
  <c r="O2018" i="8" s="1"/>
  <c r="O2019" i="8" s="1"/>
  <c r="O2020" i="8" s="1"/>
  <c r="O2021" i="8" s="1"/>
  <c r="O2022" i="8" s="1"/>
  <c r="O2023" i="8" s="1"/>
  <c r="O2024" i="8" s="1"/>
  <c r="O2025" i="8" s="1"/>
  <c r="O2026" i="8" s="1"/>
  <c r="O2027" i="8" s="1"/>
  <c r="O2028" i="8" s="1"/>
  <c r="O2029" i="8" s="1"/>
  <c r="O2030" i="8" s="1"/>
  <c r="O2031" i="8" s="1"/>
  <c r="O2032" i="8" s="1"/>
  <c r="O2033" i="8" s="1"/>
  <c r="O2034" i="8" s="1"/>
  <c r="O2035" i="8" s="1"/>
  <c r="O2036" i="8" s="1"/>
  <c r="O2037" i="8" s="1"/>
  <c r="O2038" i="8" s="1"/>
  <c r="O2039" i="8" s="1"/>
  <c r="O2040" i="8" s="1"/>
  <c r="O2041" i="8" s="1"/>
  <c r="O2042" i="8" s="1"/>
  <c r="O2043" i="8" s="1"/>
  <c r="O2044" i="8" s="1"/>
  <c r="O2045" i="8" s="1"/>
  <c r="O2046" i="8" s="1"/>
  <c r="O2047" i="8" s="1"/>
  <c r="O2048" i="8" s="1"/>
  <c r="O2049" i="8" s="1"/>
  <c r="O2050" i="8" s="1"/>
  <c r="O2051" i="8" s="1"/>
  <c r="O2052" i="8" s="1"/>
  <c r="O2053" i="8" s="1"/>
  <c r="O2054" i="8" s="1"/>
  <c r="O2055" i="8" s="1"/>
  <c r="O2056" i="8" s="1"/>
  <c r="O2057" i="8" s="1"/>
  <c r="O2058" i="8" s="1"/>
  <c r="O2059" i="8" s="1"/>
  <c r="O2060" i="8" s="1"/>
  <c r="O2061" i="8" s="1"/>
  <c r="O2062" i="8" s="1"/>
  <c r="O2063" i="8" s="1"/>
  <c r="O2064" i="8" s="1"/>
  <c r="O2065" i="8" s="1"/>
  <c r="O2066" i="8" s="1"/>
  <c r="O2067" i="8" s="1"/>
  <c r="O2068" i="8" s="1"/>
  <c r="O2069" i="8" s="1"/>
  <c r="O2070" i="8" s="1"/>
  <c r="O2071" i="8" s="1"/>
  <c r="O2072" i="8" s="1"/>
  <c r="O2073" i="8" s="1"/>
  <c r="O2074" i="8" s="1"/>
  <c r="O2075" i="8" s="1"/>
  <c r="O2076" i="8" s="1"/>
  <c r="O2077" i="8" s="1"/>
  <c r="O2078" i="8" s="1"/>
  <c r="O2079" i="8" s="1"/>
  <c r="O2080" i="8" s="1"/>
  <c r="O2081" i="8" s="1"/>
  <c r="O2082" i="8" s="1"/>
  <c r="O2083" i="8" s="1"/>
  <c r="O2084" i="8" s="1"/>
  <c r="O2085" i="8" s="1"/>
  <c r="O2086" i="8" s="1"/>
  <c r="O2087" i="8" s="1"/>
  <c r="O2088" i="8" s="1"/>
  <c r="O2089" i="8" s="1"/>
  <c r="O2090" i="8" s="1"/>
  <c r="O2091" i="8" s="1"/>
  <c r="O2092" i="8" s="1"/>
  <c r="O2093" i="8" s="1"/>
  <c r="O2094" i="8" s="1"/>
  <c r="O2095" i="8" s="1"/>
  <c r="O2096" i="8" s="1"/>
  <c r="O2097" i="8" s="1"/>
  <c r="O2098" i="8" s="1"/>
  <c r="O2099" i="8" s="1"/>
  <c r="O2100" i="8" s="1"/>
  <c r="O2101" i="8" s="1"/>
  <c r="O2102" i="8" s="1"/>
  <c r="O2103" i="8" s="1"/>
  <c r="O2104" i="8" s="1"/>
  <c r="O2105" i="8" s="1"/>
  <c r="O2106" i="8" s="1"/>
  <c r="O2107" i="8" s="1"/>
  <c r="O2108" i="8" s="1"/>
  <c r="O2109" i="8" s="1"/>
  <c r="O2110" i="8" s="1"/>
  <c r="O2111" i="8" s="1"/>
  <c r="O2112" i="8" s="1"/>
  <c r="O2113" i="8" s="1"/>
  <c r="O2114" i="8" s="1"/>
  <c r="O2115" i="8" s="1"/>
  <c r="O2116" i="8" s="1"/>
  <c r="O2117" i="8" s="1"/>
  <c r="O2118" i="8" s="1"/>
  <c r="O2119" i="8" s="1"/>
  <c r="O2120" i="8" s="1"/>
  <c r="O2121" i="8" s="1"/>
  <c r="O2122" i="8" s="1"/>
  <c r="O2123" i="8" s="1"/>
  <c r="O2124" i="8" s="1"/>
  <c r="O2125" i="8" s="1"/>
  <c r="O2126" i="8" s="1"/>
  <c r="O2127" i="8" s="1"/>
  <c r="O2128" i="8" s="1"/>
  <c r="O2129" i="8" s="1"/>
  <c r="O2130" i="8" s="1"/>
  <c r="O2131" i="8" s="1"/>
  <c r="O2132" i="8" s="1"/>
  <c r="O2133" i="8" s="1"/>
  <c r="O2134" i="8" s="1"/>
  <c r="O2135" i="8" s="1"/>
  <c r="O2136" i="8" s="1"/>
  <c r="O2137" i="8" s="1"/>
  <c r="O2138" i="8" s="1"/>
  <c r="O2139" i="8" s="1"/>
  <c r="O2140" i="8" s="1"/>
  <c r="O2141" i="8" s="1"/>
  <c r="O2142" i="8" s="1"/>
  <c r="O2143" i="8" s="1"/>
  <c r="O2144" i="8" s="1"/>
  <c r="O2145" i="8" s="1"/>
  <c r="O2146" i="8" s="1"/>
  <c r="O2147" i="8" s="1"/>
  <c r="O2148" i="8" s="1"/>
  <c r="O2149" i="8" s="1"/>
  <c r="O2150" i="8" s="1"/>
  <c r="O2151" i="8" s="1"/>
  <c r="O2152" i="8" s="1"/>
  <c r="O2153" i="8" s="1"/>
  <c r="O2154" i="8" s="1"/>
  <c r="O2155" i="8" s="1"/>
  <c r="O2156" i="8" s="1"/>
  <c r="O2157" i="8" s="1"/>
  <c r="O2158" i="8" s="1"/>
  <c r="O2159" i="8" s="1"/>
  <c r="O2160" i="8" s="1"/>
  <c r="O2161" i="8" s="1"/>
  <c r="O2162" i="8" s="1"/>
  <c r="O2163" i="8" s="1"/>
  <c r="O2164" i="8" s="1"/>
  <c r="O2165" i="8" s="1"/>
  <c r="O2166" i="8" s="1"/>
  <c r="O2167" i="8" s="1"/>
  <c r="O2168" i="8" s="1"/>
  <c r="O2169" i="8" s="1"/>
  <c r="O2170" i="8" s="1"/>
  <c r="O2171" i="8" s="1"/>
  <c r="O2172" i="8" s="1"/>
  <c r="O2173" i="8" s="1"/>
  <c r="O2174" i="8" s="1"/>
  <c r="O2175" i="8" s="1"/>
  <c r="O2176" i="8" s="1"/>
  <c r="O2177" i="8" s="1"/>
  <c r="O2178" i="8" s="1"/>
  <c r="O2179" i="8" s="1"/>
  <c r="O2180" i="8" s="1"/>
  <c r="O2181" i="8" s="1"/>
  <c r="O2182" i="8" s="1"/>
  <c r="O2183" i="8" s="1"/>
  <c r="O2184" i="8" s="1"/>
  <c r="O2185" i="8" s="1"/>
  <c r="O2186" i="8" s="1"/>
  <c r="O2187" i="8" s="1"/>
  <c r="O2188" i="8" s="1"/>
  <c r="O2189" i="8" s="1"/>
  <c r="O2190" i="8" s="1"/>
  <c r="O2191" i="8" s="1"/>
  <c r="O2192" i="8" s="1"/>
  <c r="O2193" i="8" s="1"/>
  <c r="O2194" i="8" s="1"/>
  <c r="O2195" i="8" s="1"/>
  <c r="O2196" i="8" s="1"/>
  <c r="O2197" i="8" s="1"/>
  <c r="O2198" i="8" s="1"/>
  <c r="O2199" i="8" s="1"/>
  <c r="O2200" i="8" s="1"/>
  <c r="O2201" i="8" s="1"/>
  <c r="O2202" i="8" s="1"/>
  <c r="O2203" i="8" s="1"/>
  <c r="O2204" i="8" s="1"/>
  <c r="O2205" i="8" s="1"/>
  <c r="O2206" i="8" s="1"/>
  <c r="O2207" i="8" s="1"/>
  <c r="O2208" i="8" s="1"/>
  <c r="O2209" i="8" s="1"/>
  <c r="O2210" i="8" s="1"/>
  <c r="O2211" i="8" s="1"/>
  <c r="O2212" i="8" s="1"/>
  <c r="O2213" i="8" s="1"/>
  <c r="O2214" i="8" s="1"/>
  <c r="O2215" i="8" s="1"/>
  <c r="O2216" i="8" s="1"/>
  <c r="O2217" i="8" s="1"/>
  <c r="O2218" i="8" s="1"/>
  <c r="O2219" i="8" s="1"/>
  <c r="O2220" i="8" s="1"/>
  <c r="O2221" i="8" s="1"/>
  <c r="O2222" i="8" s="1"/>
  <c r="O2223" i="8" s="1"/>
  <c r="O2224" i="8" s="1"/>
  <c r="O2225" i="8" s="1"/>
  <c r="O2226" i="8" s="1"/>
  <c r="O2227" i="8" s="1"/>
  <c r="O2228" i="8" s="1"/>
  <c r="O2229" i="8" s="1"/>
  <c r="O2230" i="8" s="1"/>
  <c r="O2231" i="8" s="1"/>
  <c r="O2232" i="8" s="1"/>
  <c r="O2233" i="8" s="1"/>
  <c r="O2234" i="8" s="1"/>
  <c r="O2235" i="8" s="1"/>
  <c r="O2236" i="8" s="1"/>
  <c r="O2237" i="8" s="1"/>
  <c r="O2238" i="8" s="1"/>
  <c r="O2239" i="8" s="1"/>
  <c r="O2240" i="8" s="1"/>
  <c r="O2241" i="8" s="1"/>
  <c r="O2242" i="8" s="1"/>
  <c r="O2243" i="8" s="1"/>
  <c r="O2244" i="8" s="1"/>
  <c r="O2245" i="8" s="1"/>
  <c r="O2246" i="8" s="1"/>
  <c r="O2247" i="8" s="1"/>
  <c r="O2248" i="8" s="1"/>
  <c r="O2249" i="8" s="1"/>
  <c r="O2250" i="8" s="1"/>
  <c r="O2251" i="8" s="1"/>
  <c r="O2252" i="8" s="1"/>
  <c r="O2253" i="8" s="1"/>
  <c r="O2254" i="8" s="1"/>
  <c r="O2255" i="8" s="1"/>
  <c r="O2256" i="8" s="1"/>
  <c r="O2257" i="8" s="1"/>
  <c r="O2258" i="8" s="1"/>
  <c r="O2259" i="8" s="1"/>
  <c r="O2260" i="8" s="1"/>
  <c r="O2261" i="8" s="1"/>
  <c r="O2262" i="8" s="1"/>
  <c r="O2263" i="8" s="1"/>
  <c r="O2264" i="8" s="1"/>
  <c r="O2265" i="8" s="1"/>
  <c r="O2266" i="8" s="1"/>
  <c r="O2267" i="8" s="1"/>
  <c r="O2268" i="8" s="1"/>
  <c r="O2269" i="8" s="1"/>
  <c r="O2270" i="8" s="1"/>
  <c r="O2271" i="8" s="1"/>
  <c r="O2272" i="8" s="1"/>
  <c r="O2273" i="8" s="1"/>
  <c r="O2274" i="8" s="1"/>
  <c r="O2275" i="8" s="1"/>
  <c r="O2276" i="8" s="1"/>
  <c r="O2277" i="8" s="1"/>
  <c r="O2278" i="8" s="1"/>
  <c r="O2279" i="8" s="1"/>
  <c r="O2280" i="8" s="1"/>
  <c r="O2281" i="8" s="1"/>
  <c r="O2282" i="8" s="1"/>
  <c r="O2283" i="8" s="1"/>
  <c r="O2284" i="8" s="1"/>
  <c r="O2285" i="8" s="1"/>
  <c r="O2286" i="8" s="1"/>
  <c r="O2287" i="8" s="1"/>
  <c r="O2288" i="8" s="1"/>
  <c r="O2289" i="8" s="1"/>
  <c r="O2290" i="8" s="1"/>
  <c r="O2291" i="8" s="1"/>
  <c r="O2292" i="8" s="1"/>
  <c r="O2293" i="8" s="1"/>
  <c r="O2294" i="8" s="1"/>
  <c r="O2295" i="8" s="1"/>
  <c r="O2296" i="8" s="1"/>
  <c r="O2297" i="8" s="1"/>
  <c r="O2298" i="8" s="1"/>
  <c r="O2299" i="8" s="1"/>
  <c r="O2300" i="8" s="1"/>
  <c r="O2301" i="8" s="1"/>
  <c r="O2302" i="8" s="1"/>
  <c r="O2303" i="8" s="1"/>
  <c r="O2304" i="8" s="1"/>
  <c r="O2305" i="8" s="1"/>
  <c r="O2306" i="8" s="1"/>
  <c r="O2307" i="8" s="1"/>
  <c r="O2308" i="8" s="1"/>
  <c r="O2309" i="8" s="1"/>
  <c r="O2310" i="8" s="1"/>
  <c r="O2311" i="8" s="1"/>
  <c r="O2312" i="8" s="1"/>
  <c r="O2313" i="8" s="1"/>
  <c r="O2314" i="8" s="1"/>
  <c r="O2315" i="8" s="1"/>
  <c r="O2316" i="8" s="1"/>
  <c r="O2317" i="8" s="1"/>
  <c r="O2318" i="8" s="1"/>
  <c r="O2319" i="8" s="1"/>
  <c r="O2320" i="8" s="1"/>
  <c r="O2321" i="8" s="1"/>
  <c r="O2322" i="8" s="1"/>
  <c r="O2323" i="8" s="1"/>
  <c r="O2324" i="8" s="1"/>
  <c r="O2325" i="8" s="1"/>
  <c r="O2326" i="8" s="1"/>
  <c r="O2327" i="8" s="1"/>
  <c r="O2328" i="8" s="1"/>
  <c r="O2329" i="8" s="1"/>
  <c r="O2330" i="8" s="1"/>
  <c r="O2331" i="8" s="1"/>
  <c r="O2332" i="8" s="1"/>
  <c r="O2333" i="8" s="1"/>
  <c r="O2334" i="8" s="1"/>
  <c r="O2335" i="8" s="1"/>
  <c r="O2336" i="8" s="1"/>
  <c r="O2337" i="8" s="1"/>
  <c r="O2338" i="8" s="1"/>
  <c r="O2339" i="8" s="1"/>
  <c r="O2340" i="8" s="1"/>
  <c r="O2341" i="8" s="1"/>
  <c r="O2342" i="8" s="1"/>
  <c r="O2343" i="8" s="1"/>
  <c r="O2344" i="8" s="1"/>
  <c r="O2345" i="8" s="1"/>
  <c r="O2346" i="8" s="1"/>
  <c r="O2347" i="8" s="1"/>
  <c r="O2348" i="8" s="1"/>
  <c r="O2349" i="8" s="1"/>
  <c r="O2350" i="8" s="1"/>
  <c r="O2351" i="8" s="1"/>
  <c r="O2352" i="8" s="1"/>
  <c r="O2353" i="8" s="1"/>
  <c r="O2354" i="8" s="1"/>
  <c r="O2355" i="8" s="1"/>
  <c r="O2356" i="8" s="1"/>
  <c r="O2357" i="8" s="1"/>
  <c r="O2358" i="8" s="1"/>
  <c r="O2359" i="8" s="1"/>
  <c r="O2360" i="8" s="1"/>
  <c r="O2361" i="8" s="1"/>
  <c r="O2362" i="8" s="1"/>
  <c r="O2363" i="8" s="1"/>
  <c r="O2364" i="8" s="1"/>
  <c r="O2365" i="8" s="1"/>
  <c r="O2366" i="8" s="1"/>
  <c r="O2367" i="8" s="1"/>
  <c r="O2368" i="8" s="1"/>
  <c r="O2369" i="8" s="1"/>
  <c r="O2370" i="8" s="1"/>
  <c r="O2371" i="8" s="1"/>
  <c r="O2372" i="8" s="1"/>
  <c r="O2373" i="8" s="1"/>
  <c r="O2374" i="8" s="1"/>
  <c r="O2375" i="8" s="1"/>
  <c r="O2376" i="8" s="1"/>
  <c r="O2377" i="8" s="1"/>
  <c r="O2378" i="8" s="1"/>
  <c r="O2379" i="8" s="1"/>
  <c r="O2380" i="8" s="1"/>
  <c r="O2381" i="8" s="1"/>
  <c r="O2382" i="8" s="1"/>
  <c r="O2383" i="8" s="1"/>
  <c r="O2384" i="8" s="1"/>
  <c r="O2385" i="8" s="1"/>
  <c r="O2386" i="8" s="1"/>
  <c r="O2387" i="8" s="1"/>
  <c r="O2388" i="8" s="1"/>
  <c r="O2389" i="8" s="1"/>
  <c r="O2390" i="8" s="1"/>
  <c r="O2391" i="8" s="1"/>
  <c r="O2392" i="8" s="1"/>
  <c r="O2393" i="8" s="1"/>
  <c r="O2394" i="8" s="1"/>
  <c r="O2395" i="8" s="1"/>
  <c r="O2396" i="8" s="1"/>
  <c r="O2397" i="8" s="1"/>
  <c r="O2398" i="8" s="1"/>
  <c r="O2399" i="8" s="1"/>
  <c r="O2400" i="8" s="1"/>
  <c r="O2401" i="8" s="1"/>
  <c r="O2402" i="8" s="1"/>
  <c r="O2403" i="8" s="1"/>
  <c r="O2404" i="8" s="1"/>
  <c r="O2405" i="8" s="1"/>
  <c r="O2406" i="8" s="1"/>
  <c r="O2407" i="8" s="1"/>
  <c r="O2408" i="8" s="1"/>
  <c r="O2409" i="8" s="1"/>
  <c r="O2410" i="8" s="1"/>
  <c r="O2411" i="8" s="1"/>
  <c r="O2412" i="8" s="1"/>
  <c r="O2413" i="8" s="1"/>
  <c r="O2414" i="8" s="1"/>
  <c r="O2415" i="8" s="1"/>
  <c r="O2416" i="8" s="1"/>
  <c r="O2417" i="8" s="1"/>
  <c r="O2418" i="8" s="1"/>
  <c r="O2419" i="8" s="1"/>
  <c r="O2420" i="8" s="1"/>
  <c r="O2421" i="8" s="1"/>
  <c r="O2422" i="8" s="1"/>
  <c r="O2423" i="8" s="1"/>
  <c r="O2424" i="8" s="1"/>
  <c r="O2425" i="8" s="1"/>
  <c r="O2426" i="8" s="1"/>
  <c r="O2427" i="8" s="1"/>
  <c r="O2428" i="8" s="1"/>
  <c r="O2429" i="8" s="1"/>
  <c r="O2430" i="8" s="1"/>
  <c r="O2431" i="8" s="1"/>
  <c r="O2432" i="8" s="1"/>
  <c r="O2433" i="8" s="1"/>
  <c r="O2434" i="8" s="1"/>
  <c r="O2435" i="8" s="1"/>
  <c r="O2436" i="8" s="1"/>
  <c r="O2437" i="8" s="1"/>
  <c r="O2438" i="8" s="1"/>
  <c r="O2439" i="8" s="1"/>
  <c r="O2440" i="8" s="1"/>
  <c r="O2441" i="8" s="1"/>
  <c r="O2442" i="8" s="1"/>
  <c r="O2443" i="8" s="1"/>
  <c r="O2444" i="8" s="1"/>
  <c r="O2445" i="8" s="1"/>
  <c r="O2446" i="8" s="1"/>
  <c r="O2447" i="8" s="1"/>
  <c r="O2448" i="8" s="1"/>
  <c r="O2449" i="8" s="1"/>
  <c r="O2450" i="8" s="1"/>
  <c r="O2451" i="8" s="1"/>
  <c r="O2452" i="8" s="1"/>
  <c r="O2453" i="8" s="1"/>
  <c r="O2454" i="8" s="1"/>
  <c r="O2455" i="8" s="1"/>
  <c r="O2456" i="8" s="1"/>
  <c r="O2457" i="8" s="1"/>
  <c r="O2458" i="8" s="1"/>
  <c r="O2459" i="8" s="1"/>
  <c r="O2460" i="8" s="1"/>
  <c r="O2461" i="8" s="1"/>
  <c r="O2462" i="8" s="1"/>
  <c r="O2463" i="8" s="1"/>
  <c r="O2464" i="8" s="1"/>
  <c r="O2465" i="8" s="1"/>
  <c r="O2466" i="8" s="1"/>
  <c r="O2467" i="8" s="1"/>
  <c r="O2468" i="8" s="1"/>
  <c r="O2469" i="8" s="1"/>
  <c r="O2470" i="8" s="1"/>
  <c r="O2471" i="8" s="1"/>
  <c r="O2472" i="8" s="1"/>
  <c r="O2473" i="8" s="1"/>
  <c r="O2474" i="8" s="1"/>
  <c r="O2475" i="8" s="1"/>
  <c r="O2476" i="8" s="1"/>
  <c r="O2477" i="8" s="1"/>
  <c r="O2478" i="8" s="1"/>
  <c r="O2479" i="8" s="1"/>
  <c r="O2480" i="8" s="1"/>
  <c r="O2481" i="8" s="1"/>
  <c r="O2482" i="8" s="1"/>
  <c r="O2483" i="8" s="1"/>
  <c r="O2484" i="8" s="1"/>
  <c r="O2485" i="8" s="1"/>
  <c r="O2486" i="8" s="1"/>
  <c r="O2487" i="8" s="1"/>
  <c r="O2488" i="8" s="1"/>
  <c r="O2489" i="8" s="1"/>
  <c r="O2490" i="8" s="1"/>
  <c r="O2491" i="8" s="1"/>
  <c r="O2492" i="8" s="1"/>
  <c r="O2493" i="8" s="1"/>
  <c r="O2494" i="8" s="1"/>
  <c r="O2495" i="8" s="1"/>
  <c r="O2496" i="8" s="1"/>
  <c r="O2497" i="8" s="1"/>
  <c r="O2498" i="8" s="1"/>
  <c r="O2499" i="8" s="1"/>
  <c r="O2500" i="8" s="1"/>
  <c r="O2501" i="8" s="1"/>
  <c r="O2502" i="8" s="1"/>
  <c r="O2503" i="8" s="1"/>
  <c r="O2504" i="8" s="1"/>
  <c r="O2505" i="8" s="1"/>
  <c r="O2506" i="8" s="1"/>
  <c r="O2507" i="8" s="1"/>
  <c r="O2508" i="8" s="1"/>
  <c r="O2509" i="8" s="1"/>
  <c r="O2510" i="8" s="1"/>
  <c r="O2511" i="8" s="1"/>
  <c r="O2512" i="8" s="1"/>
  <c r="O2513" i="8" s="1"/>
  <c r="O2514" i="8" s="1"/>
  <c r="O2515" i="8" s="1"/>
  <c r="O2516" i="8" s="1"/>
  <c r="O2517" i="8" s="1"/>
  <c r="O2518" i="8" s="1"/>
  <c r="O2519" i="8" s="1"/>
  <c r="O2520" i="8" s="1"/>
  <c r="O2521" i="8" s="1"/>
  <c r="O2522" i="8" s="1"/>
  <c r="O2523" i="8" s="1"/>
  <c r="O2524" i="8" s="1"/>
  <c r="O2525" i="8" s="1"/>
  <c r="O2526" i="8" s="1"/>
  <c r="O2527" i="8" s="1"/>
  <c r="O2528" i="8" s="1"/>
  <c r="O2529" i="8" s="1"/>
  <c r="O2530" i="8" s="1"/>
  <c r="O2531" i="8" s="1"/>
  <c r="O2532" i="8" s="1"/>
  <c r="O2533" i="8" s="1"/>
  <c r="O2534" i="8" s="1"/>
  <c r="O2535" i="8" s="1"/>
  <c r="O2536" i="8" s="1"/>
  <c r="O2537" i="8" s="1"/>
  <c r="O2538" i="8" s="1"/>
  <c r="O2539" i="8" s="1"/>
  <c r="O2540" i="8" s="1"/>
  <c r="O2541" i="8" s="1"/>
  <c r="O2542" i="8" s="1"/>
  <c r="O2543" i="8" s="1"/>
  <c r="O2544" i="8" s="1"/>
  <c r="O2545" i="8" s="1"/>
  <c r="O2546" i="8" s="1"/>
  <c r="O2547" i="8" s="1"/>
  <c r="O2548" i="8" s="1"/>
  <c r="O2549" i="8" s="1"/>
  <c r="O2550" i="8" s="1"/>
  <c r="O2551" i="8" s="1"/>
  <c r="O2552" i="8" s="1"/>
  <c r="O2553" i="8" s="1"/>
  <c r="O2554" i="8" s="1"/>
  <c r="O2555" i="8" s="1"/>
  <c r="O2556" i="8" s="1"/>
  <c r="O2557" i="8" s="1"/>
  <c r="O2558" i="8" s="1"/>
  <c r="O2559" i="8" s="1"/>
  <c r="O2560" i="8" s="1"/>
  <c r="O2561" i="8" s="1"/>
  <c r="O2562" i="8" s="1"/>
  <c r="O2563" i="8" s="1"/>
  <c r="O2564" i="8" s="1"/>
  <c r="O2565" i="8" s="1"/>
  <c r="O2566" i="8" s="1"/>
  <c r="O2567" i="8" s="1"/>
  <c r="O2568" i="8" s="1"/>
  <c r="O2569" i="8" s="1"/>
  <c r="O2570" i="8" s="1"/>
  <c r="O2571" i="8" s="1"/>
  <c r="O2572" i="8" s="1"/>
  <c r="O2573" i="8" s="1"/>
  <c r="O2574" i="8" s="1"/>
  <c r="O2575" i="8" s="1"/>
  <c r="O2576" i="8" s="1"/>
  <c r="O2577" i="8" s="1"/>
  <c r="O2578" i="8" s="1"/>
  <c r="O2579" i="8" s="1"/>
  <c r="O2580" i="8" s="1"/>
  <c r="O2581" i="8" s="1"/>
  <c r="O2582" i="8" s="1"/>
  <c r="O2583" i="8" s="1"/>
  <c r="O2584" i="8" s="1"/>
  <c r="O2585" i="8" s="1"/>
  <c r="O2586" i="8" s="1"/>
  <c r="O2587" i="8" s="1"/>
  <c r="O2588" i="8" s="1"/>
  <c r="O2589" i="8" s="1"/>
  <c r="O2590" i="8" s="1"/>
  <c r="O2591" i="8" s="1"/>
  <c r="O2592" i="8" s="1"/>
  <c r="O2593" i="8" s="1"/>
  <c r="O2594" i="8" s="1"/>
  <c r="O2595" i="8" s="1"/>
  <c r="O2596" i="8" s="1"/>
  <c r="O2597" i="8" s="1"/>
  <c r="O2598" i="8" s="1"/>
  <c r="O2599" i="8" s="1"/>
  <c r="O2600" i="8" s="1"/>
  <c r="O2601" i="8" s="1"/>
  <c r="O2602" i="8" s="1"/>
  <c r="O2603" i="8" s="1"/>
  <c r="O2604" i="8" s="1"/>
  <c r="O2605" i="8" s="1"/>
  <c r="O2606" i="8" s="1"/>
  <c r="O2607" i="8" s="1"/>
  <c r="O2608" i="8" s="1"/>
  <c r="O2609" i="8" s="1"/>
  <c r="O2610" i="8" s="1"/>
  <c r="O2611" i="8" s="1"/>
  <c r="O2612" i="8" s="1"/>
  <c r="O2613" i="8" s="1"/>
  <c r="O2614" i="8" s="1"/>
  <c r="O2615" i="8" s="1"/>
  <c r="O2616" i="8" s="1"/>
  <c r="O2617" i="8" s="1"/>
  <c r="O2618" i="8" s="1"/>
  <c r="O2619" i="8" s="1"/>
  <c r="O2620" i="8" s="1"/>
  <c r="O2621" i="8" s="1"/>
  <c r="O2622" i="8" s="1"/>
  <c r="O2623" i="8" s="1"/>
  <c r="O2624" i="8" s="1"/>
  <c r="O2625" i="8" s="1"/>
  <c r="O2626" i="8" s="1"/>
  <c r="O2627" i="8" s="1"/>
  <c r="O2628" i="8" s="1"/>
  <c r="O2629" i="8" s="1"/>
  <c r="O2630" i="8" s="1"/>
  <c r="O2631" i="8" s="1"/>
  <c r="O2632" i="8" s="1"/>
  <c r="O2633" i="8" s="1"/>
  <c r="O2634" i="8" s="1"/>
  <c r="O2635" i="8" s="1"/>
  <c r="O2636" i="8" s="1"/>
  <c r="O2637" i="8" s="1"/>
  <c r="O2638" i="8" s="1"/>
  <c r="O2639" i="8" s="1"/>
  <c r="O2640" i="8" s="1"/>
  <c r="O2641" i="8" s="1"/>
  <c r="O2642" i="8" s="1"/>
  <c r="O2643" i="8" s="1"/>
  <c r="O2644" i="8" s="1"/>
  <c r="O2645" i="8" s="1"/>
  <c r="O2646" i="8" s="1"/>
  <c r="O2647" i="8" s="1"/>
  <c r="O2648" i="8" s="1"/>
  <c r="O2649" i="8" s="1"/>
  <c r="O2650" i="8" s="1"/>
  <c r="O2651" i="8" s="1"/>
  <c r="O2652" i="8" s="1"/>
  <c r="O2653" i="8" s="1"/>
  <c r="O2654" i="8" s="1"/>
  <c r="O2655" i="8" s="1"/>
  <c r="O2656" i="8" s="1"/>
  <c r="O2657" i="8" s="1"/>
  <c r="O2658" i="8" s="1"/>
  <c r="O2659" i="8" s="1"/>
  <c r="O2660" i="8" s="1"/>
  <c r="O2661" i="8" s="1"/>
  <c r="O2662" i="8" s="1"/>
  <c r="O2663" i="8" s="1"/>
  <c r="O2664" i="8" s="1"/>
  <c r="O2665" i="8" s="1"/>
  <c r="O2666" i="8" s="1"/>
  <c r="O2667" i="8" s="1"/>
  <c r="O2668" i="8" s="1"/>
  <c r="O2669" i="8" s="1"/>
  <c r="O2670" i="8" s="1"/>
  <c r="O2671" i="8" s="1"/>
  <c r="O2672" i="8" s="1"/>
  <c r="O2673" i="8" s="1"/>
  <c r="O2674" i="8" s="1"/>
  <c r="O2675" i="8" s="1"/>
  <c r="O2676" i="8" s="1"/>
  <c r="O2677" i="8" s="1"/>
  <c r="O2678" i="8" s="1"/>
  <c r="O2679" i="8" s="1"/>
  <c r="O2680" i="8" s="1"/>
  <c r="O2681" i="8" s="1"/>
  <c r="O2682" i="8" s="1"/>
  <c r="O2683" i="8" s="1"/>
  <c r="O2684" i="8" s="1"/>
  <c r="O2685" i="8" s="1"/>
  <c r="O2686" i="8" s="1"/>
  <c r="O2687" i="8" s="1"/>
  <c r="O2688" i="8" s="1"/>
  <c r="O2689" i="8" s="1"/>
  <c r="O2690" i="8" s="1"/>
  <c r="O2691" i="8" s="1"/>
  <c r="O2692" i="8" s="1"/>
  <c r="O2693" i="8" s="1"/>
  <c r="O2694" i="8" s="1"/>
  <c r="O2695" i="8" s="1"/>
  <c r="O2696" i="8" s="1"/>
  <c r="O2697" i="8" s="1"/>
  <c r="O2698" i="8" s="1"/>
  <c r="O2699" i="8" s="1"/>
  <c r="O2700" i="8" s="1"/>
  <c r="O2701" i="8" s="1"/>
  <c r="O2702" i="8" s="1"/>
  <c r="O2703" i="8" s="1"/>
  <c r="O2704" i="8" s="1"/>
  <c r="O2705" i="8" s="1"/>
  <c r="O2706" i="8" s="1"/>
  <c r="O2707" i="8" s="1"/>
  <c r="O2708" i="8" s="1"/>
  <c r="O2709" i="8" s="1"/>
  <c r="O2710" i="8" s="1"/>
  <c r="O2711" i="8" s="1"/>
  <c r="O2712" i="8" s="1"/>
  <c r="O2713" i="8" s="1"/>
  <c r="O2714" i="8" s="1"/>
  <c r="O2715" i="8" s="1"/>
  <c r="O2716" i="8" s="1"/>
  <c r="O2717" i="8" s="1"/>
  <c r="O2718" i="8" s="1"/>
  <c r="O2719" i="8" s="1"/>
  <c r="O2720" i="8" s="1"/>
  <c r="O2721" i="8" s="1"/>
  <c r="O2722" i="8" s="1"/>
  <c r="O2723" i="8" s="1"/>
  <c r="O2724" i="8" s="1"/>
  <c r="O2725" i="8" s="1"/>
  <c r="O2726" i="8" s="1"/>
  <c r="O2727" i="8" s="1"/>
  <c r="O2728" i="8" s="1"/>
  <c r="O2729" i="8" s="1"/>
  <c r="O2730" i="8" s="1"/>
  <c r="O2731" i="8" s="1"/>
  <c r="O2732" i="8" s="1"/>
  <c r="O2733" i="8" s="1"/>
  <c r="O2734" i="8" s="1"/>
  <c r="O2735" i="8" s="1"/>
  <c r="O2736" i="8" s="1"/>
  <c r="O2737" i="8" s="1"/>
  <c r="O2738" i="8" s="1"/>
  <c r="O2739" i="8" s="1"/>
  <c r="O2740" i="8" s="1"/>
  <c r="O2741" i="8" s="1"/>
  <c r="O2742" i="8" s="1"/>
  <c r="O2743" i="8" s="1"/>
  <c r="O2744" i="8" s="1"/>
  <c r="O2745" i="8" s="1"/>
  <c r="O2746" i="8" s="1"/>
  <c r="O2747" i="8" s="1"/>
  <c r="O2748" i="8" s="1"/>
  <c r="O2749" i="8" s="1"/>
  <c r="O2750" i="8" s="1"/>
  <c r="O2751" i="8" s="1"/>
  <c r="O2752" i="8" s="1"/>
  <c r="O2753" i="8" s="1"/>
  <c r="O2754" i="8" s="1"/>
  <c r="O2755" i="8" s="1"/>
  <c r="O2756" i="8" s="1"/>
  <c r="O2757" i="8" s="1"/>
  <c r="O2758" i="8" s="1"/>
  <c r="O2759" i="8" s="1"/>
  <c r="O2760" i="8" s="1"/>
  <c r="O2761" i="8" s="1"/>
  <c r="O2762" i="8" s="1"/>
  <c r="O2763" i="8" s="1"/>
  <c r="O2764" i="8" s="1"/>
  <c r="O2765" i="8" s="1"/>
  <c r="O2766" i="8" s="1"/>
  <c r="O2767" i="8" s="1"/>
  <c r="O2768" i="8" s="1"/>
  <c r="O2769" i="8" s="1"/>
  <c r="O2770" i="8" s="1"/>
  <c r="O2771" i="8" s="1"/>
  <c r="O2772" i="8" s="1"/>
  <c r="O2773" i="8" s="1"/>
  <c r="O2774" i="8" s="1"/>
  <c r="O2775" i="8" s="1"/>
  <c r="O2776" i="8" s="1"/>
  <c r="O2777" i="8" s="1"/>
  <c r="O2778" i="8" s="1"/>
  <c r="O2779" i="8" s="1"/>
  <c r="O2780" i="8" s="1"/>
  <c r="O2781" i="8" s="1"/>
  <c r="O2782" i="8" s="1"/>
  <c r="O2783" i="8" s="1"/>
  <c r="O2784" i="8" s="1"/>
  <c r="O2785" i="8" s="1"/>
  <c r="O2786" i="8" s="1"/>
  <c r="O2787" i="8" s="1"/>
  <c r="O2788" i="8" s="1"/>
  <c r="O2789" i="8" s="1"/>
  <c r="O2790" i="8" s="1"/>
  <c r="O2791" i="8" s="1"/>
  <c r="O2792" i="8" s="1"/>
  <c r="O2793" i="8" s="1"/>
  <c r="O2794" i="8" s="1"/>
  <c r="O2795" i="8" s="1"/>
  <c r="O2796" i="8" s="1"/>
  <c r="O2797" i="8" s="1"/>
  <c r="O2798" i="8" s="1"/>
  <c r="O2799" i="8" s="1"/>
  <c r="O2800" i="8" s="1"/>
  <c r="O2801" i="8" s="1"/>
  <c r="O2802" i="8" s="1"/>
  <c r="O2803" i="8" s="1"/>
  <c r="O2804" i="8" s="1"/>
  <c r="O2805" i="8" s="1"/>
  <c r="O2806" i="8" s="1"/>
  <c r="O2807" i="8" s="1"/>
  <c r="O2808" i="8" s="1"/>
  <c r="O2809" i="8" s="1"/>
  <c r="O2810" i="8" s="1"/>
  <c r="O2811" i="8" s="1"/>
  <c r="O2812" i="8" s="1"/>
  <c r="O2813" i="8" s="1"/>
  <c r="O2814" i="8" s="1"/>
  <c r="O2815" i="8" s="1"/>
  <c r="O2816" i="8" s="1"/>
  <c r="O2817" i="8" s="1"/>
  <c r="O2818" i="8" s="1"/>
  <c r="O2819" i="8" s="1"/>
  <c r="O2820" i="8" s="1"/>
  <c r="O2821" i="8" s="1"/>
  <c r="O2822" i="8" s="1"/>
  <c r="O2823" i="8" s="1"/>
  <c r="O2824" i="8" s="1"/>
  <c r="O2825" i="8" s="1"/>
  <c r="O2826" i="8" s="1"/>
  <c r="O2827" i="8" s="1"/>
  <c r="O2828" i="8" s="1"/>
  <c r="O2829" i="8" s="1"/>
  <c r="O2830" i="8" s="1"/>
  <c r="O2831" i="8" s="1"/>
  <c r="O2832" i="8" s="1"/>
  <c r="O2833" i="8" s="1"/>
  <c r="O2834" i="8" s="1"/>
  <c r="O2835" i="8" s="1"/>
  <c r="O2836" i="8" s="1"/>
  <c r="O2837" i="8" s="1"/>
  <c r="O2838" i="8" s="1"/>
  <c r="O2839" i="8" s="1"/>
  <c r="O2840" i="8" s="1"/>
  <c r="O2841" i="8" s="1"/>
  <c r="O2842" i="8" s="1"/>
  <c r="O2843" i="8" s="1"/>
  <c r="O2844" i="8" s="1"/>
  <c r="O2845" i="8" s="1"/>
  <c r="O2846" i="8" s="1"/>
  <c r="O2847" i="8" s="1"/>
  <c r="O2848" i="8" s="1"/>
  <c r="O2849" i="8" s="1"/>
  <c r="O2850" i="8" s="1"/>
  <c r="O2851" i="8" s="1"/>
  <c r="O2852" i="8" s="1"/>
  <c r="O2853" i="8" s="1"/>
  <c r="O2854" i="8" s="1"/>
  <c r="O2855" i="8" s="1"/>
  <c r="O2856" i="8" s="1"/>
  <c r="O2857" i="8" s="1"/>
  <c r="O2858" i="8" s="1"/>
  <c r="O2859" i="8" s="1"/>
  <c r="O2860" i="8" s="1"/>
  <c r="O2861" i="8" s="1"/>
  <c r="O2862" i="8" s="1"/>
  <c r="O2863" i="8" s="1"/>
  <c r="O2864" i="8" s="1"/>
  <c r="O2865" i="8" s="1"/>
  <c r="O2866" i="8" s="1"/>
  <c r="O2867" i="8" s="1"/>
  <c r="O2868" i="8" s="1"/>
  <c r="O2869" i="8" s="1"/>
  <c r="O2870" i="8" s="1"/>
  <c r="O2871" i="8" s="1"/>
  <c r="O2872" i="8" s="1"/>
  <c r="O2873" i="8" s="1"/>
  <c r="O2874" i="8" s="1"/>
  <c r="O2875" i="8" s="1"/>
  <c r="O2876" i="8" s="1"/>
  <c r="O2877" i="8" s="1"/>
  <c r="O2878" i="8" s="1"/>
  <c r="O2879" i="8" s="1"/>
  <c r="O2880" i="8" s="1"/>
  <c r="O2881" i="8" s="1"/>
  <c r="O2882" i="8" s="1"/>
  <c r="O2883" i="8" s="1"/>
  <c r="O2884" i="8" s="1"/>
  <c r="O2885" i="8" s="1"/>
  <c r="O2886" i="8" s="1"/>
  <c r="O2887" i="8" s="1"/>
  <c r="O2888" i="8" s="1"/>
  <c r="O2889" i="8" s="1"/>
  <c r="O2890" i="8" s="1"/>
  <c r="O2891" i="8" s="1"/>
  <c r="O2892" i="8" s="1"/>
  <c r="O2893" i="8" s="1"/>
  <c r="O2894" i="8" s="1"/>
  <c r="O2895" i="8" s="1"/>
  <c r="O2896" i="8" s="1"/>
  <c r="O2897" i="8" s="1"/>
  <c r="O2898" i="8" s="1"/>
  <c r="O2899" i="8" s="1"/>
  <c r="O2900" i="8" s="1"/>
  <c r="O2901" i="8" s="1"/>
  <c r="O2902" i="8" s="1"/>
  <c r="O2903" i="8" s="1"/>
  <c r="O2904" i="8" s="1"/>
  <c r="O2905" i="8" s="1"/>
  <c r="O2906" i="8" s="1"/>
  <c r="O2907" i="8" s="1"/>
  <c r="O2908" i="8" s="1"/>
  <c r="O2909" i="8" s="1"/>
  <c r="O2910" i="8" s="1"/>
  <c r="O2911" i="8" s="1"/>
  <c r="O2912" i="8" s="1"/>
  <c r="O2913" i="8" s="1"/>
  <c r="O2914" i="8" s="1"/>
  <c r="O2915" i="8" s="1"/>
  <c r="O2916" i="8" s="1"/>
  <c r="O2917" i="8" s="1"/>
  <c r="O2918" i="8" s="1"/>
  <c r="O2919" i="8" s="1"/>
  <c r="O2920" i="8" s="1"/>
  <c r="O2921" i="8" s="1"/>
  <c r="O2922" i="8" s="1"/>
  <c r="O2923" i="8" s="1"/>
  <c r="O2924" i="8" s="1"/>
  <c r="O2925" i="8" s="1"/>
  <c r="O2926" i="8" s="1"/>
  <c r="O2927" i="8" s="1"/>
  <c r="O2928" i="8" s="1"/>
  <c r="O2929" i="8" s="1"/>
  <c r="O2930" i="8" s="1"/>
  <c r="O2931" i="8" s="1"/>
  <c r="O2932" i="8" s="1"/>
  <c r="O2933" i="8" s="1"/>
  <c r="O2934" i="8" s="1"/>
  <c r="O2935" i="8" s="1"/>
  <c r="O2936" i="8" s="1"/>
  <c r="O2937" i="8" s="1"/>
  <c r="O2938" i="8" s="1"/>
  <c r="O2939" i="8" s="1"/>
  <c r="O2940" i="8" s="1"/>
  <c r="O2941" i="8" s="1"/>
  <c r="O2942" i="8" s="1"/>
  <c r="O2943" i="8" s="1"/>
  <c r="O2944" i="8" s="1"/>
  <c r="O2945" i="8" s="1"/>
  <c r="O2946" i="8" s="1"/>
  <c r="O2947" i="8" s="1"/>
  <c r="O2948" i="8" s="1"/>
  <c r="O2949" i="8" s="1"/>
  <c r="O2950" i="8" s="1"/>
  <c r="O2951" i="8" s="1"/>
  <c r="O2952" i="8" s="1"/>
  <c r="O2953" i="8" s="1"/>
  <c r="O2954" i="8" s="1"/>
  <c r="O2955" i="8" s="1"/>
  <c r="O2956" i="8" s="1"/>
  <c r="O2957" i="8" s="1"/>
  <c r="O2958" i="8" s="1"/>
  <c r="O2959" i="8" s="1"/>
  <c r="O2960" i="8" s="1"/>
  <c r="O2961" i="8" s="1"/>
  <c r="O2962" i="8" s="1"/>
  <c r="O2963" i="8" s="1"/>
  <c r="O2964" i="8" s="1"/>
  <c r="O2965" i="8" s="1"/>
  <c r="O2966" i="8" s="1"/>
  <c r="O2967" i="8" s="1"/>
  <c r="O2968" i="8" s="1"/>
  <c r="O2969" i="8" s="1"/>
  <c r="O2970" i="8" s="1"/>
  <c r="O2971" i="8" s="1"/>
  <c r="O2972" i="8" s="1"/>
  <c r="O2973" i="8" s="1"/>
  <c r="O2974" i="8" s="1"/>
  <c r="O2975" i="8" s="1"/>
  <c r="O2976" i="8" s="1"/>
  <c r="O2977" i="8" s="1"/>
  <c r="O2978" i="8" s="1"/>
  <c r="O2979" i="8" s="1"/>
  <c r="O2980" i="8" s="1"/>
  <c r="O2981" i="8" s="1"/>
  <c r="O2982" i="8" s="1"/>
  <c r="O2983" i="8" s="1"/>
  <c r="O2984" i="8" s="1"/>
  <c r="O2985" i="8" s="1"/>
  <c r="O2986" i="8" s="1"/>
  <c r="O2987" i="8" s="1"/>
  <c r="O2988" i="8" s="1"/>
  <c r="O2989" i="8" s="1"/>
  <c r="O2990" i="8" s="1"/>
  <c r="O2991" i="8" s="1"/>
  <c r="O2992" i="8" s="1"/>
  <c r="O2993" i="8" s="1"/>
  <c r="O2994" i="8" s="1"/>
  <c r="O2995" i="8" s="1"/>
  <c r="O2996" i="8" s="1"/>
  <c r="O2997" i="8" s="1"/>
  <c r="O2998" i="8" s="1"/>
  <c r="O2999" i="8" s="1"/>
  <c r="O3000" i="8" s="1"/>
  <c r="O3001" i="8" s="1"/>
  <c r="O3002" i="8" s="1"/>
  <c r="O3003" i="8" s="1"/>
  <c r="O3004" i="8" s="1"/>
  <c r="O3005" i="8" s="1"/>
  <c r="O3006" i="8" s="1"/>
  <c r="O3007" i="8" s="1"/>
  <c r="O3008" i="8" s="1"/>
  <c r="O3009" i="8" s="1"/>
  <c r="O3010" i="8" s="1"/>
  <c r="O3011" i="8" s="1"/>
  <c r="O3012" i="8" s="1"/>
  <c r="O3013" i="8" s="1"/>
  <c r="O3014" i="8" s="1"/>
  <c r="O3015" i="8" s="1"/>
  <c r="O3016" i="8" s="1"/>
  <c r="O3017" i="8" s="1"/>
  <c r="O3018" i="8" s="1"/>
  <c r="O3019" i="8" s="1"/>
  <c r="O3020" i="8" s="1"/>
  <c r="O3021" i="8" s="1"/>
  <c r="O3022" i="8" s="1"/>
  <c r="O3023" i="8" s="1"/>
  <c r="O3024" i="8" s="1"/>
  <c r="O3025" i="8" s="1"/>
  <c r="O3026" i="8" s="1"/>
  <c r="O3027" i="8" s="1"/>
  <c r="O3028" i="8" s="1"/>
  <c r="O3029" i="8" s="1"/>
  <c r="O3030" i="8" s="1"/>
  <c r="O3031" i="8" s="1"/>
  <c r="O3032" i="8" s="1"/>
  <c r="O3033" i="8" s="1"/>
  <c r="O3034" i="8" s="1"/>
  <c r="O3035" i="8" s="1"/>
  <c r="O3036" i="8" s="1"/>
  <c r="O3037" i="8" s="1"/>
  <c r="O3038" i="8" s="1"/>
  <c r="O3039" i="8" s="1"/>
  <c r="O3040" i="8" s="1"/>
  <c r="O3041" i="8" s="1"/>
  <c r="O3042" i="8" s="1"/>
  <c r="O3043" i="8" s="1"/>
  <c r="O3044" i="8" s="1"/>
  <c r="O3045" i="8" s="1"/>
  <c r="O3046" i="8" s="1"/>
  <c r="O3047" i="8" s="1"/>
  <c r="O3048" i="8" s="1"/>
  <c r="O3049" i="8" s="1"/>
  <c r="O3050" i="8" s="1"/>
  <c r="O3051" i="8" s="1"/>
  <c r="O3052" i="8" s="1"/>
  <c r="O3053" i="8" s="1"/>
  <c r="O3054" i="8" s="1"/>
  <c r="O3055" i="8" s="1"/>
  <c r="O3056" i="8" s="1"/>
  <c r="O3057" i="8" s="1"/>
  <c r="O3058" i="8" s="1"/>
  <c r="O3059" i="8" s="1"/>
  <c r="O3060" i="8" s="1"/>
  <c r="O3061" i="8" s="1"/>
  <c r="O3062" i="8" s="1"/>
  <c r="O3063" i="8" s="1"/>
  <c r="O3064" i="8" s="1"/>
  <c r="O3065" i="8" s="1"/>
  <c r="O3066" i="8" s="1"/>
  <c r="O3067" i="8" s="1"/>
  <c r="O3068" i="8" s="1"/>
  <c r="O3069" i="8" s="1"/>
  <c r="O3070" i="8" s="1"/>
  <c r="O3071" i="8" s="1"/>
  <c r="O3072" i="8" s="1"/>
  <c r="O3073" i="8" s="1"/>
  <c r="O3074" i="8" s="1"/>
  <c r="O3075" i="8" s="1"/>
  <c r="O3076" i="8" s="1"/>
  <c r="O3077" i="8" s="1"/>
  <c r="O3078" i="8" s="1"/>
  <c r="O3079" i="8" s="1"/>
  <c r="O3080" i="8" s="1"/>
  <c r="O3081" i="8" s="1"/>
  <c r="O3082" i="8" s="1"/>
  <c r="O3083" i="8" s="1"/>
  <c r="O3084" i="8" s="1"/>
  <c r="O3085" i="8" s="1"/>
  <c r="O3086" i="8" s="1"/>
  <c r="O3087" i="8" s="1"/>
  <c r="O3088" i="8" s="1"/>
  <c r="O3089" i="8" s="1"/>
  <c r="O3090" i="8" s="1"/>
  <c r="O3091" i="8" s="1"/>
  <c r="O3092" i="8" s="1"/>
  <c r="O3093" i="8" s="1"/>
  <c r="O3094" i="8" s="1"/>
  <c r="O3095" i="8" s="1"/>
  <c r="O3096" i="8" s="1"/>
  <c r="O3097" i="8" s="1"/>
  <c r="O3098" i="8" s="1"/>
  <c r="O3099" i="8" s="1"/>
  <c r="O3100" i="8" s="1"/>
  <c r="O3101" i="8" s="1"/>
  <c r="O3102" i="8" s="1"/>
  <c r="O3103" i="8" s="1"/>
  <c r="O3104" i="8" s="1"/>
  <c r="O3105" i="8" s="1"/>
  <c r="O3106" i="8" s="1"/>
  <c r="O3107" i="8" s="1"/>
  <c r="O3108" i="8" s="1"/>
  <c r="O3109" i="8" s="1"/>
  <c r="O3110" i="8" s="1"/>
  <c r="O3111" i="8" s="1"/>
  <c r="O3112" i="8" s="1"/>
  <c r="O3113" i="8" s="1"/>
  <c r="O3114" i="8" s="1"/>
  <c r="O3115" i="8" s="1"/>
  <c r="O3116" i="8" s="1"/>
  <c r="O3117" i="8" s="1"/>
  <c r="O3118" i="8" s="1"/>
  <c r="O3119" i="8" s="1"/>
  <c r="O3120" i="8" s="1"/>
  <c r="O3121" i="8" s="1"/>
  <c r="O3122" i="8" s="1"/>
  <c r="O3123" i="8" s="1"/>
  <c r="O3124" i="8" s="1"/>
  <c r="O3125" i="8" s="1"/>
  <c r="O3126" i="8" s="1"/>
  <c r="O3127" i="8" s="1"/>
  <c r="O3128" i="8" s="1"/>
  <c r="O3129" i="8" s="1"/>
  <c r="O3130" i="8" s="1"/>
  <c r="O3131" i="8" s="1"/>
  <c r="O3132" i="8" s="1"/>
  <c r="O3133" i="8" s="1"/>
  <c r="O3134" i="8" s="1"/>
  <c r="O3135" i="8" s="1"/>
  <c r="O3136" i="8" s="1"/>
  <c r="O3137" i="8" s="1"/>
  <c r="O3138" i="8" s="1"/>
  <c r="O3139" i="8" s="1"/>
  <c r="O3140" i="8" s="1"/>
  <c r="O3141" i="8" s="1"/>
  <c r="O3142" i="8" s="1"/>
  <c r="O3143" i="8" s="1"/>
  <c r="O3144" i="8" s="1"/>
  <c r="O3145" i="8" s="1"/>
  <c r="O3146" i="8" s="1"/>
  <c r="O3147" i="8" s="1"/>
  <c r="O3148" i="8" s="1"/>
  <c r="O3149" i="8" s="1"/>
  <c r="O3150" i="8" s="1"/>
  <c r="O3151" i="8" s="1"/>
  <c r="O3152" i="8" s="1"/>
  <c r="O3153" i="8" s="1"/>
  <c r="O3154" i="8" s="1"/>
  <c r="O3155" i="8" s="1"/>
  <c r="O3156" i="8" s="1"/>
  <c r="O3157" i="8" s="1"/>
  <c r="O3158" i="8" s="1"/>
  <c r="O3159" i="8" s="1"/>
  <c r="O3160" i="8" s="1"/>
  <c r="O3161" i="8" s="1"/>
  <c r="O3162" i="8" s="1"/>
  <c r="O3163" i="8" s="1"/>
  <c r="O3164" i="8" s="1"/>
  <c r="O3165" i="8" s="1"/>
  <c r="O3166" i="8" s="1"/>
  <c r="O3167" i="8" s="1"/>
  <c r="O3168" i="8" s="1"/>
  <c r="O3169" i="8" s="1"/>
  <c r="O3170" i="8" s="1"/>
  <c r="O3171" i="8" s="1"/>
  <c r="O3172" i="8" s="1"/>
  <c r="O3173" i="8" s="1"/>
  <c r="O3174" i="8" s="1"/>
  <c r="O3175" i="8" s="1"/>
  <c r="O3176" i="8" s="1"/>
  <c r="O3177" i="8" s="1"/>
  <c r="O3178" i="8" s="1"/>
  <c r="O3179" i="8" s="1"/>
  <c r="O3180" i="8" s="1"/>
  <c r="O3181" i="8" s="1"/>
  <c r="O3182" i="8" s="1"/>
  <c r="O3183" i="8" s="1"/>
  <c r="O3184" i="8" s="1"/>
  <c r="O3185" i="8" s="1"/>
  <c r="O3186" i="8" s="1"/>
  <c r="O3187" i="8" s="1"/>
  <c r="O3188" i="8" s="1"/>
  <c r="O3189" i="8" s="1"/>
  <c r="O3190" i="8" s="1"/>
  <c r="O3191" i="8" s="1"/>
  <c r="O3192" i="8" s="1"/>
  <c r="O3193" i="8" s="1"/>
  <c r="O3194" i="8" s="1"/>
  <c r="O3195" i="8" s="1"/>
  <c r="O3196" i="8" s="1"/>
  <c r="O3197" i="8" s="1"/>
  <c r="O3198" i="8" s="1"/>
  <c r="O3199" i="8" s="1"/>
  <c r="O3200" i="8" s="1"/>
  <c r="O3201" i="8" s="1"/>
  <c r="O3202" i="8" s="1"/>
  <c r="O3203" i="8" s="1"/>
  <c r="O3204" i="8" s="1"/>
  <c r="O3205" i="8" s="1"/>
  <c r="O3206" i="8" s="1"/>
  <c r="O3207" i="8" s="1"/>
  <c r="O3208" i="8" s="1"/>
  <c r="O3209" i="8" s="1"/>
  <c r="O3210" i="8" s="1"/>
  <c r="O3211" i="8" s="1"/>
  <c r="O3212" i="8" s="1"/>
  <c r="O3213" i="8" s="1"/>
  <c r="O3214" i="8" s="1"/>
  <c r="O3215" i="8" s="1"/>
  <c r="O3216" i="8" s="1"/>
  <c r="O3217" i="8" s="1"/>
  <c r="O3218" i="8" s="1"/>
  <c r="O3219" i="8" s="1"/>
  <c r="O3220" i="8" s="1"/>
  <c r="O3221" i="8" s="1"/>
  <c r="O3222" i="8" s="1"/>
  <c r="O3223" i="8" s="1"/>
  <c r="O3224" i="8" s="1"/>
  <c r="O3225" i="8" s="1"/>
  <c r="O3226" i="8" s="1"/>
  <c r="O3227" i="8" s="1"/>
  <c r="O3228" i="8" s="1"/>
  <c r="O3229" i="8" s="1"/>
  <c r="O3230" i="8" s="1"/>
  <c r="O3231" i="8" s="1"/>
  <c r="O3232" i="8" s="1"/>
  <c r="O3233" i="8" s="1"/>
  <c r="O3234" i="8" s="1"/>
  <c r="O3235" i="8" s="1"/>
  <c r="O3236" i="8" s="1"/>
  <c r="O3237" i="8" s="1"/>
  <c r="O3238" i="8" s="1"/>
  <c r="O3239" i="8" s="1"/>
  <c r="O3240" i="8" s="1"/>
  <c r="O3241" i="8" s="1"/>
  <c r="O3242" i="8" s="1"/>
  <c r="O3243" i="8" s="1"/>
  <c r="O3244" i="8" s="1"/>
  <c r="O3245" i="8" s="1"/>
  <c r="O3246" i="8" s="1"/>
  <c r="O3247" i="8" s="1"/>
  <c r="O3248" i="8" s="1"/>
  <c r="O3249" i="8" s="1"/>
  <c r="O3250" i="8" s="1"/>
  <c r="O3251" i="8" s="1"/>
  <c r="O3252" i="8" s="1"/>
  <c r="O3253" i="8" s="1"/>
  <c r="O3254" i="8" s="1"/>
  <c r="O3255" i="8" s="1"/>
  <c r="O3256" i="8" s="1"/>
  <c r="O3257" i="8" s="1"/>
  <c r="O3258" i="8" s="1"/>
  <c r="O3259" i="8" s="1"/>
  <c r="O3260" i="8" s="1"/>
  <c r="O3261" i="8" s="1"/>
  <c r="O3262" i="8" s="1"/>
  <c r="O3263" i="8" s="1"/>
  <c r="O3264" i="8" s="1"/>
  <c r="O3265" i="8" s="1"/>
  <c r="O3266" i="8" s="1"/>
  <c r="O3267" i="8" s="1"/>
  <c r="O3268" i="8" s="1"/>
  <c r="O3269" i="8" s="1"/>
  <c r="O3270" i="8" s="1"/>
  <c r="O3271" i="8" s="1"/>
  <c r="O3272" i="8" s="1"/>
  <c r="O3273" i="8" s="1"/>
  <c r="O3274" i="8" s="1"/>
  <c r="O3275" i="8" s="1"/>
  <c r="O3276" i="8" s="1"/>
  <c r="O3277" i="8" s="1"/>
  <c r="O3278" i="8" s="1"/>
  <c r="O3279" i="8" s="1"/>
  <c r="O3280" i="8" s="1"/>
  <c r="O3281" i="8" s="1"/>
  <c r="O3282" i="8" s="1"/>
  <c r="O3283" i="8" s="1"/>
  <c r="O3284" i="8" s="1"/>
  <c r="O3285" i="8" s="1"/>
  <c r="O3286" i="8" s="1"/>
  <c r="O3287" i="8" s="1"/>
  <c r="O3288" i="8" s="1"/>
  <c r="O3289" i="8" s="1"/>
  <c r="O3290" i="8" s="1"/>
  <c r="O3291" i="8" s="1"/>
  <c r="O3292" i="8" s="1"/>
  <c r="O3293" i="8" s="1"/>
  <c r="O3294" i="8" s="1"/>
  <c r="O3295" i="8" s="1"/>
  <c r="O3296" i="8" s="1"/>
  <c r="O3297" i="8" s="1"/>
  <c r="O3298" i="8" s="1"/>
  <c r="O3299" i="8" s="1"/>
  <c r="O3300" i="8" s="1"/>
  <c r="O3301" i="8" s="1"/>
  <c r="O3302" i="8" s="1"/>
  <c r="O3303" i="8" s="1"/>
  <c r="O3304" i="8" s="1"/>
  <c r="O3305" i="8" s="1"/>
  <c r="O3306" i="8" s="1"/>
  <c r="O3307" i="8" s="1"/>
  <c r="O3308" i="8" s="1"/>
  <c r="O3309" i="8" s="1"/>
  <c r="O3310" i="8" s="1"/>
  <c r="O3311" i="8" s="1"/>
  <c r="O3312" i="8" s="1"/>
  <c r="O3313" i="8" s="1"/>
  <c r="O3314" i="8" s="1"/>
  <c r="O3315" i="8" s="1"/>
  <c r="O3316" i="8" s="1"/>
  <c r="O3317" i="8" s="1"/>
  <c r="O3318" i="8" s="1"/>
  <c r="O3319" i="8" s="1"/>
  <c r="O3320" i="8" s="1"/>
  <c r="O3321" i="8" s="1"/>
  <c r="O3322" i="8" s="1"/>
  <c r="O3323" i="8" s="1"/>
  <c r="O3324" i="8" s="1"/>
  <c r="O3325" i="8" s="1"/>
  <c r="O3326" i="8" s="1"/>
  <c r="O3327" i="8" s="1"/>
  <c r="O3328" i="8" s="1"/>
  <c r="O3329" i="8" s="1"/>
  <c r="O3330" i="8" s="1"/>
  <c r="O3331" i="8" s="1"/>
  <c r="O3332" i="8" s="1"/>
  <c r="O3333" i="8" s="1"/>
  <c r="O3334" i="8" s="1"/>
  <c r="O3335" i="8" s="1"/>
  <c r="O3336" i="8" s="1"/>
  <c r="O3337" i="8" s="1"/>
  <c r="O3338" i="8" s="1"/>
  <c r="O3339" i="8" s="1"/>
  <c r="O3340" i="8" s="1"/>
  <c r="O3341" i="8" s="1"/>
  <c r="O3342" i="8" s="1"/>
  <c r="O3343" i="8" s="1"/>
  <c r="O3344" i="8" s="1"/>
  <c r="O3345" i="8" s="1"/>
  <c r="O3346" i="8" s="1"/>
  <c r="O3347" i="8" s="1"/>
  <c r="O3348" i="8" s="1"/>
  <c r="O3349" i="8" s="1"/>
  <c r="O3350" i="8" s="1"/>
  <c r="O3351" i="8" s="1"/>
  <c r="O3352" i="8" s="1"/>
  <c r="O3353" i="8" s="1"/>
  <c r="O3354" i="8" s="1"/>
  <c r="O3355" i="8" s="1"/>
  <c r="O3356" i="8" s="1"/>
  <c r="O3357" i="8" s="1"/>
  <c r="O3358" i="8" s="1"/>
  <c r="O3359" i="8" s="1"/>
  <c r="O3360" i="8" s="1"/>
  <c r="O3361" i="8" s="1"/>
  <c r="O3362" i="8" s="1"/>
  <c r="O3363" i="8" s="1"/>
  <c r="O3364" i="8" s="1"/>
  <c r="O3365" i="8" s="1"/>
  <c r="O3366" i="8" s="1"/>
  <c r="O3367" i="8" s="1"/>
  <c r="O3368" i="8" s="1"/>
  <c r="O3369" i="8" s="1"/>
  <c r="O3370" i="8" s="1"/>
  <c r="O3371" i="8" s="1"/>
  <c r="O3372" i="8" s="1"/>
  <c r="O3373" i="8" s="1"/>
  <c r="O3374" i="8" s="1"/>
  <c r="O3375" i="8" s="1"/>
  <c r="O3376" i="8" s="1"/>
  <c r="O3377" i="8" s="1"/>
  <c r="O3378" i="8" s="1"/>
  <c r="O3379" i="8" s="1"/>
  <c r="O3380" i="8" s="1"/>
  <c r="O3381" i="8" s="1"/>
  <c r="O3382" i="8" s="1"/>
  <c r="O3383" i="8" s="1"/>
  <c r="O3384" i="8" s="1"/>
  <c r="O3385" i="8" s="1"/>
  <c r="O3386" i="8" s="1"/>
  <c r="O3387" i="8" s="1"/>
  <c r="O3388" i="8" s="1"/>
  <c r="O3389" i="8" s="1"/>
  <c r="O3390" i="8" s="1"/>
  <c r="O3391" i="8" s="1"/>
  <c r="O3392" i="8" s="1"/>
  <c r="O3393" i="8" s="1"/>
  <c r="O3394" i="8" s="1"/>
  <c r="O3395" i="8" s="1"/>
  <c r="O3396" i="8" s="1"/>
  <c r="O3397" i="8" s="1"/>
  <c r="O3398" i="8" s="1"/>
  <c r="O3399" i="8" s="1"/>
  <c r="O3400" i="8" s="1"/>
  <c r="O3401" i="8" s="1"/>
  <c r="O3402" i="8" s="1"/>
  <c r="O3403" i="8" s="1"/>
  <c r="O3404" i="8" s="1"/>
  <c r="O3405" i="8" s="1"/>
  <c r="O3406" i="8" s="1"/>
  <c r="O3407" i="8" s="1"/>
  <c r="O3408" i="8" s="1"/>
  <c r="O3409" i="8" s="1"/>
  <c r="O3410" i="8" s="1"/>
  <c r="O3411" i="8" s="1"/>
  <c r="O3412" i="8" s="1"/>
  <c r="O3413" i="8" s="1"/>
  <c r="O3414" i="8" s="1"/>
  <c r="O3415" i="8" s="1"/>
  <c r="O3416" i="8" s="1"/>
  <c r="O3417" i="8" s="1"/>
  <c r="O3418" i="8" s="1"/>
  <c r="O3419" i="8" s="1"/>
  <c r="O3420" i="8" s="1"/>
  <c r="O3421" i="8" s="1"/>
  <c r="O3422" i="8" s="1"/>
  <c r="O3423" i="8" s="1"/>
  <c r="O3424" i="8" s="1"/>
  <c r="O3425" i="8" s="1"/>
  <c r="O3426" i="8" s="1"/>
  <c r="O3427" i="8" s="1"/>
  <c r="O3428" i="8" s="1"/>
  <c r="O3429" i="8" s="1"/>
  <c r="O3430" i="8" s="1"/>
  <c r="O3431" i="8" s="1"/>
  <c r="O3432" i="8" s="1"/>
  <c r="O3433" i="8" s="1"/>
  <c r="O3434" i="8" s="1"/>
  <c r="O3435" i="8" s="1"/>
  <c r="O3436" i="8" s="1"/>
  <c r="O3437" i="8" s="1"/>
  <c r="O3438" i="8" s="1"/>
  <c r="O3439" i="8" s="1"/>
  <c r="O3440" i="8" s="1"/>
  <c r="O3441" i="8" s="1"/>
  <c r="O3442" i="8" s="1"/>
  <c r="O3443" i="8" s="1"/>
  <c r="O3444" i="8" s="1"/>
  <c r="O3445" i="8" s="1"/>
  <c r="O3446" i="8" s="1"/>
  <c r="O3447" i="8" s="1"/>
  <c r="O3448" i="8" s="1"/>
  <c r="O3449" i="8" s="1"/>
  <c r="O3450" i="8" s="1"/>
  <c r="O3451" i="8" s="1"/>
  <c r="O3452" i="8" s="1"/>
  <c r="O3453" i="8" s="1"/>
  <c r="O3454" i="8" s="1"/>
  <c r="O3455" i="8" s="1"/>
  <c r="O3456" i="8" s="1"/>
  <c r="O3457" i="8" s="1"/>
  <c r="O3458" i="8" s="1"/>
  <c r="O3459" i="8" s="1"/>
  <c r="O3460" i="8" s="1"/>
  <c r="O3461" i="8" s="1"/>
  <c r="O3462" i="8" s="1"/>
  <c r="O3463" i="8" s="1"/>
  <c r="O3464" i="8" s="1"/>
  <c r="O3465" i="8" s="1"/>
  <c r="O3466" i="8" s="1"/>
  <c r="O3467" i="8" s="1"/>
  <c r="O3468" i="8" s="1"/>
  <c r="O3469" i="8" s="1"/>
  <c r="O3470" i="8" s="1"/>
  <c r="O3471" i="8" s="1"/>
  <c r="O3472" i="8" s="1"/>
  <c r="O3473" i="8" s="1"/>
  <c r="O3474" i="8" s="1"/>
  <c r="O3475" i="8" s="1"/>
  <c r="O3476" i="8" s="1"/>
  <c r="O3477" i="8" s="1"/>
  <c r="O3478" i="8" s="1"/>
  <c r="O3479" i="8" s="1"/>
  <c r="O3480" i="8" s="1"/>
  <c r="O3481" i="8" s="1"/>
  <c r="O3482" i="8" s="1"/>
  <c r="O3483" i="8" s="1"/>
  <c r="O3484" i="8" s="1"/>
  <c r="O3485" i="8" s="1"/>
  <c r="O3486" i="8" s="1"/>
  <c r="O3487" i="8" s="1"/>
  <c r="O3488" i="8" s="1"/>
  <c r="O3489" i="8" s="1"/>
  <c r="O3490" i="8" s="1"/>
  <c r="O3491" i="8" s="1"/>
  <c r="O3492" i="8" s="1"/>
  <c r="O3493" i="8" s="1"/>
  <c r="O3494" i="8" s="1"/>
  <c r="O3495" i="8" s="1"/>
  <c r="O3496" i="8" s="1"/>
  <c r="O3497" i="8" s="1"/>
  <c r="O3498" i="8" s="1"/>
  <c r="O3499" i="8" s="1"/>
  <c r="O3500" i="8" s="1"/>
  <c r="O3501" i="8" s="1"/>
  <c r="O3502" i="8" s="1"/>
  <c r="O3503" i="8" s="1"/>
  <c r="O3504" i="8" s="1"/>
  <c r="O3505" i="8" s="1"/>
  <c r="O3506" i="8" s="1"/>
  <c r="O3507" i="8" s="1"/>
  <c r="O3508" i="8" s="1"/>
  <c r="O3509" i="8" s="1"/>
  <c r="O3510" i="8" s="1"/>
  <c r="O3511" i="8" s="1"/>
  <c r="O3512" i="8" s="1"/>
  <c r="O3513" i="8" s="1"/>
  <c r="O3514" i="8" s="1"/>
  <c r="O3515" i="8" s="1"/>
  <c r="O3516" i="8" s="1"/>
  <c r="O3517" i="8" s="1"/>
  <c r="O3518" i="8" s="1"/>
  <c r="O3519" i="8" s="1"/>
  <c r="O3520" i="8" s="1"/>
  <c r="O3521" i="8" s="1"/>
  <c r="O3522" i="8" s="1"/>
  <c r="O3523" i="8" s="1"/>
  <c r="O3524" i="8" s="1"/>
  <c r="O3525" i="8" s="1"/>
  <c r="O3526" i="8" s="1"/>
  <c r="O3527" i="8" s="1"/>
  <c r="O3528" i="8" s="1"/>
  <c r="O3529" i="8" s="1"/>
  <c r="O3530" i="8" s="1"/>
  <c r="O3531" i="8" s="1"/>
  <c r="O3532" i="8" s="1"/>
  <c r="O3533" i="8" s="1"/>
  <c r="O3534" i="8" s="1"/>
  <c r="O3535" i="8" s="1"/>
  <c r="O3536" i="8" s="1"/>
  <c r="O3537" i="8" s="1"/>
  <c r="O3538" i="8" s="1"/>
  <c r="O3539" i="8" s="1"/>
  <c r="O3540" i="8" s="1"/>
  <c r="O3541" i="8" s="1"/>
  <c r="O3542" i="8" s="1"/>
  <c r="O3543" i="8" s="1"/>
  <c r="O3544" i="8" s="1"/>
  <c r="O3545" i="8" s="1"/>
  <c r="O3546" i="8" s="1"/>
  <c r="O3547" i="8" s="1"/>
  <c r="O3548" i="8" s="1"/>
  <c r="O3549" i="8" s="1"/>
  <c r="O3550" i="8" s="1"/>
  <c r="O3551" i="8" s="1"/>
  <c r="O3552" i="8" s="1"/>
  <c r="O3553" i="8" s="1"/>
  <c r="O3554" i="8" s="1"/>
  <c r="O3555" i="8" s="1"/>
  <c r="O3556" i="8" s="1"/>
  <c r="O3557" i="8" s="1"/>
  <c r="O3558" i="8" s="1"/>
  <c r="O3559" i="8" s="1"/>
  <c r="O3560" i="8" s="1"/>
  <c r="O3561" i="8" s="1"/>
  <c r="O3562" i="8" s="1"/>
  <c r="O3563" i="8" s="1"/>
  <c r="O3564" i="8" s="1"/>
  <c r="O3565" i="8" s="1"/>
  <c r="O3566" i="8" s="1"/>
  <c r="O3567" i="8" s="1"/>
  <c r="O3568" i="8" s="1"/>
  <c r="O3569" i="8" s="1"/>
  <c r="O3570" i="8" s="1"/>
  <c r="O3571" i="8" s="1"/>
  <c r="O3572" i="8" s="1"/>
  <c r="O3573" i="8" s="1"/>
  <c r="O3574" i="8" s="1"/>
  <c r="O3575" i="8" s="1"/>
  <c r="O3576" i="8" s="1"/>
  <c r="O3577" i="8" s="1"/>
  <c r="O3578" i="8" s="1"/>
  <c r="O3579" i="8" s="1"/>
  <c r="O3580" i="8" s="1"/>
  <c r="O3581" i="8" s="1"/>
  <c r="O3582" i="8" s="1"/>
  <c r="O3583" i="8" s="1"/>
  <c r="O3584" i="8" s="1"/>
  <c r="O3585" i="8" s="1"/>
  <c r="O3586" i="8" s="1"/>
  <c r="O3587" i="8" s="1"/>
  <c r="O3588" i="8" s="1"/>
  <c r="O3589" i="8" s="1"/>
  <c r="O3590" i="8" s="1"/>
  <c r="O3591" i="8" s="1"/>
  <c r="O3592" i="8" s="1"/>
  <c r="O3593" i="8" s="1"/>
  <c r="O3594" i="8" s="1"/>
  <c r="O3595" i="8" s="1"/>
  <c r="O3596" i="8" s="1"/>
  <c r="O3597" i="8" s="1"/>
  <c r="O3598" i="8" s="1"/>
  <c r="O3599" i="8" s="1"/>
  <c r="O3600" i="8" s="1"/>
  <c r="O3601" i="8" s="1"/>
  <c r="O3602" i="8" s="1"/>
  <c r="O3603" i="8" s="1"/>
  <c r="O3604" i="8" s="1"/>
  <c r="O3605" i="8" s="1"/>
  <c r="O3606" i="8" s="1"/>
  <c r="O3607" i="8" s="1"/>
  <c r="O3608" i="8" s="1"/>
  <c r="O3609" i="8" s="1"/>
  <c r="O3610" i="8" s="1"/>
  <c r="O3611" i="8" s="1"/>
  <c r="O3612" i="8" s="1"/>
  <c r="O3613" i="8" s="1"/>
  <c r="O3614" i="8" s="1"/>
  <c r="O3615" i="8" s="1"/>
  <c r="O3616" i="8" s="1"/>
  <c r="O3617" i="8" s="1"/>
  <c r="O3618" i="8" s="1"/>
  <c r="O3619" i="8" s="1"/>
  <c r="O3620" i="8" s="1"/>
  <c r="O3621" i="8" s="1"/>
  <c r="O3622" i="8" s="1"/>
  <c r="O3623" i="8" s="1"/>
  <c r="O3624" i="8" s="1"/>
  <c r="O3625" i="8" s="1"/>
  <c r="O3626" i="8" s="1"/>
  <c r="O3627" i="8" s="1"/>
  <c r="O3628" i="8" s="1"/>
  <c r="O3629" i="8" s="1"/>
  <c r="O3630" i="8" s="1"/>
  <c r="O3631" i="8" s="1"/>
  <c r="O3632" i="8" s="1"/>
  <c r="O3633" i="8" s="1"/>
  <c r="O3634" i="8" s="1"/>
  <c r="O3635" i="8" s="1"/>
  <c r="O3636" i="8" s="1"/>
  <c r="O3637" i="8" s="1"/>
  <c r="O3638" i="8" s="1"/>
  <c r="O3639" i="8" s="1"/>
  <c r="O3640" i="8" s="1"/>
  <c r="O3641" i="8" s="1"/>
  <c r="O3642" i="8" s="1"/>
  <c r="O3643" i="8" s="1"/>
  <c r="O3644" i="8" s="1"/>
  <c r="O3645" i="8" s="1"/>
  <c r="O3646" i="8" s="1"/>
  <c r="O3647" i="8" s="1"/>
  <c r="O3648" i="8" s="1"/>
  <c r="O3649" i="8" s="1"/>
  <c r="O3650" i="8" s="1"/>
  <c r="O3651" i="8" s="1"/>
  <c r="O3652" i="8" s="1"/>
  <c r="O3653" i="8" s="1"/>
  <c r="O3654" i="8" s="1"/>
  <c r="O3655" i="8" s="1"/>
  <c r="O3656" i="8" s="1"/>
  <c r="O3657" i="8" s="1"/>
  <c r="O3658" i="8" s="1"/>
  <c r="O3659" i="8" s="1"/>
  <c r="O3660" i="8" s="1"/>
  <c r="O3661" i="8" s="1"/>
  <c r="O3662" i="8" s="1"/>
  <c r="O3663" i="8" s="1"/>
  <c r="O3664" i="8" s="1"/>
  <c r="O3665" i="8" s="1"/>
  <c r="O3666" i="8" s="1"/>
  <c r="O3667" i="8" s="1"/>
  <c r="O3668" i="8" s="1"/>
  <c r="O3669" i="8" s="1"/>
  <c r="O3670" i="8" s="1"/>
  <c r="O3671" i="8" s="1"/>
  <c r="O3672" i="8" s="1"/>
  <c r="O3673" i="8" s="1"/>
  <c r="O3674" i="8" s="1"/>
  <c r="O3675" i="8" s="1"/>
  <c r="O3676" i="8" s="1"/>
  <c r="O3677" i="8" s="1"/>
  <c r="O3678" i="8" s="1"/>
  <c r="O3679" i="8" s="1"/>
  <c r="O3680" i="8" s="1"/>
  <c r="O3681" i="8" s="1"/>
  <c r="O3682" i="8" s="1"/>
  <c r="O3683" i="8" s="1"/>
  <c r="O3684" i="8" s="1"/>
  <c r="O3685" i="8" s="1"/>
  <c r="O3686" i="8" s="1"/>
  <c r="O3687" i="8" s="1"/>
  <c r="O3688" i="8" s="1"/>
  <c r="O3689" i="8" s="1"/>
  <c r="O3690" i="8" s="1"/>
  <c r="O3691" i="8" s="1"/>
  <c r="O3692" i="8" s="1"/>
  <c r="O3693" i="8" s="1"/>
  <c r="O3694" i="8" s="1"/>
  <c r="O3695" i="8" s="1"/>
  <c r="O3696" i="8" s="1"/>
  <c r="O3697" i="8" s="1"/>
  <c r="O3698" i="8" s="1"/>
  <c r="O3699" i="8" s="1"/>
  <c r="O3700" i="8" s="1"/>
  <c r="O3701" i="8" s="1"/>
  <c r="O3702" i="8" s="1"/>
  <c r="O3703" i="8" s="1"/>
  <c r="O3704" i="8" s="1"/>
  <c r="O3705" i="8" s="1"/>
  <c r="O3706" i="8" s="1"/>
  <c r="O3707" i="8" s="1"/>
  <c r="O3708" i="8" s="1"/>
  <c r="O3709" i="8" s="1"/>
  <c r="O3710" i="8" s="1"/>
  <c r="O3711" i="8" s="1"/>
  <c r="O3712" i="8" s="1"/>
  <c r="O3713" i="8" s="1"/>
  <c r="O3714" i="8" s="1"/>
  <c r="O3715" i="8" s="1"/>
  <c r="O3716" i="8" s="1"/>
  <c r="O3717" i="8" s="1"/>
  <c r="O3718" i="8" s="1"/>
  <c r="O3719" i="8" s="1"/>
  <c r="O3720" i="8" s="1"/>
  <c r="O3721" i="8" s="1"/>
  <c r="O3722" i="8" s="1"/>
  <c r="O3723" i="8" s="1"/>
  <c r="O3724" i="8" s="1"/>
  <c r="O3725" i="8" s="1"/>
  <c r="O3726" i="8" s="1"/>
  <c r="O3727" i="8" s="1"/>
  <c r="O3728" i="8" s="1"/>
  <c r="O3729" i="8" s="1"/>
  <c r="O3730" i="8" s="1"/>
  <c r="O3731" i="8" s="1"/>
  <c r="O3732" i="8" s="1"/>
  <c r="O3733" i="8" s="1"/>
  <c r="O3734" i="8" s="1"/>
  <c r="O3735" i="8" s="1"/>
  <c r="O3736" i="8" s="1"/>
  <c r="O3737" i="8" s="1"/>
  <c r="O3738" i="8" s="1"/>
  <c r="O3739" i="8" s="1"/>
  <c r="O3740" i="8" s="1"/>
  <c r="O3741" i="8" s="1"/>
  <c r="O3742" i="8" s="1"/>
  <c r="O3743" i="8" s="1"/>
  <c r="O3744" i="8" s="1"/>
  <c r="O3745" i="8" s="1"/>
  <c r="O3746" i="8" s="1"/>
  <c r="O3747" i="8" s="1"/>
  <c r="O3748" i="8" s="1"/>
  <c r="O3749" i="8" s="1"/>
  <c r="O3750" i="8" s="1"/>
  <c r="O3751" i="8" s="1"/>
  <c r="O3752" i="8" s="1"/>
  <c r="O3753" i="8" s="1"/>
  <c r="O3754" i="8" s="1"/>
  <c r="O3755" i="8" s="1"/>
  <c r="O3756" i="8" s="1"/>
  <c r="O3757" i="8" s="1"/>
  <c r="O3758" i="8" s="1"/>
  <c r="O3759" i="8" s="1"/>
  <c r="O3760" i="8" s="1"/>
  <c r="O3761" i="8" s="1"/>
  <c r="O3762" i="8" s="1"/>
  <c r="O3763" i="8" s="1"/>
  <c r="O3764" i="8" s="1"/>
  <c r="O3765" i="8" s="1"/>
  <c r="O3766" i="8" s="1"/>
  <c r="O3767" i="8" s="1"/>
  <c r="O3768" i="8" s="1"/>
  <c r="O3769" i="8" s="1"/>
  <c r="O3770" i="8" s="1"/>
  <c r="O3771" i="8" s="1"/>
  <c r="O3772" i="8" s="1"/>
  <c r="O3773" i="8" s="1"/>
  <c r="O3774" i="8" s="1"/>
  <c r="O3775" i="8" s="1"/>
  <c r="O3776" i="8" s="1"/>
  <c r="O3777" i="8" s="1"/>
  <c r="O3778" i="8" s="1"/>
  <c r="O3779" i="8" s="1"/>
  <c r="O3780" i="8" s="1"/>
  <c r="O3781" i="8" s="1"/>
  <c r="O3782" i="8" s="1"/>
  <c r="O3783" i="8" s="1"/>
  <c r="O3784" i="8" s="1"/>
  <c r="O3785" i="8" s="1"/>
  <c r="O3786" i="8" s="1"/>
  <c r="O3787" i="8" s="1"/>
  <c r="O3788" i="8" s="1"/>
  <c r="O3789" i="8" s="1"/>
  <c r="O3790" i="8" s="1"/>
  <c r="O3791" i="8" s="1"/>
  <c r="O3792" i="8" s="1"/>
  <c r="O3793" i="8" s="1"/>
  <c r="O3794" i="8" s="1"/>
  <c r="O3795" i="8" s="1"/>
  <c r="O3796" i="8" s="1"/>
  <c r="O3797" i="8" s="1"/>
  <c r="O3798" i="8" s="1"/>
  <c r="O3799" i="8" s="1"/>
  <c r="O3800" i="8" s="1"/>
  <c r="O3801" i="8" s="1"/>
  <c r="O3802" i="8" s="1"/>
  <c r="O3803" i="8" s="1"/>
  <c r="O3804" i="8" s="1"/>
  <c r="O3805" i="8" s="1"/>
  <c r="O3806" i="8" s="1"/>
  <c r="O3807" i="8" s="1"/>
  <c r="O3808" i="8" s="1"/>
  <c r="O3809" i="8" s="1"/>
  <c r="O3810" i="8" s="1"/>
  <c r="O3811" i="8" s="1"/>
  <c r="O3812" i="8" s="1"/>
  <c r="O3813" i="8" s="1"/>
  <c r="O3814" i="8" s="1"/>
  <c r="O3815" i="8" s="1"/>
  <c r="O3816" i="8" s="1"/>
  <c r="O3817" i="8" s="1"/>
  <c r="O3818" i="8" s="1"/>
  <c r="O3819" i="8" s="1"/>
  <c r="O3820" i="8" s="1"/>
  <c r="O3821" i="8" s="1"/>
  <c r="O3822" i="8" s="1"/>
  <c r="O3823" i="8" s="1"/>
  <c r="O3824" i="8" s="1"/>
  <c r="O3825" i="8" s="1"/>
  <c r="O3826" i="8" s="1"/>
  <c r="O3827" i="8" s="1"/>
  <c r="O3828" i="8" s="1"/>
  <c r="O3829" i="8" s="1"/>
  <c r="O3830" i="8" s="1"/>
  <c r="O3831" i="8" s="1"/>
  <c r="O3832" i="8" s="1"/>
  <c r="O3833" i="8" s="1"/>
  <c r="O3834" i="8" s="1"/>
  <c r="O3835" i="8" s="1"/>
  <c r="O3836" i="8" s="1"/>
  <c r="O3837" i="8" s="1"/>
  <c r="O3838" i="8" s="1"/>
  <c r="O3839" i="8" s="1"/>
  <c r="O3840" i="8" s="1"/>
  <c r="O3841" i="8" s="1"/>
  <c r="O3842" i="8" s="1"/>
  <c r="O3843" i="8" s="1"/>
  <c r="O3844" i="8" s="1"/>
  <c r="O3845" i="8" s="1"/>
  <c r="O3846" i="8" s="1"/>
  <c r="O3847" i="8" s="1"/>
  <c r="O3848" i="8" s="1"/>
  <c r="O3849" i="8" s="1"/>
  <c r="O3850" i="8" s="1"/>
  <c r="O3851" i="8" s="1"/>
  <c r="O3852" i="8" s="1"/>
  <c r="O3853" i="8" s="1"/>
  <c r="O3854" i="8" s="1"/>
  <c r="O3855" i="8" s="1"/>
  <c r="O3856" i="8" s="1"/>
  <c r="O3857" i="8" s="1"/>
  <c r="O3858" i="8" s="1"/>
  <c r="O3859" i="8" s="1"/>
  <c r="O3860" i="8" s="1"/>
  <c r="O3861" i="8" s="1"/>
  <c r="O3862" i="8" s="1"/>
  <c r="O3863" i="8" s="1"/>
  <c r="O3864" i="8" s="1"/>
  <c r="O3865" i="8" s="1"/>
  <c r="O3866" i="8" s="1"/>
  <c r="O3867" i="8" s="1"/>
  <c r="O3868" i="8" s="1"/>
  <c r="O3869" i="8" s="1"/>
  <c r="O3870" i="8" s="1"/>
  <c r="O3871" i="8" s="1"/>
  <c r="O3872" i="8" s="1"/>
  <c r="O3873" i="8" s="1"/>
  <c r="O3874" i="8" s="1"/>
  <c r="O3875" i="8" s="1"/>
  <c r="O3876" i="8" s="1"/>
  <c r="O3877" i="8" s="1"/>
  <c r="O3878" i="8" s="1"/>
  <c r="O3879" i="8" s="1"/>
  <c r="O3880" i="8" s="1"/>
  <c r="O3881" i="8" s="1"/>
  <c r="O3882" i="8" s="1"/>
  <c r="O3883" i="8" s="1"/>
  <c r="O3884" i="8" s="1"/>
  <c r="O3885" i="8" s="1"/>
  <c r="O3886" i="8" s="1"/>
  <c r="O3887" i="8" s="1"/>
  <c r="O3888" i="8" s="1"/>
  <c r="O3889" i="8" s="1"/>
  <c r="O3890" i="8" s="1"/>
  <c r="O3891" i="8" s="1"/>
  <c r="O3892" i="8" s="1"/>
  <c r="O3893" i="8" s="1"/>
  <c r="O3894" i="8" s="1"/>
  <c r="O3895" i="8" s="1"/>
  <c r="O3896" i="8" s="1"/>
  <c r="O3897" i="8" s="1"/>
  <c r="O3898" i="8" s="1"/>
  <c r="O3899" i="8" s="1"/>
  <c r="O3900" i="8" s="1"/>
  <c r="O3901" i="8" s="1"/>
  <c r="O3902" i="8" s="1"/>
  <c r="O3903" i="8" s="1"/>
  <c r="O3904" i="8" s="1"/>
  <c r="O3905" i="8" s="1"/>
  <c r="O3906" i="8" s="1"/>
  <c r="O3907" i="8" s="1"/>
  <c r="O3908" i="8" s="1"/>
  <c r="O3909" i="8" s="1"/>
  <c r="O3910" i="8" s="1"/>
  <c r="O3911" i="8" s="1"/>
  <c r="O3912" i="8" s="1"/>
  <c r="O3913" i="8" s="1"/>
  <c r="O3914" i="8" s="1"/>
  <c r="O3915" i="8" s="1"/>
  <c r="O3916" i="8" s="1"/>
  <c r="O3917" i="8" s="1"/>
  <c r="O3918" i="8" s="1"/>
  <c r="O3919" i="8" s="1"/>
  <c r="O3920" i="8" s="1"/>
  <c r="O3921" i="8" s="1"/>
  <c r="O3922" i="8" s="1"/>
  <c r="O3923" i="8" s="1"/>
  <c r="O3924" i="8" s="1"/>
  <c r="O3925" i="8" s="1"/>
  <c r="O3926" i="8" s="1"/>
  <c r="O3927" i="8" s="1"/>
  <c r="O3928" i="8" s="1"/>
  <c r="O3929" i="8" s="1"/>
  <c r="O3930" i="8" s="1"/>
  <c r="O3931" i="8" s="1"/>
  <c r="O3932" i="8" s="1"/>
  <c r="O3933" i="8" s="1"/>
  <c r="O3934" i="8" s="1"/>
  <c r="O3935" i="8" s="1"/>
  <c r="O3936" i="8" s="1"/>
  <c r="O3937" i="8" s="1"/>
  <c r="O3938" i="8" s="1"/>
  <c r="O3939" i="8" s="1"/>
  <c r="O3940" i="8" s="1"/>
  <c r="O3941" i="8" s="1"/>
  <c r="O3942" i="8" s="1"/>
  <c r="O3943" i="8" s="1"/>
  <c r="O3944" i="8" s="1"/>
  <c r="O3945" i="8" s="1"/>
  <c r="O3946" i="8" s="1"/>
  <c r="O3947" i="8" s="1"/>
  <c r="O3948" i="8" s="1"/>
  <c r="O3949" i="8" s="1"/>
  <c r="O3950" i="8" s="1"/>
  <c r="O3951" i="8" s="1"/>
  <c r="O3952" i="8" s="1"/>
  <c r="O3953" i="8" s="1"/>
  <c r="O3954" i="8" s="1"/>
  <c r="O3955" i="8" s="1"/>
  <c r="O3956" i="8" s="1"/>
  <c r="O3957" i="8" s="1"/>
  <c r="O3958" i="8" s="1"/>
  <c r="O3959" i="8" s="1"/>
  <c r="O3960" i="8" s="1"/>
  <c r="O3961" i="8" s="1"/>
  <c r="O3962" i="8" s="1"/>
  <c r="O3963" i="8" s="1"/>
  <c r="O3964" i="8" s="1"/>
  <c r="O3965" i="8" s="1"/>
  <c r="O3966" i="8" s="1"/>
  <c r="O3967" i="8" s="1"/>
  <c r="O3968" i="8" s="1"/>
  <c r="O3969" i="8" s="1"/>
  <c r="O3970" i="8" s="1"/>
  <c r="O3971" i="8" s="1"/>
  <c r="O3972" i="8" s="1"/>
  <c r="O3973" i="8" s="1"/>
  <c r="O3974" i="8" s="1"/>
  <c r="O3975" i="8" s="1"/>
  <c r="O3976" i="8" s="1"/>
  <c r="O3977" i="8" s="1"/>
  <c r="O3978" i="8" s="1"/>
  <c r="O3979" i="8" s="1"/>
  <c r="O3980" i="8" s="1"/>
  <c r="O3981" i="8" s="1"/>
  <c r="O3982" i="8" s="1"/>
  <c r="O3983" i="8" s="1"/>
  <c r="O3984" i="8" s="1"/>
  <c r="O3985" i="8" s="1"/>
  <c r="O3986" i="8" s="1"/>
  <c r="O3987" i="8" s="1"/>
  <c r="O3988" i="8" s="1"/>
  <c r="O3989" i="8" s="1"/>
  <c r="O3990" i="8" s="1"/>
  <c r="O3991" i="8" s="1"/>
  <c r="O3992" i="8" s="1"/>
  <c r="O3993" i="8" s="1"/>
  <c r="O3994" i="8" s="1"/>
  <c r="O3995" i="8" s="1"/>
  <c r="O3996" i="8" s="1"/>
  <c r="O3997" i="8" s="1"/>
  <c r="O3998" i="8" s="1"/>
  <c r="O3999" i="8" s="1"/>
  <c r="O4000" i="8" s="1"/>
  <c r="O4001" i="8" s="1"/>
  <c r="O4002" i="8" s="1"/>
  <c r="O4003" i="8" s="1"/>
  <c r="O4004" i="8" s="1"/>
  <c r="O4005" i="8" s="1"/>
  <c r="O4006" i="8" s="1"/>
  <c r="O4007" i="8" s="1"/>
  <c r="O4008" i="8" s="1"/>
  <c r="O4009" i="8" s="1"/>
  <c r="O4010" i="8" s="1"/>
  <c r="O4011" i="8" s="1"/>
  <c r="O4012" i="8" s="1"/>
  <c r="O4013" i="8" s="1"/>
  <c r="O4014" i="8" s="1"/>
  <c r="O4015" i="8" s="1"/>
  <c r="O4016" i="8" s="1"/>
  <c r="O4017" i="8" s="1"/>
  <c r="O4018" i="8" s="1"/>
  <c r="O4019" i="8" s="1"/>
  <c r="O4020" i="8" s="1"/>
  <c r="O4021" i="8" s="1"/>
  <c r="O4022" i="8" s="1"/>
  <c r="O4023" i="8" s="1"/>
  <c r="O4024" i="8" s="1"/>
  <c r="O4025" i="8" s="1"/>
  <c r="O4026" i="8" s="1"/>
  <c r="O4027" i="8" s="1"/>
  <c r="O4028" i="8" s="1"/>
  <c r="O4029" i="8" s="1"/>
  <c r="O4030" i="8" s="1"/>
  <c r="O4031" i="8" s="1"/>
  <c r="O4032" i="8" s="1"/>
  <c r="O4033" i="8" s="1"/>
  <c r="O4034" i="8" s="1"/>
  <c r="O4035" i="8" s="1"/>
  <c r="O4036" i="8" s="1"/>
  <c r="O4037" i="8" s="1"/>
  <c r="O4038" i="8" s="1"/>
  <c r="O4039" i="8" s="1"/>
  <c r="O4040" i="8" s="1"/>
  <c r="O4041" i="8" s="1"/>
  <c r="O4042" i="8" s="1"/>
  <c r="O4043" i="8" s="1"/>
  <c r="O4044" i="8" s="1"/>
  <c r="O4045" i="8" s="1"/>
  <c r="O4046" i="8" s="1"/>
  <c r="O4047" i="8" s="1"/>
  <c r="O4048" i="8" s="1"/>
  <c r="O4049" i="8" s="1"/>
  <c r="O4050" i="8" s="1"/>
  <c r="O4051" i="8" s="1"/>
  <c r="O4052" i="8" s="1"/>
  <c r="O4053" i="8" s="1"/>
  <c r="O4054" i="8" s="1"/>
  <c r="O4055" i="8" s="1"/>
  <c r="O4056" i="8" s="1"/>
  <c r="O4057" i="8" s="1"/>
  <c r="O4058" i="8" s="1"/>
  <c r="O4059" i="8" s="1"/>
  <c r="O4060" i="8" s="1"/>
  <c r="O4061" i="8" s="1"/>
  <c r="O4062" i="8" s="1"/>
  <c r="O4063" i="8" s="1"/>
  <c r="O4064" i="8" s="1"/>
  <c r="O4065" i="8" s="1"/>
  <c r="O4066" i="8" s="1"/>
  <c r="O4067" i="8" s="1"/>
  <c r="O4068" i="8" s="1"/>
  <c r="O4069" i="8" s="1"/>
  <c r="O4070" i="8" s="1"/>
  <c r="O4071" i="8" s="1"/>
  <c r="O4072" i="8" s="1"/>
  <c r="O4073" i="8" s="1"/>
  <c r="O4074" i="8" s="1"/>
  <c r="O4075" i="8" s="1"/>
  <c r="O4076" i="8" s="1"/>
  <c r="O4077" i="8" s="1"/>
  <c r="O4078" i="8" s="1"/>
  <c r="O4079" i="8" s="1"/>
  <c r="O4080" i="8" s="1"/>
  <c r="O4081" i="8" s="1"/>
  <c r="O4082" i="8" s="1"/>
  <c r="O4083" i="8" s="1"/>
  <c r="O4084" i="8" s="1"/>
  <c r="O4085" i="8" s="1"/>
  <c r="O4086" i="8" s="1"/>
  <c r="O4087" i="8" s="1"/>
  <c r="O4088" i="8" s="1"/>
  <c r="O4089" i="8" s="1"/>
  <c r="O4090" i="8" s="1"/>
  <c r="O4091" i="8" s="1"/>
  <c r="O4092" i="8" s="1"/>
  <c r="O4093" i="8" s="1"/>
  <c r="O4094" i="8" s="1"/>
  <c r="O4095" i="8" s="1"/>
  <c r="O4096" i="8" s="1"/>
  <c r="O4097" i="8" s="1"/>
  <c r="O4098" i="8" s="1"/>
  <c r="O4099" i="8" s="1"/>
  <c r="O4100" i="8" s="1"/>
  <c r="O4101" i="8" s="1"/>
  <c r="O4102" i="8" s="1"/>
  <c r="O4103" i="8" s="1"/>
  <c r="O4104" i="8" s="1"/>
  <c r="O4105" i="8" s="1"/>
  <c r="O4106" i="8" s="1"/>
  <c r="O4107" i="8" s="1"/>
  <c r="O4108" i="8" s="1"/>
  <c r="O4109" i="8" s="1"/>
  <c r="O4110" i="8" s="1"/>
  <c r="O4111" i="8" s="1"/>
  <c r="O4112" i="8" s="1"/>
  <c r="O4113" i="8" s="1"/>
  <c r="O4114" i="8" s="1"/>
  <c r="O4115" i="8" s="1"/>
  <c r="O4116" i="8" s="1"/>
  <c r="O4117" i="8" s="1"/>
  <c r="O4118" i="8" s="1"/>
  <c r="O4119" i="8" s="1"/>
  <c r="O4120" i="8" s="1"/>
  <c r="O4121" i="8" s="1"/>
  <c r="O4122" i="8" s="1"/>
  <c r="O4123" i="8" s="1"/>
  <c r="O4124" i="8" s="1"/>
  <c r="O4125" i="8" s="1"/>
  <c r="O4126" i="8" s="1"/>
  <c r="O4127" i="8" s="1"/>
  <c r="O4128" i="8" s="1"/>
  <c r="O4129" i="8" s="1"/>
  <c r="O4130" i="8" s="1"/>
  <c r="O4131" i="8" s="1"/>
  <c r="O4132" i="8" s="1"/>
  <c r="O4133" i="8" s="1"/>
  <c r="O4134" i="8" s="1"/>
  <c r="O4135" i="8" s="1"/>
  <c r="O4136" i="8" s="1"/>
  <c r="O4137" i="8" s="1"/>
  <c r="O4138" i="8" s="1"/>
  <c r="O4139" i="8" s="1"/>
  <c r="O4140" i="8" s="1"/>
  <c r="O4141" i="8" s="1"/>
  <c r="O4142" i="8" s="1"/>
  <c r="O4143" i="8" s="1"/>
  <c r="O4144" i="8" s="1"/>
  <c r="O4145" i="8" s="1"/>
  <c r="O4146" i="8" s="1"/>
  <c r="O4147" i="8" s="1"/>
  <c r="O4148" i="8" s="1"/>
  <c r="O4149" i="8" s="1"/>
  <c r="O4150" i="8" s="1"/>
  <c r="O4151" i="8" s="1"/>
  <c r="O4152" i="8" s="1"/>
  <c r="O4153" i="8" s="1"/>
  <c r="O4154" i="8" s="1"/>
  <c r="O4155" i="8" s="1"/>
  <c r="O4156" i="8" s="1"/>
  <c r="O4157" i="8" s="1"/>
  <c r="O4158" i="8" s="1"/>
  <c r="O4159" i="8" s="1"/>
  <c r="O4160" i="8" s="1"/>
  <c r="O4161" i="8" s="1"/>
  <c r="O4162" i="8" s="1"/>
  <c r="O4163" i="8" s="1"/>
  <c r="O4164" i="8" s="1"/>
  <c r="O4165" i="8" s="1"/>
  <c r="O4166" i="8" s="1"/>
  <c r="O4167" i="8" s="1"/>
  <c r="O4168" i="8" s="1"/>
  <c r="O4169" i="8" s="1"/>
  <c r="O4170" i="8" s="1"/>
  <c r="O4171" i="8" s="1"/>
  <c r="O4172" i="8" s="1"/>
  <c r="O4173" i="8" s="1"/>
  <c r="O4174" i="8" s="1"/>
  <c r="O4175" i="8" s="1"/>
  <c r="O4176" i="8" s="1"/>
  <c r="O4177" i="8" s="1"/>
  <c r="O4178" i="8" s="1"/>
  <c r="O4179" i="8" s="1"/>
  <c r="O4180" i="8" s="1"/>
  <c r="O4181" i="8" s="1"/>
  <c r="O4182" i="8" s="1"/>
  <c r="O4183" i="8" s="1"/>
  <c r="O4184" i="8" s="1"/>
  <c r="O4185" i="8" s="1"/>
  <c r="O4186" i="8" s="1"/>
  <c r="O4187" i="8" s="1"/>
  <c r="O4188" i="8" s="1"/>
  <c r="O4189" i="8" s="1"/>
  <c r="O4190" i="8" s="1"/>
  <c r="O4191" i="8" s="1"/>
  <c r="O4192" i="8" s="1"/>
  <c r="O4193" i="8" s="1"/>
  <c r="O4194" i="8" s="1"/>
  <c r="O4195" i="8" s="1"/>
  <c r="O4196" i="8" s="1"/>
  <c r="O4197" i="8" s="1"/>
  <c r="O4198" i="8" s="1"/>
  <c r="O4199" i="8" s="1"/>
  <c r="O4200" i="8" s="1"/>
  <c r="O4201" i="8" s="1"/>
  <c r="O4202" i="8" s="1"/>
  <c r="O4203" i="8" s="1"/>
  <c r="O4204" i="8" s="1"/>
  <c r="O4205" i="8" s="1"/>
  <c r="O4206" i="8" s="1"/>
  <c r="O4207" i="8" s="1"/>
  <c r="O4208" i="8" s="1"/>
  <c r="O4209" i="8" s="1"/>
  <c r="O4210" i="8" s="1"/>
  <c r="O4211" i="8" s="1"/>
  <c r="O4212" i="8" s="1"/>
  <c r="O4213" i="8" s="1"/>
  <c r="O4214" i="8" s="1"/>
  <c r="O4215" i="8" s="1"/>
  <c r="O4216" i="8" s="1"/>
  <c r="O4217" i="8" s="1"/>
  <c r="O4218" i="8" s="1"/>
  <c r="O4219" i="8" s="1"/>
  <c r="O4220" i="8" s="1"/>
  <c r="O4221" i="8" s="1"/>
  <c r="O4222" i="8" s="1"/>
  <c r="O4223" i="8" s="1"/>
  <c r="O4224" i="8" s="1"/>
  <c r="O4225" i="8" s="1"/>
  <c r="O4226" i="8" s="1"/>
  <c r="O4227" i="8" s="1"/>
  <c r="O4228" i="8" s="1"/>
  <c r="O4229" i="8" s="1"/>
  <c r="O4230" i="8" s="1"/>
  <c r="O4231" i="8" s="1"/>
  <c r="O4232" i="8" s="1"/>
  <c r="O4233" i="8" s="1"/>
  <c r="O4234" i="8" s="1"/>
  <c r="O4235" i="8" s="1"/>
  <c r="O4236" i="8" s="1"/>
  <c r="O4237" i="8" s="1"/>
  <c r="O4238" i="8" s="1"/>
  <c r="O4239" i="8" s="1"/>
  <c r="O4240" i="8" s="1"/>
  <c r="O4241" i="8" s="1"/>
  <c r="O4242" i="8" s="1"/>
  <c r="O4243" i="8" s="1"/>
  <c r="O4244" i="8" s="1"/>
  <c r="O4245" i="8" s="1"/>
  <c r="O4246" i="8" s="1"/>
  <c r="O4247" i="8" s="1"/>
  <c r="O4248" i="8" s="1"/>
  <c r="O4249" i="8" s="1"/>
  <c r="O4250" i="8" s="1"/>
  <c r="O4251" i="8" s="1"/>
  <c r="O4252" i="8" s="1"/>
  <c r="O4253" i="8" s="1"/>
  <c r="O4254" i="8" s="1"/>
  <c r="O4255" i="8" s="1"/>
  <c r="O4256" i="8" s="1"/>
  <c r="O4257" i="8" s="1"/>
  <c r="O4258" i="8" s="1"/>
  <c r="O4259" i="8" s="1"/>
  <c r="O4260" i="8" s="1"/>
  <c r="O4261" i="8" s="1"/>
  <c r="O4262" i="8" s="1"/>
  <c r="O4263" i="8" s="1"/>
  <c r="O4264" i="8" s="1"/>
  <c r="O4265" i="8" s="1"/>
  <c r="O4266" i="8" s="1"/>
  <c r="O4267" i="8" s="1"/>
  <c r="O4268" i="8" s="1"/>
  <c r="O4269" i="8" s="1"/>
  <c r="O4270" i="8" s="1"/>
  <c r="O4271" i="8" s="1"/>
  <c r="O4272" i="8" s="1"/>
  <c r="O4273" i="8" s="1"/>
  <c r="O4274" i="8" s="1"/>
  <c r="O4275" i="8" s="1"/>
  <c r="O4276" i="8" s="1"/>
  <c r="O4277" i="8" s="1"/>
  <c r="O4278" i="8" s="1"/>
  <c r="O4279" i="8" s="1"/>
  <c r="O4280" i="8" s="1"/>
  <c r="O4281" i="8" s="1"/>
  <c r="O4282" i="8" s="1"/>
  <c r="O4283" i="8" s="1"/>
  <c r="O4284" i="8" s="1"/>
  <c r="O4285" i="8" s="1"/>
  <c r="O4286" i="8" s="1"/>
  <c r="O4287" i="8" s="1"/>
  <c r="O4288" i="8" s="1"/>
  <c r="O4289" i="8" s="1"/>
  <c r="O4290" i="8" s="1"/>
  <c r="O4291" i="8" s="1"/>
  <c r="O4292" i="8" s="1"/>
  <c r="O4293" i="8" s="1"/>
  <c r="O4294" i="8" s="1"/>
  <c r="O4295" i="8" s="1"/>
  <c r="O4296" i="8" s="1"/>
  <c r="O4297" i="8" s="1"/>
  <c r="O4298" i="8" s="1"/>
  <c r="O4299" i="8" s="1"/>
  <c r="O4300" i="8" s="1"/>
  <c r="O4301" i="8" s="1"/>
  <c r="O4302" i="8" s="1"/>
  <c r="O4303" i="8" s="1"/>
  <c r="O4304" i="8" s="1"/>
  <c r="O4305" i="8" s="1"/>
  <c r="O4306" i="8" s="1"/>
  <c r="O4307" i="8" s="1"/>
  <c r="O4308" i="8" s="1"/>
  <c r="O4309" i="8" s="1"/>
  <c r="O4310" i="8" s="1"/>
  <c r="O4311" i="8" s="1"/>
  <c r="O4312" i="8" s="1"/>
  <c r="O4313" i="8" s="1"/>
  <c r="O4314" i="8" s="1"/>
  <c r="O4315" i="8" s="1"/>
  <c r="O4316" i="8" s="1"/>
  <c r="O4317" i="8" s="1"/>
  <c r="O4318" i="8" s="1"/>
  <c r="O4319" i="8" s="1"/>
  <c r="O4320" i="8" s="1"/>
  <c r="O4321" i="8" s="1"/>
  <c r="O4322" i="8" s="1"/>
  <c r="O4323" i="8" s="1"/>
  <c r="O4324" i="8" s="1"/>
  <c r="O4325" i="8" s="1"/>
  <c r="O4326" i="8" s="1"/>
  <c r="O4327" i="8" s="1"/>
  <c r="O4328" i="8" s="1"/>
  <c r="O4329" i="8" s="1"/>
  <c r="O4330" i="8" s="1"/>
  <c r="O4331" i="8" s="1"/>
  <c r="O4332" i="8" s="1"/>
  <c r="O4333" i="8" s="1"/>
  <c r="O4334" i="8" s="1"/>
  <c r="O4335" i="8" s="1"/>
  <c r="O4336" i="8" s="1"/>
  <c r="O4337" i="8" s="1"/>
  <c r="O4338" i="8" s="1"/>
  <c r="O4339" i="8" s="1"/>
  <c r="O4340" i="8" s="1"/>
  <c r="O4341" i="8" s="1"/>
  <c r="O4342" i="8" s="1"/>
  <c r="O4343" i="8" s="1"/>
  <c r="O4344" i="8" s="1"/>
  <c r="O4345" i="8" s="1"/>
  <c r="O4346" i="8" s="1"/>
  <c r="O4347" i="8" s="1"/>
  <c r="O4348" i="8" s="1"/>
  <c r="O4349" i="8" s="1"/>
  <c r="O4350" i="8" s="1"/>
  <c r="O4351" i="8" s="1"/>
  <c r="O4352" i="8" s="1"/>
  <c r="O4353" i="8" s="1"/>
  <c r="O4354" i="8" s="1"/>
  <c r="O4355" i="8" s="1"/>
  <c r="O4356" i="8" s="1"/>
  <c r="O4357" i="8" s="1"/>
  <c r="O4358" i="8" s="1"/>
  <c r="O4359" i="8" s="1"/>
  <c r="O4360" i="8" s="1"/>
  <c r="O4361" i="8" s="1"/>
  <c r="O4362" i="8" s="1"/>
  <c r="O4363" i="8" s="1"/>
  <c r="O4364" i="8" s="1"/>
  <c r="O4365" i="8" s="1"/>
  <c r="O4366" i="8" s="1"/>
  <c r="O4367" i="8" s="1"/>
  <c r="O4368" i="8" s="1"/>
  <c r="O4369" i="8" s="1"/>
  <c r="O4370" i="8" s="1"/>
  <c r="O4371" i="8" s="1"/>
  <c r="O4372" i="8" s="1"/>
  <c r="O4373" i="8" s="1"/>
  <c r="O4374" i="8" s="1"/>
  <c r="O4375" i="8" s="1"/>
  <c r="O4376" i="8" s="1"/>
  <c r="O4377" i="8" s="1"/>
  <c r="O4378" i="8" s="1"/>
  <c r="O4379" i="8" s="1"/>
  <c r="O4380" i="8" s="1"/>
  <c r="O4381" i="8" s="1"/>
  <c r="O4382" i="8" s="1"/>
  <c r="O4383" i="8" s="1"/>
  <c r="O4384" i="8" s="1"/>
  <c r="O4385" i="8" s="1"/>
  <c r="O4386" i="8" s="1"/>
  <c r="O4387" i="8" s="1"/>
  <c r="O4388" i="8" s="1"/>
  <c r="O4389" i="8" s="1"/>
  <c r="O4390" i="8" s="1"/>
  <c r="O4391" i="8" s="1"/>
  <c r="O4392" i="8" s="1"/>
  <c r="O4393" i="8" s="1"/>
  <c r="O4394" i="8" s="1"/>
  <c r="O4395" i="8" s="1"/>
  <c r="O4396" i="8" s="1"/>
  <c r="O4397" i="8" s="1"/>
  <c r="O4398" i="8" s="1"/>
  <c r="O4399" i="8" s="1"/>
  <c r="O4400" i="8" s="1"/>
  <c r="O4401" i="8" s="1"/>
  <c r="O4402" i="8" s="1"/>
  <c r="O4403" i="8" s="1"/>
  <c r="O4404" i="8" s="1"/>
  <c r="O4405" i="8" s="1"/>
  <c r="O4406" i="8" s="1"/>
  <c r="O4407" i="8" s="1"/>
  <c r="O4408" i="8" s="1"/>
  <c r="O4409" i="8" s="1"/>
  <c r="O4410" i="8" s="1"/>
  <c r="O4411" i="8" s="1"/>
  <c r="O4412" i="8" s="1"/>
  <c r="O4413" i="8" s="1"/>
  <c r="O4414" i="8" s="1"/>
  <c r="O4415" i="8" s="1"/>
  <c r="O4416" i="8" s="1"/>
  <c r="O4417" i="8" s="1"/>
  <c r="O4418" i="8" s="1"/>
  <c r="O4419" i="8" s="1"/>
  <c r="O4420" i="8" s="1"/>
  <c r="O4421" i="8" s="1"/>
  <c r="O4422" i="8" s="1"/>
  <c r="O4423" i="8" s="1"/>
  <c r="O4424" i="8" s="1"/>
  <c r="O4425" i="8" s="1"/>
  <c r="O4426" i="8" s="1"/>
  <c r="O4427" i="8" s="1"/>
  <c r="O4428" i="8" s="1"/>
  <c r="O4429" i="8" s="1"/>
  <c r="O4430" i="8" s="1"/>
  <c r="O4431" i="8" s="1"/>
  <c r="O4432" i="8" s="1"/>
  <c r="O4433" i="8" s="1"/>
  <c r="O4434" i="8" s="1"/>
  <c r="O4435" i="8" s="1"/>
  <c r="O4436" i="8" s="1"/>
  <c r="O4437" i="8" s="1"/>
  <c r="O4438" i="8" s="1"/>
  <c r="O4439" i="8" s="1"/>
  <c r="O4440" i="8" s="1"/>
  <c r="O4441" i="8" s="1"/>
  <c r="O4442" i="8" s="1"/>
  <c r="O4443" i="8" s="1"/>
  <c r="O4444" i="8" s="1"/>
  <c r="O4445" i="8" s="1"/>
  <c r="O4446" i="8" s="1"/>
  <c r="O4447" i="8" s="1"/>
  <c r="O4448" i="8" s="1"/>
  <c r="O4449" i="8" s="1"/>
  <c r="O4450" i="8" s="1"/>
  <c r="O4451" i="8" s="1"/>
  <c r="O4452" i="8" s="1"/>
  <c r="O4453" i="8" s="1"/>
  <c r="O4454" i="8" s="1"/>
  <c r="O4455" i="8" s="1"/>
  <c r="O4456" i="8" s="1"/>
  <c r="O4457" i="8" s="1"/>
  <c r="O4458" i="8" s="1"/>
  <c r="O4459" i="8" s="1"/>
  <c r="O4460" i="8" s="1"/>
  <c r="O4461" i="8" s="1"/>
  <c r="O4462" i="8" s="1"/>
  <c r="O4463" i="8" s="1"/>
  <c r="O4464" i="8" s="1"/>
  <c r="O4465" i="8" s="1"/>
  <c r="O4466" i="8" s="1"/>
  <c r="O4467" i="8" s="1"/>
  <c r="O4468" i="8" s="1"/>
  <c r="O4469" i="8" s="1"/>
  <c r="O4470" i="8" s="1"/>
  <c r="O4471" i="8" s="1"/>
  <c r="O4472" i="8" s="1"/>
  <c r="O4473" i="8" s="1"/>
  <c r="O4474" i="8" s="1"/>
  <c r="O4475" i="8" s="1"/>
  <c r="O4476" i="8" s="1"/>
  <c r="O4477" i="8" s="1"/>
  <c r="O4478" i="8" s="1"/>
  <c r="O4479" i="8" s="1"/>
  <c r="O4480" i="8" s="1"/>
  <c r="O4481" i="8" s="1"/>
  <c r="O4482" i="8" s="1"/>
  <c r="O4483" i="8" s="1"/>
  <c r="O4484" i="8" s="1"/>
  <c r="O4485" i="8" s="1"/>
  <c r="O4486" i="8" s="1"/>
  <c r="O4487" i="8" s="1"/>
  <c r="O4488" i="8" s="1"/>
  <c r="O4489" i="8" s="1"/>
  <c r="O4490" i="8" s="1"/>
  <c r="O4491" i="8" s="1"/>
  <c r="O4492" i="8" s="1"/>
  <c r="O4493" i="8" s="1"/>
  <c r="O4494" i="8" s="1"/>
  <c r="O4495" i="8" s="1"/>
  <c r="O4496" i="8" s="1"/>
  <c r="O4497" i="8" s="1"/>
  <c r="O4498" i="8" s="1"/>
  <c r="O4499" i="8" s="1"/>
  <c r="O4500" i="8" s="1"/>
  <c r="O4501" i="8" s="1"/>
  <c r="O4502" i="8" s="1"/>
  <c r="O4503" i="8" s="1"/>
  <c r="O4504" i="8" s="1"/>
  <c r="O4505" i="8" s="1"/>
  <c r="O4506" i="8" s="1"/>
  <c r="O4507" i="8" s="1"/>
  <c r="O4508" i="8" s="1"/>
  <c r="O4509" i="8" s="1"/>
  <c r="O4510" i="8" s="1"/>
  <c r="O4511" i="8" s="1"/>
  <c r="O4512" i="8" s="1"/>
  <c r="O4513" i="8" s="1"/>
  <c r="O4514" i="8" s="1"/>
  <c r="O4515" i="8" s="1"/>
  <c r="O4516" i="8" s="1"/>
  <c r="O4517" i="8" s="1"/>
  <c r="O4518" i="8" s="1"/>
  <c r="O4519" i="8" s="1"/>
  <c r="O4520" i="8" s="1"/>
  <c r="O4521" i="8" s="1"/>
  <c r="O4522" i="8" s="1"/>
  <c r="O4523" i="8" s="1"/>
  <c r="O4524" i="8" s="1"/>
  <c r="O4525" i="8" s="1"/>
  <c r="O4526" i="8" s="1"/>
  <c r="O4527" i="8" s="1"/>
  <c r="O4528" i="8" s="1"/>
  <c r="O4529" i="8" s="1"/>
  <c r="O4530" i="8" s="1"/>
  <c r="O4531" i="8" s="1"/>
  <c r="O4532" i="8" s="1"/>
  <c r="O4533" i="8" s="1"/>
  <c r="O4534" i="8" s="1"/>
  <c r="O4535" i="8" s="1"/>
  <c r="O4536" i="8" s="1"/>
  <c r="O4537" i="8" s="1"/>
  <c r="O4538" i="8" s="1"/>
  <c r="O4539" i="8" s="1"/>
  <c r="O4540" i="8" s="1"/>
  <c r="O4541" i="8" s="1"/>
  <c r="O4542" i="8" s="1"/>
  <c r="O4543" i="8" s="1"/>
  <c r="O4544" i="8" s="1"/>
  <c r="O4545" i="8" s="1"/>
  <c r="O4546" i="8" s="1"/>
  <c r="O4547" i="8" s="1"/>
  <c r="O4548" i="8" s="1"/>
  <c r="O4549" i="8" s="1"/>
  <c r="O4550" i="8" s="1"/>
  <c r="O4551" i="8" s="1"/>
  <c r="O4552" i="8" s="1"/>
  <c r="O4553" i="8" s="1"/>
  <c r="O4554" i="8" s="1"/>
  <c r="O4555" i="8" s="1"/>
  <c r="O4556" i="8" s="1"/>
  <c r="O4557" i="8" s="1"/>
  <c r="O4558" i="8" s="1"/>
  <c r="O4559" i="8" s="1"/>
  <c r="O4560" i="8" s="1"/>
  <c r="O4561" i="8" s="1"/>
  <c r="O4562" i="8" s="1"/>
  <c r="O4563" i="8" s="1"/>
  <c r="O4564" i="8" s="1"/>
  <c r="O4565" i="8" s="1"/>
  <c r="O4566" i="8" s="1"/>
  <c r="O4567" i="8" s="1"/>
  <c r="O4568" i="8" s="1"/>
  <c r="O4569" i="8" s="1"/>
  <c r="O4570" i="8" s="1"/>
  <c r="O4571" i="8" s="1"/>
  <c r="O4572" i="8" s="1"/>
  <c r="O4573" i="8" s="1"/>
  <c r="O4574" i="8" s="1"/>
  <c r="O4575" i="8" s="1"/>
  <c r="O4576" i="8" s="1"/>
  <c r="O4577" i="8" s="1"/>
  <c r="O4578" i="8" s="1"/>
  <c r="O4579" i="8" s="1"/>
  <c r="O4580" i="8" s="1"/>
  <c r="O4581" i="8" s="1"/>
  <c r="O4582" i="8" s="1"/>
  <c r="O4583" i="8" s="1"/>
  <c r="O4584" i="8" s="1"/>
  <c r="O4585" i="8" s="1"/>
  <c r="O4586" i="8" s="1"/>
  <c r="O4587" i="8" s="1"/>
  <c r="O4588" i="8" s="1"/>
  <c r="O4589" i="8" s="1"/>
  <c r="O4590" i="8" s="1"/>
  <c r="O4591" i="8" s="1"/>
  <c r="O4592" i="8" s="1"/>
  <c r="O4593" i="8" s="1"/>
  <c r="O4594" i="8" s="1"/>
  <c r="O4595" i="8" s="1"/>
  <c r="O4596" i="8" s="1"/>
  <c r="O4597" i="8" s="1"/>
  <c r="O4598" i="8" s="1"/>
  <c r="O4599" i="8" s="1"/>
  <c r="O4600" i="8" s="1"/>
  <c r="O4601" i="8" s="1"/>
  <c r="O4602" i="8" s="1"/>
  <c r="O4603" i="8" s="1"/>
  <c r="O4604" i="8" s="1"/>
  <c r="O4605" i="8" s="1"/>
  <c r="O4606" i="8" s="1"/>
  <c r="O4607" i="8" s="1"/>
  <c r="O4608" i="8" s="1"/>
  <c r="O4609" i="8" s="1"/>
  <c r="O4610" i="8" s="1"/>
  <c r="O4611" i="8" s="1"/>
  <c r="O4612" i="8" s="1"/>
  <c r="O4613" i="8" s="1"/>
  <c r="O4614" i="8" s="1"/>
  <c r="O4615" i="8" s="1"/>
  <c r="O4616" i="8" s="1"/>
  <c r="O4617" i="8" s="1"/>
  <c r="O4618" i="8" s="1"/>
  <c r="O4619" i="8" s="1"/>
  <c r="O4620" i="8" s="1"/>
  <c r="O4621" i="8" s="1"/>
  <c r="O4622" i="8" s="1"/>
  <c r="O4623" i="8" s="1"/>
  <c r="O4624" i="8" s="1"/>
  <c r="O4625" i="8" s="1"/>
  <c r="O4626" i="8" s="1"/>
  <c r="O4627" i="8" s="1"/>
  <c r="O4628" i="8" s="1"/>
  <c r="O4629" i="8" s="1"/>
  <c r="O4630" i="8" s="1"/>
  <c r="O4631" i="8" s="1"/>
  <c r="O4632" i="8" s="1"/>
  <c r="O4633" i="8" s="1"/>
  <c r="O4634" i="8" s="1"/>
  <c r="O4635" i="8" s="1"/>
  <c r="O4636" i="8" s="1"/>
  <c r="O4637" i="8" s="1"/>
  <c r="O4638" i="8" s="1"/>
  <c r="O4639" i="8" s="1"/>
  <c r="O4640" i="8" s="1"/>
  <c r="O4641" i="8" s="1"/>
  <c r="O4642" i="8" s="1"/>
  <c r="O4643" i="8" s="1"/>
  <c r="O4644" i="8" s="1"/>
  <c r="O4645" i="8" s="1"/>
  <c r="O4646" i="8" s="1"/>
  <c r="O4647" i="8" s="1"/>
  <c r="O4648" i="8" s="1"/>
  <c r="O4649" i="8" s="1"/>
  <c r="O4650" i="8" s="1"/>
  <c r="O4651" i="8" s="1"/>
  <c r="O4652" i="8" s="1"/>
  <c r="O4653" i="8" s="1"/>
  <c r="O4654" i="8" s="1"/>
  <c r="O4655" i="8" s="1"/>
  <c r="O4656" i="8" s="1"/>
  <c r="O4657" i="8" s="1"/>
  <c r="O4658" i="8" s="1"/>
  <c r="O4659" i="8" s="1"/>
  <c r="O4660" i="8" s="1"/>
  <c r="O4661" i="8" s="1"/>
  <c r="O4662" i="8" s="1"/>
  <c r="O4663" i="8" s="1"/>
  <c r="O4664" i="8" s="1"/>
  <c r="O4665" i="8" s="1"/>
  <c r="O4666" i="8" s="1"/>
  <c r="O4667" i="8" s="1"/>
  <c r="O4668" i="8" s="1"/>
  <c r="O4669" i="8" s="1"/>
  <c r="O4670" i="8" s="1"/>
  <c r="O4671" i="8" s="1"/>
  <c r="O4672" i="8" s="1"/>
  <c r="O4673" i="8" s="1"/>
  <c r="O4674" i="8" s="1"/>
  <c r="O4675" i="8" s="1"/>
  <c r="O4676" i="8" s="1"/>
  <c r="O4677" i="8" s="1"/>
  <c r="O4678" i="8" s="1"/>
  <c r="O4679" i="8" s="1"/>
  <c r="O4680" i="8" s="1"/>
  <c r="O4681" i="8" s="1"/>
  <c r="O4682" i="8" s="1"/>
  <c r="O4683" i="8" s="1"/>
  <c r="O4684" i="8" s="1"/>
  <c r="O4685" i="8" s="1"/>
  <c r="O4686" i="8" s="1"/>
  <c r="O4687" i="8" s="1"/>
  <c r="O4688" i="8" s="1"/>
  <c r="O4689" i="8" s="1"/>
  <c r="O4690" i="8" s="1"/>
  <c r="O4691" i="8" s="1"/>
  <c r="O4692" i="8" s="1"/>
  <c r="O4693" i="8" s="1"/>
  <c r="O4694" i="8" s="1"/>
  <c r="O4695" i="8" s="1"/>
  <c r="O4696" i="8" s="1"/>
  <c r="O4697" i="8" s="1"/>
  <c r="O4698" i="8" s="1"/>
  <c r="O4699" i="8" s="1"/>
  <c r="O4700" i="8" s="1"/>
  <c r="O4701" i="8" s="1"/>
  <c r="O4702" i="8" s="1"/>
  <c r="O4703" i="8" s="1"/>
  <c r="O4704" i="8" s="1"/>
  <c r="O4705" i="8" s="1"/>
  <c r="O4706" i="8" s="1"/>
  <c r="O4707" i="8" s="1"/>
  <c r="O4708" i="8" s="1"/>
  <c r="O4709" i="8" s="1"/>
  <c r="O4710" i="8" s="1"/>
  <c r="O4711" i="8" s="1"/>
  <c r="O4712" i="8" s="1"/>
  <c r="O4713" i="8" s="1"/>
  <c r="O4714" i="8" s="1"/>
  <c r="O4715" i="8" s="1"/>
  <c r="O4716" i="8" s="1"/>
  <c r="O4717" i="8" s="1"/>
  <c r="O4718" i="8" s="1"/>
  <c r="O4719" i="8" s="1"/>
  <c r="O4720" i="8" s="1"/>
  <c r="O4721" i="8" s="1"/>
  <c r="O4722" i="8" s="1"/>
  <c r="O4723" i="8" s="1"/>
  <c r="O4724" i="8" s="1"/>
  <c r="O4725" i="8" s="1"/>
  <c r="O4726" i="8" s="1"/>
  <c r="O4727" i="8" s="1"/>
  <c r="O4728" i="8" s="1"/>
  <c r="O4729" i="8" s="1"/>
  <c r="O4730" i="8" s="1"/>
  <c r="O4731" i="8" s="1"/>
  <c r="O4732" i="8" s="1"/>
  <c r="O4733" i="8" s="1"/>
  <c r="O4734" i="8" s="1"/>
  <c r="O4735" i="8" s="1"/>
  <c r="O4736" i="8" s="1"/>
  <c r="O4737" i="8" s="1"/>
  <c r="O4738" i="8" s="1"/>
  <c r="O4739" i="8" s="1"/>
  <c r="O4740" i="8" s="1"/>
  <c r="O4741" i="8" s="1"/>
  <c r="O4742" i="8" s="1"/>
  <c r="O4743" i="8" s="1"/>
  <c r="O4744" i="8" s="1"/>
  <c r="O4745" i="8" s="1"/>
  <c r="O4746" i="8" s="1"/>
  <c r="O4747" i="8" s="1"/>
  <c r="O4748" i="8" s="1"/>
  <c r="O4749" i="8" s="1"/>
  <c r="O4750" i="8" s="1"/>
  <c r="O4751" i="8" s="1"/>
  <c r="O4752" i="8" s="1"/>
  <c r="O4753" i="8" s="1"/>
  <c r="O4754" i="8" s="1"/>
  <c r="O4755" i="8" s="1"/>
  <c r="O4756" i="8" s="1"/>
  <c r="O4757" i="8" s="1"/>
  <c r="O4758" i="8" s="1"/>
  <c r="O4759" i="8" s="1"/>
  <c r="O4760" i="8" s="1"/>
  <c r="O4761" i="8" s="1"/>
  <c r="O4762" i="8" s="1"/>
  <c r="O4763" i="8" s="1"/>
  <c r="O4764" i="8" s="1"/>
  <c r="O4765" i="8" s="1"/>
  <c r="O4766" i="8" s="1"/>
  <c r="O4767" i="8" s="1"/>
  <c r="O4768" i="8" s="1"/>
  <c r="O4769" i="8" s="1"/>
  <c r="O4770" i="8" s="1"/>
  <c r="O4771" i="8" s="1"/>
  <c r="O4772" i="8" s="1"/>
  <c r="O4773" i="8" s="1"/>
  <c r="O4774" i="8" s="1"/>
  <c r="O4775" i="8" s="1"/>
  <c r="O4776" i="8" s="1"/>
  <c r="O4777" i="8" s="1"/>
  <c r="O4778" i="8" s="1"/>
  <c r="O4779" i="8" s="1"/>
  <c r="O4780" i="8" s="1"/>
  <c r="O4781" i="8" s="1"/>
  <c r="O4782" i="8" s="1"/>
  <c r="O4783" i="8" s="1"/>
  <c r="O4784" i="8" s="1"/>
  <c r="O4785" i="8" s="1"/>
  <c r="O4786" i="8" s="1"/>
  <c r="O4787" i="8" s="1"/>
  <c r="O4788" i="8" s="1"/>
  <c r="O4789" i="8" s="1"/>
  <c r="O4790" i="8" s="1"/>
  <c r="O4791" i="8" s="1"/>
  <c r="O4792" i="8" s="1"/>
  <c r="O4793" i="8" s="1"/>
  <c r="O4794" i="8" s="1"/>
  <c r="O4795" i="8" s="1"/>
  <c r="O4796" i="8" s="1"/>
  <c r="O4797" i="8" s="1"/>
  <c r="O4798" i="8" s="1"/>
  <c r="O4799" i="8" s="1"/>
  <c r="O4800" i="8" s="1"/>
  <c r="O4801" i="8" s="1"/>
  <c r="O4802" i="8" s="1"/>
  <c r="O4803" i="8" s="1"/>
  <c r="O4804" i="8" s="1"/>
  <c r="O4805" i="8" s="1"/>
  <c r="O4806" i="8" s="1"/>
  <c r="O4807" i="8" s="1"/>
  <c r="O4808" i="8" s="1"/>
  <c r="O4809" i="8" s="1"/>
  <c r="O4810" i="8" s="1"/>
  <c r="O4811" i="8" s="1"/>
  <c r="O4812" i="8" s="1"/>
  <c r="O4813" i="8" s="1"/>
  <c r="O4814" i="8" s="1"/>
  <c r="O4815" i="8" s="1"/>
  <c r="O4816" i="8" s="1"/>
  <c r="O4817" i="8" s="1"/>
  <c r="O4818" i="8" s="1"/>
  <c r="O4819" i="8" s="1"/>
  <c r="O4820" i="8" s="1"/>
  <c r="O4821" i="8" s="1"/>
  <c r="O4822" i="8" s="1"/>
  <c r="O4823" i="8" s="1"/>
  <c r="O4824" i="8" s="1"/>
  <c r="O4825" i="8" s="1"/>
  <c r="O4826" i="8" s="1"/>
  <c r="O4827" i="8" s="1"/>
  <c r="O4828" i="8" s="1"/>
  <c r="O4829" i="8" s="1"/>
  <c r="O4830" i="8" s="1"/>
  <c r="O4831" i="8" s="1"/>
  <c r="O4832" i="8" s="1"/>
  <c r="O4833" i="8" s="1"/>
  <c r="O4834" i="8" s="1"/>
  <c r="O4835" i="8" s="1"/>
  <c r="O4836" i="8" s="1"/>
  <c r="O4837" i="8" s="1"/>
  <c r="O4838" i="8" s="1"/>
  <c r="O4839" i="8" s="1"/>
  <c r="O4840" i="8" s="1"/>
  <c r="O4841" i="8" s="1"/>
  <c r="O4842" i="8" s="1"/>
  <c r="O4843" i="8" s="1"/>
  <c r="O4844" i="8" s="1"/>
  <c r="O4845" i="8" s="1"/>
  <c r="O4846" i="8" s="1"/>
  <c r="O4847" i="8" s="1"/>
  <c r="O4848" i="8" s="1"/>
  <c r="O4849" i="8" s="1"/>
  <c r="O4850" i="8" s="1"/>
  <c r="O4851" i="8" s="1"/>
  <c r="O4852" i="8" s="1"/>
  <c r="O4853" i="8" s="1"/>
  <c r="O4854" i="8" s="1"/>
  <c r="O4855" i="8" s="1"/>
  <c r="O4856" i="8" s="1"/>
  <c r="O4857" i="8" s="1"/>
  <c r="O4858" i="8" s="1"/>
  <c r="O4859" i="8" s="1"/>
  <c r="O4860" i="8" s="1"/>
  <c r="O4861" i="8" s="1"/>
  <c r="O4862" i="8" s="1"/>
  <c r="O4863" i="8" s="1"/>
  <c r="O4864" i="8" s="1"/>
  <c r="O4865" i="8" s="1"/>
  <c r="O4866" i="8" s="1"/>
  <c r="O4867" i="8" s="1"/>
  <c r="O4868" i="8" s="1"/>
  <c r="O4869" i="8" s="1"/>
  <c r="O4870" i="8" s="1"/>
  <c r="O4871" i="8" s="1"/>
  <c r="O4872" i="8" s="1"/>
  <c r="O4873" i="8" s="1"/>
  <c r="O4874" i="8" s="1"/>
  <c r="O4875" i="8" s="1"/>
  <c r="O4876" i="8" s="1"/>
  <c r="O4877" i="8" s="1"/>
  <c r="O4878" i="8" s="1"/>
  <c r="O4879" i="8" s="1"/>
  <c r="O4880" i="8" s="1"/>
  <c r="O4881" i="8" s="1"/>
  <c r="O4882" i="8" s="1"/>
  <c r="O4883" i="8" s="1"/>
  <c r="O4884" i="8" s="1"/>
  <c r="O4885" i="8" s="1"/>
  <c r="O4886" i="8" s="1"/>
  <c r="O4887" i="8" s="1"/>
  <c r="O4888" i="8" s="1"/>
  <c r="O4889" i="8" s="1"/>
  <c r="O4890" i="8" s="1"/>
  <c r="O4891" i="8" s="1"/>
  <c r="O4892" i="8" s="1"/>
  <c r="O4893" i="8" s="1"/>
  <c r="O4894" i="8" s="1"/>
  <c r="O4895" i="8" s="1"/>
  <c r="O4896" i="8" s="1"/>
  <c r="O4897" i="8" s="1"/>
  <c r="O4898" i="8" s="1"/>
  <c r="O4899" i="8" s="1"/>
  <c r="O4900" i="8" s="1"/>
  <c r="O4901" i="8" s="1"/>
  <c r="O4902" i="8" s="1"/>
  <c r="O4903" i="8" s="1"/>
  <c r="O4904" i="8" s="1"/>
  <c r="O4905" i="8" s="1"/>
  <c r="O4906" i="8" s="1"/>
  <c r="O4907" i="8" s="1"/>
  <c r="O4908" i="8" s="1"/>
  <c r="O4909" i="8" s="1"/>
  <c r="O4910" i="8" s="1"/>
  <c r="O4911" i="8" s="1"/>
  <c r="O4912" i="8" s="1"/>
  <c r="O4913" i="8" s="1"/>
  <c r="O4914" i="8" s="1"/>
  <c r="O4915" i="8" s="1"/>
  <c r="O4916" i="8" s="1"/>
  <c r="O4917" i="8" s="1"/>
  <c r="O4918" i="8" s="1"/>
  <c r="O4919" i="8" s="1"/>
  <c r="O4920" i="8" s="1"/>
  <c r="O4921" i="8" s="1"/>
  <c r="O4922" i="8" s="1"/>
  <c r="O4923" i="8" s="1"/>
  <c r="O4924" i="8" s="1"/>
  <c r="O4925" i="8" s="1"/>
  <c r="O4926" i="8" s="1"/>
  <c r="O4927" i="8" s="1"/>
  <c r="O4928" i="8" s="1"/>
  <c r="O4929" i="8" s="1"/>
  <c r="O4930" i="8" s="1"/>
  <c r="O4931" i="8" s="1"/>
  <c r="O4932" i="8" s="1"/>
  <c r="O4933" i="8" s="1"/>
  <c r="O4934" i="8" s="1"/>
  <c r="O4935" i="8" s="1"/>
  <c r="O4936" i="8" s="1"/>
  <c r="O4937" i="8" s="1"/>
  <c r="O4938" i="8" s="1"/>
  <c r="O4939" i="8" s="1"/>
  <c r="O4940" i="8" s="1"/>
  <c r="O4941" i="8" s="1"/>
  <c r="O4942" i="8" s="1"/>
  <c r="O4943" i="8" s="1"/>
  <c r="O4944" i="8" s="1"/>
  <c r="O4945" i="8" s="1"/>
  <c r="O4946" i="8" s="1"/>
  <c r="O4947" i="8" s="1"/>
  <c r="O4948" i="8" s="1"/>
  <c r="O4949" i="8" s="1"/>
  <c r="O4950" i="8" s="1"/>
  <c r="O4951" i="8" s="1"/>
  <c r="O4952" i="8" s="1"/>
  <c r="O4953" i="8" s="1"/>
  <c r="O4954" i="8" s="1"/>
  <c r="O4955" i="8" s="1"/>
  <c r="O4956" i="8" s="1"/>
  <c r="O4957" i="8" s="1"/>
  <c r="O4958" i="8" s="1"/>
  <c r="O4959" i="8" s="1"/>
  <c r="O4960" i="8" s="1"/>
  <c r="O4961" i="8" s="1"/>
  <c r="O4962" i="8" s="1"/>
  <c r="O4963" i="8" s="1"/>
  <c r="O4964" i="8" s="1"/>
  <c r="O4965" i="8" s="1"/>
  <c r="O4966" i="8" s="1"/>
  <c r="O4967" i="8" s="1"/>
  <c r="O4968" i="8" s="1"/>
  <c r="O4969" i="8" s="1"/>
  <c r="O4970" i="8" s="1"/>
  <c r="O4971" i="8" s="1"/>
  <c r="O4972" i="8" s="1"/>
  <c r="O4973" i="8" s="1"/>
  <c r="O4974" i="8" s="1"/>
  <c r="O4975" i="8" s="1"/>
  <c r="O4976" i="8" s="1"/>
  <c r="O4977" i="8" s="1"/>
  <c r="O4978" i="8" s="1"/>
  <c r="O4979" i="8" s="1"/>
  <c r="O4980" i="8" s="1"/>
  <c r="O4981" i="8" s="1"/>
  <c r="O4982" i="8" s="1"/>
  <c r="O4983" i="8" s="1"/>
  <c r="O4984" i="8" s="1"/>
  <c r="O4985" i="8" s="1"/>
  <c r="O4986" i="8" s="1"/>
  <c r="O4987" i="8" s="1"/>
  <c r="O4988" i="8" s="1"/>
  <c r="O4989" i="8" s="1"/>
  <c r="O4990" i="8" s="1"/>
  <c r="O4991" i="8" s="1"/>
  <c r="O4992" i="8" s="1"/>
  <c r="O4993" i="8" s="1"/>
  <c r="O4994" i="8" s="1"/>
  <c r="O4995" i="8" s="1"/>
  <c r="O4996" i="8" s="1"/>
  <c r="O4997" i="8" s="1"/>
  <c r="O4998" i="8" s="1"/>
  <c r="O4999" i="8" s="1"/>
  <c r="O5000" i="8" s="1"/>
  <c r="O5001" i="8" s="1"/>
  <c r="O5002" i="8" s="1"/>
  <c r="O5003" i="8" s="1"/>
  <c r="O5004" i="8" s="1"/>
  <c r="O5005" i="8" s="1"/>
  <c r="O5006" i="8" s="1"/>
  <c r="O5007" i="8" s="1"/>
  <c r="O5008" i="8" s="1"/>
  <c r="O5009" i="8" s="1"/>
  <c r="O5010" i="8" s="1"/>
  <c r="O5011" i="8" s="1"/>
  <c r="O5012" i="8" s="1"/>
  <c r="O5013" i="8" s="1"/>
  <c r="O5014" i="8" s="1"/>
  <c r="O5015" i="8" s="1"/>
  <c r="O5016" i="8" s="1"/>
  <c r="O5017" i="8" s="1"/>
  <c r="O5018" i="8" s="1"/>
  <c r="O5019" i="8" s="1"/>
  <c r="O5020" i="8" s="1"/>
  <c r="O5021" i="8" s="1"/>
  <c r="O5022" i="8" s="1"/>
  <c r="O5023" i="8" s="1"/>
  <c r="O5024" i="8" s="1"/>
  <c r="O5025" i="8" s="1"/>
  <c r="O5026" i="8" s="1"/>
  <c r="O5027" i="8" s="1"/>
  <c r="O5028" i="8" s="1"/>
  <c r="O5029" i="8" s="1"/>
  <c r="O5030" i="8" s="1"/>
  <c r="O5031" i="8" s="1"/>
  <c r="O5032" i="8" s="1"/>
  <c r="O5033" i="8" s="1"/>
  <c r="O5034" i="8" s="1"/>
  <c r="O5035" i="8" s="1"/>
  <c r="O5036" i="8" s="1"/>
  <c r="O5037" i="8" s="1"/>
  <c r="O5038" i="8" s="1"/>
  <c r="O5039" i="8" s="1"/>
  <c r="O5040" i="8" s="1"/>
  <c r="O5041" i="8" s="1"/>
  <c r="O5042" i="8" s="1"/>
  <c r="O5043" i="8" s="1"/>
  <c r="O5044" i="8" s="1"/>
  <c r="O5045" i="8" s="1"/>
  <c r="O5046" i="8" s="1"/>
  <c r="O5047" i="8" s="1"/>
  <c r="O5048" i="8" s="1"/>
  <c r="O5049" i="8" s="1"/>
  <c r="O5050" i="8" s="1"/>
  <c r="O5051" i="8" s="1"/>
  <c r="O5052" i="8" s="1"/>
  <c r="O5053" i="8" s="1"/>
  <c r="O5054" i="8" s="1"/>
  <c r="O5055" i="8" s="1"/>
  <c r="O5056" i="8" s="1"/>
  <c r="O5057" i="8" s="1"/>
  <c r="O5058" i="8" s="1"/>
  <c r="O5059" i="8" s="1"/>
  <c r="O5060" i="8" s="1"/>
  <c r="O5061" i="8" s="1"/>
  <c r="O5062" i="8" s="1"/>
  <c r="O5063" i="8" s="1"/>
  <c r="O5064" i="8" s="1"/>
  <c r="O5065" i="8" s="1"/>
  <c r="O5066" i="8" s="1"/>
  <c r="O5067" i="8" s="1"/>
  <c r="O5068" i="8" s="1"/>
  <c r="O5069" i="8" s="1"/>
  <c r="O5070" i="8" s="1"/>
  <c r="O5071" i="8" s="1"/>
  <c r="O5072" i="8" s="1"/>
  <c r="O5073" i="8" s="1"/>
  <c r="O5074" i="8" s="1"/>
  <c r="O5075" i="8" s="1"/>
  <c r="O5076" i="8" s="1"/>
  <c r="O5077" i="8" s="1"/>
  <c r="O5078" i="8" s="1"/>
  <c r="O5079" i="8" s="1"/>
  <c r="O5080" i="8" s="1"/>
  <c r="O5081" i="8" s="1"/>
  <c r="O5082" i="8" s="1"/>
  <c r="O5083" i="8" s="1"/>
  <c r="O5084" i="8" s="1"/>
  <c r="O5085" i="8" s="1"/>
  <c r="O5086" i="8" s="1"/>
  <c r="O5087" i="8" s="1"/>
  <c r="O5088" i="8" s="1"/>
  <c r="O5089" i="8" s="1"/>
  <c r="O5090" i="8" s="1"/>
  <c r="O5091" i="8" s="1"/>
  <c r="O5092" i="8" s="1"/>
  <c r="O5093" i="8" s="1"/>
  <c r="O5094" i="8" s="1"/>
  <c r="O5095" i="8" s="1"/>
  <c r="O5096" i="8" s="1"/>
  <c r="O5097" i="8" s="1"/>
  <c r="O5098" i="8" s="1"/>
  <c r="O5099" i="8" s="1"/>
  <c r="O5100" i="8" s="1"/>
  <c r="O5101" i="8" s="1"/>
  <c r="O5102" i="8" s="1"/>
  <c r="O5103" i="8" s="1"/>
  <c r="O5104" i="8" s="1"/>
  <c r="O5105" i="8" s="1"/>
  <c r="O5106" i="8" s="1"/>
  <c r="O5107" i="8" s="1"/>
  <c r="O5108" i="8" s="1"/>
  <c r="O5109" i="8" s="1"/>
  <c r="O5110" i="8" s="1"/>
  <c r="O5111" i="8" s="1"/>
  <c r="O5112" i="8" s="1"/>
  <c r="O5113" i="8" s="1"/>
  <c r="O5114" i="8" s="1"/>
  <c r="O5115" i="8" s="1"/>
  <c r="O5116" i="8" s="1"/>
  <c r="O5117" i="8" s="1"/>
  <c r="O5118" i="8" s="1"/>
  <c r="O5119" i="8" s="1"/>
  <c r="O5120" i="8" s="1"/>
  <c r="O5121" i="8" s="1"/>
  <c r="O5122" i="8" s="1"/>
  <c r="O5123" i="8" s="1"/>
  <c r="O5124" i="8" s="1"/>
  <c r="O5125" i="8" s="1"/>
  <c r="O5126" i="8" s="1"/>
  <c r="O5127" i="8" s="1"/>
  <c r="O5128" i="8" s="1"/>
  <c r="O5129" i="8" s="1"/>
  <c r="O5130" i="8" s="1"/>
  <c r="O5131" i="8" s="1"/>
  <c r="O5132" i="8" s="1"/>
  <c r="O5133" i="8" s="1"/>
  <c r="O5134" i="8" s="1"/>
  <c r="O5135" i="8" s="1"/>
  <c r="O5136" i="8" s="1"/>
  <c r="O5137" i="8" s="1"/>
  <c r="O5138" i="8" s="1"/>
  <c r="O5139" i="8" s="1"/>
  <c r="O5140" i="8" s="1"/>
  <c r="O5141" i="8" s="1"/>
  <c r="O5142" i="8" s="1"/>
  <c r="O5143" i="8" s="1"/>
  <c r="O5144" i="8" s="1"/>
  <c r="O5145" i="8" s="1"/>
  <c r="O5146" i="8" s="1"/>
  <c r="O5147" i="8" s="1"/>
  <c r="O5148" i="8" s="1"/>
  <c r="O5149" i="8" s="1"/>
  <c r="O5150" i="8" s="1"/>
  <c r="O5151" i="8" s="1"/>
  <c r="O5152" i="8" s="1"/>
  <c r="O5153" i="8" s="1"/>
  <c r="O5154" i="8" s="1"/>
  <c r="O5155" i="8" s="1"/>
  <c r="O5156" i="8" s="1"/>
  <c r="O5157" i="8" s="1"/>
  <c r="O5158" i="8" s="1"/>
  <c r="O5159" i="8" s="1"/>
  <c r="O5160" i="8" s="1"/>
  <c r="O5161" i="8" s="1"/>
  <c r="O5162" i="8" s="1"/>
  <c r="O5163" i="8" s="1"/>
  <c r="O5164" i="8" s="1"/>
  <c r="O5165" i="8" s="1"/>
  <c r="O5166" i="8" s="1"/>
  <c r="O5167" i="8" s="1"/>
  <c r="O5168" i="8" s="1"/>
  <c r="O5169" i="8" s="1"/>
  <c r="O5170" i="8" s="1"/>
  <c r="O5171" i="8" s="1"/>
  <c r="O5172" i="8" s="1"/>
  <c r="O5173" i="8" s="1"/>
  <c r="O5174" i="8" s="1"/>
  <c r="O5175" i="8" s="1"/>
  <c r="O5176" i="8" s="1"/>
  <c r="O5177" i="8" s="1"/>
  <c r="O5178" i="8" s="1"/>
  <c r="O5179" i="8" s="1"/>
  <c r="O5180" i="8" s="1"/>
  <c r="O5181" i="8" s="1"/>
  <c r="O5182" i="8" s="1"/>
  <c r="O5183" i="8" s="1"/>
  <c r="O5184" i="8" s="1"/>
  <c r="O5185" i="8" s="1"/>
  <c r="O5186" i="8" s="1"/>
  <c r="O5187" i="8" s="1"/>
  <c r="O5188" i="8" s="1"/>
  <c r="O5189" i="8" s="1"/>
  <c r="O5190" i="8" s="1"/>
  <c r="O5191" i="8" s="1"/>
  <c r="O5192" i="8" s="1"/>
  <c r="O5193" i="8" s="1"/>
  <c r="O5194" i="8" s="1"/>
  <c r="O5195" i="8" s="1"/>
  <c r="O5196" i="8" s="1"/>
  <c r="O5197" i="8" s="1"/>
  <c r="O5198" i="8" s="1"/>
  <c r="O5199" i="8" s="1"/>
  <c r="O5200" i="8" s="1"/>
  <c r="O5201" i="8" s="1"/>
  <c r="O5202" i="8" s="1"/>
  <c r="O5203" i="8" s="1"/>
  <c r="O5204" i="8" s="1"/>
  <c r="O5205" i="8" s="1"/>
  <c r="O5206" i="8" s="1"/>
  <c r="O5207" i="8" s="1"/>
  <c r="O5208" i="8" s="1"/>
  <c r="O5209" i="8" s="1"/>
  <c r="O5210" i="8" s="1"/>
  <c r="O5211" i="8" s="1"/>
  <c r="O5212" i="8" s="1"/>
  <c r="O5213" i="8" s="1"/>
  <c r="O5214" i="8" s="1"/>
  <c r="O5215" i="8" s="1"/>
  <c r="O5216" i="8" s="1"/>
  <c r="O5217" i="8" s="1"/>
  <c r="O5218" i="8" s="1"/>
  <c r="O5219" i="8" s="1"/>
  <c r="O5220" i="8" s="1"/>
  <c r="O5221" i="8" s="1"/>
  <c r="O5222" i="8" s="1"/>
  <c r="O5223" i="8" s="1"/>
  <c r="O5224" i="8" s="1"/>
  <c r="O5225" i="8" s="1"/>
  <c r="O5226" i="8" s="1"/>
  <c r="O5227" i="8" s="1"/>
  <c r="O5228" i="8" s="1"/>
  <c r="O5229" i="8" s="1"/>
  <c r="O5230" i="8" s="1"/>
  <c r="O5231" i="8" s="1"/>
  <c r="O5232" i="8" s="1"/>
  <c r="O5233" i="8" s="1"/>
  <c r="O5234" i="8" s="1"/>
  <c r="O5235" i="8" s="1"/>
  <c r="O5236" i="8" s="1"/>
  <c r="O5237" i="8" s="1"/>
  <c r="O5238" i="8" s="1"/>
  <c r="O5239" i="8" s="1"/>
  <c r="O5240" i="8" s="1"/>
  <c r="O5241" i="8" s="1"/>
  <c r="O5242" i="8" s="1"/>
  <c r="O5243" i="8" s="1"/>
  <c r="O5244" i="8" s="1"/>
  <c r="O5245" i="8" s="1"/>
  <c r="O5246" i="8" s="1"/>
  <c r="O5247" i="8" s="1"/>
  <c r="O5248" i="8" s="1"/>
  <c r="O5249" i="8" s="1"/>
  <c r="O5250" i="8" s="1"/>
  <c r="O5251" i="8" s="1"/>
  <c r="O5252" i="8" s="1"/>
  <c r="O5253" i="8" s="1"/>
  <c r="O5254" i="8" s="1"/>
  <c r="O5255" i="8" s="1"/>
  <c r="O5256" i="8" s="1"/>
  <c r="O5257" i="8" s="1"/>
  <c r="O5258" i="8" s="1"/>
  <c r="O5259" i="8" s="1"/>
  <c r="O5260" i="8" s="1"/>
  <c r="O5261" i="8" s="1"/>
  <c r="O5262" i="8" s="1"/>
  <c r="O5263" i="8" s="1"/>
  <c r="O5264" i="8" s="1"/>
  <c r="O5265" i="8" s="1"/>
  <c r="O5266" i="8" s="1"/>
  <c r="O5267" i="8" s="1"/>
  <c r="O5268" i="8" s="1"/>
  <c r="O5269" i="8" s="1"/>
  <c r="O5270" i="8" s="1"/>
  <c r="O5271" i="8" s="1"/>
  <c r="O5272" i="8" s="1"/>
  <c r="O5273" i="8" s="1"/>
  <c r="O5274" i="8" s="1"/>
  <c r="O5275" i="8" s="1"/>
  <c r="O5276" i="8" s="1"/>
  <c r="O5277" i="8" s="1"/>
  <c r="O5278" i="8" s="1"/>
  <c r="O5279" i="8" s="1"/>
  <c r="O5280" i="8" s="1"/>
  <c r="O5281" i="8" s="1"/>
  <c r="O5282" i="8" s="1"/>
  <c r="O5283" i="8" s="1"/>
  <c r="O5284" i="8" s="1"/>
  <c r="O5285" i="8" s="1"/>
  <c r="O5286" i="8" s="1"/>
  <c r="O5287" i="8" s="1"/>
  <c r="O5288" i="8" s="1"/>
  <c r="O5289" i="8" s="1"/>
  <c r="O5290" i="8" s="1"/>
  <c r="O5291" i="8" s="1"/>
  <c r="O5292" i="8" s="1"/>
  <c r="O5293" i="8" s="1"/>
  <c r="O5294" i="8" s="1"/>
  <c r="O5295" i="8" s="1"/>
  <c r="O5296" i="8" s="1"/>
  <c r="O5297" i="8" s="1"/>
  <c r="O5298" i="8" s="1"/>
  <c r="O5299" i="8" s="1"/>
  <c r="O5300" i="8" s="1"/>
  <c r="O5301" i="8" s="1"/>
  <c r="O5302" i="8" s="1"/>
  <c r="O5303" i="8" s="1"/>
  <c r="O5304" i="8" s="1"/>
  <c r="O5305" i="8" s="1"/>
  <c r="O5306" i="8" s="1"/>
  <c r="O5307" i="8" s="1"/>
  <c r="O5308" i="8" s="1"/>
  <c r="O5309" i="8" s="1"/>
  <c r="O5310" i="8" s="1"/>
  <c r="O5311" i="8" s="1"/>
  <c r="O5312" i="8" s="1"/>
  <c r="O5313" i="8" s="1"/>
  <c r="O5314" i="8" s="1"/>
  <c r="O5315" i="8" s="1"/>
  <c r="O5316" i="8" s="1"/>
  <c r="O5317" i="8" s="1"/>
  <c r="O5318" i="8" s="1"/>
  <c r="O5319" i="8" s="1"/>
  <c r="O5320" i="8" s="1"/>
  <c r="O5321" i="8" s="1"/>
  <c r="O5322" i="8" s="1"/>
  <c r="O5323" i="8" s="1"/>
  <c r="O5324" i="8" s="1"/>
  <c r="O5325" i="8" s="1"/>
  <c r="O5326" i="8" s="1"/>
  <c r="O5327" i="8" s="1"/>
  <c r="O5328" i="8" s="1"/>
  <c r="O5329" i="8" s="1"/>
  <c r="O5330" i="8" s="1"/>
  <c r="O5331" i="8" s="1"/>
  <c r="O5332" i="8" s="1"/>
  <c r="O5333" i="8" s="1"/>
  <c r="O5334" i="8" s="1"/>
  <c r="O5335" i="8" s="1"/>
  <c r="O5336" i="8" s="1"/>
  <c r="O5337" i="8" s="1"/>
  <c r="O5338" i="8" s="1"/>
  <c r="O5339" i="8" s="1"/>
  <c r="O5340" i="8" s="1"/>
  <c r="O5341" i="8" s="1"/>
  <c r="O5342" i="8" s="1"/>
  <c r="O5343" i="8" s="1"/>
  <c r="O5344" i="8" s="1"/>
  <c r="O5345" i="8" s="1"/>
  <c r="O5346" i="8" s="1"/>
  <c r="O5347" i="8" s="1"/>
  <c r="O5348" i="8" s="1"/>
  <c r="O5349" i="8" s="1"/>
  <c r="O5350" i="8" s="1"/>
  <c r="O5351" i="8" s="1"/>
  <c r="O5352" i="8" s="1"/>
  <c r="O5353" i="8" s="1"/>
  <c r="O5354" i="8" s="1"/>
  <c r="O5355" i="8" s="1"/>
  <c r="O5356" i="8" s="1"/>
  <c r="O5357" i="8" s="1"/>
  <c r="O5358" i="8" s="1"/>
  <c r="O5359" i="8" s="1"/>
  <c r="O5360" i="8" s="1"/>
  <c r="O5361" i="8" s="1"/>
  <c r="O5362" i="8" s="1"/>
  <c r="O5363" i="8" s="1"/>
  <c r="O5364" i="8" s="1"/>
  <c r="O5365" i="8" s="1"/>
  <c r="O5366" i="8" s="1"/>
  <c r="O5367" i="8" s="1"/>
  <c r="O5368" i="8" s="1"/>
  <c r="O5369" i="8" s="1"/>
  <c r="O5370" i="8" s="1"/>
  <c r="O5371" i="8" s="1"/>
  <c r="O5372" i="8" s="1"/>
  <c r="O5373" i="8" s="1"/>
  <c r="O5374" i="8" s="1"/>
  <c r="O5375" i="8" s="1"/>
  <c r="O5376" i="8" s="1"/>
  <c r="O5377" i="8" s="1"/>
  <c r="O5378" i="8" s="1"/>
  <c r="O5379" i="8" s="1"/>
  <c r="O5380" i="8" s="1"/>
  <c r="O5381" i="8" s="1"/>
  <c r="O5382" i="8" s="1"/>
  <c r="O5383" i="8" s="1"/>
  <c r="O5384" i="8" s="1"/>
  <c r="O5385" i="8" s="1"/>
  <c r="O5386" i="8" s="1"/>
  <c r="O5387" i="8" s="1"/>
  <c r="O5388" i="8" s="1"/>
  <c r="O5389" i="8" s="1"/>
  <c r="O5390" i="8" s="1"/>
  <c r="O5391" i="8" s="1"/>
  <c r="O5392" i="8" s="1"/>
  <c r="O5393" i="8" s="1"/>
  <c r="O5394" i="8" s="1"/>
  <c r="O5395" i="8" s="1"/>
  <c r="O5396" i="8" s="1"/>
  <c r="O5397" i="8" s="1"/>
  <c r="O5398" i="8" s="1"/>
  <c r="O5399" i="8" s="1"/>
  <c r="O5400" i="8" s="1"/>
  <c r="O5401" i="8" s="1"/>
  <c r="O5402" i="8" s="1"/>
  <c r="O5403" i="8" s="1"/>
  <c r="O5404" i="8" s="1"/>
  <c r="O5405" i="8" s="1"/>
  <c r="O5406" i="8" s="1"/>
  <c r="O5407" i="8" s="1"/>
  <c r="O5408" i="8" s="1"/>
  <c r="O5409" i="8" s="1"/>
  <c r="O5410" i="8" s="1"/>
  <c r="O5411" i="8" s="1"/>
  <c r="O5412" i="8" s="1"/>
  <c r="O5413" i="8" s="1"/>
  <c r="O5414" i="8" s="1"/>
  <c r="O5415" i="8" s="1"/>
  <c r="O5416" i="8" s="1"/>
  <c r="O5417" i="8" s="1"/>
  <c r="O5418" i="8" s="1"/>
  <c r="O5419" i="8" s="1"/>
  <c r="O5420" i="8" s="1"/>
  <c r="O5421" i="8" s="1"/>
  <c r="O5422" i="8" s="1"/>
  <c r="O5423" i="8" s="1"/>
  <c r="O5424" i="8" s="1"/>
  <c r="O5425" i="8" s="1"/>
  <c r="O5426" i="8" s="1"/>
  <c r="O5427" i="8" s="1"/>
  <c r="O5428" i="8" s="1"/>
  <c r="O5429" i="8" s="1"/>
  <c r="O5430" i="8" s="1"/>
  <c r="O5431" i="8" s="1"/>
  <c r="O5432" i="8" s="1"/>
  <c r="O5433" i="8" s="1"/>
  <c r="O5434" i="8" s="1"/>
  <c r="O5435" i="8" s="1"/>
  <c r="O5436" i="8" s="1"/>
  <c r="O5437" i="8" s="1"/>
  <c r="O5438" i="8" s="1"/>
  <c r="O5439" i="8" s="1"/>
  <c r="O5440" i="8" s="1"/>
  <c r="O5441" i="8" s="1"/>
  <c r="O5442" i="8" s="1"/>
  <c r="O5443" i="8" s="1"/>
  <c r="O5444" i="8" s="1"/>
  <c r="O5445" i="8" s="1"/>
  <c r="O5446" i="8" s="1"/>
  <c r="O5447" i="8" s="1"/>
  <c r="O5448" i="8" s="1"/>
  <c r="O5449" i="8" s="1"/>
  <c r="O5450" i="8" s="1"/>
  <c r="O5451" i="8" s="1"/>
  <c r="O5452" i="8" s="1"/>
  <c r="O5453" i="8" s="1"/>
  <c r="O5454" i="8" s="1"/>
  <c r="O5455" i="8" s="1"/>
  <c r="O5456" i="8" s="1"/>
  <c r="O5457" i="8" s="1"/>
  <c r="O5458" i="8" s="1"/>
  <c r="O5459" i="8" s="1"/>
  <c r="O5460" i="8" s="1"/>
  <c r="O5461" i="8" s="1"/>
  <c r="O5462" i="8" s="1"/>
  <c r="O5463" i="8" s="1"/>
  <c r="O5464" i="8" s="1"/>
  <c r="O5465" i="8" s="1"/>
  <c r="O5466" i="8" s="1"/>
  <c r="O5467" i="8" s="1"/>
  <c r="O5468" i="8" s="1"/>
  <c r="O5469" i="8" s="1"/>
  <c r="O5470" i="8" s="1"/>
  <c r="O5471" i="8" s="1"/>
  <c r="O5472" i="8" s="1"/>
  <c r="O5473" i="8" s="1"/>
  <c r="O5474" i="8" s="1"/>
  <c r="O5475" i="8" s="1"/>
  <c r="O5476" i="8" s="1"/>
  <c r="O5477" i="8" s="1"/>
  <c r="O5478" i="8" s="1"/>
  <c r="O5479" i="8" s="1"/>
  <c r="O5480" i="8" s="1"/>
  <c r="O5481" i="8" s="1"/>
  <c r="O5482" i="8" s="1"/>
  <c r="O5483" i="8" s="1"/>
  <c r="O5484" i="8" s="1"/>
  <c r="O5485" i="8" s="1"/>
  <c r="O5486" i="8" s="1"/>
  <c r="O5487" i="8" s="1"/>
  <c r="O5488" i="8" s="1"/>
  <c r="O5489" i="8" s="1"/>
  <c r="O5490" i="8" s="1"/>
  <c r="O5491" i="8" s="1"/>
  <c r="O5492" i="8" s="1"/>
  <c r="O5493" i="8" s="1"/>
  <c r="O5494" i="8" s="1"/>
  <c r="O5495" i="8" s="1"/>
  <c r="O5496" i="8" s="1"/>
  <c r="O5497" i="8" s="1"/>
  <c r="O5498" i="8" s="1"/>
  <c r="O5499" i="8" s="1"/>
  <c r="O5500" i="8" s="1"/>
  <c r="O5501" i="8" s="1"/>
  <c r="O5502" i="8" s="1"/>
  <c r="O5503" i="8" s="1"/>
  <c r="O5504" i="8" s="1"/>
  <c r="O5505" i="8" s="1"/>
  <c r="O5506" i="8" s="1"/>
  <c r="O5507" i="8" s="1"/>
  <c r="O5508" i="8" s="1"/>
  <c r="O5509" i="8" s="1"/>
  <c r="O5510" i="8" s="1"/>
  <c r="O5511" i="8" s="1"/>
  <c r="O5512" i="8" s="1"/>
  <c r="O5513" i="8" s="1"/>
  <c r="O5514" i="8" s="1"/>
  <c r="O5515" i="8" s="1"/>
  <c r="O5516" i="8" s="1"/>
  <c r="O5517" i="8" s="1"/>
  <c r="O5518" i="8" s="1"/>
  <c r="O5519" i="8" s="1"/>
  <c r="O5520" i="8" s="1"/>
  <c r="O5521" i="8" s="1"/>
  <c r="O5522" i="8" s="1"/>
  <c r="O5523" i="8" s="1"/>
  <c r="O5524" i="8" s="1"/>
  <c r="O5525" i="8" s="1"/>
  <c r="O5526" i="8" s="1"/>
  <c r="O5527" i="8" s="1"/>
  <c r="O5528" i="8" s="1"/>
  <c r="O5529" i="8" s="1"/>
  <c r="O5530" i="8" s="1"/>
  <c r="O5531" i="8" s="1"/>
  <c r="O5532" i="8" s="1"/>
  <c r="O5533" i="8" s="1"/>
  <c r="O5534" i="8" s="1"/>
  <c r="O5535" i="8" s="1"/>
  <c r="O5536" i="8" s="1"/>
  <c r="O5537" i="8" s="1"/>
  <c r="O5538" i="8" s="1"/>
  <c r="O5539" i="8" s="1"/>
  <c r="O5540" i="8" s="1"/>
  <c r="O5541" i="8" s="1"/>
  <c r="O5542" i="8" s="1"/>
  <c r="O5543" i="8" s="1"/>
  <c r="O5544" i="8" s="1"/>
  <c r="O5545" i="8" s="1"/>
  <c r="O5546" i="8" s="1"/>
  <c r="O5547" i="8" s="1"/>
  <c r="O5548" i="8" s="1"/>
  <c r="O5549" i="8" s="1"/>
  <c r="O5550" i="8" s="1"/>
  <c r="O5551" i="8" s="1"/>
  <c r="O5552" i="8" s="1"/>
  <c r="O5553" i="8" s="1"/>
  <c r="O5554" i="8" s="1"/>
  <c r="O5555" i="8" s="1"/>
  <c r="O5556" i="8" s="1"/>
  <c r="O5557" i="8" s="1"/>
  <c r="O5558" i="8" s="1"/>
  <c r="O5559" i="8" s="1"/>
  <c r="O5560" i="8" s="1"/>
  <c r="O5561" i="8" s="1"/>
  <c r="O5562" i="8" s="1"/>
  <c r="O5563" i="8" s="1"/>
  <c r="O5564" i="8" s="1"/>
  <c r="O5565" i="8" s="1"/>
  <c r="O5566" i="8" s="1"/>
  <c r="O5567" i="8" s="1"/>
  <c r="O5568" i="8" s="1"/>
  <c r="O5569" i="8" s="1"/>
  <c r="O5570" i="8" s="1"/>
  <c r="O5571" i="8" s="1"/>
  <c r="O5572" i="8" s="1"/>
  <c r="O5573" i="8" s="1"/>
  <c r="O5574" i="8" s="1"/>
  <c r="O5575" i="8" s="1"/>
  <c r="O5576" i="8" s="1"/>
  <c r="O5577" i="8" s="1"/>
  <c r="O5578" i="8" s="1"/>
  <c r="O5579" i="8" s="1"/>
  <c r="O5580" i="8" s="1"/>
  <c r="O5581" i="8" s="1"/>
  <c r="O5582" i="8" s="1"/>
  <c r="O5583" i="8" s="1"/>
  <c r="O5584" i="8" s="1"/>
  <c r="O5585" i="8" s="1"/>
  <c r="O5586" i="8" s="1"/>
  <c r="O5587" i="8" s="1"/>
  <c r="O5588" i="8" s="1"/>
  <c r="O5589" i="8" s="1"/>
  <c r="O5590" i="8" s="1"/>
  <c r="O5591" i="8" s="1"/>
  <c r="O5592" i="8" s="1"/>
  <c r="O5593" i="8" s="1"/>
  <c r="O5594" i="8" s="1"/>
  <c r="O5595" i="8" s="1"/>
  <c r="O5596" i="8" s="1"/>
  <c r="O5597" i="8" s="1"/>
  <c r="O5598" i="8" s="1"/>
  <c r="O5599" i="8" s="1"/>
  <c r="O5600" i="8" s="1"/>
  <c r="O5601" i="8" s="1"/>
  <c r="O5602" i="8" s="1"/>
  <c r="O5603" i="8" s="1"/>
  <c r="O5604" i="8" s="1"/>
  <c r="O5605" i="8" s="1"/>
  <c r="O5606" i="8" s="1"/>
  <c r="O5607" i="8" s="1"/>
  <c r="O5608" i="8" s="1"/>
  <c r="O5609" i="8" s="1"/>
  <c r="O5610" i="8" s="1"/>
  <c r="O5611" i="8" s="1"/>
  <c r="O5612" i="8" s="1"/>
  <c r="O5613" i="8" s="1"/>
  <c r="O5614" i="8" s="1"/>
  <c r="O5615" i="8" s="1"/>
  <c r="O5616" i="8" s="1"/>
  <c r="O5617" i="8" s="1"/>
  <c r="O5618" i="8" s="1"/>
  <c r="O5619" i="8" s="1"/>
  <c r="O5620" i="8" s="1"/>
  <c r="O5621" i="8" s="1"/>
  <c r="O5622" i="8" s="1"/>
  <c r="O5623" i="8" s="1"/>
  <c r="O5624" i="8" s="1"/>
  <c r="O5625" i="8" s="1"/>
  <c r="O5626" i="8" s="1"/>
  <c r="O5627" i="8" s="1"/>
  <c r="O5628" i="8" s="1"/>
  <c r="O5629" i="8" s="1"/>
  <c r="O5630" i="8" s="1"/>
  <c r="O5631" i="8" s="1"/>
  <c r="O5632" i="8" s="1"/>
  <c r="O5633" i="8" s="1"/>
  <c r="O5634" i="8" s="1"/>
  <c r="O5635" i="8" s="1"/>
  <c r="O5636" i="8" s="1"/>
  <c r="O5637" i="8" s="1"/>
  <c r="O5638" i="8" s="1"/>
  <c r="O5639" i="8" s="1"/>
  <c r="O5640" i="8" s="1"/>
  <c r="O5641" i="8" s="1"/>
  <c r="O5642" i="8" s="1"/>
  <c r="O5643" i="8" s="1"/>
  <c r="O5644" i="8" s="1"/>
  <c r="O5645" i="8" s="1"/>
  <c r="O5646" i="8" s="1"/>
  <c r="O5647" i="8" s="1"/>
  <c r="O5648" i="8" s="1"/>
  <c r="O5649" i="8" s="1"/>
  <c r="O5650" i="8" s="1"/>
  <c r="O5651" i="8" s="1"/>
  <c r="O5652" i="8" s="1"/>
  <c r="O5653" i="8" s="1"/>
  <c r="O5654" i="8" s="1"/>
  <c r="O5655" i="8" s="1"/>
  <c r="O5656" i="8" s="1"/>
  <c r="O5657" i="8" s="1"/>
  <c r="O5658" i="8" s="1"/>
  <c r="O5659" i="8" s="1"/>
  <c r="O5660" i="8" s="1"/>
  <c r="O5661" i="8" s="1"/>
  <c r="O5662" i="8" s="1"/>
  <c r="O5663" i="8" s="1"/>
  <c r="O5664" i="8" s="1"/>
  <c r="O5665" i="8" s="1"/>
  <c r="O5666" i="8" s="1"/>
  <c r="O5667" i="8" s="1"/>
  <c r="O5668" i="8" s="1"/>
  <c r="O5669" i="8" s="1"/>
  <c r="O5670" i="8" s="1"/>
  <c r="O5671" i="8" s="1"/>
  <c r="O5672" i="8" s="1"/>
  <c r="O5673" i="8" s="1"/>
  <c r="O5674" i="8" s="1"/>
  <c r="O5675" i="8" s="1"/>
  <c r="O5676" i="8" s="1"/>
  <c r="O5677" i="8" s="1"/>
  <c r="O5678" i="8" s="1"/>
  <c r="O5679" i="8" s="1"/>
  <c r="O5680" i="8" s="1"/>
  <c r="O5681" i="8" s="1"/>
  <c r="O5682" i="8" s="1"/>
  <c r="O5683" i="8" s="1"/>
  <c r="O5684" i="8" s="1"/>
  <c r="O5685" i="8" s="1"/>
  <c r="O5686" i="8" s="1"/>
  <c r="O5687" i="8" s="1"/>
  <c r="O5688" i="8" s="1"/>
  <c r="O5689" i="8" s="1"/>
  <c r="O5690" i="8" s="1"/>
  <c r="O5691" i="8" s="1"/>
  <c r="O5692" i="8" s="1"/>
  <c r="O5693" i="8" s="1"/>
  <c r="O5694" i="8" s="1"/>
  <c r="O5695" i="8" s="1"/>
  <c r="O5696" i="8" s="1"/>
  <c r="O5697" i="8" s="1"/>
  <c r="O5698" i="8" s="1"/>
  <c r="O5699" i="8" s="1"/>
  <c r="O5700" i="8" s="1"/>
  <c r="O5701" i="8" s="1"/>
  <c r="O5702" i="8" s="1"/>
  <c r="O5703" i="8" s="1"/>
  <c r="O5704" i="8" s="1"/>
  <c r="O5705" i="8" s="1"/>
  <c r="O5706" i="8" s="1"/>
  <c r="O5707" i="8" s="1"/>
  <c r="O5708" i="8" s="1"/>
  <c r="O5709" i="8" s="1"/>
  <c r="O5710" i="8" s="1"/>
  <c r="O5711" i="8" s="1"/>
  <c r="O5712" i="8" s="1"/>
  <c r="O5713" i="8" s="1"/>
  <c r="O5714" i="8" s="1"/>
  <c r="O5715" i="8" s="1"/>
  <c r="O5716" i="8" s="1"/>
  <c r="O5717" i="8" s="1"/>
  <c r="O5718" i="8" s="1"/>
  <c r="O5719" i="8" s="1"/>
  <c r="O5720" i="8" s="1"/>
  <c r="O5721" i="8" s="1"/>
  <c r="O5722" i="8" s="1"/>
  <c r="O5723" i="8" s="1"/>
  <c r="O5724" i="8" s="1"/>
  <c r="O5725" i="8" s="1"/>
  <c r="O5726" i="8" s="1"/>
  <c r="O5727" i="8" s="1"/>
  <c r="O5728" i="8" s="1"/>
  <c r="O5729" i="8" s="1"/>
  <c r="O5730" i="8" s="1"/>
  <c r="O5731" i="8" s="1"/>
  <c r="O5732" i="8" s="1"/>
  <c r="O5733" i="8" s="1"/>
  <c r="O5734" i="8" s="1"/>
  <c r="O5735" i="8" s="1"/>
  <c r="O5736" i="8" s="1"/>
  <c r="O5737" i="8" s="1"/>
  <c r="O5738" i="8" s="1"/>
  <c r="O5739" i="8" s="1"/>
  <c r="O5740" i="8" s="1"/>
  <c r="O5741" i="8" s="1"/>
  <c r="O5742" i="8" s="1"/>
  <c r="O5743" i="8" s="1"/>
  <c r="O5744" i="8" s="1"/>
  <c r="O5745" i="8" s="1"/>
  <c r="O5746" i="8" s="1"/>
  <c r="O5747" i="8" s="1"/>
  <c r="O5748" i="8" s="1"/>
  <c r="O5749" i="8" s="1"/>
  <c r="O5750" i="8" s="1"/>
  <c r="O5751" i="8" s="1"/>
  <c r="O5752" i="8" s="1"/>
  <c r="O5753" i="8" s="1"/>
  <c r="O5754" i="8" s="1"/>
  <c r="O5755" i="8" s="1"/>
  <c r="O5756" i="8" s="1"/>
  <c r="O5757" i="8" s="1"/>
  <c r="O5758" i="8" s="1"/>
  <c r="O5759" i="8" s="1"/>
  <c r="O5760" i="8" s="1"/>
  <c r="O5761" i="8" s="1"/>
  <c r="O5762" i="8" s="1"/>
  <c r="O5763" i="8" s="1"/>
  <c r="O5764" i="8" s="1"/>
  <c r="O5765" i="8" s="1"/>
  <c r="O5766" i="8" s="1"/>
  <c r="O5767" i="8" s="1"/>
  <c r="O5768" i="8" s="1"/>
  <c r="O5769" i="8" s="1"/>
  <c r="O5770" i="8" s="1"/>
  <c r="O5771" i="8" s="1"/>
  <c r="O5772" i="8" s="1"/>
  <c r="O5773" i="8" s="1"/>
  <c r="O5774" i="8" s="1"/>
  <c r="O5775" i="8" s="1"/>
  <c r="O5776" i="8" s="1"/>
  <c r="O5777" i="8" s="1"/>
  <c r="O5778" i="8" s="1"/>
  <c r="O5779" i="8" s="1"/>
  <c r="O5780" i="8" s="1"/>
  <c r="O5781" i="8" s="1"/>
  <c r="O5782" i="8" s="1"/>
  <c r="O5783" i="8" s="1"/>
  <c r="O5784" i="8" s="1"/>
  <c r="O5785" i="8" s="1"/>
  <c r="O5786" i="8" s="1"/>
  <c r="O5787" i="8" s="1"/>
  <c r="O5788" i="8" s="1"/>
  <c r="O5789" i="8" s="1"/>
  <c r="O5790" i="8" s="1"/>
  <c r="O5791" i="8" s="1"/>
  <c r="O5792" i="8" s="1"/>
  <c r="O5793" i="8" s="1"/>
  <c r="O5794" i="8" s="1"/>
  <c r="O5795" i="8" s="1"/>
  <c r="O5796" i="8" s="1"/>
  <c r="O5797" i="8" s="1"/>
  <c r="O5798" i="8" s="1"/>
  <c r="O5799" i="8" s="1"/>
  <c r="O5800" i="8" s="1"/>
  <c r="O5801" i="8" s="1"/>
  <c r="O5802" i="8" s="1"/>
  <c r="O5803" i="8" s="1"/>
  <c r="O5804" i="8" s="1"/>
  <c r="O5805" i="8" s="1"/>
  <c r="O5806" i="8" s="1"/>
  <c r="O5807" i="8" s="1"/>
  <c r="O5808" i="8" s="1"/>
  <c r="O5809" i="8" s="1"/>
  <c r="O5810" i="8" s="1"/>
  <c r="O5811" i="8" s="1"/>
  <c r="O5812" i="8" s="1"/>
  <c r="O5813" i="8" s="1"/>
  <c r="O5814" i="8" s="1"/>
  <c r="O5815" i="8" s="1"/>
  <c r="O5816" i="8" s="1"/>
  <c r="O5817" i="8" s="1"/>
  <c r="O5818" i="8" s="1"/>
  <c r="O5819" i="8" s="1"/>
  <c r="O5820" i="8" s="1"/>
  <c r="O5821" i="8" s="1"/>
  <c r="O5822" i="8" s="1"/>
  <c r="O5823" i="8" s="1"/>
  <c r="O5824" i="8" s="1"/>
  <c r="O5825" i="8" s="1"/>
  <c r="O5826" i="8" s="1"/>
  <c r="O5827" i="8" s="1"/>
  <c r="O5828" i="8" s="1"/>
  <c r="O5829" i="8" s="1"/>
  <c r="O5830" i="8" s="1"/>
  <c r="O5831" i="8" s="1"/>
  <c r="O5832" i="8" s="1"/>
  <c r="O5833" i="8" s="1"/>
  <c r="O5834" i="8" s="1"/>
  <c r="O5835" i="8" s="1"/>
  <c r="O5836" i="8" s="1"/>
  <c r="O5837" i="8" s="1"/>
  <c r="O5838" i="8" s="1"/>
  <c r="O5839" i="8" s="1"/>
  <c r="O5840" i="8" s="1"/>
  <c r="O5841" i="8" s="1"/>
  <c r="O5842" i="8" s="1"/>
  <c r="O5843" i="8" s="1"/>
  <c r="O5844" i="8" s="1"/>
  <c r="O5845" i="8" s="1"/>
  <c r="O5846" i="8" s="1"/>
  <c r="O5847" i="8" s="1"/>
  <c r="O5848" i="8" s="1"/>
  <c r="O5849" i="8" s="1"/>
  <c r="O5850" i="8" s="1"/>
  <c r="O5851" i="8" s="1"/>
  <c r="O5852" i="8" s="1"/>
  <c r="O5853" i="8" s="1"/>
  <c r="O5854" i="8" s="1"/>
  <c r="O5855" i="8" s="1"/>
  <c r="O5856" i="8" s="1"/>
  <c r="O5857" i="8" s="1"/>
  <c r="O5858" i="8" s="1"/>
  <c r="O5859" i="8" s="1"/>
  <c r="O5860" i="8" s="1"/>
  <c r="O5861" i="8" s="1"/>
  <c r="O5862" i="8" s="1"/>
  <c r="O5863" i="8" s="1"/>
  <c r="O5864" i="8" s="1"/>
  <c r="O5865" i="8" s="1"/>
  <c r="O5866" i="8" s="1"/>
  <c r="O5867" i="8" s="1"/>
  <c r="O5868" i="8" s="1"/>
  <c r="O5869" i="8" s="1"/>
  <c r="O5870" i="8" s="1"/>
  <c r="O5871" i="8" s="1"/>
  <c r="O5872" i="8" s="1"/>
  <c r="O5873" i="8" s="1"/>
  <c r="O5874" i="8" s="1"/>
  <c r="O5875" i="8" s="1"/>
  <c r="O5876" i="8" s="1"/>
  <c r="O5877" i="8" s="1"/>
  <c r="O5878" i="8" s="1"/>
  <c r="O5879" i="8" s="1"/>
  <c r="O5880" i="8" s="1"/>
  <c r="O5881" i="8" s="1"/>
  <c r="O5882" i="8" s="1"/>
  <c r="O5883" i="8" s="1"/>
  <c r="O5884" i="8" s="1"/>
  <c r="O5885" i="8" s="1"/>
  <c r="O5886" i="8" s="1"/>
  <c r="O5887" i="8" s="1"/>
  <c r="O5888" i="8" s="1"/>
  <c r="O5889" i="8" s="1"/>
  <c r="O5890" i="8" s="1"/>
  <c r="O5891" i="8" s="1"/>
  <c r="O5892" i="8" s="1"/>
  <c r="O5893" i="8" s="1"/>
  <c r="O5894" i="8" s="1"/>
  <c r="O5895" i="8" s="1"/>
  <c r="O5896" i="8" s="1"/>
  <c r="O5897" i="8" s="1"/>
  <c r="O5898" i="8" s="1"/>
  <c r="O5899" i="8" s="1"/>
  <c r="O5900" i="8" s="1"/>
  <c r="O5901" i="8" s="1"/>
  <c r="O5902" i="8" s="1"/>
  <c r="O5903" i="8" s="1"/>
  <c r="O5904" i="8" s="1"/>
  <c r="O5905" i="8" s="1"/>
  <c r="O5906" i="8" s="1"/>
  <c r="O5907" i="8" s="1"/>
  <c r="O5908" i="8" s="1"/>
  <c r="O5909" i="8" s="1"/>
  <c r="O5910" i="8" s="1"/>
  <c r="O5911" i="8" s="1"/>
  <c r="O5912" i="8" s="1"/>
  <c r="O5913" i="8" s="1"/>
  <c r="O5914" i="8" s="1"/>
  <c r="O5915" i="8" s="1"/>
  <c r="O5916" i="8" s="1"/>
  <c r="O5917" i="8" s="1"/>
  <c r="O5918" i="8" s="1"/>
  <c r="O5919" i="8" s="1"/>
  <c r="O5920" i="8" s="1"/>
  <c r="O5921" i="8" s="1"/>
  <c r="O5922" i="8" s="1"/>
  <c r="O5923" i="8" s="1"/>
  <c r="O5924" i="8" s="1"/>
  <c r="O5925" i="8" s="1"/>
  <c r="O5926" i="8" s="1"/>
  <c r="O5927" i="8" s="1"/>
  <c r="O5928" i="8" s="1"/>
  <c r="O5929" i="8" s="1"/>
  <c r="O5930" i="8" s="1"/>
  <c r="O5931" i="8" s="1"/>
  <c r="O5932" i="8" s="1"/>
  <c r="O5933" i="8" s="1"/>
  <c r="O5934" i="8" s="1"/>
  <c r="O5935" i="8" s="1"/>
  <c r="O5936" i="8" s="1"/>
  <c r="O5937" i="8" s="1"/>
  <c r="O5938" i="8" s="1"/>
  <c r="O5939" i="8" s="1"/>
  <c r="O5940" i="8" s="1"/>
  <c r="O5941" i="8" s="1"/>
  <c r="O5942" i="8" s="1"/>
  <c r="O5943" i="8" s="1"/>
  <c r="O5944" i="8" s="1"/>
  <c r="O5945" i="8" s="1"/>
  <c r="O5946" i="8" s="1"/>
  <c r="O5947" i="8" s="1"/>
  <c r="O5948" i="8" s="1"/>
  <c r="O5949" i="8" s="1"/>
  <c r="O5950" i="8" s="1"/>
  <c r="O5951" i="8" s="1"/>
  <c r="O5952" i="8" s="1"/>
  <c r="O5953" i="8" s="1"/>
  <c r="O5954" i="8" s="1"/>
  <c r="O5955" i="8" s="1"/>
  <c r="O5956" i="8" s="1"/>
  <c r="O5957" i="8" s="1"/>
  <c r="O5958" i="8" s="1"/>
  <c r="O5959" i="8" s="1"/>
  <c r="O5960" i="8" s="1"/>
  <c r="O5961" i="8" s="1"/>
  <c r="O5962" i="8" s="1"/>
  <c r="O5963" i="8" s="1"/>
  <c r="O5964" i="8" s="1"/>
  <c r="O5965" i="8" s="1"/>
  <c r="O5966" i="8" s="1"/>
  <c r="O5967" i="8" s="1"/>
  <c r="O5968" i="8" s="1"/>
  <c r="O5969" i="8" s="1"/>
  <c r="O5970" i="8" s="1"/>
  <c r="O5971" i="8" s="1"/>
  <c r="O5972" i="8" s="1"/>
  <c r="O5973" i="8" s="1"/>
  <c r="O5974" i="8" s="1"/>
  <c r="O5975" i="8" s="1"/>
  <c r="O5976" i="8" s="1"/>
  <c r="O5977" i="8" s="1"/>
  <c r="O5978" i="8" s="1"/>
  <c r="O5979" i="8" s="1"/>
  <c r="O5980" i="8" s="1"/>
  <c r="O5981" i="8" s="1"/>
  <c r="O5982" i="8" s="1"/>
  <c r="O5983" i="8" s="1"/>
  <c r="O5984" i="8" s="1"/>
  <c r="O5985" i="8" s="1"/>
  <c r="O5986" i="8" s="1"/>
  <c r="O5987" i="8" s="1"/>
  <c r="O5988" i="8" s="1"/>
  <c r="O5989" i="8" s="1"/>
  <c r="O5990" i="8" s="1"/>
  <c r="O5991" i="8" s="1"/>
  <c r="O5992" i="8" s="1"/>
  <c r="O5993" i="8" s="1"/>
  <c r="O5994" i="8" s="1"/>
  <c r="O5995" i="8" s="1"/>
  <c r="O5996" i="8" s="1"/>
  <c r="O5997" i="8" s="1"/>
  <c r="O5998" i="8" s="1"/>
  <c r="O5999" i="8" s="1"/>
  <c r="O6000" i="8" s="1"/>
  <c r="O6001" i="8" s="1"/>
  <c r="O6002" i="8" s="1"/>
  <c r="O6003" i="8" s="1"/>
  <c r="O6004" i="8" s="1"/>
  <c r="O6005" i="8" s="1"/>
  <c r="O6006" i="8" s="1"/>
  <c r="O6007" i="8" s="1"/>
  <c r="O6008" i="8" s="1"/>
  <c r="O6009" i="8" s="1"/>
  <c r="O6010" i="8" s="1"/>
  <c r="O6011" i="8" s="1"/>
  <c r="O6012" i="8" s="1"/>
  <c r="O6013" i="8" s="1"/>
  <c r="O6014" i="8" s="1"/>
  <c r="O6015" i="8" s="1"/>
  <c r="O6016" i="8" s="1"/>
  <c r="O6017" i="8" s="1"/>
  <c r="O6018" i="8" s="1"/>
  <c r="O6019" i="8" s="1"/>
  <c r="O6020" i="8" s="1"/>
  <c r="O6021" i="8" s="1"/>
  <c r="O6022" i="8" s="1"/>
  <c r="O6023" i="8" s="1"/>
  <c r="O6024" i="8" s="1"/>
  <c r="O6025" i="8" s="1"/>
  <c r="O6026" i="8" s="1"/>
  <c r="O6027" i="8" s="1"/>
  <c r="O6028" i="8" s="1"/>
  <c r="O6029" i="8" s="1"/>
  <c r="O6030" i="8" s="1"/>
  <c r="O6031" i="8" s="1"/>
  <c r="O6032" i="8" s="1"/>
  <c r="O6033" i="8" s="1"/>
  <c r="O6034" i="8" s="1"/>
  <c r="O6035" i="8" s="1"/>
  <c r="O6036" i="8" s="1"/>
  <c r="O6037" i="8" s="1"/>
  <c r="O6038" i="8" s="1"/>
  <c r="O6039" i="8" s="1"/>
  <c r="O6040" i="8" s="1"/>
  <c r="O6041" i="8" s="1"/>
  <c r="O6042" i="8" s="1"/>
  <c r="O6043" i="8" s="1"/>
  <c r="O6044" i="8" s="1"/>
  <c r="O6045" i="8" s="1"/>
  <c r="O6046" i="8" s="1"/>
  <c r="O6047" i="8" s="1"/>
  <c r="O6048" i="8" s="1"/>
  <c r="O6049" i="8" s="1"/>
  <c r="O6050" i="8" s="1"/>
  <c r="O6051" i="8" s="1"/>
  <c r="O6052" i="8" s="1"/>
  <c r="O6053" i="8" s="1"/>
  <c r="O6054" i="8" s="1"/>
  <c r="O6055" i="8" s="1"/>
  <c r="O6056" i="8" s="1"/>
  <c r="O6057" i="8" s="1"/>
  <c r="O6058" i="8" s="1"/>
  <c r="O6059" i="8" s="1"/>
  <c r="O6060" i="8" s="1"/>
  <c r="O6061" i="8" s="1"/>
  <c r="O6062" i="8" s="1"/>
  <c r="O6063" i="8" s="1"/>
  <c r="O6064" i="8" s="1"/>
  <c r="O6065" i="8" s="1"/>
  <c r="O6066" i="8" s="1"/>
  <c r="O6067" i="8" s="1"/>
  <c r="O6068" i="8" s="1"/>
  <c r="O6069" i="8" s="1"/>
  <c r="O6070" i="8" s="1"/>
  <c r="O6071" i="8" s="1"/>
  <c r="O6072" i="8" s="1"/>
  <c r="O6073" i="8" s="1"/>
  <c r="O6074" i="8" s="1"/>
  <c r="O6075" i="8" s="1"/>
  <c r="O6076" i="8" s="1"/>
  <c r="O6077" i="8" s="1"/>
  <c r="O6078" i="8" s="1"/>
  <c r="O6079" i="8" s="1"/>
  <c r="O6080" i="8" s="1"/>
  <c r="O6081" i="8" s="1"/>
  <c r="O6082" i="8" s="1"/>
  <c r="O6083" i="8" s="1"/>
  <c r="O6084" i="8" s="1"/>
  <c r="O6085" i="8" s="1"/>
  <c r="O6086" i="8" s="1"/>
  <c r="O6087" i="8" s="1"/>
  <c r="O6088" i="8" s="1"/>
  <c r="O6089" i="8" s="1"/>
  <c r="O6090" i="8" s="1"/>
  <c r="O6091" i="8" s="1"/>
  <c r="O6092" i="8" s="1"/>
  <c r="O6093" i="8" s="1"/>
  <c r="O6094" i="8" s="1"/>
  <c r="O6095" i="8" s="1"/>
  <c r="O6096" i="8" s="1"/>
  <c r="O6097" i="8" s="1"/>
  <c r="O6098" i="8" s="1"/>
  <c r="O6099" i="8" s="1"/>
  <c r="O6100" i="8" s="1"/>
  <c r="O6101" i="8" s="1"/>
  <c r="O6102" i="8" s="1"/>
  <c r="O6103" i="8" s="1"/>
  <c r="O6104" i="8" s="1"/>
  <c r="O6105" i="8" s="1"/>
  <c r="O6106" i="8" s="1"/>
  <c r="O6107" i="8" s="1"/>
  <c r="O6108" i="8" s="1"/>
  <c r="O6109" i="8" s="1"/>
  <c r="O6110" i="8" s="1"/>
  <c r="O6111" i="8" s="1"/>
  <c r="O6112" i="8" s="1"/>
  <c r="O6113" i="8" s="1"/>
  <c r="O6114" i="8" s="1"/>
  <c r="O6115" i="8" s="1"/>
  <c r="O6116" i="8" s="1"/>
  <c r="O6117" i="8" s="1"/>
  <c r="O6118" i="8" s="1"/>
  <c r="O6119" i="8" s="1"/>
  <c r="O6120" i="8" s="1"/>
  <c r="O6121" i="8" s="1"/>
  <c r="O6122" i="8" s="1"/>
  <c r="O6123" i="8" s="1"/>
  <c r="O6124" i="8" s="1"/>
  <c r="O6125" i="8" s="1"/>
  <c r="O6126" i="8" s="1"/>
  <c r="O6127" i="8" s="1"/>
  <c r="O6128" i="8" s="1"/>
  <c r="O6129" i="8" s="1"/>
  <c r="O6130" i="8" s="1"/>
  <c r="O6131" i="8" s="1"/>
  <c r="O6132" i="8" s="1"/>
  <c r="O6133" i="8" s="1"/>
  <c r="O6134" i="8" s="1"/>
  <c r="O6135" i="8" s="1"/>
  <c r="O6136" i="8" s="1"/>
  <c r="O6137" i="8" s="1"/>
  <c r="O6138" i="8" s="1"/>
  <c r="O6139" i="8" s="1"/>
  <c r="O6140" i="8" s="1"/>
  <c r="O6141" i="8" s="1"/>
  <c r="O6142" i="8" s="1"/>
  <c r="O6143" i="8" s="1"/>
  <c r="O6144" i="8" s="1"/>
  <c r="O6145" i="8" s="1"/>
  <c r="O6146" i="8" s="1"/>
  <c r="O6147" i="8" s="1"/>
  <c r="O6148" i="8" s="1"/>
  <c r="O6149" i="8" s="1"/>
  <c r="O6150" i="8" s="1"/>
  <c r="O6151" i="8" s="1"/>
  <c r="O6152" i="8" s="1"/>
  <c r="O6153" i="8" s="1"/>
  <c r="O6154" i="8" s="1"/>
  <c r="O6155" i="8" s="1"/>
  <c r="O6156" i="8" s="1"/>
  <c r="O6157" i="8" s="1"/>
  <c r="O6158" i="8" s="1"/>
  <c r="O6159" i="8" s="1"/>
  <c r="O6160" i="8" s="1"/>
  <c r="O6161" i="8" s="1"/>
  <c r="O6162" i="8" s="1"/>
  <c r="O6163" i="8" s="1"/>
  <c r="O6164" i="8" s="1"/>
  <c r="O6165" i="8" s="1"/>
  <c r="O6166" i="8" s="1"/>
  <c r="O6167" i="8" s="1"/>
  <c r="O6168" i="8" s="1"/>
  <c r="O6169" i="8" s="1"/>
  <c r="O6170" i="8" s="1"/>
  <c r="O6171" i="8" s="1"/>
  <c r="O6172" i="8" s="1"/>
  <c r="O6173" i="8" s="1"/>
  <c r="O6174" i="8" s="1"/>
  <c r="O6175" i="8" s="1"/>
  <c r="O6176" i="8" s="1"/>
  <c r="O6177" i="8" s="1"/>
  <c r="O6178" i="8" s="1"/>
  <c r="O6179" i="8" s="1"/>
  <c r="O6180" i="8" s="1"/>
  <c r="O6181" i="8" s="1"/>
  <c r="O6182" i="8" s="1"/>
  <c r="O6183" i="8" s="1"/>
  <c r="O6184" i="8" s="1"/>
  <c r="O6185" i="8" s="1"/>
  <c r="O6186" i="8" s="1"/>
  <c r="O6187" i="8" s="1"/>
  <c r="O6188" i="8" s="1"/>
  <c r="O6189" i="8" s="1"/>
  <c r="O6190" i="8" s="1"/>
  <c r="O6191" i="8" s="1"/>
  <c r="O6192" i="8" s="1"/>
  <c r="O6193" i="8" s="1"/>
  <c r="O6194" i="8" s="1"/>
  <c r="O6195" i="8" s="1"/>
  <c r="O6196" i="8" s="1"/>
  <c r="O6197" i="8" s="1"/>
  <c r="O6198" i="8" s="1"/>
  <c r="O6199" i="8" s="1"/>
  <c r="O6200" i="8" s="1"/>
  <c r="O6201" i="8" s="1"/>
  <c r="O6202" i="8" s="1"/>
  <c r="O6203" i="8" s="1"/>
  <c r="O6204" i="8" s="1"/>
  <c r="O6205" i="8" s="1"/>
  <c r="O6206" i="8" s="1"/>
  <c r="O6207" i="8" s="1"/>
  <c r="O6208" i="8" s="1"/>
  <c r="O6209" i="8" s="1"/>
  <c r="O6210" i="8" s="1"/>
  <c r="O6211" i="8" s="1"/>
  <c r="O6212" i="8" s="1"/>
  <c r="O6213" i="8" s="1"/>
  <c r="O6214" i="8" s="1"/>
  <c r="O6215" i="8" s="1"/>
  <c r="O6216" i="8" s="1"/>
  <c r="O6217" i="8" s="1"/>
  <c r="O6218" i="8" s="1"/>
  <c r="O6219" i="8" s="1"/>
  <c r="O6220" i="8" s="1"/>
  <c r="O6221" i="8" s="1"/>
  <c r="O6222" i="8" s="1"/>
  <c r="O6223" i="8" s="1"/>
  <c r="O6224" i="8" s="1"/>
  <c r="O6225" i="8" s="1"/>
  <c r="O6226" i="8" s="1"/>
  <c r="O6227" i="8" s="1"/>
  <c r="O6228" i="8" s="1"/>
  <c r="O6229" i="8" s="1"/>
  <c r="O6230" i="8" s="1"/>
  <c r="O6231" i="8" s="1"/>
  <c r="O6232" i="8" s="1"/>
  <c r="O6233" i="8" s="1"/>
  <c r="O6234" i="8" s="1"/>
  <c r="O6235" i="8" s="1"/>
  <c r="O6236" i="8" s="1"/>
  <c r="O6237" i="8" s="1"/>
  <c r="O6238" i="8" s="1"/>
  <c r="O6239" i="8" s="1"/>
  <c r="O6240" i="8" s="1"/>
  <c r="O6241" i="8" s="1"/>
  <c r="O6242" i="8" s="1"/>
  <c r="O6243" i="8" s="1"/>
  <c r="O6244" i="8" s="1"/>
  <c r="O6245" i="8" s="1"/>
  <c r="O6246" i="8" s="1"/>
  <c r="O6247" i="8" s="1"/>
  <c r="O6248" i="8" s="1"/>
  <c r="O6249" i="8" s="1"/>
  <c r="O6250" i="8" s="1"/>
  <c r="O6251" i="8" s="1"/>
  <c r="O6252" i="8" s="1"/>
  <c r="O6253" i="8" s="1"/>
  <c r="O6254" i="8" s="1"/>
  <c r="O6255" i="8" s="1"/>
  <c r="O6256" i="8" s="1"/>
  <c r="O6257" i="8" s="1"/>
  <c r="O6258" i="8" s="1"/>
  <c r="O6259" i="8" s="1"/>
  <c r="O6260" i="8" s="1"/>
  <c r="O6261" i="8" s="1"/>
  <c r="O6262" i="8" s="1"/>
  <c r="O6263" i="8" s="1"/>
  <c r="O6264" i="8" s="1"/>
  <c r="O6265" i="8" s="1"/>
  <c r="O6266" i="8" s="1"/>
  <c r="O6267" i="8" s="1"/>
  <c r="O6268" i="8" s="1"/>
  <c r="O6269" i="8" s="1"/>
  <c r="O6270" i="8" s="1"/>
  <c r="O6271" i="8" s="1"/>
  <c r="O6272" i="8" s="1"/>
  <c r="O6273" i="8" s="1"/>
  <c r="O6274" i="8" s="1"/>
  <c r="O6275" i="8" s="1"/>
  <c r="O6276" i="8" s="1"/>
  <c r="O6277" i="8" s="1"/>
  <c r="O6278" i="8" s="1"/>
  <c r="O6279" i="8" s="1"/>
  <c r="O6280" i="8" s="1"/>
  <c r="O6281" i="8" s="1"/>
  <c r="O6282" i="8" s="1"/>
  <c r="O6283" i="8" s="1"/>
  <c r="O6284" i="8" s="1"/>
  <c r="O6285" i="8" s="1"/>
  <c r="O6286" i="8" s="1"/>
  <c r="O6287" i="8" s="1"/>
  <c r="O6288" i="8" s="1"/>
  <c r="O6289" i="8" s="1"/>
  <c r="O6290" i="8" s="1"/>
  <c r="O6291" i="8" s="1"/>
  <c r="O6292" i="8" s="1"/>
  <c r="O6293" i="8" s="1"/>
  <c r="O6294" i="8" s="1"/>
  <c r="O6295" i="8" s="1"/>
  <c r="O6296" i="8" s="1"/>
  <c r="O6297" i="8" s="1"/>
  <c r="O6298" i="8" s="1"/>
  <c r="O6299" i="8" s="1"/>
  <c r="O6300" i="8" s="1"/>
  <c r="O6301" i="8" s="1"/>
  <c r="O6302" i="8" s="1"/>
  <c r="O6303" i="8" s="1"/>
  <c r="O6304" i="8" s="1"/>
  <c r="O6305" i="8" s="1"/>
  <c r="O6306" i="8" s="1"/>
  <c r="O6307" i="8" s="1"/>
  <c r="O6308" i="8" s="1"/>
  <c r="O6309" i="8" s="1"/>
  <c r="O6310" i="8" s="1"/>
  <c r="O6311" i="8" s="1"/>
  <c r="O6312" i="8" s="1"/>
  <c r="O6313" i="8" s="1"/>
  <c r="O6314" i="8" s="1"/>
  <c r="O6315" i="8" s="1"/>
  <c r="O6316" i="8" s="1"/>
  <c r="O6317" i="8" s="1"/>
  <c r="O6318" i="8" s="1"/>
  <c r="O6319" i="8" s="1"/>
  <c r="O6320" i="8" s="1"/>
  <c r="O6321" i="8" s="1"/>
  <c r="O6322" i="8" s="1"/>
  <c r="O6323" i="8" s="1"/>
  <c r="O6324" i="8" s="1"/>
  <c r="O6325" i="8" s="1"/>
  <c r="O6326" i="8" s="1"/>
  <c r="O6327" i="8" s="1"/>
  <c r="O6328" i="8" s="1"/>
  <c r="O6329" i="8" s="1"/>
  <c r="O6330" i="8" s="1"/>
  <c r="O6331" i="8" s="1"/>
  <c r="O6332" i="8" s="1"/>
  <c r="O6333" i="8" s="1"/>
  <c r="O6334" i="8" s="1"/>
  <c r="O6335" i="8" s="1"/>
  <c r="O6336" i="8" s="1"/>
  <c r="O6337" i="8" s="1"/>
  <c r="O6338" i="8" s="1"/>
  <c r="O6339" i="8" s="1"/>
  <c r="O6340" i="8" s="1"/>
  <c r="O6341" i="8" s="1"/>
  <c r="O6342" i="8" s="1"/>
  <c r="O6343" i="8" s="1"/>
  <c r="O6344" i="8" s="1"/>
  <c r="O6345" i="8" s="1"/>
  <c r="O6346" i="8" s="1"/>
  <c r="O6347" i="8" s="1"/>
  <c r="O6348" i="8" s="1"/>
  <c r="O6349" i="8" s="1"/>
  <c r="O6350" i="8" s="1"/>
  <c r="O6351" i="8" s="1"/>
  <c r="O6352" i="8" s="1"/>
  <c r="O6353" i="8" s="1"/>
  <c r="O6354" i="8" s="1"/>
  <c r="O6355" i="8" s="1"/>
  <c r="O6356" i="8" s="1"/>
  <c r="O6357" i="8" s="1"/>
  <c r="O6358" i="8" s="1"/>
  <c r="O6359" i="8" s="1"/>
  <c r="O6360" i="8" s="1"/>
  <c r="O6361" i="8" s="1"/>
  <c r="O6362" i="8" s="1"/>
  <c r="O6363" i="8" s="1"/>
  <c r="O6364" i="8" s="1"/>
  <c r="O6365" i="8" s="1"/>
  <c r="O6366" i="8" s="1"/>
  <c r="O6367" i="8" s="1"/>
  <c r="O6368" i="8" s="1"/>
  <c r="O6369" i="8" s="1"/>
  <c r="O6370" i="8" s="1"/>
  <c r="O6371" i="8" s="1"/>
  <c r="O6372" i="8" s="1"/>
  <c r="O6373" i="8" s="1"/>
  <c r="O6374" i="8" s="1"/>
  <c r="O6375" i="8" s="1"/>
  <c r="O6376" i="8" s="1"/>
  <c r="O6377" i="8" s="1"/>
  <c r="O6378" i="8" s="1"/>
  <c r="O6379" i="8" s="1"/>
  <c r="O6380" i="8" s="1"/>
  <c r="O6381" i="8" s="1"/>
  <c r="O6382" i="8" s="1"/>
  <c r="O6383" i="8" s="1"/>
  <c r="O6384" i="8" s="1"/>
  <c r="O6385" i="8" s="1"/>
  <c r="O6386" i="8" s="1"/>
  <c r="O6387" i="8" s="1"/>
  <c r="O6388" i="8" s="1"/>
  <c r="O6389" i="8" s="1"/>
  <c r="O6390" i="8" s="1"/>
  <c r="O6391" i="8" s="1"/>
  <c r="O6392" i="8" s="1"/>
  <c r="O6393" i="8" s="1"/>
  <c r="O6394" i="8" s="1"/>
  <c r="O6395" i="8" s="1"/>
  <c r="O6396" i="8" s="1"/>
  <c r="O6397" i="8" s="1"/>
  <c r="O6398" i="8" s="1"/>
  <c r="O6399" i="8" s="1"/>
  <c r="O6400" i="8" s="1"/>
  <c r="O6401" i="8" s="1"/>
  <c r="O6402" i="8" s="1"/>
  <c r="O6403" i="8" s="1"/>
  <c r="O6404" i="8" s="1"/>
  <c r="O6405" i="8" s="1"/>
  <c r="O6406" i="8" s="1"/>
  <c r="O6407" i="8" s="1"/>
  <c r="O6408" i="8" s="1"/>
  <c r="O6409" i="8" s="1"/>
  <c r="O6410" i="8" s="1"/>
  <c r="O6411" i="8" s="1"/>
  <c r="O6412" i="8" s="1"/>
  <c r="O6413" i="8" s="1"/>
  <c r="O6414" i="8" s="1"/>
  <c r="O6415" i="8" s="1"/>
  <c r="O6416" i="8" s="1"/>
  <c r="O6417" i="8" s="1"/>
  <c r="O6418" i="8" s="1"/>
  <c r="O6419" i="8" s="1"/>
  <c r="O6420" i="8" s="1"/>
  <c r="O6421" i="8" s="1"/>
  <c r="O6422" i="8" s="1"/>
  <c r="O6423" i="8" s="1"/>
  <c r="O6424" i="8" s="1"/>
  <c r="O6425" i="8" s="1"/>
  <c r="O6426" i="8" s="1"/>
  <c r="O6427" i="8" s="1"/>
  <c r="O6428" i="8" s="1"/>
  <c r="O6429" i="8" s="1"/>
  <c r="O6430" i="8" s="1"/>
  <c r="O6431" i="8" s="1"/>
  <c r="O6432" i="8" s="1"/>
  <c r="O6433" i="8" s="1"/>
  <c r="O6434" i="8" s="1"/>
  <c r="O6435" i="8" s="1"/>
  <c r="O6436" i="8" s="1"/>
  <c r="O6437" i="8" s="1"/>
  <c r="O6438" i="8" s="1"/>
  <c r="O6439" i="8" s="1"/>
  <c r="O6440" i="8" s="1"/>
  <c r="O6441" i="8" s="1"/>
  <c r="O6442" i="8" s="1"/>
  <c r="O6443" i="8" s="1"/>
  <c r="O6444" i="8" s="1"/>
  <c r="O6445" i="8" s="1"/>
  <c r="O6446" i="8" s="1"/>
  <c r="O6447" i="8" s="1"/>
  <c r="O6448" i="8" s="1"/>
  <c r="O6449" i="8" s="1"/>
  <c r="O6450" i="8" s="1"/>
  <c r="O6451" i="8" s="1"/>
  <c r="O6452" i="8" s="1"/>
  <c r="O6453" i="8" s="1"/>
  <c r="O6454" i="8" s="1"/>
  <c r="O6455" i="8" s="1"/>
  <c r="O6456" i="8" s="1"/>
  <c r="O6457" i="8" s="1"/>
  <c r="O6458" i="8" s="1"/>
  <c r="O6459" i="8" s="1"/>
  <c r="O6460" i="8" s="1"/>
  <c r="O6461" i="8" s="1"/>
  <c r="O6462" i="8" s="1"/>
  <c r="O6463" i="8" s="1"/>
  <c r="O6464" i="8" s="1"/>
  <c r="O6465" i="8" s="1"/>
  <c r="O6466" i="8" s="1"/>
  <c r="O6467" i="8" s="1"/>
  <c r="O6468" i="8" s="1"/>
  <c r="O6469" i="8" s="1"/>
  <c r="O6470" i="8" s="1"/>
  <c r="O6471" i="8" s="1"/>
  <c r="O6472" i="8" s="1"/>
  <c r="O6473" i="8" s="1"/>
  <c r="O6474" i="8" s="1"/>
  <c r="O6475" i="8" s="1"/>
  <c r="O6476" i="8" s="1"/>
  <c r="O6477" i="8" s="1"/>
  <c r="O6478" i="8" s="1"/>
  <c r="O6479" i="8" s="1"/>
  <c r="O6480" i="8" s="1"/>
  <c r="O6481" i="8" s="1"/>
  <c r="O6482" i="8" s="1"/>
  <c r="O6483" i="8" s="1"/>
  <c r="O6484" i="8" s="1"/>
  <c r="O6485" i="8" s="1"/>
  <c r="O6486" i="8" s="1"/>
  <c r="O6487" i="8" s="1"/>
  <c r="O6488" i="8" s="1"/>
  <c r="O6489" i="8" s="1"/>
  <c r="O6490" i="8" s="1"/>
  <c r="O6491" i="8" s="1"/>
  <c r="O6492" i="8" s="1"/>
  <c r="O6493" i="8" s="1"/>
  <c r="O6494" i="8" s="1"/>
  <c r="O6495" i="8" s="1"/>
  <c r="O6496" i="8" s="1"/>
  <c r="O6497" i="8" s="1"/>
  <c r="O6498" i="8" s="1"/>
  <c r="O6499" i="8" s="1"/>
  <c r="O6500" i="8" s="1"/>
  <c r="O6501" i="8" s="1"/>
  <c r="O6502" i="8" s="1"/>
  <c r="O6503" i="8" s="1"/>
  <c r="O6504" i="8" s="1"/>
  <c r="O6505" i="8" s="1"/>
  <c r="O6506" i="8" s="1"/>
  <c r="O6507" i="8" s="1"/>
  <c r="O6508" i="8" s="1"/>
  <c r="O6509" i="8" s="1"/>
  <c r="O6510" i="8" s="1"/>
  <c r="O6511" i="8" s="1"/>
  <c r="O6512" i="8" s="1"/>
  <c r="O6513" i="8" s="1"/>
  <c r="O6514" i="8" s="1"/>
  <c r="O6515" i="8" s="1"/>
  <c r="O6516" i="8" s="1"/>
  <c r="O6517" i="8" s="1"/>
  <c r="O6518" i="8" s="1"/>
  <c r="O6519" i="8" s="1"/>
  <c r="O6520" i="8" s="1"/>
  <c r="O6521" i="8" s="1"/>
  <c r="O6522" i="8" s="1"/>
  <c r="O6523" i="8" s="1"/>
  <c r="O6524" i="8" s="1"/>
  <c r="O6525" i="8" s="1"/>
  <c r="O6526" i="8" s="1"/>
  <c r="O6527" i="8" s="1"/>
  <c r="O6528" i="8" s="1"/>
  <c r="O6529" i="8" s="1"/>
  <c r="O6530" i="8" s="1"/>
  <c r="O6531" i="8" s="1"/>
  <c r="O6532" i="8" s="1"/>
  <c r="O6533" i="8" s="1"/>
  <c r="O6534" i="8" s="1"/>
  <c r="O6535" i="8" s="1"/>
  <c r="O6536" i="8" s="1"/>
  <c r="O6537" i="8" s="1"/>
  <c r="O6538" i="8" s="1"/>
  <c r="O6539" i="8" s="1"/>
  <c r="O6540" i="8" s="1"/>
  <c r="O6541" i="8" s="1"/>
  <c r="O6542" i="8" s="1"/>
  <c r="O6543" i="8" s="1"/>
  <c r="O6544" i="8" s="1"/>
  <c r="O6545" i="8" s="1"/>
  <c r="O6546" i="8" s="1"/>
  <c r="O6547" i="8" s="1"/>
  <c r="O6548" i="8" s="1"/>
  <c r="O6549" i="8" s="1"/>
  <c r="O6550" i="8" s="1"/>
  <c r="O6551" i="8" s="1"/>
  <c r="O6552" i="8" s="1"/>
  <c r="O6553" i="8" s="1"/>
  <c r="O6554" i="8" s="1"/>
  <c r="O6555" i="8" s="1"/>
  <c r="O6556" i="8" s="1"/>
  <c r="O6557" i="8" s="1"/>
  <c r="O6558" i="8" s="1"/>
  <c r="O6559" i="8" s="1"/>
  <c r="O6560" i="8" s="1"/>
  <c r="O6561" i="8" s="1"/>
  <c r="O6562" i="8" s="1"/>
  <c r="O6563" i="8" s="1"/>
  <c r="O6564" i="8" s="1"/>
  <c r="O6565" i="8" s="1"/>
  <c r="O6566" i="8" s="1"/>
  <c r="O6567" i="8" s="1"/>
  <c r="O6568" i="8" s="1"/>
  <c r="O6569" i="8" s="1"/>
  <c r="O6570" i="8" s="1"/>
  <c r="O6571" i="8" s="1"/>
  <c r="O6572" i="8" s="1"/>
  <c r="O6573" i="8" s="1"/>
  <c r="O6574" i="8" s="1"/>
  <c r="O6575" i="8" s="1"/>
  <c r="O6576" i="8" s="1"/>
  <c r="O6577" i="8" s="1"/>
  <c r="O6578" i="8" s="1"/>
  <c r="O6579" i="8" s="1"/>
  <c r="O6580" i="8" s="1"/>
  <c r="O6581" i="8" s="1"/>
  <c r="O6582" i="8" s="1"/>
  <c r="O6583" i="8" s="1"/>
  <c r="O6584" i="8" s="1"/>
  <c r="O6585" i="8" s="1"/>
  <c r="O6586" i="8" s="1"/>
  <c r="O6587" i="8" s="1"/>
  <c r="O6588" i="8" s="1"/>
  <c r="O6589" i="8" s="1"/>
  <c r="O6590" i="8" s="1"/>
  <c r="O6591" i="8" s="1"/>
  <c r="O6592" i="8" s="1"/>
  <c r="O6593" i="8" s="1"/>
  <c r="O6594" i="8" s="1"/>
  <c r="O6595" i="8" s="1"/>
  <c r="O6596" i="8" s="1"/>
  <c r="O6597" i="8" s="1"/>
  <c r="O6598" i="8" s="1"/>
  <c r="O6599" i="8" s="1"/>
  <c r="O6600" i="8" s="1"/>
  <c r="O6601" i="8" s="1"/>
  <c r="O6602" i="8" s="1"/>
  <c r="O6603" i="8" s="1"/>
  <c r="O6604" i="8" s="1"/>
  <c r="O6605" i="8" s="1"/>
  <c r="O6606" i="8" s="1"/>
  <c r="O6607" i="8" s="1"/>
  <c r="O6608" i="8" s="1"/>
  <c r="O6609" i="8" s="1"/>
  <c r="O6610" i="8" s="1"/>
  <c r="O6611" i="8" s="1"/>
  <c r="O6612" i="8" s="1"/>
  <c r="O6613" i="8" s="1"/>
  <c r="O6614" i="8" s="1"/>
  <c r="O6615" i="8" s="1"/>
  <c r="O6616" i="8" s="1"/>
  <c r="O6617" i="8" s="1"/>
  <c r="O6618" i="8" s="1"/>
  <c r="O6619" i="8" s="1"/>
  <c r="O6620" i="8" s="1"/>
  <c r="O6621" i="8" s="1"/>
  <c r="O6622" i="8" s="1"/>
  <c r="O6623" i="8" s="1"/>
  <c r="O6624" i="8" s="1"/>
  <c r="O6625" i="8" s="1"/>
  <c r="O6626" i="8" s="1"/>
  <c r="O6627" i="8" s="1"/>
  <c r="O6628" i="8" s="1"/>
  <c r="O6629" i="8" s="1"/>
  <c r="O6630" i="8" s="1"/>
  <c r="O6631" i="8" s="1"/>
  <c r="O6632" i="8" s="1"/>
  <c r="O6633" i="8" s="1"/>
  <c r="O6634" i="8" s="1"/>
  <c r="O6635" i="8" s="1"/>
  <c r="O6636" i="8" s="1"/>
  <c r="O6637" i="8" s="1"/>
  <c r="O6638" i="8" s="1"/>
  <c r="O6639" i="8" s="1"/>
  <c r="O6640" i="8" s="1"/>
  <c r="O6641" i="8" s="1"/>
  <c r="O6642" i="8" s="1"/>
  <c r="O6643" i="8" s="1"/>
  <c r="O6644" i="8" s="1"/>
  <c r="O6645" i="8" s="1"/>
  <c r="O6646" i="8" s="1"/>
  <c r="O6647" i="8" s="1"/>
  <c r="O6648" i="8" s="1"/>
  <c r="O6649" i="8" s="1"/>
  <c r="O6650" i="8" s="1"/>
  <c r="O6651" i="8" s="1"/>
  <c r="O6652" i="8" s="1"/>
  <c r="O6653" i="8" s="1"/>
  <c r="O6654" i="8" s="1"/>
  <c r="O6655" i="8" s="1"/>
  <c r="O6656" i="8" s="1"/>
  <c r="O6657" i="8" s="1"/>
  <c r="O6658" i="8" s="1"/>
  <c r="O6659" i="8" s="1"/>
  <c r="O6660" i="8" s="1"/>
  <c r="O6661" i="8" s="1"/>
  <c r="O6662" i="8" s="1"/>
  <c r="O6663" i="8" s="1"/>
  <c r="O6664" i="8" s="1"/>
  <c r="O6665" i="8" s="1"/>
  <c r="O6666" i="8" s="1"/>
  <c r="O6667" i="8" s="1"/>
  <c r="O6668" i="8" s="1"/>
  <c r="O6669" i="8" s="1"/>
  <c r="O6670" i="8" s="1"/>
  <c r="O6671" i="8" s="1"/>
  <c r="O6672" i="8" s="1"/>
  <c r="O6673" i="8" s="1"/>
  <c r="O6674" i="8" s="1"/>
  <c r="O6675" i="8" s="1"/>
  <c r="O6676" i="8" s="1"/>
  <c r="O6677" i="8" s="1"/>
  <c r="O6678" i="8" s="1"/>
  <c r="O6679" i="8" s="1"/>
  <c r="O6680" i="8" s="1"/>
  <c r="O6681" i="8" s="1"/>
  <c r="O6682" i="8" s="1"/>
  <c r="O6683" i="8" s="1"/>
  <c r="O6684" i="8" s="1"/>
  <c r="O6685" i="8" s="1"/>
  <c r="O6686" i="8" s="1"/>
  <c r="O6687" i="8" s="1"/>
  <c r="O6688" i="8" s="1"/>
  <c r="O6689" i="8" s="1"/>
  <c r="O6690" i="8" s="1"/>
  <c r="O6691" i="8" s="1"/>
  <c r="O6692" i="8" s="1"/>
  <c r="O6693" i="8" s="1"/>
  <c r="O6694" i="8" s="1"/>
  <c r="O6695" i="8" s="1"/>
  <c r="O6696" i="8" s="1"/>
  <c r="O6697" i="8" s="1"/>
  <c r="O6698" i="8" s="1"/>
  <c r="O6699" i="8" s="1"/>
  <c r="O6700" i="8" s="1"/>
  <c r="O6701" i="8" s="1"/>
  <c r="O6702" i="8" s="1"/>
  <c r="O6703" i="8" s="1"/>
  <c r="O6704" i="8" s="1"/>
  <c r="O6705" i="8" s="1"/>
  <c r="O6706" i="8" s="1"/>
  <c r="O6707" i="8" s="1"/>
  <c r="O6708" i="8" s="1"/>
  <c r="O6709" i="8" s="1"/>
  <c r="O6710" i="8" s="1"/>
  <c r="O6711" i="8" s="1"/>
  <c r="O6712" i="8" s="1"/>
  <c r="O6713" i="8" s="1"/>
  <c r="O6714" i="8" s="1"/>
  <c r="O6715" i="8" s="1"/>
  <c r="O6716" i="8" s="1"/>
  <c r="O6717" i="8" s="1"/>
  <c r="O6718" i="8" s="1"/>
  <c r="O6719" i="8" s="1"/>
  <c r="O6720" i="8" s="1"/>
  <c r="O6721" i="8" s="1"/>
  <c r="O6722" i="8" s="1"/>
  <c r="O6723" i="8" s="1"/>
  <c r="O6724" i="8" s="1"/>
  <c r="O6725" i="8" s="1"/>
  <c r="O6726" i="8" s="1"/>
  <c r="O6727" i="8" s="1"/>
  <c r="O6728" i="8" s="1"/>
  <c r="O6729" i="8" s="1"/>
  <c r="O6730" i="8" s="1"/>
  <c r="O6731" i="8" s="1"/>
  <c r="O6732" i="8" s="1"/>
  <c r="O6733" i="8" s="1"/>
  <c r="O6734" i="8" s="1"/>
  <c r="O6735" i="8" s="1"/>
  <c r="O6736" i="8" s="1"/>
  <c r="O6737" i="8" s="1"/>
  <c r="O6738" i="8" s="1"/>
  <c r="O6739" i="8" s="1"/>
  <c r="O6740" i="8" s="1"/>
  <c r="O6741" i="8" s="1"/>
  <c r="O6742" i="8" s="1"/>
  <c r="O6743" i="8" s="1"/>
  <c r="O6744" i="8" s="1"/>
  <c r="O6745" i="8" s="1"/>
  <c r="O6746" i="8" s="1"/>
  <c r="O6747" i="8" s="1"/>
  <c r="O6748" i="8" s="1"/>
  <c r="O6749" i="8" s="1"/>
  <c r="O6750" i="8" s="1"/>
  <c r="O6751" i="8" s="1"/>
  <c r="O6752" i="8" s="1"/>
  <c r="O6753" i="8" s="1"/>
  <c r="O6754" i="8" s="1"/>
  <c r="O6755" i="8" s="1"/>
  <c r="O6756" i="8" s="1"/>
  <c r="O6757" i="8" s="1"/>
  <c r="O6758" i="8" s="1"/>
  <c r="O6759" i="8" s="1"/>
  <c r="O6760" i="8" s="1"/>
  <c r="O6761" i="8" s="1"/>
  <c r="O6762" i="8" s="1"/>
  <c r="O6763" i="8" s="1"/>
  <c r="O6764" i="8" s="1"/>
  <c r="O6765" i="8" s="1"/>
  <c r="O6766" i="8" s="1"/>
  <c r="O6767" i="8" s="1"/>
  <c r="O6768" i="8" s="1"/>
  <c r="O6769" i="8" s="1"/>
  <c r="O6770" i="8" s="1"/>
  <c r="O6771" i="8" s="1"/>
  <c r="O6772" i="8" s="1"/>
  <c r="O6773" i="8" s="1"/>
  <c r="O6774" i="8" s="1"/>
  <c r="O6775" i="8" s="1"/>
  <c r="O6776" i="8" s="1"/>
  <c r="O6777" i="8" s="1"/>
  <c r="O6778" i="8" s="1"/>
  <c r="O6779" i="8" s="1"/>
  <c r="O6780" i="8" s="1"/>
  <c r="O6781" i="8" s="1"/>
  <c r="O6782" i="8" s="1"/>
  <c r="O6783" i="8" s="1"/>
  <c r="O6784" i="8" s="1"/>
  <c r="O6785" i="8" s="1"/>
  <c r="O6786" i="8" s="1"/>
  <c r="O6787" i="8" s="1"/>
  <c r="O6788" i="8" s="1"/>
  <c r="O6789" i="8" s="1"/>
  <c r="O6790" i="8" s="1"/>
  <c r="O6791" i="8" s="1"/>
  <c r="O6792" i="8" s="1"/>
  <c r="O6793" i="8" s="1"/>
  <c r="O6794" i="8" s="1"/>
  <c r="O6795" i="8" s="1"/>
  <c r="O6796" i="8" s="1"/>
  <c r="O6797" i="8" s="1"/>
  <c r="O6798" i="8" s="1"/>
  <c r="O6799" i="8" s="1"/>
  <c r="O6800" i="8" s="1"/>
  <c r="O6801" i="8" s="1"/>
  <c r="O6802" i="8" s="1"/>
  <c r="O6803" i="8" s="1"/>
  <c r="O6804" i="8" s="1"/>
  <c r="O6805" i="8" s="1"/>
  <c r="O6806" i="8" s="1"/>
  <c r="O6807" i="8" s="1"/>
  <c r="O6808" i="8" s="1"/>
  <c r="O6809" i="8" s="1"/>
  <c r="O6810" i="8" s="1"/>
  <c r="O6811" i="8" s="1"/>
  <c r="O6812" i="8" s="1"/>
  <c r="O6813" i="8" s="1"/>
  <c r="O6814" i="8" s="1"/>
  <c r="O6815" i="8" s="1"/>
  <c r="O6816" i="8" s="1"/>
  <c r="O6817" i="8" s="1"/>
  <c r="O6818" i="8" s="1"/>
  <c r="O6819" i="8" s="1"/>
  <c r="O6820" i="8" s="1"/>
  <c r="O6821" i="8" s="1"/>
  <c r="O6822" i="8" s="1"/>
  <c r="O6823" i="8" s="1"/>
  <c r="O6824" i="8" s="1"/>
  <c r="O6825" i="8" s="1"/>
  <c r="O6826" i="8" s="1"/>
  <c r="O6827" i="8" s="1"/>
  <c r="O6828" i="8" s="1"/>
  <c r="O6829" i="8" s="1"/>
  <c r="O6830" i="8" s="1"/>
  <c r="O6831" i="8" s="1"/>
  <c r="O6832" i="8" s="1"/>
  <c r="O6833" i="8" s="1"/>
  <c r="O6834" i="8" s="1"/>
  <c r="O6835" i="8" s="1"/>
  <c r="O6836" i="8" s="1"/>
  <c r="O6837" i="8" s="1"/>
  <c r="O6838" i="8" s="1"/>
  <c r="O6839" i="8" s="1"/>
  <c r="O6840" i="8" s="1"/>
  <c r="O6841" i="8" s="1"/>
  <c r="O6842" i="8" s="1"/>
  <c r="O6843" i="8" s="1"/>
  <c r="O6844" i="8" s="1"/>
  <c r="O6845" i="8" s="1"/>
  <c r="O6846" i="8" s="1"/>
  <c r="O6847" i="8" s="1"/>
  <c r="O6848" i="8" s="1"/>
  <c r="O6849" i="8" s="1"/>
  <c r="O6850" i="8" s="1"/>
  <c r="O6851" i="8" s="1"/>
  <c r="O6852" i="8" s="1"/>
  <c r="O6853" i="8" s="1"/>
  <c r="O6854" i="8" s="1"/>
  <c r="O6855" i="8" s="1"/>
  <c r="O6856" i="8" s="1"/>
  <c r="O6857" i="8" s="1"/>
  <c r="O6858" i="8" s="1"/>
  <c r="O6859" i="8" s="1"/>
  <c r="O6860" i="8" s="1"/>
  <c r="O6861" i="8" s="1"/>
  <c r="O6862" i="8" s="1"/>
  <c r="O6863" i="8" s="1"/>
  <c r="O6864" i="8" s="1"/>
  <c r="O6865" i="8" s="1"/>
  <c r="O6866" i="8" s="1"/>
  <c r="O6867" i="8" s="1"/>
  <c r="O6868" i="8" s="1"/>
  <c r="O6869" i="8" s="1"/>
  <c r="O6870" i="8" s="1"/>
  <c r="O6871" i="8" s="1"/>
  <c r="O6872" i="8" s="1"/>
  <c r="O6873" i="8" s="1"/>
  <c r="O6874" i="8" s="1"/>
  <c r="O6875" i="8" s="1"/>
  <c r="O6876" i="8" s="1"/>
  <c r="O6877" i="8" s="1"/>
  <c r="O6878" i="8" s="1"/>
  <c r="O6879" i="8" s="1"/>
  <c r="O6880" i="8" s="1"/>
  <c r="O6881" i="8" s="1"/>
  <c r="O6882" i="8" s="1"/>
  <c r="O6883" i="8" s="1"/>
  <c r="O6884" i="8" s="1"/>
  <c r="O6885" i="8" s="1"/>
  <c r="O6886" i="8" s="1"/>
  <c r="O6887" i="8" s="1"/>
  <c r="O6888" i="8" s="1"/>
  <c r="O6889" i="8" s="1"/>
  <c r="O6890" i="8" s="1"/>
  <c r="O6891" i="8" s="1"/>
  <c r="O6892" i="8" s="1"/>
  <c r="O6893" i="8" s="1"/>
  <c r="O6894" i="8" s="1"/>
  <c r="O6895" i="8" s="1"/>
  <c r="O6896" i="8" s="1"/>
  <c r="O6897" i="8" s="1"/>
  <c r="O6898" i="8" s="1"/>
  <c r="O6899" i="8" s="1"/>
  <c r="O6900" i="8" s="1"/>
  <c r="O6901" i="8" s="1"/>
  <c r="O6902" i="8" s="1"/>
  <c r="O6903" i="8" s="1"/>
  <c r="O6904" i="8" s="1"/>
  <c r="O6905" i="8" s="1"/>
  <c r="O6906" i="8" s="1"/>
  <c r="O6907" i="8" s="1"/>
  <c r="O6908" i="8" s="1"/>
  <c r="O6909" i="8" s="1"/>
  <c r="O6910" i="8" s="1"/>
  <c r="O6911" i="8" s="1"/>
  <c r="O6912" i="8" s="1"/>
  <c r="O6913" i="8" s="1"/>
  <c r="O6914" i="8" s="1"/>
  <c r="O6915" i="8" s="1"/>
  <c r="O6916" i="8" s="1"/>
  <c r="O6917" i="8" s="1"/>
  <c r="O6918" i="8" s="1"/>
  <c r="O6919" i="8" s="1"/>
  <c r="O6920" i="8" s="1"/>
  <c r="O6921" i="8" s="1"/>
  <c r="O6922" i="8" s="1"/>
  <c r="O6923" i="8" s="1"/>
  <c r="O6924" i="8" s="1"/>
  <c r="O6925" i="8" s="1"/>
  <c r="O6926" i="8" s="1"/>
  <c r="O6927" i="8" s="1"/>
  <c r="O6928" i="8" s="1"/>
  <c r="O6929" i="8" s="1"/>
  <c r="O6930" i="8" s="1"/>
  <c r="O6931" i="8" s="1"/>
  <c r="O6932" i="8" s="1"/>
  <c r="O6933" i="8" s="1"/>
  <c r="O6934" i="8" s="1"/>
  <c r="O6935" i="8" s="1"/>
  <c r="O6936" i="8" s="1"/>
  <c r="O6937" i="8" s="1"/>
  <c r="O6938" i="8" s="1"/>
  <c r="O6939" i="8" s="1"/>
  <c r="O6940" i="8" s="1"/>
  <c r="O6941" i="8" s="1"/>
  <c r="O6942" i="8" s="1"/>
  <c r="O6943" i="8" s="1"/>
  <c r="O6944" i="8" s="1"/>
  <c r="O6945" i="8" s="1"/>
  <c r="O6946" i="8" s="1"/>
  <c r="O6947" i="8" s="1"/>
  <c r="O6948" i="8" s="1"/>
  <c r="O6949" i="8" s="1"/>
  <c r="O6950" i="8" s="1"/>
  <c r="O6951" i="8" s="1"/>
  <c r="O6952" i="8" s="1"/>
  <c r="O6953" i="8" s="1"/>
  <c r="O6954" i="8" s="1"/>
  <c r="O6955" i="8" s="1"/>
  <c r="O6956" i="8" s="1"/>
  <c r="O6957" i="8" s="1"/>
  <c r="O6958" i="8" s="1"/>
  <c r="O6959" i="8" s="1"/>
  <c r="O6960" i="8" s="1"/>
  <c r="O6961" i="8" s="1"/>
  <c r="O6962" i="8" s="1"/>
  <c r="O6963" i="8" s="1"/>
  <c r="O6964" i="8" s="1"/>
  <c r="O6965" i="8" s="1"/>
  <c r="O6966" i="8" s="1"/>
  <c r="O6967" i="8" s="1"/>
  <c r="O6968" i="8" s="1"/>
  <c r="O6969" i="8" s="1"/>
  <c r="O6970" i="8" s="1"/>
  <c r="O6971" i="8" s="1"/>
  <c r="O6972" i="8" s="1"/>
  <c r="O6973" i="8" s="1"/>
  <c r="O6974" i="8" s="1"/>
  <c r="O6975" i="8" s="1"/>
  <c r="O6976" i="8" s="1"/>
  <c r="O6977" i="8" s="1"/>
  <c r="O6978" i="8" s="1"/>
  <c r="O6979" i="8" s="1"/>
  <c r="O6980" i="8" s="1"/>
  <c r="O6981" i="8" s="1"/>
  <c r="O6982" i="8" s="1"/>
  <c r="O6983" i="8" s="1"/>
  <c r="O6984" i="8" s="1"/>
  <c r="O6985" i="8" s="1"/>
  <c r="O6986" i="8" s="1"/>
  <c r="O6987" i="8" s="1"/>
  <c r="O6988" i="8" s="1"/>
  <c r="O6989" i="8" s="1"/>
  <c r="O6990" i="8" s="1"/>
  <c r="O6991" i="8" s="1"/>
  <c r="O6992" i="8" s="1"/>
  <c r="O6993" i="8" s="1"/>
  <c r="O6994" i="8" s="1"/>
  <c r="O6995" i="8" s="1"/>
  <c r="O6996" i="8" s="1"/>
  <c r="O6997" i="8" s="1"/>
  <c r="O6998" i="8" s="1"/>
  <c r="O6999" i="8" s="1"/>
  <c r="O7000" i="8" s="1"/>
  <c r="O7001" i="8" s="1"/>
  <c r="O7002" i="8" s="1"/>
  <c r="O7003" i="8" s="1"/>
  <c r="O7004" i="8" s="1"/>
  <c r="O7005" i="8" s="1"/>
  <c r="O7006" i="8" s="1"/>
  <c r="O7007" i="8" s="1"/>
  <c r="O7008" i="8" s="1"/>
  <c r="O7009" i="8" s="1"/>
  <c r="O7010" i="8" s="1"/>
  <c r="O7011" i="8" s="1"/>
  <c r="O7012" i="8" s="1"/>
  <c r="O7013" i="8" s="1"/>
  <c r="O7014" i="8" s="1"/>
  <c r="O7015" i="8" s="1"/>
  <c r="O7016" i="8" s="1"/>
  <c r="O7017" i="8" s="1"/>
  <c r="O7018" i="8" s="1"/>
  <c r="O7019" i="8" s="1"/>
  <c r="O7020" i="8" s="1"/>
  <c r="O7021" i="8" s="1"/>
  <c r="O7022" i="8" s="1"/>
  <c r="O7023" i="8" s="1"/>
  <c r="O7024" i="8" s="1"/>
  <c r="O7025" i="8" s="1"/>
  <c r="O7026" i="8" s="1"/>
  <c r="O7027" i="8" s="1"/>
  <c r="O7028" i="8" s="1"/>
  <c r="O7029" i="8" s="1"/>
  <c r="O7030" i="8" s="1"/>
  <c r="O7031" i="8" s="1"/>
  <c r="O7032" i="8" s="1"/>
  <c r="O7033" i="8" s="1"/>
  <c r="O7034" i="8" s="1"/>
  <c r="O7035" i="8" s="1"/>
  <c r="O7036" i="8" s="1"/>
  <c r="O7037" i="8" s="1"/>
  <c r="O7038" i="8" s="1"/>
  <c r="O7039" i="8" s="1"/>
  <c r="O7040" i="8" s="1"/>
  <c r="O7041" i="8" s="1"/>
  <c r="O7042" i="8" s="1"/>
  <c r="O7043" i="8" s="1"/>
  <c r="O7044" i="8" s="1"/>
  <c r="O7045" i="8" s="1"/>
  <c r="O7046" i="8" s="1"/>
  <c r="O7047" i="8" s="1"/>
  <c r="O7048" i="8" s="1"/>
  <c r="O7049" i="8" s="1"/>
  <c r="O7050" i="8" s="1"/>
  <c r="O7051" i="8" s="1"/>
  <c r="O7052" i="8" s="1"/>
  <c r="O7053" i="8" s="1"/>
  <c r="O7054" i="8" s="1"/>
  <c r="O7055" i="8" s="1"/>
  <c r="O7056" i="8" s="1"/>
  <c r="O7057" i="8" s="1"/>
  <c r="O7058" i="8" s="1"/>
  <c r="O7059" i="8" s="1"/>
  <c r="O7060" i="8" s="1"/>
  <c r="O7061" i="8" s="1"/>
  <c r="O7062" i="8" s="1"/>
  <c r="O7063" i="8" s="1"/>
  <c r="O7064" i="8" s="1"/>
  <c r="O7065" i="8" s="1"/>
  <c r="O7066" i="8" s="1"/>
  <c r="O7067" i="8" s="1"/>
  <c r="O7068" i="8" s="1"/>
  <c r="O7069" i="8" s="1"/>
  <c r="O7070" i="8" s="1"/>
  <c r="O7071" i="8" s="1"/>
  <c r="O7072" i="8" s="1"/>
  <c r="O7073" i="8" s="1"/>
  <c r="O7074" i="8" s="1"/>
  <c r="O7075" i="8" s="1"/>
  <c r="O7076" i="8" s="1"/>
  <c r="O7077" i="8" s="1"/>
  <c r="O7078" i="8" s="1"/>
  <c r="O7079" i="8" s="1"/>
  <c r="O7080" i="8" s="1"/>
  <c r="O7081" i="8" s="1"/>
  <c r="O7082" i="8" s="1"/>
  <c r="O7083" i="8" s="1"/>
  <c r="O7084" i="8" s="1"/>
  <c r="O7085" i="8" s="1"/>
  <c r="O7086" i="8" s="1"/>
  <c r="O7087" i="8" s="1"/>
  <c r="O7088" i="8" s="1"/>
  <c r="O7089" i="8" s="1"/>
  <c r="O7090" i="8" s="1"/>
  <c r="O7091" i="8" s="1"/>
  <c r="O7092" i="8" s="1"/>
  <c r="O7093" i="8" s="1"/>
  <c r="O7094" i="8" s="1"/>
  <c r="O7095" i="8" s="1"/>
  <c r="O7096" i="8" s="1"/>
  <c r="O7097" i="8" s="1"/>
  <c r="O7098" i="8" s="1"/>
  <c r="O7099" i="8" s="1"/>
  <c r="O7100" i="8" s="1"/>
  <c r="O7101" i="8" s="1"/>
  <c r="O7102" i="8" s="1"/>
  <c r="O7103" i="8" s="1"/>
  <c r="O7104" i="8" s="1"/>
  <c r="O7105" i="8" s="1"/>
  <c r="O7106" i="8" s="1"/>
  <c r="O7107" i="8" s="1"/>
  <c r="O7108" i="8" s="1"/>
  <c r="O7109" i="8" s="1"/>
  <c r="O7110" i="8" s="1"/>
  <c r="O7111" i="8" s="1"/>
  <c r="O7112" i="8" s="1"/>
  <c r="O7113" i="8" s="1"/>
  <c r="O7114" i="8" s="1"/>
  <c r="O7115" i="8" s="1"/>
  <c r="O7116" i="8" s="1"/>
  <c r="O7117" i="8" s="1"/>
  <c r="O7118" i="8" s="1"/>
  <c r="O7119" i="8" s="1"/>
  <c r="O7120" i="8" s="1"/>
  <c r="O7121" i="8" s="1"/>
  <c r="O7122" i="8" s="1"/>
  <c r="O7123" i="8" s="1"/>
  <c r="O7124" i="8" s="1"/>
  <c r="O7125" i="8" s="1"/>
  <c r="O7126" i="8" s="1"/>
  <c r="O7127" i="8" s="1"/>
  <c r="O7128" i="8" s="1"/>
  <c r="O7129" i="8" s="1"/>
  <c r="O7130" i="8" s="1"/>
  <c r="O7131" i="8" s="1"/>
  <c r="O7132" i="8" s="1"/>
  <c r="O7133" i="8" s="1"/>
  <c r="O7134" i="8" s="1"/>
  <c r="O7135" i="8" s="1"/>
  <c r="O7136" i="8" s="1"/>
  <c r="O7137" i="8" s="1"/>
  <c r="O7138" i="8" s="1"/>
  <c r="O7139" i="8" s="1"/>
  <c r="O7140" i="8" s="1"/>
  <c r="O7141" i="8" s="1"/>
  <c r="O7142" i="8" s="1"/>
  <c r="O7143" i="8" s="1"/>
  <c r="O7144" i="8" s="1"/>
  <c r="O7145" i="8" s="1"/>
  <c r="O7146" i="8" s="1"/>
  <c r="O7147" i="8" s="1"/>
  <c r="O7148" i="8" s="1"/>
  <c r="O7149" i="8" s="1"/>
  <c r="O7150" i="8" s="1"/>
  <c r="O7151" i="8" s="1"/>
  <c r="O7152" i="8" s="1"/>
  <c r="O7153" i="8" s="1"/>
  <c r="O7154" i="8" s="1"/>
  <c r="O7155" i="8" s="1"/>
  <c r="O7156" i="8" s="1"/>
  <c r="O7157" i="8" s="1"/>
  <c r="O7158" i="8" s="1"/>
  <c r="O7159" i="8" s="1"/>
  <c r="O7160" i="8" s="1"/>
  <c r="O7161" i="8" s="1"/>
  <c r="O7162" i="8" s="1"/>
  <c r="O7163" i="8" s="1"/>
  <c r="O7164" i="8" s="1"/>
  <c r="O7165" i="8" s="1"/>
  <c r="O7166" i="8" s="1"/>
  <c r="O7167" i="8" s="1"/>
  <c r="O7168" i="8" s="1"/>
  <c r="O7169" i="8" s="1"/>
  <c r="O7170" i="8" s="1"/>
  <c r="O7171" i="8" s="1"/>
  <c r="O7172" i="8" s="1"/>
  <c r="O7173" i="8" s="1"/>
  <c r="O7174" i="8" s="1"/>
  <c r="O7175" i="8" s="1"/>
  <c r="O7176" i="8" s="1"/>
  <c r="O7177" i="8" s="1"/>
  <c r="O7178" i="8" s="1"/>
  <c r="O7179" i="8" s="1"/>
  <c r="O7180" i="8" s="1"/>
  <c r="O7181" i="8" s="1"/>
  <c r="O7182" i="8" s="1"/>
  <c r="O7183" i="8" s="1"/>
  <c r="O7184" i="8" s="1"/>
  <c r="O7185" i="8" s="1"/>
  <c r="O7186" i="8" s="1"/>
  <c r="O7187" i="8" s="1"/>
  <c r="O7188" i="8" s="1"/>
  <c r="O7189" i="8" s="1"/>
  <c r="O7190" i="8" s="1"/>
  <c r="O7191" i="8" s="1"/>
  <c r="O7192" i="8" s="1"/>
  <c r="O7193" i="8" s="1"/>
  <c r="O7194" i="8" s="1"/>
  <c r="O7195" i="8" s="1"/>
  <c r="O7196" i="8" s="1"/>
  <c r="O7197" i="8" s="1"/>
  <c r="O7198" i="8" s="1"/>
  <c r="O7199" i="8" s="1"/>
  <c r="O7200" i="8" s="1"/>
  <c r="O7201" i="8" s="1"/>
  <c r="O7202" i="8" s="1"/>
  <c r="O7203" i="8" s="1"/>
  <c r="O7204" i="8" s="1"/>
  <c r="O7205" i="8" s="1"/>
  <c r="O7206" i="8" s="1"/>
  <c r="O7207" i="8" s="1"/>
  <c r="O7208" i="8" s="1"/>
  <c r="O7209" i="8" s="1"/>
  <c r="O7210" i="8" s="1"/>
  <c r="O7211" i="8" s="1"/>
  <c r="O7212" i="8" s="1"/>
  <c r="O7213" i="8" s="1"/>
  <c r="O7214" i="8" s="1"/>
  <c r="O7215" i="8" s="1"/>
  <c r="O7216" i="8" s="1"/>
  <c r="O7217" i="8" s="1"/>
  <c r="O7218" i="8" s="1"/>
  <c r="O7219" i="8" s="1"/>
  <c r="O7220" i="8" s="1"/>
  <c r="O7221" i="8" s="1"/>
  <c r="O7222" i="8" s="1"/>
  <c r="O7223" i="8" s="1"/>
  <c r="O7224" i="8" s="1"/>
  <c r="O7225" i="8" s="1"/>
  <c r="O7226" i="8" s="1"/>
  <c r="O7227" i="8" s="1"/>
  <c r="O7228" i="8" s="1"/>
  <c r="O7229" i="8" s="1"/>
  <c r="O7230" i="8" s="1"/>
  <c r="O7231" i="8" s="1"/>
  <c r="O7232" i="8" s="1"/>
  <c r="O7233" i="8" s="1"/>
  <c r="O7234" i="8" s="1"/>
  <c r="O7235" i="8" s="1"/>
  <c r="O7236" i="8" s="1"/>
  <c r="O7237" i="8" s="1"/>
  <c r="O7238" i="8" s="1"/>
  <c r="O7239" i="8" s="1"/>
  <c r="O7240" i="8" s="1"/>
  <c r="O7241" i="8" s="1"/>
  <c r="O7242" i="8" s="1"/>
  <c r="O7243" i="8" s="1"/>
  <c r="O7244" i="8" s="1"/>
  <c r="O7245" i="8" s="1"/>
  <c r="O7246" i="8" s="1"/>
  <c r="O7247" i="8" s="1"/>
  <c r="O7248" i="8" s="1"/>
  <c r="O7249" i="8" s="1"/>
  <c r="O7250" i="8" s="1"/>
  <c r="O7251" i="8" s="1"/>
  <c r="O7252" i="8" s="1"/>
  <c r="O7253" i="8" s="1"/>
  <c r="O7254" i="8" s="1"/>
  <c r="O7255" i="8" s="1"/>
  <c r="O7256" i="8" s="1"/>
  <c r="O7257" i="8" s="1"/>
  <c r="O7258" i="8" s="1"/>
  <c r="O7259" i="8" s="1"/>
  <c r="O7260" i="8" s="1"/>
  <c r="O7261" i="8" s="1"/>
  <c r="O7262" i="8" s="1"/>
  <c r="O7263" i="8" s="1"/>
  <c r="O7264" i="8" s="1"/>
  <c r="O7265" i="8" s="1"/>
  <c r="O7266" i="8" s="1"/>
  <c r="O7267" i="8" s="1"/>
  <c r="O7268" i="8" s="1"/>
  <c r="O7269" i="8" s="1"/>
  <c r="O7270" i="8" s="1"/>
  <c r="O7271" i="8" s="1"/>
  <c r="O7272" i="8" s="1"/>
  <c r="O7273" i="8" s="1"/>
  <c r="O7274" i="8" s="1"/>
  <c r="O7275" i="8" s="1"/>
  <c r="O7276" i="8" s="1"/>
  <c r="O7277" i="8" s="1"/>
  <c r="O7278" i="8" s="1"/>
  <c r="O7279" i="8" s="1"/>
  <c r="O7280" i="8" s="1"/>
  <c r="O7281" i="8" s="1"/>
  <c r="O7282" i="8" s="1"/>
  <c r="O7283" i="8" s="1"/>
  <c r="O7284" i="8" s="1"/>
  <c r="O7285" i="8" s="1"/>
  <c r="O7286" i="8" s="1"/>
  <c r="O7287" i="8" s="1"/>
  <c r="O7288" i="8" s="1"/>
  <c r="O7289" i="8" s="1"/>
  <c r="O7290" i="8" s="1"/>
  <c r="O7291" i="8" s="1"/>
  <c r="O7292" i="8" s="1"/>
  <c r="O7293" i="8" s="1"/>
  <c r="O7294" i="8" s="1"/>
  <c r="O7295" i="8" s="1"/>
  <c r="O7296" i="8" s="1"/>
  <c r="O7297" i="8" s="1"/>
  <c r="O7298" i="8" s="1"/>
  <c r="O7299" i="8" s="1"/>
  <c r="O7300" i="8" s="1"/>
  <c r="O7301" i="8" s="1"/>
  <c r="O7302" i="8" s="1"/>
  <c r="O7303" i="8" s="1"/>
  <c r="O7304" i="8" s="1"/>
  <c r="O7305" i="8" s="1"/>
  <c r="O7306" i="8" s="1"/>
  <c r="O7307" i="8" s="1"/>
  <c r="O7308" i="8" s="1"/>
  <c r="O7309" i="8" s="1"/>
  <c r="O7310" i="8" s="1"/>
  <c r="O7311" i="8" s="1"/>
  <c r="O7312" i="8" s="1"/>
  <c r="O7313" i="8" s="1"/>
  <c r="O7314" i="8" s="1"/>
  <c r="O7315" i="8" s="1"/>
  <c r="O7316" i="8" s="1"/>
  <c r="O7317" i="8" s="1"/>
  <c r="O7318" i="8" s="1"/>
  <c r="O7319" i="8" s="1"/>
  <c r="O7320" i="8" s="1"/>
  <c r="O7321" i="8" s="1"/>
  <c r="O7322" i="8" s="1"/>
  <c r="O7323" i="8" s="1"/>
  <c r="O7324" i="8" s="1"/>
  <c r="O7325" i="8" s="1"/>
  <c r="O7326" i="8" s="1"/>
  <c r="O7327" i="8" s="1"/>
  <c r="O7328" i="8" s="1"/>
  <c r="O7329" i="8" s="1"/>
  <c r="O7330" i="8" s="1"/>
  <c r="O7331" i="8" s="1"/>
  <c r="O7332" i="8" s="1"/>
  <c r="O7333" i="8" s="1"/>
  <c r="O7334" i="8" s="1"/>
  <c r="O7335" i="8" s="1"/>
  <c r="O7336" i="8" s="1"/>
  <c r="O7337" i="8" s="1"/>
  <c r="O7338" i="8" s="1"/>
  <c r="O7339" i="8" s="1"/>
  <c r="O7340" i="8" s="1"/>
  <c r="O7341" i="8" s="1"/>
  <c r="O7342" i="8" s="1"/>
  <c r="O7343" i="8" s="1"/>
  <c r="O7344" i="8" s="1"/>
  <c r="O7345" i="8" s="1"/>
  <c r="O7346" i="8" s="1"/>
  <c r="O7347" i="8" s="1"/>
  <c r="O7348" i="8" s="1"/>
  <c r="O7349" i="8" s="1"/>
  <c r="O7350" i="8" s="1"/>
  <c r="O7351" i="8" s="1"/>
  <c r="O7352" i="8" s="1"/>
  <c r="O7353" i="8" s="1"/>
  <c r="O7354" i="8" s="1"/>
  <c r="O7355" i="8" s="1"/>
  <c r="O7356" i="8" s="1"/>
  <c r="O7357" i="8" s="1"/>
  <c r="O7358" i="8" s="1"/>
  <c r="O7359" i="8" s="1"/>
  <c r="O7360" i="8" s="1"/>
  <c r="O7361" i="8" s="1"/>
  <c r="O7362" i="8" s="1"/>
  <c r="O7363" i="8" s="1"/>
  <c r="O7364" i="8" s="1"/>
  <c r="O7365" i="8" s="1"/>
  <c r="O7366" i="8" s="1"/>
  <c r="O7367" i="8" s="1"/>
  <c r="O7368" i="8" s="1"/>
  <c r="O7369" i="8" s="1"/>
  <c r="O7370" i="8" s="1"/>
  <c r="O7371" i="8" s="1"/>
  <c r="O7372" i="8" s="1"/>
  <c r="O7373" i="8" s="1"/>
  <c r="O7374" i="8" s="1"/>
  <c r="O7375" i="8" s="1"/>
  <c r="O7376" i="8" s="1"/>
  <c r="O7377" i="8" s="1"/>
  <c r="O7378" i="8" s="1"/>
  <c r="O7379" i="8" s="1"/>
  <c r="O7380" i="8" s="1"/>
  <c r="O7381" i="8" s="1"/>
  <c r="O7382" i="8" s="1"/>
  <c r="O7383" i="8" s="1"/>
  <c r="O7384" i="8" s="1"/>
  <c r="O7385" i="8" s="1"/>
  <c r="O7386" i="8" s="1"/>
  <c r="O7387" i="8" s="1"/>
  <c r="O7388" i="8" s="1"/>
  <c r="O7389" i="8" s="1"/>
  <c r="O7390" i="8" s="1"/>
  <c r="O7391" i="8" s="1"/>
  <c r="O7392" i="8" s="1"/>
  <c r="O7393" i="8" s="1"/>
  <c r="O7394" i="8" s="1"/>
  <c r="O7395" i="8" s="1"/>
  <c r="O7396" i="8" s="1"/>
  <c r="O7397" i="8" s="1"/>
  <c r="O7398" i="8" s="1"/>
  <c r="O7399" i="8" s="1"/>
  <c r="O7400" i="8" s="1"/>
  <c r="O7401" i="8" s="1"/>
  <c r="O7402" i="8" s="1"/>
  <c r="O7403" i="8" s="1"/>
  <c r="O7404" i="8" s="1"/>
  <c r="O7405" i="8" s="1"/>
  <c r="O7406" i="8" s="1"/>
  <c r="O7407" i="8" s="1"/>
  <c r="O7408" i="8" s="1"/>
  <c r="O7409" i="8" s="1"/>
  <c r="O7410" i="8" s="1"/>
  <c r="O7411" i="8" s="1"/>
  <c r="O7412" i="8" s="1"/>
  <c r="O7413" i="8" s="1"/>
  <c r="O7414" i="8" s="1"/>
  <c r="O7415" i="8" s="1"/>
  <c r="O7416" i="8" s="1"/>
  <c r="O7417" i="8" s="1"/>
  <c r="O7418" i="8" s="1"/>
  <c r="O7419" i="8" s="1"/>
  <c r="O7420" i="8" s="1"/>
  <c r="O7421" i="8" s="1"/>
  <c r="O7422" i="8" s="1"/>
  <c r="O7423" i="8" s="1"/>
  <c r="O7424" i="8" s="1"/>
  <c r="O7425" i="8" s="1"/>
  <c r="O7426" i="8" s="1"/>
  <c r="O7427" i="8" s="1"/>
  <c r="O7428" i="8" s="1"/>
  <c r="O7429" i="8" s="1"/>
  <c r="O7430" i="8" s="1"/>
  <c r="O7431" i="8" s="1"/>
  <c r="O7432" i="8" s="1"/>
  <c r="O7433" i="8" s="1"/>
  <c r="O7434" i="8" s="1"/>
  <c r="O7435" i="8" s="1"/>
  <c r="O7436" i="8" s="1"/>
  <c r="O7437" i="8" s="1"/>
  <c r="O7438" i="8" s="1"/>
  <c r="O7439" i="8" s="1"/>
  <c r="O7440" i="8" s="1"/>
  <c r="O7441" i="8" s="1"/>
  <c r="O7442" i="8" s="1"/>
  <c r="O7443" i="8" s="1"/>
  <c r="O7444" i="8" s="1"/>
  <c r="O7445" i="8" s="1"/>
  <c r="O7446" i="8" s="1"/>
  <c r="O7447" i="8" s="1"/>
  <c r="O7448" i="8" s="1"/>
  <c r="O7449" i="8" s="1"/>
  <c r="O7450" i="8" s="1"/>
  <c r="O7451" i="8" s="1"/>
  <c r="O7452" i="8" s="1"/>
  <c r="O7453" i="8" s="1"/>
  <c r="O7454" i="8" s="1"/>
  <c r="O7455" i="8" s="1"/>
  <c r="O7456" i="8" s="1"/>
  <c r="O7457" i="8" s="1"/>
  <c r="O7458" i="8" s="1"/>
  <c r="O7459" i="8" s="1"/>
  <c r="O7460" i="8" s="1"/>
  <c r="O7461" i="8" s="1"/>
  <c r="O7462" i="8" s="1"/>
  <c r="O7463" i="8" s="1"/>
  <c r="O7464" i="8" s="1"/>
  <c r="O7465" i="8" s="1"/>
  <c r="O7466" i="8" s="1"/>
  <c r="O7467" i="8" s="1"/>
  <c r="O7468" i="8" s="1"/>
  <c r="O7469" i="8" s="1"/>
  <c r="O7470" i="8" s="1"/>
  <c r="O7471" i="8" s="1"/>
  <c r="O7472" i="8" s="1"/>
  <c r="O7473" i="8" s="1"/>
  <c r="O7474" i="8" s="1"/>
  <c r="O7475" i="8" s="1"/>
  <c r="O7476" i="8" s="1"/>
  <c r="O7477" i="8" s="1"/>
  <c r="O7478" i="8" s="1"/>
  <c r="O7479" i="8" s="1"/>
  <c r="O7480" i="8" s="1"/>
  <c r="O7481" i="8" s="1"/>
  <c r="O7482" i="8" s="1"/>
  <c r="O7483" i="8" s="1"/>
  <c r="O7484" i="8" s="1"/>
  <c r="O7485" i="8" s="1"/>
  <c r="O7486" i="8" s="1"/>
  <c r="O7487" i="8" s="1"/>
  <c r="O7488" i="8" s="1"/>
  <c r="O7489" i="8" s="1"/>
  <c r="O7490" i="8" s="1"/>
  <c r="O7491" i="8" s="1"/>
  <c r="O7492" i="8" s="1"/>
  <c r="O7493" i="8" s="1"/>
  <c r="O7494" i="8" s="1"/>
  <c r="O7495" i="8" s="1"/>
  <c r="O7496" i="8" s="1"/>
  <c r="O7497" i="8" s="1"/>
  <c r="O7498" i="8" s="1"/>
  <c r="O7499" i="8" s="1"/>
  <c r="O7500" i="8" s="1"/>
  <c r="O7501" i="8" s="1"/>
  <c r="O7502" i="8" s="1"/>
  <c r="O7503" i="8" s="1"/>
  <c r="O7504" i="8" s="1"/>
  <c r="O7505" i="8" s="1"/>
  <c r="O7506" i="8" s="1"/>
  <c r="O7507" i="8" s="1"/>
  <c r="O7508" i="8" s="1"/>
  <c r="O7509" i="8" s="1"/>
  <c r="O7510" i="8" s="1"/>
  <c r="O7511" i="8" s="1"/>
  <c r="O7512" i="8" s="1"/>
  <c r="O7513" i="8" s="1"/>
  <c r="O7514" i="8" s="1"/>
  <c r="O7515" i="8" s="1"/>
  <c r="O7516" i="8" s="1"/>
  <c r="O7517" i="8" s="1"/>
  <c r="O7518" i="8" s="1"/>
  <c r="O7519" i="8" s="1"/>
  <c r="O7520" i="8" s="1"/>
  <c r="O7521" i="8" s="1"/>
  <c r="O7522" i="8" s="1"/>
  <c r="O7523" i="8" s="1"/>
  <c r="O7524" i="8" s="1"/>
  <c r="O7525" i="8" s="1"/>
  <c r="O7526" i="8" s="1"/>
  <c r="O7527" i="8" s="1"/>
  <c r="O7528" i="8" s="1"/>
  <c r="O7529" i="8" s="1"/>
  <c r="O7530" i="8" s="1"/>
  <c r="O7531" i="8" s="1"/>
  <c r="O7532" i="8" s="1"/>
  <c r="O7533" i="8" s="1"/>
  <c r="O7534" i="8" s="1"/>
  <c r="O7535" i="8" s="1"/>
  <c r="O7536" i="8" s="1"/>
  <c r="O7537" i="8" s="1"/>
  <c r="O7538" i="8" s="1"/>
  <c r="O7539" i="8" s="1"/>
  <c r="O7540" i="8" s="1"/>
  <c r="O7541" i="8" s="1"/>
  <c r="O7542" i="8" s="1"/>
  <c r="O7543" i="8" s="1"/>
  <c r="O7544" i="8" s="1"/>
  <c r="O7545" i="8" s="1"/>
  <c r="O7546" i="8" s="1"/>
  <c r="O7547" i="8" s="1"/>
  <c r="O7548" i="8" s="1"/>
  <c r="O7549" i="8" s="1"/>
  <c r="O7550" i="8" s="1"/>
  <c r="O7551" i="8" s="1"/>
  <c r="O7552" i="8" s="1"/>
  <c r="O7553" i="8" s="1"/>
  <c r="O7554" i="8" s="1"/>
  <c r="O7555" i="8" s="1"/>
  <c r="O7556" i="8" s="1"/>
  <c r="O7557" i="8" s="1"/>
  <c r="O7558" i="8" s="1"/>
  <c r="O7559" i="8" s="1"/>
  <c r="O7560" i="8" s="1"/>
  <c r="O7561" i="8" s="1"/>
  <c r="O7562" i="8" s="1"/>
  <c r="O7563" i="8" s="1"/>
  <c r="O7564" i="8" s="1"/>
  <c r="O7565" i="8" s="1"/>
  <c r="O7566" i="8" s="1"/>
  <c r="O7567" i="8" s="1"/>
  <c r="O7568" i="8" s="1"/>
  <c r="O7569" i="8" s="1"/>
  <c r="O7570" i="8" s="1"/>
  <c r="O7571" i="8" s="1"/>
  <c r="O7572" i="8" s="1"/>
  <c r="O7573" i="8" s="1"/>
  <c r="O7574" i="8" s="1"/>
  <c r="O7575" i="8" s="1"/>
  <c r="O7576" i="8" s="1"/>
  <c r="O7577" i="8" s="1"/>
  <c r="O7578" i="8" s="1"/>
  <c r="O7579" i="8" s="1"/>
  <c r="O7580" i="8" s="1"/>
  <c r="O7581" i="8" s="1"/>
  <c r="O7582" i="8" s="1"/>
  <c r="O7583" i="8" s="1"/>
  <c r="O7584" i="8" s="1"/>
  <c r="O7585" i="8" s="1"/>
  <c r="O7586" i="8" s="1"/>
  <c r="O7587" i="8" s="1"/>
  <c r="O7588" i="8" s="1"/>
  <c r="O7589" i="8" s="1"/>
  <c r="O7590" i="8" s="1"/>
  <c r="O7591" i="8" s="1"/>
  <c r="O7592" i="8" s="1"/>
  <c r="O7593" i="8" s="1"/>
  <c r="O7594" i="8" s="1"/>
  <c r="O7595" i="8" s="1"/>
  <c r="O7596" i="8" s="1"/>
  <c r="O7597" i="8" s="1"/>
  <c r="O7598" i="8" s="1"/>
  <c r="O7599" i="8" s="1"/>
  <c r="O7600" i="8" s="1"/>
  <c r="O7601" i="8" s="1"/>
  <c r="O7602" i="8" s="1"/>
  <c r="O7603" i="8" s="1"/>
  <c r="O7604" i="8" s="1"/>
  <c r="O7605" i="8" s="1"/>
  <c r="O7606" i="8" s="1"/>
  <c r="O7607" i="8" s="1"/>
  <c r="O7608" i="8" s="1"/>
  <c r="O7609" i="8" s="1"/>
  <c r="O7610" i="8" s="1"/>
  <c r="O7611" i="8" s="1"/>
  <c r="O7612" i="8" s="1"/>
  <c r="O7613" i="8" s="1"/>
  <c r="O7614" i="8" s="1"/>
  <c r="O7615" i="8" s="1"/>
  <c r="O7616" i="8" s="1"/>
  <c r="O7617" i="8" s="1"/>
  <c r="O7618" i="8" s="1"/>
  <c r="O7619" i="8" s="1"/>
  <c r="O7620" i="8" s="1"/>
  <c r="O7621" i="8" s="1"/>
  <c r="O7622" i="8" s="1"/>
  <c r="O7623" i="8" s="1"/>
  <c r="O7624" i="8" s="1"/>
  <c r="O7625" i="8" s="1"/>
  <c r="O7626" i="8" s="1"/>
  <c r="O7627" i="8" s="1"/>
  <c r="O7628" i="8" s="1"/>
  <c r="O7629" i="8" s="1"/>
  <c r="O7630" i="8" s="1"/>
  <c r="O7631" i="8" s="1"/>
  <c r="O7632" i="8" s="1"/>
  <c r="O7633" i="8" s="1"/>
  <c r="O7634" i="8" s="1"/>
  <c r="O7635" i="8" s="1"/>
  <c r="O7636" i="8" s="1"/>
  <c r="O7637" i="8" s="1"/>
  <c r="O7638" i="8" s="1"/>
  <c r="O7639" i="8" s="1"/>
  <c r="O7640" i="8" s="1"/>
  <c r="O7641" i="8" s="1"/>
  <c r="O7642" i="8" s="1"/>
  <c r="O7643" i="8" s="1"/>
  <c r="O7644" i="8" s="1"/>
  <c r="O7645" i="8" s="1"/>
  <c r="O7646" i="8" s="1"/>
  <c r="O7647" i="8" s="1"/>
  <c r="O7648" i="8" s="1"/>
  <c r="O7649" i="8" s="1"/>
  <c r="O7650" i="8" s="1"/>
  <c r="O7651" i="8" s="1"/>
  <c r="O7652" i="8" s="1"/>
  <c r="O7653" i="8" s="1"/>
  <c r="O7654" i="8" s="1"/>
  <c r="O7655" i="8" s="1"/>
  <c r="O7656" i="8" s="1"/>
  <c r="O7657" i="8" s="1"/>
  <c r="O7658" i="8" s="1"/>
  <c r="O7659" i="8" s="1"/>
  <c r="O7660" i="8" s="1"/>
  <c r="O7661" i="8" s="1"/>
  <c r="O7662" i="8" s="1"/>
  <c r="O7663" i="8" s="1"/>
  <c r="O7664" i="8" s="1"/>
  <c r="O7665" i="8" s="1"/>
  <c r="O7666" i="8" s="1"/>
  <c r="O7667" i="8" s="1"/>
  <c r="O7668" i="8" s="1"/>
  <c r="O7669" i="8" s="1"/>
  <c r="O7670" i="8" s="1"/>
  <c r="O7671" i="8" s="1"/>
  <c r="O7672" i="8" s="1"/>
  <c r="O7673" i="8" s="1"/>
  <c r="O7674" i="8" s="1"/>
  <c r="O7675" i="8" s="1"/>
  <c r="O7676" i="8" s="1"/>
  <c r="O7677" i="8" s="1"/>
  <c r="O7678" i="8" s="1"/>
  <c r="O7679" i="8" s="1"/>
  <c r="O7680" i="8" s="1"/>
  <c r="O7681" i="8" s="1"/>
  <c r="O7682" i="8" s="1"/>
  <c r="O7683" i="8" s="1"/>
  <c r="O7684" i="8" s="1"/>
  <c r="O7685" i="8" s="1"/>
  <c r="O7686" i="8" s="1"/>
  <c r="O7687" i="8" s="1"/>
  <c r="O7688" i="8" s="1"/>
  <c r="O7689" i="8" s="1"/>
  <c r="O7690" i="8" s="1"/>
  <c r="O7691" i="8" s="1"/>
  <c r="O7692" i="8" s="1"/>
  <c r="O7693" i="8" s="1"/>
  <c r="O7694" i="8" s="1"/>
  <c r="O7695" i="8" s="1"/>
  <c r="O7696" i="8" s="1"/>
  <c r="O7697" i="8" s="1"/>
  <c r="O7698" i="8" s="1"/>
  <c r="O7699" i="8" s="1"/>
  <c r="O7700" i="8" s="1"/>
  <c r="O7701" i="8" s="1"/>
  <c r="O7702" i="8" s="1"/>
  <c r="O7703" i="8" s="1"/>
  <c r="O7704" i="8" s="1"/>
  <c r="O7705" i="8" s="1"/>
  <c r="O7706" i="8" s="1"/>
  <c r="O7707" i="8" s="1"/>
  <c r="O7708" i="8" s="1"/>
  <c r="O7709" i="8" s="1"/>
  <c r="O7710" i="8" s="1"/>
  <c r="O7711" i="8" s="1"/>
  <c r="O7712" i="8" s="1"/>
  <c r="O7713" i="8" s="1"/>
  <c r="O7714" i="8" s="1"/>
  <c r="O7715" i="8" s="1"/>
  <c r="O7716" i="8" s="1"/>
  <c r="O7717" i="8" s="1"/>
  <c r="O7718" i="8" s="1"/>
  <c r="O7719" i="8" s="1"/>
  <c r="O7720" i="8" s="1"/>
  <c r="O7721" i="8" s="1"/>
  <c r="O7722" i="8" s="1"/>
  <c r="O7723" i="8" s="1"/>
  <c r="O7724" i="8" s="1"/>
  <c r="O7725" i="8" s="1"/>
  <c r="O7726" i="8" s="1"/>
  <c r="O7727" i="8" s="1"/>
  <c r="O7728" i="8" s="1"/>
  <c r="O7729" i="8" s="1"/>
  <c r="O7730" i="8" s="1"/>
  <c r="O7731" i="8" s="1"/>
  <c r="O7732" i="8" s="1"/>
  <c r="O7733" i="8" s="1"/>
  <c r="O7734" i="8" s="1"/>
  <c r="O7735" i="8" s="1"/>
  <c r="O7736" i="8" s="1"/>
  <c r="O7737" i="8" s="1"/>
  <c r="O7738" i="8" s="1"/>
  <c r="O7739" i="8" s="1"/>
  <c r="O7740" i="8" s="1"/>
  <c r="O7741" i="8" s="1"/>
  <c r="O7742" i="8" s="1"/>
  <c r="O7743" i="8" s="1"/>
  <c r="O7744" i="8" s="1"/>
  <c r="O7745" i="8" s="1"/>
  <c r="O7746" i="8" s="1"/>
  <c r="O7747" i="8" s="1"/>
  <c r="O7748" i="8" s="1"/>
  <c r="O7749" i="8" s="1"/>
  <c r="O7750" i="8" s="1"/>
  <c r="O7751" i="8" s="1"/>
  <c r="O7752" i="8" s="1"/>
  <c r="O7753" i="8" s="1"/>
  <c r="O7754" i="8" s="1"/>
  <c r="O7755" i="8" s="1"/>
  <c r="O7756" i="8" s="1"/>
  <c r="O7757" i="8" s="1"/>
  <c r="O7758" i="8" s="1"/>
  <c r="O7759" i="8" s="1"/>
  <c r="O7760" i="8" s="1"/>
  <c r="O7761" i="8" s="1"/>
  <c r="O7762" i="8" s="1"/>
  <c r="O7763" i="8" s="1"/>
  <c r="O7764" i="8" s="1"/>
  <c r="O7765" i="8" s="1"/>
  <c r="O7766" i="8" s="1"/>
  <c r="O7767" i="8" s="1"/>
  <c r="O7768" i="8" s="1"/>
  <c r="O7769" i="8" s="1"/>
  <c r="O7770" i="8" s="1"/>
  <c r="O7771" i="8" s="1"/>
  <c r="O7772" i="8" s="1"/>
  <c r="O7773" i="8" s="1"/>
  <c r="O7774" i="8" s="1"/>
  <c r="O7775" i="8" s="1"/>
  <c r="O7776" i="8" s="1"/>
  <c r="O7777" i="8" s="1"/>
  <c r="O7778" i="8" s="1"/>
  <c r="O7779" i="8" s="1"/>
  <c r="O7780" i="8" s="1"/>
  <c r="O7781" i="8" s="1"/>
  <c r="O7782" i="8" s="1"/>
  <c r="O7783" i="8" s="1"/>
  <c r="O7784" i="8" s="1"/>
  <c r="O7785" i="8" s="1"/>
  <c r="O7786" i="8" s="1"/>
  <c r="O7787" i="8" s="1"/>
  <c r="O7788" i="8" s="1"/>
  <c r="O7789" i="8" s="1"/>
  <c r="O7790" i="8" s="1"/>
  <c r="O7791" i="8" s="1"/>
  <c r="O7792" i="8" s="1"/>
  <c r="O7793" i="8" s="1"/>
  <c r="O7794" i="8" s="1"/>
  <c r="O7795" i="8" s="1"/>
  <c r="O7796" i="8" s="1"/>
  <c r="O7797" i="8" s="1"/>
  <c r="O7798" i="8" s="1"/>
  <c r="O7799" i="8" s="1"/>
  <c r="O7800" i="8" s="1"/>
  <c r="O7801" i="8" s="1"/>
  <c r="O7802" i="8" s="1"/>
  <c r="O7803" i="8" s="1"/>
  <c r="O7804" i="8" s="1"/>
  <c r="O7805" i="8" s="1"/>
  <c r="O7806" i="8" s="1"/>
  <c r="O7807" i="8" s="1"/>
  <c r="O7808" i="8" s="1"/>
  <c r="O7809" i="8" s="1"/>
  <c r="O7810" i="8" s="1"/>
  <c r="O7811" i="8" s="1"/>
  <c r="O7812" i="8" s="1"/>
  <c r="O7813" i="8" s="1"/>
  <c r="O7814" i="8" s="1"/>
  <c r="O7815" i="8" s="1"/>
  <c r="O7816" i="8" s="1"/>
  <c r="O7817" i="8" s="1"/>
  <c r="O7818" i="8" s="1"/>
  <c r="O7819" i="8" s="1"/>
  <c r="O7820" i="8" s="1"/>
  <c r="O7821" i="8" s="1"/>
  <c r="O7822" i="8" s="1"/>
  <c r="O7823" i="8" s="1"/>
  <c r="O7824" i="8" s="1"/>
  <c r="O7825" i="8" s="1"/>
  <c r="O7826" i="8" s="1"/>
  <c r="O7827" i="8" s="1"/>
  <c r="O7828" i="8" s="1"/>
  <c r="O7829" i="8" s="1"/>
  <c r="O7830" i="8" s="1"/>
  <c r="O7831" i="8" s="1"/>
  <c r="O7832" i="8" s="1"/>
  <c r="O7833" i="8" s="1"/>
  <c r="O7834" i="8" s="1"/>
  <c r="O7835" i="8" s="1"/>
  <c r="O7836" i="8" s="1"/>
  <c r="O7837" i="8" s="1"/>
  <c r="O7838" i="8" s="1"/>
  <c r="O7839" i="8" s="1"/>
  <c r="O7840" i="8" s="1"/>
  <c r="O7841" i="8" s="1"/>
  <c r="O7842" i="8" s="1"/>
  <c r="O7843" i="8" s="1"/>
  <c r="O7844" i="8" s="1"/>
  <c r="O7845" i="8" s="1"/>
  <c r="O7846" i="8" s="1"/>
  <c r="O7847" i="8" s="1"/>
  <c r="O7848" i="8" s="1"/>
  <c r="O7849" i="8" s="1"/>
  <c r="O7850" i="8" s="1"/>
  <c r="O7851" i="8" s="1"/>
  <c r="O7852" i="8" s="1"/>
  <c r="O7853" i="8" s="1"/>
  <c r="O7854" i="8" s="1"/>
  <c r="O7855" i="8" s="1"/>
  <c r="O7856" i="8" s="1"/>
  <c r="O7857" i="8" s="1"/>
  <c r="O7858" i="8" s="1"/>
  <c r="O7859" i="8" s="1"/>
  <c r="O7860" i="8" s="1"/>
  <c r="O7861" i="8" s="1"/>
  <c r="O7862" i="8" s="1"/>
  <c r="O7863" i="8" s="1"/>
  <c r="O7864" i="8" s="1"/>
  <c r="O7865" i="8" s="1"/>
  <c r="O7866" i="8" s="1"/>
  <c r="O7867" i="8" s="1"/>
  <c r="O7868" i="8" s="1"/>
  <c r="O7869" i="8" s="1"/>
  <c r="O7870" i="8" s="1"/>
  <c r="O7871" i="8" s="1"/>
  <c r="O7872" i="8" s="1"/>
  <c r="O7873" i="8" s="1"/>
  <c r="O7874" i="8" s="1"/>
  <c r="O7875" i="8" s="1"/>
  <c r="O7876" i="8" s="1"/>
  <c r="O7877" i="8" s="1"/>
  <c r="O7878" i="8" s="1"/>
  <c r="O7879" i="8" s="1"/>
  <c r="O7880" i="8" s="1"/>
  <c r="O7881" i="8" s="1"/>
  <c r="O7882" i="8" s="1"/>
  <c r="O7883" i="8" s="1"/>
  <c r="O7884" i="8" s="1"/>
  <c r="O7885" i="8" s="1"/>
  <c r="O7886" i="8" s="1"/>
  <c r="O7887" i="8" s="1"/>
  <c r="O7888" i="8" s="1"/>
  <c r="O7889" i="8" s="1"/>
  <c r="O7890" i="8" s="1"/>
  <c r="O7891" i="8" s="1"/>
  <c r="O7892" i="8" s="1"/>
  <c r="O7893" i="8" s="1"/>
  <c r="O7894" i="8" s="1"/>
  <c r="O7895" i="8" s="1"/>
  <c r="O7896" i="8" s="1"/>
  <c r="O7897" i="8" s="1"/>
  <c r="O7898" i="8" s="1"/>
  <c r="O7899" i="8" s="1"/>
  <c r="O7900" i="8" s="1"/>
  <c r="O7901" i="8" s="1"/>
  <c r="O7902" i="8" s="1"/>
  <c r="O7903" i="8" s="1"/>
  <c r="O7904" i="8" s="1"/>
  <c r="O7905" i="8" s="1"/>
  <c r="O7906" i="8" s="1"/>
  <c r="O7907" i="8" s="1"/>
  <c r="O7908" i="8" s="1"/>
  <c r="O7909" i="8" s="1"/>
  <c r="O7910" i="8" s="1"/>
  <c r="O7911" i="8" s="1"/>
  <c r="O7912" i="8" s="1"/>
  <c r="O7913" i="8" s="1"/>
  <c r="O7914" i="8" s="1"/>
  <c r="O7915" i="8" s="1"/>
  <c r="O7916" i="8" s="1"/>
  <c r="O7917" i="8" s="1"/>
  <c r="O7918" i="8" s="1"/>
  <c r="O7919" i="8" s="1"/>
  <c r="O7920" i="8" s="1"/>
  <c r="O7921" i="8" s="1"/>
  <c r="O7922" i="8" s="1"/>
  <c r="O7923" i="8" s="1"/>
  <c r="O7924" i="8" s="1"/>
  <c r="O7925" i="8" s="1"/>
  <c r="O7926" i="8" s="1"/>
  <c r="O7927" i="8" s="1"/>
  <c r="O7928" i="8" s="1"/>
  <c r="O7929" i="8" s="1"/>
  <c r="O7930" i="8" s="1"/>
  <c r="O7931" i="8" s="1"/>
  <c r="O7932" i="8" s="1"/>
  <c r="O7933" i="8" s="1"/>
  <c r="O7934" i="8" s="1"/>
  <c r="O7935" i="8" s="1"/>
  <c r="O7936" i="8" s="1"/>
  <c r="O7937" i="8" s="1"/>
  <c r="O7938" i="8" s="1"/>
  <c r="O7939" i="8" s="1"/>
  <c r="O7940" i="8" s="1"/>
  <c r="O7941" i="8" s="1"/>
  <c r="O7942" i="8" s="1"/>
  <c r="O7943" i="8" s="1"/>
  <c r="O7944" i="8" s="1"/>
  <c r="O7945" i="8" s="1"/>
  <c r="O7946" i="8" s="1"/>
  <c r="O7947" i="8" s="1"/>
  <c r="O7948" i="8" s="1"/>
  <c r="O7949" i="8" s="1"/>
  <c r="O7950" i="8" s="1"/>
  <c r="O7951" i="8" s="1"/>
  <c r="O7952" i="8" s="1"/>
  <c r="O7953" i="8" s="1"/>
  <c r="O7954" i="8" s="1"/>
  <c r="O7955" i="8" s="1"/>
  <c r="O7956" i="8" s="1"/>
  <c r="O7957" i="8" s="1"/>
  <c r="O7958" i="8" s="1"/>
  <c r="O7959" i="8" s="1"/>
  <c r="O7960" i="8" s="1"/>
  <c r="O7961" i="8" s="1"/>
  <c r="O7962" i="8" s="1"/>
  <c r="O7963" i="8" s="1"/>
  <c r="O7964" i="8" s="1"/>
  <c r="O7965" i="8" s="1"/>
  <c r="O7966" i="8" s="1"/>
  <c r="O7967" i="8" s="1"/>
  <c r="O7968" i="8" s="1"/>
  <c r="O7969" i="8" s="1"/>
  <c r="O7970" i="8" s="1"/>
  <c r="O7971" i="8" s="1"/>
  <c r="O7972" i="8" s="1"/>
  <c r="O7973" i="8" s="1"/>
  <c r="O7974" i="8" s="1"/>
  <c r="O7975" i="8" s="1"/>
  <c r="O7976" i="8" s="1"/>
  <c r="O7977" i="8" s="1"/>
  <c r="O7978" i="8" s="1"/>
  <c r="O7979" i="8" s="1"/>
  <c r="O7980" i="8" s="1"/>
  <c r="O7981" i="8" s="1"/>
  <c r="O7982" i="8" s="1"/>
  <c r="O7983" i="8" s="1"/>
  <c r="O7984" i="8" s="1"/>
  <c r="O7985" i="8" s="1"/>
  <c r="O7986" i="8" s="1"/>
  <c r="O7987" i="8" s="1"/>
  <c r="O7988" i="8" s="1"/>
  <c r="O7989" i="8" s="1"/>
  <c r="O7990" i="8" s="1"/>
  <c r="O7991" i="8" s="1"/>
  <c r="O7992" i="8" s="1"/>
  <c r="O7993" i="8" s="1"/>
  <c r="O7994" i="8" s="1"/>
  <c r="O7995" i="8" s="1"/>
  <c r="O7996" i="8" s="1"/>
  <c r="O7997" i="8" s="1"/>
  <c r="O7998" i="8" s="1"/>
  <c r="O7999" i="8" s="1"/>
  <c r="O8000" i="8" s="1"/>
  <c r="O8001" i="8" s="1"/>
  <c r="O8002" i="8" s="1"/>
  <c r="O8003" i="8" s="1"/>
  <c r="O8004" i="8" s="1"/>
  <c r="O8005" i="8" s="1"/>
  <c r="O8006" i="8" s="1"/>
  <c r="O8007" i="8" s="1"/>
  <c r="O8008" i="8" s="1"/>
  <c r="O8009" i="8" s="1"/>
  <c r="O8010" i="8" s="1"/>
  <c r="O8011" i="8" s="1"/>
  <c r="O8012" i="8" s="1"/>
  <c r="O8013" i="8" s="1"/>
  <c r="O8014" i="8" s="1"/>
  <c r="O8015" i="8" s="1"/>
  <c r="O8016" i="8" s="1"/>
  <c r="O8017" i="8" s="1"/>
  <c r="O8018" i="8" s="1"/>
  <c r="O8019" i="8" s="1"/>
  <c r="O8020" i="8" s="1"/>
  <c r="O8021" i="8" s="1"/>
  <c r="O8022" i="8" s="1"/>
  <c r="O8023" i="8" s="1"/>
  <c r="O8024" i="8" s="1"/>
  <c r="O8025" i="8" s="1"/>
  <c r="O8026" i="8" s="1"/>
  <c r="O8027" i="8" s="1"/>
  <c r="O8028" i="8" s="1"/>
  <c r="O8029" i="8" s="1"/>
  <c r="O8030" i="8" s="1"/>
  <c r="O8031" i="8" s="1"/>
  <c r="O8032" i="8" s="1"/>
  <c r="O8033" i="8" s="1"/>
  <c r="O8034" i="8" s="1"/>
  <c r="O8035" i="8" s="1"/>
  <c r="O8036" i="8" s="1"/>
  <c r="O8037" i="8" s="1"/>
  <c r="O8038" i="8" s="1"/>
  <c r="O8039" i="8" s="1"/>
  <c r="O8040" i="8" s="1"/>
  <c r="O8041" i="8" s="1"/>
  <c r="O8042" i="8" s="1"/>
  <c r="O8043" i="8" s="1"/>
  <c r="O8044" i="8" s="1"/>
  <c r="O8045" i="8" s="1"/>
  <c r="O8046" i="8" s="1"/>
  <c r="O8047" i="8" s="1"/>
  <c r="O8048" i="8" s="1"/>
  <c r="O8049" i="8" s="1"/>
  <c r="O8050" i="8" s="1"/>
  <c r="O8051" i="8" s="1"/>
  <c r="O8052" i="8" s="1"/>
  <c r="O8053" i="8" s="1"/>
  <c r="O8054" i="8" s="1"/>
  <c r="O8055" i="8" s="1"/>
  <c r="O8056" i="8" s="1"/>
  <c r="O8057" i="8" s="1"/>
  <c r="O8058" i="8" s="1"/>
  <c r="O8059" i="8" s="1"/>
  <c r="O8060" i="8" s="1"/>
  <c r="O8061" i="8" s="1"/>
  <c r="O8062" i="8" s="1"/>
  <c r="O8063" i="8" s="1"/>
  <c r="O8064" i="8" s="1"/>
  <c r="O8065" i="8" s="1"/>
  <c r="O8066" i="8" s="1"/>
  <c r="O8067" i="8" s="1"/>
  <c r="O8068" i="8" s="1"/>
  <c r="O8069" i="8" s="1"/>
  <c r="O8070" i="8" s="1"/>
  <c r="O8071" i="8" s="1"/>
  <c r="O8072" i="8" s="1"/>
  <c r="O8073" i="8" s="1"/>
  <c r="O8074" i="8" s="1"/>
  <c r="O8075" i="8" s="1"/>
  <c r="O8076" i="8" s="1"/>
  <c r="O8077" i="8" s="1"/>
  <c r="O8078" i="8" s="1"/>
  <c r="O8079" i="8" s="1"/>
  <c r="O8080" i="8" s="1"/>
  <c r="O8081" i="8" s="1"/>
  <c r="O8082" i="8" s="1"/>
  <c r="O8083" i="8" s="1"/>
  <c r="O8084" i="8" s="1"/>
  <c r="O8085" i="8" s="1"/>
  <c r="O8086" i="8" s="1"/>
  <c r="O8087" i="8" s="1"/>
  <c r="O8088" i="8" s="1"/>
  <c r="O8089" i="8" s="1"/>
  <c r="O8090" i="8" s="1"/>
  <c r="O8091" i="8" s="1"/>
  <c r="O8092" i="8" s="1"/>
  <c r="O8093" i="8" s="1"/>
  <c r="O8094" i="8" s="1"/>
  <c r="O8095" i="8" s="1"/>
  <c r="O8096" i="8" s="1"/>
  <c r="O8097" i="8" s="1"/>
  <c r="O8098" i="8" s="1"/>
  <c r="O8099" i="8" s="1"/>
  <c r="O8100" i="8" s="1"/>
  <c r="O8101" i="8" s="1"/>
  <c r="O8102" i="8" s="1"/>
  <c r="O8103" i="8" s="1"/>
  <c r="O8104" i="8" s="1"/>
  <c r="O8105" i="8" s="1"/>
  <c r="O8106" i="8" s="1"/>
  <c r="O8107" i="8" s="1"/>
  <c r="O8108" i="8" s="1"/>
  <c r="O8109" i="8" s="1"/>
  <c r="O8110" i="8" s="1"/>
  <c r="O8111" i="8" s="1"/>
  <c r="O8112" i="8" s="1"/>
  <c r="O8113" i="8" s="1"/>
  <c r="O8114" i="8" s="1"/>
  <c r="O8115" i="8" s="1"/>
  <c r="O8116" i="8" s="1"/>
  <c r="O8117" i="8" s="1"/>
  <c r="O8118" i="8" s="1"/>
  <c r="O8119" i="8" s="1"/>
  <c r="O8120" i="8" s="1"/>
  <c r="O8121" i="8" s="1"/>
  <c r="O8122" i="8" s="1"/>
  <c r="O8123" i="8" s="1"/>
  <c r="O8124" i="8" s="1"/>
  <c r="O8125" i="8" s="1"/>
  <c r="O8126" i="8" s="1"/>
  <c r="O8127" i="8" s="1"/>
  <c r="O8128" i="8" s="1"/>
  <c r="O8129" i="8" s="1"/>
  <c r="O8130" i="8" s="1"/>
  <c r="O8131" i="8" s="1"/>
  <c r="O8132" i="8" s="1"/>
  <c r="O8133" i="8" s="1"/>
  <c r="O8134" i="8" s="1"/>
  <c r="O8135" i="8" s="1"/>
  <c r="O8136" i="8" s="1"/>
  <c r="O8137" i="8" s="1"/>
  <c r="O8138" i="8" s="1"/>
  <c r="O8139" i="8" s="1"/>
  <c r="O8140" i="8" s="1"/>
  <c r="O8141" i="8" s="1"/>
  <c r="O8142" i="8" s="1"/>
  <c r="O8143" i="8" s="1"/>
  <c r="O8144" i="8" s="1"/>
  <c r="O8145" i="8" s="1"/>
  <c r="O8146" i="8" s="1"/>
  <c r="O8147" i="8" s="1"/>
  <c r="O8148" i="8" s="1"/>
  <c r="O8149" i="8" s="1"/>
  <c r="O8150" i="8" s="1"/>
  <c r="O8151" i="8" s="1"/>
  <c r="O8152" i="8" s="1"/>
  <c r="O8153" i="8" s="1"/>
  <c r="O8154" i="8" s="1"/>
  <c r="O8155" i="8" s="1"/>
  <c r="O8156" i="8" s="1"/>
  <c r="O8157" i="8" s="1"/>
  <c r="O8158" i="8" s="1"/>
  <c r="O8159" i="8" s="1"/>
  <c r="O8160" i="8" s="1"/>
  <c r="O8161" i="8" s="1"/>
  <c r="O8162" i="8" s="1"/>
  <c r="O8163" i="8" s="1"/>
  <c r="O8164" i="8" s="1"/>
  <c r="O8165" i="8" s="1"/>
  <c r="O8166" i="8" s="1"/>
  <c r="O8167" i="8" s="1"/>
  <c r="O8168" i="8" s="1"/>
  <c r="O8169" i="8" s="1"/>
  <c r="O8170" i="8" s="1"/>
  <c r="O8171" i="8" s="1"/>
  <c r="O8172" i="8" s="1"/>
  <c r="O8173" i="8" s="1"/>
  <c r="O8174" i="8" s="1"/>
  <c r="O8175" i="8" s="1"/>
  <c r="O8176" i="8" s="1"/>
  <c r="O8177" i="8" s="1"/>
  <c r="O8178" i="8" s="1"/>
  <c r="O8179" i="8" s="1"/>
  <c r="O8180" i="8" s="1"/>
  <c r="O8181" i="8" s="1"/>
  <c r="O8182" i="8" s="1"/>
  <c r="O8183" i="8" s="1"/>
  <c r="O8184" i="8" s="1"/>
  <c r="O8185" i="8" s="1"/>
  <c r="O8186" i="8" s="1"/>
  <c r="O8187" i="8" s="1"/>
  <c r="O8188" i="8" s="1"/>
  <c r="O8189" i="8" s="1"/>
  <c r="O8190" i="8" s="1"/>
  <c r="O8191" i="8" s="1"/>
  <c r="O8192" i="8" s="1"/>
  <c r="O8193" i="8" s="1"/>
  <c r="O8194" i="8" s="1"/>
  <c r="O8195" i="8" s="1"/>
  <c r="O8196" i="8" s="1"/>
  <c r="O8197" i="8" s="1"/>
  <c r="O8198" i="8" s="1"/>
  <c r="O8199" i="8" s="1"/>
  <c r="O8200" i="8" s="1"/>
  <c r="O8201" i="8" s="1"/>
  <c r="O8202" i="8" s="1"/>
  <c r="O8203" i="8" s="1"/>
  <c r="O8204" i="8" s="1"/>
  <c r="O8205" i="8" s="1"/>
  <c r="O8206" i="8" s="1"/>
  <c r="O8207" i="8" s="1"/>
  <c r="O8208" i="8" s="1"/>
  <c r="O8209" i="8" s="1"/>
  <c r="O8210" i="8" s="1"/>
  <c r="O8211" i="8" s="1"/>
  <c r="O8212" i="8" s="1"/>
  <c r="O8213" i="8" s="1"/>
  <c r="O8214" i="8" s="1"/>
  <c r="O8215" i="8" s="1"/>
  <c r="O8216" i="8" s="1"/>
  <c r="O8217" i="8" s="1"/>
  <c r="O8218" i="8" s="1"/>
  <c r="O8219" i="8" s="1"/>
  <c r="O8220" i="8" s="1"/>
  <c r="O8221" i="8" s="1"/>
  <c r="O8222" i="8" s="1"/>
  <c r="O8223" i="8" s="1"/>
  <c r="O8224" i="8" s="1"/>
  <c r="O8225" i="8" s="1"/>
  <c r="O8226" i="8" s="1"/>
  <c r="O8227" i="8" s="1"/>
  <c r="O8228" i="8" s="1"/>
  <c r="O8229" i="8" s="1"/>
  <c r="O8230" i="8" s="1"/>
  <c r="O8231" i="8" s="1"/>
  <c r="O8232" i="8" s="1"/>
  <c r="O8233" i="8" s="1"/>
  <c r="O8234" i="8" s="1"/>
  <c r="O8235" i="8" s="1"/>
  <c r="O8236" i="8" s="1"/>
  <c r="O8237" i="8" s="1"/>
  <c r="O8238" i="8" s="1"/>
  <c r="O8239" i="8" s="1"/>
  <c r="O8240" i="8" s="1"/>
  <c r="O8241" i="8" s="1"/>
  <c r="O8242" i="8" s="1"/>
  <c r="O8243" i="8" s="1"/>
  <c r="O8244" i="8" s="1"/>
  <c r="O8245" i="8" s="1"/>
  <c r="O8246" i="8" s="1"/>
  <c r="O8247" i="8" s="1"/>
  <c r="O8248" i="8" s="1"/>
  <c r="O8249" i="8" s="1"/>
  <c r="O8250" i="8" s="1"/>
  <c r="O8251" i="8" s="1"/>
  <c r="O8252" i="8" s="1"/>
  <c r="O8253" i="8" s="1"/>
  <c r="O8254" i="8" s="1"/>
  <c r="O8255" i="8" s="1"/>
  <c r="O8256" i="8" s="1"/>
  <c r="O8257" i="8" s="1"/>
  <c r="O8258" i="8" s="1"/>
  <c r="O8259" i="8" s="1"/>
  <c r="O8260" i="8" s="1"/>
  <c r="O8261" i="8" s="1"/>
  <c r="O8262" i="8" s="1"/>
  <c r="O8263" i="8" s="1"/>
  <c r="O8264" i="8" s="1"/>
  <c r="O8265" i="8" s="1"/>
  <c r="O8266" i="8" s="1"/>
  <c r="O8267" i="8" s="1"/>
  <c r="O8268" i="8" s="1"/>
  <c r="O8269" i="8" s="1"/>
  <c r="O8270" i="8" s="1"/>
  <c r="O8271" i="8" s="1"/>
  <c r="O8272" i="8" s="1"/>
  <c r="O8273" i="8" s="1"/>
  <c r="O8274" i="8" s="1"/>
  <c r="O8275" i="8" s="1"/>
  <c r="O8276" i="8" s="1"/>
  <c r="O8277" i="8" s="1"/>
  <c r="O8278" i="8" s="1"/>
  <c r="O8279" i="8" s="1"/>
  <c r="O8280" i="8" s="1"/>
  <c r="O8281" i="8" s="1"/>
  <c r="O8282" i="8" s="1"/>
  <c r="O8283" i="8" s="1"/>
  <c r="O8284" i="8" s="1"/>
  <c r="O8285" i="8" s="1"/>
  <c r="O8286" i="8" s="1"/>
  <c r="O8287" i="8" s="1"/>
  <c r="O8288" i="8" s="1"/>
  <c r="O8289" i="8" s="1"/>
  <c r="O8290" i="8" s="1"/>
  <c r="O8291" i="8" s="1"/>
  <c r="O8292" i="8" s="1"/>
  <c r="O8293" i="8" s="1"/>
  <c r="O8294" i="8" s="1"/>
  <c r="O8295" i="8" s="1"/>
  <c r="O8296" i="8" s="1"/>
  <c r="O8297" i="8" s="1"/>
  <c r="O8298" i="8" s="1"/>
  <c r="O8299" i="8" s="1"/>
  <c r="O8300" i="8" s="1"/>
  <c r="O8301" i="8" s="1"/>
  <c r="O8302" i="8" s="1"/>
  <c r="O8303" i="8" s="1"/>
  <c r="O8304" i="8" s="1"/>
  <c r="O8305" i="8" s="1"/>
  <c r="O8306" i="8" s="1"/>
  <c r="O8307" i="8" s="1"/>
  <c r="O8308" i="8" s="1"/>
  <c r="O8309" i="8" s="1"/>
  <c r="O8310" i="8" s="1"/>
  <c r="O8311" i="8" s="1"/>
  <c r="O8312" i="8" s="1"/>
  <c r="O8313" i="8" s="1"/>
  <c r="O8314" i="8" s="1"/>
  <c r="O8315" i="8" s="1"/>
  <c r="O8316" i="8" s="1"/>
  <c r="O8317" i="8" s="1"/>
  <c r="O8318" i="8" s="1"/>
  <c r="O8319" i="8" s="1"/>
  <c r="O8320" i="8" s="1"/>
  <c r="O8321" i="8" s="1"/>
  <c r="O8322" i="8" s="1"/>
  <c r="O8323" i="8" s="1"/>
  <c r="O8324" i="8" s="1"/>
  <c r="O8325" i="8" s="1"/>
  <c r="O8326" i="8" s="1"/>
  <c r="O8327" i="8" s="1"/>
  <c r="O8328" i="8" s="1"/>
  <c r="O8329" i="8" s="1"/>
  <c r="O8330" i="8" s="1"/>
  <c r="O8331" i="8" s="1"/>
  <c r="O8332" i="8" s="1"/>
  <c r="O8333" i="8" s="1"/>
  <c r="O8334" i="8" s="1"/>
  <c r="O8335" i="8" s="1"/>
  <c r="O8336" i="8" s="1"/>
  <c r="O8337" i="8" s="1"/>
  <c r="O8338" i="8" s="1"/>
  <c r="O8339" i="8" s="1"/>
  <c r="O8340" i="8" s="1"/>
  <c r="O8341" i="8" s="1"/>
  <c r="O8342" i="8" s="1"/>
  <c r="O8343" i="8" s="1"/>
  <c r="O8344" i="8" s="1"/>
  <c r="O8345" i="8" s="1"/>
  <c r="O8346" i="8" s="1"/>
  <c r="O8347" i="8" s="1"/>
  <c r="O8348" i="8" s="1"/>
  <c r="O8349" i="8" s="1"/>
  <c r="O8350" i="8" s="1"/>
  <c r="O8351" i="8" s="1"/>
  <c r="O8352" i="8" s="1"/>
  <c r="O8353" i="8" s="1"/>
  <c r="O8354" i="8" s="1"/>
  <c r="O8355" i="8" s="1"/>
  <c r="O8356" i="8" s="1"/>
  <c r="O8357" i="8" s="1"/>
  <c r="O8358" i="8" s="1"/>
  <c r="O8359" i="8" s="1"/>
  <c r="O8360" i="8" s="1"/>
  <c r="O8361" i="8" s="1"/>
  <c r="O8362" i="8" s="1"/>
  <c r="O8363" i="8" s="1"/>
  <c r="O8364" i="8" s="1"/>
  <c r="O8365" i="8" s="1"/>
  <c r="O8366" i="8" s="1"/>
  <c r="O8367" i="8" s="1"/>
  <c r="O8368" i="8" s="1"/>
  <c r="O8369" i="8" s="1"/>
  <c r="O8370" i="8" s="1"/>
  <c r="O8371" i="8" s="1"/>
  <c r="O8372" i="8" s="1"/>
  <c r="O8373" i="8" s="1"/>
  <c r="O8374" i="8" s="1"/>
  <c r="O8375" i="8" s="1"/>
  <c r="O8376" i="8" s="1"/>
  <c r="O8377" i="8" s="1"/>
  <c r="O8378" i="8" s="1"/>
  <c r="O8379" i="8" s="1"/>
  <c r="O8380" i="8" s="1"/>
  <c r="O8381" i="8" s="1"/>
  <c r="O8382" i="8" s="1"/>
  <c r="O8383" i="8" s="1"/>
  <c r="O8384" i="8" s="1"/>
  <c r="O8385" i="8" s="1"/>
  <c r="O8386" i="8" s="1"/>
  <c r="O8387" i="8" s="1"/>
  <c r="O8388" i="8" s="1"/>
  <c r="O8389" i="8" s="1"/>
  <c r="O8390" i="8" s="1"/>
  <c r="O8391" i="8" s="1"/>
  <c r="O8392" i="8" s="1"/>
  <c r="O8393" i="8" s="1"/>
  <c r="O8394" i="8" s="1"/>
  <c r="O8395" i="8" s="1"/>
  <c r="O8396" i="8" s="1"/>
  <c r="O8397" i="8" s="1"/>
  <c r="O8398" i="8" s="1"/>
  <c r="O8399" i="8" s="1"/>
  <c r="O8400" i="8" s="1"/>
  <c r="O8401" i="8" s="1"/>
  <c r="O8402" i="8" s="1"/>
  <c r="O8403" i="8" s="1"/>
  <c r="O8404" i="8" s="1"/>
  <c r="O8405" i="8" s="1"/>
  <c r="O8406" i="8" s="1"/>
  <c r="O8407" i="8" s="1"/>
  <c r="O8408" i="8" s="1"/>
  <c r="O8409" i="8" s="1"/>
  <c r="O8410" i="8" s="1"/>
  <c r="O8411" i="8" s="1"/>
  <c r="O8412" i="8" s="1"/>
  <c r="O8413" i="8" s="1"/>
  <c r="O8414" i="8" s="1"/>
  <c r="O8415" i="8" s="1"/>
  <c r="O8416" i="8" s="1"/>
  <c r="O8417" i="8" s="1"/>
  <c r="O8418" i="8" s="1"/>
  <c r="O8419" i="8" s="1"/>
  <c r="O8420" i="8" s="1"/>
  <c r="O8421" i="8" s="1"/>
  <c r="O8422" i="8" s="1"/>
  <c r="O8423" i="8" s="1"/>
  <c r="O8424" i="8" s="1"/>
  <c r="O8425" i="8" s="1"/>
  <c r="O8426" i="8" s="1"/>
  <c r="O8427" i="8" s="1"/>
  <c r="O8428" i="8" s="1"/>
  <c r="O8429" i="8" s="1"/>
  <c r="O8430" i="8" s="1"/>
  <c r="O8431" i="8" s="1"/>
  <c r="O8432" i="8" s="1"/>
  <c r="O8433" i="8" s="1"/>
  <c r="O8434" i="8" s="1"/>
  <c r="O8435" i="8" s="1"/>
  <c r="O8436" i="8" s="1"/>
  <c r="O8437" i="8" s="1"/>
  <c r="O8438" i="8" s="1"/>
  <c r="O8439" i="8" s="1"/>
  <c r="O8440" i="8" s="1"/>
  <c r="O8441" i="8" s="1"/>
  <c r="O8442" i="8" s="1"/>
  <c r="O8443" i="8" s="1"/>
  <c r="O8444" i="8" s="1"/>
  <c r="O8445" i="8" s="1"/>
  <c r="O8446" i="8" s="1"/>
  <c r="O8447" i="8" s="1"/>
  <c r="O8448" i="8" s="1"/>
  <c r="O8449" i="8" s="1"/>
  <c r="O8450" i="8" s="1"/>
  <c r="O8451" i="8" s="1"/>
  <c r="O8452" i="8" s="1"/>
  <c r="O8453" i="8" s="1"/>
  <c r="O8454" i="8" s="1"/>
  <c r="O8455" i="8" s="1"/>
  <c r="O8456" i="8" s="1"/>
  <c r="O8457" i="8" s="1"/>
  <c r="O8458" i="8" s="1"/>
  <c r="O8459" i="8" s="1"/>
  <c r="O8460" i="8" s="1"/>
  <c r="O8461" i="8" s="1"/>
  <c r="O8462" i="8" s="1"/>
  <c r="O8463" i="8" s="1"/>
  <c r="O8464" i="8" s="1"/>
  <c r="O8465" i="8" s="1"/>
  <c r="O8466" i="8" s="1"/>
  <c r="O8467" i="8" s="1"/>
  <c r="O8468" i="8" s="1"/>
  <c r="O8469" i="8" s="1"/>
  <c r="O8470" i="8" s="1"/>
  <c r="O8471" i="8" s="1"/>
  <c r="O8472" i="8" s="1"/>
  <c r="O8473" i="8" s="1"/>
  <c r="O8474" i="8" s="1"/>
  <c r="O8475" i="8" s="1"/>
  <c r="O8476" i="8" s="1"/>
  <c r="O8477" i="8" s="1"/>
  <c r="O8478" i="8" s="1"/>
  <c r="O8479" i="8" s="1"/>
  <c r="O8480" i="8" s="1"/>
  <c r="O8481" i="8" s="1"/>
  <c r="O8482" i="8" s="1"/>
  <c r="O8483" i="8" s="1"/>
  <c r="O8484" i="8" s="1"/>
  <c r="O8485" i="8" s="1"/>
  <c r="O8486" i="8" s="1"/>
  <c r="O8487" i="8" s="1"/>
  <c r="O8488" i="8" s="1"/>
  <c r="O8489" i="8" s="1"/>
  <c r="O8490" i="8" s="1"/>
  <c r="O8491" i="8" s="1"/>
  <c r="O8492" i="8" s="1"/>
  <c r="O8493" i="8" s="1"/>
  <c r="O8494" i="8" s="1"/>
  <c r="O8495" i="8" s="1"/>
  <c r="O8496" i="8" s="1"/>
  <c r="O8497" i="8" s="1"/>
  <c r="O8498" i="8" s="1"/>
  <c r="O8499" i="8" s="1"/>
  <c r="O8500" i="8" s="1"/>
  <c r="O8501" i="8" s="1"/>
  <c r="O8502" i="8" s="1"/>
  <c r="O8503" i="8" s="1"/>
  <c r="O8504" i="8" s="1"/>
  <c r="O8505" i="8" s="1"/>
  <c r="O8506" i="8" s="1"/>
  <c r="O8507" i="8" s="1"/>
  <c r="O8508" i="8" s="1"/>
  <c r="O8509" i="8" s="1"/>
  <c r="O8510" i="8" s="1"/>
  <c r="O8511" i="8" s="1"/>
  <c r="O8512" i="8" s="1"/>
  <c r="O8513" i="8" s="1"/>
  <c r="O8514" i="8" s="1"/>
  <c r="O8515" i="8" s="1"/>
  <c r="O8516" i="8" s="1"/>
  <c r="O8517" i="8" s="1"/>
  <c r="O8518" i="8" s="1"/>
  <c r="O8519" i="8" s="1"/>
  <c r="O8520" i="8" s="1"/>
  <c r="O8521" i="8" s="1"/>
  <c r="O8522" i="8" s="1"/>
  <c r="O8523" i="8" s="1"/>
  <c r="O8524" i="8" s="1"/>
  <c r="O8525" i="8" s="1"/>
  <c r="O8526" i="8" s="1"/>
  <c r="O8527" i="8" s="1"/>
  <c r="O8528" i="8" s="1"/>
  <c r="O8529" i="8" s="1"/>
  <c r="O8530" i="8" s="1"/>
  <c r="O8531" i="8" s="1"/>
  <c r="O8532" i="8" s="1"/>
  <c r="O8533" i="8" s="1"/>
  <c r="O8534" i="8" s="1"/>
  <c r="O8535" i="8" s="1"/>
  <c r="O8536" i="8" s="1"/>
  <c r="O8537" i="8" s="1"/>
  <c r="O8538" i="8" s="1"/>
  <c r="O8539" i="8" s="1"/>
  <c r="O8540" i="8" s="1"/>
  <c r="O8541" i="8" s="1"/>
  <c r="O8542" i="8" s="1"/>
  <c r="O8543" i="8" s="1"/>
  <c r="O8544" i="8" s="1"/>
  <c r="O8545" i="8" s="1"/>
  <c r="O8546" i="8" s="1"/>
  <c r="O8547" i="8" s="1"/>
  <c r="O8548" i="8" s="1"/>
  <c r="O8549" i="8" s="1"/>
  <c r="O8550" i="8" s="1"/>
  <c r="O8551" i="8" s="1"/>
  <c r="O8552" i="8" s="1"/>
  <c r="O8553" i="8" s="1"/>
  <c r="O8554" i="8" s="1"/>
  <c r="O8555" i="8" s="1"/>
  <c r="O8556" i="8" s="1"/>
  <c r="O8557" i="8" s="1"/>
  <c r="O8558" i="8" s="1"/>
  <c r="O8559" i="8" s="1"/>
  <c r="O8560" i="8" s="1"/>
  <c r="O8561" i="8" s="1"/>
  <c r="O8562" i="8" s="1"/>
  <c r="O8563" i="8" s="1"/>
  <c r="O8564" i="8" s="1"/>
  <c r="O8565" i="8" s="1"/>
  <c r="O8566" i="8" s="1"/>
  <c r="O8567" i="8" s="1"/>
  <c r="O8568" i="8" s="1"/>
  <c r="O8569" i="8" s="1"/>
  <c r="O8570" i="8" s="1"/>
  <c r="O8571" i="8" s="1"/>
  <c r="O8572" i="8" s="1"/>
  <c r="O8573" i="8" s="1"/>
  <c r="O8574" i="8" s="1"/>
  <c r="O8575" i="8" s="1"/>
  <c r="O8576" i="8" s="1"/>
  <c r="O8577" i="8" s="1"/>
  <c r="O8578" i="8" s="1"/>
  <c r="O8579" i="8" s="1"/>
  <c r="O8580" i="8" s="1"/>
  <c r="O8581" i="8" s="1"/>
  <c r="O8582" i="8" s="1"/>
  <c r="O8583" i="8" s="1"/>
  <c r="O8584" i="8" s="1"/>
  <c r="O8585" i="8" s="1"/>
  <c r="O8586" i="8" s="1"/>
  <c r="O8587" i="8" s="1"/>
  <c r="O8588" i="8" s="1"/>
  <c r="O8589" i="8" s="1"/>
  <c r="O8590" i="8" s="1"/>
  <c r="O8591" i="8" s="1"/>
  <c r="O8592" i="8" s="1"/>
  <c r="O8593" i="8" s="1"/>
  <c r="O8594" i="8" s="1"/>
  <c r="O8595" i="8" s="1"/>
  <c r="O8596" i="8" s="1"/>
  <c r="O8597" i="8" s="1"/>
  <c r="O8598" i="8" s="1"/>
  <c r="O8599" i="8" s="1"/>
  <c r="O8600" i="8" s="1"/>
  <c r="O8601" i="8" s="1"/>
  <c r="O8602" i="8" s="1"/>
  <c r="O8603" i="8" s="1"/>
  <c r="O8604" i="8" s="1"/>
  <c r="O8605" i="8" s="1"/>
  <c r="O8606" i="8" s="1"/>
  <c r="O8607" i="8" s="1"/>
  <c r="O8608" i="8" s="1"/>
  <c r="O8609" i="8" s="1"/>
  <c r="O8610" i="8" s="1"/>
  <c r="O8611" i="8" s="1"/>
  <c r="O8612" i="8" s="1"/>
  <c r="O8613" i="8" s="1"/>
  <c r="O8614" i="8" s="1"/>
  <c r="O8615" i="8" s="1"/>
  <c r="O8616" i="8" s="1"/>
  <c r="O8617" i="8" s="1"/>
  <c r="O8618" i="8" s="1"/>
  <c r="O8619" i="8" s="1"/>
  <c r="O8620" i="8" s="1"/>
  <c r="O8621" i="8" s="1"/>
  <c r="O8622" i="8" s="1"/>
  <c r="O8623" i="8" s="1"/>
  <c r="O8624" i="8" s="1"/>
  <c r="O8625" i="8" s="1"/>
  <c r="O8626" i="8" s="1"/>
  <c r="O8627" i="8" s="1"/>
  <c r="O8628" i="8" s="1"/>
  <c r="O8629" i="8" s="1"/>
  <c r="O8630" i="8" s="1"/>
  <c r="O8631" i="8" s="1"/>
  <c r="O8632" i="8" s="1"/>
  <c r="O8633" i="8" s="1"/>
  <c r="O8634" i="8" s="1"/>
  <c r="O8635" i="8" s="1"/>
  <c r="O8636" i="8" s="1"/>
  <c r="O8637" i="8" s="1"/>
  <c r="O8638" i="8" s="1"/>
  <c r="O8639" i="8" s="1"/>
  <c r="O8640" i="8" s="1"/>
  <c r="O8641" i="8" s="1"/>
  <c r="O8642" i="8" s="1"/>
  <c r="O8643" i="8" s="1"/>
  <c r="O8644" i="8" s="1"/>
  <c r="O8645" i="8" s="1"/>
  <c r="O8646" i="8" s="1"/>
  <c r="O8647" i="8" s="1"/>
  <c r="O8648" i="8" s="1"/>
  <c r="O8649" i="8" s="1"/>
  <c r="O8650" i="8" s="1"/>
  <c r="O8651" i="8" s="1"/>
  <c r="O8652" i="8" s="1"/>
  <c r="O8653" i="8" s="1"/>
  <c r="O8654" i="8" s="1"/>
  <c r="O8655" i="8" s="1"/>
  <c r="O8656" i="8" s="1"/>
  <c r="O8657" i="8" s="1"/>
  <c r="O8658" i="8" s="1"/>
  <c r="O8659" i="8" s="1"/>
  <c r="O8660" i="8" s="1"/>
  <c r="O8661" i="8" s="1"/>
  <c r="O8662" i="8" s="1"/>
  <c r="O8663" i="8" s="1"/>
  <c r="O8664" i="8" s="1"/>
  <c r="O8665" i="8" s="1"/>
  <c r="O8666" i="8" s="1"/>
  <c r="O8667" i="8" s="1"/>
  <c r="O8668" i="8" s="1"/>
  <c r="O8669" i="8" s="1"/>
  <c r="O8670" i="8" s="1"/>
  <c r="O8671" i="8" s="1"/>
  <c r="O8672" i="8" s="1"/>
  <c r="O8673" i="8" s="1"/>
  <c r="O8674" i="8" s="1"/>
  <c r="O8675" i="8" s="1"/>
  <c r="O8676" i="8" s="1"/>
  <c r="O8677" i="8" s="1"/>
  <c r="O8678" i="8" s="1"/>
  <c r="O8679" i="8" s="1"/>
  <c r="O8680" i="8" s="1"/>
  <c r="O8681" i="8" s="1"/>
  <c r="O8682" i="8" s="1"/>
  <c r="O8683" i="8" s="1"/>
  <c r="O8684" i="8" s="1"/>
  <c r="O8685" i="8" s="1"/>
  <c r="O8686" i="8" s="1"/>
  <c r="O8687" i="8" s="1"/>
  <c r="O8688" i="8" s="1"/>
  <c r="O8689" i="8" s="1"/>
  <c r="O8690" i="8" s="1"/>
  <c r="O8691" i="8" s="1"/>
  <c r="O8692" i="8" s="1"/>
  <c r="O8693" i="8" s="1"/>
  <c r="O8694" i="8" s="1"/>
  <c r="O8695" i="8" s="1"/>
  <c r="O8696" i="8" s="1"/>
  <c r="O8697" i="8" s="1"/>
  <c r="O8698" i="8" s="1"/>
  <c r="O8699" i="8" s="1"/>
  <c r="O8700" i="8" s="1"/>
  <c r="O8701" i="8" s="1"/>
  <c r="O8702" i="8" s="1"/>
  <c r="O8703" i="8" s="1"/>
  <c r="O8704" i="8" s="1"/>
  <c r="O8705" i="8" s="1"/>
  <c r="O8706" i="8" s="1"/>
  <c r="O8707" i="8" s="1"/>
  <c r="O8708" i="8" s="1"/>
  <c r="O8709" i="8" s="1"/>
  <c r="O8710" i="8" s="1"/>
  <c r="O8711" i="8" s="1"/>
  <c r="O8712" i="8" s="1"/>
  <c r="O8713" i="8" s="1"/>
  <c r="O8714" i="8" s="1"/>
  <c r="O8715" i="8" s="1"/>
  <c r="O8716" i="8" s="1"/>
  <c r="O8717" i="8" s="1"/>
  <c r="O8718" i="8" s="1"/>
  <c r="O8719" i="8" s="1"/>
  <c r="O8720" i="8" s="1"/>
  <c r="O8721" i="8" s="1"/>
  <c r="O8722" i="8" s="1"/>
  <c r="O8723" i="8" s="1"/>
  <c r="O8724" i="8" s="1"/>
  <c r="O8725" i="8" s="1"/>
  <c r="O8726" i="8" s="1"/>
  <c r="O8727" i="8" s="1"/>
  <c r="O8728" i="8" s="1"/>
  <c r="O8729" i="8" s="1"/>
  <c r="O8730" i="8" s="1"/>
  <c r="O8731" i="8" s="1"/>
  <c r="O8732" i="8" s="1"/>
  <c r="O8733" i="8" s="1"/>
  <c r="O8734" i="8" s="1"/>
  <c r="O8735" i="8" s="1"/>
  <c r="O8736" i="8" s="1"/>
  <c r="O8737" i="8" s="1"/>
  <c r="O8738" i="8" s="1"/>
  <c r="O8739" i="8" s="1"/>
  <c r="O8740" i="8" s="1"/>
  <c r="O8741" i="8" s="1"/>
  <c r="O8742" i="8" s="1"/>
  <c r="O8743" i="8" s="1"/>
  <c r="O8744" i="8" s="1"/>
  <c r="O8745" i="8" s="1"/>
  <c r="O8746" i="8" s="1"/>
  <c r="O8747" i="8" s="1"/>
  <c r="O8748" i="8" s="1"/>
  <c r="O8749" i="8" s="1"/>
  <c r="O8750" i="8" s="1"/>
  <c r="O8751" i="8" s="1"/>
  <c r="O8752" i="8" s="1"/>
  <c r="O8753" i="8" s="1"/>
  <c r="O8754" i="8" s="1"/>
  <c r="O8755" i="8" s="1"/>
  <c r="O8756" i="8" s="1"/>
  <c r="O8757" i="8" s="1"/>
  <c r="O8758" i="8" s="1"/>
  <c r="O8759" i="8" s="1"/>
  <c r="O8760" i="8" s="1"/>
  <c r="O8761" i="8" s="1"/>
  <c r="O8762" i="8" s="1"/>
  <c r="O8763" i="8" s="1"/>
  <c r="O8764" i="8" s="1"/>
  <c r="O8765" i="8" s="1"/>
  <c r="O8766" i="8" s="1"/>
  <c r="O8767" i="8" s="1"/>
  <c r="O8768" i="8" s="1"/>
  <c r="O8769" i="8" s="1"/>
  <c r="O8770" i="8" s="1"/>
  <c r="O8771" i="8" s="1"/>
  <c r="O8772" i="8" s="1"/>
  <c r="O8773" i="8" s="1"/>
  <c r="O8774" i="8" s="1"/>
  <c r="O8775" i="8" s="1"/>
  <c r="O8776" i="8" s="1"/>
  <c r="O8777" i="8" s="1"/>
  <c r="O8778" i="8" s="1"/>
  <c r="O8779" i="8" s="1"/>
  <c r="O8780" i="8" s="1"/>
  <c r="O8781" i="8" s="1"/>
  <c r="O8782" i="8" s="1"/>
  <c r="O8783" i="8" s="1"/>
  <c r="O8784" i="8" s="1"/>
  <c r="O3" i="8"/>
  <c r="O2" i="8"/>
  <c r="BP33" i="6"/>
  <c r="BP21" i="6"/>
  <c r="L5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BQ15" i="6"/>
  <c r="BQ11" i="6"/>
  <c r="BQ9" i="6"/>
  <c r="BP11" i="6"/>
  <c r="BP9" i="6"/>
  <c r="BP15" i="6"/>
  <c r="BP7" i="6" l="1"/>
  <c r="BP18" i="6" s="1"/>
  <c r="BQ7" i="6"/>
  <c r="BQ18" i="6" s="1"/>
  <c r="BP39" i="6" s="1"/>
  <c r="BQ21" i="6" l="1"/>
  <c r="BP24" i="6"/>
  <c r="BP27" i="6" s="1"/>
  <c r="BP30" i="6" s="1"/>
  <c r="BP3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tc={3596D6DD-00D5-48B9-98E5-2DE582B601C8}</author>
  </authors>
  <commentList>
    <comment ref="G40" authorId="0" shapeId="0" xr:uid="{3596D6DD-00D5-48B9-98E5-2DE582B601C8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load shed because we cannot use backup generation to load storage anymore.</t>
      </text>
    </comment>
  </commentList>
</comments>
</file>

<file path=xl/sharedStrings.xml><?xml version="1.0" encoding="utf-8"?>
<sst xmlns="http://schemas.openxmlformats.org/spreadsheetml/2006/main" count="921" uniqueCount="255">
  <si>
    <t>Grid</t>
  </si>
  <si>
    <t>Storage</t>
  </si>
  <si>
    <t>Backup</t>
  </si>
  <si>
    <t>No exports</t>
  </si>
  <si>
    <t>Limited backup</t>
  </si>
  <si>
    <t>Limited backup and storage</t>
  </si>
  <si>
    <t>Parameters</t>
  </si>
  <si>
    <t>Experiment #</t>
  </si>
  <si>
    <t>Full participation</t>
  </si>
  <si>
    <t>Results</t>
  </si>
  <si>
    <t>Objective</t>
  </si>
  <si>
    <t>Terminal capacity</t>
  </si>
  <si>
    <t>Unmet demand</t>
  </si>
  <si>
    <t>Max demand</t>
  </si>
  <si>
    <t>Computing time</t>
  </si>
  <si>
    <t>Total investment (MW)</t>
  </si>
  <si>
    <t>Total investment ($)</t>
  </si>
  <si>
    <t>Max optimality gap</t>
  </si>
  <si>
    <t>na</t>
  </si>
  <si>
    <t>Resources</t>
  </si>
  <si>
    <t>Market participation</t>
  </si>
  <si>
    <t>Complementarity violation (%)</t>
  </si>
  <si>
    <t>Total demand (MWh)</t>
  </si>
  <si>
    <t>Total supply (MWh)</t>
  </si>
  <si>
    <t>Load</t>
  </si>
  <si>
    <t>Total supply cost ($)</t>
  </si>
  <si>
    <t>Total demand cost ($)</t>
  </si>
  <si>
    <t>Supply cost ($)</t>
  </si>
  <si>
    <t>Demand revenue ($)</t>
  </si>
  <si>
    <t>Max met demand</t>
  </si>
  <si>
    <t>Max unmet demand</t>
  </si>
  <si>
    <t>Complementarity violation (-)</t>
  </si>
  <si>
    <t>Computing time (s)</t>
  </si>
  <si>
    <t>Market parameters</t>
  </si>
  <si>
    <t>Discount rate</t>
  </si>
  <si>
    <t>Unmet Load</t>
  </si>
  <si>
    <t>Number of peak load days in 2050</t>
  </si>
  <si>
    <t>Probability of contingency on peak load days</t>
  </si>
  <si>
    <t>Consumer value of electricity</t>
  </si>
  <si>
    <t>Load Shedding</t>
  </si>
  <si>
    <t>Allowed</t>
  </si>
  <si>
    <t>Initial state-of-charge (-)</t>
  </si>
  <si>
    <t>Initial state-of-charge</t>
  </si>
  <si>
    <t>Fixed</t>
  </si>
  <si>
    <t>Resources (MW)</t>
  </si>
  <si>
    <t>Max supply (MW)</t>
  </si>
  <si>
    <t>Max demand (MW)</t>
  </si>
  <si>
    <t>Peak shaving</t>
  </si>
  <si>
    <t>Objective (Cost)</t>
  </si>
  <si>
    <t>Year</t>
  </si>
  <si>
    <t>Peak</t>
  </si>
  <si>
    <t>Time Horizon</t>
  </si>
  <si>
    <t>Value of lost load ($/MWh)</t>
  </si>
  <si>
    <t>Running peak load for 2025!</t>
  </si>
  <si>
    <t>Operating cost ($)</t>
  </si>
  <si>
    <t>Maximum battery supply (MWh/yr)</t>
  </si>
  <si>
    <t>Days with storage supply (-)</t>
  </si>
  <si>
    <t>Time Horizon (h)</t>
  </si>
  <si>
    <t>Days with insufficient grid capacity (-)</t>
  </si>
  <si>
    <t>Days with storage demand (-)</t>
  </si>
  <si>
    <t>(perfect foresight)</t>
  </si>
  <si>
    <t>Contingencies</t>
  </si>
  <si>
    <t>Maximum battery supply (cycles/yr)</t>
  </si>
  <si>
    <t>Mean value of lost load in 2025 ($/MWh)</t>
  </si>
  <si>
    <t>Available resources</t>
  </si>
  <si>
    <t>Discount rate (-)</t>
  </si>
  <si>
    <t>Solve time (s)</t>
  </si>
  <si>
    <t>Objective (Surplus in $)</t>
  </si>
  <si>
    <t>Total operating cost -- base case ($)</t>
  </si>
  <si>
    <t>Total operating cost -- contingency ($)</t>
  </si>
  <si>
    <t>Total cost of lost load -- contingency ($)</t>
  </si>
  <si>
    <t>Total cost of lost load -- base case ($)</t>
  </si>
  <si>
    <t>Total depreceated capital cost ($)</t>
  </si>
  <si>
    <t>Terminal capacity (MW)</t>
  </si>
  <si>
    <t>Total investment (M$)</t>
  </si>
  <si>
    <t>Unmet load</t>
  </si>
  <si>
    <t>--- Base case operations</t>
  </si>
  <si>
    <t>--- Contingency operations</t>
  </si>
  <si>
    <t>["b", "g", "s"]</t>
  </si>
  <si>
    <t>peak_shaving</t>
  </si>
  <si>
    <t>Max optimality gap (%)</t>
  </si>
  <si>
    <t>Mean contingency probability (%)</t>
  </si>
  <si>
    <t>Mean base case probability (%)</t>
  </si>
  <si>
    <t>Complementarity violations (-)</t>
  </si>
  <si>
    <t>NaN</t>
  </si>
  <si>
    <t>full</t>
  </si>
  <si>
    <t>updated sum in market constraint</t>
  </si>
  <si>
    <t>corrected capital costs</t>
  </si>
  <si>
    <t>updated backup generation cost</t>
  </si>
  <si>
    <t>no load shedding</t>
  </si>
  <si>
    <t>Load shedding</t>
  </si>
  <si>
    <t>updated cycle analysis</t>
  </si>
  <si>
    <t>daily decomposition, upper bound on ysoc at all time periods</t>
  </si>
  <si>
    <t>Operating periods (-)</t>
  </si>
  <si>
    <t>daily decomposition with corrected T and cycle limit</t>
  </si>
  <si>
    <t>All logs are insample, in practice reoptimize, given investment decisions, may need to allow for load shedding; would of course depend on scenarios</t>
  </si>
  <si>
    <t xml:space="preserve">updated M </t>
  </si>
  <si>
    <t>Avg. yearly storage supply  cycles base case (-)</t>
  </si>
  <si>
    <t>Max. yearly storage supply  cycles base case (-)</t>
  </si>
  <si>
    <t>Avg. yearly storage supply  cycles contingency (-)</t>
  </si>
  <si>
    <t>Max. yearly storage supply  cycles contingency (-)</t>
  </si>
  <si>
    <t>no backup</t>
  </si>
  <si>
    <t>["g", "s"]</t>
  </si>
  <si>
    <t>lower optimality gap</t>
  </si>
  <si>
    <t>no new backup generation</t>
  </si>
  <si>
    <t>shinserver</t>
  </si>
  <si>
    <t>Investments savings</t>
  </si>
  <si>
    <t>Opex savings</t>
  </si>
  <si>
    <t>Base</t>
  </si>
  <si>
    <t>Contingency</t>
  </si>
  <si>
    <t>market</t>
  </si>
  <si>
    <t>new storage</t>
  </si>
  <si>
    <t>peak</t>
  </si>
  <si>
    <t>yes</t>
  </si>
  <si>
    <t>no</t>
  </si>
  <si>
    <t>resource</t>
  </si>
  <si>
    <t>grid</t>
  </si>
  <si>
    <t>storage</t>
  </si>
  <si>
    <t>lowest optimality gap</t>
  </si>
  <si>
    <t>Total</t>
  </si>
  <si>
    <t>Extra savings through market participation</t>
  </si>
  <si>
    <t>w new storage</t>
  </si>
  <si>
    <t>w/o new storage</t>
  </si>
  <si>
    <t>New storage years</t>
  </si>
  <si>
    <t>new storage-years</t>
  </si>
  <si>
    <t>Note: should account for storage lifetime, fine here because lifetime is 20 years</t>
  </si>
  <si>
    <t>Total yearly savings per kWh</t>
  </si>
  <si>
    <t>Total yearly savings per kW</t>
  </si>
  <si>
    <t>Over 20 year lifetime</t>
  </si>
  <si>
    <t>Total cost of storage</t>
  </si>
  <si>
    <t>Total savings through storage</t>
  </si>
  <si>
    <t>Percentage of extra savings from market participation</t>
  </si>
  <si>
    <t>Grid to market value</t>
  </si>
  <si>
    <t>grid_wo_storage</t>
  </si>
  <si>
    <t>grid_w_storage</t>
  </si>
  <si>
    <t>Max resource investments (MW)</t>
  </si>
  <si>
    <t>[40.0, 30.0, 24.0]</t>
  </si>
  <si>
    <t>Mean investment cost of storage ($/MW)</t>
  </si>
  <si>
    <t>no_exports</t>
  </si>
  <si>
    <t>low-cost storage</t>
  </si>
  <si>
    <t>repeat runs with daily storage</t>
  </si>
  <si>
    <t>cost_grid</t>
  </si>
  <si>
    <t>capa_grid</t>
  </si>
  <si>
    <t>year</t>
  </si>
  <si>
    <t>Market</t>
  </si>
  <si>
    <t>Experiment</t>
  </si>
  <si>
    <t>Available investments</t>
  </si>
  <si>
    <t>Mean storage investment cost</t>
  </si>
  <si>
    <t>Solution quality</t>
  </si>
  <si>
    <t>Total cost (M$)</t>
  </si>
  <si>
    <t>Maximum MIP gap (%)</t>
  </si>
  <si>
    <t>Complementarity violations (#)</t>
  </si>
  <si>
    <t>Costs (M$)</t>
  </si>
  <si>
    <t>Total operating</t>
  </si>
  <si>
    <t>- base case</t>
  </si>
  <si>
    <t>- contingency</t>
  </si>
  <si>
    <t>Total capital</t>
  </si>
  <si>
    <t>- grid</t>
  </si>
  <si>
    <t>- storage</t>
  </si>
  <si>
    <t>Terminal capacity (grid)</t>
  </si>
  <si>
    <t>Terminal capacity (storage)</t>
  </si>
  <si>
    <t>Total investment (grid)</t>
  </si>
  <si>
    <t>Total investment (storage)</t>
  </si>
  <si>
    <t>Operating decisions (GWh/yr)</t>
  </si>
  <si>
    <t>Total demand (load)</t>
  </si>
  <si>
    <t>Total demand (grid, base case)</t>
  </si>
  <si>
    <t>Total supply (base case)</t>
  </si>
  <si>
    <t>Total demand (grid, contingency)</t>
  </si>
  <si>
    <t>Total supply (contingency)</t>
  </si>
  <si>
    <t>Discharge cycles (#)</t>
  </si>
  <si>
    <t>Average (base case)</t>
  </si>
  <si>
    <t>Maximum (base case)</t>
  </si>
  <si>
    <t>Average (contingency)</t>
  </si>
  <si>
    <t>Maximum (contingency)</t>
  </si>
  <si>
    <t>Rerun 1 with peak shaving</t>
  </si>
  <si>
    <t>Observation</t>
  </si>
  <si>
    <t>operating costs</t>
  </si>
  <si>
    <t>higher in contingency under market participation</t>
  </si>
  <si>
    <t>lower in contingency under peak shaving</t>
  </si>
  <si>
    <t>Additional experiments</t>
  </si>
  <si>
    <t>backup operation</t>
  </si>
  <si>
    <t>backup operation and planning</t>
  </si>
  <si>
    <t>perfect foresight (J = 1); left out because limited novelty</t>
  </si>
  <si>
    <t>Cycle limit</t>
  </si>
  <si>
    <t>yearly</t>
  </si>
  <si>
    <t>daily</t>
  </si>
  <si>
    <t>one cycle per day (running) -- results as expected: with only half a cycle per day, it takes a bigger battery.</t>
  </si>
  <si>
    <t>- backup</t>
  </si>
  <si>
    <t>Terminal capacity (backup)</t>
  </si>
  <si>
    <t>Total investment (backup)</t>
  </si>
  <si>
    <t>Rerun planning with forced investment in exactly 3 new lines</t>
  </si>
  <si>
    <t>Current experiment 10 is with fixed line investment</t>
  </si>
  <si>
    <t>12: fixed investment binaries</t>
  </si>
  <si>
    <t>cost_stor</t>
  </si>
  <si>
    <t>cost_back</t>
  </si>
  <si>
    <t>capa_back</t>
  </si>
  <si>
    <t>no additional line investment even with low storage cost</t>
  </si>
  <si>
    <t>[ "g"]</t>
  </si>
  <si>
    <t>prob</t>
  </si>
  <si>
    <t>Hour</t>
  </si>
  <si>
    <t>Price</t>
  </si>
  <si>
    <t>Scarcity</t>
  </si>
  <si>
    <t>w/o explicit capacity payments</t>
  </si>
  <si>
    <t>base</t>
  </si>
  <si>
    <t>contingency</t>
  </si>
  <si>
    <t>Scarcity discharge ratio (-)</t>
  </si>
  <si>
    <t>base - backup</t>
  </si>
  <si>
    <t>base - storage</t>
  </si>
  <si>
    <t>contingency - backup</t>
  </si>
  <si>
    <t>contingency - storage</t>
  </si>
  <si>
    <t>capa_stor</t>
  </si>
  <si>
    <t>Load_24</t>
  </si>
  <si>
    <t>Peak_load</t>
  </si>
  <si>
    <t>price</t>
  </si>
  <si>
    <t>forecast</t>
  </si>
  <si>
    <t>https://www.iso-ne.com/about/key-stats/markets#fcaresults</t>
  </si>
  <si>
    <t>all prices for SENE/SEMA (existing)</t>
  </si>
  <si>
    <t>nominal prices</t>
  </si>
  <si>
    <t>normalized by</t>
  </si>
  <si>
    <t>Capacity payments</t>
  </si>
  <si>
    <t>Total cost</t>
  </si>
  <si>
    <t>Solve time</t>
  </si>
  <si>
    <t>Max MIP gap</t>
  </si>
  <si>
    <t>Costs</t>
  </si>
  <si>
    <t>-  base</t>
  </si>
  <si>
    <t>Investment decisions</t>
  </si>
  <si>
    <t>Total investment</t>
  </si>
  <si>
    <t>Demand (wo storage)</t>
  </si>
  <si>
    <t>- load</t>
  </si>
  <si>
    <t>Supply (wo storage)</t>
  </si>
  <si>
    <t>Operating decisions (base)</t>
  </si>
  <si>
    <t>Operating decisions (contingency)</t>
  </si>
  <si>
    <t>Yearly discharge cycles</t>
  </si>
  <si>
    <t>Average (base)</t>
  </si>
  <si>
    <t>Max (base)</t>
  </si>
  <si>
    <t>Max (contingency)</t>
  </si>
  <si>
    <t>Min discharge ratio</t>
  </si>
  <si>
    <t>- backup (base)</t>
  </si>
  <si>
    <t>- storage (base)</t>
  </si>
  <si>
    <t>- backup (contingency)</t>
  </si>
  <si>
    <t>- storage (contingency)</t>
  </si>
  <si>
    <t>Full</t>
  </si>
  <si>
    <t>g</t>
  </si>
  <si>
    <t xml:space="preserve">g+s </t>
  </si>
  <si>
    <t>g+s</t>
  </si>
  <si>
    <t>b+g+s</t>
  </si>
  <si>
    <t xml:space="preserve">na </t>
  </si>
  <si>
    <t>Complementarity viol.</t>
  </si>
  <si>
    <t>Exact weights (neglecting leap days)</t>
  </si>
  <si>
    <t>Jan -- May</t>
  </si>
  <si>
    <t>Jun -- Dec</t>
  </si>
  <si>
    <t>Total capacity payments</t>
  </si>
  <si>
    <t>Total capacity payment</t>
  </si>
  <si>
    <t>Storage cost</t>
  </si>
  <si>
    <t>cheap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</si>
</sst>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_(* #,##0.000_);_(* \(#,##0.000\);_(* &quot;-&quot;??_);_(@_)"/>
    <numFmt numFmtId="167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9" fontId="3" fillId="0" borderId="0" applyFon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3" fontId="0" fillId="0" borderId="0" xfId="1" applyFont="1"/>
    <xf numFmtId="164" fontId="0" fillId="0" borderId="0" xfId="1" applyNumberFormat="1" applyFont="1"/>
    <xf numFmtId="43" fontId="1" fillId="0" borderId="0" xfId="1" applyFont="1"/>
    <xf numFmtId="15" fontId="0" fillId="0" borderId="0" xfId="0" applyNumberFormat="1"/>
    <xf numFmtId="2" fontId="0" fillId="0" borderId="0" xfId="0" applyNumberFormat="1"/>
    <xf numFmtId="164" fontId="1" fillId="0" borderId="0" xfId="1" applyNumberFormat="1" applyFont="1"/>
    <xf numFmtId="0" fontId="2" fillId="0" borderId="0" xfId="0" quotePrefix="1" applyFont="1"/>
    <xf numFmtId="43" fontId="5" fillId="3" borderId="0" xfId="3" applyNumberFormat="1"/>
    <xf numFmtId="43" fontId="4" fillId="2" borderId="0" xfId="2" applyNumberFormat="1"/>
    <xf numFmtId="43" fontId="2" fillId="0" borderId="0" xfId="1" applyFont="1"/>
    <xf numFmtId="43" fontId="3" fillId="0" borderId="0" xfId="1" applyFont="1"/>
    <xf numFmtId="43" fontId="0" fillId="0" borderId="0" xfId="0" applyNumberFormat="1"/>
    <xf numFmtId="43" fontId="1" fillId="0" borderId="0" xfId="0" applyNumberFormat="1" applyFont="1"/>
    <xf numFmtId="9" fontId="1" fillId="0" borderId="0" xfId="4" applyFont="1"/>
    <xf numFmtId="2" fontId="1" fillId="0" borderId="0" xfId="0" applyNumberFormat="1" applyFont="1"/>
    <xf numFmtId="2" fontId="0" fillId="0" borderId="0" xfId="1" applyNumberFormat="1" applyFont="1"/>
    <xf numFmtId="2" fontId="1" fillId="0" borderId="0" xfId="1" applyNumberFormat="1" applyFont="1"/>
    <xf numFmtId="165" fontId="0" fillId="0" borderId="0" xfId="0" applyNumberFormat="1"/>
    <xf numFmtId="0" fontId="0" fillId="0" borderId="0" xfId="0" quotePrefix="1"/>
    <xf numFmtId="166" fontId="0" fillId="0" borderId="0" xfId="1" applyNumberFormat="1" applyFont="1"/>
    <xf numFmtId="166" fontId="1" fillId="0" borderId="0" xfId="1" applyNumberFormat="1" applyFont="1"/>
    <xf numFmtId="166" fontId="3" fillId="0" borderId="0" xfId="1" applyNumberFormat="1" applyFont="1"/>
    <xf numFmtId="11" fontId="0" fillId="0" borderId="0" xfId="0" applyNumberFormat="1"/>
    <xf numFmtId="0" fontId="0" fillId="4" borderId="0" xfId="0" applyFill="1"/>
    <xf numFmtId="166" fontId="1" fillId="4" borderId="0" xfId="1" applyNumberFormat="1" applyFont="1" applyFill="1"/>
    <xf numFmtId="166" fontId="0" fillId="4" borderId="0" xfId="1" applyNumberFormat="1" applyFont="1" applyFill="1"/>
    <xf numFmtId="43" fontId="0" fillId="4" borderId="0" xfId="1" applyFont="1" applyFill="1"/>
    <xf numFmtId="43" fontId="0" fillId="0" borderId="0" xfId="1" applyFont="1" applyFill="1"/>
    <xf numFmtId="166" fontId="0" fillId="0" borderId="0" xfId="1" applyNumberFormat="1" applyFont="1" applyFill="1"/>
    <xf numFmtId="166" fontId="1" fillId="0" borderId="0" xfId="1" applyNumberFormat="1" applyFont="1" applyFill="1"/>
    <xf numFmtId="0" fontId="0" fillId="5" borderId="0" xfId="0" applyFill="1"/>
    <xf numFmtId="167" fontId="0" fillId="0" borderId="0" xfId="0" applyNumberFormat="1"/>
    <xf numFmtId="1" fontId="0" fillId="0" borderId="0" xfId="0" applyNumberFormat="1"/>
    <xf numFmtId="11" fontId="0" fillId="0" borderId="0" xfId="1" applyNumberFormat="1" applyFont="1"/>
    <xf numFmtId="165" fontId="1" fillId="0" borderId="0" xfId="0" applyNumberFormat="1" applyFont="1"/>
    <xf numFmtId="166" fontId="3" fillId="0" borderId="0" xfId="1" applyNumberFormat="1" applyFont="1" applyFill="1"/>
    <xf numFmtId="165" fontId="3" fillId="0" borderId="0" xfId="1" applyNumberFormat="1" applyFont="1" applyFill="1"/>
    <xf numFmtId="165" fontId="0" fillId="0" borderId="0" xfId="1" applyNumberFormat="1" applyFont="1" applyFill="1"/>
    <xf numFmtId="165" fontId="0" fillId="0" borderId="0" xfId="1" applyNumberFormat="1" applyFont="1"/>
    <xf numFmtId="166" fontId="0" fillId="0" borderId="0" xfId="0" applyNumberFormat="1"/>
    <xf numFmtId="166" fontId="1" fillId="0" borderId="0" xfId="0" applyNumberFormat="1" applyFont="1"/>
    <xf numFmtId="165" fontId="1" fillId="0" borderId="0" xfId="1" applyNumberFormat="1" applyFont="1" applyFill="1"/>
    <xf numFmtId="165" fontId="1" fillId="0" borderId="0" xfId="1" applyNumberFormat="1" applyFont="1"/>
    <xf numFmtId="165" fontId="0" fillId="0" borderId="0" xfId="0" applyNumberFormat="1" applyFont="1"/>
    <xf numFmtId="165" fontId="3" fillId="0" borderId="0" xfId="1" applyNumberFormat="1" applyFont="1"/>
  </cellXfs>
  <cellStyles count="5">
    <cellStyle name="Bad" xfId="3" builtinId="27"/>
    <cellStyle name="Comma" xfId="1" builtinId="3"/>
    <cellStyle name="Good" xfId="2" builtinId="26"/>
    <cellStyle name="Normal" xfId="0" builtinId="0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rk Lauinger" id="{ECC6709C-9A20-4DC5-ADE3-5C36CDEEBD3D}" userId="S::lauinger@mit.edu::993c8583-c987-4536-99c5-ab0773775f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0" dT="2025-05-05T20:36:53.40" personId="{ECC6709C-9A20-4DC5-ADE3-5C36CDEEBD3D}" id="{3596D6DD-00D5-48B9-98E5-2DE582B601C8}">
    <text>Higher load shed because we cannot use backup generation to load storage anymore.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5390F-73E5-44BA-92D9-650BD847048C}">
  <dimension ref="A1:J61"/>
  <sheetViews>
    <sheetView tabSelected="1" workbookViewId="0">
      <selection activeCell="K1" sqref="K1"/>
    </sheetView>
  </sheetViews>
  <sheetFormatPr defaultRowHeight="14.4" x14ac:dyDescent="0.3"/>
  <cols>
    <col min="1" max="1" width="20.44140625" bestFit="1" customWidth="1"/>
    <col min="7" max="9" width="9.5546875" bestFit="1" customWidth="1"/>
    <col min="10" max="10" width="9" bestFit="1" customWidth="1"/>
  </cols>
  <sheetData>
    <row r="1" spans="1:10" x14ac:dyDescent="0.3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</row>
    <row r="2" spans="1:10" x14ac:dyDescent="0.3">
      <c r="A2" s="1" t="s">
        <v>6</v>
      </c>
    </row>
    <row r="3" spans="1:10" x14ac:dyDescent="0.3">
      <c r="A3" t="s">
        <v>20</v>
      </c>
      <c r="B3" t="s">
        <v>50</v>
      </c>
      <c r="C3" t="s">
        <v>50</v>
      </c>
      <c r="D3" t="s">
        <v>241</v>
      </c>
      <c r="E3" t="s">
        <v>241</v>
      </c>
      <c r="F3" t="s">
        <v>241</v>
      </c>
      <c r="G3" t="s">
        <v>241</v>
      </c>
      <c r="H3" t="s">
        <v>241</v>
      </c>
      <c r="I3" t="s">
        <v>50</v>
      </c>
      <c r="J3" t="s">
        <v>241</v>
      </c>
    </row>
    <row r="4" spans="1:10" x14ac:dyDescent="0.3">
      <c r="A4" t="s">
        <v>146</v>
      </c>
      <c r="B4" t="s">
        <v>242</v>
      </c>
      <c r="C4" t="s">
        <v>243</v>
      </c>
      <c r="D4" t="s">
        <v>244</v>
      </c>
      <c r="E4" t="s">
        <v>244</v>
      </c>
      <c r="F4" t="s">
        <v>244</v>
      </c>
      <c r="G4" t="s">
        <v>245</v>
      </c>
      <c r="H4" t="s">
        <v>245</v>
      </c>
      <c r="I4" t="s">
        <v>244</v>
      </c>
      <c r="J4" t="s">
        <v>244</v>
      </c>
    </row>
    <row r="5" spans="1:10" x14ac:dyDescent="0.3">
      <c r="A5" t="s">
        <v>183</v>
      </c>
      <c r="B5" t="s">
        <v>184</v>
      </c>
      <c r="C5" t="s">
        <v>184</v>
      </c>
      <c r="D5" t="s">
        <v>184</v>
      </c>
      <c r="E5" t="s">
        <v>184</v>
      </c>
      <c r="F5" t="s">
        <v>185</v>
      </c>
      <c r="G5" t="s">
        <v>184</v>
      </c>
      <c r="H5" t="s">
        <v>184</v>
      </c>
      <c r="I5" t="s">
        <v>184</v>
      </c>
      <c r="J5" t="s">
        <v>184</v>
      </c>
    </row>
    <row r="6" spans="1:10" x14ac:dyDescent="0.3">
      <c r="A6" t="s">
        <v>219</v>
      </c>
      <c r="B6" t="s">
        <v>246</v>
      </c>
      <c r="C6">
        <v>0</v>
      </c>
      <c r="D6">
        <v>0</v>
      </c>
      <c r="E6" s="22">
        <v>3.0638441517386701</v>
      </c>
      <c r="F6">
        <v>0</v>
      </c>
      <c r="G6">
        <v>0</v>
      </c>
      <c r="H6" s="22">
        <v>3.0638441517386701</v>
      </c>
      <c r="I6">
        <v>0</v>
      </c>
      <c r="J6">
        <v>0</v>
      </c>
    </row>
    <row r="7" spans="1:10" x14ac:dyDescent="0.3">
      <c r="A7" t="s">
        <v>253</v>
      </c>
      <c r="E7" s="22"/>
      <c r="I7" t="s">
        <v>254</v>
      </c>
      <c r="J7" t="s">
        <v>254</v>
      </c>
    </row>
    <row r="8" spans="1:10" x14ac:dyDescent="0.3">
      <c r="A8" s="1" t="s">
        <v>148</v>
      </c>
    </row>
    <row r="9" spans="1:10" x14ac:dyDescent="0.3">
      <c r="A9" t="s">
        <v>220</v>
      </c>
      <c r="B9" s="20">
        <v>678.87426971018499</v>
      </c>
      <c r="C9" s="20">
        <v>647.02551059914197</v>
      </c>
      <c r="D9" s="20">
        <v>633.44103572541201</v>
      </c>
      <c r="E9" s="20">
        <v>616.68790878557797</v>
      </c>
      <c r="F9" s="20">
        <v>659.31035109280197</v>
      </c>
      <c r="G9" s="20">
        <v>629.82325591411598</v>
      </c>
      <c r="H9" s="46">
        <v>599.41119164034205</v>
      </c>
      <c r="I9" s="46">
        <v>609.22711199579896</v>
      </c>
      <c r="J9" s="46">
        <v>432.17375775875098</v>
      </c>
    </row>
    <row r="10" spans="1:10" x14ac:dyDescent="0.3">
      <c r="A10" t="s">
        <v>221</v>
      </c>
      <c r="B10" s="20">
        <v>52.848302125930701</v>
      </c>
      <c r="C10" s="20">
        <v>4211.1156399250003</v>
      </c>
      <c r="D10" s="20">
        <v>4083.08587312698</v>
      </c>
      <c r="E10" s="20">
        <v>2374.32150483131</v>
      </c>
      <c r="F10" s="20">
        <v>886.68696498870804</v>
      </c>
      <c r="G10" s="20">
        <v>17631.037314891801</v>
      </c>
      <c r="H10" s="46">
        <v>20510.1706309318</v>
      </c>
      <c r="I10" s="39">
        <v>14402.060109853701</v>
      </c>
      <c r="J10" s="39">
        <v>651.56380891799904</v>
      </c>
    </row>
    <row r="11" spans="1:10" x14ac:dyDescent="0.3">
      <c r="A11" t="s">
        <v>222</v>
      </c>
      <c r="B11" s="20">
        <v>8.96071358941519E-4</v>
      </c>
      <c r="C11" s="20">
        <v>8.9960924271766899E-4</v>
      </c>
      <c r="D11" s="20">
        <v>6.7749548605001298E-13</v>
      </c>
      <c r="E11" s="20">
        <v>1.2758176377813799E-12</v>
      </c>
      <c r="F11" s="20">
        <v>3.7206736152714702E-7</v>
      </c>
      <c r="G11" s="20">
        <v>0</v>
      </c>
      <c r="H11" s="39">
        <v>8.5517246293914404E-13</v>
      </c>
      <c r="I11" s="39">
        <v>3.5157763764803499E-3</v>
      </c>
      <c r="J11" s="39">
        <v>2.51838709329082E-11</v>
      </c>
    </row>
    <row r="12" spans="1:10" x14ac:dyDescent="0.3">
      <c r="A12" t="s">
        <v>247</v>
      </c>
      <c r="B12" s="20">
        <v>0</v>
      </c>
      <c r="C12" s="20">
        <v>0</v>
      </c>
      <c r="D12" s="20">
        <v>0</v>
      </c>
      <c r="E12" s="20">
        <v>0</v>
      </c>
      <c r="F12" s="20">
        <v>0</v>
      </c>
      <c r="G12" s="20">
        <v>0</v>
      </c>
      <c r="H12" s="40">
        <v>0</v>
      </c>
      <c r="I12" s="39">
        <v>0</v>
      </c>
      <c r="J12" s="39">
        <v>0</v>
      </c>
    </row>
    <row r="13" spans="1:10" x14ac:dyDescent="0.3">
      <c r="A13" s="1" t="s">
        <v>223</v>
      </c>
      <c r="B13" s="20"/>
      <c r="C13" s="20"/>
      <c r="D13" s="20"/>
      <c r="E13" s="20"/>
      <c r="F13" s="20"/>
      <c r="G13" s="20"/>
      <c r="H13" s="40"/>
      <c r="I13" s="39"/>
      <c r="J13" s="39"/>
    </row>
    <row r="14" spans="1:10" x14ac:dyDescent="0.3">
      <c r="A14" t="s">
        <v>153</v>
      </c>
      <c r="B14" s="20">
        <v>331.384468922407</v>
      </c>
      <c r="C14" s="20">
        <v>331.24497835393498</v>
      </c>
      <c r="D14" s="20">
        <v>317.660503480204</v>
      </c>
      <c r="E14" s="39">
        <v>317.660503480204</v>
      </c>
      <c r="F14" s="20">
        <v>313.50905842858702</v>
      </c>
      <c r="G14" s="20">
        <v>331.63212868795</v>
      </c>
      <c r="H14" s="39">
        <v>331.63305611792202</v>
      </c>
      <c r="I14" s="39">
        <v>331.06495318393002</v>
      </c>
      <c r="J14" s="39">
        <v>151.04654871022299</v>
      </c>
    </row>
    <row r="15" spans="1:10" x14ac:dyDescent="0.3">
      <c r="A15" s="21" t="s">
        <v>224</v>
      </c>
      <c r="B15" s="20">
        <v>331.464587111637</v>
      </c>
      <c r="C15" s="20">
        <v>331.464587111637</v>
      </c>
      <c r="D15" s="20">
        <v>317.63477994612202</v>
      </c>
      <c r="E15" s="39">
        <v>317.634779946121</v>
      </c>
      <c r="F15" s="20">
        <v>313.44591357708299</v>
      </c>
      <c r="G15" s="20">
        <v>319.10475744885002</v>
      </c>
      <c r="H15" s="39">
        <v>319.10475744885002</v>
      </c>
      <c r="I15" s="39">
        <v>331.464587111637</v>
      </c>
      <c r="J15" s="39">
        <v>137.308322409797</v>
      </c>
    </row>
    <row r="16" spans="1:10" x14ac:dyDescent="0.3">
      <c r="A16" s="21" t="s">
        <v>155</v>
      </c>
      <c r="B16" s="20">
        <v>331.06399616549299</v>
      </c>
      <c r="C16" s="20">
        <v>330.36654332313299</v>
      </c>
      <c r="D16" s="20">
        <v>317.76339761653099</v>
      </c>
      <c r="E16" s="40">
        <v>317.76339761653099</v>
      </c>
      <c r="F16" s="20">
        <v>313.76163783459498</v>
      </c>
      <c r="G16" s="20">
        <v>381.741613644344</v>
      </c>
      <c r="H16" s="39">
        <v>381.74625079420503</v>
      </c>
      <c r="I16" s="39">
        <v>329.466417473104</v>
      </c>
      <c r="J16" s="39">
        <v>205.999453911925</v>
      </c>
    </row>
    <row r="17" spans="1:10" x14ac:dyDescent="0.3">
      <c r="A17" t="s">
        <v>156</v>
      </c>
      <c r="B17" s="20">
        <v>347.48980078777402</v>
      </c>
      <c r="C17" s="20">
        <v>315.78053224520499</v>
      </c>
      <c r="D17" s="20">
        <v>315.78053224520499</v>
      </c>
      <c r="E17" s="40">
        <v>315.78053224520897</v>
      </c>
      <c r="F17" s="20">
        <v>345.80129266420602</v>
      </c>
      <c r="G17" s="20">
        <v>298.191127226167</v>
      </c>
      <c r="H17" s="40">
        <v>298.191127226167</v>
      </c>
      <c r="I17" s="39">
        <v>278.16215881186702</v>
      </c>
      <c r="J17" s="39">
        <v>281.12720904852603</v>
      </c>
    </row>
    <row r="18" spans="1:10" x14ac:dyDescent="0.3">
      <c r="A18" s="21" t="s">
        <v>187</v>
      </c>
      <c r="B18" s="20">
        <v>0</v>
      </c>
      <c r="C18" s="20">
        <v>0</v>
      </c>
      <c r="D18" s="20">
        <v>0</v>
      </c>
      <c r="E18" s="40">
        <v>0</v>
      </c>
      <c r="F18" s="20">
        <v>0</v>
      </c>
      <c r="G18" s="20">
        <v>89.450802844688596</v>
      </c>
      <c r="H18" s="39">
        <v>89.450802844688596</v>
      </c>
      <c r="I18" s="39">
        <v>0</v>
      </c>
      <c r="J18" s="39">
        <v>0</v>
      </c>
    </row>
    <row r="19" spans="1:10" x14ac:dyDescent="0.3">
      <c r="A19" s="21" t="s">
        <v>157</v>
      </c>
      <c r="B19" s="20">
        <v>347.48980078777402</v>
      </c>
      <c r="C19" s="20">
        <v>277.99184063021897</v>
      </c>
      <c r="D19" s="20">
        <v>277.99184063021897</v>
      </c>
      <c r="E19" s="40">
        <v>277.99184063021897</v>
      </c>
      <c r="F19" s="20">
        <v>277.99184063021897</v>
      </c>
      <c r="G19" s="20">
        <v>183.22189496082601</v>
      </c>
      <c r="H19" s="40">
        <v>183.22189496082601</v>
      </c>
      <c r="I19" s="39">
        <v>277.99184063021897</v>
      </c>
      <c r="J19" s="39">
        <v>277.99184063021897</v>
      </c>
    </row>
    <row r="20" spans="1:10" x14ac:dyDescent="0.3">
      <c r="A20" s="21" t="s">
        <v>158</v>
      </c>
      <c r="B20" s="20">
        <v>0</v>
      </c>
      <c r="C20" s="20">
        <v>37.7886916149859</v>
      </c>
      <c r="D20" s="20">
        <v>37.788691614986099</v>
      </c>
      <c r="E20" s="39">
        <v>37.788691614989901</v>
      </c>
      <c r="F20" s="20">
        <v>67.809452033986702</v>
      </c>
      <c r="G20" s="20">
        <v>25.5184294206529</v>
      </c>
      <c r="H20" s="39">
        <v>25.5184294206529</v>
      </c>
      <c r="I20" s="39">
        <v>0.17031818164843701</v>
      </c>
      <c r="J20" s="39">
        <v>3.1353684183071202</v>
      </c>
    </row>
    <row r="21" spans="1:10" x14ac:dyDescent="0.3">
      <c r="A21" s="21" t="s">
        <v>252</v>
      </c>
      <c r="B21" s="20"/>
      <c r="C21" s="20"/>
      <c r="D21" s="20"/>
      <c r="E21" s="40">
        <v>16.753126939836399</v>
      </c>
      <c r="F21" s="20"/>
      <c r="G21" s="20"/>
      <c r="H21" s="39">
        <v>30.412991703747899</v>
      </c>
      <c r="I21" s="39">
        <v>0</v>
      </c>
      <c r="J21" s="39">
        <v>0</v>
      </c>
    </row>
    <row r="22" spans="1:10" x14ac:dyDescent="0.3">
      <c r="A22" s="21" t="s">
        <v>187</v>
      </c>
      <c r="B22" s="20"/>
      <c r="C22" s="20"/>
      <c r="D22" s="20"/>
      <c r="E22" s="40">
        <v>7.1257546557813702</v>
      </c>
      <c r="F22" s="20"/>
      <c r="G22" s="20"/>
      <c r="H22" s="40">
        <v>23.137521307693099</v>
      </c>
      <c r="I22" s="39">
        <v>0</v>
      </c>
      <c r="J22" s="39">
        <v>0</v>
      </c>
    </row>
    <row r="23" spans="1:10" x14ac:dyDescent="0.3">
      <c r="A23" s="21" t="s">
        <v>157</v>
      </c>
      <c r="B23" s="20"/>
      <c r="C23" s="20"/>
      <c r="D23" s="20"/>
      <c r="E23" s="40">
        <v>0</v>
      </c>
      <c r="F23" s="20"/>
      <c r="G23" s="20"/>
      <c r="H23" s="40">
        <v>0</v>
      </c>
      <c r="I23" s="39">
        <v>0</v>
      </c>
      <c r="J23" s="39">
        <v>0</v>
      </c>
    </row>
    <row r="24" spans="1:10" x14ac:dyDescent="0.3">
      <c r="A24" s="21" t="s">
        <v>158</v>
      </c>
      <c r="B24" s="20"/>
      <c r="C24" s="20"/>
      <c r="D24" s="20"/>
      <c r="E24" s="40">
        <v>9.6273722840551095</v>
      </c>
      <c r="F24" s="20"/>
      <c r="G24" s="20"/>
      <c r="H24" s="40">
        <v>7.2754703960547804</v>
      </c>
      <c r="I24" s="39">
        <v>0</v>
      </c>
      <c r="J24" s="39">
        <v>0</v>
      </c>
    </row>
    <row r="25" spans="1:10" x14ac:dyDescent="0.3">
      <c r="A25" s="1" t="s">
        <v>225</v>
      </c>
      <c r="B25" s="20"/>
      <c r="C25" s="20"/>
      <c r="D25" s="20"/>
      <c r="E25" s="20"/>
      <c r="F25" s="20"/>
      <c r="G25" s="20"/>
      <c r="H25" s="40"/>
      <c r="I25" s="39"/>
      <c r="J25" s="39"/>
    </row>
    <row r="26" spans="1:10" x14ac:dyDescent="0.3">
      <c r="A26" t="s">
        <v>11</v>
      </c>
      <c r="B26" s="20">
        <f>SUM(B27:B29)</f>
        <v>160</v>
      </c>
      <c r="C26" s="20">
        <f t="shared" ref="C26:J26" si="0">SUM(C27:C29)</f>
        <v>139.31799999999851</v>
      </c>
      <c r="D26" s="20">
        <f t="shared" si="0"/>
        <v>139.31799999999899</v>
      </c>
      <c r="E26" s="20">
        <f>SUM(E27:E29)</f>
        <v>139.31800000000069</v>
      </c>
      <c r="F26" s="20">
        <f t="shared" si="0"/>
        <v>157.89979439288248</v>
      </c>
      <c r="G26" s="20">
        <f t="shared" si="0"/>
        <v>138.08399999999992</v>
      </c>
      <c r="H26" s="20">
        <f t="shared" si="0"/>
        <v>138.084</v>
      </c>
      <c r="I26" s="20">
        <f t="shared" si="0"/>
        <v>139.28947676796341</v>
      </c>
      <c r="J26" s="20">
        <f t="shared" si="0"/>
        <v>367.92105228839102</v>
      </c>
    </row>
    <row r="27" spans="1:10" x14ac:dyDescent="0.3">
      <c r="A27" s="21" t="s">
        <v>187</v>
      </c>
      <c r="B27" s="20">
        <v>0</v>
      </c>
      <c r="C27" s="20">
        <v>0</v>
      </c>
      <c r="D27" s="20">
        <v>0</v>
      </c>
      <c r="E27" s="40">
        <v>0</v>
      </c>
      <c r="F27" s="20">
        <v>0</v>
      </c>
      <c r="G27" s="20">
        <v>6.5130000000000097</v>
      </c>
      <c r="H27" s="40">
        <v>6.5129999999999901</v>
      </c>
      <c r="I27" s="39">
        <v>0</v>
      </c>
      <c r="J27" s="39">
        <v>0</v>
      </c>
    </row>
    <row r="28" spans="1:10" x14ac:dyDescent="0.3">
      <c r="A28" s="21" t="s">
        <v>157</v>
      </c>
      <c r="B28" s="20">
        <v>160</v>
      </c>
      <c r="C28" s="20">
        <v>120</v>
      </c>
      <c r="D28" s="20">
        <v>120</v>
      </c>
      <c r="E28" s="40">
        <v>120</v>
      </c>
      <c r="F28" s="20">
        <v>120</v>
      </c>
      <c r="G28" s="20">
        <v>120</v>
      </c>
      <c r="H28" s="40">
        <v>120</v>
      </c>
      <c r="I28" s="39">
        <v>120</v>
      </c>
      <c r="J28" s="39">
        <v>120</v>
      </c>
    </row>
    <row r="29" spans="1:10" x14ac:dyDescent="0.3">
      <c r="A29" s="21" t="s">
        <v>158</v>
      </c>
      <c r="B29" s="20">
        <v>0</v>
      </c>
      <c r="C29" s="20">
        <v>19.317999999998499</v>
      </c>
      <c r="D29" s="20">
        <v>19.317999999999</v>
      </c>
      <c r="E29" s="41">
        <v>19.318000000000701</v>
      </c>
      <c r="F29" s="20">
        <v>37.899794392882498</v>
      </c>
      <c r="G29" s="20">
        <v>11.5709999999999</v>
      </c>
      <c r="H29" s="40">
        <v>11.571</v>
      </c>
      <c r="I29" s="47">
        <v>19.2894767679634</v>
      </c>
      <c r="J29" s="47">
        <v>247.921052288391</v>
      </c>
    </row>
    <row r="30" spans="1:10" x14ac:dyDescent="0.3">
      <c r="A30" t="s">
        <v>226</v>
      </c>
      <c r="B30" s="20">
        <f>SUM(B31:B33)</f>
        <v>160</v>
      </c>
      <c r="C30" s="20">
        <f t="shared" ref="C30:J30" si="1">SUM(C31:C33)</f>
        <v>139.31799999999839</v>
      </c>
      <c r="D30" s="20">
        <f t="shared" si="1"/>
        <v>139.31799999999899</v>
      </c>
      <c r="E30" s="20">
        <f>SUM(E31:E33)</f>
        <v>139.31800000000069</v>
      </c>
      <c r="F30" s="20">
        <f t="shared" si="1"/>
        <v>157.89979439288248</v>
      </c>
      <c r="G30" s="20">
        <f t="shared" si="1"/>
        <v>153.83164999999991</v>
      </c>
      <c r="H30" s="20">
        <f t="shared" si="1"/>
        <v>153.83165</v>
      </c>
      <c r="I30" s="20">
        <f t="shared" si="1"/>
        <v>141.28977270605461</v>
      </c>
      <c r="J30" s="20">
        <f t="shared" si="1"/>
        <v>511.92105228839102</v>
      </c>
    </row>
    <row r="31" spans="1:10" x14ac:dyDescent="0.3">
      <c r="A31" s="21" t="s">
        <v>187</v>
      </c>
      <c r="B31" s="20">
        <v>0</v>
      </c>
      <c r="C31" s="20">
        <v>0</v>
      </c>
      <c r="D31" s="20">
        <v>0</v>
      </c>
      <c r="E31" s="41">
        <v>0</v>
      </c>
      <c r="F31" s="20">
        <v>0</v>
      </c>
      <c r="G31" s="20">
        <v>22.260649999999998</v>
      </c>
      <c r="H31" s="41">
        <v>22.260649999999998</v>
      </c>
      <c r="I31" s="47">
        <v>0</v>
      </c>
      <c r="J31" s="47">
        <v>0</v>
      </c>
    </row>
    <row r="32" spans="1:10" x14ac:dyDescent="0.3">
      <c r="A32" s="21" t="s">
        <v>157</v>
      </c>
      <c r="B32" s="20">
        <v>160</v>
      </c>
      <c r="C32" s="20">
        <v>120</v>
      </c>
      <c r="D32" s="20">
        <v>120</v>
      </c>
      <c r="E32" s="41">
        <v>120</v>
      </c>
      <c r="F32" s="20">
        <v>120</v>
      </c>
      <c r="G32" s="20">
        <v>120</v>
      </c>
      <c r="H32" s="41">
        <v>120</v>
      </c>
      <c r="I32" s="47">
        <v>120</v>
      </c>
      <c r="J32" s="47">
        <v>120</v>
      </c>
    </row>
    <row r="33" spans="1:10" x14ac:dyDescent="0.3">
      <c r="A33" s="21" t="s">
        <v>158</v>
      </c>
      <c r="B33" s="20">
        <v>0</v>
      </c>
      <c r="C33" s="20">
        <v>19.317999999998399</v>
      </c>
      <c r="D33" s="20">
        <v>19.317999999999</v>
      </c>
      <c r="E33" s="41">
        <v>19.318000000000701</v>
      </c>
      <c r="F33" s="20">
        <v>37.899794392882498</v>
      </c>
      <c r="G33" s="20">
        <v>11.5709999999999</v>
      </c>
      <c r="H33" s="41">
        <v>11.571</v>
      </c>
      <c r="I33" s="47">
        <v>21.289772706054599</v>
      </c>
      <c r="J33" s="47">
        <v>391.92105228839102</v>
      </c>
    </row>
    <row r="34" spans="1:10" x14ac:dyDescent="0.3">
      <c r="A34" s="1" t="s">
        <v>230</v>
      </c>
      <c r="B34" s="20"/>
      <c r="C34" s="20"/>
      <c r="D34" s="20"/>
      <c r="E34" s="20"/>
      <c r="F34" s="20"/>
      <c r="G34" s="20"/>
      <c r="H34" s="41"/>
      <c r="I34" s="39"/>
      <c r="J34" s="39"/>
    </row>
    <row r="35" spans="1:10" x14ac:dyDescent="0.3">
      <c r="A35" t="s">
        <v>227</v>
      </c>
      <c r="B35" s="20">
        <v>295.000317319891</v>
      </c>
      <c r="C35" s="20">
        <v>295.000317319891</v>
      </c>
      <c r="D35" s="20">
        <v>295.000317319891</v>
      </c>
      <c r="E35" s="41">
        <v>295.000317319891</v>
      </c>
      <c r="F35" s="20">
        <v>295.24872393286103</v>
      </c>
      <c r="G35" s="20">
        <v>295.01246434283303</v>
      </c>
      <c r="H35" s="40">
        <v>295.01205172744898</v>
      </c>
      <c r="I35" s="47">
        <v>295.000317319891</v>
      </c>
      <c r="J35" s="47">
        <v>483.82489212517697</v>
      </c>
    </row>
    <row r="36" spans="1:10" x14ac:dyDescent="0.3">
      <c r="A36" s="21" t="s">
        <v>157</v>
      </c>
      <c r="B36" s="20">
        <v>0</v>
      </c>
      <c r="C36" s="20">
        <v>0</v>
      </c>
      <c r="D36" s="20">
        <v>0</v>
      </c>
      <c r="E36" s="41">
        <v>0</v>
      </c>
      <c r="F36" s="20">
        <v>0.248406612969475</v>
      </c>
      <c r="G36" s="20">
        <v>1.2147022941970301E-2</v>
      </c>
      <c r="H36" s="41">
        <v>1.1734407557354901E-2</v>
      </c>
      <c r="I36" s="47">
        <v>0</v>
      </c>
      <c r="J36" s="47">
        <v>188.82457480528501</v>
      </c>
    </row>
    <row r="37" spans="1:10" x14ac:dyDescent="0.3">
      <c r="A37" s="21" t="s">
        <v>228</v>
      </c>
      <c r="B37" s="20">
        <v>295.000317319891</v>
      </c>
      <c r="C37" s="20">
        <v>295.000317319891</v>
      </c>
      <c r="D37" s="20">
        <v>295.000317319891</v>
      </c>
      <c r="E37" s="41">
        <v>295.000317319891</v>
      </c>
      <c r="F37" s="20">
        <v>295.000317319891</v>
      </c>
      <c r="G37" s="20">
        <v>295.000317319891</v>
      </c>
      <c r="H37" s="41">
        <v>295.000317319891</v>
      </c>
      <c r="I37" s="47">
        <v>295.000317319891</v>
      </c>
      <c r="J37" s="47">
        <v>295.000317319891</v>
      </c>
    </row>
    <row r="38" spans="1:10" x14ac:dyDescent="0.3">
      <c r="A38" s="21" t="s">
        <v>158</v>
      </c>
      <c r="B38" s="20">
        <v>0</v>
      </c>
      <c r="C38" s="20">
        <v>0</v>
      </c>
      <c r="D38" s="20">
        <v>13.2369534080342</v>
      </c>
      <c r="E38" s="41">
        <v>13.2369534080383</v>
      </c>
      <c r="F38" s="20">
        <v>20.3580305574019</v>
      </c>
      <c r="G38" s="20">
        <v>10.003353273235801</v>
      </c>
      <c r="H38" s="41">
        <v>10.003353273235801</v>
      </c>
      <c r="I38" s="47">
        <v>0</v>
      </c>
      <c r="J38" s="47">
        <v>307.81631030742801</v>
      </c>
    </row>
    <row r="39" spans="1:10" x14ac:dyDescent="0.3">
      <c r="A39" t="s">
        <v>229</v>
      </c>
      <c r="B39" s="20">
        <v>295.000317319891</v>
      </c>
      <c r="C39" s="20">
        <v>295.000317319891</v>
      </c>
      <c r="D39" s="20">
        <v>297.20335671254497</v>
      </c>
      <c r="E39" s="41">
        <v>297.20335671254497</v>
      </c>
      <c r="F39" s="20">
        <v>298.63693131655202</v>
      </c>
      <c r="G39" s="20">
        <v>296.67733243145699</v>
      </c>
      <c r="H39" s="41">
        <v>296.67691981607197</v>
      </c>
      <c r="I39" s="47">
        <v>295.000317319891</v>
      </c>
      <c r="J39" s="47">
        <v>535.05506846588798</v>
      </c>
    </row>
    <row r="40" spans="1:10" x14ac:dyDescent="0.3">
      <c r="A40" s="21" t="s">
        <v>187</v>
      </c>
      <c r="B40" s="20">
        <v>0</v>
      </c>
      <c r="C40" s="20">
        <v>0</v>
      </c>
      <c r="D40" s="20">
        <v>7.4546250000000105E-2</v>
      </c>
      <c r="E40" s="41">
        <v>7.4546249999996497E-2</v>
      </c>
      <c r="F40" s="20">
        <v>7.4546250000000105E-2</v>
      </c>
      <c r="G40" s="20">
        <v>0.24193586538461401</v>
      </c>
      <c r="H40" s="41">
        <v>0.24193586538461501</v>
      </c>
      <c r="I40" s="47">
        <v>0</v>
      </c>
      <c r="J40" s="47">
        <v>2.8985241059379101E-2</v>
      </c>
    </row>
    <row r="41" spans="1:10" x14ac:dyDescent="0.3">
      <c r="A41" s="21" t="s">
        <v>157</v>
      </c>
      <c r="B41" s="20">
        <v>295.000317319891</v>
      </c>
      <c r="C41" s="20">
        <v>295.000317319891</v>
      </c>
      <c r="D41" s="20">
        <v>297.128810462545</v>
      </c>
      <c r="E41" s="41">
        <v>297.128810462545</v>
      </c>
      <c r="F41" s="20">
        <v>298.562385066552</v>
      </c>
      <c r="G41" s="20">
        <v>296.43539656607197</v>
      </c>
      <c r="H41" s="41">
        <v>296.43498395068798</v>
      </c>
      <c r="I41" s="47">
        <v>295.000317319891</v>
      </c>
      <c r="J41" s="47">
        <v>535.02608322482797</v>
      </c>
    </row>
    <row r="42" spans="1:10" x14ac:dyDescent="0.3">
      <c r="A42" s="21" t="s">
        <v>158</v>
      </c>
      <c r="B42" s="20">
        <v>0</v>
      </c>
      <c r="C42" s="20">
        <v>0</v>
      </c>
      <c r="D42" s="20">
        <v>11.033914015382599</v>
      </c>
      <c r="E42" s="41">
        <v>11.033914015384299</v>
      </c>
      <c r="F42" s="20">
        <v>16.9698231737021</v>
      </c>
      <c r="G42" s="20">
        <v>8.3384851846172197</v>
      </c>
      <c r="H42" s="41">
        <v>8.3384851846172303</v>
      </c>
      <c r="I42" s="47">
        <v>0</v>
      </c>
      <c r="J42" s="47">
        <v>256.58613396666601</v>
      </c>
    </row>
    <row r="43" spans="1:10" x14ac:dyDescent="0.3">
      <c r="A43" s="1" t="s">
        <v>231</v>
      </c>
      <c r="B43" s="20"/>
      <c r="C43" s="20"/>
      <c r="D43" s="20"/>
      <c r="E43" s="20"/>
      <c r="F43" s="20"/>
      <c r="G43" s="20"/>
      <c r="H43" s="41"/>
      <c r="I43" s="47"/>
      <c r="J43" s="47"/>
    </row>
    <row r="44" spans="1:10" x14ac:dyDescent="0.3">
      <c r="A44" t="s">
        <v>227</v>
      </c>
      <c r="B44" s="20">
        <v>295.000317319891</v>
      </c>
      <c r="C44" s="20">
        <v>295.000317319891</v>
      </c>
      <c r="D44" s="20">
        <v>295.000317319891</v>
      </c>
      <c r="E44" s="41">
        <v>295.000317319891</v>
      </c>
      <c r="F44" s="20">
        <v>295.24872393286103</v>
      </c>
      <c r="G44" s="20">
        <v>295.01246434283303</v>
      </c>
      <c r="H44" s="41">
        <v>295.01205172744898</v>
      </c>
      <c r="I44" s="47">
        <v>295.000317319891</v>
      </c>
      <c r="J44" s="47">
        <v>405.71284307652502</v>
      </c>
    </row>
    <row r="45" spans="1:10" x14ac:dyDescent="0.3">
      <c r="A45" s="21" t="s">
        <v>157</v>
      </c>
      <c r="B45" s="20">
        <v>0</v>
      </c>
      <c r="C45" s="20">
        <v>0</v>
      </c>
      <c r="D45" s="20">
        <v>0</v>
      </c>
      <c r="E45" s="41">
        <v>0</v>
      </c>
      <c r="F45" s="20">
        <v>0.248406612969475</v>
      </c>
      <c r="G45" s="20">
        <v>1.2147022941970301E-2</v>
      </c>
      <c r="H45" s="41">
        <v>1.1734407557354901E-2</v>
      </c>
      <c r="I45" s="47">
        <v>0</v>
      </c>
      <c r="J45" s="47">
        <v>110.712525756633</v>
      </c>
    </row>
    <row r="46" spans="1:10" x14ac:dyDescent="0.3">
      <c r="A46" s="21" t="s">
        <v>228</v>
      </c>
      <c r="B46" s="20">
        <v>295.000317319891</v>
      </c>
      <c r="C46" s="20">
        <v>295.000317319891</v>
      </c>
      <c r="D46" s="20">
        <v>295.000317319891</v>
      </c>
      <c r="E46" s="41">
        <v>295.000317319891</v>
      </c>
      <c r="F46" s="20">
        <v>295.000317319891</v>
      </c>
      <c r="G46" s="20">
        <v>295.000317319891</v>
      </c>
      <c r="H46" s="41">
        <v>295.000317319891</v>
      </c>
      <c r="I46" s="47">
        <v>295.000317319891</v>
      </c>
      <c r="J46" s="47">
        <v>295.000317319891</v>
      </c>
    </row>
    <row r="47" spans="1:10" x14ac:dyDescent="0.3">
      <c r="A47" s="21" t="s">
        <v>158</v>
      </c>
      <c r="B47" s="20">
        <v>0.23926236777648199</v>
      </c>
      <c r="C47" s="20">
        <v>0.59708955481472203</v>
      </c>
      <c r="D47" s="20">
        <v>13.236953408034401</v>
      </c>
      <c r="E47" s="41">
        <v>13.2369534080382</v>
      </c>
      <c r="F47" s="20">
        <v>20.3514377253086</v>
      </c>
      <c r="G47" s="20">
        <v>10.0033532732357</v>
      </c>
      <c r="H47" s="41">
        <v>10.0033532732357</v>
      </c>
      <c r="I47" s="47">
        <v>1.2564601326317599</v>
      </c>
      <c r="J47" s="47">
        <v>202.61956244258701</v>
      </c>
    </row>
    <row r="48" spans="1:10" x14ac:dyDescent="0.3">
      <c r="A48" t="s">
        <v>229</v>
      </c>
      <c r="B48" s="20">
        <v>295.04013799502002</v>
      </c>
      <c r="C48" s="20">
        <v>295.09969153158698</v>
      </c>
      <c r="D48" s="20">
        <v>297.203356712546</v>
      </c>
      <c r="E48" s="41">
        <v>297.203356712546</v>
      </c>
      <c r="F48" s="20">
        <v>298.63583406491398</v>
      </c>
      <c r="G48" s="20">
        <v>296.67733243144897</v>
      </c>
      <c r="H48" s="41">
        <v>296.67691981606401</v>
      </c>
      <c r="I48" s="47">
        <v>295.20943123623999</v>
      </c>
      <c r="J48" s="47">
        <v>439.43501947335398</v>
      </c>
    </row>
    <row r="49" spans="1:10" x14ac:dyDescent="0.3">
      <c r="A49" s="21" t="s">
        <v>187</v>
      </c>
      <c r="B49" s="20">
        <v>2.7950089743589701E-2</v>
      </c>
      <c r="C49" s="20">
        <v>2.7764718623481802E-2</v>
      </c>
      <c r="D49" s="20">
        <v>7.4895800607287399E-2</v>
      </c>
      <c r="E49" s="41">
        <v>7.4895800607283999E-2</v>
      </c>
      <c r="F49" s="20">
        <v>7.5486781871036704E-2</v>
      </c>
      <c r="G49" s="20">
        <v>9.4308724290674295</v>
      </c>
      <c r="H49" s="41">
        <v>9.4313132882776092</v>
      </c>
      <c r="I49" s="47">
        <v>9.7270674387141508E-3</v>
      </c>
      <c r="J49" s="47">
        <v>6.8145711638221695E-2</v>
      </c>
    </row>
    <row r="50" spans="1:10" x14ac:dyDescent="0.3">
      <c r="A50" s="21" t="s">
        <v>157</v>
      </c>
      <c r="B50" s="20">
        <v>295.01218790527599</v>
      </c>
      <c r="C50" s="20">
        <v>295.07192681296402</v>
      </c>
      <c r="D50" s="20">
        <v>297.12846091193802</v>
      </c>
      <c r="E50" s="41">
        <v>297.12846091193802</v>
      </c>
      <c r="F50" s="20">
        <v>298.56034728304297</v>
      </c>
      <c r="G50" s="20">
        <v>287.24646000238101</v>
      </c>
      <c r="H50" s="41">
        <v>287.24560652778598</v>
      </c>
      <c r="I50" s="47">
        <v>295.19970416880102</v>
      </c>
      <c r="J50" s="47">
        <v>439.366873761715</v>
      </c>
    </row>
    <row r="51" spans="1:10" x14ac:dyDescent="0.3">
      <c r="A51" s="21" t="s">
        <v>158</v>
      </c>
      <c r="B51" s="20">
        <v>0.199441692645074</v>
      </c>
      <c r="C51" s="20">
        <v>0.49771534311736398</v>
      </c>
      <c r="D51" s="20">
        <v>11.033914015382599</v>
      </c>
      <c r="E51" s="41">
        <v>11.033914015384299</v>
      </c>
      <c r="F51" s="20">
        <v>16.964327593246701</v>
      </c>
      <c r="G51" s="20">
        <v>8.3384851846171699</v>
      </c>
      <c r="H51" s="41">
        <v>8.3384851846172499</v>
      </c>
      <c r="I51" s="47">
        <v>1.0473462162976599</v>
      </c>
      <c r="J51" s="47">
        <v>168.89738604570201</v>
      </c>
    </row>
    <row r="52" spans="1:10" x14ac:dyDescent="0.3">
      <c r="A52" s="1" t="s">
        <v>232</v>
      </c>
      <c r="B52" s="20"/>
      <c r="C52" s="20"/>
      <c r="D52" s="20"/>
      <c r="E52" s="20"/>
      <c r="F52" s="20"/>
      <c r="G52" s="20"/>
      <c r="H52" s="41"/>
      <c r="I52" s="46"/>
      <c r="J52" s="46"/>
    </row>
    <row r="53" spans="1:10" x14ac:dyDescent="0.3">
      <c r="A53" t="s">
        <v>233</v>
      </c>
      <c r="B53" s="20">
        <v>0</v>
      </c>
      <c r="C53" s="20">
        <v>0</v>
      </c>
      <c r="D53" s="20">
        <v>150.00000000000099</v>
      </c>
      <c r="E53" s="20">
        <v>149.99999999999801</v>
      </c>
      <c r="F53" s="20">
        <v>149.99909976143499</v>
      </c>
      <c r="G53" s="20">
        <v>149.99999999999901</v>
      </c>
      <c r="H53" s="20">
        <v>150</v>
      </c>
      <c r="I53" s="46">
        <v>0</v>
      </c>
      <c r="J53" s="46">
        <v>145.295276013603</v>
      </c>
    </row>
    <row r="54" spans="1:10" x14ac:dyDescent="0.3">
      <c r="A54" t="s">
        <v>234</v>
      </c>
      <c r="B54" s="20">
        <v>0</v>
      </c>
      <c r="C54" s="20">
        <v>0</v>
      </c>
      <c r="D54" s="20">
        <v>150.00000000000401</v>
      </c>
      <c r="E54" s="20">
        <v>150.000000000005</v>
      </c>
      <c r="F54" s="20">
        <v>149.999099761438</v>
      </c>
      <c r="G54" s="20">
        <v>150.00000000000199</v>
      </c>
      <c r="H54" s="20">
        <v>150.00000000000099</v>
      </c>
      <c r="I54" s="46">
        <v>0</v>
      </c>
      <c r="J54" s="46">
        <v>150.00000000000199</v>
      </c>
    </row>
    <row r="55" spans="1:10" x14ac:dyDescent="0.3">
      <c r="A55" t="s">
        <v>172</v>
      </c>
      <c r="B55" s="20">
        <v>4.5509696204151702</v>
      </c>
      <c r="C55" s="20">
        <v>7.0509048193495198</v>
      </c>
      <c r="D55" s="20">
        <v>150.00000000000099</v>
      </c>
      <c r="E55" s="20">
        <v>149.99999999999801</v>
      </c>
      <c r="F55" s="20">
        <v>149.977517696261</v>
      </c>
      <c r="G55" s="20">
        <v>149.99999999999901</v>
      </c>
      <c r="H55" s="20">
        <v>150</v>
      </c>
      <c r="I55" s="46">
        <v>7.6216828559801701</v>
      </c>
      <c r="J55" s="46">
        <v>105.870230874006</v>
      </c>
    </row>
    <row r="56" spans="1:10" x14ac:dyDescent="0.3">
      <c r="A56" t="s">
        <v>235</v>
      </c>
      <c r="B56" s="20">
        <v>8.6561938543647905</v>
      </c>
      <c r="C56" s="20">
        <v>8.6561938543647905</v>
      </c>
      <c r="D56" s="20">
        <v>150.00000000000401</v>
      </c>
      <c r="E56" s="20">
        <v>150.00000000000099</v>
      </c>
      <c r="F56" s="20">
        <v>149.999099761438</v>
      </c>
      <c r="G56" s="20">
        <v>150.00000000000199</v>
      </c>
      <c r="H56" s="20">
        <v>150.00000000000099</v>
      </c>
      <c r="I56" s="46">
        <v>9.0570240920713907</v>
      </c>
      <c r="J56" s="46">
        <v>150.00000000000199</v>
      </c>
    </row>
    <row r="57" spans="1:10" x14ac:dyDescent="0.3">
      <c r="A57" s="1" t="s">
        <v>236</v>
      </c>
      <c r="B57" s="20"/>
      <c r="C57" s="20"/>
      <c r="D57" s="20"/>
      <c r="E57" s="20"/>
      <c r="F57" s="20"/>
      <c r="G57" s="20"/>
      <c r="H57" s="20"/>
      <c r="I57" s="46"/>
      <c r="J57" s="46"/>
    </row>
    <row r="58" spans="1:10" x14ac:dyDescent="0.3">
      <c r="A58" s="21" t="s">
        <v>237</v>
      </c>
      <c r="B58" s="20">
        <v>0</v>
      </c>
      <c r="C58" s="20">
        <v>0</v>
      </c>
      <c r="D58" s="20">
        <v>0.999999999999998</v>
      </c>
      <c r="E58" s="20">
        <v>0.99999999999993705</v>
      </c>
      <c r="F58" s="20">
        <v>0.999999999999999</v>
      </c>
      <c r="G58" s="20">
        <v>0.999999999999998</v>
      </c>
      <c r="H58" s="20">
        <v>0.999999999999998</v>
      </c>
      <c r="I58" s="46">
        <v>0</v>
      </c>
      <c r="J58" s="46">
        <v>0</v>
      </c>
    </row>
    <row r="59" spans="1:10" x14ac:dyDescent="0.3">
      <c r="A59" s="21" t="s">
        <v>238</v>
      </c>
      <c r="B59" s="20">
        <v>0</v>
      </c>
      <c r="C59" s="20">
        <v>0</v>
      </c>
      <c r="D59" s="20">
        <v>1</v>
      </c>
      <c r="E59" s="20">
        <v>0.99999999999992295</v>
      </c>
      <c r="F59" s="20">
        <v>1</v>
      </c>
      <c r="G59" s="20">
        <v>1</v>
      </c>
      <c r="H59" s="20">
        <v>1</v>
      </c>
      <c r="I59" s="46">
        <v>0</v>
      </c>
      <c r="J59" s="46">
        <v>0.48339714784036097</v>
      </c>
    </row>
    <row r="60" spans="1:10" x14ac:dyDescent="0.3">
      <c r="A60" s="21" t="s">
        <v>239</v>
      </c>
      <c r="B60" s="20">
        <v>0</v>
      </c>
      <c r="C60" s="20">
        <v>0</v>
      </c>
      <c r="D60" s="20">
        <v>0.999999999999999</v>
      </c>
      <c r="E60" s="20">
        <v>0.99999999999993805</v>
      </c>
      <c r="F60" s="20">
        <v>0.999999999999999</v>
      </c>
      <c r="G60" s="20">
        <v>0.999999999999998</v>
      </c>
      <c r="H60" s="20">
        <v>0.999999999999998</v>
      </c>
      <c r="I60" s="46">
        <v>0</v>
      </c>
      <c r="J60" s="46">
        <v>0</v>
      </c>
    </row>
    <row r="61" spans="1:10" x14ac:dyDescent="0.3">
      <c r="A61" s="21" t="s">
        <v>240</v>
      </c>
      <c r="B61" s="20">
        <v>0</v>
      </c>
      <c r="C61" s="20">
        <v>0</v>
      </c>
      <c r="D61" s="20">
        <v>1</v>
      </c>
      <c r="E61" s="20">
        <v>0.99999999999992295</v>
      </c>
      <c r="F61" s="20">
        <v>0.47741009779636601</v>
      </c>
      <c r="G61" s="20">
        <v>1</v>
      </c>
      <c r="H61" s="20">
        <v>1</v>
      </c>
      <c r="I61" s="46">
        <v>0</v>
      </c>
      <c r="J61" s="46">
        <v>1.17230054302423E-2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B42B6-E0FF-4B14-B48E-99937F6FEE38}">
  <dimension ref="A1:O8785"/>
  <sheetViews>
    <sheetView workbookViewId="0">
      <selection activeCell="C28" sqref="C28"/>
    </sheetView>
  </sheetViews>
  <sheetFormatPr defaultRowHeight="14.4" x14ac:dyDescent="0.3"/>
  <cols>
    <col min="15" max="15" width="9.5546875" bestFit="1" customWidth="1"/>
  </cols>
  <sheetData>
    <row r="1" spans="1:15" x14ac:dyDescent="0.3">
      <c r="A1" t="s">
        <v>143</v>
      </c>
      <c r="B1" t="s">
        <v>194</v>
      </c>
      <c r="C1" t="s">
        <v>193</v>
      </c>
      <c r="D1" t="s">
        <v>141</v>
      </c>
      <c r="E1" t="s">
        <v>195</v>
      </c>
      <c r="F1" t="s">
        <v>210</v>
      </c>
      <c r="G1" t="s">
        <v>142</v>
      </c>
      <c r="M1" s="35" t="s">
        <v>141</v>
      </c>
      <c r="N1" t="s">
        <v>194</v>
      </c>
      <c r="O1" s="34" t="s">
        <v>198</v>
      </c>
    </row>
    <row r="2" spans="1:15" x14ac:dyDescent="0.3">
      <c r="A2">
        <v>2024.5</v>
      </c>
      <c r="B2" s="22">
        <f>J$2/1000/20</f>
        <v>205.533389040972</v>
      </c>
      <c r="C2" s="20">
        <f>K2/MIN(COUNT(K2:K$27), 20)*1000</f>
        <v>325.33052054000001</v>
      </c>
      <c r="D2" s="20">
        <v>157.949909448988</v>
      </c>
      <c r="E2" s="20">
        <v>12.92135</v>
      </c>
      <c r="F2" s="20">
        <v>6</v>
      </c>
      <c r="G2" s="20">
        <v>74</v>
      </c>
      <c r="J2" s="25">
        <v>4110667.7808194398</v>
      </c>
      <c r="K2" s="20">
        <v>6.5066104107999996</v>
      </c>
      <c r="M2" s="35">
        <v>-51.74</v>
      </c>
      <c r="N2">
        <v>305</v>
      </c>
      <c r="O2" s="34">
        <f>1/COUNT(M2:M8784)</f>
        <v>1.1385631333257428E-4</v>
      </c>
    </row>
    <row r="3" spans="1:15" x14ac:dyDescent="0.3">
      <c r="A3">
        <v>2025.5</v>
      </c>
      <c r="B3" s="22">
        <f t="shared" ref="B3:B28" si="0">J$2/1000/20</f>
        <v>205.533389040972</v>
      </c>
      <c r="C3" s="20">
        <f>K3/MIN(COUNT(K3:K$27), 20)*1000</f>
        <v>312.15514120399951</v>
      </c>
      <c r="D3" s="20">
        <v>157.949909448988</v>
      </c>
      <c r="E3" s="20">
        <v>12.92135</v>
      </c>
      <c r="F3" s="20">
        <v>6</v>
      </c>
      <c r="G3" s="20">
        <v>74</v>
      </c>
      <c r="J3" s="25">
        <v>4110667.7808194398</v>
      </c>
      <c r="K3" s="20">
        <v>6.2431028240799904</v>
      </c>
      <c r="M3" s="35">
        <v>-30.91</v>
      </c>
      <c r="N3">
        <v>305</v>
      </c>
      <c r="O3" s="34">
        <f>O2+O$2</f>
        <v>2.2771262666514857E-4</v>
      </c>
    </row>
    <row r="4" spans="1:15" x14ac:dyDescent="0.3">
      <c r="A4">
        <v>2026.5</v>
      </c>
      <c r="B4" s="22">
        <f t="shared" si="0"/>
        <v>205.533389040972</v>
      </c>
      <c r="C4" s="20">
        <f>K4/MIN(COUNT(K4:K$27), 20)*1000</f>
        <v>305.060706176</v>
      </c>
      <c r="D4" s="20">
        <v>157.949909448988</v>
      </c>
      <c r="E4" s="20">
        <v>12.92135</v>
      </c>
      <c r="F4" s="20">
        <v>6</v>
      </c>
      <c r="G4" s="20">
        <v>74</v>
      </c>
      <c r="J4" s="25">
        <v>4110667.7808194398</v>
      </c>
      <c r="K4" s="20">
        <v>6.1012141235200001</v>
      </c>
      <c r="M4" s="35">
        <v>-25.03</v>
      </c>
      <c r="N4">
        <v>305</v>
      </c>
      <c r="O4" s="34">
        <f t="shared" ref="O4:O67" si="1">O3+O$2</f>
        <v>3.4156893999772288E-4</v>
      </c>
    </row>
    <row r="5" spans="1:15" x14ac:dyDescent="0.3">
      <c r="A5">
        <v>2027.5</v>
      </c>
      <c r="B5" s="22">
        <f t="shared" si="0"/>
        <v>205.533389040972</v>
      </c>
      <c r="C5" s="20">
        <f>K5/MIN(COUNT(K5:K$27), 20)*1000</f>
        <v>296.952780432</v>
      </c>
      <c r="D5" s="20">
        <v>157.949909448988</v>
      </c>
      <c r="E5" s="20">
        <v>12.92135</v>
      </c>
      <c r="F5" s="20">
        <v>6</v>
      </c>
      <c r="G5" s="20">
        <v>74</v>
      </c>
      <c r="J5" s="25">
        <v>4110667.7808194398</v>
      </c>
      <c r="K5" s="20">
        <v>5.9390556086400004</v>
      </c>
      <c r="M5" s="35">
        <v>-24.2</v>
      </c>
      <c r="N5">
        <v>305</v>
      </c>
      <c r="O5" s="34">
        <f t="shared" si="1"/>
        <v>4.5542525333029714E-4</v>
      </c>
    </row>
    <row r="6" spans="1:15" x14ac:dyDescent="0.3">
      <c r="A6">
        <v>2028.5</v>
      </c>
      <c r="B6" s="22">
        <f t="shared" si="0"/>
        <v>205.533389040972</v>
      </c>
      <c r="C6" s="20">
        <f>K6/MIN(COUNT(K6:K$27), 20)*1000</f>
        <v>289.85834540400003</v>
      </c>
      <c r="D6" s="20">
        <v>157.949909448988</v>
      </c>
      <c r="E6" s="20">
        <v>12.92135</v>
      </c>
      <c r="F6" s="20">
        <v>6</v>
      </c>
      <c r="G6" s="20">
        <v>74</v>
      </c>
      <c r="J6" s="25">
        <v>4110667.7808194398</v>
      </c>
      <c r="K6" s="20">
        <v>5.7971669080800003</v>
      </c>
      <c r="M6" s="35">
        <v>-23.18</v>
      </c>
      <c r="N6">
        <v>305</v>
      </c>
      <c r="O6" s="34">
        <f t="shared" si="1"/>
        <v>5.692815666628714E-4</v>
      </c>
    </row>
    <row r="7" spans="1:15" x14ac:dyDescent="0.3">
      <c r="A7">
        <v>2029.5</v>
      </c>
      <c r="B7" s="22">
        <f t="shared" si="0"/>
        <v>205.533389040972</v>
      </c>
      <c r="C7" s="20">
        <f>K7/MIN(COUNT(K7:K$27), 20)*1000</f>
        <v>282.76391037600001</v>
      </c>
      <c r="D7" s="20">
        <v>157.949909448988</v>
      </c>
      <c r="E7" s="20">
        <v>12.92135</v>
      </c>
      <c r="F7" s="20">
        <v>6</v>
      </c>
      <c r="G7" s="20">
        <v>74</v>
      </c>
      <c r="J7" s="25">
        <v>4110667.7808194398</v>
      </c>
      <c r="K7" s="20">
        <v>5.6552782075200003</v>
      </c>
      <c r="M7" s="35">
        <v>-18.72</v>
      </c>
      <c r="N7">
        <v>305</v>
      </c>
      <c r="O7" s="34">
        <f t="shared" si="1"/>
        <v>6.8313787999544566E-4</v>
      </c>
    </row>
    <row r="8" spans="1:15" x14ac:dyDescent="0.3">
      <c r="A8">
        <v>2030.5</v>
      </c>
      <c r="B8" s="22">
        <f t="shared" si="0"/>
        <v>205.533389040972</v>
      </c>
      <c r="C8" s="20">
        <f>K8/MIN(COUNT(K8:K$27), 20)*1000</f>
        <v>275.66947534799999</v>
      </c>
      <c r="D8" s="20">
        <v>157.949909448988</v>
      </c>
      <c r="E8" s="20">
        <v>12.92135</v>
      </c>
      <c r="F8" s="20">
        <v>6</v>
      </c>
      <c r="G8" s="20">
        <v>74</v>
      </c>
      <c r="J8" s="25">
        <v>4110667.7808194398</v>
      </c>
      <c r="K8" s="20">
        <v>5.5133895069600003</v>
      </c>
      <c r="M8" s="35">
        <v>-16.52</v>
      </c>
      <c r="N8">
        <v>305</v>
      </c>
      <c r="O8" s="34">
        <f t="shared" si="1"/>
        <v>7.9699419332801991E-4</v>
      </c>
    </row>
    <row r="9" spans="1:15" x14ac:dyDescent="0.3">
      <c r="A9">
        <v>2031.5</v>
      </c>
      <c r="B9" s="22">
        <f t="shared" si="0"/>
        <v>205.533389040972</v>
      </c>
      <c r="C9" s="20">
        <f>K9/MIN(COUNT(K9:K$27), 20)*1000</f>
        <v>268.57504031999946</v>
      </c>
      <c r="D9" s="20">
        <v>157.949909448988</v>
      </c>
      <c r="E9" s="20">
        <v>12.92135</v>
      </c>
      <c r="F9" s="20">
        <v>6</v>
      </c>
      <c r="G9" s="20">
        <v>74</v>
      </c>
      <c r="J9" s="25">
        <v>3905134.3917784598</v>
      </c>
      <c r="K9" s="20">
        <v>5.1029257660799896</v>
      </c>
      <c r="M9" s="35">
        <v>-15.84</v>
      </c>
      <c r="N9">
        <v>305</v>
      </c>
      <c r="O9" s="34">
        <f t="shared" si="1"/>
        <v>9.1085050666059417E-4</v>
      </c>
    </row>
    <row r="10" spans="1:15" x14ac:dyDescent="0.3">
      <c r="A10">
        <v>2032.5</v>
      </c>
      <c r="B10" s="22">
        <f t="shared" si="0"/>
        <v>205.533389040972</v>
      </c>
      <c r="C10" s="20">
        <f>K10/MIN(COUNT(K10:K$27), 20)*1000</f>
        <v>260.46711457599997</v>
      </c>
      <c r="D10" s="20">
        <v>157.949909448988</v>
      </c>
      <c r="E10" s="20">
        <v>12.92135</v>
      </c>
      <c r="F10" s="20">
        <v>6</v>
      </c>
      <c r="G10" s="20">
        <v>74</v>
      </c>
      <c r="J10" s="25">
        <v>3699601.00273749</v>
      </c>
      <c r="K10" s="20">
        <v>4.6884080623679996</v>
      </c>
      <c r="M10" s="35">
        <v>-14.38</v>
      </c>
      <c r="N10">
        <v>305</v>
      </c>
      <c r="O10" s="34">
        <f t="shared" si="1"/>
        <v>1.0247068199931684E-3</v>
      </c>
    </row>
    <row r="11" spans="1:15" x14ac:dyDescent="0.3">
      <c r="A11">
        <v>2033.5</v>
      </c>
      <c r="B11" s="22">
        <f t="shared" si="0"/>
        <v>205.533389040972</v>
      </c>
      <c r="C11" s="20">
        <f>K11/MIN(COUNT(K11:K$27), 20)*1000</f>
        <v>253.37267954800004</v>
      </c>
      <c r="D11" s="20">
        <v>157.949909448988</v>
      </c>
      <c r="E11" s="20">
        <v>12.92135</v>
      </c>
      <c r="F11" s="20">
        <v>6</v>
      </c>
      <c r="G11" s="20">
        <v>74</v>
      </c>
      <c r="J11" s="25">
        <v>3494067.6136965202</v>
      </c>
      <c r="K11" s="20">
        <v>4.3073355523160002</v>
      </c>
      <c r="M11" s="35">
        <v>-13.88</v>
      </c>
      <c r="N11">
        <v>305</v>
      </c>
      <c r="O11" s="34">
        <f t="shared" si="1"/>
        <v>1.1385631333257428E-3</v>
      </c>
    </row>
    <row r="12" spans="1:15" x14ac:dyDescent="0.3">
      <c r="A12">
        <v>2034.5</v>
      </c>
      <c r="B12" s="22">
        <f t="shared" si="0"/>
        <v>205.533389040972</v>
      </c>
      <c r="C12" s="20">
        <f>K12/MIN(COUNT(K12:K$27), 20)*1000</f>
        <v>246.27824451999999</v>
      </c>
      <c r="D12" s="20">
        <v>157.949909448988</v>
      </c>
      <c r="E12" s="20">
        <v>12.92135</v>
      </c>
      <c r="F12" s="20">
        <v>6</v>
      </c>
      <c r="G12" s="20">
        <v>74</v>
      </c>
      <c r="J12" s="25">
        <v>3288534.22465555</v>
      </c>
      <c r="K12" s="20">
        <v>3.9404519123199999</v>
      </c>
      <c r="M12" s="35">
        <v>-13.69</v>
      </c>
      <c r="N12">
        <v>305</v>
      </c>
      <c r="O12" s="34">
        <f t="shared" si="1"/>
        <v>1.2524194466583172E-3</v>
      </c>
    </row>
    <row r="13" spans="1:15" x14ac:dyDescent="0.3">
      <c r="A13">
        <v>2035.5</v>
      </c>
      <c r="B13" s="22">
        <f t="shared" si="0"/>
        <v>205.533389040972</v>
      </c>
      <c r="C13" s="20">
        <f>K13/MIN(COUNT(K13:K$27), 20)*1000</f>
        <v>242.22428164799999</v>
      </c>
      <c r="D13" s="20">
        <v>157.949909448988</v>
      </c>
      <c r="E13" s="20">
        <v>12.92135</v>
      </c>
      <c r="F13" s="20">
        <v>6</v>
      </c>
      <c r="G13" s="20">
        <v>74</v>
      </c>
      <c r="J13" s="25">
        <v>3083000.8356145802</v>
      </c>
      <c r="K13" s="20">
        <v>3.6333642247200002</v>
      </c>
      <c r="M13" s="35">
        <v>-13.53</v>
      </c>
      <c r="N13">
        <v>305</v>
      </c>
      <c r="O13" s="34">
        <f t="shared" si="1"/>
        <v>1.3662757599908915E-3</v>
      </c>
    </row>
    <row r="14" spans="1:15" x14ac:dyDescent="0.3">
      <c r="A14">
        <v>2036.5</v>
      </c>
      <c r="B14" s="22">
        <f t="shared" si="0"/>
        <v>205.533389040972</v>
      </c>
      <c r="C14" s="20">
        <f>K14/MIN(COUNT(K14:K$27), 20)*1000</f>
        <v>237.15682805599928</v>
      </c>
      <c r="D14" s="20">
        <v>157.949909448988</v>
      </c>
      <c r="E14" s="20">
        <v>12.92135</v>
      </c>
      <c r="F14" s="20">
        <v>6</v>
      </c>
      <c r="G14" s="20">
        <v>38</v>
      </c>
      <c r="J14" s="25">
        <v>2877467.4465736002</v>
      </c>
      <c r="K14" s="20">
        <v>3.3201955927839899</v>
      </c>
      <c r="M14" s="35">
        <v>-11.27</v>
      </c>
      <c r="N14">
        <v>305</v>
      </c>
      <c r="O14" s="34">
        <f t="shared" si="1"/>
        <v>1.4801320733234659E-3</v>
      </c>
    </row>
    <row r="15" spans="1:15" x14ac:dyDescent="0.3">
      <c r="A15">
        <v>2037.5</v>
      </c>
      <c r="B15" s="22">
        <f t="shared" si="0"/>
        <v>205.533389040972</v>
      </c>
      <c r="C15" s="20">
        <f>K15/MIN(COUNT(K15:K$27), 20)*1000</f>
        <v>233.102865184</v>
      </c>
      <c r="D15" s="20">
        <v>157.949909448988</v>
      </c>
      <c r="E15" s="20">
        <v>12.92135</v>
      </c>
      <c r="F15" s="20">
        <v>6</v>
      </c>
      <c r="G15" s="20">
        <v>38</v>
      </c>
      <c r="J15" s="25">
        <v>2671934.0575326299</v>
      </c>
      <c r="K15" s="20">
        <v>3.0303372473920001</v>
      </c>
      <c r="M15" s="35">
        <v>-11.03</v>
      </c>
      <c r="N15">
        <v>305</v>
      </c>
      <c r="O15" s="34">
        <f t="shared" si="1"/>
        <v>1.5939883866560403E-3</v>
      </c>
    </row>
    <row r="16" spans="1:15" x14ac:dyDescent="0.3">
      <c r="A16">
        <v>2038.5</v>
      </c>
      <c r="B16" s="22">
        <f t="shared" si="0"/>
        <v>205.533389040972</v>
      </c>
      <c r="C16" s="20">
        <f>K16/MIN(COUNT(K16:K$27), 20)*1000</f>
        <v>229.048902312</v>
      </c>
      <c r="D16" s="20">
        <v>157.949909448988</v>
      </c>
      <c r="E16" s="20">
        <v>12.92135</v>
      </c>
      <c r="F16" s="20">
        <v>6</v>
      </c>
      <c r="G16" s="20">
        <v>38</v>
      </c>
      <c r="J16" s="25">
        <v>2466400.6684916602</v>
      </c>
      <c r="K16" s="20">
        <v>2.748586827744</v>
      </c>
      <c r="M16" s="35">
        <v>-9.8699999999999992</v>
      </c>
      <c r="N16">
        <v>305</v>
      </c>
      <c r="O16" s="34">
        <f t="shared" si="1"/>
        <v>1.7078446999886146E-3</v>
      </c>
    </row>
    <row r="17" spans="1:15" x14ac:dyDescent="0.3">
      <c r="A17">
        <v>2039.5</v>
      </c>
      <c r="B17" s="22">
        <f t="shared" si="0"/>
        <v>205.533389040972</v>
      </c>
      <c r="C17" s="20">
        <f>K17/MIN(COUNT(K17:K$27), 20)*1000</f>
        <v>223.98144872</v>
      </c>
      <c r="D17" s="20">
        <v>157.949909448988</v>
      </c>
      <c r="E17" s="20">
        <v>0</v>
      </c>
      <c r="F17" s="20">
        <v>0</v>
      </c>
      <c r="G17" s="20">
        <v>38</v>
      </c>
      <c r="J17" s="25">
        <v>2260867.2794506899</v>
      </c>
      <c r="K17" s="20">
        <v>2.4637959359199999</v>
      </c>
      <c r="M17" s="35">
        <v>-9.3000000000000007</v>
      </c>
      <c r="N17">
        <v>305</v>
      </c>
      <c r="O17" s="34">
        <f t="shared" si="1"/>
        <v>1.821701013321189E-3</v>
      </c>
    </row>
    <row r="18" spans="1:15" x14ac:dyDescent="0.3">
      <c r="A18">
        <v>2040.5</v>
      </c>
      <c r="B18" s="22">
        <f t="shared" si="0"/>
        <v>205.533389040972</v>
      </c>
      <c r="C18" s="20">
        <f>K18/MIN(COUNT(K18:K$27), 20)*1000</f>
        <v>219.92748584799998</v>
      </c>
      <c r="D18" s="20">
        <v>157.949909448988</v>
      </c>
      <c r="E18" s="20">
        <v>0</v>
      </c>
      <c r="F18" s="20">
        <v>0</v>
      </c>
      <c r="G18" s="20">
        <v>38</v>
      </c>
      <c r="J18" s="25">
        <v>2055333.8904097199</v>
      </c>
      <c r="K18" s="20">
        <v>2.1992748584799999</v>
      </c>
      <c r="M18" s="35">
        <v>-9.23</v>
      </c>
      <c r="N18">
        <v>305</v>
      </c>
      <c r="O18" s="34">
        <f t="shared" si="1"/>
        <v>1.9355573266537634E-3</v>
      </c>
    </row>
    <row r="19" spans="1:15" x14ac:dyDescent="0.3">
      <c r="A19">
        <v>2041.5</v>
      </c>
      <c r="B19" s="22">
        <f t="shared" si="0"/>
        <v>205.533389040972</v>
      </c>
      <c r="C19" s="20">
        <f>K19/MIN(COUNT(K19:K$27), 20)*1000</f>
        <v>215.87352297599998</v>
      </c>
      <c r="D19" s="20">
        <v>157.949909448988</v>
      </c>
      <c r="E19" s="20">
        <v>0</v>
      </c>
      <c r="F19" s="20">
        <v>0</v>
      </c>
      <c r="G19" s="20">
        <v>38</v>
      </c>
      <c r="J19" s="25">
        <v>1849800.5013687401</v>
      </c>
      <c r="K19" s="20">
        <v>1.9428617067839999</v>
      </c>
      <c r="M19" s="35">
        <v>-9.02</v>
      </c>
      <c r="N19">
        <v>305</v>
      </c>
      <c r="O19" s="34">
        <f t="shared" si="1"/>
        <v>2.0494136399863377E-3</v>
      </c>
    </row>
    <row r="20" spans="1:15" x14ac:dyDescent="0.3">
      <c r="A20">
        <v>2042.5</v>
      </c>
      <c r="B20" s="22">
        <f t="shared" si="0"/>
        <v>205.533389040972</v>
      </c>
      <c r="C20" s="20">
        <f>K20/MIN(COUNT(K20:K$27), 20)*1000</f>
        <v>211.819560104</v>
      </c>
      <c r="D20" s="20">
        <v>157.949909448988</v>
      </c>
      <c r="E20" s="20">
        <v>0</v>
      </c>
      <c r="F20" s="20">
        <v>0</v>
      </c>
      <c r="G20" s="20">
        <v>38</v>
      </c>
      <c r="J20" s="25">
        <v>1644267.1123277701</v>
      </c>
      <c r="K20" s="20">
        <v>1.6945564808319999</v>
      </c>
      <c r="M20" s="35">
        <v>-8.35</v>
      </c>
      <c r="N20">
        <v>305</v>
      </c>
      <c r="O20" s="34">
        <f t="shared" si="1"/>
        <v>2.1632699533189119E-3</v>
      </c>
    </row>
    <row r="21" spans="1:15" x14ac:dyDescent="0.3">
      <c r="A21">
        <v>2043.5</v>
      </c>
      <c r="B21" s="22">
        <f t="shared" si="0"/>
        <v>205.533389040972</v>
      </c>
      <c r="C21" s="20">
        <f>K21/MIN(COUNT(K21:K$27), 20)*1000</f>
        <v>206.75210651199998</v>
      </c>
      <c r="D21" s="20">
        <v>157.949909448988</v>
      </c>
      <c r="E21" s="20">
        <v>0</v>
      </c>
      <c r="F21" s="20">
        <v>0</v>
      </c>
      <c r="G21" s="20">
        <v>38</v>
      </c>
      <c r="J21" s="25">
        <v>1438733.7232868001</v>
      </c>
      <c r="K21" s="20">
        <v>1.447264745584</v>
      </c>
      <c r="M21" s="35">
        <v>-8.2100000000000009</v>
      </c>
      <c r="N21">
        <v>305</v>
      </c>
      <c r="O21" s="34">
        <f t="shared" si="1"/>
        <v>2.277126266651486E-3</v>
      </c>
    </row>
    <row r="22" spans="1:15" x14ac:dyDescent="0.3">
      <c r="A22">
        <v>2044.5</v>
      </c>
      <c r="B22" s="22">
        <f t="shared" si="0"/>
        <v>205.533389040972</v>
      </c>
      <c r="C22" s="20">
        <f>K22/MIN(COUNT(K22:K$27), 20)*1000</f>
        <v>202.69814364000001</v>
      </c>
      <c r="D22" s="20">
        <v>157.949909448988</v>
      </c>
      <c r="E22" s="20">
        <v>0</v>
      </c>
      <c r="F22" s="20">
        <v>0</v>
      </c>
      <c r="G22" s="20">
        <v>38</v>
      </c>
      <c r="J22" s="25">
        <v>1233200.3342458301</v>
      </c>
      <c r="K22" s="20">
        <v>1.2161888618400001</v>
      </c>
      <c r="M22" s="35">
        <v>-7.91</v>
      </c>
      <c r="N22">
        <v>305</v>
      </c>
      <c r="O22" s="34">
        <f t="shared" si="1"/>
        <v>2.3909825799840602E-3</v>
      </c>
    </row>
    <row r="23" spans="1:15" x14ac:dyDescent="0.3">
      <c r="A23">
        <v>2045.5</v>
      </c>
      <c r="B23" s="22">
        <f t="shared" si="0"/>
        <v>205.533389040972</v>
      </c>
      <c r="C23" s="20">
        <f>K23/MIN(COUNT(K23:K$27), 20)*1000</f>
        <v>198.64418076800001</v>
      </c>
      <c r="D23" s="20">
        <v>157.949909448988</v>
      </c>
      <c r="E23" s="20">
        <v>0</v>
      </c>
      <c r="F23" s="20">
        <v>0</v>
      </c>
      <c r="G23" s="20">
        <v>38</v>
      </c>
      <c r="J23" s="25">
        <v>1027666.9452048599</v>
      </c>
      <c r="K23" s="20">
        <v>0.99322090383999995</v>
      </c>
      <c r="M23" s="35">
        <v>-5.87</v>
      </c>
      <c r="N23">
        <v>305</v>
      </c>
      <c r="O23" s="34">
        <f t="shared" si="1"/>
        <v>2.5048388933166343E-3</v>
      </c>
    </row>
    <row r="24" spans="1:15" x14ac:dyDescent="0.3">
      <c r="A24">
        <v>2046.5</v>
      </c>
      <c r="B24" s="22">
        <f t="shared" si="0"/>
        <v>205.533389040972</v>
      </c>
      <c r="C24" s="20">
        <f>K24/MIN(COUNT(K24:K$27), 20)*1000</f>
        <v>193.57672717599999</v>
      </c>
      <c r="D24" s="20">
        <v>157.949909448988</v>
      </c>
      <c r="E24" s="20">
        <v>0</v>
      </c>
      <c r="F24" s="20">
        <v>0</v>
      </c>
      <c r="G24" s="20">
        <v>0</v>
      </c>
      <c r="J24">
        <v>822133.55616388796</v>
      </c>
      <c r="K24" s="20">
        <v>0.77430690870399999</v>
      </c>
      <c r="M24" s="35">
        <v>-5.51</v>
      </c>
      <c r="N24">
        <v>305</v>
      </c>
      <c r="O24" s="34">
        <f t="shared" si="1"/>
        <v>2.6186952066492085E-3</v>
      </c>
    </row>
    <row r="25" spans="1:15" x14ac:dyDescent="0.3">
      <c r="A25">
        <v>2047.5</v>
      </c>
      <c r="B25" s="22">
        <f t="shared" si="0"/>
        <v>205.533389040972</v>
      </c>
      <c r="C25" s="20">
        <f>K25/MIN(COUNT(K25:K$27), 20)*1000</f>
        <v>189.52276430399996</v>
      </c>
      <c r="D25" s="20">
        <v>157.949909448988</v>
      </c>
      <c r="E25" s="20">
        <v>0</v>
      </c>
      <c r="F25" s="20">
        <v>0</v>
      </c>
      <c r="G25" s="20">
        <v>0</v>
      </c>
      <c r="J25">
        <v>616600.16712291597</v>
      </c>
      <c r="K25" s="20">
        <v>0.56856829291199995</v>
      </c>
      <c r="M25" s="35">
        <v>-3.22</v>
      </c>
      <c r="N25">
        <v>305</v>
      </c>
      <c r="O25" s="34">
        <f t="shared" si="1"/>
        <v>2.7325515199817826E-3</v>
      </c>
    </row>
    <row r="26" spans="1:15" x14ac:dyDescent="0.3">
      <c r="A26">
        <v>2048.5</v>
      </c>
      <c r="B26" s="22">
        <f t="shared" si="0"/>
        <v>205.533389040972</v>
      </c>
      <c r="C26" s="20">
        <f>K26/MIN(COUNT(K26:K$27), 20)*1000</f>
        <v>185.46880142799952</v>
      </c>
      <c r="D26" s="20">
        <v>157.949909448988</v>
      </c>
      <c r="E26" s="20">
        <v>0</v>
      </c>
      <c r="F26" s="20">
        <v>0</v>
      </c>
      <c r="G26" s="20">
        <v>0</v>
      </c>
      <c r="J26">
        <v>411066.77808194398</v>
      </c>
      <c r="K26" s="20">
        <v>0.37093760285599903</v>
      </c>
      <c r="M26" s="35">
        <v>-3.2</v>
      </c>
      <c r="N26">
        <v>305</v>
      </c>
      <c r="O26" s="34">
        <f t="shared" si="1"/>
        <v>2.8464078333143568E-3</v>
      </c>
    </row>
    <row r="27" spans="1:15" x14ac:dyDescent="0.3">
      <c r="A27">
        <v>2049.5</v>
      </c>
      <c r="B27" s="22">
        <f t="shared" si="0"/>
        <v>205.533389040972</v>
      </c>
      <c r="C27" s="20">
        <f>K27/MIN(COUNT(K27:K$27), 20)*1000</f>
        <v>180.40134784</v>
      </c>
      <c r="D27" s="20">
        <v>157.949909448988</v>
      </c>
      <c r="E27" s="20">
        <v>0</v>
      </c>
      <c r="F27" s="20">
        <v>0</v>
      </c>
      <c r="G27" s="20">
        <v>0</v>
      </c>
      <c r="J27">
        <v>205533.38904097199</v>
      </c>
      <c r="K27" s="20">
        <v>0.18040134784</v>
      </c>
      <c r="M27" s="35">
        <v>-3.18</v>
      </c>
      <c r="N27">
        <v>305</v>
      </c>
      <c r="O27" s="34">
        <f t="shared" si="1"/>
        <v>2.9602641466469309E-3</v>
      </c>
    </row>
    <row r="28" spans="1:15" x14ac:dyDescent="0.3">
      <c r="A28">
        <v>2050.5</v>
      </c>
      <c r="B28" s="22">
        <f t="shared" si="0"/>
        <v>205.533389040972</v>
      </c>
      <c r="C28" s="20">
        <f>C27</f>
        <v>180.40134784</v>
      </c>
      <c r="D28" s="20">
        <v>157.949909448988</v>
      </c>
      <c r="E28" s="20">
        <v>0</v>
      </c>
      <c r="F28" s="20">
        <v>0</v>
      </c>
      <c r="G28" s="20">
        <v>0</v>
      </c>
      <c r="J28">
        <v>205533.38904097199</v>
      </c>
      <c r="K28" s="20">
        <v>0.18040134784</v>
      </c>
      <c r="M28" s="35">
        <v>-1.99</v>
      </c>
      <c r="N28">
        <v>305</v>
      </c>
      <c r="O28" s="34">
        <f t="shared" si="1"/>
        <v>3.0741204599795051E-3</v>
      </c>
    </row>
    <row r="29" spans="1:15" x14ac:dyDescent="0.3">
      <c r="M29" s="35">
        <v>-1.82</v>
      </c>
      <c r="N29">
        <v>305</v>
      </c>
      <c r="O29" s="34">
        <f t="shared" si="1"/>
        <v>3.1879767733120792E-3</v>
      </c>
    </row>
    <row r="30" spans="1:15" x14ac:dyDescent="0.3">
      <c r="M30" s="35">
        <v>-1.1000000000000001</v>
      </c>
      <c r="N30">
        <v>305</v>
      </c>
      <c r="O30" s="34">
        <f t="shared" si="1"/>
        <v>3.3018330866446534E-3</v>
      </c>
    </row>
    <row r="31" spans="1:15" x14ac:dyDescent="0.3">
      <c r="M31" s="35">
        <v>1.18</v>
      </c>
      <c r="N31">
        <v>305</v>
      </c>
      <c r="O31" s="34">
        <f t="shared" si="1"/>
        <v>3.4156893999772275E-3</v>
      </c>
    </row>
    <row r="32" spans="1:15" x14ac:dyDescent="0.3">
      <c r="M32" s="35">
        <v>1.41</v>
      </c>
      <c r="N32">
        <v>305</v>
      </c>
      <c r="O32" s="34">
        <f t="shared" si="1"/>
        <v>3.5295457133098017E-3</v>
      </c>
    </row>
    <row r="33" spans="13:15" x14ac:dyDescent="0.3">
      <c r="M33" s="35">
        <v>1.78</v>
      </c>
      <c r="N33">
        <v>305</v>
      </c>
      <c r="O33" s="34">
        <f t="shared" si="1"/>
        <v>3.6434020266423758E-3</v>
      </c>
    </row>
    <row r="34" spans="13:15" x14ac:dyDescent="0.3">
      <c r="M34" s="35">
        <v>1.79</v>
      </c>
      <c r="N34">
        <v>305</v>
      </c>
      <c r="O34" s="34">
        <f t="shared" si="1"/>
        <v>3.75725833997495E-3</v>
      </c>
    </row>
    <row r="35" spans="13:15" x14ac:dyDescent="0.3">
      <c r="M35" s="35">
        <v>1.94</v>
      </c>
      <c r="N35">
        <v>305</v>
      </c>
      <c r="O35" s="34">
        <f t="shared" si="1"/>
        <v>3.8711146533075241E-3</v>
      </c>
    </row>
    <row r="36" spans="13:15" x14ac:dyDescent="0.3">
      <c r="M36" s="35">
        <v>2.2000000000000002</v>
      </c>
      <c r="N36">
        <v>305</v>
      </c>
      <c r="O36" s="34">
        <f t="shared" si="1"/>
        <v>3.9849709666400987E-3</v>
      </c>
    </row>
    <row r="37" spans="13:15" x14ac:dyDescent="0.3">
      <c r="M37" s="35">
        <v>2.5</v>
      </c>
      <c r="N37">
        <v>305</v>
      </c>
      <c r="O37" s="34">
        <f t="shared" si="1"/>
        <v>4.0988272799726728E-3</v>
      </c>
    </row>
    <row r="38" spans="13:15" x14ac:dyDescent="0.3">
      <c r="M38" s="35">
        <v>2.85</v>
      </c>
      <c r="N38">
        <v>305</v>
      </c>
      <c r="O38" s="34">
        <f t="shared" si="1"/>
        <v>4.212683593305247E-3</v>
      </c>
    </row>
    <row r="39" spans="13:15" x14ac:dyDescent="0.3">
      <c r="M39" s="35">
        <v>3.16</v>
      </c>
      <c r="N39">
        <v>305</v>
      </c>
      <c r="O39" s="34">
        <f t="shared" si="1"/>
        <v>4.3265399066378211E-3</v>
      </c>
    </row>
    <row r="40" spans="13:15" x14ac:dyDescent="0.3">
      <c r="M40" s="35">
        <v>3.21</v>
      </c>
      <c r="N40">
        <v>305</v>
      </c>
      <c r="O40" s="34">
        <f t="shared" si="1"/>
        <v>4.4403962199703953E-3</v>
      </c>
    </row>
    <row r="41" spans="13:15" x14ac:dyDescent="0.3">
      <c r="M41" s="35">
        <v>3.21</v>
      </c>
      <c r="N41">
        <v>305</v>
      </c>
      <c r="O41" s="34">
        <f t="shared" si="1"/>
        <v>4.5542525333029694E-3</v>
      </c>
    </row>
    <row r="42" spans="13:15" x14ac:dyDescent="0.3">
      <c r="M42" s="35">
        <v>3.37</v>
      </c>
      <c r="N42">
        <v>305</v>
      </c>
      <c r="O42" s="34">
        <f t="shared" si="1"/>
        <v>4.6681088466355436E-3</v>
      </c>
    </row>
    <row r="43" spans="13:15" x14ac:dyDescent="0.3">
      <c r="M43" s="35">
        <v>3.44</v>
      </c>
      <c r="N43">
        <v>305</v>
      </c>
      <c r="O43" s="34">
        <f t="shared" si="1"/>
        <v>4.7819651599681177E-3</v>
      </c>
    </row>
    <row r="44" spans="13:15" x14ac:dyDescent="0.3">
      <c r="M44" s="35">
        <v>3.68</v>
      </c>
      <c r="N44">
        <v>305</v>
      </c>
      <c r="O44" s="34">
        <f t="shared" si="1"/>
        <v>4.8958214733006919E-3</v>
      </c>
    </row>
    <row r="45" spans="13:15" x14ac:dyDescent="0.3">
      <c r="M45" s="35">
        <v>3.88</v>
      </c>
      <c r="N45">
        <v>305</v>
      </c>
      <c r="O45" s="34">
        <f t="shared" si="1"/>
        <v>5.009677786633266E-3</v>
      </c>
    </row>
    <row r="46" spans="13:15" x14ac:dyDescent="0.3">
      <c r="M46" s="35">
        <v>3.93</v>
      </c>
      <c r="N46">
        <v>305</v>
      </c>
      <c r="O46" s="34">
        <f t="shared" si="1"/>
        <v>5.1235340999658402E-3</v>
      </c>
    </row>
    <row r="47" spans="13:15" x14ac:dyDescent="0.3">
      <c r="M47" s="35">
        <v>4.29</v>
      </c>
      <c r="N47">
        <v>305</v>
      </c>
      <c r="O47" s="34">
        <f t="shared" si="1"/>
        <v>5.2373904132984143E-3</v>
      </c>
    </row>
    <row r="48" spans="13:15" x14ac:dyDescent="0.3">
      <c r="M48" s="35">
        <v>4.32</v>
      </c>
      <c r="N48">
        <v>305</v>
      </c>
      <c r="O48" s="34">
        <f t="shared" si="1"/>
        <v>5.3512467266309885E-3</v>
      </c>
    </row>
    <row r="49" spans="13:15" x14ac:dyDescent="0.3">
      <c r="M49" s="35">
        <v>4.6100000000000003</v>
      </c>
      <c r="N49">
        <v>305</v>
      </c>
      <c r="O49" s="34">
        <f t="shared" si="1"/>
        <v>5.4651030399635626E-3</v>
      </c>
    </row>
    <row r="50" spans="13:15" x14ac:dyDescent="0.3">
      <c r="M50" s="35">
        <v>4.62</v>
      </c>
      <c r="N50">
        <v>305</v>
      </c>
      <c r="O50" s="34">
        <f t="shared" si="1"/>
        <v>5.5789593532961368E-3</v>
      </c>
    </row>
    <row r="51" spans="13:15" x14ac:dyDescent="0.3">
      <c r="M51" s="35">
        <v>4.91</v>
      </c>
      <c r="N51">
        <v>305</v>
      </c>
      <c r="O51" s="34">
        <f t="shared" si="1"/>
        <v>5.6928156666287109E-3</v>
      </c>
    </row>
    <row r="52" spans="13:15" x14ac:dyDescent="0.3">
      <c r="M52" s="35">
        <v>4.93</v>
      </c>
      <c r="N52">
        <v>305</v>
      </c>
      <c r="O52" s="34">
        <f t="shared" si="1"/>
        <v>5.8066719799612851E-3</v>
      </c>
    </row>
    <row r="53" spans="13:15" x14ac:dyDescent="0.3">
      <c r="M53" s="35">
        <v>4.96</v>
      </c>
      <c r="N53">
        <v>305</v>
      </c>
      <c r="O53" s="34">
        <f t="shared" si="1"/>
        <v>5.9205282932938592E-3</v>
      </c>
    </row>
    <row r="54" spans="13:15" x14ac:dyDescent="0.3">
      <c r="M54" s="35">
        <v>5.01</v>
      </c>
      <c r="N54">
        <v>305</v>
      </c>
      <c r="O54" s="34">
        <f t="shared" si="1"/>
        <v>6.0343846066264334E-3</v>
      </c>
    </row>
    <row r="55" spans="13:15" x14ac:dyDescent="0.3">
      <c r="M55" s="35">
        <v>5.14</v>
      </c>
      <c r="N55">
        <v>305</v>
      </c>
      <c r="O55" s="34">
        <f t="shared" si="1"/>
        <v>6.1482409199590075E-3</v>
      </c>
    </row>
    <row r="56" spans="13:15" x14ac:dyDescent="0.3">
      <c r="M56" s="35">
        <v>5.28</v>
      </c>
      <c r="N56">
        <v>305</v>
      </c>
      <c r="O56" s="34">
        <f t="shared" si="1"/>
        <v>6.2620972332915817E-3</v>
      </c>
    </row>
    <row r="57" spans="13:15" x14ac:dyDescent="0.3">
      <c r="M57" s="35">
        <v>5.3</v>
      </c>
      <c r="N57">
        <v>305</v>
      </c>
      <c r="O57" s="34">
        <f t="shared" si="1"/>
        <v>6.3759535466241558E-3</v>
      </c>
    </row>
    <row r="58" spans="13:15" x14ac:dyDescent="0.3">
      <c r="M58" s="35">
        <v>5.5</v>
      </c>
      <c r="N58">
        <v>305</v>
      </c>
      <c r="O58" s="34">
        <f t="shared" si="1"/>
        <v>6.48980985995673E-3</v>
      </c>
    </row>
    <row r="59" spans="13:15" x14ac:dyDescent="0.3">
      <c r="M59" s="35">
        <v>5.63</v>
      </c>
      <c r="N59">
        <v>305</v>
      </c>
      <c r="O59" s="34">
        <f t="shared" si="1"/>
        <v>6.6036661732893041E-3</v>
      </c>
    </row>
    <row r="60" spans="13:15" x14ac:dyDescent="0.3">
      <c r="M60" s="35">
        <v>5.8</v>
      </c>
      <c r="N60">
        <v>305</v>
      </c>
      <c r="O60" s="34">
        <f t="shared" si="1"/>
        <v>6.7175224866218783E-3</v>
      </c>
    </row>
    <row r="61" spans="13:15" x14ac:dyDescent="0.3">
      <c r="M61" s="35">
        <v>6</v>
      </c>
      <c r="N61">
        <v>305</v>
      </c>
      <c r="O61" s="34">
        <f t="shared" si="1"/>
        <v>6.8313787999544524E-3</v>
      </c>
    </row>
    <row r="62" spans="13:15" x14ac:dyDescent="0.3">
      <c r="M62" s="35">
        <v>6.33</v>
      </c>
      <c r="N62">
        <v>305</v>
      </c>
      <c r="O62" s="34">
        <f t="shared" si="1"/>
        <v>6.9452351132870266E-3</v>
      </c>
    </row>
    <row r="63" spans="13:15" x14ac:dyDescent="0.3">
      <c r="M63" s="35">
        <v>6.4</v>
      </c>
      <c r="N63">
        <v>305</v>
      </c>
      <c r="O63" s="34">
        <f t="shared" si="1"/>
        <v>7.0590914266196007E-3</v>
      </c>
    </row>
    <row r="64" spans="13:15" x14ac:dyDescent="0.3">
      <c r="M64" s="35">
        <v>6.59</v>
      </c>
      <c r="N64">
        <v>305</v>
      </c>
      <c r="O64" s="34">
        <f t="shared" si="1"/>
        <v>7.1729477399521749E-3</v>
      </c>
    </row>
    <row r="65" spans="13:15" x14ac:dyDescent="0.3">
      <c r="M65" s="35">
        <v>6.68</v>
      </c>
      <c r="N65">
        <v>305</v>
      </c>
      <c r="O65" s="34">
        <f t="shared" si="1"/>
        <v>7.286804053284749E-3</v>
      </c>
    </row>
    <row r="66" spans="13:15" x14ac:dyDescent="0.3">
      <c r="M66" s="35">
        <v>7.25</v>
      </c>
      <c r="N66">
        <v>305</v>
      </c>
      <c r="O66" s="34">
        <f t="shared" si="1"/>
        <v>7.4006603666173232E-3</v>
      </c>
    </row>
    <row r="67" spans="13:15" x14ac:dyDescent="0.3">
      <c r="M67" s="35">
        <v>7.46</v>
      </c>
      <c r="N67">
        <v>305</v>
      </c>
      <c r="O67" s="34">
        <f t="shared" si="1"/>
        <v>7.5145166799498973E-3</v>
      </c>
    </row>
    <row r="68" spans="13:15" x14ac:dyDescent="0.3">
      <c r="M68" s="35">
        <v>7.92</v>
      </c>
      <c r="N68">
        <v>305</v>
      </c>
      <c r="O68" s="34">
        <f t="shared" ref="O68:O131" si="2">O67+O$2</f>
        <v>7.6283729932824715E-3</v>
      </c>
    </row>
    <row r="69" spans="13:15" x14ac:dyDescent="0.3">
      <c r="M69" s="35">
        <v>8.09</v>
      </c>
      <c r="N69">
        <v>305</v>
      </c>
      <c r="O69" s="34">
        <f t="shared" si="2"/>
        <v>7.7422293066150456E-3</v>
      </c>
    </row>
    <row r="70" spans="13:15" x14ac:dyDescent="0.3">
      <c r="M70" s="35">
        <v>8.11</v>
      </c>
      <c r="N70">
        <v>305</v>
      </c>
      <c r="O70" s="34">
        <f t="shared" si="2"/>
        <v>7.8560856199476198E-3</v>
      </c>
    </row>
    <row r="71" spans="13:15" x14ac:dyDescent="0.3">
      <c r="M71" s="35">
        <v>8.32</v>
      </c>
      <c r="N71">
        <v>305</v>
      </c>
      <c r="O71" s="34">
        <f t="shared" si="2"/>
        <v>7.9699419332801939E-3</v>
      </c>
    </row>
    <row r="72" spans="13:15" x14ac:dyDescent="0.3">
      <c r="M72" s="35">
        <v>8.35</v>
      </c>
      <c r="N72">
        <v>305</v>
      </c>
      <c r="O72" s="34">
        <f t="shared" si="2"/>
        <v>8.0837982466127681E-3</v>
      </c>
    </row>
    <row r="73" spans="13:15" x14ac:dyDescent="0.3">
      <c r="M73" s="35">
        <v>8.3800000000000008</v>
      </c>
      <c r="N73">
        <v>305</v>
      </c>
      <c r="O73" s="34">
        <f t="shared" si="2"/>
        <v>8.1976545599453422E-3</v>
      </c>
    </row>
    <row r="74" spans="13:15" x14ac:dyDescent="0.3">
      <c r="M74" s="35">
        <v>8.51</v>
      </c>
      <c r="N74">
        <v>305</v>
      </c>
      <c r="O74" s="34">
        <f t="shared" si="2"/>
        <v>8.3115108732779164E-3</v>
      </c>
    </row>
    <row r="75" spans="13:15" x14ac:dyDescent="0.3">
      <c r="M75" s="35">
        <v>8.5399999999999991</v>
      </c>
      <c r="N75">
        <v>305</v>
      </c>
      <c r="O75" s="34">
        <f t="shared" si="2"/>
        <v>8.4253671866104905E-3</v>
      </c>
    </row>
    <row r="76" spans="13:15" x14ac:dyDescent="0.3">
      <c r="M76" s="35">
        <v>8.61</v>
      </c>
      <c r="N76">
        <v>305</v>
      </c>
      <c r="O76" s="34">
        <f t="shared" si="2"/>
        <v>8.5392234999430647E-3</v>
      </c>
    </row>
    <row r="77" spans="13:15" x14ac:dyDescent="0.3">
      <c r="M77" s="35">
        <v>8.69</v>
      </c>
      <c r="N77">
        <v>305</v>
      </c>
      <c r="O77" s="34">
        <f t="shared" si="2"/>
        <v>8.6530798132756388E-3</v>
      </c>
    </row>
    <row r="78" spans="13:15" x14ac:dyDescent="0.3">
      <c r="M78" s="35">
        <v>8.92</v>
      </c>
      <c r="N78">
        <v>305</v>
      </c>
      <c r="O78" s="34">
        <f t="shared" si="2"/>
        <v>8.766936126608213E-3</v>
      </c>
    </row>
    <row r="79" spans="13:15" x14ac:dyDescent="0.3">
      <c r="M79" s="35">
        <v>8.9499999999999993</v>
      </c>
      <c r="N79">
        <v>305</v>
      </c>
      <c r="O79" s="34">
        <f t="shared" si="2"/>
        <v>8.8807924399407871E-3</v>
      </c>
    </row>
    <row r="80" spans="13:15" x14ac:dyDescent="0.3">
      <c r="M80" s="35">
        <v>9.1300000000000008</v>
      </c>
      <c r="N80">
        <v>305</v>
      </c>
      <c r="O80" s="34">
        <f t="shared" si="2"/>
        <v>8.9946487532733613E-3</v>
      </c>
    </row>
    <row r="81" spans="13:15" x14ac:dyDescent="0.3">
      <c r="M81" s="35">
        <v>9.23</v>
      </c>
      <c r="N81">
        <v>305</v>
      </c>
      <c r="O81" s="34">
        <f t="shared" si="2"/>
        <v>9.1085050666059354E-3</v>
      </c>
    </row>
    <row r="82" spans="13:15" x14ac:dyDescent="0.3">
      <c r="M82" s="35">
        <v>9.26</v>
      </c>
      <c r="N82">
        <v>305</v>
      </c>
      <c r="O82" s="34">
        <f t="shared" si="2"/>
        <v>9.2223613799385096E-3</v>
      </c>
    </row>
    <row r="83" spans="13:15" x14ac:dyDescent="0.3">
      <c r="M83" s="35">
        <v>9.32</v>
      </c>
      <c r="N83">
        <v>305</v>
      </c>
      <c r="O83" s="34">
        <f t="shared" si="2"/>
        <v>9.3362176932710837E-3</v>
      </c>
    </row>
    <row r="84" spans="13:15" x14ac:dyDescent="0.3">
      <c r="M84" s="35">
        <v>9.4499999999999993</v>
      </c>
      <c r="N84">
        <v>305</v>
      </c>
      <c r="O84" s="34">
        <f t="shared" si="2"/>
        <v>9.4500740066036579E-3</v>
      </c>
    </row>
    <row r="85" spans="13:15" x14ac:dyDescent="0.3">
      <c r="M85" s="35">
        <v>9.52</v>
      </c>
      <c r="N85">
        <v>305</v>
      </c>
      <c r="O85" s="34">
        <f t="shared" si="2"/>
        <v>9.563930319936232E-3</v>
      </c>
    </row>
    <row r="86" spans="13:15" x14ac:dyDescent="0.3">
      <c r="M86" s="35">
        <v>9.6199999999999992</v>
      </c>
      <c r="N86">
        <v>305</v>
      </c>
      <c r="O86" s="34">
        <f t="shared" si="2"/>
        <v>9.6777866332688062E-3</v>
      </c>
    </row>
    <row r="87" spans="13:15" x14ac:dyDescent="0.3">
      <c r="M87" s="35">
        <v>9.85</v>
      </c>
      <c r="N87">
        <v>305</v>
      </c>
      <c r="O87" s="34">
        <f t="shared" si="2"/>
        <v>9.7916429466013803E-3</v>
      </c>
    </row>
    <row r="88" spans="13:15" x14ac:dyDescent="0.3">
      <c r="M88" s="35">
        <v>10.119999999999999</v>
      </c>
      <c r="N88">
        <v>305</v>
      </c>
      <c r="O88" s="34">
        <f t="shared" si="2"/>
        <v>9.9054992599339545E-3</v>
      </c>
    </row>
    <row r="89" spans="13:15" x14ac:dyDescent="0.3">
      <c r="M89" s="35">
        <v>10.199999999999999</v>
      </c>
      <c r="N89">
        <v>305</v>
      </c>
      <c r="O89" s="34">
        <f t="shared" si="2"/>
        <v>1.0019355573266529E-2</v>
      </c>
    </row>
    <row r="90" spans="13:15" x14ac:dyDescent="0.3">
      <c r="M90" s="35">
        <v>10.28</v>
      </c>
      <c r="N90">
        <v>305</v>
      </c>
      <c r="O90" s="34">
        <f t="shared" si="2"/>
        <v>1.0133211886599103E-2</v>
      </c>
    </row>
    <row r="91" spans="13:15" x14ac:dyDescent="0.3">
      <c r="M91" s="35">
        <v>10.36</v>
      </c>
      <c r="N91">
        <v>305</v>
      </c>
      <c r="O91" s="34">
        <f t="shared" si="2"/>
        <v>1.0247068199931677E-2</v>
      </c>
    </row>
    <row r="92" spans="13:15" x14ac:dyDescent="0.3">
      <c r="M92" s="35">
        <v>10.42</v>
      </c>
      <c r="N92">
        <v>305</v>
      </c>
      <c r="O92" s="34">
        <f t="shared" si="2"/>
        <v>1.0360924513264251E-2</v>
      </c>
    </row>
    <row r="93" spans="13:15" x14ac:dyDescent="0.3">
      <c r="M93" s="35">
        <v>10.51</v>
      </c>
      <c r="N93">
        <v>305</v>
      </c>
      <c r="O93" s="34">
        <f t="shared" si="2"/>
        <v>1.0474780826596825E-2</v>
      </c>
    </row>
    <row r="94" spans="13:15" x14ac:dyDescent="0.3">
      <c r="M94" s="35">
        <v>10.6</v>
      </c>
      <c r="N94">
        <v>305</v>
      </c>
      <c r="O94" s="34">
        <f t="shared" si="2"/>
        <v>1.0588637139929399E-2</v>
      </c>
    </row>
    <row r="95" spans="13:15" x14ac:dyDescent="0.3">
      <c r="M95" s="35">
        <v>10.77</v>
      </c>
      <c r="N95">
        <v>305</v>
      </c>
      <c r="O95" s="34">
        <f t="shared" si="2"/>
        <v>1.0702493453261974E-2</v>
      </c>
    </row>
    <row r="96" spans="13:15" x14ac:dyDescent="0.3">
      <c r="M96" s="35">
        <v>10.83</v>
      </c>
      <c r="N96">
        <v>305</v>
      </c>
      <c r="O96" s="34">
        <f t="shared" si="2"/>
        <v>1.0816349766594548E-2</v>
      </c>
    </row>
    <row r="97" spans="13:15" x14ac:dyDescent="0.3">
      <c r="M97" s="35">
        <v>11.17</v>
      </c>
      <c r="N97">
        <v>305</v>
      </c>
      <c r="O97" s="34">
        <f t="shared" si="2"/>
        <v>1.0930206079927122E-2</v>
      </c>
    </row>
    <row r="98" spans="13:15" x14ac:dyDescent="0.3">
      <c r="M98" s="35">
        <v>11.3</v>
      </c>
      <c r="N98">
        <v>305</v>
      </c>
      <c r="O98" s="34">
        <f t="shared" si="2"/>
        <v>1.1044062393259696E-2</v>
      </c>
    </row>
    <row r="99" spans="13:15" x14ac:dyDescent="0.3">
      <c r="M99" s="35">
        <v>11.44</v>
      </c>
      <c r="N99">
        <v>305</v>
      </c>
      <c r="O99" s="34">
        <f t="shared" si="2"/>
        <v>1.115791870659227E-2</v>
      </c>
    </row>
    <row r="100" spans="13:15" x14ac:dyDescent="0.3">
      <c r="M100" s="35">
        <v>11.55</v>
      </c>
      <c r="N100">
        <v>305</v>
      </c>
      <c r="O100" s="34">
        <f t="shared" si="2"/>
        <v>1.1271775019924844E-2</v>
      </c>
    </row>
    <row r="101" spans="13:15" x14ac:dyDescent="0.3">
      <c r="M101" s="35">
        <v>11.69</v>
      </c>
      <c r="N101">
        <v>305</v>
      </c>
      <c r="O101" s="34">
        <f t="shared" si="2"/>
        <v>1.1385631333257418E-2</v>
      </c>
    </row>
    <row r="102" spans="13:15" x14ac:dyDescent="0.3">
      <c r="M102" s="35">
        <v>11.79</v>
      </c>
      <c r="N102">
        <v>305</v>
      </c>
      <c r="O102" s="34">
        <f t="shared" si="2"/>
        <v>1.1499487646589993E-2</v>
      </c>
    </row>
    <row r="103" spans="13:15" x14ac:dyDescent="0.3">
      <c r="M103" s="35">
        <v>11.8</v>
      </c>
      <c r="N103">
        <v>305</v>
      </c>
      <c r="O103" s="34">
        <f t="shared" si="2"/>
        <v>1.1613343959922567E-2</v>
      </c>
    </row>
    <row r="104" spans="13:15" x14ac:dyDescent="0.3">
      <c r="M104" s="35">
        <v>11.82</v>
      </c>
      <c r="N104">
        <v>305</v>
      </c>
      <c r="O104" s="34">
        <f t="shared" si="2"/>
        <v>1.1727200273255141E-2</v>
      </c>
    </row>
    <row r="105" spans="13:15" x14ac:dyDescent="0.3">
      <c r="M105" s="35">
        <v>11.92</v>
      </c>
      <c r="N105">
        <v>305</v>
      </c>
      <c r="O105" s="34">
        <f t="shared" si="2"/>
        <v>1.1841056586587715E-2</v>
      </c>
    </row>
    <row r="106" spans="13:15" x14ac:dyDescent="0.3">
      <c r="M106" s="35">
        <v>11.98</v>
      </c>
      <c r="N106">
        <v>305</v>
      </c>
      <c r="O106" s="34">
        <f t="shared" si="2"/>
        <v>1.1954912899920289E-2</v>
      </c>
    </row>
    <row r="107" spans="13:15" x14ac:dyDescent="0.3">
      <c r="M107" s="35">
        <v>12.05</v>
      </c>
      <c r="N107">
        <v>305</v>
      </c>
      <c r="O107" s="34">
        <f t="shared" si="2"/>
        <v>1.2068769213252863E-2</v>
      </c>
    </row>
    <row r="108" spans="13:15" x14ac:dyDescent="0.3">
      <c r="M108" s="35">
        <v>12.06</v>
      </c>
      <c r="N108">
        <v>305</v>
      </c>
      <c r="O108" s="34">
        <f t="shared" si="2"/>
        <v>1.2182625526585437E-2</v>
      </c>
    </row>
    <row r="109" spans="13:15" x14ac:dyDescent="0.3">
      <c r="M109" s="35">
        <v>12.06</v>
      </c>
      <c r="N109">
        <v>305</v>
      </c>
      <c r="O109" s="34">
        <f t="shared" si="2"/>
        <v>1.2296481839918012E-2</v>
      </c>
    </row>
    <row r="110" spans="13:15" x14ac:dyDescent="0.3">
      <c r="M110" s="35">
        <v>12.08</v>
      </c>
      <c r="N110">
        <v>305</v>
      </c>
      <c r="O110" s="34">
        <f t="shared" si="2"/>
        <v>1.2410338153250586E-2</v>
      </c>
    </row>
    <row r="111" spans="13:15" x14ac:dyDescent="0.3">
      <c r="M111" s="35">
        <v>12.15</v>
      </c>
      <c r="N111">
        <v>305</v>
      </c>
      <c r="O111" s="34">
        <f t="shared" si="2"/>
        <v>1.252419446658316E-2</v>
      </c>
    </row>
    <row r="112" spans="13:15" x14ac:dyDescent="0.3">
      <c r="M112" s="35">
        <v>12.3</v>
      </c>
      <c r="N112">
        <v>305</v>
      </c>
      <c r="O112" s="34">
        <f t="shared" si="2"/>
        <v>1.2638050779915734E-2</v>
      </c>
    </row>
    <row r="113" spans="13:15" x14ac:dyDescent="0.3">
      <c r="M113" s="35">
        <v>12.36</v>
      </c>
      <c r="N113">
        <v>305</v>
      </c>
      <c r="O113" s="34">
        <f t="shared" si="2"/>
        <v>1.2751907093248308E-2</v>
      </c>
    </row>
    <row r="114" spans="13:15" x14ac:dyDescent="0.3">
      <c r="M114" s="35">
        <v>12.41</v>
      </c>
      <c r="N114">
        <v>305</v>
      </c>
      <c r="O114" s="34">
        <f t="shared" si="2"/>
        <v>1.2865763406580882E-2</v>
      </c>
    </row>
    <row r="115" spans="13:15" x14ac:dyDescent="0.3">
      <c r="M115" s="35">
        <v>12.42</v>
      </c>
      <c r="N115">
        <v>305</v>
      </c>
      <c r="O115" s="34">
        <f t="shared" si="2"/>
        <v>1.2979619719913457E-2</v>
      </c>
    </row>
    <row r="116" spans="13:15" x14ac:dyDescent="0.3">
      <c r="M116" s="35">
        <v>12.45</v>
      </c>
      <c r="N116">
        <v>305</v>
      </c>
      <c r="O116" s="34">
        <f t="shared" si="2"/>
        <v>1.3093476033246031E-2</v>
      </c>
    </row>
    <row r="117" spans="13:15" x14ac:dyDescent="0.3">
      <c r="M117" s="35">
        <v>12.48</v>
      </c>
      <c r="N117">
        <v>305</v>
      </c>
      <c r="O117" s="34">
        <f t="shared" si="2"/>
        <v>1.3207332346578605E-2</v>
      </c>
    </row>
    <row r="118" spans="13:15" x14ac:dyDescent="0.3">
      <c r="M118" s="35">
        <v>12.68</v>
      </c>
      <c r="N118">
        <v>305</v>
      </c>
      <c r="O118" s="34">
        <f t="shared" si="2"/>
        <v>1.3321188659911179E-2</v>
      </c>
    </row>
    <row r="119" spans="13:15" x14ac:dyDescent="0.3">
      <c r="M119" s="35">
        <v>12.73</v>
      </c>
      <c r="N119">
        <v>305</v>
      </c>
      <c r="O119" s="34">
        <f t="shared" si="2"/>
        <v>1.3435044973243753E-2</v>
      </c>
    </row>
    <row r="120" spans="13:15" x14ac:dyDescent="0.3">
      <c r="M120" s="35">
        <v>12.82</v>
      </c>
      <c r="N120">
        <v>305</v>
      </c>
      <c r="O120" s="34">
        <f t="shared" si="2"/>
        <v>1.3548901286576327E-2</v>
      </c>
    </row>
    <row r="121" spans="13:15" x14ac:dyDescent="0.3">
      <c r="M121" s="35">
        <v>12.91</v>
      </c>
      <c r="N121">
        <v>305</v>
      </c>
      <c r="O121" s="34">
        <f t="shared" si="2"/>
        <v>1.3662757599908901E-2</v>
      </c>
    </row>
    <row r="122" spans="13:15" x14ac:dyDescent="0.3">
      <c r="M122" s="35">
        <v>12.94</v>
      </c>
      <c r="N122">
        <v>305</v>
      </c>
      <c r="O122" s="34">
        <f t="shared" si="2"/>
        <v>1.3776613913241476E-2</v>
      </c>
    </row>
    <row r="123" spans="13:15" x14ac:dyDescent="0.3">
      <c r="M123" s="35">
        <v>12.99</v>
      </c>
      <c r="N123">
        <v>305</v>
      </c>
      <c r="O123" s="34">
        <f t="shared" si="2"/>
        <v>1.389047022657405E-2</v>
      </c>
    </row>
    <row r="124" spans="13:15" x14ac:dyDescent="0.3">
      <c r="M124" s="35">
        <v>12.99</v>
      </c>
      <c r="N124">
        <v>305</v>
      </c>
      <c r="O124" s="34">
        <f t="shared" si="2"/>
        <v>1.4004326539906624E-2</v>
      </c>
    </row>
    <row r="125" spans="13:15" x14ac:dyDescent="0.3">
      <c r="M125" s="35">
        <v>12.99</v>
      </c>
      <c r="N125">
        <v>305</v>
      </c>
      <c r="O125" s="34">
        <f t="shared" si="2"/>
        <v>1.4118182853239198E-2</v>
      </c>
    </row>
    <row r="126" spans="13:15" x14ac:dyDescent="0.3">
      <c r="M126" s="35">
        <v>13.04</v>
      </c>
      <c r="N126">
        <v>305</v>
      </c>
      <c r="O126" s="34">
        <f t="shared" si="2"/>
        <v>1.4232039166571772E-2</v>
      </c>
    </row>
    <row r="127" spans="13:15" x14ac:dyDescent="0.3">
      <c r="M127" s="35">
        <v>13.11</v>
      </c>
      <c r="N127">
        <v>305</v>
      </c>
      <c r="O127" s="34">
        <f t="shared" si="2"/>
        <v>1.4345895479904346E-2</v>
      </c>
    </row>
    <row r="128" spans="13:15" x14ac:dyDescent="0.3">
      <c r="M128" s="35">
        <v>13.13</v>
      </c>
      <c r="N128">
        <v>305</v>
      </c>
      <c r="O128" s="34">
        <f t="shared" si="2"/>
        <v>1.445975179323692E-2</v>
      </c>
    </row>
    <row r="129" spans="13:15" x14ac:dyDescent="0.3">
      <c r="M129" s="35">
        <v>13.15</v>
      </c>
      <c r="N129">
        <v>305</v>
      </c>
      <c r="O129" s="34">
        <f t="shared" si="2"/>
        <v>1.4573608106569495E-2</v>
      </c>
    </row>
    <row r="130" spans="13:15" x14ac:dyDescent="0.3">
      <c r="M130" s="35">
        <v>13.16</v>
      </c>
      <c r="N130">
        <v>305</v>
      </c>
      <c r="O130" s="34">
        <f t="shared" si="2"/>
        <v>1.4687464419902069E-2</v>
      </c>
    </row>
    <row r="131" spans="13:15" x14ac:dyDescent="0.3">
      <c r="M131" s="35">
        <v>13.19</v>
      </c>
      <c r="N131">
        <v>305</v>
      </c>
      <c r="O131" s="34">
        <f t="shared" si="2"/>
        <v>1.4801320733234643E-2</v>
      </c>
    </row>
    <row r="132" spans="13:15" x14ac:dyDescent="0.3">
      <c r="M132" s="35">
        <v>13.35</v>
      </c>
      <c r="N132">
        <v>305</v>
      </c>
      <c r="O132" s="34">
        <f t="shared" ref="O132:O195" si="3">O131+O$2</f>
        <v>1.4915177046567217E-2</v>
      </c>
    </row>
    <row r="133" spans="13:15" x14ac:dyDescent="0.3">
      <c r="M133" s="35">
        <v>13.37</v>
      </c>
      <c r="N133">
        <v>305</v>
      </c>
      <c r="O133" s="34">
        <f t="shared" si="3"/>
        <v>1.5029033359899791E-2</v>
      </c>
    </row>
    <row r="134" spans="13:15" x14ac:dyDescent="0.3">
      <c r="M134" s="35">
        <v>13.45</v>
      </c>
      <c r="N134">
        <v>305</v>
      </c>
      <c r="O134" s="34">
        <f t="shared" si="3"/>
        <v>1.5142889673232365E-2</v>
      </c>
    </row>
    <row r="135" spans="13:15" x14ac:dyDescent="0.3">
      <c r="M135" s="35">
        <v>13.47</v>
      </c>
      <c r="N135">
        <v>305</v>
      </c>
      <c r="O135" s="34">
        <f t="shared" si="3"/>
        <v>1.5256745986564939E-2</v>
      </c>
    </row>
    <row r="136" spans="13:15" x14ac:dyDescent="0.3">
      <c r="M136" s="35">
        <v>13.53</v>
      </c>
      <c r="N136">
        <v>305</v>
      </c>
      <c r="O136" s="34">
        <f t="shared" si="3"/>
        <v>1.5370602299897514E-2</v>
      </c>
    </row>
    <row r="137" spans="13:15" x14ac:dyDescent="0.3">
      <c r="M137" s="35">
        <v>13.59</v>
      </c>
      <c r="N137">
        <v>305</v>
      </c>
      <c r="O137" s="34">
        <f t="shared" si="3"/>
        <v>1.5484458613230088E-2</v>
      </c>
    </row>
    <row r="138" spans="13:15" x14ac:dyDescent="0.3">
      <c r="M138" s="35">
        <v>13.6</v>
      </c>
      <c r="N138">
        <v>305</v>
      </c>
      <c r="O138" s="34">
        <f t="shared" si="3"/>
        <v>1.5598314926562662E-2</v>
      </c>
    </row>
    <row r="139" spans="13:15" x14ac:dyDescent="0.3">
      <c r="M139" s="35">
        <v>13.7</v>
      </c>
      <c r="N139">
        <v>305</v>
      </c>
      <c r="O139" s="34">
        <f t="shared" si="3"/>
        <v>1.5712171239895236E-2</v>
      </c>
    </row>
    <row r="140" spans="13:15" x14ac:dyDescent="0.3">
      <c r="M140" s="35">
        <v>13.77</v>
      </c>
      <c r="N140">
        <v>305</v>
      </c>
      <c r="O140" s="34">
        <f t="shared" si="3"/>
        <v>1.582602755322781E-2</v>
      </c>
    </row>
    <row r="141" spans="13:15" x14ac:dyDescent="0.3">
      <c r="M141" s="35">
        <v>13.8</v>
      </c>
      <c r="N141">
        <v>305</v>
      </c>
      <c r="O141" s="34">
        <f t="shared" si="3"/>
        <v>1.5939883866560384E-2</v>
      </c>
    </row>
    <row r="142" spans="13:15" x14ac:dyDescent="0.3">
      <c r="M142" s="35">
        <v>13.91</v>
      </c>
      <c r="N142">
        <v>305</v>
      </c>
      <c r="O142" s="34">
        <f t="shared" si="3"/>
        <v>1.6053740179892959E-2</v>
      </c>
    </row>
    <row r="143" spans="13:15" x14ac:dyDescent="0.3">
      <c r="M143" s="35">
        <v>13.98</v>
      </c>
      <c r="N143">
        <v>305</v>
      </c>
      <c r="O143" s="34">
        <f t="shared" si="3"/>
        <v>1.6167596493225533E-2</v>
      </c>
    </row>
    <row r="144" spans="13:15" x14ac:dyDescent="0.3">
      <c r="M144" s="35">
        <v>14</v>
      </c>
      <c r="N144">
        <v>305</v>
      </c>
      <c r="O144" s="34">
        <f t="shared" si="3"/>
        <v>1.6281452806558107E-2</v>
      </c>
    </row>
    <row r="145" spans="13:15" x14ac:dyDescent="0.3">
      <c r="M145" s="35">
        <v>14.02</v>
      </c>
      <c r="N145">
        <v>305</v>
      </c>
      <c r="O145" s="34">
        <f t="shared" si="3"/>
        <v>1.6395309119890681E-2</v>
      </c>
    </row>
    <row r="146" spans="13:15" x14ac:dyDescent="0.3">
      <c r="M146" s="35">
        <v>14.03</v>
      </c>
      <c r="N146">
        <v>305</v>
      </c>
      <c r="O146" s="34">
        <f t="shared" si="3"/>
        <v>1.6509165433223255E-2</v>
      </c>
    </row>
    <row r="147" spans="13:15" x14ac:dyDescent="0.3">
      <c r="M147" s="35">
        <v>14.04</v>
      </c>
      <c r="N147">
        <v>305</v>
      </c>
      <c r="O147" s="34">
        <f t="shared" si="3"/>
        <v>1.6623021746555829E-2</v>
      </c>
    </row>
    <row r="148" spans="13:15" x14ac:dyDescent="0.3">
      <c r="M148" s="35">
        <v>14.19</v>
      </c>
      <c r="N148">
        <v>305</v>
      </c>
      <c r="O148" s="34">
        <f t="shared" si="3"/>
        <v>1.6736878059888403E-2</v>
      </c>
    </row>
    <row r="149" spans="13:15" x14ac:dyDescent="0.3">
      <c r="M149" s="35">
        <v>14.22</v>
      </c>
      <c r="N149">
        <v>305</v>
      </c>
      <c r="O149" s="34">
        <f t="shared" si="3"/>
        <v>1.6850734373220978E-2</v>
      </c>
    </row>
    <row r="150" spans="13:15" x14ac:dyDescent="0.3">
      <c r="M150" s="35">
        <v>14.24</v>
      </c>
      <c r="N150">
        <v>305</v>
      </c>
      <c r="O150" s="34">
        <f t="shared" si="3"/>
        <v>1.6964590686553552E-2</v>
      </c>
    </row>
    <row r="151" spans="13:15" x14ac:dyDescent="0.3">
      <c r="M151" s="35">
        <v>14.25</v>
      </c>
      <c r="N151">
        <v>305</v>
      </c>
      <c r="O151" s="34">
        <f t="shared" si="3"/>
        <v>1.7078446999886126E-2</v>
      </c>
    </row>
    <row r="152" spans="13:15" x14ac:dyDescent="0.3">
      <c r="M152" s="35">
        <v>14.25</v>
      </c>
      <c r="N152">
        <v>305</v>
      </c>
      <c r="O152" s="34">
        <f t="shared" si="3"/>
        <v>1.71923033132187E-2</v>
      </c>
    </row>
    <row r="153" spans="13:15" x14ac:dyDescent="0.3">
      <c r="M153" s="35">
        <v>14.28</v>
      </c>
      <c r="N153">
        <v>305</v>
      </c>
      <c r="O153" s="34">
        <f t="shared" si="3"/>
        <v>1.7306159626551274E-2</v>
      </c>
    </row>
    <row r="154" spans="13:15" x14ac:dyDescent="0.3">
      <c r="M154" s="35">
        <v>14.3</v>
      </c>
      <c r="N154">
        <v>305</v>
      </c>
      <c r="O154" s="34">
        <f t="shared" si="3"/>
        <v>1.7420015939883848E-2</v>
      </c>
    </row>
    <row r="155" spans="13:15" x14ac:dyDescent="0.3">
      <c r="M155" s="35">
        <v>14.3</v>
      </c>
      <c r="N155">
        <v>305</v>
      </c>
      <c r="O155" s="34">
        <f t="shared" si="3"/>
        <v>1.7533872253216422E-2</v>
      </c>
    </row>
    <row r="156" spans="13:15" x14ac:dyDescent="0.3">
      <c r="M156" s="35">
        <v>14.35</v>
      </c>
      <c r="N156">
        <v>305</v>
      </c>
      <c r="O156" s="34">
        <f t="shared" si="3"/>
        <v>1.7647728566548997E-2</v>
      </c>
    </row>
    <row r="157" spans="13:15" x14ac:dyDescent="0.3">
      <c r="M157" s="35">
        <v>14.37</v>
      </c>
      <c r="N157">
        <v>305</v>
      </c>
      <c r="O157" s="34">
        <f t="shared" si="3"/>
        <v>1.7761584879881571E-2</v>
      </c>
    </row>
    <row r="158" spans="13:15" x14ac:dyDescent="0.3">
      <c r="M158" s="35">
        <v>14.4</v>
      </c>
      <c r="N158">
        <v>305</v>
      </c>
      <c r="O158" s="34">
        <f t="shared" si="3"/>
        <v>1.7875441193214145E-2</v>
      </c>
    </row>
    <row r="159" spans="13:15" x14ac:dyDescent="0.3">
      <c r="M159" s="35">
        <v>14.43</v>
      </c>
      <c r="N159">
        <v>305</v>
      </c>
      <c r="O159" s="34">
        <f t="shared" si="3"/>
        <v>1.7989297506546719E-2</v>
      </c>
    </row>
    <row r="160" spans="13:15" x14ac:dyDescent="0.3">
      <c r="M160" s="35">
        <v>14.46</v>
      </c>
      <c r="N160">
        <v>305</v>
      </c>
      <c r="O160" s="34">
        <f t="shared" si="3"/>
        <v>1.8103153819879293E-2</v>
      </c>
    </row>
    <row r="161" spans="13:15" x14ac:dyDescent="0.3">
      <c r="M161" s="35">
        <v>14.49</v>
      </c>
      <c r="N161">
        <v>305</v>
      </c>
      <c r="O161" s="34">
        <f t="shared" si="3"/>
        <v>1.8217010133211867E-2</v>
      </c>
    </row>
    <row r="162" spans="13:15" x14ac:dyDescent="0.3">
      <c r="M162" s="35">
        <v>14.53</v>
      </c>
      <c r="N162">
        <v>305</v>
      </c>
      <c r="O162" s="34">
        <f t="shared" si="3"/>
        <v>1.8330866446544442E-2</v>
      </c>
    </row>
    <row r="163" spans="13:15" x14ac:dyDescent="0.3">
      <c r="M163" s="35">
        <v>14.6</v>
      </c>
      <c r="N163">
        <v>305</v>
      </c>
      <c r="O163" s="34">
        <f t="shared" si="3"/>
        <v>1.8444722759877016E-2</v>
      </c>
    </row>
    <row r="164" spans="13:15" x14ac:dyDescent="0.3">
      <c r="M164" s="35">
        <v>14.6</v>
      </c>
      <c r="N164">
        <v>305</v>
      </c>
      <c r="O164" s="34">
        <f t="shared" si="3"/>
        <v>1.855857907320959E-2</v>
      </c>
    </row>
    <row r="165" spans="13:15" x14ac:dyDescent="0.3">
      <c r="M165" s="35">
        <v>14.61</v>
      </c>
      <c r="N165">
        <v>305</v>
      </c>
      <c r="O165" s="34">
        <f t="shared" si="3"/>
        <v>1.8672435386542164E-2</v>
      </c>
    </row>
    <row r="166" spans="13:15" x14ac:dyDescent="0.3">
      <c r="M166" s="35">
        <v>14.65</v>
      </c>
      <c r="N166">
        <v>305</v>
      </c>
      <c r="O166" s="34">
        <f t="shared" si="3"/>
        <v>1.8786291699874738E-2</v>
      </c>
    </row>
    <row r="167" spans="13:15" x14ac:dyDescent="0.3">
      <c r="M167" s="35">
        <v>14.67</v>
      </c>
      <c r="N167">
        <v>305</v>
      </c>
      <c r="O167" s="34">
        <f t="shared" si="3"/>
        <v>1.8900148013207312E-2</v>
      </c>
    </row>
    <row r="168" spans="13:15" x14ac:dyDescent="0.3">
      <c r="M168" s="35">
        <v>14.67</v>
      </c>
      <c r="N168">
        <v>305</v>
      </c>
      <c r="O168" s="34">
        <f t="shared" si="3"/>
        <v>1.9014004326539886E-2</v>
      </c>
    </row>
    <row r="169" spans="13:15" x14ac:dyDescent="0.3">
      <c r="M169" s="35">
        <v>14.68</v>
      </c>
      <c r="N169">
        <v>305</v>
      </c>
      <c r="O169" s="34">
        <f t="shared" si="3"/>
        <v>1.9127860639872461E-2</v>
      </c>
    </row>
    <row r="170" spans="13:15" x14ac:dyDescent="0.3">
      <c r="M170" s="35">
        <v>14.73</v>
      </c>
      <c r="N170">
        <v>305</v>
      </c>
      <c r="O170" s="34">
        <f t="shared" si="3"/>
        <v>1.9241716953205035E-2</v>
      </c>
    </row>
    <row r="171" spans="13:15" x14ac:dyDescent="0.3">
      <c r="M171" s="35">
        <v>14.76</v>
      </c>
      <c r="N171">
        <v>305</v>
      </c>
      <c r="O171" s="34">
        <f t="shared" si="3"/>
        <v>1.9355573266537609E-2</v>
      </c>
    </row>
    <row r="172" spans="13:15" x14ac:dyDescent="0.3">
      <c r="M172" s="35">
        <v>14.76</v>
      </c>
      <c r="N172">
        <v>305</v>
      </c>
      <c r="O172" s="34">
        <f t="shared" si="3"/>
        <v>1.9469429579870183E-2</v>
      </c>
    </row>
    <row r="173" spans="13:15" x14ac:dyDescent="0.3">
      <c r="M173" s="35">
        <v>14.78</v>
      </c>
      <c r="N173">
        <v>305</v>
      </c>
      <c r="O173" s="34">
        <f t="shared" si="3"/>
        <v>1.9583285893202757E-2</v>
      </c>
    </row>
    <row r="174" spans="13:15" x14ac:dyDescent="0.3">
      <c r="M174" s="35">
        <v>14.81</v>
      </c>
      <c r="N174">
        <v>305</v>
      </c>
      <c r="O174" s="34">
        <f t="shared" si="3"/>
        <v>1.9697142206535331E-2</v>
      </c>
    </row>
    <row r="175" spans="13:15" x14ac:dyDescent="0.3">
      <c r="M175" s="35">
        <v>14.84</v>
      </c>
      <c r="N175">
        <v>305</v>
      </c>
      <c r="O175" s="34">
        <f t="shared" si="3"/>
        <v>1.9810998519867905E-2</v>
      </c>
    </row>
    <row r="176" spans="13:15" x14ac:dyDescent="0.3">
      <c r="M176" s="35">
        <v>14.85</v>
      </c>
      <c r="N176">
        <v>305</v>
      </c>
      <c r="O176" s="34">
        <f t="shared" si="3"/>
        <v>1.992485483320048E-2</v>
      </c>
    </row>
    <row r="177" spans="13:15" x14ac:dyDescent="0.3">
      <c r="M177" s="35">
        <v>14.85</v>
      </c>
      <c r="N177">
        <v>305</v>
      </c>
      <c r="O177" s="34">
        <f t="shared" si="3"/>
        <v>2.0038711146533054E-2</v>
      </c>
    </row>
    <row r="178" spans="13:15" x14ac:dyDescent="0.3">
      <c r="M178" s="35">
        <v>14.86</v>
      </c>
      <c r="N178">
        <v>305</v>
      </c>
      <c r="O178" s="34">
        <f t="shared" si="3"/>
        <v>2.0152567459865628E-2</v>
      </c>
    </row>
    <row r="179" spans="13:15" x14ac:dyDescent="0.3">
      <c r="M179" s="35">
        <v>14.88</v>
      </c>
      <c r="N179">
        <v>305</v>
      </c>
      <c r="O179" s="34">
        <f t="shared" si="3"/>
        <v>2.0266423773198202E-2</v>
      </c>
    </row>
    <row r="180" spans="13:15" x14ac:dyDescent="0.3">
      <c r="M180" s="35">
        <v>14.89</v>
      </c>
      <c r="N180">
        <v>305</v>
      </c>
      <c r="O180" s="34">
        <f t="shared" si="3"/>
        <v>2.0380280086530776E-2</v>
      </c>
    </row>
    <row r="181" spans="13:15" x14ac:dyDescent="0.3">
      <c r="M181" s="35">
        <v>14.95</v>
      </c>
      <c r="N181">
        <v>305</v>
      </c>
      <c r="O181" s="34">
        <f t="shared" si="3"/>
        <v>2.049413639986335E-2</v>
      </c>
    </row>
    <row r="182" spans="13:15" x14ac:dyDescent="0.3">
      <c r="M182" s="35">
        <v>14.95</v>
      </c>
      <c r="N182">
        <v>305</v>
      </c>
      <c r="O182" s="34">
        <f t="shared" si="3"/>
        <v>2.0607992713195925E-2</v>
      </c>
    </row>
    <row r="183" spans="13:15" x14ac:dyDescent="0.3">
      <c r="M183" s="35">
        <v>14.97</v>
      </c>
      <c r="N183">
        <v>305</v>
      </c>
      <c r="O183" s="34">
        <f t="shared" si="3"/>
        <v>2.0721849026528499E-2</v>
      </c>
    </row>
    <row r="184" spans="13:15" x14ac:dyDescent="0.3">
      <c r="M184" s="35">
        <v>14.99</v>
      </c>
      <c r="N184">
        <v>305</v>
      </c>
      <c r="O184" s="34">
        <f t="shared" si="3"/>
        <v>2.0835705339861073E-2</v>
      </c>
    </row>
    <row r="185" spans="13:15" x14ac:dyDescent="0.3">
      <c r="M185" s="35">
        <v>15.01</v>
      </c>
      <c r="N185">
        <v>305</v>
      </c>
      <c r="O185" s="34">
        <f t="shared" si="3"/>
        <v>2.0949561653193647E-2</v>
      </c>
    </row>
    <row r="186" spans="13:15" x14ac:dyDescent="0.3">
      <c r="M186" s="35">
        <v>15.04</v>
      </c>
      <c r="N186">
        <v>305</v>
      </c>
      <c r="O186" s="34">
        <f t="shared" si="3"/>
        <v>2.1063417966526221E-2</v>
      </c>
    </row>
    <row r="187" spans="13:15" x14ac:dyDescent="0.3">
      <c r="M187" s="35">
        <v>15.06</v>
      </c>
      <c r="N187">
        <v>305</v>
      </c>
      <c r="O187" s="34">
        <f t="shared" si="3"/>
        <v>2.1177274279858795E-2</v>
      </c>
    </row>
    <row r="188" spans="13:15" x14ac:dyDescent="0.3">
      <c r="M188" s="35">
        <v>15.08</v>
      </c>
      <c r="N188">
        <v>305</v>
      </c>
      <c r="O188" s="34">
        <f t="shared" si="3"/>
        <v>2.1291130593191369E-2</v>
      </c>
    </row>
    <row r="189" spans="13:15" x14ac:dyDescent="0.3">
      <c r="M189" s="35">
        <v>15.1</v>
      </c>
      <c r="N189">
        <v>305</v>
      </c>
      <c r="O189" s="34">
        <f t="shared" si="3"/>
        <v>2.1404986906523944E-2</v>
      </c>
    </row>
    <row r="190" spans="13:15" x14ac:dyDescent="0.3">
      <c r="M190" s="35">
        <v>15.1</v>
      </c>
      <c r="N190">
        <v>305</v>
      </c>
      <c r="O190" s="34">
        <f t="shared" si="3"/>
        <v>2.1518843219856518E-2</v>
      </c>
    </row>
    <row r="191" spans="13:15" x14ac:dyDescent="0.3">
      <c r="M191" s="35">
        <v>15.11</v>
      </c>
      <c r="N191">
        <v>305</v>
      </c>
      <c r="O191" s="34">
        <f t="shared" si="3"/>
        <v>2.1632699533189092E-2</v>
      </c>
    </row>
    <row r="192" spans="13:15" x14ac:dyDescent="0.3">
      <c r="M192" s="35">
        <v>15.14</v>
      </c>
      <c r="N192">
        <v>305</v>
      </c>
      <c r="O192" s="34">
        <f t="shared" si="3"/>
        <v>2.1746555846521666E-2</v>
      </c>
    </row>
    <row r="193" spans="13:15" x14ac:dyDescent="0.3">
      <c r="M193" s="35">
        <v>15.17</v>
      </c>
      <c r="N193">
        <v>305</v>
      </c>
      <c r="O193" s="34">
        <f t="shared" si="3"/>
        <v>2.186041215985424E-2</v>
      </c>
    </row>
    <row r="194" spans="13:15" x14ac:dyDescent="0.3">
      <c r="M194" s="35">
        <v>15.18</v>
      </c>
      <c r="N194">
        <v>305</v>
      </c>
      <c r="O194" s="34">
        <f t="shared" si="3"/>
        <v>2.1974268473186814E-2</v>
      </c>
    </row>
    <row r="195" spans="13:15" x14ac:dyDescent="0.3">
      <c r="M195" s="35">
        <v>15.2</v>
      </c>
      <c r="N195">
        <v>305</v>
      </c>
      <c r="O195" s="34">
        <f t="shared" si="3"/>
        <v>2.2088124786519388E-2</v>
      </c>
    </row>
    <row r="196" spans="13:15" x14ac:dyDescent="0.3">
      <c r="M196" s="35">
        <v>15.21</v>
      </c>
      <c r="N196">
        <v>305</v>
      </c>
      <c r="O196" s="34">
        <f t="shared" ref="O196:O259" si="4">O195+O$2</f>
        <v>2.2201981099851963E-2</v>
      </c>
    </row>
    <row r="197" spans="13:15" x14ac:dyDescent="0.3">
      <c r="M197" s="35">
        <v>15.22</v>
      </c>
      <c r="N197">
        <v>305</v>
      </c>
      <c r="O197" s="34">
        <f t="shared" si="4"/>
        <v>2.2315837413184537E-2</v>
      </c>
    </row>
    <row r="198" spans="13:15" x14ac:dyDescent="0.3">
      <c r="M198" s="35">
        <v>15.22</v>
      </c>
      <c r="N198">
        <v>305</v>
      </c>
      <c r="O198" s="34">
        <f t="shared" si="4"/>
        <v>2.2429693726517111E-2</v>
      </c>
    </row>
    <row r="199" spans="13:15" x14ac:dyDescent="0.3">
      <c r="M199" s="35">
        <v>15.25</v>
      </c>
      <c r="N199">
        <v>305</v>
      </c>
      <c r="O199" s="34">
        <f t="shared" si="4"/>
        <v>2.2543550039849685E-2</v>
      </c>
    </row>
    <row r="200" spans="13:15" x14ac:dyDescent="0.3">
      <c r="M200" s="35">
        <v>15.27</v>
      </c>
      <c r="N200">
        <v>305</v>
      </c>
      <c r="O200" s="34">
        <f t="shared" si="4"/>
        <v>2.2657406353182259E-2</v>
      </c>
    </row>
    <row r="201" spans="13:15" x14ac:dyDescent="0.3">
      <c r="M201" s="35">
        <v>15.27</v>
      </c>
      <c r="N201">
        <v>305</v>
      </c>
      <c r="O201" s="34">
        <f t="shared" si="4"/>
        <v>2.2771262666514833E-2</v>
      </c>
    </row>
    <row r="202" spans="13:15" x14ac:dyDescent="0.3">
      <c r="M202" s="35">
        <v>15.28</v>
      </c>
      <c r="N202">
        <v>305</v>
      </c>
      <c r="O202" s="34">
        <f t="shared" si="4"/>
        <v>2.2885118979847408E-2</v>
      </c>
    </row>
    <row r="203" spans="13:15" x14ac:dyDescent="0.3">
      <c r="M203" s="35">
        <v>15.29</v>
      </c>
      <c r="N203">
        <v>305</v>
      </c>
      <c r="O203" s="34">
        <f t="shared" si="4"/>
        <v>2.2998975293179982E-2</v>
      </c>
    </row>
    <row r="204" spans="13:15" x14ac:dyDescent="0.3">
      <c r="M204" s="35">
        <v>15.31</v>
      </c>
      <c r="N204">
        <v>305</v>
      </c>
      <c r="O204" s="34">
        <f t="shared" si="4"/>
        <v>2.3112831606512556E-2</v>
      </c>
    </row>
    <row r="205" spans="13:15" x14ac:dyDescent="0.3">
      <c r="M205" s="35">
        <v>15.32</v>
      </c>
      <c r="N205">
        <v>305</v>
      </c>
      <c r="O205" s="34">
        <f t="shared" si="4"/>
        <v>2.322668791984513E-2</v>
      </c>
    </row>
    <row r="206" spans="13:15" x14ac:dyDescent="0.3">
      <c r="M206" s="35">
        <v>15.34</v>
      </c>
      <c r="N206">
        <v>305</v>
      </c>
      <c r="O206" s="34">
        <f t="shared" si="4"/>
        <v>2.3340544233177704E-2</v>
      </c>
    </row>
    <row r="207" spans="13:15" x14ac:dyDescent="0.3">
      <c r="M207" s="35">
        <v>15.34</v>
      </c>
      <c r="N207">
        <v>305</v>
      </c>
      <c r="O207" s="34">
        <f t="shared" si="4"/>
        <v>2.3454400546510278E-2</v>
      </c>
    </row>
    <row r="208" spans="13:15" x14ac:dyDescent="0.3">
      <c r="M208" s="35">
        <v>15.38</v>
      </c>
      <c r="N208">
        <v>305</v>
      </c>
      <c r="O208" s="34">
        <f t="shared" si="4"/>
        <v>2.3568256859842852E-2</v>
      </c>
    </row>
    <row r="209" spans="13:15" x14ac:dyDescent="0.3">
      <c r="M209" s="35">
        <v>15.38</v>
      </c>
      <c r="N209">
        <v>305</v>
      </c>
      <c r="O209" s="34">
        <f t="shared" si="4"/>
        <v>2.3682113173175427E-2</v>
      </c>
    </row>
    <row r="210" spans="13:15" x14ac:dyDescent="0.3">
      <c r="M210" s="35">
        <v>15.4</v>
      </c>
      <c r="N210">
        <v>305</v>
      </c>
      <c r="O210" s="34">
        <f t="shared" si="4"/>
        <v>2.3795969486508001E-2</v>
      </c>
    </row>
    <row r="211" spans="13:15" x14ac:dyDescent="0.3">
      <c r="M211" s="35">
        <v>15.4</v>
      </c>
      <c r="N211">
        <v>305</v>
      </c>
      <c r="O211" s="34">
        <f t="shared" si="4"/>
        <v>2.3909825799840575E-2</v>
      </c>
    </row>
    <row r="212" spans="13:15" x14ac:dyDescent="0.3">
      <c r="M212" s="35">
        <v>15.41</v>
      </c>
      <c r="N212">
        <v>305</v>
      </c>
      <c r="O212" s="34">
        <f t="shared" si="4"/>
        <v>2.4023682113173149E-2</v>
      </c>
    </row>
    <row r="213" spans="13:15" x14ac:dyDescent="0.3">
      <c r="M213" s="35">
        <v>15.42</v>
      </c>
      <c r="N213">
        <v>305</v>
      </c>
      <c r="O213" s="34">
        <f t="shared" si="4"/>
        <v>2.4137538426505723E-2</v>
      </c>
    </row>
    <row r="214" spans="13:15" x14ac:dyDescent="0.3">
      <c r="M214" s="35">
        <v>15.43</v>
      </c>
      <c r="N214">
        <v>305</v>
      </c>
      <c r="O214" s="34">
        <f t="shared" si="4"/>
        <v>2.4251394739838297E-2</v>
      </c>
    </row>
    <row r="215" spans="13:15" x14ac:dyDescent="0.3">
      <c r="M215" s="35">
        <v>15.49</v>
      </c>
      <c r="N215">
        <v>305</v>
      </c>
      <c r="O215" s="34">
        <f t="shared" si="4"/>
        <v>2.4365251053170871E-2</v>
      </c>
    </row>
    <row r="216" spans="13:15" x14ac:dyDescent="0.3">
      <c r="M216" s="35">
        <v>15.53</v>
      </c>
      <c r="N216">
        <v>305</v>
      </c>
      <c r="O216" s="34">
        <f t="shared" si="4"/>
        <v>2.4479107366503446E-2</v>
      </c>
    </row>
    <row r="217" spans="13:15" x14ac:dyDescent="0.3">
      <c r="M217" s="35">
        <v>15.54</v>
      </c>
      <c r="N217">
        <v>305</v>
      </c>
      <c r="O217" s="34">
        <f t="shared" si="4"/>
        <v>2.459296367983602E-2</v>
      </c>
    </row>
    <row r="218" spans="13:15" x14ac:dyDescent="0.3">
      <c r="M218" s="35">
        <v>15.57</v>
      </c>
      <c r="N218">
        <v>305</v>
      </c>
      <c r="O218" s="34">
        <f t="shared" si="4"/>
        <v>2.4706819993168594E-2</v>
      </c>
    </row>
    <row r="219" spans="13:15" x14ac:dyDescent="0.3">
      <c r="M219" s="35">
        <v>15.58</v>
      </c>
      <c r="N219">
        <v>305</v>
      </c>
      <c r="O219" s="34">
        <f t="shared" si="4"/>
        <v>2.4820676306501168E-2</v>
      </c>
    </row>
    <row r="220" spans="13:15" x14ac:dyDescent="0.3">
      <c r="M220" s="35">
        <v>15.59</v>
      </c>
      <c r="N220">
        <v>305</v>
      </c>
      <c r="O220" s="34">
        <f t="shared" si="4"/>
        <v>2.4934532619833742E-2</v>
      </c>
    </row>
    <row r="221" spans="13:15" x14ac:dyDescent="0.3">
      <c r="M221" s="35">
        <v>15.6</v>
      </c>
      <c r="N221">
        <v>305</v>
      </c>
      <c r="O221" s="34">
        <f t="shared" si="4"/>
        <v>2.5048388933166316E-2</v>
      </c>
    </row>
    <row r="222" spans="13:15" x14ac:dyDescent="0.3">
      <c r="M222" s="35">
        <v>15.61</v>
      </c>
      <c r="N222">
        <v>305</v>
      </c>
      <c r="O222" s="34">
        <f t="shared" si="4"/>
        <v>2.516224524649889E-2</v>
      </c>
    </row>
    <row r="223" spans="13:15" x14ac:dyDescent="0.3">
      <c r="M223" s="35">
        <v>15.61</v>
      </c>
      <c r="N223">
        <v>305</v>
      </c>
      <c r="O223" s="34">
        <f t="shared" si="4"/>
        <v>2.5276101559831465E-2</v>
      </c>
    </row>
    <row r="224" spans="13:15" x14ac:dyDescent="0.3">
      <c r="M224" s="35">
        <v>15.61</v>
      </c>
      <c r="N224">
        <v>305</v>
      </c>
      <c r="O224" s="34">
        <f t="shared" si="4"/>
        <v>2.5389957873164039E-2</v>
      </c>
    </row>
    <row r="225" spans="13:15" x14ac:dyDescent="0.3">
      <c r="M225" s="35">
        <v>15.62</v>
      </c>
      <c r="N225">
        <v>305</v>
      </c>
      <c r="O225" s="34">
        <f t="shared" si="4"/>
        <v>2.5503814186496613E-2</v>
      </c>
    </row>
    <row r="226" spans="13:15" x14ac:dyDescent="0.3">
      <c r="M226" s="35">
        <v>15.64</v>
      </c>
      <c r="N226">
        <v>305</v>
      </c>
      <c r="O226" s="34">
        <f t="shared" si="4"/>
        <v>2.5617670499829187E-2</v>
      </c>
    </row>
    <row r="227" spans="13:15" x14ac:dyDescent="0.3">
      <c r="M227" s="35">
        <v>15.67</v>
      </c>
      <c r="N227">
        <v>305</v>
      </c>
      <c r="O227" s="34">
        <f t="shared" si="4"/>
        <v>2.5731526813161761E-2</v>
      </c>
    </row>
    <row r="228" spans="13:15" x14ac:dyDescent="0.3">
      <c r="M228" s="35">
        <v>15.67</v>
      </c>
      <c r="N228">
        <v>305</v>
      </c>
      <c r="O228" s="34">
        <f t="shared" si="4"/>
        <v>2.5845383126494335E-2</v>
      </c>
    </row>
    <row r="229" spans="13:15" x14ac:dyDescent="0.3">
      <c r="M229" s="35">
        <v>15.67</v>
      </c>
      <c r="N229">
        <v>305</v>
      </c>
      <c r="O229" s="34">
        <f t="shared" si="4"/>
        <v>2.595923943982691E-2</v>
      </c>
    </row>
    <row r="230" spans="13:15" x14ac:dyDescent="0.3">
      <c r="M230" s="35">
        <v>15.68</v>
      </c>
      <c r="N230">
        <v>305</v>
      </c>
      <c r="O230" s="34">
        <f t="shared" si="4"/>
        <v>2.6073095753159484E-2</v>
      </c>
    </row>
    <row r="231" spans="13:15" x14ac:dyDescent="0.3">
      <c r="M231" s="35">
        <v>15.69</v>
      </c>
      <c r="N231">
        <v>305</v>
      </c>
      <c r="O231" s="34">
        <f t="shared" si="4"/>
        <v>2.6186952066492058E-2</v>
      </c>
    </row>
    <row r="232" spans="13:15" x14ac:dyDescent="0.3">
      <c r="M232" s="35">
        <v>15.69</v>
      </c>
      <c r="N232">
        <v>305</v>
      </c>
      <c r="O232" s="34">
        <f t="shared" si="4"/>
        <v>2.6300808379824632E-2</v>
      </c>
    </row>
    <row r="233" spans="13:15" x14ac:dyDescent="0.3">
      <c r="M233" s="35">
        <v>15.7</v>
      </c>
      <c r="N233">
        <v>305</v>
      </c>
      <c r="O233" s="34">
        <f t="shared" si="4"/>
        <v>2.6414664693157206E-2</v>
      </c>
    </row>
    <row r="234" spans="13:15" x14ac:dyDescent="0.3">
      <c r="M234" s="35">
        <v>15.71</v>
      </c>
      <c r="N234">
        <v>305</v>
      </c>
      <c r="O234" s="34">
        <f t="shared" si="4"/>
        <v>2.652852100648978E-2</v>
      </c>
    </row>
    <row r="235" spans="13:15" x14ac:dyDescent="0.3">
      <c r="M235" s="35">
        <v>15.73</v>
      </c>
      <c r="N235">
        <v>305</v>
      </c>
      <c r="O235" s="34">
        <f t="shared" si="4"/>
        <v>2.6642377319822354E-2</v>
      </c>
    </row>
    <row r="236" spans="13:15" x14ac:dyDescent="0.3">
      <c r="M236" s="35">
        <v>15.74</v>
      </c>
      <c r="N236">
        <v>305</v>
      </c>
      <c r="O236" s="34">
        <f t="shared" si="4"/>
        <v>2.6756233633154929E-2</v>
      </c>
    </row>
    <row r="237" spans="13:15" x14ac:dyDescent="0.3">
      <c r="M237" s="35">
        <v>15.77</v>
      </c>
      <c r="N237">
        <v>305</v>
      </c>
      <c r="O237" s="34">
        <f t="shared" si="4"/>
        <v>2.6870089946487503E-2</v>
      </c>
    </row>
    <row r="238" spans="13:15" x14ac:dyDescent="0.3">
      <c r="M238" s="35">
        <v>15.78</v>
      </c>
      <c r="N238">
        <v>305</v>
      </c>
      <c r="O238" s="34">
        <f t="shared" si="4"/>
        <v>2.6983946259820077E-2</v>
      </c>
    </row>
    <row r="239" spans="13:15" x14ac:dyDescent="0.3">
      <c r="M239" s="35">
        <v>15.78</v>
      </c>
      <c r="N239">
        <v>305</v>
      </c>
      <c r="O239" s="34">
        <f t="shared" si="4"/>
        <v>2.7097802573152651E-2</v>
      </c>
    </row>
    <row r="240" spans="13:15" x14ac:dyDescent="0.3">
      <c r="M240" s="35">
        <v>15.79</v>
      </c>
      <c r="N240">
        <v>305</v>
      </c>
      <c r="O240" s="34">
        <f t="shared" si="4"/>
        <v>2.7211658886485225E-2</v>
      </c>
    </row>
    <row r="241" spans="13:15" x14ac:dyDescent="0.3">
      <c r="M241" s="35">
        <v>15.79</v>
      </c>
      <c r="N241">
        <v>305</v>
      </c>
      <c r="O241" s="34">
        <f t="shared" si="4"/>
        <v>2.7325515199817799E-2</v>
      </c>
    </row>
    <row r="242" spans="13:15" x14ac:dyDescent="0.3">
      <c r="M242" s="35">
        <v>15.8</v>
      </c>
      <c r="N242">
        <v>305</v>
      </c>
      <c r="O242" s="34">
        <f t="shared" si="4"/>
        <v>2.7439371513150373E-2</v>
      </c>
    </row>
    <row r="243" spans="13:15" x14ac:dyDescent="0.3">
      <c r="M243" s="35">
        <v>15.81</v>
      </c>
      <c r="N243">
        <v>305</v>
      </c>
      <c r="O243" s="34">
        <f t="shared" si="4"/>
        <v>2.7553227826482948E-2</v>
      </c>
    </row>
    <row r="244" spans="13:15" x14ac:dyDescent="0.3">
      <c r="M244" s="35">
        <v>15.81</v>
      </c>
      <c r="N244">
        <v>305</v>
      </c>
      <c r="O244" s="34">
        <f t="shared" si="4"/>
        <v>2.7667084139815522E-2</v>
      </c>
    </row>
    <row r="245" spans="13:15" x14ac:dyDescent="0.3">
      <c r="M245" s="35">
        <v>15.82</v>
      </c>
      <c r="N245">
        <v>305</v>
      </c>
      <c r="O245" s="34">
        <f t="shared" si="4"/>
        <v>2.7780940453148096E-2</v>
      </c>
    </row>
    <row r="246" spans="13:15" x14ac:dyDescent="0.3">
      <c r="M246" s="35">
        <v>15.83</v>
      </c>
      <c r="N246">
        <v>305</v>
      </c>
      <c r="O246" s="34">
        <f t="shared" si="4"/>
        <v>2.789479676648067E-2</v>
      </c>
    </row>
    <row r="247" spans="13:15" x14ac:dyDescent="0.3">
      <c r="M247" s="35">
        <v>15.84</v>
      </c>
      <c r="N247">
        <v>305</v>
      </c>
      <c r="O247" s="34">
        <f t="shared" si="4"/>
        <v>2.8008653079813244E-2</v>
      </c>
    </row>
    <row r="248" spans="13:15" x14ac:dyDescent="0.3">
      <c r="M248" s="35">
        <v>15.84</v>
      </c>
      <c r="N248">
        <v>305</v>
      </c>
      <c r="O248" s="34">
        <f t="shared" si="4"/>
        <v>2.8122509393145818E-2</v>
      </c>
    </row>
    <row r="249" spans="13:15" x14ac:dyDescent="0.3">
      <c r="M249" s="35">
        <v>15.84</v>
      </c>
      <c r="N249">
        <v>305</v>
      </c>
      <c r="O249" s="34">
        <f t="shared" si="4"/>
        <v>2.8236365706478393E-2</v>
      </c>
    </row>
    <row r="250" spans="13:15" x14ac:dyDescent="0.3">
      <c r="M250" s="35">
        <v>15.85</v>
      </c>
      <c r="N250">
        <v>305</v>
      </c>
      <c r="O250" s="34">
        <f t="shared" si="4"/>
        <v>2.8350222019810967E-2</v>
      </c>
    </row>
    <row r="251" spans="13:15" x14ac:dyDescent="0.3">
      <c r="M251" s="35">
        <v>15.86</v>
      </c>
      <c r="N251">
        <v>305</v>
      </c>
      <c r="O251" s="34">
        <f t="shared" si="4"/>
        <v>2.8464078333143541E-2</v>
      </c>
    </row>
    <row r="252" spans="13:15" x14ac:dyDescent="0.3">
      <c r="M252" s="35">
        <v>15.87</v>
      </c>
      <c r="N252">
        <v>305</v>
      </c>
      <c r="O252" s="34">
        <f t="shared" si="4"/>
        <v>2.8577934646476115E-2</v>
      </c>
    </row>
    <row r="253" spans="13:15" x14ac:dyDescent="0.3">
      <c r="M253" s="35">
        <v>15.88</v>
      </c>
      <c r="N253">
        <v>305</v>
      </c>
      <c r="O253" s="34">
        <f t="shared" si="4"/>
        <v>2.8691790959808689E-2</v>
      </c>
    </row>
    <row r="254" spans="13:15" x14ac:dyDescent="0.3">
      <c r="M254" s="35">
        <v>15.89</v>
      </c>
      <c r="N254">
        <v>305</v>
      </c>
      <c r="O254" s="34">
        <f t="shared" si="4"/>
        <v>2.8805647273141263E-2</v>
      </c>
    </row>
    <row r="255" spans="13:15" x14ac:dyDescent="0.3">
      <c r="M255" s="35">
        <v>15.91</v>
      </c>
      <c r="N255">
        <v>305</v>
      </c>
      <c r="O255" s="34">
        <f t="shared" si="4"/>
        <v>2.8919503586473837E-2</v>
      </c>
    </row>
    <row r="256" spans="13:15" x14ac:dyDescent="0.3">
      <c r="M256" s="35">
        <v>15.92</v>
      </c>
      <c r="N256">
        <v>305</v>
      </c>
      <c r="O256" s="34">
        <f t="shared" si="4"/>
        <v>2.9033359899806412E-2</v>
      </c>
    </row>
    <row r="257" spans="13:15" x14ac:dyDescent="0.3">
      <c r="M257" s="35">
        <v>15.92</v>
      </c>
      <c r="N257">
        <v>305</v>
      </c>
      <c r="O257" s="34">
        <f t="shared" si="4"/>
        <v>2.9147216213138986E-2</v>
      </c>
    </row>
    <row r="258" spans="13:15" x14ac:dyDescent="0.3">
      <c r="M258" s="35">
        <v>15.95</v>
      </c>
      <c r="N258">
        <v>305</v>
      </c>
      <c r="O258" s="34">
        <f t="shared" si="4"/>
        <v>2.926107252647156E-2</v>
      </c>
    </row>
    <row r="259" spans="13:15" x14ac:dyDescent="0.3">
      <c r="M259" s="35">
        <v>15.97</v>
      </c>
      <c r="N259">
        <v>305</v>
      </c>
      <c r="O259" s="34">
        <f t="shared" si="4"/>
        <v>2.9374928839804134E-2</v>
      </c>
    </row>
    <row r="260" spans="13:15" x14ac:dyDescent="0.3">
      <c r="M260" s="35">
        <v>15.97</v>
      </c>
      <c r="N260">
        <v>305</v>
      </c>
      <c r="O260" s="34">
        <f t="shared" ref="O260:O323" si="5">O259+O$2</f>
        <v>2.9488785153136708E-2</v>
      </c>
    </row>
    <row r="261" spans="13:15" x14ac:dyDescent="0.3">
      <c r="M261" s="35">
        <v>15.97</v>
      </c>
      <c r="N261">
        <v>305</v>
      </c>
      <c r="O261" s="34">
        <f t="shared" si="5"/>
        <v>2.9602641466469282E-2</v>
      </c>
    </row>
    <row r="262" spans="13:15" x14ac:dyDescent="0.3">
      <c r="M262" s="35">
        <v>15.97</v>
      </c>
      <c r="N262">
        <v>305</v>
      </c>
      <c r="O262" s="34">
        <f t="shared" si="5"/>
        <v>2.9716497779801856E-2</v>
      </c>
    </row>
    <row r="263" spans="13:15" x14ac:dyDescent="0.3">
      <c r="M263" s="35">
        <v>15.97</v>
      </c>
      <c r="N263">
        <v>305</v>
      </c>
      <c r="O263" s="34">
        <f t="shared" si="5"/>
        <v>2.9830354093134431E-2</v>
      </c>
    </row>
    <row r="264" spans="13:15" x14ac:dyDescent="0.3">
      <c r="M264" s="35">
        <v>15.98</v>
      </c>
      <c r="N264">
        <v>305</v>
      </c>
      <c r="O264" s="34">
        <f t="shared" si="5"/>
        <v>2.9944210406467005E-2</v>
      </c>
    </row>
    <row r="265" spans="13:15" x14ac:dyDescent="0.3">
      <c r="M265" s="35">
        <v>15.98</v>
      </c>
      <c r="N265">
        <v>305</v>
      </c>
      <c r="O265" s="34">
        <f t="shared" si="5"/>
        <v>3.0058066719799579E-2</v>
      </c>
    </row>
    <row r="266" spans="13:15" x14ac:dyDescent="0.3">
      <c r="M266" s="35">
        <v>16</v>
      </c>
      <c r="N266">
        <v>305</v>
      </c>
      <c r="O266" s="34">
        <f t="shared" si="5"/>
        <v>3.0171923033132153E-2</v>
      </c>
    </row>
    <row r="267" spans="13:15" x14ac:dyDescent="0.3">
      <c r="M267" s="35">
        <v>16</v>
      </c>
      <c r="N267">
        <v>305</v>
      </c>
      <c r="O267" s="34">
        <f t="shared" si="5"/>
        <v>3.0285779346464727E-2</v>
      </c>
    </row>
    <row r="268" spans="13:15" x14ac:dyDescent="0.3">
      <c r="M268" s="35">
        <v>16.02</v>
      </c>
      <c r="N268">
        <v>305</v>
      </c>
      <c r="O268" s="34">
        <f t="shared" si="5"/>
        <v>3.0399635659797301E-2</v>
      </c>
    </row>
    <row r="269" spans="13:15" x14ac:dyDescent="0.3">
      <c r="M269" s="35">
        <v>16.03</v>
      </c>
      <c r="N269">
        <v>305</v>
      </c>
      <c r="O269" s="34">
        <f t="shared" si="5"/>
        <v>3.0513491973129876E-2</v>
      </c>
    </row>
    <row r="270" spans="13:15" x14ac:dyDescent="0.3">
      <c r="M270" s="35">
        <v>16.05</v>
      </c>
      <c r="N270">
        <v>305</v>
      </c>
      <c r="O270" s="34">
        <f t="shared" si="5"/>
        <v>3.062734828646245E-2</v>
      </c>
    </row>
    <row r="271" spans="13:15" x14ac:dyDescent="0.3">
      <c r="M271" s="35">
        <v>16.059999999999999</v>
      </c>
      <c r="N271">
        <v>305</v>
      </c>
      <c r="O271" s="34">
        <f t="shared" si="5"/>
        <v>3.0741204599795024E-2</v>
      </c>
    </row>
    <row r="272" spans="13:15" x14ac:dyDescent="0.3">
      <c r="M272" s="35">
        <v>16.059999999999999</v>
      </c>
      <c r="N272">
        <v>305</v>
      </c>
      <c r="O272" s="34">
        <f t="shared" si="5"/>
        <v>3.0855060913127598E-2</v>
      </c>
    </row>
    <row r="273" spans="13:15" x14ac:dyDescent="0.3">
      <c r="M273" s="35">
        <v>16.059999999999999</v>
      </c>
      <c r="N273">
        <v>305</v>
      </c>
      <c r="O273" s="34">
        <f t="shared" si="5"/>
        <v>3.0968917226460172E-2</v>
      </c>
    </row>
    <row r="274" spans="13:15" x14ac:dyDescent="0.3">
      <c r="M274" s="35">
        <v>16.09</v>
      </c>
      <c r="N274">
        <v>305</v>
      </c>
      <c r="O274" s="34">
        <f t="shared" si="5"/>
        <v>3.1082773539792746E-2</v>
      </c>
    </row>
    <row r="275" spans="13:15" x14ac:dyDescent="0.3">
      <c r="M275" s="35">
        <v>16.100000000000001</v>
      </c>
      <c r="N275">
        <v>305</v>
      </c>
      <c r="O275" s="34">
        <f t="shared" si="5"/>
        <v>3.119662985312532E-2</v>
      </c>
    </row>
    <row r="276" spans="13:15" x14ac:dyDescent="0.3">
      <c r="M276" s="35">
        <v>16.100000000000001</v>
      </c>
      <c r="N276">
        <v>305</v>
      </c>
      <c r="O276" s="34">
        <f t="shared" si="5"/>
        <v>3.1310486166457895E-2</v>
      </c>
    </row>
    <row r="277" spans="13:15" x14ac:dyDescent="0.3">
      <c r="M277" s="35">
        <v>16.14</v>
      </c>
      <c r="N277">
        <v>305</v>
      </c>
      <c r="O277" s="34">
        <f t="shared" si="5"/>
        <v>3.1424342479790472E-2</v>
      </c>
    </row>
    <row r="278" spans="13:15" x14ac:dyDescent="0.3">
      <c r="M278" s="35">
        <v>16.149999999999999</v>
      </c>
      <c r="N278">
        <v>305</v>
      </c>
      <c r="O278" s="34">
        <f t="shared" si="5"/>
        <v>3.153819879312305E-2</v>
      </c>
    </row>
    <row r="279" spans="13:15" x14ac:dyDescent="0.3">
      <c r="M279" s="35">
        <v>16.18</v>
      </c>
      <c r="N279">
        <v>305</v>
      </c>
      <c r="O279" s="34">
        <f t="shared" si="5"/>
        <v>3.1652055106455627E-2</v>
      </c>
    </row>
    <row r="280" spans="13:15" x14ac:dyDescent="0.3">
      <c r="M280" s="35">
        <v>16.190000000000001</v>
      </c>
      <c r="N280">
        <v>305</v>
      </c>
      <c r="O280" s="34">
        <f t="shared" si="5"/>
        <v>3.1765911419788205E-2</v>
      </c>
    </row>
    <row r="281" spans="13:15" x14ac:dyDescent="0.3">
      <c r="M281" s="35">
        <v>16.190000000000001</v>
      </c>
      <c r="N281">
        <v>305</v>
      </c>
      <c r="O281" s="34">
        <f t="shared" si="5"/>
        <v>3.1879767733120783E-2</v>
      </c>
    </row>
    <row r="282" spans="13:15" x14ac:dyDescent="0.3">
      <c r="M282" s="35">
        <v>16.190000000000001</v>
      </c>
      <c r="N282">
        <v>305</v>
      </c>
      <c r="O282" s="34">
        <f t="shared" si="5"/>
        <v>3.199362404645336E-2</v>
      </c>
    </row>
    <row r="283" spans="13:15" x14ac:dyDescent="0.3">
      <c r="M283" s="35">
        <v>16.190000000000001</v>
      </c>
      <c r="N283">
        <v>305</v>
      </c>
      <c r="O283" s="34">
        <f t="shared" si="5"/>
        <v>3.2107480359785938E-2</v>
      </c>
    </row>
    <row r="284" spans="13:15" x14ac:dyDescent="0.3">
      <c r="M284" s="35">
        <v>16.21</v>
      </c>
      <c r="N284">
        <v>305</v>
      </c>
      <c r="O284" s="34">
        <f t="shared" si="5"/>
        <v>3.2221336673118516E-2</v>
      </c>
    </row>
    <row r="285" spans="13:15" x14ac:dyDescent="0.3">
      <c r="M285" s="35">
        <v>16.21</v>
      </c>
      <c r="N285">
        <v>305</v>
      </c>
      <c r="O285" s="34">
        <f t="shared" si="5"/>
        <v>3.2335192986451093E-2</v>
      </c>
    </row>
    <row r="286" spans="13:15" x14ac:dyDescent="0.3">
      <c r="M286" s="35">
        <v>16.22</v>
      </c>
      <c r="N286">
        <v>305</v>
      </c>
      <c r="O286" s="34">
        <f t="shared" si="5"/>
        <v>3.2449049299783671E-2</v>
      </c>
    </row>
    <row r="287" spans="13:15" x14ac:dyDescent="0.3">
      <c r="M287" s="35">
        <v>16.23</v>
      </c>
      <c r="N287">
        <v>305</v>
      </c>
      <c r="O287" s="34">
        <f t="shared" si="5"/>
        <v>3.2562905613116248E-2</v>
      </c>
    </row>
    <row r="288" spans="13:15" x14ac:dyDescent="0.3">
      <c r="M288" s="35">
        <v>16.23</v>
      </c>
      <c r="N288">
        <v>305</v>
      </c>
      <c r="O288" s="34">
        <f t="shared" si="5"/>
        <v>3.2676761926448826E-2</v>
      </c>
    </row>
    <row r="289" spans="13:15" x14ac:dyDescent="0.3">
      <c r="M289" s="35">
        <v>16.25</v>
      </c>
      <c r="N289">
        <v>305</v>
      </c>
      <c r="O289" s="34">
        <f t="shared" si="5"/>
        <v>3.2790618239781404E-2</v>
      </c>
    </row>
    <row r="290" spans="13:15" x14ac:dyDescent="0.3">
      <c r="M290" s="35">
        <v>16.27</v>
      </c>
      <c r="N290">
        <v>305</v>
      </c>
      <c r="O290" s="34">
        <f t="shared" si="5"/>
        <v>3.2904474553113981E-2</v>
      </c>
    </row>
    <row r="291" spans="13:15" x14ac:dyDescent="0.3">
      <c r="M291" s="35">
        <v>16.28</v>
      </c>
      <c r="N291">
        <v>305</v>
      </c>
      <c r="O291" s="34">
        <f t="shared" si="5"/>
        <v>3.3018330866446559E-2</v>
      </c>
    </row>
    <row r="292" spans="13:15" x14ac:dyDescent="0.3">
      <c r="M292" s="35">
        <v>16.28</v>
      </c>
      <c r="N292">
        <v>305</v>
      </c>
      <c r="O292" s="34">
        <f t="shared" si="5"/>
        <v>3.3132187179779136E-2</v>
      </c>
    </row>
    <row r="293" spans="13:15" x14ac:dyDescent="0.3">
      <c r="M293" s="35">
        <v>16.3</v>
      </c>
      <c r="N293">
        <v>305</v>
      </c>
      <c r="O293" s="34">
        <f t="shared" si="5"/>
        <v>3.3246043493111714E-2</v>
      </c>
    </row>
    <row r="294" spans="13:15" x14ac:dyDescent="0.3">
      <c r="M294" s="35">
        <v>16.32</v>
      </c>
      <c r="N294">
        <v>305</v>
      </c>
      <c r="O294" s="34">
        <f t="shared" si="5"/>
        <v>3.3359899806444292E-2</v>
      </c>
    </row>
    <row r="295" spans="13:15" x14ac:dyDescent="0.3">
      <c r="M295" s="35">
        <v>16.32</v>
      </c>
      <c r="N295">
        <v>305</v>
      </c>
      <c r="O295" s="34">
        <f t="shared" si="5"/>
        <v>3.3473756119776869E-2</v>
      </c>
    </row>
    <row r="296" spans="13:15" x14ac:dyDescent="0.3">
      <c r="M296" s="35">
        <v>16.329999999999998</v>
      </c>
      <c r="N296">
        <v>305</v>
      </c>
      <c r="O296" s="34">
        <f t="shared" si="5"/>
        <v>3.3587612433109447E-2</v>
      </c>
    </row>
    <row r="297" spans="13:15" x14ac:dyDescent="0.3">
      <c r="M297" s="35">
        <v>16.329999999999998</v>
      </c>
      <c r="N297">
        <v>305</v>
      </c>
      <c r="O297" s="34">
        <f t="shared" si="5"/>
        <v>3.3701468746442025E-2</v>
      </c>
    </row>
    <row r="298" spans="13:15" x14ac:dyDescent="0.3">
      <c r="M298" s="35">
        <v>16.329999999999998</v>
      </c>
      <c r="N298">
        <v>305</v>
      </c>
      <c r="O298" s="34">
        <f t="shared" si="5"/>
        <v>3.3815325059774602E-2</v>
      </c>
    </row>
    <row r="299" spans="13:15" x14ac:dyDescent="0.3">
      <c r="M299" s="35">
        <v>16.34</v>
      </c>
      <c r="N299">
        <v>305</v>
      </c>
      <c r="O299" s="34">
        <f t="shared" si="5"/>
        <v>3.392918137310718E-2</v>
      </c>
    </row>
    <row r="300" spans="13:15" x14ac:dyDescent="0.3">
      <c r="M300" s="35">
        <v>16.36</v>
      </c>
      <c r="N300">
        <v>305</v>
      </c>
      <c r="O300" s="34">
        <f t="shared" si="5"/>
        <v>3.4043037686439757E-2</v>
      </c>
    </row>
    <row r="301" spans="13:15" x14ac:dyDescent="0.3">
      <c r="M301" s="35">
        <v>16.37</v>
      </c>
      <c r="N301">
        <v>305</v>
      </c>
      <c r="O301" s="34">
        <f t="shared" si="5"/>
        <v>3.4156893999772335E-2</v>
      </c>
    </row>
    <row r="302" spans="13:15" x14ac:dyDescent="0.3">
      <c r="M302" s="35">
        <v>16.39</v>
      </c>
      <c r="N302">
        <v>305</v>
      </c>
      <c r="O302" s="34">
        <f t="shared" si="5"/>
        <v>3.4270750313104913E-2</v>
      </c>
    </row>
    <row r="303" spans="13:15" x14ac:dyDescent="0.3">
      <c r="M303" s="35">
        <v>16.39</v>
      </c>
      <c r="N303">
        <v>305</v>
      </c>
      <c r="O303" s="34">
        <f t="shared" si="5"/>
        <v>3.438460662643749E-2</v>
      </c>
    </row>
    <row r="304" spans="13:15" x14ac:dyDescent="0.3">
      <c r="M304" s="35">
        <v>16.41</v>
      </c>
      <c r="N304">
        <v>305</v>
      </c>
      <c r="O304" s="34">
        <f t="shared" si="5"/>
        <v>3.4498462939770068E-2</v>
      </c>
    </row>
    <row r="305" spans="13:15" x14ac:dyDescent="0.3">
      <c r="M305" s="35">
        <v>16.420000000000002</v>
      </c>
      <c r="N305">
        <v>305</v>
      </c>
      <c r="O305" s="34">
        <f t="shared" si="5"/>
        <v>3.4612319253102646E-2</v>
      </c>
    </row>
    <row r="306" spans="13:15" x14ac:dyDescent="0.3">
      <c r="M306" s="35">
        <v>16.420000000000002</v>
      </c>
      <c r="N306">
        <v>305</v>
      </c>
      <c r="O306" s="34">
        <f t="shared" si="5"/>
        <v>3.4726175566435223E-2</v>
      </c>
    </row>
    <row r="307" spans="13:15" x14ac:dyDescent="0.3">
      <c r="M307" s="35">
        <v>16.420000000000002</v>
      </c>
      <c r="N307">
        <v>305</v>
      </c>
      <c r="O307" s="34">
        <f t="shared" si="5"/>
        <v>3.4840031879767801E-2</v>
      </c>
    </row>
    <row r="308" spans="13:15" x14ac:dyDescent="0.3">
      <c r="M308" s="35">
        <v>16.420000000000002</v>
      </c>
      <c r="N308">
        <v>305</v>
      </c>
      <c r="O308" s="34">
        <f t="shared" si="5"/>
        <v>3.4953888193100378E-2</v>
      </c>
    </row>
    <row r="309" spans="13:15" x14ac:dyDescent="0.3">
      <c r="M309" s="35">
        <v>16.43</v>
      </c>
      <c r="N309">
        <v>305</v>
      </c>
      <c r="O309" s="34">
        <f t="shared" si="5"/>
        <v>3.5067744506432956E-2</v>
      </c>
    </row>
    <row r="310" spans="13:15" x14ac:dyDescent="0.3">
      <c r="M310" s="35">
        <v>16.440000000000001</v>
      </c>
      <c r="N310">
        <v>305</v>
      </c>
      <c r="O310" s="34">
        <f t="shared" si="5"/>
        <v>3.5181600819765534E-2</v>
      </c>
    </row>
    <row r="311" spans="13:15" x14ac:dyDescent="0.3">
      <c r="M311" s="35">
        <v>16.46</v>
      </c>
      <c r="N311">
        <v>305</v>
      </c>
      <c r="O311" s="34">
        <f t="shared" si="5"/>
        <v>3.5295457133098111E-2</v>
      </c>
    </row>
    <row r="312" spans="13:15" x14ac:dyDescent="0.3">
      <c r="M312" s="35">
        <v>16.46</v>
      </c>
      <c r="N312">
        <v>305</v>
      </c>
      <c r="O312" s="34">
        <f t="shared" si="5"/>
        <v>3.5409313446430689E-2</v>
      </c>
    </row>
    <row r="313" spans="13:15" x14ac:dyDescent="0.3">
      <c r="M313" s="35">
        <v>16.46</v>
      </c>
      <c r="N313">
        <v>305</v>
      </c>
      <c r="O313" s="34">
        <f t="shared" si="5"/>
        <v>3.5523169759763266E-2</v>
      </c>
    </row>
    <row r="314" spans="13:15" x14ac:dyDescent="0.3">
      <c r="M314" s="35">
        <v>16.47</v>
      </c>
      <c r="N314">
        <v>305</v>
      </c>
      <c r="O314" s="34">
        <f t="shared" si="5"/>
        <v>3.5637026073095844E-2</v>
      </c>
    </row>
    <row r="315" spans="13:15" x14ac:dyDescent="0.3">
      <c r="M315" s="35">
        <v>16.47</v>
      </c>
      <c r="N315">
        <v>305</v>
      </c>
      <c r="O315" s="34">
        <f t="shared" si="5"/>
        <v>3.5750882386428422E-2</v>
      </c>
    </row>
    <row r="316" spans="13:15" x14ac:dyDescent="0.3">
      <c r="M316" s="35">
        <v>16.48</v>
      </c>
      <c r="N316">
        <v>305</v>
      </c>
      <c r="O316" s="34">
        <f t="shared" si="5"/>
        <v>3.5864738699760999E-2</v>
      </c>
    </row>
    <row r="317" spans="13:15" x14ac:dyDescent="0.3">
      <c r="M317" s="35">
        <v>16.489999999999998</v>
      </c>
      <c r="N317">
        <v>305</v>
      </c>
      <c r="O317" s="34">
        <f t="shared" si="5"/>
        <v>3.5978595013093577E-2</v>
      </c>
    </row>
    <row r="318" spans="13:15" x14ac:dyDescent="0.3">
      <c r="M318" s="35">
        <v>16.489999999999998</v>
      </c>
      <c r="N318">
        <v>305</v>
      </c>
      <c r="O318" s="34">
        <f t="shared" si="5"/>
        <v>3.6092451326426155E-2</v>
      </c>
    </row>
    <row r="319" spans="13:15" x14ac:dyDescent="0.3">
      <c r="M319" s="35">
        <v>16.489999999999998</v>
      </c>
      <c r="N319">
        <v>305</v>
      </c>
      <c r="O319" s="34">
        <f t="shared" si="5"/>
        <v>3.6206307639758732E-2</v>
      </c>
    </row>
    <row r="320" spans="13:15" x14ac:dyDescent="0.3">
      <c r="M320" s="35">
        <v>16.5</v>
      </c>
      <c r="N320">
        <v>305</v>
      </c>
      <c r="O320" s="34">
        <f t="shared" si="5"/>
        <v>3.632016395309131E-2</v>
      </c>
    </row>
    <row r="321" spans="13:15" x14ac:dyDescent="0.3">
      <c r="M321" s="35">
        <v>16.510000000000002</v>
      </c>
      <c r="N321">
        <v>305</v>
      </c>
      <c r="O321" s="34">
        <f t="shared" si="5"/>
        <v>3.6434020266423887E-2</v>
      </c>
    </row>
    <row r="322" spans="13:15" x14ac:dyDescent="0.3">
      <c r="M322" s="35">
        <v>16.510000000000002</v>
      </c>
      <c r="N322">
        <v>305</v>
      </c>
      <c r="O322" s="34">
        <f t="shared" si="5"/>
        <v>3.6547876579756465E-2</v>
      </c>
    </row>
    <row r="323" spans="13:15" x14ac:dyDescent="0.3">
      <c r="M323" s="35">
        <v>16.52</v>
      </c>
      <c r="N323">
        <v>305</v>
      </c>
      <c r="O323" s="34">
        <f t="shared" si="5"/>
        <v>3.6661732893089043E-2</v>
      </c>
    </row>
    <row r="324" spans="13:15" x14ac:dyDescent="0.3">
      <c r="M324" s="35">
        <v>16.52</v>
      </c>
      <c r="N324">
        <v>305</v>
      </c>
      <c r="O324" s="34">
        <f t="shared" ref="O324:O387" si="6">O323+O$2</f>
        <v>3.677558920642162E-2</v>
      </c>
    </row>
    <row r="325" spans="13:15" x14ac:dyDescent="0.3">
      <c r="M325" s="35">
        <v>16.52</v>
      </c>
      <c r="N325">
        <v>305</v>
      </c>
      <c r="O325" s="34">
        <f t="shared" si="6"/>
        <v>3.6889445519754198E-2</v>
      </c>
    </row>
    <row r="326" spans="13:15" x14ac:dyDescent="0.3">
      <c r="M326" s="35">
        <v>16.53</v>
      </c>
      <c r="N326">
        <v>305</v>
      </c>
      <c r="O326" s="34">
        <f t="shared" si="6"/>
        <v>3.7003301833086776E-2</v>
      </c>
    </row>
    <row r="327" spans="13:15" x14ac:dyDescent="0.3">
      <c r="M327" s="35">
        <v>16.54</v>
      </c>
      <c r="N327">
        <v>305</v>
      </c>
      <c r="O327" s="34">
        <f t="shared" si="6"/>
        <v>3.7117158146419353E-2</v>
      </c>
    </row>
    <row r="328" spans="13:15" x14ac:dyDescent="0.3">
      <c r="M328" s="35">
        <v>16.54</v>
      </c>
      <c r="N328">
        <v>305</v>
      </c>
      <c r="O328" s="34">
        <f t="shared" si="6"/>
        <v>3.7231014459751931E-2</v>
      </c>
    </row>
    <row r="329" spans="13:15" x14ac:dyDescent="0.3">
      <c r="M329" s="35">
        <v>16.54</v>
      </c>
      <c r="N329">
        <v>305</v>
      </c>
      <c r="O329" s="34">
        <f t="shared" si="6"/>
        <v>3.7344870773084508E-2</v>
      </c>
    </row>
    <row r="330" spans="13:15" x14ac:dyDescent="0.3">
      <c r="M330" s="35">
        <v>16.55</v>
      </c>
      <c r="N330">
        <v>305</v>
      </c>
      <c r="O330" s="34">
        <f t="shared" si="6"/>
        <v>3.7458727086417086E-2</v>
      </c>
    </row>
    <row r="331" spans="13:15" x14ac:dyDescent="0.3">
      <c r="M331" s="35">
        <v>16.55</v>
      </c>
      <c r="N331">
        <v>305</v>
      </c>
      <c r="O331" s="34">
        <f t="shared" si="6"/>
        <v>3.7572583399749664E-2</v>
      </c>
    </row>
    <row r="332" spans="13:15" x14ac:dyDescent="0.3">
      <c r="M332" s="35">
        <v>16.55</v>
      </c>
      <c r="N332">
        <v>305</v>
      </c>
      <c r="O332" s="34">
        <f t="shared" si="6"/>
        <v>3.7686439713082241E-2</v>
      </c>
    </row>
    <row r="333" spans="13:15" x14ac:dyDescent="0.3">
      <c r="M333" s="35">
        <v>16.559999999999999</v>
      </c>
      <c r="N333">
        <v>305</v>
      </c>
      <c r="O333" s="34">
        <f t="shared" si="6"/>
        <v>3.7800296026414819E-2</v>
      </c>
    </row>
    <row r="334" spans="13:15" x14ac:dyDescent="0.3">
      <c r="M334" s="35">
        <v>16.579999999999998</v>
      </c>
      <c r="N334">
        <v>305</v>
      </c>
      <c r="O334" s="34">
        <f t="shared" si="6"/>
        <v>3.7914152339747396E-2</v>
      </c>
    </row>
    <row r="335" spans="13:15" x14ac:dyDescent="0.3">
      <c r="M335" s="35">
        <v>16.579999999999998</v>
      </c>
      <c r="N335">
        <v>305</v>
      </c>
      <c r="O335" s="34">
        <f t="shared" si="6"/>
        <v>3.8028008653079974E-2</v>
      </c>
    </row>
    <row r="336" spans="13:15" x14ac:dyDescent="0.3">
      <c r="M336" s="35">
        <v>16.59</v>
      </c>
      <c r="N336">
        <v>305</v>
      </c>
      <c r="O336" s="34">
        <f t="shared" si="6"/>
        <v>3.8141864966412552E-2</v>
      </c>
    </row>
    <row r="337" spans="13:15" x14ac:dyDescent="0.3">
      <c r="M337" s="35">
        <v>16.59</v>
      </c>
      <c r="N337">
        <v>305</v>
      </c>
      <c r="O337" s="34">
        <f t="shared" si="6"/>
        <v>3.8255721279745129E-2</v>
      </c>
    </row>
    <row r="338" spans="13:15" x14ac:dyDescent="0.3">
      <c r="M338" s="35">
        <v>16.59</v>
      </c>
      <c r="N338">
        <v>305</v>
      </c>
      <c r="O338" s="34">
        <f t="shared" si="6"/>
        <v>3.8369577593077707E-2</v>
      </c>
    </row>
    <row r="339" spans="13:15" x14ac:dyDescent="0.3">
      <c r="M339" s="35">
        <v>16.59</v>
      </c>
      <c r="N339">
        <v>305</v>
      </c>
      <c r="O339" s="34">
        <f t="shared" si="6"/>
        <v>3.8483433906410285E-2</v>
      </c>
    </row>
    <row r="340" spans="13:15" x14ac:dyDescent="0.3">
      <c r="M340" s="35">
        <v>16.600000000000001</v>
      </c>
      <c r="N340">
        <v>305</v>
      </c>
      <c r="O340" s="34">
        <f t="shared" si="6"/>
        <v>3.8597290219742862E-2</v>
      </c>
    </row>
    <row r="341" spans="13:15" x14ac:dyDescent="0.3">
      <c r="M341" s="35">
        <v>16.62</v>
      </c>
      <c r="N341">
        <v>305</v>
      </c>
      <c r="O341" s="34">
        <f t="shared" si="6"/>
        <v>3.871114653307544E-2</v>
      </c>
    </row>
    <row r="342" spans="13:15" x14ac:dyDescent="0.3">
      <c r="M342" s="35">
        <v>16.63</v>
      </c>
      <c r="N342">
        <v>305</v>
      </c>
      <c r="O342" s="34">
        <f t="shared" si="6"/>
        <v>3.8825002846408017E-2</v>
      </c>
    </row>
    <row r="343" spans="13:15" x14ac:dyDescent="0.3">
      <c r="M343" s="35">
        <v>16.63</v>
      </c>
      <c r="N343">
        <v>305</v>
      </c>
      <c r="O343" s="34">
        <f t="shared" si="6"/>
        <v>3.8938859159740595E-2</v>
      </c>
    </row>
    <row r="344" spans="13:15" x14ac:dyDescent="0.3">
      <c r="M344" s="35">
        <v>16.63</v>
      </c>
      <c r="N344">
        <v>305</v>
      </c>
      <c r="O344" s="34">
        <f t="shared" si="6"/>
        <v>3.9052715473073173E-2</v>
      </c>
    </row>
    <row r="345" spans="13:15" x14ac:dyDescent="0.3">
      <c r="M345" s="35">
        <v>16.64</v>
      </c>
      <c r="N345">
        <v>305</v>
      </c>
      <c r="O345" s="34">
        <f t="shared" si="6"/>
        <v>3.916657178640575E-2</v>
      </c>
    </row>
    <row r="346" spans="13:15" x14ac:dyDescent="0.3">
      <c r="M346" s="35">
        <v>16.64</v>
      </c>
      <c r="N346">
        <v>305</v>
      </c>
      <c r="O346" s="34">
        <f t="shared" si="6"/>
        <v>3.9280428099738328E-2</v>
      </c>
    </row>
    <row r="347" spans="13:15" x14ac:dyDescent="0.3">
      <c r="M347" s="35">
        <v>16.649999999999999</v>
      </c>
      <c r="N347">
        <v>305</v>
      </c>
      <c r="O347" s="34">
        <f t="shared" si="6"/>
        <v>3.9394284413070906E-2</v>
      </c>
    </row>
    <row r="348" spans="13:15" x14ac:dyDescent="0.3">
      <c r="M348" s="35">
        <v>16.66</v>
      </c>
      <c r="N348">
        <v>305</v>
      </c>
      <c r="O348" s="34">
        <f t="shared" si="6"/>
        <v>3.9508140726403483E-2</v>
      </c>
    </row>
    <row r="349" spans="13:15" x14ac:dyDescent="0.3">
      <c r="M349" s="35">
        <v>16.670000000000002</v>
      </c>
      <c r="N349">
        <v>305</v>
      </c>
      <c r="O349" s="34">
        <f t="shared" si="6"/>
        <v>3.9621997039736061E-2</v>
      </c>
    </row>
    <row r="350" spans="13:15" x14ac:dyDescent="0.3">
      <c r="M350" s="35">
        <v>16.670000000000002</v>
      </c>
      <c r="N350">
        <v>305</v>
      </c>
      <c r="O350" s="34">
        <f t="shared" si="6"/>
        <v>3.9735853353068638E-2</v>
      </c>
    </row>
    <row r="351" spans="13:15" x14ac:dyDescent="0.3">
      <c r="M351" s="35">
        <v>16.670000000000002</v>
      </c>
      <c r="N351">
        <v>305</v>
      </c>
      <c r="O351" s="34">
        <f t="shared" si="6"/>
        <v>3.9849709666401216E-2</v>
      </c>
    </row>
    <row r="352" spans="13:15" x14ac:dyDescent="0.3">
      <c r="M352" s="35">
        <v>16.670000000000002</v>
      </c>
      <c r="N352">
        <v>305</v>
      </c>
      <c r="O352" s="34">
        <f t="shared" si="6"/>
        <v>3.9963565979733794E-2</v>
      </c>
    </row>
    <row r="353" spans="13:15" x14ac:dyDescent="0.3">
      <c r="M353" s="35">
        <v>16.68</v>
      </c>
      <c r="N353">
        <v>305</v>
      </c>
      <c r="O353" s="34">
        <f t="shared" si="6"/>
        <v>4.0077422293066371E-2</v>
      </c>
    </row>
    <row r="354" spans="13:15" x14ac:dyDescent="0.3">
      <c r="M354" s="35">
        <v>16.68</v>
      </c>
      <c r="N354">
        <v>305</v>
      </c>
      <c r="O354" s="34">
        <f t="shared" si="6"/>
        <v>4.0191278606398949E-2</v>
      </c>
    </row>
    <row r="355" spans="13:15" x14ac:dyDescent="0.3">
      <c r="M355" s="35">
        <v>16.68</v>
      </c>
      <c r="N355">
        <v>305</v>
      </c>
      <c r="O355" s="34">
        <f t="shared" si="6"/>
        <v>4.0305134919731526E-2</v>
      </c>
    </row>
    <row r="356" spans="13:15" x14ac:dyDescent="0.3">
      <c r="M356" s="35">
        <v>16.68</v>
      </c>
      <c r="N356">
        <v>305</v>
      </c>
      <c r="O356" s="34">
        <f t="shared" si="6"/>
        <v>4.0418991233064104E-2</v>
      </c>
    </row>
    <row r="357" spans="13:15" x14ac:dyDescent="0.3">
      <c r="M357" s="35">
        <v>16.7</v>
      </c>
      <c r="N357">
        <v>305</v>
      </c>
      <c r="O357" s="34">
        <f t="shared" si="6"/>
        <v>4.0532847546396682E-2</v>
      </c>
    </row>
    <row r="358" spans="13:15" x14ac:dyDescent="0.3">
      <c r="M358" s="35">
        <v>16.7</v>
      </c>
      <c r="N358">
        <v>305</v>
      </c>
      <c r="O358" s="34">
        <f t="shared" si="6"/>
        <v>4.0646703859729259E-2</v>
      </c>
    </row>
    <row r="359" spans="13:15" x14ac:dyDescent="0.3">
      <c r="M359" s="35">
        <v>16.71</v>
      </c>
      <c r="N359">
        <v>305</v>
      </c>
      <c r="O359" s="34">
        <f t="shared" si="6"/>
        <v>4.0760560173061837E-2</v>
      </c>
    </row>
    <row r="360" spans="13:15" x14ac:dyDescent="0.3">
      <c r="M360" s="35">
        <v>16.71</v>
      </c>
      <c r="N360">
        <v>305</v>
      </c>
      <c r="O360" s="34">
        <f t="shared" si="6"/>
        <v>4.0874416486394415E-2</v>
      </c>
    </row>
    <row r="361" spans="13:15" x14ac:dyDescent="0.3">
      <c r="M361" s="35">
        <v>16.72</v>
      </c>
      <c r="N361">
        <v>305</v>
      </c>
      <c r="O361" s="34">
        <f t="shared" si="6"/>
        <v>4.0988272799726992E-2</v>
      </c>
    </row>
    <row r="362" spans="13:15" x14ac:dyDescent="0.3">
      <c r="M362" s="35">
        <v>16.739999999999998</v>
      </c>
      <c r="N362">
        <v>305</v>
      </c>
      <c r="O362" s="34">
        <f t="shared" si="6"/>
        <v>4.110212911305957E-2</v>
      </c>
    </row>
    <row r="363" spans="13:15" x14ac:dyDescent="0.3">
      <c r="M363" s="35">
        <v>16.75</v>
      </c>
      <c r="N363">
        <v>305</v>
      </c>
      <c r="O363" s="34">
        <f t="shared" si="6"/>
        <v>4.1215985426392147E-2</v>
      </c>
    </row>
    <row r="364" spans="13:15" x14ac:dyDescent="0.3">
      <c r="M364" s="35">
        <v>16.760000000000002</v>
      </c>
      <c r="N364">
        <v>305</v>
      </c>
      <c r="O364" s="34">
        <f t="shared" si="6"/>
        <v>4.1329841739724725E-2</v>
      </c>
    </row>
    <row r="365" spans="13:15" x14ac:dyDescent="0.3">
      <c r="M365" s="35">
        <v>16.760000000000002</v>
      </c>
      <c r="N365">
        <v>305</v>
      </c>
      <c r="O365" s="34">
        <f t="shared" si="6"/>
        <v>4.1443698053057303E-2</v>
      </c>
    </row>
    <row r="366" spans="13:15" x14ac:dyDescent="0.3">
      <c r="M366" s="35">
        <v>16.78</v>
      </c>
      <c r="N366">
        <v>305</v>
      </c>
      <c r="O366" s="34">
        <f t="shared" si="6"/>
        <v>4.155755436638988E-2</v>
      </c>
    </row>
    <row r="367" spans="13:15" x14ac:dyDescent="0.3">
      <c r="M367" s="35">
        <v>16.79</v>
      </c>
      <c r="N367">
        <v>305</v>
      </c>
      <c r="O367" s="34">
        <f t="shared" si="6"/>
        <v>4.1671410679722458E-2</v>
      </c>
    </row>
    <row r="368" spans="13:15" x14ac:dyDescent="0.3">
      <c r="M368" s="35">
        <v>16.82</v>
      </c>
      <c r="N368">
        <v>305</v>
      </c>
      <c r="O368" s="34">
        <f t="shared" si="6"/>
        <v>4.1785266993055036E-2</v>
      </c>
    </row>
    <row r="369" spans="13:15" x14ac:dyDescent="0.3">
      <c r="M369" s="35">
        <v>16.82</v>
      </c>
      <c r="N369">
        <v>305</v>
      </c>
      <c r="O369" s="34">
        <f t="shared" si="6"/>
        <v>4.1899123306387613E-2</v>
      </c>
    </row>
    <row r="370" spans="13:15" x14ac:dyDescent="0.3">
      <c r="M370" s="35">
        <v>16.82</v>
      </c>
      <c r="N370">
        <v>305</v>
      </c>
      <c r="O370" s="34">
        <f t="shared" si="6"/>
        <v>4.2012979619720191E-2</v>
      </c>
    </row>
    <row r="371" spans="13:15" x14ac:dyDescent="0.3">
      <c r="M371" s="35">
        <v>16.829999999999998</v>
      </c>
      <c r="N371">
        <v>305</v>
      </c>
      <c r="O371" s="34">
        <f t="shared" si="6"/>
        <v>4.2126835933052768E-2</v>
      </c>
    </row>
    <row r="372" spans="13:15" x14ac:dyDescent="0.3">
      <c r="M372" s="35">
        <v>16.84</v>
      </c>
      <c r="N372">
        <v>305</v>
      </c>
      <c r="O372" s="34">
        <f t="shared" si="6"/>
        <v>4.2240692246385346E-2</v>
      </c>
    </row>
    <row r="373" spans="13:15" x14ac:dyDescent="0.3">
      <c r="M373" s="35">
        <v>16.850000000000001</v>
      </c>
      <c r="N373">
        <v>305</v>
      </c>
      <c r="O373" s="34">
        <f t="shared" si="6"/>
        <v>4.2354548559717924E-2</v>
      </c>
    </row>
    <row r="374" spans="13:15" x14ac:dyDescent="0.3">
      <c r="M374" s="35">
        <v>16.86</v>
      </c>
      <c r="N374">
        <v>305</v>
      </c>
      <c r="O374" s="34">
        <f t="shared" si="6"/>
        <v>4.2468404873050501E-2</v>
      </c>
    </row>
    <row r="375" spans="13:15" x14ac:dyDescent="0.3">
      <c r="M375" s="35">
        <v>16.86</v>
      </c>
      <c r="N375">
        <v>305</v>
      </c>
      <c r="O375" s="34">
        <f t="shared" si="6"/>
        <v>4.2582261186383079E-2</v>
      </c>
    </row>
    <row r="376" spans="13:15" x14ac:dyDescent="0.3">
      <c r="M376" s="35">
        <v>16.86</v>
      </c>
      <c r="N376">
        <v>305</v>
      </c>
      <c r="O376" s="34">
        <f t="shared" si="6"/>
        <v>4.2696117499715656E-2</v>
      </c>
    </row>
    <row r="377" spans="13:15" x14ac:dyDescent="0.3">
      <c r="M377" s="35">
        <v>16.87</v>
      </c>
      <c r="N377">
        <v>305</v>
      </c>
      <c r="O377" s="34">
        <f t="shared" si="6"/>
        <v>4.2809973813048234E-2</v>
      </c>
    </row>
    <row r="378" spans="13:15" x14ac:dyDescent="0.3">
      <c r="M378" s="35">
        <v>16.87</v>
      </c>
      <c r="N378">
        <v>305</v>
      </c>
      <c r="O378" s="34">
        <f t="shared" si="6"/>
        <v>4.2923830126380812E-2</v>
      </c>
    </row>
    <row r="379" spans="13:15" x14ac:dyDescent="0.3">
      <c r="M379" s="35">
        <v>16.88</v>
      </c>
      <c r="N379">
        <v>305</v>
      </c>
      <c r="O379" s="34">
        <f t="shared" si="6"/>
        <v>4.3037686439713389E-2</v>
      </c>
    </row>
    <row r="380" spans="13:15" x14ac:dyDescent="0.3">
      <c r="M380" s="35">
        <v>16.89</v>
      </c>
      <c r="N380">
        <v>305</v>
      </c>
      <c r="O380" s="34">
        <f t="shared" si="6"/>
        <v>4.3151542753045967E-2</v>
      </c>
    </row>
    <row r="381" spans="13:15" x14ac:dyDescent="0.3">
      <c r="M381" s="35">
        <v>16.89</v>
      </c>
      <c r="N381">
        <v>305</v>
      </c>
      <c r="O381" s="34">
        <f t="shared" si="6"/>
        <v>4.3265399066378545E-2</v>
      </c>
    </row>
    <row r="382" spans="13:15" x14ac:dyDescent="0.3">
      <c r="M382" s="35">
        <v>16.89</v>
      </c>
      <c r="N382">
        <v>305</v>
      </c>
      <c r="O382" s="34">
        <f t="shared" si="6"/>
        <v>4.3379255379711122E-2</v>
      </c>
    </row>
    <row r="383" spans="13:15" x14ac:dyDescent="0.3">
      <c r="M383" s="35">
        <v>16.89</v>
      </c>
      <c r="N383">
        <v>305</v>
      </c>
      <c r="O383" s="34">
        <f t="shared" si="6"/>
        <v>4.34931116930437E-2</v>
      </c>
    </row>
    <row r="384" spans="13:15" x14ac:dyDescent="0.3">
      <c r="M384" s="35">
        <v>16.899999999999999</v>
      </c>
      <c r="N384">
        <v>305</v>
      </c>
      <c r="O384" s="34">
        <f t="shared" si="6"/>
        <v>4.3606968006376277E-2</v>
      </c>
    </row>
    <row r="385" spans="13:15" x14ac:dyDescent="0.3">
      <c r="M385" s="35">
        <v>16.899999999999999</v>
      </c>
      <c r="N385">
        <v>305</v>
      </c>
      <c r="O385" s="34">
        <f t="shared" si="6"/>
        <v>4.3720824319708855E-2</v>
      </c>
    </row>
    <row r="386" spans="13:15" x14ac:dyDescent="0.3">
      <c r="M386" s="35">
        <v>16.920000000000002</v>
      </c>
      <c r="N386">
        <v>305</v>
      </c>
      <c r="O386" s="34">
        <f t="shared" si="6"/>
        <v>4.3834680633041433E-2</v>
      </c>
    </row>
    <row r="387" spans="13:15" x14ac:dyDescent="0.3">
      <c r="M387" s="35">
        <v>16.93</v>
      </c>
      <c r="N387">
        <v>305</v>
      </c>
      <c r="O387" s="34">
        <f t="shared" si="6"/>
        <v>4.394853694637401E-2</v>
      </c>
    </row>
    <row r="388" spans="13:15" x14ac:dyDescent="0.3">
      <c r="M388" s="35">
        <v>16.93</v>
      </c>
      <c r="N388">
        <v>305</v>
      </c>
      <c r="O388" s="34">
        <f t="shared" ref="O388:O451" si="7">O387+O$2</f>
        <v>4.4062393259706588E-2</v>
      </c>
    </row>
    <row r="389" spans="13:15" x14ac:dyDescent="0.3">
      <c r="M389" s="35">
        <v>16.940000000000001</v>
      </c>
      <c r="N389">
        <v>305</v>
      </c>
      <c r="O389" s="34">
        <f t="shared" si="7"/>
        <v>4.4176249573039165E-2</v>
      </c>
    </row>
    <row r="390" spans="13:15" x14ac:dyDescent="0.3">
      <c r="M390" s="35">
        <v>16.95</v>
      </c>
      <c r="N390">
        <v>305</v>
      </c>
      <c r="O390" s="34">
        <f t="shared" si="7"/>
        <v>4.4290105886371743E-2</v>
      </c>
    </row>
    <row r="391" spans="13:15" x14ac:dyDescent="0.3">
      <c r="M391" s="35">
        <v>16.95</v>
      </c>
      <c r="N391">
        <v>305</v>
      </c>
      <c r="O391" s="34">
        <f t="shared" si="7"/>
        <v>4.4403962199704321E-2</v>
      </c>
    </row>
    <row r="392" spans="13:15" x14ac:dyDescent="0.3">
      <c r="M392" s="35">
        <v>16.96</v>
      </c>
      <c r="N392">
        <v>305</v>
      </c>
      <c r="O392" s="34">
        <f t="shared" si="7"/>
        <v>4.4517818513036898E-2</v>
      </c>
    </row>
    <row r="393" spans="13:15" x14ac:dyDescent="0.3">
      <c r="M393" s="35">
        <v>16.96</v>
      </c>
      <c r="N393">
        <v>305</v>
      </c>
      <c r="O393" s="34">
        <f t="shared" si="7"/>
        <v>4.4631674826369476E-2</v>
      </c>
    </row>
    <row r="394" spans="13:15" x14ac:dyDescent="0.3">
      <c r="M394" s="35">
        <v>16.97</v>
      </c>
      <c r="N394">
        <v>305</v>
      </c>
      <c r="O394" s="34">
        <f t="shared" si="7"/>
        <v>4.4745531139702054E-2</v>
      </c>
    </row>
    <row r="395" spans="13:15" x14ac:dyDescent="0.3">
      <c r="M395" s="35">
        <v>16.98</v>
      </c>
      <c r="N395">
        <v>305</v>
      </c>
      <c r="O395" s="34">
        <f t="shared" si="7"/>
        <v>4.4859387453034631E-2</v>
      </c>
    </row>
    <row r="396" spans="13:15" x14ac:dyDescent="0.3">
      <c r="M396" s="35">
        <v>17.02</v>
      </c>
      <c r="N396">
        <v>305</v>
      </c>
      <c r="O396" s="34">
        <f t="shared" si="7"/>
        <v>4.4973243766367209E-2</v>
      </c>
    </row>
    <row r="397" spans="13:15" x14ac:dyDescent="0.3">
      <c r="M397" s="35">
        <v>17.03</v>
      </c>
      <c r="N397">
        <v>305</v>
      </c>
      <c r="O397" s="34">
        <f t="shared" si="7"/>
        <v>4.5087100079699786E-2</v>
      </c>
    </row>
    <row r="398" spans="13:15" x14ac:dyDescent="0.3">
      <c r="M398" s="35">
        <v>17.059999999999999</v>
      </c>
      <c r="N398">
        <v>305</v>
      </c>
      <c r="O398" s="34">
        <f t="shared" si="7"/>
        <v>4.5200956393032364E-2</v>
      </c>
    </row>
    <row r="399" spans="13:15" x14ac:dyDescent="0.3">
      <c r="M399" s="35">
        <v>17.07</v>
      </c>
      <c r="N399">
        <v>305</v>
      </c>
      <c r="O399" s="34">
        <f t="shared" si="7"/>
        <v>4.5314812706364942E-2</v>
      </c>
    </row>
    <row r="400" spans="13:15" x14ac:dyDescent="0.3">
      <c r="M400" s="35">
        <v>17.07</v>
      </c>
      <c r="N400">
        <v>305</v>
      </c>
      <c r="O400" s="34">
        <f t="shared" si="7"/>
        <v>4.5428669019697519E-2</v>
      </c>
    </row>
    <row r="401" spans="13:15" x14ac:dyDescent="0.3">
      <c r="M401" s="35">
        <v>17.079999999999998</v>
      </c>
      <c r="N401">
        <v>305</v>
      </c>
      <c r="O401" s="34">
        <f t="shared" si="7"/>
        <v>4.5542525333030097E-2</v>
      </c>
    </row>
    <row r="402" spans="13:15" x14ac:dyDescent="0.3">
      <c r="M402" s="35">
        <v>17.100000000000001</v>
      </c>
      <c r="N402">
        <v>305</v>
      </c>
      <c r="O402" s="34">
        <f t="shared" si="7"/>
        <v>4.5656381646362675E-2</v>
      </c>
    </row>
    <row r="403" spans="13:15" x14ac:dyDescent="0.3">
      <c r="M403" s="35">
        <v>17.100000000000001</v>
      </c>
      <c r="N403">
        <v>305</v>
      </c>
      <c r="O403" s="34">
        <f t="shared" si="7"/>
        <v>4.5770237959695252E-2</v>
      </c>
    </row>
    <row r="404" spans="13:15" x14ac:dyDescent="0.3">
      <c r="M404" s="35">
        <v>17.100000000000001</v>
      </c>
      <c r="N404">
        <v>305</v>
      </c>
      <c r="O404" s="34">
        <f t="shared" si="7"/>
        <v>4.588409427302783E-2</v>
      </c>
    </row>
    <row r="405" spans="13:15" x14ac:dyDescent="0.3">
      <c r="M405" s="35">
        <v>17.100000000000001</v>
      </c>
      <c r="N405">
        <v>305</v>
      </c>
      <c r="O405" s="34">
        <f t="shared" si="7"/>
        <v>4.5997950586360407E-2</v>
      </c>
    </row>
    <row r="406" spans="13:15" x14ac:dyDescent="0.3">
      <c r="M406" s="35">
        <v>17.11</v>
      </c>
      <c r="N406">
        <v>305</v>
      </c>
      <c r="O406" s="34">
        <f t="shared" si="7"/>
        <v>4.6111806899692985E-2</v>
      </c>
    </row>
    <row r="407" spans="13:15" x14ac:dyDescent="0.3">
      <c r="M407" s="35">
        <v>17.12</v>
      </c>
      <c r="N407">
        <v>305</v>
      </c>
      <c r="O407" s="34">
        <f t="shared" si="7"/>
        <v>4.6225663213025563E-2</v>
      </c>
    </row>
    <row r="408" spans="13:15" x14ac:dyDescent="0.3">
      <c r="M408" s="35">
        <v>17.12</v>
      </c>
      <c r="N408">
        <v>305</v>
      </c>
      <c r="O408" s="34">
        <f t="shared" si="7"/>
        <v>4.633951952635814E-2</v>
      </c>
    </row>
    <row r="409" spans="13:15" x14ac:dyDescent="0.3">
      <c r="M409" s="35">
        <v>17.13</v>
      </c>
      <c r="N409">
        <v>305</v>
      </c>
      <c r="O409" s="34">
        <f t="shared" si="7"/>
        <v>4.6453375839690718E-2</v>
      </c>
    </row>
    <row r="410" spans="13:15" x14ac:dyDescent="0.3">
      <c r="M410" s="35">
        <v>17.13</v>
      </c>
      <c r="N410">
        <v>305</v>
      </c>
      <c r="O410" s="34">
        <f t="shared" si="7"/>
        <v>4.6567232153023295E-2</v>
      </c>
    </row>
    <row r="411" spans="13:15" x14ac:dyDescent="0.3">
      <c r="M411" s="35">
        <v>17.13</v>
      </c>
      <c r="N411">
        <v>305</v>
      </c>
      <c r="O411" s="34">
        <f t="shared" si="7"/>
        <v>4.6681088466355873E-2</v>
      </c>
    </row>
    <row r="412" spans="13:15" x14ac:dyDescent="0.3">
      <c r="M412" s="35">
        <v>17.14</v>
      </c>
      <c r="N412">
        <v>305</v>
      </c>
      <c r="O412" s="34">
        <f t="shared" si="7"/>
        <v>4.6794944779688451E-2</v>
      </c>
    </row>
    <row r="413" spans="13:15" x14ac:dyDescent="0.3">
      <c r="M413" s="35">
        <v>17.149999999999999</v>
      </c>
      <c r="N413">
        <v>305</v>
      </c>
      <c r="O413" s="34">
        <f t="shared" si="7"/>
        <v>4.6908801093021028E-2</v>
      </c>
    </row>
    <row r="414" spans="13:15" x14ac:dyDescent="0.3">
      <c r="M414" s="35">
        <v>17.149999999999999</v>
      </c>
      <c r="N414">
        <v>305</v>
      </c>
      <c r="O414" s="34">
        <f t="shared" si="7"/>
        <v>4.7022657406353606E-2</v>
      </c>
    </row>
    <row r="415" spans="13:15" x14ac:dyDescent="0.3">
      <c r="M415" s="35">
        <v>17.16</v>
      </c>
      <c r="N415">
        <v>305</v>
      </c>
      <c r="O415" s="34">
        <f t="shared" si="7"/>
        <v>4.7136513719686184E-2</v>
      </c>
    </row>
    <row r="416" spans="13:15" x14ac:dyDescent="0.3">
      <c r="M416" s="35">
        <v>17.16</v>
      </c>
      <c r="N416">
        <v>305</v>
      </c>
      <c r="O416" s="34">
        <f t="shared" si="7"/>
        <v>4.7250370033018761E-2</v>
      </c>
    </row>
    <row r="417" spans="13:15" x14ac:dyDescent="0.3">
      <c r="M417" s="35">
        <v>17.170000000000002</v>
      </c>
      <c r="N417">
        <v>305</v>
      </c>
      <c r="O417" s="34">
        <f t="shared" si="7"/>
        <v>4.7364226346351339E-2</v>
      </c>
    </row>
    <row r="418" spans="13:15" x14ac:dyDescent="0.3">
      <c r="M418" s="35">
        <v>17.18</v>
      </c>
      <c r="N418">
        <v>305</v>
      </c>
      <c r="O418" s="34">
        <f t="shared" si="7"/>
        <v>4.7478082659683916E-2</v>
      </c>
    </row>
    <row r="419" spans="13:15" x14ac:dyDescent="0.3">
      <c r="M419" s="35">
        <v>17.190000000000001</v>
      </c>
      <c r="N419">
        <v>305</v>
      </c>
      <c r="O419" s="34">
        <f t="shared" si="7"/>
        <v>4.7591938973016494E-2</v>
      </c>
    </row>
    <row r="420" spans="13:15" x14ac:dyDescent="0.3">
      <c r="M420" s="35">
        <v>17.190000000000001</v>
      </c>
      <c r="N420">
        <v>305</v>
      </c>
      <c r="O420" s="34">
        <f t="shared" si="7"/>
        <v>4.7705795286349072E-2</v>
      </c>
    </row>
    <row r="421" spans="13:15" x14ac:dyDescent="0.3">
      <c r="M421" s="35">
        <v>17.21</v>
      </c>
      <c r="N421">
        <v>305</v>
      </c>
      <c r="O421" s="34">
        <f t="shared" si="7"/>
        <v>4.7819651599681649E-2</v>
      </c>
    </row>
    <row r="422" spans="13:15" x14ac:dyDescent="0.3">
      <c r="M422" s="35">
        <v>17.21</v>
      </c>
      <c r="N422">
        <v>305</v>
      </c>
      <c r="O422" s="34">
        <f t="shared" si="7"/>
        <v>4.7933507913014227E-2</v>
      </c>
    </row>
    <row r="423" spans="13:15" x14ac:dyDescent="0.3">
      <c r="M423" s="35">
        <v>17.21</v>
      </c>
      <c r="N423">
        <v>305</v>
      </c>
      <c r="O423" s="34">
        <f t="shared" si="7"/>
        <v>4.8047364226346805E-2</v>
      </c>
    </row>
    <row r="424" spans="13:15" x14ac:dyDescent="0.3">
      <c r="M424" s="35">
        <v>17.23</v>
      </c>
      <c r="N424">
        <v>305</v>
      </c>
      <c r="O424" s="34">
        <f t="shared" si="7"/>
        <v>4.8161220539679382E-2</v>
      </c>
    </row>
    <row r="425" spans="13:15" x14ac:dyDescent="0.3">
      <c r="M425" s="35">
        <v>17.239999999999998</v>
      </c>
      <c r="N425">
        <v>305</v>
      </c>
      <c r="O425" s="34">
        <f t="shared" si="7"/>
        <v>4.827507685301196E-2</v>
      </c>
    </row>
    <row r="426" spans="13:15" x14ac:dyDescent="0.3">
      <c r="M426" s="35">
        <v>17.25</v>
      </c>
      <c r="N426">
        <v>305</v>
      </c>
      <c r="O426" s="34">
        <f t="shared" si="7"/>
        <v>4.8388933166344537E-2</v>
      </c>
    </row>
    <row r="427" spans="13:15" x14ac:dyDescent="0.3">
      <c r="M427" s="35">
        <v>17.260000000000002</v>
      </c>
      <c r="N427">
        <v>305</v>
      </c>
      <c r="O427" s="34">
        <f t="shared" si="7"/>
        <v>4.8502789479677115E-2</v>
      </c>
    </row>
    <row r="428" spans="13:15" x14ac:dyDescent="0.3">
      <c r="M428" s="35">
        <v>17.260000000000002</v>
      </c>
      <c r="N428">
        <v>305</v>
      </c>
      <c r="O428" s="34">
        <f t="shared" si="7"/>
        <v>4.8616645793009693E-2</v>
      </c>
    </row>
    <row r="429" spans="13:15" x14ac:dyDescent="0.3">
      <c r="M429" s="35">
        <v>17.28</v>
      </c>
      <c r="N429">
        <v>305</v>
      </c>
      <c r="O429" s="34">
        <f t="shared" si="7"/>
        <v>4.873050210634227E-2</v>
      </c>
    </row>
    <row r="430" spans="13:15" x14ac:dyDescent="0.3">
      <c r="M430" s="35">
        <v>17.28</v>
      </c>
      <c r="N430">
        <v>305</v>
      </c>
      <c r="O430" s="34">
        <f t="shared" si="7"/>
        <v>4.8844358419674848E-2</v>
      </c>
    </row>
    <row r="431" spans="13:15" x14ac:dyDescent="0.3">
      <c r="M431" s="35">
        <v>17.28</v>
      </c>
      <c r="N431">
        <v>305</v>
      </c>
      <c r="O431" s="34">
        <f t="shared" si="7"/>
        <v>4.8958214733007425E-2</v>
      </c>
    </row>
    <row r="432" spans="13:15" x14ac:dyDescent="0.3">
      <c r="M432" s="35">
        <v>17.28</v>
      </c>
      <c r="N432">
        <v>305</v>
      </c>
      <c r="O432" s="34">
        <f t="shared" si="7"/>
        <v>4.9072071046340003E-2</v>
      </c>
    </row>
    <row r="433" spans="13:15" x14ac:dyDescent="0.3">
      <c r="M433" s="35">
        <v>17.29</v>
      </c>
      <c r="N433">
        <v>305</v>
      </c>
      <c r="O433" s="34">
        <f t="shared" si="7"/>
        <v>4.9185927359672581E-2</v>
      </c>
    </row>
    <row r="434" spans="13:15" x14ac:dyDescent="0.3">
      <c r="M434" s="35">
        <v>17.3</v>
      </c>
      <c r="N434">
        <v>305</v>
      </c>
      <c r="O434" s="34">
        <f t="shared" si="7"/>
        <v>4.9299783673005158E-2</v>
      </c>
    </row>
    <row r="435" spans="13:15" x14ac:dyDescent="0.3">
      <c r="M435" s="35">
        <v>17.3</v>
      </c>
      <c r="N435">
        <v>305</v>
      </c>
      <c r="O435" s="34">
        <f t="shared" si="7"/>
        <v>4.9413639986337736E-2</v>
      </c>
    </row>
    <row r="436" spans="13:15" x14ac:dyDescent="0.3">
      <c r="M436" s="35">
        <v>17.3</v>
      </c>
      <c r="N436">
        <v>305</v>
      </c>
      <c r="O436" s="34">
        <f t="shared" si="7"/>
        <v>4.9527496299670314E-2</v>
      </c>
    </row>
    <row r="437" spans="13:15" x14ac:dyDescent="0.3">
      <c r="M437" s="35">
        <v>17.3</v>
      </c>
      <c r="N437">
        <v>305</v>
      </c>
      <c r="O437" s="34">
        <f t="shared" si="7"/>
        <v>4.9641352613002891E-2</v>
      </c>
    </row>
    <row r="438" spans="13:15" x14ac:dyDescent="0.3">
      <c r="M438" s="35">
        <v>17.309999999999999</v>
      </c>
      <c r="N438">
        <v>305</v>
      </c>
      <c r="O438" s="34">
        <f t="shared" si="7"/>
        <v>4.9755208926335469E-2</v>
      </c>
    </row>
    <row r="439" spans="13:15" x14ac:dyDescent="0.3">
      <c r="M439" s="35">
        <v>17.309999999999999</v>
      </c>
      <c r="N439">
        <v>305</v>
      </c>
      <c r="O439" s="34">
        <f t="shared" si="7"/>
        <v>4.9869065239668046E-2</v>
      </c>
    </row>
    <row r="440" spans="13:15" x14ac:dyDescent="0.3">
      <c r="M440" s="35">
        <v>17.32</v>
      </c>
      <c r="N440">
        <v>305</v>
      </c>
      <c r="O440" s="34">
        <f t="shared" si="7"/>
        <v>4.9982921553000624E-2</v>
      </c>
    </row>
    <row r="441" spans="13:15" x14ac:dyDescent="0.3">
      <c r="M441" s="35">
        <v>17.32</v>
      </c>
      <c r="N441">
        <v>305</v>
      </c>
      <c r="O441" s="34">
        <f t="shared" si="7"/>
        <v>5.0096777866333202E-2</v>
      </c>
    </row>
    <row r="442" spans="13:15" x14ac:dyDescent="0.3">
      <c r="M442" s="35">
        <v>17.32</v>
      </c>
      <c r="N442">
        <v>305</v>
      </c>
      <c r="O442" s="34">
        <f t="shared" si="7"/>
        <v>5.0210634179665779E-2</v>
      </c>
    </row>
    <row r="443" spans="13:15" x14ac:dyDescent="0.3">
      <c r="M443" s="35">
        <v>17.34</v>
      </c>
      <c r="N443">
        <v>305</v>
      </c>
      <c r="O443" s="34">
        <f t="shared" si="7"/>
        <v>5.0324490492998357E-2</v>
      </c>
    </row>
    <row r="444" spans="13:15" x14ac:dyDescent="0.3">
      <c r="M444" s="35">
        <v>17.34</v>
      </c>
      <c r="N444">
        <v>305</v>
      </c>
      <c r="O444" s="34">
        <f t="shared" si="7"/>
        <v>5.0438346806330935E-2</v>
      </c>
    </row>
    <row r="445" spans="13:15" x14ac:dyDescent="0.3">
      <c r="M445" s="35">
        <v>17.350000000000001</v>
      </c>
      <c r="N445">
        <v>305</v>
      </c>
      <c r="O445" s="34">
        <f t="shared" si="7"/>
        <v>5.0552203119663512E-2</v>
      </c>
    </row>
    <row r="446" spans="13:15" x14ac:dyDescent="0.3">
      <c r="M446" s="35">
        <v>17.350000000000001</v>
      </c>
      <c r="N446">
        <v>305</v>
      </c>
      <c r="O446" s="34">
        <f t="shared" si="7"/>
        <v>5.066605943299609E-2</v>
      </c>
    </row>
    <row r="447" spans="13:15" x14ac:dyDescent="0.3">
      <c r="M447" s="35">
        <v>17.350000000000001</v>
      </c>
      <c r="N447">
        <v>305</v>
      </c>
      <c r="O447" s="34">
        <f t="shared" si="7"/>
        <v>5.0779915746328667E-2</v>
      </c>
    </row>
    <row r="448" spans="13:15" x14ac:dyDescent="0.3">
      <c r="M448" s="35">
        <v>17.350000000000001</v>
      </c>
      <c r="N448">
        <v>305</v>
      </c>
      <c r="O448" s="34">
        <f t="shared" si="7"/>
        <v>5.0893772059661245E-2</v>
      </c>
    </row>
    <row r="449" spans="13:15" x14ac:dyDescent="0.3">
      <c r="M449" s="35">
        <v>17.36</v>
      </c>
      <c r="N449">
        <v>305</v>
      </c>
      <c r="O449" s="34">
        <f t="shared" si="7"/>
        <v>5.1007628372993823E-2</v>
      </c>
    </row>
    <row r="450" spans="13:15" x14ac:dyDescent="0.3">
      <c r="M450" s="35">
        <v>17.38</v>
      </c>
      <c r="N450">
        <v>305</v>
      </c>
      <c r="O450" s="34">
        <f t="shared" si="7"/>
        <v>5.11214846863264E-2</v>
      </c>
    </row>
    <row r="451" spans="13:15" x14ac:dyDescent="0.3">
      <c r="M451" s="35">
        <v>17.39</v>
      </c>
      <c r="N451">
        <v>305</v>
      </c>
      <c r="O451" s="34">
        <f t="shared" si="7"/>
        <v>5.1235340999658978E-2</v>
      </c>
    </row>
    <row r="452" spans="13:15" x14ac:dyDescent="0.3">
      <c r="M452" s="35">
        <v>17.399999999999999</v>
      </c>
      <c r="N452">
        <v>305</v>
      </c>
      <c r="O452" s="34">
        <f t="shared" ref="O452:O515" si="8">O451+O$2</f>
        <v>5.1349197312991555E-2</v>
      </c>
    </row>
    <row r="453" spans="13:15" x14ac:dyDescent="0.3">
      <c r="M453" s="35">
        <v>17.399999999999999</v>
      </c>
      <c r="N453">
        <v>305</v>
      </c>
      <c r="O453" s="34">
        <f t="shared" si="8"/>
        <v>5.1463053626324133E-2</v>
      </c>
    </row>
    <row r="454" spans="13:15" x14ac:dyDescent="0.3">
      <c r="M454" s="35">
        <v>17.41</v>
      </c>
      <c r="N454">
        <v>305</v>
      </c>
      <c r="O454" s="34">
        <f t="shared" si="8"/>
        <v>5.1576909939656711E-2</v>
      </c>
    </row>
    <row r="455" spans="13:15" x14ac:dyDescent="0.3">
      <c r="M455" s="35">
        <v>17.41</v>
      </c>
      <c r="N455">
        <v>305</v>
      </c>
      <c r="O455" s="34">
        <f t="shared" si="8"/>
        <v>5.1690766252989288E-2</v>
      </c>
    </row>
    <row r="456" spans="13:15" x14ac:dyDescent="0.3">
      <c r="M456" s="35">
        <v>17.41</v>
      </c>
      <c r="N456">
        <v>305</v>
      </c>
      <c r="O456" s="34">
        <f t="shared" si="8"/>
        <v>5.1804622566321866E-2</v>
      </c>
    </row>
    <row r="457" spans="13:15" x14ac:dyDescent="0.3">
      <c r="M457" s="35">
        <v>17.41</v>
      </c>
      <c r="N457">
        <v>305</v>
      </c>
      <c r="O457" s="34">
        <f t="shared" si="8"/>
        <v>5.1918478879654444E-2</v>
      </c>
    </row>
    <row r="458" spans="13:15" x14ac:dyDescent="0.3">
      <c r="M458" s="35">
        <v>17.41</v>
      </c>
      <c r="N458">
        <v>305</v>
      </c>
      <c r="O458" s="34">
        <f t="shared" si="8"/>
        <v>5.2032335192987021E-2</v>
      </c>
    </row>
    <row r="459" spans="13:15" x14ac:dyDescent="0.3">
      <c r="M459" s="35">
        <v>17.41</v>
      </c>
      <c r="N459">
        <v>305</v>
      </c>
      <c r="O459" s="34">
        <f t="shared" si="8"/>
        <v>5.2146191506319599E-2</v>
      </c>
    </row>
    <row r="460" spans="13:15" x14ac:dyDescent="0.3">
      <c r="M460" s="35">
        <v>17.420000000000002</v>
      </c>
      <c r="N460">
        <v>305</v>
      </c>
      <c r="O460" s="34">
        <f t="shared" si="8"/>
        <v>5.2260047819652176E-2</v>
      </c>
    </row>
    <row r="461" spans="13:15" x14ac:dyDescent="0.3">
      <c r="M461" s="35">
        <v>17.420000000000002</v>
      </c>
      <c r="N461">
        <v>305</v>
      </c>
      <c r="O461" s="34">
        <f t="shared" si="8"/>
        <v>5.2373904132984754E-2</v>
      </c>
    </row>
    <row r="462" spans="13:15" x14ac:dyDescent="0.3">
      <c r="M462" s="35">
        <v>17.420000000000002</v>
      </c>
      <c r="N462">
        <v>305</v>
      </c>
      <c r="O462" s="34">
        <f t="shared" si="8"/>
        <v>5.2487760446317332E-2</v>
      </c>
    </row>
    <row r="463" spans="13:15" x14ac:dyDescent="0.3">
      <c r="M463" s="35">
        <v>17.440000000000001</v>
      </c>
      <c r="N463">
        <v>305</v>
      </c>
      <c r="O463" s="34">
        <f t="shared" si="8"/>
        <v>5.2601616759649909E-2</v>
      </c>
    </row>
    <row r="464" spans="13:15" x14ac:dyDescent="0.3">
      <c r="M464" s="35">
        <v>17.440000000000001</v>
      </c>
      <c r="N464">
        <v>305</v>
      </c>
      <c r="O464" s="34">
        <f t="shared" si="8"/>
        <v>5.2715473072982487E-2</v>
      </c>
    </row>
    <row r="465" spans="13:15" x14ac:dyDescent="0.3">
      <c r="M465" s="35">
        <v>17.440000000000001</v>
      </c>
      <c r="N465">
        <v>305</v>
      </c>
      <c r="O465" s="34">
        <f t="shared" si="8"/>
        <v>5.2829329386315065E-2</v>
      </c>
    </row>
    <row r="466" spans="13:15" x14ac:dyDescent="0.3">
      <c r="M466" s="35">
        <v>17.440000000000001</v>
      </c>
      <c r="N466">
        <v>305</v>
      </c>
      <c r="O466" s="34">
        <f t="shared" si="8"/>
        <v>5.2943185699647642E-2</v>
      </c>
    </row>
    <row r="467" spans="13:15" x14ac:dyDescent="0.3">
      <c r="M467" s="35">
        <v>17.46</v>
      </c>
      <c r="N467">
        <v>305</v>
      </c>
      <c r="O467" s="34">
        <f t="shared" si="8"/>
        <v>5.305704201298022E-2</v>
      </c>
    </row>
    <row r="468" spans="13:15" x14ac:dyDescent="0.3">
      <c r="M468" s="35">
        <v>17.46</v>
      </c>
      <c r="N468">
        <v>305</v>
      </c>
      <c r="O468" s="34">
        <f t="shared" si="8"/>
        <v>5.3170898326312797E-2</v>
      </c>
    </row>
    <row r="469" spans="13:15" x14ac:dyDescent="0.3">
      <c r="M469" s="35">
        <v>17.46</v>
      </c>
      <c r="N469">
        <v>305</v>
      </c>
      <c r="O469" s="34">
        <f t="shared" si="8"/>
        <v>5.3284754639645375E-2</v>
      </c>
    </row>
    <row r="470" spans="13:15" x14ac:dyDescent="0.3">
      <c r="M470" s="35">
        <v>17.47</v>
      </c>
      <c r="N470">
        <v>305</v>
      </c>
      <c r="O470" s="34">
        <f t="shared" si="8"/>
        <v>5.3398610952977953E-2</v>
      </c>
    </row>
    <row r="471" spans="13:15" x14ac:dyDescent="0.3">
      <c r="M471" s="35">
        <v>17.489999999999998</v>
      </c>
      <c r="N471">
        <v>305</v>
      </c>
      <c r="O471" s="34">
        <f t="shared" si="8"/>
        <v>5.351246726631053E-2</v>
      </c>
    </row>
    <row r="472" spans="13:15" x14ac:dyDescent="0.3">
      <c r="M472" s="35">
        <v>17.5</v>
      </c>
      <c r="N472">
        <v>305</v>
      </c>
      <c r="O472" s="34">
        <f t="shared" si="8"/>
        <v>5.3626323579643108E-2</v>
      </c>
    </row>
    <row r="473" spans="13:15" x14ac:dyDescent="0.3">
      <c r="M473" s="35">
        <v>17.510000000000002</v>
      </c>
      <c r="N473">
        <v>305</v>
      </c>
      <c r="O473" s="34">
        <f t="shared" si="8"/>
        <v>5.3740179892975685E-2</v>
      </c>
    </row>
    <row r="474" spans="13:15" x14ac:dyDescent="0.3">
      <c r="M474" s="35">
        <v>17.52</v>
      </c>
      <c r="N474">
        <v>305</v>
      </c>
      <c r="O474" s="34">
        <f t="shared" si="8"/>
        <v>5.3854036206308263E-2</v>
      </c>
    </row>
    <row r="475" spans="13:15" x14ac:dyDescent="0.3">
      <c r="M475" s="35">
        <v>17.52</v>
      </c>
      <c r="N475">
        <v>305</v>
      </c>
      <c r="O475" s="34">
        <f t="shared" si="8"/>
        <v>5.3967892519640841E-2</v>
      </c>
    </row>
    <row r="476" spans="13:15" x14ac:dyDescent="0.3">
      <c r="M476" s="35">
        <v>17.52</v>
      </c>
      <c r="N476">
        <v>305</v>
      </c>
      <c r="O476" s="34">
        <f t="shared" si="8"/>
        <v>5.4081748832973418E-2</v>
      </c>
    </row>
    <row r="477" spans="13:15" x14ac:dyDescent="0.3">
      <c r="M477" s="35">
        <v>17.54</v>
      </c>
      <c r="N477">
        <v>305</v>
      </c>
      <c r="O477" s="34">
        <f t="shared" si="8"/>
        <v>5.4195605146305996E-2</v>
      </c>
    </row>
    <row r="478" spans="13:15" x14ac:dyDescent="0.3">
      <c r="M478" s="35">
        <v>17.54</v>
      </c>
      <c r="N478">
        <v>305</v>
      </c>
      <c r="O478" s="34">
        <f t="shared" si="8"/>
        <v>5.4309461459638574E-2</v>
      </c>
    </row>
    <row r="479" spans="13:15" x14ac:dyDescent="0.3">
      <c r="M479" s="35">
        <v>17.55</v>
      </c>
      <c r="N479">
        <v>305</v>
      </c>
      <c r="O479" s="34">
        <f t="shared" si="8"/>
        <v>5.4423317772971151E-2</v>
      </c>
    </row>
    <row r="480" spans="13:15" x14ac:dyDescent="0.3">
      <c r="M480" s="35">
        <v>17.55</v>
      </c>
      <c r="N480">
        <v>305</v>
      </c>
      <c r="O480" s="34">
        <f t="shared" si="8"/>
        <v>5.4537174086303729E-2</v>
      </c>
    </row>
    <row r="481" spans="13:15" x14ac:dyDescent="0.3">
      <c r="M481" s="35">
        <v>17.55</v>
      </c>
      <c r="N481">
        <v>305</v>
      </c>
      <c r="O481" s="34">
        <f t="shared" si="8"/>
        <v>5.4651030399636306E-2</v>
      </c>
    </row>
    <row r="482" spans="13:15" x14ac:dyDescent="0.3">
      <c r="M482" s="35">
        <v>17.55</v>
      </c>
      <c r="N482">
        <v>305</v>
      </c>
      <c r="O482" s="34">
        <f t="shared" si="8"/>
        <v>5.4764886712968884E-2</v>
      </c>
    </row>
    <row r="483" spans="13:15" x14ac:dyDescent="0.3">
      <c r="M483" s="35">
        <v>17.55</v>
      </c>
      <c r="N483">
        <v>305</v>
      </c>
      <c r="O483" s="34">
        <f t="shared" si="8"/>
        <v>5.4878743026301462E-2</v>
      </c>
    </row>
    <row r="484" spans="13:15" x14ac:dyDescent="0.3">
      <c r="M484" s="35">
        <v>17.55</v>
      </c>
      <c r="N484">
        <v>305</v>
      </c>
      <c r="O484" s="34">
        <f t="shared" si="8"/>
        <v>5.4992599339634039E-2</v>
      </c>
    </row>
    <row r="485" spans="13:15" x14ac:dyDescent="0.3">
      <c r="M485" s="35">
        <v>17.559999999999999</v>
      </c>
      <c r="N485">
        <v>305</v>
      </c>
      <c r="O485" s="34">
        <f t="shared" si="8"/>
        <v>5.5106455652966617E-2</v>
      </c>
    </row>
    <row r="486" spans="13:15" x14ac:dyDescent="0.3">
      <c r="M486" s="35">
        <v>17.559999999999999</v>
      </c>
      <c r="N486">
        <v>305</v>
      </c>
      <c r="O486" s="34">
        <f t="shared" si="8"/>
        <v>5.5220311966299195E-2</v>
      </c>
    </row>
    <row r="487" spans="13:15" x14ac:dyDescent="0.3">
      <c r="M487" s="35">
        <v>17.559999999999999</v>
      </c>
      <c r="N487">
        <v>305</v>
      </c>
      <c r="O487" s="34">
        <f t="shared" si="8"/>
        <v>5.5334168279631772E-2</v>
      </c>
    </row>
    <row r="488" spans="13:15" x14ac:dyDescent="0.3">
      <c r="M488" s="35">
        <v>17.559999999999999</v>
      </c>
      <c r="N488">
        <v>305</v>
      </c>
      <c r="O488" s="34">
        <f t="shared" si="8"/>
        <v>5.544802459296435E-2</v>
      </c>
    </row>
    <row r="489" spans="13:15" x14ac:dyDescent="0.3">
      <c r="M489" s="35">
        <v>17.57</v>
      </c>
      <c r="N489">
        <v>305</v>
      </c>
      <c r="O489" s="34">
        <f t="shared" si="8"/>
        <v>5.5561880906296927E-2</v>
      </c>
    </row>
    <row r="490" spans="13:15" x14ac:dyDescent="0.3">
      <c r="M490" s="35">
        <v>17.579999999999998</v>
      </c>
      <c r="N490">
        <v>305</v>
      </c>
      <c r="O490" s="34">
        <f t="shared" si="8"/>
        <v>5.5675737219629505E-2</v>
      </c>
    </row>
    <row r="491" spans="13:15" x14ac:dyDescent="0.3">
      <c r="M491" s="35">
        <v>17.579999999999998</v>
      </c>
      <c r="N491">
        <v>305</v>
      </c>
      <c r="O491" s="34">
        <f t="shared" si="8"/>
        <v>5.5789593532962083E-2</v>
      </c>
    </row>
    <row r="492" spans="13:15" x14ac:dyDescent="0.3">
      <c r="M492" s="35">
        <v>17.579999999999998</v>
      </c>
      <c r="N492">
        <v>305</v>
      </c>
      <c r="O492" s="34">
        <f t="shared" si="8"/>
        <v>5.590344984629466E-2</v>
      </c>
    </row>
    <row r="493" spans="13:15" x14ac:dyDescent="0.3">
      <c r="M493" s="35">
        <v>17.59</v>
      </c>
      <c r="N493">
        <v>305</v>
      </c>
      <c r="O493" s="34">
        <f t="shared" si="8"/>
        <v>5.6017306159627238E-2</v>
      </c>
    </row>
    <row r="494" spans="13:15" x14ac:dyDescent="0.3">
      <c r="M494" s="35">
        <v>17.59</v>
      </c>
      <c r="N494">
        <v>305</v>
      </c>
      <c r="O494" s="34">
        <f t="shared" si="8"/>
        <v>5.6131162472959815E-2</v>
      </c>
    </row>
    <row r="495" spans="13:15" x14ac:dyDescent="0.3">
      <c r="M495" s="35">
        <v>17.600000000000001</v>
      </c>
      <c r="N495">
        <v>305</v>
      </c>
      <c r="O495" s="34">
        <f t="shared" si="8"/>
        <v>5.6245018786292393E-2</v>
      </c>
    </row>
    <row r="496" spans="13:15" x14ac:dyDescent="0.3">
      <c r="M496" s="35">
        <v>17.600000000000001</v>
      </c>
      <c r="N496">
        <v>305</v>
      </c>
      <c r="O496" s="34">
        <f t="shared" si="8"/>
        <v>5.6358875099624971E-2</v>
      </c>
    </row>
    <row r="497" spans="13:15" x14ac:dyDescent="0.3">
      <c r="M497" s="35">
        <v>17.600000000000001</v>
      </c>
      <c r="N497">
        <v>305</v>
      </c>
      <c r="O497" s="34">
        <f t="shared" si="8"/>
        <v>5.6472731412957548E-2</v>
      </c>
    </row>
    <row r="498" spans="13:15" x14ac:dyDescent="0.3">
      <c r="M498" s="35">
        <v>17.600000000000001</v>
      </c>
      <c r="N498">
        <v>305</v>
      </c>
      <c r="O498" s="34">
        <f t="shared" si="8"/>
        <v>5.6586587726290126E-2</v>
      </c>
    </row>
    <row r="499" spans="13:15" x14ac:dyDescent="0.3">
      <c r="M499" s="35">
        <v>17.600000000000001</v>
      </c>
      <c r="N499">
        <v>305</v>
      </c>
      <c r="O499" s="34">
        <f t="shared" si="8"/>
        <v>5.6700444039622704E-2</v>
      </c>
    </row>
    <row r="500" spans="13:15" x14ac:dyDescent="0.3">
      <c r="M500" s="35">
        <v>17.61</v>
      </c>
      <c r="N500">
        <v>305</v>
      </c>
      <c r="O500" s="34">
        <f t="shared" si="8"/>
        <v>5.6814300352955281E-2</v>
      </c>
    </row>
    <row r="501" spans="13:15" x14ac:dyDescent="0.3">
      <c r="M501" s="35">
        <v>17.61</v>
      </c>
      <c r="N501">
        <v>305</v>
      </c>
      <c r="O501" s="34">
        <f t="shared" si="8"/>
        <v>5.6928156666287859E-2</v>
      </c>
    </row>
    <row r="502" spans="13:15" x14ac:dyDescent="0.3">
      <c r="M502" s="35">
        <v>17.62</v>
      </c>
      <c r="N502">
        <v>305</v>
      </c>
      <c r="O502" s="34">
        <f t="shared" si="8"/>
        <v>5.7042012979620436E-2</v>
      </c>
    </row>
    <row r="503" spans="13:15" x14ac:dyDescent="0.3">
      <c r="M503" s="35">
        <v>17.62</v>
      </c>
      <c r="N503">
        <v>305</v>
      </c>
      <c r="O503" s="34">
        <f t="shared" si="8"/>
        <v>5.7155869292953014E-2</v>
      </c>
    </row>
    <row r="504" spans="13:15" x14ac:dyDescent="0.3">
      <c r="M504" s="35">
        <v>17.63</v>
      </c>
      <c r="N504">
        <v>305</v>
      </c>
      <c r="O504" s="34">
        <f t="shared" si="8"/>
        <v>5.7269725606285592E-2</v>
      </c>
    </row>
    <row r="505" spans="13:15" x14ac:dyDescent="0.3">
      <c r="M505" s="35">
        <v>17.63</v>
      </c>
      <c r="N505">
        <v>305</v>
      </c>
      <c r="O505" s="34">
        <f t="shared" si="8"/>
        <v>5.7383581919618169E-2</v>
      </c>
    </row>
    <row r="506" spans="13:15" x14ac:dyDescent="0.3">
      <c r="M506" s="35">
        <v>17.63</v>
      </c>
      <c r="N506">
        <v>305</v>
      </c>
      <c r="O506" s="34">
        <f t="shared" si="8"/>
        <v>5.7497438232950747E-2</v>
      </c>
    </row>
    <row r="507" spans="13:15" x14ac:dyDescent="0.3">
      <c r="M507" s="35">
        <v>17.63</v>
      </c>
      <c r="N507">
        <v>305</v>
      </c>
      <c r="O507" s="34">
        <f t="shared" si="8"/>
        <v>5.7611294546283325E-2</v>
      </c>
    </row>
    <row r="508" spans="13:15" x14ac:dyDescent="0.3">
      <c r="M508" s="35">
        <v>17.63</v>
      </c>
      <c r="N508">
        <v>305</v>
      </c>
      <c r="O508" s="34">
        <f t="shared" si="8"/>
        <v>5.7725150859615902E-2</v>
      </c>
    </row>
    <row r="509" spans="13:15" x14ac:dyDescent="0.3">
      <c r="M509" s="35">
        <v>17.63</v>
      </c>
      <c r="N509">
        <v>305</v>
      </c>
      <c r="O509" s="34">
        <f t="shared" si="8"/>
        <v>5.783900717294848E-2</v>
      </c>
    </row>
    <row r="510" spans="13:15" x14ac:dyDescent="0.3">
      <c r="M510" s="35">
        <v>17.64</v>
      </c>
      <c r="N510">
        <v>305</v>
      </c>
      <c r="O510" s="34">
        <f t="shared" si="8"/>
        <v>5.7952863486281057E-2</v>
      </c>
    </row>
    <row r="511" spans="13:15" x14ac:dyDescent="0.3">
      <c r="M511" s="35">
        <v>17.649999999999999</v>
      </c>
      <c r="N511">
        <v>305</v>
      </c>
      <c r="O511" s="34">
        <f t="shared" si="8"/>
        <v>5.8066719799613635E-2</v>
      </c>
    </row>
    <row r="512" spans="13:15" x14ac:dyDescent="0.3">
      <c r="M512" s="35">
        <v>17.649999999999999</v>
      </c>
      <c r="N512">
        <v>305</v>
      </c>
      <c r="O512" s="34">
        <f t="shared" si="8"/>
        <v>5.8180576112946213E-2</v>
      </c>
    </row>
    <row r="513" spans="13:15" x14ac:dyDescent="0.3">
      <c r="M513" s="35">
        <v>17.66</v>
      </c>
      <c r="N513">
        <v>305</v>
      </c>
      <c r="O513" s="34">
        <f t="shared" si="8"/>
        <v>5.829443242627879E-2</v>
      </c>
    </row>
    <row r="514" spans="13:15" x14ac:dyDescent="0.3">
      <c r="M514" s="35">
        <v>17.66</v>
      </c>
      <c r="N514">
        <v>305</v>
      </c>
      <c r="O514" s="34">
        <f t="shared" si="8"/>
        <v>5.8408288739611368E-2</v>
      </c>
    </row>
    <row r="515" spans="13:15" x14ac:dyDescent="0.3">
      <c r="M515" s="35">
        <v>17.66</v>
      </c>
      <c r="N515">
        <v>305</v>
      </c>
      <c r="O515" s="34">
        <f t="shared" si="8"/>
        <v>5.8522145052943945E-2</v>
      </c>
    </row>
    <row r="516" spans="13:15" x14ac:dyDescent="0.3">
      <c r="M516" s="35">
        <v>17.670000000000002</v>
      </c>
      <c r="N516">
        <v>305</v>
      </c>
      <c r="O516" s="34">
        <f t="shared" ref="O516:O579" si="9">O515+O$2</f>
        <v>5.8636001366276523E-2</v>
      </c>
    </row>
    <row r="517" spans="13:15" x14ac:dyDescent="0.3">
      <c r="M517" s="35">
        <v>17.670000000000002</v>
      </c>
      <c r="N517">
        <v>305</v>
      </c>
      <c r="O517" s="34">
        <f t="shared" si="9"/>
        <v>5.8749857679609101E-2</v>
      </c>
    </row>
    <row r="518" spans="13:15" x14ac:dyDescent="0.3">
      <c r="M518" s="35">
        <v>17.670000000000002</v>
      </c>
      <c r="N518">
        <v>305</v>
      </c>
      <c r="O518" s="34">
        <f t="shared" si="9"/>
        <v>5.8863713992941678E-2</v>
      </c>
    </row>
    <row r="519" spans="13:15" x14ac:dyDescent="0.3">
      <c r="M519" s="35">
        <v>17.690000000000001</v>
      </c>
      <c r="N519">
        <v>305</v>
      </c>
      <c r="O519" s="34">
        <f t="shared" si="9"/>
        <v>5.8977570306274256E-2</v>
      </c>
    </row>
    <row r="520" spans="13:15" x14ac:dyDescent="0.3">
      <c r="M520" s="35">
        <v>17.7</v>
      </c>
      <c r="N520">
        <v>305</v>
      </c>
      <c r="O520" s="34">
        <f t="shared" si="9"/>
        <v>5.9091426619606834E-2</v>
      </c>
    </row>
    <row r="521" spans="13:15" x14ac:dyDescent="0.3">
      <c r="M521" s="35">
        <v>17.7</v>
      </c>
      <c r="N521">
        <v>305</v>
      </c>
      <c r="O521" s="34">
        <f t="shared" si="9"/>
        <v>5.9205282932939411E-2</v>
      </c>
    </row>
    <row r="522" spans="13:15" x14ac:dyDescent="0.3">
      <c r="M522" s="35">
        <v>17.71</v>
      </c>
      <c r="N522">
        <v>305</v>
      </c>
      <c r="O522" s="34">
        <f t="shared" si="9"/>
        <v>5.9319139246271989E-2</v>
      </c>
    </row>
    <row r="523" spans="13:15" x14ac:dyDescent="0.3">
      <c r="M523" s="35">
        <v>17.71</v>
      </c>
      <c r="N523">
        <v>305</v>
      </c>
      <c r="O523" s="34">
        <f t="shared" si="9"/>
        <v>5.9432995559604566E-2</v>
      </c>
    </row>
    <row r="524" spans="13:15" x14ac:dyDescent="0.3">
      <c r="M524" s="35">
        <v>17.71</v>
      </c>
      <c r="N524">
        <v>305</v>
      </c>
      <c r="O524" s="34">
        <f t="shared" si="9"/>
        <v>5.9546851872937144E-2</v>
      </c>
    </row>
    <row r="525" spans="13:15" x14ac:dyDescent="0.3">
      <c r="M525" s="35">
        <v>17.72</v>
      </c>
      <c r="N525">
        <v>305</v>
      </c>
      <c r="O525" s="34">
        <f t="shared" si="9"/>
        <v>5.9660708186269722E-2</v>
      </c>
    </row>
    <row r="526" spans="13:15" x14ac:dyDescent="0.3">
      <c r="M526" s="35">
        <v>17.72</v>
      </c>
      <c r="N526">
        <v>305</v>
      </c>
      <c r="O526" s="34">
        <f t="shared" si="9"/>
        <v>5.9774564499602299E-2</v>
      </c>
    </row>
    <row r="527" spans="13:15" x14ac:dyDescent="0.3">
      <c r="M527" s="35">
        <v>17.72</v>
      </c>
      <c r="N527">
        <v>305</v>
      </c>
      <c r="O527" s="34">
        <f t="shared" si="9"/>
        <v>5.9888420812934877E-2</v>
      </c>
    </row>
    <row r="528" spans="13:15" x14ac:dyDescent="0.3">
      <c r="M528" s="35">
        <v>17.73</v>
      </c>
      <c r="N528">
        <v>305</v>
      </c>
      <c r="O528" s="34">
        <f t="shared" si="9"/>
        <v>6.0002277126267455E-2</v>
      </c>
    </row>
    <row r="529" spans="13:15" x14ac:dyDescent="0.3">
      <c r="M529" s="35">
        <v>17.73</v>
      </c>
      <c r="N529">
        <v>305</v>
      </c>
      <c r="O529" s="34">
        <f t="shared" si="9"/>
        <v>6.0116133439600032E-2</v>
      </c>
    </row>
    <row r="530" spans="13:15" x14ac:dyDescent="0.3">
      <c r="M530" s="35">
        <v>17.739999999999998</v>
      </c>
      <c r="N530">
        <v>305</v>
      </c>
      <c r="O530" s="34">
        <f t="shared" si="9"/>
        <v>6.022998975293261E-2</v>
      </c>
    </row>
    <row r="531" spans="13:15" x14ac:dyDescent="0.3">
      <c r="M531" s="35">
        <v>17.739999999999998</v>
      </c>
      <c r="N531">
        <v>305</v>
      </c>
      <c r="O531" s="34">
        <f t="shared" si="9"/>
        <v>6.0343846066265187E-2</v>
      </c>
    </row>
    <row r="532" spans="13:15" x14ac:dyDescent="0.3">
      <c r="M532" s="35">
        <v>17.739999999999998</v>
      </c>
      <c r="N532">
        <v>305</v>
      </c>
      <c r="O532" s="34">
        <f t="shared" si="9"/>
        <v>6.0457702379597765E-2</v>
      </c>
    </row>
    <row r="533" spans="13:15" x14ac:dyDescent="0.3">
      <c r="M533" s="35">
        <v>17.760000000000002</v>
      </c>
      <c r="N533">
        <v>305</v>
      </c>
      <c r="O533" s="34">
        <f t="shared" si="9"/>
        <v>6.0571558692930343E-2</v>
      </c>
    </row>
    <row r="534" spans="13:15" x14ac:dyDescent="0.3">
      <c r="M534" s="35">
        <v>17.760000000000002</v>
      </c>
      <c r="N534">
        <v>305</v>
      </c>
      <c r="O534" s="34">
        <f t="shared" si="9"/>
        <v>6.068541500626292E-2</v>
      </c>
    </row>
    <row r="535" spans="13:15" x14ac:dyDescent="0.3">
      <c r="M535" s="35">
        <v>17.760000000000002</v>
      </c>
      <c r="N535">
        <v>305</v>
      </c>
      <c r="O535" s="34">
        <f t="shared" si="9"/>
        <v>6.0799271319595498E-2</v>
      </c>
    </row>
    <row r="536" spans="13:15" x14ac:dyDescent="0.3">
      <c r="M536" s="35">
        <v>17.77</v>
      </c>
      <c r="N536">
        <v>305</v>
      </c>
      <c r="O536" s="34">
        <f t="shared" si="9"/>
        <v>6.0913127632928075E-2</v>
      </c>
    </row>
    <row r="537" spans="13:15" x14ac:dyDescent="0.3">
      <c r="M537" s="35">
        <v>17.78</v>
      </c>
      <c r="N537">
        <v>305</v>
      </c>
      <c r="O537" s="34">
        <f t="shared" si="9"/>
        <v>6.1026983946260653E-2</v>
      </c>
    </row>
    <row r="538" spans="13:15" x14ac:dyDescent="0.3">
      <c r="M538" s="35">
        <v>17.78</v>
      </c>
      <c r="N538">
        <v>305</v>
      </c>
      <c r="O538" s="34">
        <f t="shared" si="9"/>
        <v>6.1140840259593231E-2</v>
      </c>
    </row>
    <row r="539" spans="13:15" x14ac:dyDescent="0.3">
      <c r="M539" s="35">
        <v>17.79</v>
      </c>
      <c r="N539">
        <v>305</v>
      </c>
      <c r="O539" s="34">
        <f t="shared" si="9"/>
        <v>6.1254696572925808E-2</v>
      </c>
    </row>
    <row r="540" spans="13:15" x14ac:dyDescent="0.3">
      <c r="M540" s="35">
        <v>17.79</v>
      </c>
      <c r="N540">
        <v>305</v>
      </c>
      <c r="O540" s="34">
        <f t="shared" si="9"/>
        <v>6.1368552886258386E-2</v>
      </c>
    </row>
    <row r="541" spans="13:15" x14ac:dyDescent="0.3">
      <c r="M541" s="35">
        <v>17.8</v>
      </c>
      <c r="N541">
        <v>305</v>
      </c>
      <c r="O541" s="34">
        <f t="shared" si="9"/>
        <v>6.1482409199590964E-2</v>
      </c>
    </row>
    <row r="542" spans="13:15" x14ac:dyDescent="0.3">
      <c r="M542" s="35">
        <v>17.8</v>
      </c>
      <c r="N542">
        <v>305</v>
      </c>
      <c r="O542" s="34">
        <f t="shared" si="9"/>
        <v>6.1596265512923541E-2</v>
      </c>
    </row>
    <row r="543" spans="13:15" x14ac:dyDescent="0.3">
      <c r="M543" s="35">
        <v>17.809999999999999</v>
      </c>
      <c r="N543">
        <v>305</v>
      </c>
      <c r="O543" s="34">
        <f t="shared" si="9"/>
        <v>6.1710121826256119E-2</v>
      </c>
    </row>
    <row r="544" spans="13:15" x14ac:dyDescent="0.3">
      <c r="M544" s="35">
        <v>17.809999999999999</v>
      </c>
      <c r="N544">
        <v>305</v>
      </c>
      <c r="O544" s="34">
        <f t="shared" si="9"/>
        <v>6.1823978139588696E-2</v>
      </c>
    </row>
    <row r="545" spans="13:15" x14ac:dyDescent="0.3">
      <c r="M545" s="35">
        <v>17.809999999999999</v>
      </c>
      <c r="N545">
        <v>305</v>
      </c>
      <c r="O545" s="34">
        <f t="shared" si="9"/>
        <v>6.1937834452921274E-2</v>
      </c>
    </row>
    <row r="546" spans="13:15" x14ac:dyDescent="0.3">
      <c r="M546" s="35">
        <v>17.809999999999999</v>
      </c>
      <c r="N546">
        <v>305</v>
      </c>
      <c r="O546" s="34">
        <f t="shared" si="9"/>
        <v>6.2051690766253852E-2</v>
      </c>
    </row>
    <row r="547" spans="13:15" x14ac:dyDescent="0.3">
      <c r="M547" s="35">
        <v>17.82</v>
      </c>
      <c r="N547">
        <v>305</v>
      </c>
      <c r="O547" s="34">
        <f t="shared" si="9"/>
        <v>6.2165547079586429E-2</v>
      </c>
    </row>
    <row r="548" spans="13:15" x14ac:dyDescent="0.3">
      <c r="M548" s="35">
        <v>17.82</v>
      </c>
      <c r="N548">
        <v>305</v>
      </c>
      <c r="O548" s="34">
        <f t="shared" si="9"/>
        <v>6.2279403392919007E-2</v>
      </c>
    </row>
    <row r="549" spans="13:15" x14ac:dyDescent="0.3">
      <c r="M549" s="35">
        <v>17.82</v>
      </c>
      <c r="N549">
        <v>305</v>
      </c>
      <c r="O549" s="34">
        <f t="shared" si="9"/>
        <v>6.2393259706251585E-2</v>
      </c>
    </row>
    <row r="550" spans="13:15" x14ac:dyDescent="0.3">
      <c r="M550" s="35">
        <v>17.82</v>
      </c>
      <c r="N550">
        <v>305</v>
      </c>
      <c r="O550" s="34">
        <f t="shared" si="9"/>
        <v>6.2507116019584155E-2</v>
      </c>
    </row>
    <row r="551" spans="13:15" x14ac:dyDescent="0.3">
      <c r="M551" s="35">
        <v>17.84</v>
      </c>
      <c r="N551">
        <v>305</v>
      </c>
      <c r="O551" s="34">
        <f t="shared" si="9"/>
        <v>6.2620972332916733E-2</v>
      </c>
    </row>
    <row r="552" spans="13:15" x14ac:dyDescent="0.3">
      <c r="M552" s="35">
        <v>17.84</v>
      </c>
      <c r="N552">
        <v>305</v>
      </c>
      <c r="O552" s="34">
        <f t="shared" si="9"/>
        <v>6.273482864624931E-2</v>
      </c>
    </row>
    <row r="553" spans="13:15" x14ac:dyDescent="0.3">
      <c r="M553" s="35">
        <v>17.84</v>
      </c>
      <c r="N553">
        <v>305</v>
      </c>
      <c r="O553" s="34">
        <f t="shared" si="9"/>
        <v>6.2848684959581888E-2</v>
      </c>
    </row>
    <row r="554" spans="13:15" x14ac:dyDescent="0.3">
      <c r="M554" s="35">
        <v>17.84</v>
      </c>
      <c r="N554">
        <v>305</v>
      </c>
      <c r="O554" s="34">
        <f t="shared" si="9"/>
        <v>6.2962541272914466E-2</v>
      </c>
    </row>
    <row r="555" spans="13:15" x14ac:dyDescent="0.3">
      <c r="M555" s="35">
        <v>17.850000000000001</v>
      </c>
      <c r="N555">
        <v>305</v>
      </c>
      <c r="O555" s="34">
        <f t="shared" si="9"/>
        <v>6.3076397586247043E-2</v>
      </c>
    </row>
    <row r="556" spans="13:15" x14ac:dyDescent="0.3">
      <c r="M556" s="35">
        <v>17.850000000000001</v>
      </c>
      <c r="N556">
        <v>305</v>
      </c>
      <c r="O556" s="34">
        <f t="shared" si="9"/>
        <v>6.3190253899579621E-2</v>
      </c>
    </row>
    <row r="557" spans="13:15" x14ac:dyDescent="0.3">
      <c r="M557" s="35">
        <v>17.86</v>
      </c>
      <c r="N557">
        <v>305</v>
      </c>
      <c r="O557" s="34">
        <f t="shared" si="9"/>
        <v>6.3304110212912199E-2</v>
      </c>
    </row>
    <row r="558" spans="13:15" x14ac:dyDescent="0.3">
      <c r="M558" s="35">
        <v>17.86</v>
      </c>
      <c r="N558">
        <v>305</v>
      </c>
      <c r="O558" s="34">
        <f t="shared" si="9"/>
        <v>6.3417966526244776E-2</v>
      </c>
    </row>
    <row r="559" spans="13:15" x14ac:dyDescent="0.3">
      <c r="M559" s="35">
        <v>17.86</v>
      </c>
      <c r="N559">
        <v>305</v>
      </c>
      <c r="O559" s="34">
        <f t="shared" si="9"/>
        <v>6.3531822839577354E-2</v>
      </c>
    </row>
    <row r="560" spans="13:15" x14ac:dyDescent="0.3">
      <c r="M560" s="35">
        <v>17.87</v>
      </c>
      <c r="N560">
        <v>305</v>
      </c>
      <c r="O560" s="34">
        <f t="shared" si="9"/>
        <v>6.3645679152909931E-2</v>
      </c>
    </row>
    <row r="561" spans="13:15" x14ac:dyDescent="0.3">
      <c r="M561" s="35">
        <v>17.88</v>
      </c>
      <c r="N561">
        <v>305</v>
      </c>
      <c r="O561" s="34">
        <f t="shared" si="9"/>
        <v>6.3759535466242509E-2</v>
      </c>
    </row>
    <row r="562" spans="13:15" x14ac:dyDescent="0.3">
      <c r="M562" s="35">
        <v>17.89</v>
      </c>
      <c r="N562">
        <v>305</v>
      </c>
      <c r="O562" s="34">
        <f t="shared" si="9"/>
        <v>6.3873391779575087E-2</v>
      </c>
    </row>
    <row r="563" spans="13:15" x14ac:dyDescent="0.3">
      <c r="M563" s="35">
        <v>17.899999999999999</v>
      </c>
      <c r="N563">
        <v>305</v>
      </c>
      <c r="O563" s="34">
        <f t="shared" si="9"/>
        <v>6.3987248092907664E-2</v>
      </c>
    </row>
    <row r="564" spans="13:15" x14ac:dyDescent="0.3">
      <c r="M564" s="35">
        <v>17.899999999999999</v>
      </c>
      <c r="N564">
        <v>305</v>
      </c>
      <c r="O564" s="34">
        <f t="shared" si="9"/>
        <v>6.4101104406240242E-2</v>
      </c>
    </row>
    <row r="565" spans="13:15" x14ac:dyDescent="0.3">
      <c r="M565" s="35">
        <v>17.899999999999999</v>
      </c>
      <c r="N565">
        <v>305</v>
      </c>
      <c r="O565" s="34">
        <f t="shared" si="9"/>
        <v>6.4214960719572819E-2</v>
      </c>
    </row>
    <row r="566" spans="13:15" x14ac:dyDescent="0.3">
      <c r="M566" s="35">
        <v>17.91</v>
      </c>
      <c r="N566">
        <v>305</v>
      </c>
      <c r="O566" s="34">
        <f t="shared" si="9"/>
        <v>6.4328817032905397E-2</v>
      </c>
    </row>
    <row r="567" spans="13:15" x14ac:dyDescent="0.3">
      <c r="M567" s="35">
        <v>17.91</v>
      </c>
      <c r="N567">
        <v>305</v>
      </c>
      <c r="O567" s="34">
        <f t="shared" si="9"/>
        <v>6.4442673346237975E-2</v>
      </c>
    </row>
    <row r="568" spans="13:15" x14ac:dyDescent="0.3">
      <c r="M568" s="35">
        <v>17.91</v>
      </c>
      <c r="N568">
        <v>305</v>
      </c>
      <c r="O568" s="34">
        <f t="shared" si="9"/>
        <v>6.4556529659570552E-2</v>
      </c>
    </row>
    <row r="569" spans="13:15" x14ac:dyDescent="0.3">
      <c r="M569" s="35">
        <v>17.91</v>
      </c>
      <c r="N569">
        <v>305</v>
      </c>
      <c r="O569" s="34">
        <f t="shared" si="9"/>
        <v>6.467038597290313E-2</v>
      </c>
    </row>
    <row r="570" spans="13:15" x14ac:dyDescent="0.3">
      <c r="M570" s="35">
        <v>17.920000000000002</v>
      </c>
      <c r="N570">
        <v>305</v>
      </c>
      <c r="O570" s="34">
        <f t="shared" si="9"/>
        <v>6.4784242286235708E-2</v>
      </c>
    </row>
    <row r="571" spans="13:15" x14ac:dyDescent="0.3">
      <c r="M571" s="35">
        <v>17.920000000000002</v>
      </c>
      <c r="N571">
        <v>305</v>
      </c>
      <c r="O571" s="34">
        <f t="shared" si="9"/>
        <v>6.4898098599568285E-2</v>
      </c>
    </row>
    <row r="572" spans="13:15" x14ac:dyDescent="0.3">
      <c r="M572" s="35">
        <v>17.920000000000002</v>
      </c>
      <c r="N572">
        <v>305</v>
      </c>
      <c r="O572" s="34">
        <f t="shared" si="9"/>
        <v>6.5011954912900863E-2</v>
      </c>
    </row>
    <row r="573" spans="13:15" x14ac:dyDescent="0.3">
      <c r="M573" s="35">
        <v>17.920000000000002</v>
      </c>
      <c r="N573">
        <v>305</v>
      </c>
      <c r="O573" s="34">
        <f t="shared" si="9"/>
        <v>6.512581122623344E-2</v>
      </c>
    </row>
    <row r="574" spans="13:15" x14ac:dyDescent="0.3">
      <c r="M574" s="35">
        <v>17.940000000000001</v>
      </c>
      <c r="N574">
        <v>305</v>
      </c>
      <c r="O574" s="34">
        <f t="shared" si="9"/>
        <v>6.5239667539566018E-2</v>
      </c>
    </row>
    <row r="575" spans="13:15" x14ac:dyDescent="0.3">
      <c r="M575" s="35">
        <v>17.95</v>
      </c>
      <c r="N575">
        <v>305</v>
      </c>
      <c r="O575" s="34">
        <f t="shared" si="9"/>
        <v>6.5353523852898596E-2</v>
      </c>
    </row>
    <row r="576" spans="13:15" x14ac:dyDescent="0.3">
      <c r="M576" s="35">
        <v>17.95</v>
      </c>
      <c r="N576">
        <v>305</v>
      </c>
      <c r="O576" s="34">
        <f t="shared" si="9"/>
        <v>6.5467380166231173E-2</v>
      </c>
    </row>
    <row r="577" spans="13:15" x14ac:dyDescent="0.3">
      <c r="M577" s="35">
        <v>17.96</v>
      </c>
      <c r="N577">
        <v>305</v>
      </c>
      <c r="O577" s="34">
        <f t="shared" si="9"/>
        <v>6.5581236479563751E-2</v>
      </c>
    </row>
    <row r="578" spans="13:15" x14ac:dyDescent="0.3">
      <c r="M578" s="35">
        <v>17.96</v>
      </c>
      <c r="N578">
        <v>305</v>
      </c>
      <c r="O578" s="34">
        <f t="shared" si="9"/>
        <v>6.5695092792896329E-2</v>
      </c>
    </row>
    <row r="579" spans="13:15" x14ac:dyDescent="0.3">
      <c r="M579" s="35">
        <v>17.97</v>
      </c>
      <c r="N579">
        <v>305</v>
      </c>
      <c r="O579" s="34">
        <f t="shared" si="9"/>
        <v>6.5808949106228906E-2</v>
      </c>
    </row>
    <row r="580" spans="13:15" x14ac:dyDescent="0.3">
      <c r="M580" s="35">
        <v>17.97</v>
      </c>
      <c r="N580">
        <v>305</v>
      </c>
      <c r="O580" s="34">
        <f t="shared" ref="O580:O643" si="10">O579+O$2</f>
        <v>6.5922805419561484E-2</v>
      </c>
    </row>
    <row r="581" spans="13:15" x14ac:dyDescent="0.3">
      <c r="M581" s="35">
        <v>17.989999999999998</v>
      </c>
      <c r="N581">
        <v>305</v>
      </c>
      <c r="O581" s="34">
        <f t="shared" si="10"/>
        <v>6.6036661732894061E-2</v>
      </c>
    </row>
    <row r="582" spans="13:15" x14ac:dyDescent="0.3">
      <c r="M582" s="35">
        <v>18</v>
      </c>
      <c r="N582">
        <v>305</v>
      </c>
      <c r="O582" s="34">
        <f t="shared" si="10"/>
        <v>6.6150518046226639E-2</v>
      </c>
    </row>
    <row r="583" spans="13:15" x14ac:dyDescent="0.3">
      <c r="M583" s="35">
        <v>18</v>
      </c>
      <c r="N583">
        <v>305</v>
      </c>
      <c r="O583" s="34">
        <f t="shared" si="10"/>
        <v>6.6264374359559217E-2</v>
      </c>
    </row>
    <row r="584" spans="13:15" x14ac:dyDescent="0.3">
      <c r="M584" s="35">
        <v>18</v>
      </c>
      <c r="N584">
        <v>305</v>
      </c>
      <c r="O584" s="34">
        <f t="shared" si="10"/>
        <v>6.6378230672891794E-2</v>
      </c>
    </row>
    <row r="585" spans="13:15" x14ac:dyDescent="0.3">
      <c r="M585" s="35">
        <v>18.02</v>
      </c>
      <c r="N585">
        <v>305</v>
      </c>
      <c r="O585" s="34">
        <f t="shared" si="10"/>
        <v>6.6492086986224372E-2</v>
      </c>
    </row>
    <row r="586" spans="13:15" x14ac:dyDescent="0.3">
      <c r="M586" s="35">
        <v>18.03</v>
      </c>
      <c r="N586">
        <v>305</v>
      </c>
      <c r="O586" s="34">
        <f t="shared" si="10"/>
        <v>6.6605943299556949E-2</v>
      </c>
    </row>
    <row r="587" spans="13:15" x14ac:dyDescent="0.3">
      <c r="M587" s="35">
        <v>18.03</v>
      </c>
      <c r="N587">
        <v>305</v>
      </c>
      <c r="O587" s="34">
        <f t="shared" si="10"/>
        <v>6.6719799612889527E-2</v>
      </c>
    </row>
    <row r="588" spans="13:15" x14ac:dyDescent="0.3">
      <c r="M588" s="35">
        <v>18.03</v>
      </c>
      <c r="N588">
        <v>305</v>
      </c>
      <c r="O588" s="34">
        <f t="shared" si="10"/>
        <v>6.6833655926222105E-2</v>
      </c>
    </row>
    <row r="589" spans="13:15" x14ac:dyDescent="0.3">
      <c r="M589" s="35">
        <v>18.03</v>
      </c>
      <c r="N589">
        <v>305</v>
      </c>
      <c r="O589" s="34">
        <f t="shared" si="10"/>
        <v>6.6947512239554682E-2</v>
      </c>
    </row>
    <row r="590" spans="13:15" x14ac:dyDescent="0.3">
      <c r="M590" s="35">
        <v>18.04</v>
      </c>
      <c r="N590">
        <v>305</v>
      </c>
      <c r="O590" s="34">
        <f t="shared" si="10"/>
        <v>6.706136855288726E-2</v>
      </c>
    </row>
    <row r="591" spans="13:15" x14ac:dyDescent="0.3">
      <c r="M591" s="35">
        <v>18.04</v>
      </c>
      <c r="N591">
        <v>305</v>
      </c>
      <c r="O591" s="34">
        <f t="shared" si="10"/>
        <v>6.7175224866219838E-2</v>
      </c>
    </row>
    <row r="592" spans="13:15" x14ac:dyDescent="0.3">
      <c r="M592" s="35">
        <v>18.04</v>
      </c>
      <c r="N592">
        <v>305</v>
      </c>
      <c r="O592" s="34">
        <f t="shared" si="10"/>
        <v>6.7289081179552415E-2</v>
      </c>
    </row>
    <row r="593" spans="13:15" x14ac:dyDescent="0.3">
      <c r="M593" s="35">
        <v>18.04</v>
      </c>
      <c r="N593">
        <v>305</v>
      </c>
      <c r="O593" s="34">
        <f t="shared" si="10"/>
        <v>6.7402937492884993E-2</v>
      </c>
    </row>
    <row r="594" spans="13:15" x14ac:dyDescent="0.3">
      <c r="M594" s="35">
        <v>18.059999999999999</v>
      </c>
      <c r="N594">
        <v>305</v>
      </c>
      <c r="O594" s="34">
        <f t="shared" si="10"/>
        <v>6.751679380621757E-2</v>
      </c>
    </row>
    <row r="595" spans="13:15" x14ac:dyDescent="0.3">
      <c r="M595" s="35">
        <v>18.059999999999999</v>
      </c>
      <c r="N595">
        <v>305</v>
      </c>
      <c r="O595" s="34">
        <f t="shared" si="10"/>
        <v>6.7630650119550148E-2</v>
      </c>
    </row>
    <row r="596" spans="13:15" x14ac:dyDescent="0.3">
      <c r="M596" s="35">
        <v>18.059999999999999</v>
      </c>
      <c r="N596">
        <v>305</v>
      </c>
      <c r="O596" s="34">
        <f t="shared" si="10"/>
        <v>6.7744506432882726E-2</v>
      </c>
    </row>
    <row r="597" spans="13:15" x14ac:dyDescent="0.3">
      <c r="M597" s="35">
        <v>18.07</v>
      </c>
      <c r="N597">
        <v>305</v>
      </c>
      <c r="O597" s="34">
        <f t="shared" si="10"/>
        <v>6.7858362746215303E-2</v>
      </c>
    </row>
    <row r="598" spans="13:15" x14ac:dyDescent="0.3">
      <c r="M598" s="35">
        <v>18.079999999999998</v>
      </c>
      <c r="N598">
        <v>305</v>
      </c>
      <c r="O598" s="34">
        <f t="shared" si="10"/>
        <v>6.7972219059547881E-2</v>
      </c>
    </row>
    <row r="599" spans="13:15" x14ac:dyDescent="0.3">
      <c r="M599" s="35">
        <v>18.079999999999998</v>
      </c>
      <c r="N599">
        <v>305</v>
      </c>
      <c r="O599" s="34">
        <f t="shared" si="10"/>
        <v>6.8086075372880459E-2</v>
      </c>
    </row>
    <row r="600" spans="13:15" x14ac:dyDescent="0.3">
      <c r="M600" s="35">
        <v>18.079999999999998</v>
      </c>
      <c r="N600">
        <v>305</v>
      </c>
      <c r="O600" s="34">
        <f t="shared" si="10"/>
        <v>6.8199931686213036E-2</v>
      </c>
    </row>
    <row r="601" spans="13:15" x14ac:dyDescent="0.3">
      <c r="M601" s="35">
        <v>18.09</v>
      </c>
      <c r="N601">
        <v>305</v>
      </c>
      <c r="O601" s="34">
        <f t="shared" si="10"/>
        <v>6.8313787999545614E-2</v>
      </c>
    </row>
    <row r="602" spans="13:15" x14ac:dyDescent="0.3">
      <c r="M602" s="35">
        <v>18.09</v>
      </c>
      <c r="N602">
        <v>305</v>
      </c>
      <c r="O602" s="34">
        <f t="shared" si="10"/>
        <v>6.8427644312878191E-2</v>
      </c>
    </row>
    <row r="603" spans="13:15" x14ac:dyDescent="0.3">
      <c r="M603" s="35">
        <v>18.09</v>
      </c>
      <c r="N603">
        <v>305</v>
      </c>
      <c r="O603" s="34">
        <f t="shared" si="10"/>
        <v>6.8541500626210769E-2</v>
      </c>
    </row>
    <row r="604" spans="13:15" x14ac:dyDescent="0.3">
      <c r="M604" s="35">
        <v>18.09</v>
      </c>
      <c r="N604">
        <v>305</v>
      </c>
      <c r="O604" s="34">
        <f t="shared" si="10"/>
        <v>6.8655356939543347E-2</v>
      </c>
    </row>
    <row r="605" spans="13:15" x14ac:dyDescent="0.3">
      <c r="M605" s="35">
        <v>18.09</v>
      </c>
      <c r="N605">
        <v>305</v>
      </c>
      <c r="O605" s="34">
        <f t="shared" si="10"/>
        <v>6.8769213252875924E-2</v>
      </c>
    </row>
    <row r="606" spans="13:15" x14ac:dyDescent="0.3">
      <c r="M606" s="35">
        <v>18.100000000000001</v>
      </c>
      <c r="N606">
        <v>305</v>
      </c>
      <c r="O606" s="34">
        <f t="shared" si="10"/>
        <v>6.8883069566208502E-2</v>
      </c>
    </row>
    <row r="607" spans="13:15" x14ac:dyDescent="0.3">
      <c r="M607" s="35">
        <v>18.100000000000001</v>
      </c>
      <c r="N607">
        <v>305</v>
      </c>
      <c r="O607" s="34">
        <f t="shared" si="10"/>
        <v>6.8996925879541079E-2</v>
      </c>
    </row>
    <row r="608" spans="13:15" x14ac:dyDescent="0.3">
      <c r="M608" s="35">
        <v>18.11</v>
      </c>
      <c r="N608">
        <v>305</v>
      </c>
      <c r="O608" s="34">
        <f t="shared" si="10"/>
        <v>6.9110782192873657E-2</v>
      </c>
    </row>
    <row r="609" spans="13:15" x14ac:dyDescent="0.3">
      <c r="M609" s="35">
        <v>18.11</v>
      </c>
      <c r="N609">
        <v>305</v>
      </c>
      <c r="O609" s="34">
        <f t="shared" si="10"/>
        <v>6.9224638506206235E-2</v>
      </c>
    </row>
    <row r="610" spans="13:15" x14ac:dyDescent="0.3">
      <c r="M610" s="35">
        <v>18.11</v>
      </c>
      <c r="N610">
        <v>305</v>
      </c>
      <c r="O610" s="34">
        <f t="shared" si="10"/>
        <v>6.9338494819538812E-2</v>
      </c>
    </row>
    <row r="611" spans="13:15" x14ac:dyDescent="0.3">
      <c r="M611" s="35">
        <v>18.12</v>
      </c>
      <c r="N611">
        <v>305</v>
      </c>
      <c r="O611" s="34">
        <f t="shared" si="10"/>
        <v>6.945235113287139E-2</v>
      </c>
    </row>
    <row r="612" spans="13:15" x14ac:dyDescent="0.3">
      <c r="M612" s="35">
        <v>18.13</v>
      </c>
      <c r="N612">
        <v>305</v>
      </c>
      <c r="O612" s="34">
        <f t="shared" si="10"/>
        <v>6.9566207446203968E-2</v>
      </c>
    </row>
    <row r="613" spans="13:15" x14ac:dyDescent="0.3">
      <c r="M613" s="35">
        <v>18.13</v>
      </c>
      <c r="N613">
        <v>305</v>
      </c>
      <c r="O613" s="34">
        <f t="shared" si="10"/>
        <v>6.9680063759536545E-2</v>
      </c>
    </row>
    <row r="614" spans="13:15" x14ac:dyDescent="0.3">
      <c r="M614" s="35">
        <v>18.13</v>
      </c>
      <c r="N614">
        <v>305</v>
      </c>
      <c r="O614" s="34">
        <f t="shared" si="10"/>
        <v>6.9793920072869123E-2</v>
      </c>
    </row>
    <row r="615" spans="13:15" x14ac:dyDescent="0.3">
      <c r="M615" s="35">
        <v>18.13</v>
      </c>
      <c r="N615">
        <v>305</v>
      </c>
      <c r="O615" s="34">
        <f t="shared" si="10"/>
        <v>6.99077763862017E-2</v>
      </c>
    </row>
    <row r="616" spans="13:15" x14ac:dyDescent="0.3">
      <c r="M616" s="35">
        <v>18.14</v>
      </c>
      <c r="N616">
        <v>305</v>
      </c>
      <c r="O616" s="34">
        <f t="shared" si="10"/>
        <v>7.0021632699534278E-2</v>
      </c>
    </row>
    <row r="617" spans="13:15" x14ac:dyDescent="0.3">
      <c r="M617" s="35">
        <v>18.14</v>
      </c>
      <c r="N617">
        <v>305</v>
      </c>
      <c r="O617" s="34">
        <f t="shared" si="10"/>
        <v>7.0135489012866856E-2</v>
      </c>
    </row>
    <row r="618" spans="13:15" x14ac:dyDescent="0.3">
      <c r="M618" s="35">
        <v>18.14</v>
      </c>
      <c r="N618">
        <v>305</v>
      </c>
      <c r="O618" s="34">
        <f t="shared" si="10"/>
        <v>7.0249345326199433E-2</v>
      </c>
    </row>
    <row r="619" spans="13:15" x14ac:dyDescent="0.3">
      <c r="M619" s="35">
        <v>18.149999999999999</v>
      </c>
      <c r="N619">
        <v>305</v>
      </c>
      <c r="O619" s="34">
        <f t="shared" si="10"/>
        <v>7.0363201639532011E-2</v>
      </c>
    </row>
    <row r="620" spans="13:15" x14ac:dyDescent="0.3">
      <c r="M620" s="35">
        <v>18.149999999999999</v>
      </c>
      <c r="N620">
        <v>305</v>
      </c>
      <c r="O620" s="34">
        <f t="shared" si="10"/>
        <v>7.0477057952864589E-2</v>
      </c>
    </row>
    <row r="621" spans="13:15" x14ac:dyDescent="0.3">
      <c r="M621" s="35">
        <v>18.149999999999999</v>
      </c>
      <c r="N621">
        <v>305</v>
      </c>
      <c r="O621" s="34">
        <f t="shared" si="10"/>
        <v>7.0590914266197166E-2</v>
      </c>
    </row>
    <row r="622" spans="13:15" x14ac:dyDescent="0.3">
      <c r="M622" s="35">
        <v>18.149999999999999</v>
      </c>
      <c r="N622">
        <v>305</v>
      </c>
      <c r="O622" s="34">
        <f t="shared" si="10"/>
        <v>7.0704770579529744E-2</v>
      </c>
    </row>
    <row r="623" spans="13:15" x14ac:dyDescent="0.3">
      <c r="M623" s="35">
        <v>18.149999999999999</v>
      </c>
      <c r="N623">
        <v>305</v>
      </c>
      <c r="O623" s="34">
        <f t="shared" si="10"/>
        <v>7.0818626892862321E-2</v>
      </c>
    </row>
    <row r="624" spans="13:15" x14ac:dyDescent="0.3">
      <c r="M624" s="35">
        <v>18.16</v>
      </c>
      <c r="N624">
        <v>305</v>
      </c>
      <c r="O624" s="34">
        <f t="shared" si="10"/>
        <v>7.0932483206194899E-2</v>
      </c>
    </row>
    <row r="625" spans="13:15" x14ac:dyDescent="0.3">
      <c r="M625" s="35">
        <v>18.16</v>
      </c>
      <c r="N625">
        <v>305</v>
      </c>
      <c r="O625" s="34">
        <f t="shared" si="10"/>
        <v>7.1046339519527477E-2</v>
      </c>
    </row>
    <row r="626" spans="13:15" x14ac:dyDescent="0.3">
      <c r="M626" s="35">
        <v>18.170000000000002</v>
      </c>
      <c r="N626">
        <v>305</v>
      </c>
      <c r="O626" s="34">
        <f t="shared" si="10"/>
        <v>7.1160195832860054E-2</v>
      </c>
    </row>
    <row r="627" spans="13:15" x14ac:dyDescent="0.3">
      <c r="M627" s="35">
        <v>18.170000000000002</v>
      </c>
      <c r="N627">
        <v>305</v>
      </c>
      <c r="O627" s="34">
        <f t="shared" si="10"/>
        <v>7.1274052146192632E-2</v>
      </c>
    </row>
    <row r="628" spans="13:15" x14ac:dyDescent="0.3">
      <c r="M628" s="35">
        <v>18.170000000000002</v>
      </c>
      <c r="N628">
        <v>305</v>
      </c>
      <c r="O628" s="34">
        <f t="shared" si="10"/>
        <v>7.1387908459525209E-2</v>
      </c>
    </row>
    <row r="629" spans="13:15" x14ac:dyDescent="0.3">
      <c r="M629" s="35">
        <v>18.18</v>
      </c>
      <c r="N629">
        <v>305</v>
      </c>
      <c r="O629" s="34">
        <f t="shared" si="10"/>
        <v>7.1501764772857787E-2</v>
      </c>
    </row>
    <row r="630" spans="13:15" x14ac:dyDescent="0.3">
      <c r="M630" s="35">
        <v>18.18</v>
      </c>
      <c r="N630">
        <v>305</v>
      </c>
      <c r="O630" s="34">
        <f t="shared" si="10"/>
        <v>7.1615621086190365E-2</v>
      </c>
    </row>
    <row r="631" spans="13:15" x14ac:dyDescent="0.3">
      <c r="M631" s="35">
        <v>18.190000000000001</v>
      </c>
      <c r="N631">
        <v>305</v>
      </c>
      <c r="O631" s="34">
        <f t="shared" si="10"/>
        <v>7.1729477399522942E-2</v>
      </c>
    </row>
    <row r="632" spans="13:15" x14ac:dyDescent="0.3">
      <c r="M632" s="35">
        <v>18.190000000000001</v>
      </c>
      <c r="N632">
        <v>305</v>
      </c>
      <c r="O632" s="34">
        <f t="shared" si="10"/>
        <v>7.184333371285552E-2</v>
      </c>
    </row>
    <row r="633" spans="13:15" x14ac:dyDescent="0.3">
      <c r="M633" s="35">
        <v>18.190000000000001</v>
      </c>
      <c r="N633">
        <v>305</v>
      </c>
      <c r="O633" s="34">
        <f t="shared" si="10"/>
        <v>7.1957190026188098E-2</v>
      </c>
    </row>
    <row r="634" spans="13:15" x14ac:dyDescent="0.3">
      <c r="M634" s="35">
        <v>18.2</v>
      </c>
      <c r="N634">
        <v>305</v>
      </c>
      <c r="O634" s="34">
        <f t="shared" si="10"/>
        <v>7.2071046339520675E-2</v>
      </c>
    </row>
    <row r="635" spans="13:15" x14ac:dyDescent="0.3">
      <c r="M635" s="35">
        <v>18.2</v>
      </c>
      <c r="N635">
        <v>305</v>
      </c>
      <c r="O635" s="34">
        <f t="shared" si="10"/>
        <v>7.2184902652853253E-2</v>
      </c>
    </row>
    <row r="636" spans="13:15" x14ac:dyDescent="0.3">
      <c r="M636" s="35">
        <v>18.21</v>
      </c>
      <c r="N636">
        <v>305</v>
      </c>
      <c r="O636" s="34">
        <f t="shared" si="10"/>
        <v>7.229875896618583E-2</v>
      </c>
    </row>
    <row r="637" spans="13:15" x14ac:dyDescent="0.3">
      <c r="M637" s="35">
        <v>18.21</v>
      </c>
      <c r="N637">
        <v>305</v>
      </c>
      <c r="O637" s="34">
        <f t="shared" si="10"/>
        <v>7.2412615279518408E-2</v>
      </c>
    </row>
    <row r="638" spans="13:15" x14ac:dyDescent="0.3">
      <c r="M638" s="35">
        <v>18.22</v>
      </c>
      <c r="N638">
        <v>305</v>
      </c>
      <c r="O638" s="34">
        <f t="shared" si="10"/>
        <v>7.2526471592850986E-2</v>
      </c>
    </row>
    <row r="639" spans="13:15" x14ac:dyDescent="0.3">
      <c r="M639" s="35">
        <v>18.22</v>
      </c>
      <c r="N639">
        <v>305</v>
      </c>
      <c r="O639" s="34">
        <f t="shared" si="10"/>
        <v>7.2640327906183563E-2</v>
      </c>
    </row>
    <row r="640" spans="13:15" x14ac:dyDescent="0.3">
      <c r="M640" s="35">
        <v>18.22</v>
      </c>
      <c r="N640">
        <v>305</v>
      </c>
      <c r="O640" s="34">
        <f t="shared" si="10"/>
        <v>7.2754184219516141E-2</v>
      </c>
    </row>
    <row r="641" spans="13:15" x14ac:dyDescent="0.3">
      <c r="M641" s="35">
        <v>18.23</v>
      </c>
      <c r="N641">
        <v>305</v>
      </c>
      <c r="O641" s="34">
        <f t="shared" si="10"/>
        <v>7.2868040532848719E-2</v>
      </c>
    </row>
    <row r="642" spans="13:15" x14ac:dyDescent="0.3">
      <c r="M642" s="35">
        <v>18.23</v>
      </c>
      <c r="N642">
        <v>305</v>
      </c>
      <c r="O642" s="34">
        <f t="shared" si="10"/>
        <v>7.2981896846181296E-2</v>
      </c>
    </row>
    <row r="643" spans="13:15" x14ac:dyDescent="0.3">
      <c r="M643" s="35">
        <v>18.239999999999998</v>
      </c>
      <c r="N643">
        <v>305</v>
      </c>
      <c r="O643" s="34">
        <f t="shared" si="10"/>
        <v>7.3095753159513874E-2</v>
      </c>
    </row>
    <row r="644" spans="13:15" x14ac:dyDescent="0.3">
      <c r="M644" s="35">
        <v>18.239999999999998</v>
      </c>
      <c r="N644">
        <v>305</v>
      </c>
      <c r="O644" s="34">
        <f t="shared" ref="O644:O707" si="11">O643+O$2</f>
        <v>7.3209609472846451E-2</v>
      </c>
    </row>
    <row r="645" spans="13:15" x14ac:dyDescent="0.3">
      <c r="M645" s="35">
        <v>18.239999999999998</v>
      </c>
      <c r="N645">
        <v>305</v>
      </c>
      <c r="O645" s="34">
        <f t="shared" si="11"/>
        <v>7.3323465786179029E-2</v>
      </c>
    </row>
    <row r="646" spans="13:15" x14ac:dyDescent="0.3">
      <c r="M646" s="35">
        <v>18.239999999999998</v>
      </c>
      <c r="N646">
        <v>305</v>
      </c>
      <c r="O646" s="34">
        <f t="shared" si="11"/>
        <v>7.3437322099511607E-2</v>
      </c>
    </row>
    <row r="647" spans="13:15" x14ac:dyDescent="0.3">
      <c r="M647" s="35">
        <v>18.25</v>
      </c>
      <c r="N647">
        <v>305</v>
      </c>
      <c r="O647" s="34">
        <f t="shared" si="11"/>
        <v>7.3551178412844184E-2</v>
      </c>
    </row>
    <row r="648" spans="13:15" x14ac:dyDescent="0.3">
      <c r="M648" s="35">
        <v>18.25</v>
      </c>
      <c r="N648">
        <v>305</v>
      </c>
      <c r="O648" s="34">
        <f t="shared" si="11"/>
        <v>7.3665034726176762E-2</v>
      </c>
    </row>
    <row r="649" spans="13:15" x14ac:dyDescent="0.3">
      <c r="M649" s="35">
        <v>18.27</v>
      </c>
      <c r="N649">
        <v>305</v>
      </c>
      <c r="O649" s="34">
        <f t="shared" si="11"/>
        <v>7.3778891039509339E-2</v>
      </c>
    </row>
    <row r="650" spans="13:15" x14ac:dyDescent="0.3">
      <c r="M650" s="35">
        <v>18.27</v>
      </c>
      <c r="N650">
        <v>305</v>
      </c>
      <c r="O650" s="34">
        <f t="shared" si="11"/>
        <v>7.3892747352841917E-2</v>
      </c>
    </row>
    <row r="651" spans="13:15" x14ac:dyDescent="0.3">
      <c r="M651" s="35">
        <v>18.28</v>
      </c>
      <c r="N651">
        <v>305</v>
      </c>
      <c r="O651" s="34">
        <f t="shared" si="11"/>
        <v>7.4006603666174495E-2</v>
      </c>
    </row>
    <row r="652" spans="13:15" x14ac:dyDescent="0.3">
      <c r="M652" s="35">
        <v>18.28</v>
      </c>
      <c r="N652">
        <v>305</v>
      </c>
      <c r="O652" s="34">
        <f t="shared" si="11"/>
        <v>7.4120459979507072E-2</v>
      </c>
    </row>
    <row r="653" spans="13:15" x14ac:dyDescent="0.3">
      <c r="M653" s="35">
        <v>18.28</v>
      </c>
      <c r="N653">
        <v>305</v>
      </c>
      <c r="O653" s="34">
        <f t="shared" si="11"/>
        <v>7.423431629283965E-2</v>
      </c>
    </row>
    <row r="654" spans="13:15" x14ac:dyDescent="0.3">
      <c r="M654" s="35">
        <v>18.29</v>
      </c>
      <c r="N654">
        <v>305</v>
      </c>
      <c r="O654" s="34">
        <f t="shared" si="11"/>
        <v>7.4348172606172228E-2</v>
      </c>
    </row>
    <row r="655" spans="13:15" x14ac:dyDescent="0.3">
      <c r="M655" s="35">
        <v>18.29</v>
      </c>
      <c r="N655">
        <v>305</v>
      </c>
      <c r="O655" s="34">
        <f t="shared" si="11"/>
        <v>7.4462028919504805E-2</v>
      </c>
    </row>
    <row r="656" spans="13:15" x14ac:dyDescent="0.3">
      <c r="M656" s="35">
        <v>18.29</v>
      </c>
      <c r="N656">
        <v>305</v>
      </c>
      <c r="O656" s="34">
        <f t="shared" si="11"/>
        <v>7.4575885232837383E-2</v>
      </c>
    </row>
    <row r="657" spans="13:15" x14ac:dyDescent="0.3">
      <c r="M657" s="35">
        <v>18.29</v>
      </c>
      <c r="N657">
        <v>305</v>
      </c>
      <c r="O657" s="34">
        <f t="shared" si="11"/>
        <v>7.468974154616996E-2</v>
      </c>
    </row>
    <row r="658" spans="13:15" x14ac:dyDescent="0.3">
      <c r="M658" s="35">
        <v>18.3</v>
      </c>
      <c r="N658">
        <v>305</v>
      </c>
      <c r="O658" s="34">
        <f t="shared" si="11"/>
        <v>7.4803597859502538E-2</v>
      </c>
    </row>
    <row r="659" spans="13:15" x14ac:dyDescent="0.3">
      <c r="M659" s="35">
        <v>18.3</v>
      </c>
      <c r="N659">
        <v>305</v>
      </c>
      <c r="O659" s="34">
        <f t="shared" si="11"/>
        <v>7.4917454172835116E-2</v>
      </c>
    </row>
    <row r="660" spans="13:15" x14ac:dyDescent="0.3">
      <c r="M660" s="35">
        <v>18.309999999999999</v>
      </c>
      <c r="N660">
        <v>305</v>
      </c>
      <c r="O660" s="34">
        <f t="shared" si="11"/>
        <v>7.5031310486167693E-2</v>
      </c>
    </row>
    <row r="661" spans="13:15" x14ac:dyDescent="0.3">
      <c r="M661" s="35">
        <v>18.309999999999999</v>
      </c>
      <c r="N661">
        <v>305</v>
      </c>
      <c r="O661" s="34">
        <f t="shared" si="11"/>
        <v>7.5145166799500271E-2</v>
      </c>
    </row>
    <row r="662" spans="13:15" x14ac:dyDescent="0.3">
      <c r="M662" s="35">
        <v>18.32</v>
      </c>
      <c r="N662">
        <v>305</v>
      </c>
      <c r="O662" s="34">
        <f t="shared" si="11"/>
        <v>7.5259023112832849E-2</v>
      </c>
    </row>
    <row r="663" spans="13:15" x14ac:dyDescent="0.3">
      <c r="M663" s="35">
        <v>18.329999999999998</v>
      </c>
      <c r="N663">
        <v>305</v>
      </c>
      <c r="O663" s="34">
        <f t="shared" si="11"/>
        <v>7.5372879426165426E-2</v>
      </c>
    </row>
    <row r="664" spans="13:15" x14ac:dyDescent="0.3">
      <c r="M664" s="35">
        <v>18.34</v>
      </c>
      <c r="N664">
        <v>305</v>
      </c>
      <c r="O664" s="34">
        <f t="shared" si="11"/>
        <v>7.5486735739498004E-2</v>
      </c>
    </row>
    <row r="665" spans="13:15" x14ac:dyDescent="0.3">
      <c r="M665" s="35">
        <v>18.350000000000001</v>
      </c>
      <c r="N665">
        <v>305</v>
      </c>
      <c r="O665" s="34">
        <f t="shared" si="11"/>
        <v>7.5600592052830581E-2</v>
      </c>
    </row>
    <row r="666" spans="13:15" x14ac:dyDescent="0.3">
      <c r="M666" s="35">
        <v>18.350000000000001</v>
      </c>
      <c r="N666">
        <v>305</v>
      </c>
      <c r="O666" s="34">
        <f t="shared" si="11"/>
        <v>7.5714448366163159E-2</v>
      </c>
    </row>
    <row r="667" spans="13:15" x14ac:dyDescent="0.3">
      <c r="M667" s="35">
        <v>18.350000000000001</v>
      </c>
      <c r="N667">
        <v>305</v>
      </c>
      <c r="O667" s="34">
        <f t="shared" si="11"/>
        <v>7.5828304679495737E-2</v>
      </c>
    </row>
    <row r="668" spans="13:15" x14ac:dyDescent="0.3">
      <c r="M668" s="35">
        <v>18.37</v>
      </c>
      <c r="N668">
        <v>305</v>
      </c>
      <c r="O668" s="34">
        <f t="shared" si="11"/>
        <v>7.5942160992828314E-2</v>
      </c>
    </row>
    <row r="669" spans="13:15" x14ac:dyDescent="0.3">
      <c r="M669" s="35">
        <v>18.37</v>
      </c>
      <c r="N669">
        <v>305</v>
      </c>
      <c r="O669" s="34">
        <f t="shared" si="11"/>
        <v>7.6056017306160892E-2</v>
      </c>
    </row>
    <row r="670" spans="13:15" x14ac:dyDescent="0.3">
      <c r="M670" s="35">
        <v>18.37</v>
      </c>
      <c r="N670">
        <v>305</v>
      </c>
      <c r="O670" s="34">
        <f t="shared" si="11"/>
        <v>7.6169873619493469E-2</v>
      </c>
    </row>
    <row r="671" spans="13:15" x14ac:dyDescent="0.3">
      <c r="M671" s="35">
        <v>18.38</v>
      </c>
      <c r="N671">
        <v>305</v>
      </c>
      <c r="O671" s="34">
        <f t="shared" si="11"/>
        <v>7.6283729932826047E-2</v>
      </c>
    </row>
    <row r="672" spans="13:15" x14ac:dyDescent="0.3">
      <c r="M672" s="35">
        <v>18.38</v>
      </c>
      <c r="N672">
        <v>305</v>
      </c>
      <c r="O672" s="34">
        <f t="shared" si="11"/>
        <v>7.6397586246158625E-2</v>
      </c>
    </row>
    <row r="673" spans="13:15" x14ac:dyDescent="0.3">
      <c r="M673" s="35">
        <v>18.39</v>
      </c>
      <c r="N673">
        <v>305</v>
      </c>
      <c r="O673" s="34">
        <f t="shared" si="11"/>
        <v>7.6511442559491202E-2</v>
      </c>
    </row>
    <row r="674" spans="13:15" x14ac:dyDescent="0.3">
      <c r="M674" s="35">
        <v>18.39</v>
      </c>
      <c r="N674">
        <v>305</v>
      </c>
      <c r="O674" s="34">
        <f t="shared" si="11"/>
        <v>7.662529887282378E-2</v>
      </c>
    </row>
    <row r="675" spans="13:15" x14ac:dyDescent="0.3">
      <c r="M675" s="35">
        <v>18.39</v>
      </c>
      <c r="N675">
        <v>305</v>
      </c>
      <c r="O675" s="34">
        <f t="shared" si="11"/>
        <v>7.6739155186156358E-2</v>
      </c>
    </row>
    <row r="676" spans="13:15" x14ac:dyDescent="0.3">
      <c r="M676" s="35">
        <v>18.39</v>
      </c>
      <c r="N676">
        <v>305</v>
      </c>
      <c r="O676" s="34">
        <f t="shared" si="11"/>
        <v>7.6853011499488935E-2</v>
      </c>
    </row>
    <row r="677" spans="13:15" x14ac:dyDescent="0.3">
      <c r="M677" s="35">
        <v>18.399999999999999</v>
      </c>
      <c r="N677">
        <v>305</v>
      </c>
      <c r="O677" s="34">
        <f t="shared" si="11"/>
        <v>7.6966867812821513E-2</v>
      </c>
    </row>
    <row r="678" spans="13:15" x14ac:dyDescent="0.3">
      <c r="M678" s="35">
        <v>18.41</v>
      </c>
      <c r="N678">
        <v>305</v>
      </c>
      <c r="O678" s="34">
        <f t="shared" si="11"/>
        <v>7.708072412615409E-2</v>
      </c>
    </row>
    <row r="679" spans="13:15" x14ac:dyDescent="0.3">
      <c r="M679" s="35">
        <v>18.41</v>
      </c>
      <c r="N679">
        <v>305</v>
      </c>
      <c r="O679" s="34">
        <f t="shared" si="11"/>
        <v>7.7194580439486668E-2</v>
      </c>
    </row>
    <row r="680" spans="13:15" x14ac:dyDescent="0.3">
      <c r="M680" s="35">
        <v>18.41</v>
      </c>
      <c r="N680">
        <v>305</v>
      </c>
      <c r="O680" s="34">
        <f t="shared" si="11"/>
        <v>7.7308436752819246E-2</v>
      </c>
    </row>
    <row r="681" spans="13:15" x14ac:dyDescent="0.3">
      <c r="M681" s="35">
        <v>18.43</v>
      </c>
      <c r="N681">
        <v>305</v>
      </c>
      <c r="O681" s="34">
        <f t="shared" si="11"/>
        <v>7.7422293066151823E-2</v>
      </c>
    </row>
    <row r="682" spans="13:15" x14ac:dyDescent="0.3">
      <c r="M682" s="35">
        <v>18.43</v>
      </c>
      <c r="N682">
        <v>305</v>
      </c>
      <c r="O682" s="34">
        <f t="shared" si="11"/>
        <v>7.7536149379484401E-2</v>
      </c>
    </row>
    <row r="683" spans="13:15" x14ac:dyDescent="0.3">
      <c r="M683" s="35">
        <v>18.43</v>
      </c>
      <c r="N683">
        <v>305</v>
      </c>
      <c r="O683" s="34">
        <f t="shared" si="11"/>
        <v>7.7650005692816979E-2</v>
      </c>
    </row>
    <row r="684" spans="13:15" x14ac:dyDescent="0.3">
      <c r="M684" s="35">
        <v>18.440000000000001</v>
      </c>
      <c r="N684">
        <v>305</v>
      </c>
      <c r="O684" s="34">
        <f t="shared" si="11"/>
        <v>7.7763862006149556E-2</v>
      </c>
    </row>
    <row r="685" spans="13:15" x14ac:dyDescent="0.3">
      <c r="M685" s="35">
        <v>18.440000000000001</v>
      </c>
      <c r="N685">
        <v>305</v>
      </c>
      <c r="O685" s="34">
        <f t="shared" si="11"/>
        <v>7.7877718319482134E-2</v>
      </c>
    </row>
    <row r="686" spans="13:15" x14ac:dyDescent="0.3">
      <c r="M686" s="35">
        <v>18.45</v>
      </c>
      <c r="N686">
        <v>305</v>
      </c>
      <c r="O686" s="34">
        <f t="shared" si="11"/>
        <v>7.7991574632814711E-2</v>
      </c>
    </row>
    <row r="687" spans="13:15" x14ac:dyDescent="0.3">
      <c r="M687" s="35">
        <v>18.45</v>
      </c>
      <c r="N687">
        <v>305</v>
      </c>
      <c r="O687" s="34">
        <f t="shared" si="11"/>
        <v>7.8105430946147289E-2</v>
      </c>
    </row>
    <row r="688" spans="13:15" x14ac:dyDescent="0.3">
      <c r="M688" s="35">
        <v>18.46</v>
      </c>
      <c r="N688">
        <v>305</v>
      </c>
      <c r="O688" s="34">
        <f t="shared" si="11"/>
        <v>7.8219287259479867E-2</v>
      </c>
    </row>
    <row r="689" spans="13:15" x14ac:dyDescent="0.3">
      <c r="M689" s="35">
        <v>18.47</v>
      </c>
      <c r="N689">
        <v>305</v>
      </c>
      <c r="O689" s="34">
        <f t="shared" si="11"/>
        <v>7.8333143572812444E-2</v>
      </c>
    </row>
    <row r="690" spans="13:15" x14ac:dyDescent="0.3">
      <c r="M690" s="35">
        <v>18.47</v>
      </c>
      <c r="N690">
        <v>305</v>
      </c>
      <c r="O690" s="34">
        <f t="shared" si="11"/>
        <v>7.8446999886145022E-2</v>
      </c>
    </row>
    <row r="691" spans="13:15" x14ac:dyDescent="0.3">
      <c r="M691" s="35">
        <v>18.48</v>
      </c>
      <c r="N691">
        <v>305</v>
      </c>
      <c r="O691" s="34">
        <f t="shared" si="11"/>
        <v>7.8560856199477599E-2</v>
      </c>
    </row>
    <row r="692" spans="13:15" x14ac:dyDescent="0.3">
      <c r="M692" s="35">
        <v>18.48</v>
      </c>
      <c r="N692">
        <v>305</v>
      </c>
      <c r="O692" s="34">
        <f t="shared" si="11"/>
        <v>7.8674712512810177E-2</v>
      </c>
    </row>
    <row r="693" spans="13:15" x14ac:dyDescent="0.3">
      <c r="M693" s="35">
        <v>18.48</v>
      </c>
      <c r="N693">
        <v>305</v>
      </c>
      <c r="O693" s="34">
        <f t="shared" si="11"/>
        <v>7.8788568826142755E-2</v>
      </c>
    </row>
    <row r="694" spans="13:15" x14ac:dyDescent="0.3">
      <c r="M694" s="35">
        <v>18.48</v>
      </c>
      <c r="N694">
        <v>305</v>
      </c>
      <c r="O694" s="34">
        <f t="shared" si="11"/>
        <v>7.8902425139475332E-2</v>
      </c>
    </row>
    <row r="695" spans="13:15" x14ac:dyDescent="0.3">
      <c r="M695" s="35">
        <v>18.489999999999998</v>
      </c>
      <c r="N695">
        <v>305</v>
      </c>
      <c r="O695" s="34">
        <f t="shared" si="11"/>
        <v>7.901628145280791E-2</v>
      </c>
    </row>
    <row r="696" spans="13:15" x14ac:dyDescent="0.3">
      <c r="M696" s="35">
        <v>18.489999999999998</v>
      </c>
      <c r="N696">
        <v>305</v>
      </c>
      <c r="O696" s="34">
        <f t="shared" si="11"/>
        <v>7.9130137766140488E-2</v>
      </c>
    </row>
    <row r="697" spans="13:15" x14ac:dyDescent="0.3">
      <c r="M697" s="35">
        <v>18.489999999999998</v>
      </c>
      <c r="N697">
        <v>305</v>
      </c>
      <c r="O697" s="34">
        <f t="shared" si="11"/>
        <v>7.9243994079473065E-2</v>
      </c>
    </row>
    <row r="698" spans="13:15" x14ac:dyDescent="0.3">
      <c r="M698" s="35">
        <v>18.5</v>
      </c>
      <c r="N698">
        <v>305</v>
      </c>
      <c r="O698" s="34">
        <f t="shared" si="11"/>
        <v>7.9357850392805643E-2</v>
      </c>
    </row>
    <row r="699" spans="13:15" x14ac:dyDescent="0.3">
      <c r="M699" s="35">
        <v>18.52</v>
      </c>
      <c r="N699">
        <v>305</v>
      </c>
      <c r="O699" s="34">
        <f t="shared" si="11"/>
        <v>7.947170670613822E-2</v>
      </c>
    </row>
    <row r="700" spans="13:15" x14ac:dyDescent="0.3">
      <c r="M700" s="35">
        <v>18.52</v>
      </c>
      <c r="N700">
        <v>305</v>
      </c>
      <c r="O700" s="34">
        <f t="shared" si="11"/>
        <v>7.9585563019470798E-2</v>
      </c>
    </row>
    <row r="701" spans="13:15" x14ac:dyDescent="0.3">
      <c r="M701" s="35">
        <v>18.53</v>
      </c>
      <c r="N701">
        <v>305</v>
      </c>
      <c r="O701" s="34">
        <f t="shared" si="11"/>
        <v>7.9699419332803376E-2</v>
      </c>
    </row>
    <row r="702" spans="13:15" x14ac:dyDescent="0.3">
      <c r="M702" s="35">
        <v>18.54</v>
      </c>
      <c r="N702">
        <v>305</v>
      </c>
      <c r="O702" s="34">
        <f t="shared" si="11"/>
        <v>7.9813275646135953E-2</v>
      </c>
    </row>
    <row r="703" spans="13:15" x14ac:dyDescent="0.3">
      <c r="M703" s="35">
        <v>18.54</v>
      </c>
      <c r="N703">
        <v>305</v>
      </c>
      <c r="O703" s="34">
        <f t="shared" si="11"/>
        <v>7.9927131959468531E-2</v>
      </c>
    </row>
    <row r="704" spans="13:15" x14ac:dyDescent="0.3">
      <c r="M704" s="35">
        <v>18.55</v>
      </c>
      <c r="N704">
        <v>305</v>
      </c>
      <c r="O704" s="34">
        <f t="shared" si="11"/>
        <v>8.0040988272801109E-2</v>
      </c>
    </row>
    <row r="705" spans="13:15" x14ac:dyDescent="0.3">
      <c r="M705" s="35">
        <v>18.55</v>
      </c>
      <c r="N705">
        <v>305</v>
      </c>
      <c r="O705" s="34">
        <f t="shared" si="11"/>
        <v>8.0154844586133686E-2</v>
      </c>
    </row>
    <row r="706" spans="13:15" x14ac:dyDescent="0.3">
      <c r="M706" s="35">
        <v>18.55</v>
      </c>
      <c r="N706">
        <v>305</v>
      </c>
      <c r="O706" s="34">
        <f t="shared" si="11"/>
        <v>8.0268700899466264E-2</v>
      </c>
    </row>
    <row r="707" spans="13:15" x14ac:dyDescent="0.3">
      <c r="M707" s="35">
        <v>18.57</v>
      </c>
      <c r="N707">
        <v>305</v>
      </c>
      <c r="O707" s="34">
        <f t="shared" si="11"/>
        <v>8.0382557212798841E-2</v>
      </c>
    </row>
    <row r="708" spans="13:15" x14ac:dyDescent="0.3">
      <c r="M708" s="35">
        <v>18.579999999999998</v>
      </c>
      <c r="N708">
        <v>305</v>
      </c>
      <c r="O708" s="34">
        <f t="shared" ref="O708:O771" si="12">O707+O$2</f>
        <v>8.0496413526131419E-2</v>
      </c>
    </row>
    <row r="709" spans="13:15" x14ac:dyDescent="0.3">
      <c r="M709" s="35">
        <v>18.579999999999998</v>
      </c>
      <c r="N709">
        <v>305</v>
      </c>
      <c r="O709" s="34">
        <f t="shared" si="12"/>
        <v>8.0610269839463997E-2</v>
      </c>
    </row>
    <row r="710" spans="13:15" x14ac:dyDescent="0.3">
      <c r="M710" s="35">
        <v>18.579999999999998</v>
      </c>
      <c r="N710">
        <v>305</v>
      </c>
      <c r="O710" s="34">
        <f t="shared" si="12"/>
        <v>8.0724126152796574E-2</v>
      </c>
    </row>
    <row r="711" spans="13:15" x14ac:dyDescent="0.3">
      <c r="M711" s="35">
        <v>18.59</v>
      </c>
      <c r="N711">
        <v>305</v>
      </c>
      <c r="O711" s="34">
        <f t="shared" si="12"/>
        <v>8.0837982466129152E-2</v>
      </c>
    </row>
    <row r="712" spans="13:15" x14ac:dyDescent="0.3">
      <c r="M712" s="35">
        <v>18.59</v>
      </c>
      <c r="N712">
        <v>305</v>
      </c>
      <c r="O712" s="34">
        <f t="shared" si="12"/>
        <v>8.0951838779461729E-2</v>
      </c>
    </row>
    <row r="713" spans="13:15" x14ac:dyDescent="0.3">
      <c r="M713" s="35">
        <v>18.600000000000001</v>
      </c>
      <c r="N713">
        <v>305</v>
      </c>
      <c r="O713" s="34">
        <f t="shared" si="12"/>
        <v>8.1065695092794307E-2</v>
      </c>
    </row>
    <row r="714" spans="13:15" x14ac:dyDescent="0.3">
      <c r="M714" s="35">
        <v>18.61</v>
      </c>
      <c r="N714">
        <v>305</v>
      </c>
      <c r="O714" s="34">
        <f t="shared" si="12"/>
        <v>8.1179551406126885E-2</v>
      </c>
    </row>
    <row r="715" spans="13:15" x14ac:dyDescent="0.3">
      <c r="M715" s="35">
        <v>18.61</v>
      </c>
      <c r="N715">
        <v>305</v>
      </c>
      <c r="O715" s="34">
        <f t="shared" si="12"/>
        <v>8.1293407719459462E-2</v>
      </c>
    </row>
    <row r="716" spans="13:15" x14ac:dyDescent="0.3">
      <c r="M716" s="35">
        <v>18.62</v>
      </c>
      <c r="N716">
        <v>305</v>
      </c>
      <c r="O716" s="34">
        <f t="shared" si="12"/>
        <v>8.140726403279204E-2</v>
      </c>
    </row>
    <row r="717" spans="13:15" x14ac:dyDescent="0.3">
      <c r="M717" s="35">
        <v>18.62</v>
      </c>
      <c r="N717">
        <v>305</v>
      </c>
      <c r="O717" s="34">
        <f t="shared" si="12"/>
        <v>8.1521120346124618E-2</v>
      </c>
    </row>
    <row r="718" spans="13:15" x14ac:dyDescent="0.3">
      <c r="M718" s="35">
        <v>18.62</v>
      </c>
      <c r="N718">
        <v>305</v>
      </c>
      <c r="O718" s="34">
        <f t="shared" si="12"/>
        <v>8.1634976659457195E-2</v>
      </c>
    </row>
    <row r="719" spans="13:15" x14ac:dyDescent="0.3">
      <c r="M719" s="35">
        <v>18.62</v>
      </c>
      <c r="N719">
        <v>305</v>
      </c>
      <c r="O719" s="34">
        <f t="shared" si="12"/>
        <v>8.1748832972789773E-2</v>
      </c>
    </row>
    <row r="720" spans="13:15" x14ac:dyDescent="0.3">
      <c r="M720" s="35">
        <v>18.64</v>
      </c>
      <c r="N720">
        <v>305</v>
      </c>
      <c r="O720" s="34">
        <f t="shared" si="12"/>
        <v>8.186268928612235E-2</v>
      </c>
    </row>
    <row r="721" spans="13:15" x14ac:dyDescent="0.3">
      <c r="M721" s="35">
        <v>18.64</v>
      </c>
      <c r="N721">
        <v>305</v>
      </c>
      <c r="O721" s="34">
        <f t="shared" si="12"/>
        <v>8.1976545599454928E-2</v>
      </c>
    </row>
    <row r="722" spans="13:15" x14ac:dyDescent="0.3">
      <c r="M722" s="35">
        <v>18.64</v>
      </c>
      <c r="N722">
        <v>305</v>
      </c>
      <c r="O722" s="34">
        <f t="shared" si="12"/>
        <v>8.2090401912787506E-2</v>
      </c>
    </row>
    <row r="723" spans="13:15" x14ac:dyDescent="0.3">
      <c r="M723" s="35">
        <v>18.649999999999999</v>
      </c>
      <c r="N723">
        <v>305</v>
      </c>
      <c r="O723" s="34">
        <f t="shared" si="12"/>
        <v>8.2204258226120083E-2</v>
      </c>
    </row>
    <row r="724" spans="13:15" x14ac:dyDescent="0.3">
      <c r="M724" s="35">
        <v>18.66</v>
      </c>
      <c r="N724">
        <v>305</v>
      </c>
      <c r="O724" s="34">
        <f t="shared" si="12"/>
        <v>8.2318114539452661E-2</v>
      </c>
    </row>
    <row r="725" spans="13:15" x14ac:dyDescent="0.3">
      <c r="M725" s="35">
        <v>18.66</v>
      </c>
      <c r="N725">
        <v>305</v>
      </c>
      <c r="O725" s="34">
        <f t="shared" si="12"/>
        <v>8.2431970852785239E-2</v>
      </c>
    </row>
    <row r="726" spans="13:15" x14ac:dyDescent="0.3">
      <c r="M726" s="35">
        <v>18.66</v>
      </c>
      <c r="N726">
        <v>305</v>
      </c>
      <c r="O726" s="34">
        <f t="shared" si="12"/>
        <v>8.2545827166117816E-2</v>
      </c>
    </row>
    <row r="727" spans="13:15" x14ac:dyDescent="0.3">
      <c r="M727" s="35">
        <v>18.670000000000002</v>
      </c>
      <c r="N727">
        <v>305</v>
      </c>
      <c r="O727" s="34">
        <f t="shared" si="12"/>
        <v>8.2659683479450394E-2</v>
      </c>
    </row>
    <row r="728" spans="13:15" x14ac:dyDescent="0.3">
      <c r="M728" s="35">
        <v>18.670000000000002</v>
      </c>
      <c r="N728">
        <v>305</v>
      </c>
      <c r="O728" s="34">
        <f t="shared" si="12"/>
        <v>8.2773539792782971E-2</v>
      </c>
    </row>
    <row r="729" spans="13:15" x14ac:dyDescent="0.3">
      <c r="M729" s="35">
        <v>18.670000000000002</v>
      </c>
      <c r="N729">
        <v>305</v>
      </c>
      <c r="O729" s="34">
        <f t="shared" si="12"/>
        <v>8.2887396106115549E-2</v>
      </c>
    </row>
    <row r="730" spans="13:15" x14ac:dyDescent="0.3">
      <c r="M730" s="35">
        <v>18.670000000000002</v>
      </c>
      <c r="N730">
        <v>305</v>
      </c>
      <c r="O730" s="34">
        <f t="shared" si="12"/>
        <v>8.3001252419448127E-2</v>
      </c>
    </row>
    <row r="731" spans="13:15" x14ac:dyDescent="0.3">
      <c r="M731" s="35">
        <v>18.670000000000002</v>
      </c>
      <c r="N731">
        <v>305</v>
      </c>
      <c r="O731" s="34">
        <f t="shared" si="12"/>
        <v>8.3115108732780704E-2</v>
      </c>
    </row>
    <row r="732" spans="13:15" x14ac:dyDescent="0.3">
      <c r="M732" s="35">
        <v>18.670000000000002</v>
      </c>
      <c r="N732">
        <v>305</v>
      </c>
      <c r="O732" s="34">
        <f t="shared" si="12"/>
        <v>8.3228965046113282E-2</v>
      </c>
    </row>
    <row r="733" spans="13:15" x14ac:dyDescent="0.3">
      <c r="M733" s="35">
        <v>18.670000000000002</v>
      </c>
      <c r="N733">
        <v>305</v>
      </c>
      <c r="O733" s="34">
        <f t="shared" si="12"/>
        <v>8.3342821359445859E-2</v>
      </c>
    </row>
    <row r="734" spans="13:15" x14ac:dyDescent="0.3">
      <c r="M734" s="35">
        <v>18.68</v>
      </c>
      <c r="N734">
        <v>305</v>
      </c>
      <c r="O734" s="34">
        <f t="shared" si="12"/>
        <v>8.3456677672778437E-2</v>
      </c>
    </row>
    <row r="735" spans="13:15" x14ac:dyDescent="0.3">
      <c r="M735" s="35">
        <v>18.690000000000001</v>
      </c>
      <c r="N735">
        <v>305</v>
      </c>
      <c r="O735" s="34">
        <f t="shared" si="12"/>
        <v>8.3570533986111015E-2</v>
      </c>
    </row>
    <row r="736" spans="13:15" x14ac:dyDescent="0.3">
      <c r="M736" s="35">
        <v>18.7</v>
      </c>
      <c r="N736">
        <v>305</v>
      </c>
      <c r="O736" s="34">
        <f t="shared" si="12"/>
        <v>8.3684390299443592E-2</v>
      </c>
    </row>
    <row r="737" spans="13:15" x14ac:dyDescent="0.3">
      <c r="M737" s="35">
        <v>18.7</v>
      </c>
      <c r="N737">
        <v>305</v>
      </c>
      <c r="O737" s="34">
        <f t="shared" si="12"/>
        <v>8.379824661277617E-2</v>
      </c>
    </row>
    <row r="738" spans="13:15" x14ac:dyDescent="0.3">
      <c r="M738" s="35">
        <v>18.7</v>
      </c>
      <c r="N738">
        <v>305</v>
      </c>
      <c r="O738" s="34">
        <f t="shared" si="12"/>
        <v>8.3912102926108748E-2</v>
      </c>
    </row>
    <row r="739" spans="13:15" x14ac:dyDescent="0.3">
      <c r="M739" s="35">
        <v>18.71</v>
      </c>
      <c r="N739">
        <v>305</v>
      </c>
      <c r="O739" s="34">
        <f t="shared" si="12"/>
        <v>8.4025959239441325E-2</v>
      </c>
    </row>
    <row r="740" spans="13:15" x14ac:dyDescent="0.3">
      <c r="M740" s="35">
        <v>18.71</v>
      </c>
      <c r="N740">
        <v>305</v>
      </c>
      <c r="O740" s="34">
        <f t="shared" si="12"/>
        <v>8.4139815552773903E-2</v>
      </c>
    </row>
    <row r="741" spans="13:15" x14ac:dyDescent="0.3">
      <c r="M741" s="35">
        <v>18.71</v>
      </c>
      <c r="N741">
        <v>305</v>
      </c>
      <c r="O741" s="34">
        <f t="shared" si="12"/>
        <v>8.425367186610648E-2</v>
      </c>
    </row>
    <row r="742" spans="13:15" x14ac:dyDescent="0.3">
      <c r="M742" s="35">
        <v>18.71</v>
      </c>
      <c r="N742">
        <v>305</v>
      </c>
      <c r="O742" s="34">
        <f t="shared" si="12"/>
        <v>8.4367528179439058E-2</v>
      </c>
    </row>
    <row r="743" spans="13:15" x14ac:dyDescent="0.3">
      <c r="M743" s="35">
        <v>18.72</v>
      </c>
      <c r="N743">
        <v>305</v>
      </c>
      <c r="O743" s="34">
        <f t="shared" si="12"/>
        <v>8.4481384492771636E-2</v>
      </c>
    </row>
    <row r="744" spans="13:15" x14ac:dyDescent="0.3">
      <c r="M744" s="35">
        <v>18.72</v>
      </c>
      <c r="N744">
        <v>305</v>
      </c>
      <c r="O744" s="34">
        <f t="shared" si="12"/>
        <v>8.4595240806104213E-2</v>
      </c>
    </row>
    <row r="745" spans="13:15" x14ac:dyDescent="0.3">
      <c r="M745" s="35">
        <v>18.72</v>
      </c>
      <c r="N745">
        <v>305</v>
      </c>
      <c r="O745" s="34">
        <f t="shared" si="12"/>
        <v>8.4709097119436791E-2</v>
      </c>
    </row>
    <row r="746" spans="13:15" x14ac:dyDescent="0.3">
      <c r="M746" s="35">
        <v>18.72</v>
      </c>
      <c r="N746">
        <v>305</v>
      </c>
      <c r="O746" s="34">
        <f t="shared" si="12"/>
        <v>8.4822953432769368E-2</v>
      </c>
    </row>
    <row r="747" spans="13:15" x14ac:dyDescent="0.3">
      <c r="M747" s="35">
        <v>18.72</v>
      </c>
      <c r="N747">
        <v>305</v>
      </c>
      <c r="O747" s="34">
        <f t="shared" si="12"/>
        <v>8.4936809746101946E-2</v>
      </c>
    </row>
    <row r="748" spans="13:15" x14ac:dyDescent="0.3">
      <c r="M748" s="35">
        <v>18.72</v>
      </c>
      <c r="N748">
        <v>305</v>
      </c>
      <c r="O748" s="34">
        <f t="shared" si="12"/>
        <v>8.5050666059434524E-2</v>
      </c>
    </row>
    <row r="749" spans="13:15" x14ac:dyDescent="0.3">
      <c r="M749" s="35">
        <v>18.72</v>
      </c>
      <c r="N749">
        <v>305</v>
      </c>
      <c r="O749" s="34">
        <f t="shared" si="12"/>
        <v>8.5164522372767101E-2</v>
      </c>
    </row>
    <row r="750" spans="13:15" x14ac:dyDescent="0.3">
      <c r="M750" s="35">
        <v>18.73</v>
      </c>
      <c r="N750">
        <v>305</v>
      </c>
      <c r="O750" s="34">
        <f t="shared" si="12"/>
        <v>8.5278378686099679E-2</v>
      </c>
    </row>
    <row r="751" spans="13:15" x14ac:dyDescent="0.3">
      <c r="M751" s="35">
        <v>18.73</v>
      </c>
      <c r="N751">
        <v>305</v>
      </c>
      <c r="O751" s="34">
        <f t="shared" si="12"/>
        <v>8.5392234999432257E-2</v>
      </c>
    </row>
    <row r="752" spans="13:15" x14ac:dyDescent="0.3">
      <c r="M752" s="35">
        <v>18.739999999999998</v>
      </c>
      <c r="N752">
        <v>305</v>
      </c>
      <c r="O752" s="34">
        <f t="shared" si="12"/>
        <v>8.5506091312764834E-2</v>
      </c>
    </row>
    <row r="753" spans="13:15" x14ac:dyDescent="0.3">
      <c r="M753" s="35">
        <v>18.739999999999998</v>
      </c>
      <c r="N753">
        <v>305</v>
      </c>
      <c r="O753" s="34">
        <f t="shared" si="12"/>
        <v>8.5619947626097412E-2</v>
      </c>
    </row>
    <row r="754" spans="13:15" x14ac:dyDescent="0.3">
      <c r="M754" s="35">
        <v>18.739999999999998</v>
      </c>
      <c r="N754">
        <v>305</v>
      </c>
      <c r="O754" s="34">
        <f t="shared" si="12"/>
        <v>8.5733803939429989E-2</v>
      </c>
    </row>
    <row r="755" spans="13:15" x14ac:dyDescent="0.3">
      <c r="M755" s="35">
        <v>18.739999999999998</v>
      </c>
      <c r="N755">
        <v>305</v>
      </c>
      <c r="O755" s="34">
        <f t="shared" si="12"/>
        <v>8.5847660252762567E-2</v>
      </c>
    </row>
    <row r="756" spans="13:15" x14ac:dyDescent="0.3">
      <c r="M756" s="35">
        <v>18.75</v>
      </c>
      <c r="N756">
        <v>305</v>
      </c>
      <c r="O756" s="34">
        <f t="shared" si="12"/>
        <v>8.5961516566095145E-2</v>
      </c>
    </row>
    <row r="757" spans="13:15" x14ac:dyDescent="0.3">
      <c r="M757" s="35">
        <v>18.75</v>
      </c>
      <c r="N757">
        <v>305</v>
      </c>
      <c r="O757" s="34">
        <f t="shared" si="12"/>
        <v>8.6075372879427722E-2</v>
      </c>
    </row>
    <row r="758" spans="13:15" x14ac:dyDescent="0.3">
      <c r="M758" s="35">
        <v>18.75</v>
      </c>
      <c r="N758">
        <v>305</v>
      </c>
      <c r="O758" s="34">
        <f t="shared" si="12"/>
        <v>8.61892291927603E-2</v>
      </c>
    </row>
    <row r="759" spans="13:15" x14ac:dyDescent="0.3">
      <c r="M759" s="35">
        <v>18.760000000000002</v>
      </c>
      <c r="N759">
        <v>305</v>
      </c>
      <c r="O759" s="34">
        <f t="shared" si="12"/>
        <v>8.6303085506092878E-2</v>
      </c>
    </row>
    <row r="760" spans="13:15" x14ac:dyDescent="0.3">
      <c r="M760" s="35">
        <v>18.760000000000002</v>
      </c>
      <c r="N760">
        <v>305</v>
      </c>
      <c r="O760" s="34">
        <f t="shared" si="12"/>
        <v>8.6416941819425455E-2</v>
      </c>
    </row>
    <row r="761" spans="13:15" x14ac:dyDescent="0.3">
      <c r="M761" s="35">
        <v>18.760000000000002</v>
      </c>
      <c r="N761">
        <v>305</v>
      </c>
      <c r="O761" s="34">
        <f t="shared" si="12"/>
        <v>8.6530798132758033E-2</v>
      </c>
    </row>
    <row r="762" spans="13:15" x14ac:dyDescent="0.3">
      <c r="M762" s="35">
        <v>18.77</v>
      </c>
      <c r="N762">
        <v>305</v>
      </c>
      <c r="O762" s="34">
        <f t="shared" si="12"/>
        <v>8.664465444609061E-2</v>
      </c>
    </row>
    <row r="763" spans="13:15" x14ac:dyDescent="0.3">
      <c r="M763" s="35">
        <v>18.79</v>
      </c>
      <c r="N763">
        <v>305</v>
      </c>
      <c r="O763" s="34">
        <f t="shared" si="12"/>
        <v>8.6758510759423188E-2</v>
      </c>
    </row>
    <row r="764" spans="13:15" x14ac:dyDescent="0.3">
      <c r="M764" s="35">
        <v>18.79</v>
      </c>
      <c r="N764">
        <v>305</v>
      </c>
      <c r="O764" s="34">
        <f t="shared" si="12"/>
        <v>8.6872367072755766E-2</v>
      </c>
    </row>
    <row r="765" spans="13:15" x14ac:dyDescent="0.3">
      <c r="M765" s="35">
        <v>18.79</v>
      </c>
      <c r="N765">
        <v>305</v>
      </c>
      <c r="O765" s="34">
        <f t="shared" si="12"/>
        <v>8.6986223386088343E-2</v>
      </c>
    </row>
    <row r="766" spans="13:15" x14ac:dyDescent="0.3">
      <c r="M766" s="35">
        <v>18.79</v>
      </c>
      <c r="N766">
        <v>305</v>
      </c>
      <c r="O766" s="34">
        <f t="shared" si="12"/>
        <v>8.7100079699420921E-2</v>
      </c>
    </row>
    <row r="767" spans="13:15" x14ac:dyDescent="0.3">
      <c r="M767" s="35">
        <v>18.8</v>
      </c>
      <c r="N767">
        <v>305</v>
      </c>
      <c r="O767" s="34">
        <f t="shared" si="12"/>
        <v>8.7213936012753498E-2</v>
      </c>
    </row>
    <row r="768" spans="13:15" x14ac:dyDescent="0.3">
      <c r="M768" s="35">
        <v>18.8</v>
      </c>
      <c r="N768">
        <v>305</v>
      </c>
      <c r="O768" s="34">
        <f t="shared" si="12"/>
        <v>8.7327792326086076E-2</v>
      </c>
    </row>
    <row r="769" spans="13:15" x14ac:dyDescent="0.3">
      <c r="M769" s="35">
        <v>18.8</v>
      </c>
      <c r="N769">
        <v>305</v>
      </c>
      <c r="O769" s="34">
        <f t="shared" si="12"/>
        <v>8.7441648639418654E-2</v>
      </c>
    </row>
    <row r="770" spans="13:15" x14ac:dyDescent="0.3">
      <c r="M770" s="35">
        <v>18.8</v>
      </c>
      <c r="N770">
        <v>305</v>
      </c>
      <c r="O770" s="34">
        <f t="shared" si="12"/>
        <v>8.7555504952751231E-2</v>
      </c>
    </row>
    <row r="771" spans="13:15" x14ac:dyDescent="0.3">
      <c r="M771" s="35">
        <v>18.82</v>
      </c>
      <c r="N771">
        <v>305</v>
      </c>
      <c r="O771" s="34">
        <f t="shared" si="12"/>
        <v>8.7669361266083809E-2</v>
      </c>
    </row>
    <row r="772" spans="13:15" x14ac:dyDescent="0.3">
      <c r="M772" s="35">
        <v>18.82</v>
      </c>
      <c r="N772">
        <v>305</v>
      </c>
      <c r="O772" s="34">
        <f t="shared" ref="O772:O835" si="13">O771+O$2</f>
        <v>8.7783217579416387E-2</v>
      </c>
    </row>
    <row r="773" spans="13:15" x14ac:dyDescent="0.3">
      <c r="M773" s="35">
        <v>18.82</v>
      </c>
      <c r="N773">
        <v>305</v>
      </c>
      <c r="O773" s="34">
        <f t="shared" si="13"/>
        <v>8.7897073892748964E-2</v>
      </c>
    </row>
    <row r="774" spans="13:15" x14ac:dyDescent="0.3">
      <c r="M774" s="35">
        <v>18.82</v>
      </c>
      <c r="N774">
        <v>305</v>
      </c>
      <c r="O774" s="34">
        <f t="shared" si="13"/>
        <v>8.8010930206081542E-2</v>
      </c>
    </row>
    <row r="775" spans="13:15" x14ac:dyDescent="0.3">
      <c r="M775" s="35">
        <v>18.829999999999998</v>
      </c>
      <c r="N775">
        <v>305</v>
      </c>
      <c r="O775" s="34">
        <f t="shared" si="13"/>
        <v>8.8124786519414119E-2</v>
      </c>
    </row>
    <row r="776" spans="13:15" x14ac:dyDescent="0.3">
      <c r="M776" s="35">
        <v>18.829999999999998</v>
      </c>
      <c r="N776">
        <v>305</v>
      </c>
      <c r="O776" s="34">
        <f t="shared" si="13"/>
        <v>8.8238642832746697E-2</v>
      </c>
    </row>
    <row r="777" spans="13:15" x14ac:dyDescent="0.3">
      <c r="M777" s="35">
        <v>18.829999999999998</v>
      </c>
      <c r="N777">
        <v>305</v>
      </c>
      <c r="O777" s="34">
        <f t="shared" si="13"/>
        <v>8.8352499146079275E-2</v>
      </c>
    </row>
    <row r="778" spans="13:15" x14ac:dyDescent="0.3">
      <c r="M778" s="35">
        <v>18.829999999999998</v>
      </c>
      <c r="N778">
        <v>305</v>
      </c>
      <c r="O778" s="34">
        <f t="shared" si="13"/>
        <v>8.8466355459411852E-2</v>
      </c>
    </row>
    <row r="779" spans="13:15" x14ac:dyDescent="0.3">
      <c r="M779" s="35">
        <v>18.84</v>
      </c>
      <c r="N779">
        <v>305</v>
      </c>
      <c r="O779" s="34">
        <f t="shared" si="13"/>
        <v>8.858021177274443E-2</v>
      </c>
    </row>
    <row r="780" spans="13:15" x14ac:dyDescent="0.3">
      <c r="M780" s="35">
        <v>18.84</v>
      </c>
      <c r="N780">
        <v>305</v>
      </c>
      <c r="O780" s="34">
        <f t="shared" si="13"/>
        <v>8.8694068086077008E-2</v>
      </c>
    </row>
    <row r="781" spans="13:15" x14ac:dyDescent="0.3">
      <c r="M781" s="35">
        <v>18.84</v>
      </c>
      <c r="N781">
        <v>305</v>
      </c>
      <c r="O781" s="34">
        <f t="shared" si="13"/>
        <v>8.8807924399409585E-2</v>
      </c>
    </row>
    <row r="782" spans="13:15" x14ac:dyDescent="0.3">
      <c r="M782" s="35">
        <v>18.84</v>
      </c>
      <c r="N782">
        <v>305</v>
      </c>
      <c r="O782" s="34">
        <f t="shared" si="13"/>
        <v>8.8921780712742163E-2</v>
      </c>
    </row>
    <row r="783" spans="13:15" x14ac:dyDescent="0.3">
      <c r="M783" s="35">
        <v>18.850000000000001</v>
      </c>
      <c r="N783">
        <v>305</v>
      </c>
      <c r="O783" s="34">
        <f t="shared" si="13"/>
        <v>8.903563702607474E-2</v>
      </c>
    </row>
    <row r="784" spans="13:15" x14ac:dyDescent="0.3">
      <c r="M784" s="35">
        <v>18.850000000000001</v>
      </c>
      <c r="N784">
        <v>305</v>
      </c>
      <c r="O784" s="34">
        <f t="shared" si="13"/>
        <v>8.9149493339407318E-2</v>
      </c>
    </row>
    <row r="785" spans="13:15" x14ac:dyDescent="0.3">
      <c r="M785" s="35">
        <v>18.850000000000001</v>
      </c>
      <c r="N785">
        <v>305</v>
      </c>
      <c r="O785" s="34">
        <f t="shared" si="13"/>
        <v>8.9263349652739896E-2</v>
      </c>
    </row>
    <row r="786" spans="13:15" x14ac:dyDescent="0.3">
      <c r="M786" s="35">
        <v>18.86</v>
      </c>
      <c r="N786">
        <v>305</v>
      </c>
      <c r="O786" s="34">
        <f t="shared" si="13"/>
        <v>8.9377205966072473E-2</v>
      </c>
    </row>
    <row r="787" spans="13:15" x14ac:dyDescent="0.3">
      <c r="M787" s="35">
        <v>18.86</v>
      </c>
      <c r="N787">
        <v>305</v>
      </c>
      <c r="O787" s="34">
        <f t="shared" si="13"/>
        <v>8.9491062279405051E-2</v>
      </c>
    </row>
    <row r="788" spans="13:15" x14ac:dyDescent="0.3">
      <c r="M788" s="35">
        <v>18.87</v>
      </c>
      <c r="N788">
        <v>305</v>
      </c>
      <c r="O788" s="34">
        <f t="shared" si="13"/>
        <v>8.9604918592737628E-2</v>
      </c>
    </row>
    <row r="789" spans="13:15" x14ac:dyDescent="0.3">
      <c r="M789" s="35">
        <v>18.87</v>
      </c>
      <c r="N789">
        <v>305</v>
      </c>
      <c r="O789" s="34">
        <f t="shared" si="13"/>
        <v>8.9718774906070206E-2</v>
      </c>
    </row>
    <row r="790" spans="13:15" x14ac:dyDescent="0.3">
      <c r="M790" s="35">
        <v>18.88</v>
      </c>
      <c r="N790">
        <v>305</v>
      </c>
      <c r="O790" s="34">
        <f t="shared" si="13"/>
        <v>8.9832631219402784E-2</v>
      </c>
    </row>
    <row r="791" spans="13:15" x14ac:dyDescent="0.3">
      <c r="M791" s="35">
        <v>18.88</v>
      </c>
      <c r="N791">
        <v>305</v>
      </c>
      <c r="O791" s="34">
        <f t="shared" si="13"/>
        <v>8.9946487532735361E-2</v>
      </c>
    </row>
    <row r="792" spans="13:15" x14ac:dyDescent="0.3">
      <c r="M792" s="35">
        <v>18.88</v>
      </c>
      <c r="N792">
        <v>305</v>
      </c>
      <c r="O792" s="34">
        <f t="shared" si="13"/>
        <v>9.0060343846067939E-2</v>
      </c>
    </row>
    <row r="793" spans="13:15" x14ac:dyDescent="0.3">
      <c r="M793" s="35">
        <v>18.89</v>
      </c>
      <c r="N793">
        <v>305</v>
      </c>
      <c r="O793" s="34">
        <f t="shared" si="13"/>
        <v>9.0174200159400517E-2</v>
      </c>
    </row>
    <row r="794" spans="13:15" x14ac:dyDescent="0.3">
      <c r="M794" s="35">
        <v>18.89</v>
      </c>
      <c r="N794">
        <v>305</v>
      </c>
      <c r="O794" s="34">
        <f t="shared" si="13"/>
        <v>9.0288056472733094E-2</v>
      </c>
    </row>
    <row r="795" spans="13:15" x14ac:dyDescent="0.3">
      <c r="M795" s="35">
        <v>18.899999999999999</v>
      </c>
      <c r="N795">
        <v>305</v>
      </c>
      <c r="O795" s="34">
        <f t="shared" si="13"/>
        <v>9.0401912786065672E-2</v>
      </c>
    </row>
    <row r="796" spans="13:15" x14ac:dyDescent="0.3">
      <c r="M796" s="35">
        <v>18.899999999999999</v>
      </c>
      <c r="N796">
        <v>305</v>
      </c>
      <c r="O796" s="34">
        <f t="shared" si="13"/>
        <v>9.0515769099398249E-2</v>
      </c>
    </row>
    <row r="797" spans="13:15" x14ac:dyDescent="0.3">
      <c r="M797" s="35">
        <v>18.91</v>
      </c>
      <c r="N797">
        <v>305</v>
      </c>
      <c r="O797" s="34">
        <f t="shared" si="13"/>
        <v>9.0629625412730827E-2</v>
      </c>
    </row>
    <row r="798" spans="13:15" x14ac:dyDescent="0.3">
      <c r="M798" s="35">
        <v>18.91</v>
      </c>
      <c r="N798">
        <v>305</v>
      </c>
      <c r="O798" s="34">
        <f t="shared" si="13"/>
        <v>9.0743481726063405E-2</v>
      </c>
    </row>
    <row r="799" spans="13:15" x14ac:dyDescent="0.3">
      <c r="M799" s="35">
        <v>18.91</v>
      </c>
      <c r="N799">
        <v>305</v>
      </c>
      <c r="O799" s="34">
        <f t="shared" si="13"/>
        <v>9.0857338039395982E-2</v>
      </c>
    </row>
    <row r="800" spans="13:15" x14ac:dyDescent="0.3">
      <c r="M800" s="35">
        <v>18.920000000000002</v>
      </c>
      <c r="N800">
        <v>305</v>
      </c>
      <c r="O800" s="34">
        <f t="shared" si="13"/>
        <v>9.097119435272856E-2</v>
      </c>
    </row>
    <row r="801" spans="13:15" x14ac:dyDescent="0.3">
      <c r="M801" s="35">
        <v>18.93</v>
      </c>
      <c r="N801">
        <v>305</v>
      </c>
      <c r="O801" s="34">
        <f t="shared" si="13"/>
        <v>9.1085050666061138E-2</v>
      </c>
    </row>
    <row r="802" spans="13:15" x14ac:dyDescent="0.3">
      <c r="M802" s="35">
        <v>18.940000000000001</v>
      </c>
      <c r="N802">
        <v>305</v>
      </c>
      <c r="O802" s="34">
        <f t="shared" si="13"/>
        <v>9.1198906979393715E-2</v>
      </c>
    </row>
    <row r="803" spans="13:15" x14ac:dyDescent="0.3">
      <c r="M803" s="35">
        <v>18.940000000000001</v>
      </c>
      <c r="N803">
        <v>305</v>
      </c>
      <c r="O803" s="34">
        <f t="shared" si="13"/>
        <v>9.1312763292726293E-2</v>
      </c>
    </row>
    <row r="804" spans="13:15" x14ac:dyDescent="0.3">
      <c r="M804" s="35">
        <v>18.940000000000001</v>
      </c>
      <c r="N804">
        <v>305</v>
      </c>
      <c r="O804" s="34">
        <f t="shared" si="13"/>
        <v>9.142661960605887E-2</v>
      </c>
    </row>
    <row r="805" spans="13:15" x14ac:dyDescent="0.3">
      <c r="M805" s="35">
        <v>18.940000000000001</v>
      </c>
      <c r="N805">
        <v>305</v>
      </c>
      <c r="O805" s="34">
        <f t="shared" si="13"/>
        <v>9.1540475919391448E-2</v>
      </c>
    </row>
    <row r="806" spans="13:15" x14ac:dyDescent="0.3">
      <c r="M806" s="35">
        <v>18.95</v>
      </c>
      <c r="N806">
        <v>305</v>
      </c>
      <c r="O806" s="34">
        <f t="shared" si="13"/>
        <v>9.1654332232724026E-2</v>
      </c>
    </row>
    <row r="807" spans="13:15" x14ac:dyDescent="0.3">
      <c r="M807" s="35">
        <v>18.95</v>
      </c>
      <c r="N807">
        <v>305</v>
      </c>
      <c r="O807" s="34">
        <f t="shared" si="13"/>
        <v>9.1768188546056603E-2</v>
      </c>
    </row>
    <row r="808" spans="13:15" x14ac:dyDescent="0.3">
      <c r="M808" s="35">
        <v>18.95</v>
      </c>
      <c r="N808">
        <v>305</v>
      </c>
      <c r="O808" s="34">
        <f t="shared" si="13"/>
        <v>9.1882044859389181E-2</v>
      </c>
    </row>
    <row r="809" spans="13:15" x14ac:dyDescent="0.3">
      <c r="M809" s="35">
        <v>18.95</v>
      </c>
      <c r="N809">
        <v>305</v>
      </c>
      <c r="O809" s="34">
        <f t="shared" si="13"/>
        <v>9.1995901172721758E-2</v>
      </c>
    </row>
    <row r="810" spans="13:15" x14ac:dyDescent="0.3">
      <c r="M810" s="35">
        <v>18.96</v>
      </c>
      <c r="N810">
        <v>305</v>
      </c>
      <c r="O810" s="34">
        <f t="shared" si="13"/>
        <v>9.2109757486054336E-2</v>
      </c>
    </row>
    <row r="811" spans="13:15" x14ac:dyDescent="0.3">
      <c r="M811" s="35">
        <v>18.96</v>
      </c>
      <c r="N811">
        <v>305</v>
      </c>
      <c r="O811" s="34">
        <f t="shared" si="13"/>
        <v>9.2223613799386914E-2</v>
      </c>
    </row>
    <row r="812" spans="13:15" x14ac:dyDescent="0.3">
      <c r="M812" s="35">
        <v>18.96</v>
      </c>
      <c r="N812">
        <v>305</v>
      </c>
      <c r="O812" s="34">
        <f t="shared" si="13"/>
        <v>9.2337470112719491E-2</v>
      </c>
    </row>
    <row r="813" spans="13:15" x14ac:dyDescent="0.3">
      <c r="M813" s="35">
        <v>18.97</v>
      </c>
      <c r="N813">
        <v>305</v>
      </c>
      <c r="O813" s="34">
        <f t="shared" si="13"/>
        <v>9.2451326426052069E-2</v>
      </c>
    </row>
    <row r="814" spans="13:15" x14ac:dyDescent="0.3">
      <c r="M814" s="35">
        <v>18.98</v>
      </c>
      <c r="N814">
        <v>305</v>
      </c>
      <c r="O814" s="34">
        <f t="shared" si="13"/>
        <v>9.2565182739384647E-2</v>
      </c>
    </row>
    <row r="815" spans="13:15" x14ac:dyDescent="0.3">
      <c r="M815" s="35">
        <v>18.989999999999998</v>
      </c>
      <c r="N815">
        <v>305</v>
      </c>
      <c r="O815" s="34">
        <f t="shared" si="13"/>
        <v>9.2679039052717224E-2</v>
      </c>
    </row>
    <row r="816" spans="13:15" x14ac:dyDescent="0.3">
      <c r="M816" s="35">
        <v>18.989999999999998</v>
      </c>
      <c r="N816">
        <v>305</v>
      </c>
      <c r="O816" s="34">
        <f t="shared" si="13"/>
        <v>9.2792895366049802E-2</v>
      </c>
    </row>
    <row r="817" spans="13:15" x14ac:dyDescent="0.3">
      <c r="M817" s="35">
        <v>19</v>
      </c>
      <c r="N817">
        <v>305</v>
      </c>
      <c r="O817" s="34">
        <f t="shared" si="13"/>
        <v>9.2906751679382379E-2</v>
      </c>
    </row>
    <row r="818" spans="13:15" x14ac:dyDescent="0.3">
      <c r="M818" s="35">
        <v>19</v>
      </c>
      <c r="N818">
        <v>305</v>
      </c>
      <c r="O818" s="34">
        <f t="shared" si="13"/>
        <v>9.3020607992714957E-2</v>
      </c>
    </row>
    <row r="819" spans="13:15" x14ac:dyDescent="0.3">
      <c r="M819" s="35">
        <v>19</v>
      </c>
      <c r="N819">
        <v>305</v>
      </c>
      <c r="O819" s="34">
        <f t="shared" si="13"/>
        <v>9.3134464306047535E-2</v>
      </c>
    </row>
    <row r="820" spans="13:15" x14ac:dyDescent="0.3">
      <c r="M820" s="35">
        <v>19.010000000000002</v>
      </c>
      <c r="N820">
        <v>305</v>
      </c>
      <c r="O820" s="34">
        <f t="shared" si="13"/>
        <v>9.3248320619380112E-2</v>
      </c>
    </row>
    <row r="821" spans="13:15" x14ac:dyDescent="0.3">
      <c r="M821" s="35">
        <v>19.010000000000002</v>
      </c>
      <c r="N821">
        <v>305</v>
      </c>
      <c r="O821" s="34">
        <f t="shared" si="13"/>
        <v>9.336217693271269E-2</v>
      </c>
    </row>
    <row r="822" spans="13:15" x14ac:dyDescent="0.3">
      <c r="M822" s="35">
        <v>19.010000000000002</v>
      </c>
      <c r="N822">
        <v>305</v>
      </c>
      <c r="O822" s="34">
        <f t="shared" si="13"/>
        <v>9.3476033246045268E-2</v>
      </c>
    </row>
    <row r="823" spans="13:15" x14ac:dyDescent="0.3">
      <c r="M823" s="35">
        <v>19.02</v>
      </c>
      <c r="N823">
        <v>305</v>
      </c>
      <c r="O823" s="34">
        <f t="shared" si="13"/>
        <v>9.3589889559377845E-2</v>
      </c>
    </row>
    <row r="824" spans="13:15" x14ac:dyDescent="0.3">
      <c r="M824" s="35">
        <v>19.02</v>
      </c>
      <c r="N824">
        <v>305</v>
      </c>
      <c r="O824" s="34">
        <f t="shared" si="13"/>
        <v>9.3703745872710423E-2</v>
      </c>
    </row>
    <row r="825" spans="13:15" x14ac:dyDescent="0.3">
      <c r="M825" s="35">
        <v>19.04</v>
      </c>
      <c r="N825">
        <v>305</v>
      </c>
      <c r="O825" s="34">
        <f t="shared" si="13"/>
        <v>9.3817602186043E-2</v>
      </c>
    </row>
    <row r="826" spans="13:15" x14ac:dyDescent="0.3">
      <c r="M826" s="35">
        <v>19.04</v>
      </c>
      <c r="N826">
        <v>305</v>
      </c>
      <c r="O826" s="34">
        <f t="shared" si="13"/>
        <v>9.3931458499375578E-2</v>
      </c>
    </row>
    <row r="827" spans="13:15" x14ac:dyDescent="0.3">
      <c r="M827" s="35">
        <v>19.04</v>
      </c>
      <c r="N827">
        <v>305</v>
      </c>
      <c r="O827" s="34">
        <f t="shared" si="13"/>
        <v>9.4045314812708156E-2</v>
      </c>
    </row>
    <row r="828" spans="13:15" x14ac:dyDescent="0.3">
      <c r="M828" s="35">
        <v>19.04</v>
      </c>
      <c r="N828">
        <v>305</v>
      </c>
      <c r="O828" s="34">
        <f t="shared" si="13"/>
        <v>9.4159171126040733E-2</v>
      </c>
    </row>
    <row r="829" spans="13:15" x14ac:dyDescent="0.3">
      <c r="M829" s="35">
        <v>19.04</v>
      </c>
      <c r="N829">
        <v>305</v>
      </c>
      <c r="O829" s="34">
        <f t="shared" si="13"/>
        <v>9.4273027439373311E-2</v>
      </c>
    </row>
    <row r="830" spans="13:15" x14ac:dyDescent="0.3">
      <c r="M830" s="35">
        <v>19.05</v>
      </c>
      <c r="N830">
        <v>305</v>
      </c>
      <c r="O830" s="34">
        <f t="shared" si="13"/>
        <v>9.4386883752705888E-2</v>
      </c>
    </row>
    <row r="831" spans="13:15" x14ac:dyDescent="0.3">
      <c r="M831" s="35">
        <v>19.05</v>
      </c>
      <c r="N831">
        <v>305</v>
      </c>
      <c r="O831" s="34">
        <f t="shared" si="13"/>
        <v>9.4500740066038466E-2</v>
      </c>
    </row>
    <row r="832" spans="13:15" x14ac:dyDescent="0.3">
      <c r="M832" s="35">
        <v>19.059999999999999</v>
      </c>
      <c r="N832">
        <v>305</v>
      </c>
      <c r="O832" s="34">
        <f t="shared" si="13"/>
        <v>9.4614596379371044E-2</v>
      </c>
    </row>
    <row r="833" spans="13:15" x14ac:dyDescent="0.3">
      <c r="M833" s="35">
        <v>19.059999999999999</v>
      </c>
      <c r="N833">
        <v>305</v>
      </c>
      <c r="O833" s="34">
        <f t="shared" si="13"/>
        <v>9.4728452692703621E-2</v>
      </c>
    </row>
    <row r="834" spans="13:15" x14ac:dyDescent="0.3">
      <c r="M834" s="35">
        <v>19.059999999999999</v>
      </c>
      <c r="N834">
        <v>305</v>
      </c>
      <c r="O834" s="34">
        <f t="shared" si="13"/>
        <v>9.4842309006036199E-2</v>
      </c>
    </row>
    <row r="835" spans="13:15" x14ac:dyDescent="0.3">
      <c r="M835" s="35">
        <v>19.07</v>
      </c>
      <c r="N835">
        <v>305</v>
      </c>
      <c r="O835" s="34">
        <f t="shared" si="13"/>
        <v>9.4956165319368777E-2</v>
      </c>
    </row>
    <row r="836" spans="13:15" x14ac:dyDescent="0.3">
      <c r="M836" s="35">
        <v>19.07</v>
      </c>
      <c r="N836">
        <v>305</v>
      </c>
      <c r="O836" s="34">
        <f t="shared" ref="O836:O899" si="14">O835+O$2</f>
        <v>9.5070021632701354E-2</v>
      </c>
    </row>
    <row r="837" spans="13:15" x14ac:dyDescent="0.3">
      <c r="M837" s="35">
        <v>19.07</v>
      </c>
      <c r="N837">
        <v>305</v>
      </c>
      <c r="O837" s="34">
        <f t="shared" si="14"/>
        <v>9.5183877946033932E-2</v>
      </c>
    </row>
    <row r="838" spans="13:15" x14ac:dyDescent="0.3">
      <c r="M838" s="35">
        <v>19.079999999999998</v>
      </c>
      <c r="N838">
        <v>305</v>
      </c>
      <c r="O838" s="34">
        <f t="shared" si="14"/>
        <v>9.5297734259366509E-2</v>
      </c>
    </row>
    <row r="839" spans="13:15" x14ac:dyDescent="0.3">
      <c r="M839" s="35">
        <v>19.079999999999998</v>
      </c>
      <c r="N839">
        <v>305</v>
      </c>
      <c r="O839" s="34">
        <f t="shared" si="14"/>
        <v>9.5411590572699087E-2</v>
      </c>
    </row>
    <row r="840" spans="13:15" x14ac:dyDescent="0.3">
      <c r="M840" s="35">
        <v>19.079999999999998</v>
      </c>
      <c r="N840">
        <v>305</v>
      </c>
      <c r="O840" s="34">
        <f t="shared" si="14"/>
        <v>9.5525446886031665E-2</v>
      </c>
    </row>
    <row r="841" spans="13:15" x14ac:dyDescent="0.3">
      <c r="M841" s="35">
        <v>19.079999999999998</v>
      </c>
      <c r="N841">
        <v>305</v>
      </c>
      <c r="O841" s="34">
        <f t="shared" si="14"/>
        <v>9.5639303199364242E-2</v>
      </c>
    </row>
    <row r="842" spans="13:15" x14ac:dyDescent="0.3">
      <c r="M842" s="35">
        <v>19.09</v>
      </c>
      <c r="N842">
        <v>305</v>
      </c>
      <c r="O842" s="34">
        <f t="shared" si="14"/>
        <v>9.575315951269682E-2</v>
      </c>
    </row>
    <row r="843" spans="13:15" x14ac:dyDescent="0.3">
      <c r="M843" s="35">
        <v>19.09</v>
      </c>
      <c r="N843">
        <v>305</v>
      </c>
      <c r="O843" s="34">
        <f t="shared" si="14"/>
        <v>9.5867015826029398E-2</v>
      </c>
    </row>
    <row r="844" spans="13:15" x14ac:dyDescent="0.3">
      <c r="M844" s="35">
        <v>19.09</v>
      </c>
      <c r="N844">
        <v>305</v>
      </c>
      <c r="O844" s="34">
        <f t="shared" si="14"/>
        <v>9.5980872139361975E-2</v>
      </c>
    </row>
    <row r="845" spans="13:15" x14ac:dyDescent="0.3">
      <c r="M845" s="35">
        <v>19.09</v>
      </c>
      <c r="N845">
        <v>305</v>
      </c>
      <c r="O845" s="34">
        <f t="shared" si="14"/>
        <v>9.6094728452694553E-2</v>
      </c>
    </row>
    <row r="846" spans="13:15" x14ac:dyDescent="0.3">
      <c r="M846" s="35">
        <v>19.09</v>
      </c>
      <c r="N846">
        <v>305</v>
      </c>
      <c r="O846" s="34">
        <f t="shared" si="14"/>
        <v>9.620858476602713E-2</v>
      </c>
    </row>
    <row r="847" spans="13:15" x14ac:dyDescent="0.3">
      <c r="M847" s="35">
        <v>19.100000000000001</v>
      </c>
      <c r="N847">
        <v>305</v>
      </c>
      <c r="O847" s="34">
        <f t="shared" si="14"/>
        <v>9.6322441079359708E-2</v>
      </c>
    </row>
    <row r="848" spans="13:15" x14ac:dyDescent="0.3">
      <c r="M848" s="35">
        <v>19.100000000000001</v>
      </c>
      <c r="N848">
        <v>305</v>
      </c>
      <c r="O848" s="34">
        <f t="shared" si="14"/>
        <v>9.6436297392692286E-2</v>
      </c>
    </row>
    <row r="849" spans="13:15" x14ac:dyDescent="0.3">
      <c r="M849" s="35">
        <v>19.100000000000001</v>
      </c>
      <c r="N849">
        <v>305</v>
      </c>
      <c r="O849" s="34">
        <f t="shared" si="14"/>
        <v>9.6550153706024863E-2</v>
      </c>
    </row>
    <row r="850" spans="13:15" x14ac:dyDescent="0.3">
      <c r="M850" s="35">
        <v>19.100000000000001</v>
      </c>
      <c r="N850">
        <v>305</v>
      </c>
      <c r="O850" s="34">
        <f t="shared" si="14"/>
        <v>9.6664010019357441E-2</v>
      </c>
    </row>
    <row r="851" spans="13:15" x14ac:dyDescent="0.3">
      <c r="M851" s="35">
        <v>19.100000000000001</v>
      </c>
      <c r="N851">
        <v>305</v>
      </c>
      <c r="O851" s="34">
        <f t="shared" si="14"/>
        <v>9.6777866332690018E-2</v>
      </c>
    </row>
    <row r="852" spans="13:15" x14ac:dyDescent="0.3">
      <c r="M852" s="35">
        <v>19.100000000000001</v>
      </c>
      <c r="N852">
        <v>305</v>
      </c>
      <c r="O852" s="34">
        <f t="shared" si="14"/>
        <v>9.6891722646022596E-2</v>
      </c>
    </row>
    <row r="853" spans="13:15" x14ac:dyDescent="0.3">
      <c r="M853" s="35">
        <v>19.11</v>
      </c>
      <c r="N853">
        <v>305</v>
      </c>
      <c r="O853" s="34">
        <f t="shared" si="14"/>
        <v>9.7005578959355174E-2</v>
      </c>
    </row>
    <row r="854" spans="13:15" x14ac:dyDescent="0.3">
      <c r="M854" s="35">
        <v>19.11</v>
      </c>
      <c r="N854">
        <v>305</v>
      </c>
      <c r="O854" s="34">
        <f t="shared" si="14"/>
        <v>9.7119435272687751E-2</v>
      </c>
    </row>
    <row r="855" spans="13:15" x14ac:dyDescent="0.3">
      <c r="M855" s="35">
        <v>19.11</v>
      </c>
      <c r="N855">
        <v>305</v>
      </c>
      <c r="O855" s="34">
        <f t="shared" si="14"/>
        <v>9.7233291586020329E-2</v>
      </c>
    </row>
    <row r="856" spans="13:15" x14ac:dyDescent="0.3">
      <c r="M856" s="35">
        <v>19.11</v>
      </c>
      <c r="N856">
        <v>305</v>
      </c>
      <c r="O856" s="34">
        <f t="shared" si="14"/>
        <v>9.7347147899352907E-2</v>
      </c>
    </row>
    <row r="857" spans="13:15" x14ac:dyDescent="0.3">
      <c r="M857" s="35">
        <v>19.12</v>
      </c>
      <c r="N857">
        <v>305</v>
      </c>
      <c r="O857" s="34">
        <f t="shared" si="14"/>
        <v>9.7461004212685484E-2</v>
      </c>
    </row>
    <row r="858" spans="13:15" x14ac:dyDescent="0.3">
      <c r="M858" s="35">
        <v>19.12</v>
      </c>
      <c r="N858">
        <v>305</v>
      </c>
      <c r="O858" s="34">
        <f t="shared" si="14"/>
        <v>9.7574860526018062E-2</v>
      </c>
    </row>
    <row r="859" spans="13:15" x14ac:dyDescent="0.3">
      <c r="M859" s="35">
        <v>19.13</v>
      </c>
      <c r="N859">
        <v>305</v>
      </c>
      <c r="O859" s="34">
        <f t="shared" si="14"/>
        <v>9.7688716839350639E-2</v>
      </c>
    </row>
    <row r="860" spans="13:15" x14ac:dyDescent="0.3">
      <c r="M860" s="35">
        <v>19.13</v>
      </c>
      <c r="N860">
        <v>305</v>
      </c>
      <c r="O860" s="34">
        <f t="shared" si="14"/>
        <v>9.7802573152683217E-2</v>
      </c>
    </row>
    <row r="861" spans="13:15" x14ac:dyDescent="0.3">
      <c r="M861" s="35">
        <v>19.14</v>
      </c>
      <c r="N861">
        <v>305</v>
      </c>
      <c r="O861" s="34">
        <f t="shared" si="14"/>
        <v>9.7916429466015795E-2</v>
      </c>
    </row>
    <row r="862" spans="13:15" x14ac:dyDescent="0.3">
      <c r="M862" s="35">
        <v>19.14</v>
      </c>
      <c r="N862">
        <v>305</v>
      </c>
      <c r="O862" s="34">
        <f t="shared" si="14"/>
        <v>9.8030285779348372E-2</v>
      </c>
    </row>
    <row r="863" spans="13:15" x14ac:dyDescent="0.3">
      <c r="M863" s="35">
        <v>19.14</v>
      </c>
      <c r="N863">
        <v>305</v>
      </c>
      <c r="O863" s="34">
        <f t="shared" si="14"/>
        <v>9.814414209268095E-2</v>
      </c>
    </row>
    <row r="864" spans="13:15" x14ac:dyDescent="0.3">
      <c r="M864" s="35">
        <v>19.149999999999999</v>
      </c>
      <c r="N864">
        <v>305</v>
      </c>
      <c r="O864" s="34">
        <f t="shared" si="14"/>
        <v>9.8257998406013528E-2</v>
      </c>
    </row>
    <row r="865" spans="13:15" x14ac:dyDescent="0.3">
      <c r="M865" s="35">
        <v>19.149999999999999</v>
      </c>
      <c r="N865">
        <v>305</v>
      </c>
      <c r="O865" s="34">
        <f t="shared" si="14"/>
        <v>9.8371854719346105E-2</v>
      </c>
    </row>
    <row r="866" spans="13:15" x14ac:dyDescent="0.3">
      <c r="M866" s="35">
        <v>19.16</v>
      </c>
      <c r="N866">
        <v>305</v>
      </c>
      <c r="O866" s="34">
        <f t="shared" si="14"/>
        <v>9.8485711032678683E-2</v>
      </c>
    </row>
    <row r="867" spans="13:15" x14ac:dyDescent="0.3">
      <c r="M867" s="35">
        <v>19.170000000000002</v>
      </c>
      <c r="N867">
        <v>305</v>
      </c>
      <c r="O867" s="34">
        <f t="shared" si="14"/>
        <v>9.859956734601126E-2</v>
      </c>
    </row>
    <row r="868" spans="13:15" x14ac:dyDescent="0.3">
      <c r="M868" s="35">
        <v>19.170000000000002</v>
      </c>
      <c r="N868">
        <v>305</v>
      </c>
      <c r="O868" s="34">
        <f t="shared" si="14"/>
        <v>9.8713423659343838E-2</v>
      </c>
    </row>
    <row r="869" spans="13:15" x14ac:dyDescent="0.3">
      <c r="M869" s="35">
        <v>19.18</v>
      </c>
      <c r="N869">
        <v>305</v>
      </c>
      <c r="O869" s="34">
        <f t="shared" si="14"/>
        <v>9.8827279972676416E-2</v>
      </c>
    </row>
    <row r="870" spans="13:15" x14ac:dyDescent="0.3">
      <c r="M870" s="35">
        <v>19.18</v>
      </c>
      <c r="N870">
        <v>305</v>
      </c>
      <c r="O870" s="34">
        <f t="shared" si="14"/>
        <v>9.8941136286008993E-2</v>
      </c>
    </row>
    <row r="871" spans="13:15" x14ac:dyDescent="0.3">
      <c r="M871" s="35">
        <v>19.18</v>
      </c>
      <c r="N871">
        <v>305</v>
      </c>
      <c r="O871" s="34">
        <f t="shared" si="14"/>
        <v>9.9054992599341571E-2</v>
      </c>
    </row>
    <row r="872" spans="13:15" x14ac:dyDescent="0.3">
      <c r="M872" s="35">
        <v>19.190000000000001</v>
      </c>
      <c r="N872">
        <v>305</v>
      </c>
      <c r="O872" s="34">
        <f t="shared" si="14"/>
        <v>9.9168848912674148E-2</v>
      </c>
    </row>
    <row r="873" spans="13:15" x14ac:dyDescent="0.3">
      <c r="M873" s="35">
        <v>19.190000000000001</v>
      </c>
      <c r="N873">
        <v>305</v>
      </c>
      <c r="O873" s="34">
        <f t="shared" si="14"/>
        <v>9.9282705226006726E-2</v>
      </c>
    </row>
    <row r="874" spans="13:15" x14ac:dyDescent="0.3">
      <c r="M874" s="35">
        <v>19.190000000000001</v>
      </c>
      <c r="N874">
        <v>305</v>
      </c>
      <c r="O874" s="34">
        <f t="shared" si="14"/>
        <v>9.9396561539339304E-2</v>
      </c>
    </row>
    <row r="875" spans="13:15" x14ac:dyDescent="0.3">
      <c r="M875" s="35">
        <v>19.190000000000001</v>
      </c>
      <c r="N875">
        <v>305</v>
      </c>
      <c r="O875" s="34">
        <f t="shared" si="14"/>
        <v>9.9510417852671881E-2</v>
      </c>
    </row>
    <row r="876" spans="13:15" x14ac:dyDescent="0.3">
      <c r="M876" s="35">
        <v>19.2</v>
      </c>
      <c r="N876">
        <v>305</v>
      </c>
      <c r="O876" s="34">
        <f t="shared" si="14"/>
        <v>9.9624274166004459E-2</v>
      </c>
    </row>
    <row r="877" spans="13:15" x14ac:dyDescent="0.3">
      <c r="M877" s="35">
        <v>19.2</v>
      </c>
      <c r="N877">
        <v>305</v>
      </c>
      <c r="O877" s="34">
        <f t="shared" si="14"/>
        <v>9.9738130479337037E-2</v>
      </c>
    </row>
    <row r="878" spans="13:15" x14ac:dyDescent="0.3">
      <c r="M878" s="35">
        <v>19.2</v>
      </c>
      <c r="N878">
        <v>305</v>
      </c>
      <c r="O878" s="34">
        <f t="shared" si="14"/>
        <v>9.9851986792669614E-2</v>
      </c>
    </row>
    <row r="879" spans="13:15" x14ac:dyDescent="0.3">
      <c r="M879" s="35">
        <v>19.2</v>
      </c>
      <c r="N879">
        <v>305</v>
      </c>
      <c r="O879" s="34">
        <f t="shared" si="14"/>
        <v>9.9965843106002192E-2</v>
      </c>
    </row>
    <row r="880" spans="13:15" x14ac:dyDescent="0.3">
      <c r="M880" s="35">
        <v>19.2</v>
      </c>
      <c r="N880">
        <v>305</v>
      </c>
      <c r="O880" s="34">
        <f t="shared" si="14"/>
        <v>0.10007969941933477</v>
      </c>
    </row>
    <row r="881" spans="13:15" x14ac:dyDescent="0.3">
      <c r="M881" s="35">
        <v>19.2</v>
      </c>
      <c r="N881">
        <v>305</v>
      </c>
      <c r="O881" s="34">
        <f t="shared" si="14"/>
        <v>0.10019355573266735</v>
      </c>
    </row>
    <row r="882" spans="13:15" x14ac:dyDescent="0.3">
      <c r="M882" s="35">
        <v>19.21</v>
      </c>
      <c r="N882">
        <v>305</v>
      </c>
      <c r="O882" s="34">
        <f t="shared" si="14"/>
        <v>0.10030741204599992</v>
      </c>
    </row>
    <row r="883" spans="13:15" x14ac:dyDescent="0.3">
      <c r="M883" s="35">
        <v>19.21</v>
      </c>
      <c r="N883">
        <v>305</v>
      </c>
      <c r="O883" s="34">
        <f t="shared" si="14"/>
        <v>0.1004212683593325</v>
      </c>
    </row>
    <row r="884" spans="13:15" x14ac:dyDescent="0.3">
      <c r="M884" s="35">
        <v>19.21</v>
      </c>
      <c r="N884">
        <v>305</v>
      </c>
      <c r="O884" s="34">
        <f t="shared" si="14"/>
        <v>0.10053512467266508</v>
      </c>
    </row>
    <row r="885" spans="13:15" x14ac:dyDescent="0.3">
      <c r="M885" s="35">
        <v>19.21</v>
      </c>
      <c r="N885">
        <v>305</v>
      </c>
      <c r="O885" s="34">
        <f t="shared" si="14"/>
        <v>0.10064898098599766</v>
      </c>
    </row>
    <row r="886" spans="13:15" x14ac:dyDescent="0.3">
      <c r="M886" s="35">
        <v>19.22</v>
      </c>
      <c r="N886">
        <v>305</v>
      </c>
      <c r="O886" s="34">
        <f t="shared" si="14"/>
        <v>0.10076283729933024</v>
      </c>
    </row>
    <row r="887" spans="13:15" x14ac:dyDescent="0.3">
      <c r="M887" s="35">
        <v>19.239999999999998</v>
      </c>
      <c r="N887">
        <v>305</v>
      </c>
      <c r="O887" s="34">
        <f t="shared" si="14"/>
        <v>0.10087669361266281</v>
      </c>
    </row>
    <row r="888" spans="13:15" x14ac:dyDescent="0.3">
      <c r="M888" s="35">
        <v>19.239999999999998</v>
      </c>
      <c r="N888">
        <v>305</v>
      </c>
      <c r="O888" s="34">
        <f t="shared" si="14"/>
        <v>0.10099054992599539</v>
      </c>
    </row>
    <row r="889" spans="13:15" x14ac:dyDescent="0.3">
      <c r="M889" s="35">
        <v>19.239999999999998</v>
      </c>
      <c r="N889">
        <v>305</v>
      </c>
      <c r="O889" s="34">
        <f t="shared" si="14"/>
        <v>0.10110440623932797</v>
      </c>
    </row>
    <row r="890" spans="13:15" x14ac:dyDescent="0.3">
      <c r="M890" s="35">
        <v>19.25</v>
      </c>
      <c r="N890">
        <v>305</v>
      </c>
      <c r="O890" s="34">
        <f t="shared" si="14"/>
        <v>0.10121826255266055</v>
      </c>
    </row>
    <row r="891" spans="13:15" x14ac:dyDescent="0.3">
      <c r="M891" s="35">
        <v>19.25</v>
      </c>
      <c r="N891">
        <v>305</v>
      </c>
      <c r="O891" s="34">
        <f t="shared" si="14"/>
        <v>0.10133211886599312</v>
      </c>
    </row>
    <row r="892" spans="13:15" x14ac:dyDescent="0.3">
      <c r="M892" s="35">
        <v>19.260000000000002</v>
      </c>
      <c r="N892">
        <v>305</v>
      </c>
      <c r="O892" s="34">
        <f t="shared" si="14"/>
        <v>0.1014459751793257</v>
      </c>
    </row>
    <row r="893" spans="13:15" x14ac:dyDescent="0.3">
      <c r="M893" s="35">
        <v>19.260000000000002</v>
      </c>
      <c r="N893">
        <v>305</v>
      </c>
      <c r="O893" s="34">
        <f t="shared" si="14"/>
        <v>0.10155983149265828</v>
      </c>
    </row>
    <row r="894" spans="13:15" x14ac:dyDescent="0.3">
      <c r="M894" s="35">
        <v>19.28</v>
      </c>
      <c r="N894">
        <v>305</v>
      </c>
      <c r="O894" s="34">
        <f t="shared" si="14"/>
        <v>0.10167368780599086</v>
      </c>
    </row>
    <row r="895" spans="13:15" x14ac:dyDescent="0.3">
      <c r="M895" s="35">
        <v>19.29</v>
      </c>
      <c r="N895">
        <v>305</v>
      </c>
      <c r="O895" s="34">
        <f t="shared" si="14"/>
        <v>0.10178754411932343</v>
      </c>
    </row>
    <row r="896" spans="13:15" x14ac:dyDescent="0.3">
      <c r="M896" s="35">
        <v>19.3</v>
      </c>
      <c r="N896">
        <v>305</v>
      </c>
      <c r="O896" s="34">
        <f t="shared" si="14"/>
        <v>0.10190140043265601</v>
      </c>
    </row>
    <row r="897" spans="13:15" x14ac:dyDescent="0.3">
      <c r="M897" s="35">
        <v>19.3</v>
      </c>
      <c r="N897">
        <v>305</v>
      </c>
      <c r="O897" s="34">
        <f t="shared" si="14"/>
        <v>0.10201525674598859</v>
      </c>
    </row>
    <row r="898" spans="13:15" x14ac:dyDescent="0.3">
      <c r="M898" s="35">
        <v>19.309999999999999</v>
      </c>
      <c r="N898">
        <v>305</v>
      </c>
      <c r="O898" s="34">
        <f t="shared" si="14"/>
        <v>0.10212911305932117</v>
      </c>
    </row>
    <row r="899" spans="13:15" x14ac:dyDescent="0.3">
      <c r="M899" s="35">
        <v>19.309999999999999</v>
      </c>
      <c r="N899">
        <v>305</v>
      </c>
      <c r="O899" s="34">
        <f t="shared" si="14"/>
        <v>0.10224296937265374</v>
      </c>
    </row>
    <row r="900" spans="13:15" x14ac:dyDescent="0.3">
      <c r="M900" s="35">
        <v>19.309999999999999</v>
      </c>
      <c r="N900">
        <v>305</v>
      </c>
      <c r="O900" s="34">
        <f t="shared" ref="O900:O963" si="15">O899+O$2</f>
        <v>0.10235682568598632</v>
      </c>
    </row>
    <row r="901" spans="13:15" x14ac:dyDescent="0.3">
      <c r="M901" s="35">
        <v>19.32</v>
      </c>
      <c r="N901">
        <v>305</v>
      </c>
      <c r="O901" s="34">
        <f t="shared" si="15"/>
        <v>0.1024706819993189</v>
      </c>
    </row>
    <row r="902" spans="13:15" x14ac:dyDescent="0.3">
      <c r="M902" s="35">
        <v>19.32</v>
      </c>
      <c r="N902">
        <v>305</v>
      </c>
      <c r="O902" s="34">
        <f t="shared" si="15"/>
        <v>0.10258453831265148</v>
      </c>
    </row>
    <row r="903" spans="13:15" x14ac:dyDescent="0.3">
      <c r="M903" s="35">
        <v>19.329999999999998</v>
      </c>
      <c r="N903">
        <v>305</v>
      </c>
      <c r="O903" s="34">
        <f t="shared" si="15"/>
        <v>0.10269839462598405</v>
      </c>
    </row>
    <row r="904" spans="13:15" x14ac:dyDescent="0.3">
      <c r="M904" s="35">
        <v>19.329999999999998</v>
      </c>
      <c r="N904">
        <v>305</v>
      </c>
      <c r="O904" s="34">
        <f t="shared" si="15"/>
        <v>0.10281225093931663</v>
      </c>
    </row>
    <row r="905" spans="13:15" x14ac:dyDescent="0.3">
      <c r="M905" s="35">
        <v>19.350000000000001</v>
      </c>
      <c r="N905">
        <v>305</v>
      </c>
      <c r="O905" s="34">
        <f t="shared" si="15"/>
        <v>0.10292610725264921</v>
      </c>
    </row>
    <row r="906" spans="13:15" x14ac:dyDescent="0.3">
      <c r="M906" s="35">
        <v>19.350000000000001</v>
      </c>
      <c r="N906">
        <v>305</v>
      </c>
      <c r="O906" s="34">
        <f t="shared" si="15"/>
        <v>0.10303996356598179</v>
      </c>
    </row>
    <row r="907" spans="13:15" x14ac:dyDescent="0.3">
      <c r="M907" s="35">
        <v>19.350000000000001</v>
      </c>
      <c r="N907">
        <v>305</v>
      </c>
      <c r="O907" s="34">
        <f t="shared" si="15"/>
        <v>0.10315381987931437</v>
      </c>
    </row>
    <row r="908" spans="13:15" x14ac:dyDescent="0.3">
      <c r="M908" s="35">
        <v>19.36</v>
      </c>
      <c r="N908">
        <v>305</v>
      </c>
      <c r="O908" s="34">
        <f t="shared" si="15"/>
        <v>0.10326767619264694</v>
      </c>
    </row>
    <row r="909" spans="13:15" x14ac:dyDescent="0.3">
      <c r="M909" s="35">
        <v>19.36</v>
      </c>
      <c r="N909">
        <v>305</v>
      </c>
      <c r="O909" s="34">
        <f t="shared" si="15"/>
        <v>0.10338153250597952</v>
      </c>
    </row>
    <row r="910" spans="13:15" x14ac:dyDescent="0.3">
      <c r="M910" s="35">
        <v>19.36</v>
      </c>
      <c r="N910">
        <v>305</v>
      </c>
      <c r="O910" s="34">
        <f t="shared" si="15"/>
        <v>0.1034953888193121</v>
      </c>
    </row>
    <row r="911" spans="13:15" x14ac:dyDescent="0.3">
      <c r="M911" s="35">
        <v>19.37</v>
      </c>
      <c r="N911">
        <v>305</v>
      </c>
      <c r="O911" s="34">
        <f t="shared" si="15"/>
        <v>0.10360924513264468</v>
      </c>
    </row>
    <row r="912" spans="13:15" x14ac:dyDescent="0.3">
      <c r="M912" s="35">
        <v>19.37</v>
      </c>
      <c r="N912">
        <v>305</v>
      </c>
      <c r="O912" s="34">
        <f t="shared" si="15"/>
        <v>0.10372310144597725</v>
      </c>
    </row>
    <row r="913" spans="13:15" x14ac:dyDescent="0.3">
      <c r="M913" s="35">
        <v>19.38</v>
      </c>
      <c r="N913">
        <v>305</v>
      </c>
      <c r="O913" s="34">
        <f t="shared" si="15"/>
        <v>0.10383695775930983</v>
      </c>
    </row>
    <row r="914" spans="13:15" x14ac:dyDescent="0.3">
      <c r="M914" s="35">
        <v>19.38</v>
      </c>
      <c r="N914">
        <v>305</v>
      </c>
      <c r="O914" s="34">
        <f t="shared" si="15"/>
        <v>0.10395081407264241</v>
      </c>
    </row>
    <row r="915" spans="13:15" x14ac:dyDescent="0.3">
      <c r="M915" s="35">
        <v>19.39</v>
      </c>
      <c r="N915">
        <v>305</v>
      </c>
      <c r="O915" s="34">
        <f t="shared" si="15"/>
        <v>0.10406467038597499</v>
      </c>
    </row>
    <row r="916" spans="13:15" x14ac:dyDescent="0.3">
      <c r="M916" s="35">
        <v>19.399999999999999</v>
      </c>
      <c r="N916">
        <v>305</v>
      </c>
      <c r="O916" s="34">
        <f t="shared" si="15"/>
        <v>0.10417852669930756</v>
      </c>
    </row>
    <row r="917" spans="13:15" x14ac:dyDescent="0.3">
      <c r="M917" s="35">
        <v>19.399999999999999</v>
      </c>
      <c r="N917">
        <v>305</v>
      </c>
      <c r="O917" s="34">
        <f t="shared" si="15"/>
        <v>0.10429238301264014</v>
      </c>
    </row>
    <row r="918" spans="13:15" x14ac:dyDescent="0.3">
      <c r="M918" s="35">
        <v>19.399999999999999</v>
      </c>
      <c r="N918">
        <v>305</v>
      </c>
      <c r="O918" s="34">
        <f t="shared" si="15"/>
        <v>0.10440623932597272</v>
      </c>
    </row>
    <row r="919" spans="13:15" x14ac:dyDescent="0.3">
      <c r="M919" s="35">
        <v>19.41</v>
      </c>
      <c r="N919">
        <v>305</v>
      </c>
      <c r="O919" s="34">
        <f t="shared" si="15"/>
        <v>0.1045200956393053</v>
      </c>
    </row>
    <row r="920" spans="13:15" x14ac:dyDescent="0.3">
      <c r="M920" s="35">
        <v>19.41</v>
      </c>
      <c r="N920">
        <v>305</v>
      </c>
      <c r="O920" s="34">
        <f t="shared" si="15"/>
        <v>0.10463395195263787</v>
      </c>
    </row>
    <row r="921" spans="13:15" x14ac:dyDescent="0.3">
      <c r="M921" s="35">
        <v>19.420000000000002</v>
      </c>
      <c r="N921">
        <v>305</v>
      </c>
      <c r="O921" s="34">
        <f t="shared" si="15"/>
        <v>0.10474780826597045</v>
      </c>
    </row>
    <row r="922" spans="13:15" x14ac:dyDescent="0.3">
      <c r="M922" s="35">
        <v>19.420000000000002</v>
      </c>
      <c r="N922">
        <v>305</v>
      </c>
      <c r="O922" s="34">
        <f t="shared" si="15"/>
        <v>0.10486166457930303</v>
      </c>
    </row>
    <row r="923" spans="13:15" x14ac:dyDescent="0.3">
      <c r="M923" s="35">
        <v>19.420000000000002</v>
      </c>
      <c r="N923">
        <v>305</v>
      </c>
      <c r="O923" s="34">
        <f t="shared" si="15"/>
        <v>0.10497552089263561</v>
      </c>
    </row>
    <row r="924" spans="13:15" x14ac:dyDescent="0.3">
      <c r="M924" s="35">
        <v>19.420000000000002</v>
      </c>
      <c r="N924">
        <v>305</v>
      </c>
      <c r="O924" s="34">
        <f t="shared" si="15"/>
        <v>0.10508937720596818</v>
      </c>
    </row>
    <row r="925" spans="13:15" x14ac:dyDescent="0.3">
      <c r="M925" s="35">
        <v>19.420000000000002</v>
      </c>
      <c r="N925">
        <v>305</v>
      </c>
      <c r="O925" s="34">
        <f t="shared" si="15"/>
        <v>0.10520323351930076</v>
      </c>
    </row>
    <row r="926" spans="13:15" x14ac:dyDescent="0.3">
      <c r="M926" s="35">
        <v>19.43</v>
      </c>
      <c r="N926">
        <v>305</v>
      </c>
      <c r="O926" s="34">
        <f t="shared" si="15"/>
        <v>0.10531708983263334</v>
      </c>
    </row>
    <row r="927" spans="13:15" x14ac:dyDescent="0.3">
      <c r="M927" s="35">
        <v>19.43</v>
      </c>
      <c r="N927">
        <v>305</v>
      </c>
      <c r="O927" s="34">
        <f t="shared" si="15"/>
        <v>0.10543094614596592</v>
      </c>
    </row>
    <row r="928" spans="13:15" x14ac:dyDescent="0.3">
      <c r="M928" s="35">
        <v>19.440000000000001</v>
      </c>
      <c r="N928">
        <v>305</v>
      </c>
      <c r="O928" s="34">
        <f t="shared" si="15"/>
        <v>0.1055448024592985</v>
      </c>
    </row>
    <row r="929" spans="13:15" x14ac:dyDescent="0.3">
      <c r="M929" s="35">
        <v>19.440000000000001</v>
      </c>
      <c r="N929">
        <v>305</v>
      </c>
      <c r="O929" s="34">
        <f t="shared" si="15"/>
        <v>0.10565865877263107</v>
      </c>
    </row>
    <row r="930" spans="13:15" x14ac:dyDescent="0.3">
      <c r="M930" s="35">
        <v>19.440000000000001</v>
      </c>
      <c r="N930">
        <v>305</v>
      </c>
      <c r="O930" s="34">
        <f t="shared" si="15"/>
        <v>0.10577251508596365</v>
      </c>
    </row>
    <row r="931" spans="13:15" x14ac:dyDescent="0.3">
      <c r="M931" s="35">
        <v>19.440000000000001</v>
      </c>
      <c r="N931">
        <v>305</v>
      </c>
      <c r="O931" s="34">
        <f t="shared" si="15"/>
        <v>0.10588637139929623</v>
      </c>
    </row>
    <row r="932" spans="13:15" x14ac:dyDescent="0.3">
      <c r="M932" s="35">
        <v>19.45</v>
      </c>
      <c r="N932">
        <v>305</v>
      </c>
      <c r="O932" s="34">
        <f t="shared" si="15"/>
        <v>0.10600022771262881</v>
      </c>
    </row>
    <row r="933" spans="13:15" x14ac:dyDescent="0.3">
      <c r="M933" s="35">
        <v>19.47</v>
      </c>
      <c r="N933">
        <v>305</v>
      </c>
      <c r="O933" s="34">
        <f t="shared" si="15"/>
        <v>0.10611408402596138</v>
      </c>
    </row>
    <row r="934" spans="13:15" x14ac:dyDescent="0.3">
      <c r="M934" s="35">
        <v>19.47</v>
      </c>
      <c r="N934">
        <v>305</v>
      </c>
      <c r="O934" s="34">
        <f t="shared" si="15"/>
        <v>0.10622794033929396</v>
      </c>
    </row>
    <row r="935" spans="13:15" x14ac:dyDescent="0.3">
      <c r="M935" s="35">
        <v>19.48</v>
      </c>
      <c r="N935">
        <v>305</v>
      </c>
      <c r="O935" s="34">
        <f t="shared" si="15"/>
        <v>0.10634179665262654</v>
      </c>
    </row>
    <row r="936" spans="13:15" x14ac:dyDescent="0.3">
      <c r="M936" s="35">
        <v>19.48</v>
      </c>
      <c r="N936">
        <v>305</v>
      </c>
      <c r="O936" s="34">
        <f t="shared" si="15"/>
        <v>0.10645565296595912</v>
      </c>
    </row>
    <row r="937" spans="13:15" x14ac:dyDescent="0.3">
      <c r="M937" s="35">
        <v>19.48</v>
      </c>
      <c r="N937">
        <v>305</v>
      </c>
      <c r="O937" s="34">
        <f t="shared" si="15"/>
        <v>0.10656950927929169</v>
      </c>
    </row>
    <row r="938" spans="13:15" x14ac:dyDescent="0.3">
      <c r="M938" s="35">
        <v>19.48</v>
      </c>
      <c r="N938">
        <v>305</v>
      </c>
      <c r="O938" s="34">
        <f t="shared" si="15"/>
        <v>0.10668336559262427</v>
      </c>
    </row>
    <row r="939" spans="13:15" x14ac:dyDescent="0.3">
      <c r="M939" s="35">
        <v>19.489999999999998</v>
      </c>
      <c r="N939">
        <v>305</v>
      </c>
      <c r="O939" s="34">
        <f t="shared" si="15"/>
        <v>0.10679722190595685</v>
      </c>
    </row>
    <row r="940" spans="13:15" x14ac:dyDescent="0.3">
      <c r="M940" s="35">
        <v>19.489999999999998</v>
      </c>
      <c r="N940">
        <v>305</v>
      </c>
      <c r="O940" s="34">
        <f t="shared" si="15"/>
        <v>0.10691107821928943</v>
      </c>
    </row>
    <row r="941" spans="13:15" x14ac:dyDescent="0.3">
      <c r="M941" s="35">
        <v>19.5</v>
      </c>
      <c r="N941">
        <v>305</v>
      </c>
      <c r="O941" s="34">
        <f t="shared" si="15"/>
        <v>0.107024934532622</v>
      </c>
    </row>
    <row r="942" spans="13:15" x14ac:dyDescent="0.3">
      <c r="M942" s="35">
        <v>19.5</v>
      </c>
      <c r="N942">
        <v>305</v>
      </c>
      <c r="O942" s="34">
        <f t="shared" si="15"/>
        <v>0.10713879084595458</v>
      </c>
    </row>
    <row r="943" spans="13:15" x14ac:dyDescent="0.3">
      <c r="M943" s="35">
        <v>19.5</v>
      </c>
      <c r="N943">
        <v>305</v>
      </c>
      <c r="O943" s="34">
        <f t="shared" si="15"/>
        <v>0.10725264715928716</v>
      </c>
    </row>
    <row r="944" spans="13:15" x14ac:dyDescent="0.3">
      <c r="M944" s="35">
        <v>19.510000000000002</v>
      </c>
      <c r="N944">
        <v>305</v>
      </c>
      <c r="O944" s="34">
        <f t="shared" si="15"/>
        <v>0.10736650347261974</v>
      </c>
    </row>
    <row r="945" spans="13:15" x14ac:dyDescent="0.3">
      <c r="M945" s="35">
        <v>19.510000000000002</v>
      </c>
      <c r="N945">
        <v>305</v>
      </c>
      <c r="O945" s="34">
        <f t="shared" si="15"/>
        <v>0.10748035978595231</v>
      </c>
    </row>
    <row r="946" spans="13:15" x14ac:dyDescent="0.3">
      <c r="M946" s="35">
        <v>19.510000000000002</v>
      </c>
      <c r="N946">
        <v>305</v>
      </c>
      <c r="O946" s="34">
        <f t="shared" si="15"/>
        <v>0.10759421609928489</v>
      </c>
    </row>
    <row r="947" spans="13:15" x14ac:dyDescent="0.3">
      <c r="M947" s="35">
        <v>19.52</v>
      </c>
      <c r="N947">
        <v>305</v>
      </c>
      <c r="O947" s="34">
        <f t="shared" si="15"/>
        <v>0.10770807241261747</v>
      </c>
    </row>
    <row r="948" spans="13:15" x14ac:dyDescent="0.3">
      <c r="M948" s="35">
        <v>19.52</v>
      </c>
      <c r="N948">
        <v>305</v>
      </c>
      <c r="O948" s="34">
        <f t="shared" si="15"/>
        <v>0.10782192872595005</v>
      </c>
    </row>
    <row r="949" spans="13:15" x14ac:dyDescent="0.3">
      <c r="M949" s="35">
        <v>19.52</v>
      </c>
      <c r="N949">
        <v>305</v>
      </c>
      <c r="O949" s="34">
        <f t="shared" si="15"/>
        <v>0.10793578503928263</v>
      </c>
    </row>
    <row r="950" spans="13:15" x14ac:dyDescent="0.3">
      <c r="M950" s="35">
        <v>19.53</v>
      </c>
      <c r="N950">
        <v>305</v>
      </c>
      <c r="O950" s="34">
        <f t="shared" si="15"/>
        <v>0.1080496413526152</v>
      </c>
    </row>
    <row r="951" spans="13:15" x14ac:dyDescent="0.3">
      <c r="M951" s="35">
        <v>19.53</v>
      </c>
      <c r="N951">
        <v>305</v>
      </c>
      <c r="O951" s="34">
        <f t="shared" si="15"/>
        <v>0.10816349766594778</v>
      </c>
    </row>
    <row r="952" spans="13:15" x14ac:dyDescent="0.3">
      <c r="M952" s="35">
        <v>19.54</v>
      </c>
      <c r="N952">
        <v>305</v>
      </c>
      <c r="O952" s="34">
        <f t="shared" si="15"/>
        <v>0.10827735397928036</v>
      </c>
    </row>
    <row r="953" spans="13:15" x14ac:dyDescent="0.3">
      <c r="M953" s="35">
        <v>19.54</v>
      </c>
      <c r="N953">
        <v>305</v>
      </c>
      <c r="O953" s="34">
        <f t="shared" si="15"/>
        <v>0.10839121029261294</v>
      </c>
    </row>
    <row r="954" spans="13:15" x14ac:dyDescent="0.3">
      <c r="M954" s="35">
        <v>19.54</v>
      </c>
      <c r="N954">
        <v>305</v>
      </c>
      <c r="O954" s="34">
        <f t="shared" si="15"/>
        <v>0.10850506660594551</v>
      </c>
    </row>
    <row r="955" spans="13:15" x14ac:dyDescent="0.3">
      <c r="M955" s="35">
        <v>19.54</v>
      </c>
      <c r="N955">
        <v>305</v>
      </c>
      <c r="O955" s="34">
        <f t="shared" si="15"/>
        <v>0.10861892291927809</v>
      </c>
    </row>
    <row r="956" spans="13:15" x14ac:dyDescent="0.3">
      <c r="M956" s="35">
        <v>19.54</v>
      </c>
      <c r="N956">
        <v>305</v>
      </c>
      <c r="O956" s="34">
        <f t="shared" si="15"/>
        <v>0.10873277923261067</v>
      </c>
    </row>
    <row r="957" spans="13:15" x14ac:dyDescent="0.3">
      <c r="M957" s="35">
        <v>19.55</v>
      </c>
      <c r="N957">
        <v>305</v>
      </c>
      <c r="O957" s="34">
        <f t="shared" si="15"/>
        <v>0.10884663554594325</v>
      </c>
    </row>
    <row r="958" spans="13:15" x14ac:dyDescent="0.3">
      <c r="M958" s="35">
        <v>19.55</v>
      </c>
      <c r="N958">
        <v>305</v>
      </c>
      <c r="O958" s="34">
        <f t="shared" si="15"/>
        <v>0.10896049185927582</v>
      </c>
    </row>
    <row r="959" spans="13:15" x14ac:dyDescent="0.3">
      <c r="M959" s="35">
        <v>19.55</v>
      </c>
      <c r="N959">
        <v>305</v>
      </c>
      <c r="O959" s="34">
        <f t="shared" si="15"/>
        <v>0.1090743481726084</v>
      </c>
    </row>
    <row r="960" spans="13:15" x14ac:dyDescent="0.3">
      <c r="M960" s="35">
        <v>19.559999999999999</v>
      </c>
      <c r="N960">
        <v>305</v>
      </c>
      <c r="O960" s="34">
        <f t="shared" si="15"/>
        <v>0.10918820448594098</v>
      </c>
    </row>
    <row r="961" spans="13:15" x14ac:dyDescent="0.3">
      <c r="M961" s="35">
        <v>19.559999999999999</v>
      </c>
      <c r="N961">
        <v>305</v>
      </c>
      <c r="O961" s="34">
        <f t="shared" si="15"/>
        <v>0.10930206079927356</v>
      </c>
    </row>
    <row r="962" spans="13:15" x14ac:dyDescent="0.3">
      <c r="M962" s="35">
        <v>19.57</v>
      </c>
      <c r="N962">
        <v>305</v>
      </c>
      <c r="O962" s="34">
        <f t="shared" si="15"/>
        <v>0.10941591711260613</v>
      </c>
    </row>
    <row r="963" spans="13:15" x14ac:dyDescent="0.3">
      <c r="M963" s="35">
        <v>19.57</v>
      </c>
      <c r="N963">
        <v>305</v>
      </c>
      <c r="O963" s="34">
        <f t="shared" si="15"/>
        <v>0.10952977342593871</v>
      </c>
    </row>
    <row r="964" spans="13:15" x14ac:dyDescent="0.3">
      <c r="M964" s="35">
        <v>19.57</v>
      </c>
      <c r="N964">
        <v>305</v>
      </c>
      <c r="O964" s="34">
        <f t="shared" ref="O964:O1027" si="16">O963+O$2</f>
        <v>0.10964362973927129</v>
      </c>
    </row>
    <row r="965" spans="13:15" x14ac:dyDescent="0.3">
      <c r="M965" s="35">
        <v>19.579999999999998</v>
      </c>
      <c r="N965">
        <v>305</v>
      </c>
      <c r="O965" s="34">
        <f t="shared" si="16"/>
        <v>0.10975748605260387</v>
      </c>
    </row>
    <row r="966" spans="13:15" x14ac:dyDescent="0.3">
      <c r="M966" s="35">
        <v>19.579999999999998</v>
      </c>
      <c r="N966">
        <v>305</v>
      </c>
      <c r="O966" s="34">
        <f t="shared" si="16"/>
        <v>0.10987134236593644</v>
      </c>
    </row>
    <row r="967" spans="13:15" x14ac:dyDescent="0.3">
      <c r="M967" s="35">
        <v>19.579999999999998</v>
      </c>
      <c r="N967">
        <v>305</v>
      </c>
      <c r="O967" s="34">
        <f t="shared" si="16"/>
        <v>0.10998519867926902</v>
      </c>
    </row>
    <row r="968" spans="13:15" x14ac:dyDescent="0.3">
      <c r="M968" s="35">
        <v>19.579999999999998</v>
      </c>
      <c r="N968">
        <v>305</v>
      </c>
      <c r="O968" s="34">
        <f t="shared" si="16"/>
        <v>0.1100990549926016</v>
      </c>
    </row>
    <row r="969" spans="13:15" x14ac:dyDescent="0.3">
      <c r="M969" s="35">
        <v>19.579999999999998</v>
      </c>
      <c r="N969">
        <v>305</v>
      </c>
      <c r="O969" s="34">
        <f t="shared" si="16"/>
        <v>0.11021291130593418</v>
      </c>
    </row>
    <row r="970" spans="13:15" x14ac:dyDescent="0.3">
      <c r="M970" s="35">
        <v>19.579999999999998</v>
      </c>
      <c r="N970">
        <v>305</v>
      </c>
      <c r="O970" s="34">
        <f t="shared" si="16"/>
        <v>0.11032676761926676</v>
      </c>
    </row>
    <row r="971" spans="13:15" x14ac:dyDescent="0.3">
      <c r="M971" s="35">
        <v>19.59</v>
      </c>
      <c r="N971">
        <v>305</v>
      </c>
      <c r="O971" s="34">
        <f t="shared" si="16"/>
        <v>0.11044062393259933</v>
      </c>
    </row>
    <row r="972" spans="13:15" x14ac:dyDescent="0.3">
      <c r="M972" s="35">
        <v>19.59</v>
      </c>
      <c r="N972">
        <v>305</v>
      </c>
      <c r="O972" s="34">
        <f t="shared" si="16"/>
        <v>0.11055448024593191</v>
      </c>
    </row>
    <row r="973" spans="13:15" x14ac:dyDescent="0.3">
      <c r="M973" s="35">
        <v>19.600000000000001</v>
      </c>
      <c r="N973">
        <v>305</v>
      </c>
      <c r="O973" s="34">
        <f t="shared" si="16"/>
        <v>0.11066833655926449</v>
      </c>
    </row>
    <row r="974" spans="13:15" x14ac:dyDescent="0.3">
      <c r="M974" s="35">
        <v>19.600000000000001</v>
      </c>
      <c r="N974">
        <v>305</v>
      </c>
      <c r="O974" s="34">
        <f t="shared" si="16"/>
        <v>0.11078219287259707</v>
      </c>
    </row>
    <row r="975" spans="13:15" x14ac:dyDescent="0.3">
      <c r="M975" s="35">
        <v>19.61</v>
      </c>
      <c r="N975">
        <v>305</v>
      </c>
      <c r="O975" s="34">
        <f t="shared" si="16"/>
        <v>0.11089604918592964</v>
      </c>
    </row>
    <row r="976" spans="13:15" x14ac:dyDescent="0.3">
      <c r="M976" s="35">
        <v>19.61</v>
      </c>
      <c r="N976">
        <v>305</v>
      </c>
      <c r="O976" s="34">
        <f t="shared" si="16"/>
        <v>0.11100990549926222</v>
      </c>
    </row>
    <row r="977" spans="13:15" x14ac:dyDescent="0.3">
      <c r="M977" s="35">
        <v>19.61</v>
      </c>
      <c r="N977">
        <v>305</v>
      </c>
      <c r="O977" s="34">
        <f t="shared" si="16"/>
        <v>0.1111237618125948</v>
      </c>
    </row>
    <row r="978" spans="13:15" x14ac:dyDescent="0.3">
      <c r="M978" s="35">
        <v>19.61</v>
      </c>
      <c r="N978">
        <v>305</v>
      </c>
      <c r="O978" s="34">
        <f t="shared" si="16"/>
        <v>0.11123761812592738</v>
      </c>
    </row>
    <row r="979" spans="13:15" x14ac:dyDescent="0.3">
      <c r="M979" s="35">
        <v>19.62</v>
      </c>
      <c r="N979">
        <v>305</v>
      </c>
      <c r="O979" s="34">
        <f t="shared" si="16"/>
        <v>0.11135147443925995</v>
      </c>
    </row>
    <row r="980" spans="13:15" x14ac:dyDescent="0.3">
      <c r="M980" s="35">
        <v>19.62</v>
      </c>
      <c r="N980">
        <v>305</v>
      </c>
      <c r="O980" s="34">
        <f t="shared" si="16"/>
        <v>0.11146533075259253</v>
      </c>
    </row>
    <row r="981" spans="13:15" x14ac:dyDescent="0.3">
      <c r="M981" s="35">
        <v>19.62</v>
      </c>
      <c r="N981">
        <v>305</v>
      </c>
      <c r="O981" s="34">
        <f t="shared" si="16"/>
        <v>0.11157918706592511</v>
      </c>
    </row>
    <row r="982" spans="13:15" x14ac:dyDescent="0.3">
      <c r="M982" s="35">
        <v>19.62</v>
      </c>
      <c r="N982">
        <v>305</v>
      </c>
      <c r="O982" s="34">
        <f t="shared" si="16"/>
        <v>0.11169304337925769</v>
      </c>
    </row>
    <row r="983" spans="13:15" x14ac:dyDescent="0.3">
      <c r="M983" s="35">
        <v>19.63</v>
      </c>
      <c r="N983">
        <v>305</v>
      </c>
      <c r="O983" s="34">
        <f t="shared" si="16"/>
        <v>0.11180689969259026</v>
      </c>
    </row>
    <row r="984" spans="13:15" x14ac:dyDescent="0.3">
      <c r="M984" s="35">
        <v>19.63</v>
      </c>
      <c r="N984">
        <v>305</v>
      </c>
      <c r="O984" s="34">
        <f t="shared" si="16"/>
        <v>0.11192075600592284</v>
      </c>
    </row>
    <row r="985" spans="13:15" x14ac:dyDescent="0.3">
      <c r="M985" s="35">
        <v>19.63</v>
      </c>
      <c r="N985">
        <v>305</v>
      </c>
      <c r="O985" s="34">
        <f t="shared" si="16"/>
        <v>0.11203461231925542</v>
      </c>
    </row>
    <row r="986" spans="13:15" x14ac:dyDescent="0.3">
      <c r="M986" s="35">
        <v>19.64</v>
      </c>
      <c r="N986">
        <v>305</v>
      </c>
      <c r="O986" s="34">
        <f t="shared" si="16"/>
        <v>0.112148468632588</v>
      </c>
    </row>
    <row r="987" spans="13:15" x14ac:dyDescent="0.3">
      <c r="M987" s="35">
        <v>19.64</v>
      </c>
      <c r="N987">
        <v>305</v>
      </c>
      <c r="O987" s="34">
        <f t="shared" si="16"/>
        <v>0.11226232494592057</v>
      </c>
    </row>
    <row r="988" spans="13:15" x14ac:dyDescent="0.3">
      <c r="M988" s="35">
        <v>19.64</v>
      </c>
      <c r="N988">
        <v>305</v>
      </c>
      <c r="O988" s="34">
        <f t="shared" si="16"/>
        <v>0.11237618125925315</v>
      </c>
    </row>
    <row r="989" spans="13:15" x14ac:dyDescent="0.3">
      <c r="M989" s="35">
        <v>19.64</v>
      </c>
      <c r="N989">
        <v>305</v>
      </c>
      <c r="O989" s="34">
        <f t="shared" si="16"/>
        <v>0.11249003757258573</v>
      </c>
    </row>
    <row r="990" spans="13:15" x14ac:dyDescent="0.3">
      <c r="M990" s="35">
        <v>19.649999999999999</v>
      </c>
      <c r="N990">
        <v>305</v>
      </c>
      <c r="O990" s="34">
        <f t="shared" si="16"/>
        <v>0.11260389388591831</v>
      </c>
    </row>
    <row r="991" spans="13:15" x14ac:dyDescent="0.3">
      <c r="M991" s="35">
        <v>19.66</v>
      </c>
      <c r="N991">
        <v>305</v>
      </c>
      <c r="O991" s="34">
        <f t="shared" si="16"/>
        <v>0.11271775019925089</v>
      </c>
    </row>
    <row r="992" spans="13:15" x14ac:dyDescent="0.3">
      <c r="M992" s="35">
        <v>19.66</v>
      </c>
      <c r="N992">
        <v>305</v>
      </c>
      <c r="O992" s="34">
        <f t="shared" si="16"/>
        <v>0.11283160651258346</v>
      </c>
    </row>
    <row r="993" spans="13:15" x14ac:dyDescent="0.3">
      <c r="M993" s="35">
        <v>19.66</v>
      </c>
      <c r="N993">
        <v>305</v>
      </c>
      <c r="O993" s="34">
        <f t="shared" si="16"/>
        <v>0.11294546282591604</v>
      </c>
    </row>
    <row r="994" spans="13:15" x14ac:dyDescent="0.3">
      <c r="M994" s="35">
        <v>19.66</v>
      </c>
      <c r="N994">
        <v>305</v>
      </c>
      <c r="O994" s="34">
        <f t="shared" si="16"/>
        <v>0.11305931913924862</v>
      </c>
    </row>
    <row r="995" spans="13:15" x14ac:dyDescent="0.3">
      <c r="M995" s="35">
        <v>19.670000000000002</v>
      </c>
      <c r="N995">
        <v>305</v>
      </c>
      <c r="O995" s="34">
        <f t="shared" si="16"/>
        <v>0.1131731754525812</v>
      </c>
    </row>
    <row r="996" spans="13:15" x14ac:dyDescent="0.3">
      <c r="M996" s="35">
        <v>19.670000000000002</v>
      </c>
      <c r="N996">
        <v>305</v>
      </c>
      <c r="O996" s="34">
        <f t="shared" si="16"/>
        <v>0.11328703176591377</v>
      </c>
    </row>
    <row r="997" spans="13:15" x14ac:dyDescent="0.3">
      <c r="M997" s="35">
        <v>19.68</v>
      </c>
      <c r="N997">
        <v>305</v>
      </c>
      <c r="O997" s="34">
        <f t="shared" si="16"/>
        <v>0.11340088807924635</v>
      </c>
    </row>
    <row r="998" spans="13:15" x14ac:dyDescent="0.3">
      <c r="M998" s="35">
        <v>19.68</v>
      </c>
      <c r="N998">
        <v>305</v>
      </c>
      <c r="O998" s="34">
        <f t="shared" si="16"/>
        <v>0.11351474439257893</v>
      </c>
    </row>
    <row r="999" spans="13:15" x14ac:dyDescent="0.3">
      <c r="M999" s="35">
        <v>19.690000000000001</v>
      </c>
      <c r="N999">
        <v>305</v>
      </c>
      <c r="O999" s="34">
        <f t="shared" si="16"/>
        <v>0.11362860070591151</v>
      </c>
    </row>
    <row r="1000" spans="13:15" x14ac:dyDescent="0.3">
      <c r="M1000" s="35">
        <v>19.690000000000001</v>
      </c>
      <c r="N1000">
        <v>305</v>
      </c>
      <c r="O1000" s="34">
        <f t="shared" si="16"/>
        <v>0.11374245701924408</v>
      </c>
    </row>
    <row r="1001" spans="13:15" x14ac:dyDescent="0.3">
      <c r="M1001" s="35">
        <v>19.7</v>
      </c>
      <c r="N1001">
        <v>305</v>
      </c>
      <c r="O1001" s="34">
        <f t="shared" si="16"/>
        <v>0.11385631333257666</v>
      </c>
    </row>
    <row r="1002" spans="13:15" x14ac:dyDescent="0.3">
      <c r="M1002" s="35">
        <v>19.7</v>
      </c>
      <c r="N1002">
        <v>305</v>
      </c>
      <c r="O1002" s="34">
        <f t="shared" si="16"/>
        <v>0.11397016964590924</v>
      </c>
    </row>
    <row r="1003" spans="13:15" x14ac:dyDescent="0.3">
      <c r="M1003" s="35">
        <v>19.7</v>
      </c>
      <c r="N1003">
        <v>305</v>
      </c>
      <c r="O1003" s="34">
        <f t="shared" si="16"/>
        <v>0.11408402595924182</v>
      </c>
    </row>
    <row r="1004" spans="13:15" x14ac:dyDescent="0.3">
      <c r="M1004" s="35">
        <v>19.7</v>
      </c>
      <c r="N1004">
        <v>305</v>
      </c>
      <c r="O1004" s="34">
        <f t="shared" si="16"/>
        <v>0.11419788227257439</v>
      </c>
    </row>
    <row r="1005" spans="13:15" x14ac:dyDescent="0.3">
      <c r="M1005" s="35">
        <v>19.71</v>
      </c>
      <c r="N1005">
        <v>305</v>
      </c>
      <c r="O1005" s="34">
        <f t="shared" si="16"/>
        <v>0.11431173858590697</v>
      </c>
    </row>
    <row r="1006" spans="13:15" x14ac:dyDescent="0.3">
      <c r="M1006" s="35">
        <v>19.72</v>
      </c>
      <c r="N1006">
        <v>305</v>
      </c>
      <c r="O1006" s="34">
        <f t="shared" si="16"/>
        <v>0.11442559489923955</v>
      </c>
    </row>
    <row r="1007" spans="13:15" x14ac:dyDescent="0.3">
      <c r="M1007" s="35">
        <v>19.72</v>
      </c>
      <c r="N1007">
        <v>305</v>
      </c>
      <c r="O1007" s="34">
        <f t="shared" si="16"/>
        <v>0.11453945121257213</v>
      </c>
    </row>
    <row r="1008" spans="13:15" x14ac:dyDescent="0.3">
      <c r="M1008" s="35">
        <v>19.73</v>
      </c>
      <c r="N1008">
        <v>305</v>
      </c>
      <c r="O1008" s="34">
        <f t="shared" si="16"/>
        <v>0.1146533075259047</v>
      </c>
    </row>
    <row r="1009" spans="13:15" x14ac:dyDescent="0.3">
      <c r="M1009" s="35">
        <v>19.739999999999998</v>
      </c>
      <c r="N1009">
        <v>305</v>
      </c>
      <c r="O1009" s="34">
        <f t="shared" si="16"/>
        <v>0.11476716383923728</v>
      </c>
    </row>
    <row r="1010" spans="13:15" x14ac:dyDescent="0.3">
      <c r="M1010" s="35">
        <v>19.739999999999998</v>
      </c>
      <c r="N1010">
        <v>305</v>
      </c>
      <c r="O1010" s="34">
        <f t="shared" si="16"/>
        <v>0.11488102015256986</v>
      </c>
    </row>
    <row r="1011" spans="13:15" x14ac:dyDescent="0.3">
      <c r="M1011" s="35">
        <v>19.75</v>
      </c>
      <c r="N1011">
        <v>305</v>
      </c>
      <c r="O1011" s="34">
        <f t="shared" si="16"/>
        <v>0.11499487646590244</v>
      </c>
    </row>
    <row r="1012" spans="13:15" x14ac:dyDescent="0.3">
      <c r="M1012" s="35">
        <v>19.760000000000002</v>
      </c>
      <c r="N1012">
        <v>305</v>
      </c>
      <c r="O1012" s="34">
        <f t="shared" si="16"/>
        <v>0.11510873277923502</v>
      </c>
    </row>
    <row r="1013" spans="13:15" x14ac:dyDescent="0.3">
      <c r="M1013" s="35">
        <v>19.760000000000002</v>
      </c>
      <c r="N1013">
        <v>305</v>
      </c>
      <c r="O1013" s="34">
        <f t="shared" si="16"/>
        <v>0.11522258909256759</v>
      </c>
    </row>
    <row r="1014" spans="13:15" x14ac:dyDescent="0.3">
      <c r="M1014" s="35">
        <v>19.760000000000002</v>
      </c>
      <c r="N1014">
        <v>305</v>
      </c>
      <c r="O1014" s="34">
        <f t="shared" si="16"/>
        <v>0.11533644540590017</v>
      </c>
    </row>
    <row r="1015" spans="13:15" x14ac:dyDescent="0.3">
      <c r="M1015" s="35">
        <v>19.760000000000002</v>
      </c>
      <c r="N1015">
        <v>305</v>
      </c>
      <c r="O1015" s="34">
        <f t="shared" si="16"/>
        <v>0.11545030171923275</v>
      </c>
    </row>
    <row r="1016" spans="13:15" x14ac:dyDescent="0.3">
      <c r="M1016" s="35">
        <v>19.760000000000002</v>
      </c>
      <c r="N1016">
        <v>305</v>
      </c>
      <c r="O1016" s="34">
        <f t="shared" si="16"/>
        <v>0.11556415803256533</v>
      </c>
    </row>
    <row r="1017" spans="13:15" x14ac:dyDescent="0.3">
      <c r="M1017" s="35">
        <v>19.760000000000002</v>
      </c>
      <c r="N1017">
        <v>305</v>
      </c>
      <c r="O1017" s="34">
        <f t="shared" si="16"/>
        <v>0.1156780143458979</v>
      </c>
    </row>
    <row r="1018" spans="13:15" x14ac:dyDescent="0.3">
      <c r="M1018" s="35">
        <v>19.760000000000002</v>
      </c>
      <c r="N1018">
        <v>305</v>
      </c>
      <c r="O1018" s="34">
        <f t="shared" si="16"/>
        <v>0.11579187065923048</v>
      </c>
    </row>
    <row r="1019" spans="13:15" x14ac:dyDescent="0.3">
      <c r="M1019" s="35">
        <v>19.760000000000002</v>
      </c>
      <c r="N1019">
        <v>305</v>
      </c>
      <c r="O1019" s="34">
        <f t="shared" si="16"/>
        <v>0.11590572697256306</v>
      </c>
    </row>
    <row r="1020" spans="13:15" x14ac:dyDescent="0.3">
      <c r="M1020" s="35">
        <v>19.77</v>
      </c>
      <c r="N1020">
        <v>305</v>
      </c>
      <c r="O1020" s="34">
        <f t="shared" si="16"/>
        <v>0.11601958328589564</v>
      </c>
    </row>
    <row r="1021" spans="13:15" x14ac:dyDescent="0.3">
      <c r="M1021" s="35">
        <v>19.77</v>
      </c>
      <c r="N1021">
        <v>305</v>
      </c>
      <c r="O1021" s="34">
        <f t="shared" si="16"/>
        <v>0.11613343959922821</v>
      </c>
    </row>
    <row r="1022" spans="13:15" x14ac:dyDescent="0.3">
      <c r="M1022" s="35">
        <v>19.78</v>
      </c>
      <c r="N1022">
        <v>305</v>
      </c>
      <c r="O1022" s="34">
        <f t="shared" si="16"/>
        <v>0.11624729591256079</v>
      </c>
    </row>
    <row r="1023" spans="13:15" x14ac:dyDescent="0.3">
      <c r="M1023" s="35">
        <v>19.78</v>
      </c>
      <c r="N1023">
        <v>305</v>
      </c>
      <c r="O1023" s="34">
        <f t="shared" si="16"/>
        <v>0.11636115222589337</v>
      </c>
    </row>
    <row r="1024" spans="13:15" x14ac:dyDescent="0.3">
      <c r="M1024" s="35">
        <v>19.78</v>
      </c>
      <c r="N1024">
        <v>305</v>
      </c>
      <c r="O1024" s="34">
        <f t="shared" si="16"/>
        <v>0.11647500853922595</v>
      </c>
    </row>
    <row r="1025" spans="13:15" x14ac:dyDescent="0.3">
      <c r="M1025" s="35">
        <v>19.78</v>
      </c>
      <c r="N1025">
        <v>305</v>
      </c>
      <c r="O1025" s="34">
        <f t="shared" si="16"/>
        <v>0.11658886485255852</v>
      </c>
    </row>
    <row r="1026" spans="13:15" x14ac:dyDescent="0.3">
      <c r="M1026" s="35">
        <v>19.78</v>
      </c>
      <c r="N1026">
        <v>305</v>
      </c>
      <c r="O1026" s="34">
        <f t="shared" si="16"/>
        <v>0.1167027211658911</v>
      </c>
    </row>
    <row r="1027" spans="13:15" x14ac:dyDescent="0.3">
      <c r="M1027" s="35">
        <v>19.78</v>
      </c>
      <c r="N1027">
        <v>305</v>
      </c>
      <c r="O1027" s="34">
        <f t="shared" si="16"/>
        <v>0.11681657747922368</v>
      </c>
    </row>
    <row r="1028" spans="13:15" x14ac:dyDescent="0.3">
      <c r="M1028" s="35">
        <v>19.78</v>
      </c>
      <c r="N1028">
        <v>305</v>
      </c>
      <c r="O1028" s="34">
        <f t="shared" ref="O1028:O1091" si="17">O1027+O$2</f>
        <v>0.11693043379255626</v>
      </c>
    </row>
    <row r="1029" spans="13:15" x14ac:dyDescent="0.3">
      <c r="M1029" s="35">
        <v>19.78</v>
      </c>
      <c r="N1029">
        <v>305</v>
      </c>
      <c r="O1029" s="34">
        <f t="shared" si="17"/>
        <v>0.11704429010588883</v>
      </c>
    </row>
    <row r="1030" spans="13:15" x14ac:dyDescent="0.3">
      <c r="M1030" s="35">
        <v>19.79</v>
      </c>
      <c r="N1030">
        <v>305</v>
      </c>
      <c r="O1030" s="34">
        <f t="shared" si="17"/>
        <v>0.11715814641922141</v>
      </c>
    </row>
    <row r="1031" spans="13:15" x14ac:dyDescent="0.3">
      <c r="M1031" s="35">
        <v>19.79</v>
      </c>
      <c r="N1031">
        <v>305</v>
      </c>
      <c r="O1031" s="34">
        <f t="shared" si="17"/>
        <v>0.11727200273255399</v>
      </c>
    </row>
    <row r="1032" spans="13:15" x14ac:dyDescent="0.3">
      <c r="M1032" s="35">
        <v>19.79</v>
      </c>
      <c r="N1032">
        <v>305</v>
      </c>
      <c r="O1032" s="34">
        <f t="shared" si="17"/>
        <v>0.11738585904588657</v>
      </c>
    </row>
    <row r="1033" spans="13:15" x14ac:dyDescent="0.3">
      <c r="M1033" s="35">
        <v>19.79</v>
      </c>
      <c r="N1033">
        <v>305</v>
      </c>
      <c r="O1033" s="34">
        <f t="shared" si="17"/>
        <v>0.11749971535921915</v>
      </c>
    </row>
    <row r="1034" spans="13:15" x14ac:dyDescent="0.3">
      <c r="M1034" s="35">
        <v>19.79</v>
      </c>
      <c r="N1034">
        <v>305</v>
      </c>
      <c r="O1034" s="34">
        <f t="shared" si="17"/>
        <v>0.11761357167255172</v>
      </c>
    </row>
    <row r="1035" spans="13:15" x14ac:dyDescent="0.3">
      <c r="M1035" s="35">
        <v>19.79</v>
      </c>
      <c r="N1035">
        <v>305</v>
      </c>
      <c r="O1035" s="34">
        <f t="shared" si="17"/>
        <v>0.1177274279858843</v>
      </c>
    </row>
    <row r="1036" spans="13:15" x14ac:dyDescent="0.3">
      <c r="M1036" s="35">
        <v>19.79</v>
      </c>
      <c r="N1036">
        <v>305</v>
      </c>
      <c r="O1036" s="34">
        <f t="shared" si="17"/>
        <v>0.11784128429921688</v>
      </c>
    </row>
    <row r="1037" spans="13:15" x14ac:dyDescent="0.3">
      <c r="M1037" s="35">
        <v>19.79</v>
      </c>
      <c r="N1037">
        <v>305</v>
      </c>
      <c r="O1037" s="34">
        <f t="shared" si="17"/>
        <v>0.11795514061254946</v>
      </c>
    </row>
    <row r="1038" spans="13:15" x14ac:dyDescent="0.3">
      <c r="M1038" s="35">
        <v>19.79</v>
      </c>
      <c r="N1038">
        <v>305</v>
      </c>
      <c r="O1038" s="34">
        <f t="shared" si="17"/>
        <v>0.11806899692588203</v>
      </c>
    </row>
    <row r="1039" spans="13:15" x14ac:dyDescent="0.3">
      <c r="M1039" s="35">
        <v>19.79</v>
      </c>
      <c r="N1039">
        <v>305</v>
      </c>
      <c r="O1039" s="34">
        <f t="shared" si="17"/>
        <v>0.11818285323921461</v>
      </c>
    </row>
    <row r="1040" spans="13:15" x14ac:dyDescent="0.3">
      <c r="M1040" s="35">
        <v>19.79</v>
      </c>
      <c r="N1040">
        <v>305</v>
      </c>
      <c r="O1040" s="34">
        <f t="shared" si="17"/>
        <v>0.11829670955254719</v>
      </c>
    </row>
    <row r="1041" spans="13:15" x14ac:dyDescent="0.3">
      <c r="M1041" s="35">
        <v>19.8</v>
      </c>
      <c r="N1041">
        <v>305</v>
      </c>
      <c r="O1041" s="34">
        <f t="shared" si="17"/>
        <v>0.11841056586587977</v>
      </c>
    </row>
    <row r="1042" spans="13:15" x14ac:dyDescent="0.3">
      <c r="M1042" s="35">
        <v>19.8</v>
      </c>
      <c r="N1042">
        <v>305</v>
      </c>
      <c r="O1042" s="34">
        <f t="shared" si="17"/>
        <v>0.11852442217921234</v>
      </c>
    </row>
    <row r="1043" spans="13:15" x14ac:dyDescent="0.3">
      <c r="M1043" s="35">
        <v>19.8</v>
      </c>
      <c r="N1043">
        <v>305</v>
      </c>
      <c r="O1043" s="34">
        <f t="shared" si="17"/>
        <v>0.11863827849254492</v>
      </c>
    </row>
    <row r="1044" spans="13:15" x14ac:dyDescent="0.3">
      <c r="M1044" s="35">
        <v>19.8</v>
      </c>
      <c r="N1044">
        <v>305</v>
      </c>
      <c r="O1044" s="34">
        <f t="shared" si="17"/>
        <v>0.1187521348058775</v>
      </c>
    </row>
    <row r="1045" spans="13:15" x14ac:dyDescent="0.3">
      <c r="M1045" s="35">
        <v>19.8</v>
      </c>
      <c r="N1045">
        <v>305</v>
      </c>
      <c r="O1045" s="34">
        <f t="shared" si="17"/>
        <v>0.11886599111921008</v>
      </c>
    </row>
    <row r="1046" spans="13:15" x14ac:dyDescent="0.3">
      <c r="M1046" s="35">
        <v>19.8</v>
      </c>
      <c r="N1046">
        <v>305</v>
      </c>
      <c r="O1046" s="34">
        <f t="shared" si="17"/>
        <v>0.11897984743254265</v>
      </c>
    </row>
    <row r="1047" spans="13:15" x14ac:dyDescent="0.3">
      <c r="M1047" s="35">
        <v>19.8</v>
      </c>
      <c r="N1047">
        <v>305</v>
      </c>
      <c r="O1047" s="34">
        <f t="shared" si="17"/>
        <v>0.11909370374587523</v>
      </c>
    </row>
    <row r="1048" spans="13:15" x14ac:dyDescent="0.3">
      <c r="M1048" s="35">
        <v>19.809999999999999</v>
      </c>
      <c r="N1048">
        <v>305</v>
      </c>
      <c r="O1048" s="34">
        <f t="shared" si="17"/>
        <v>0.11920756005920781</v>
      </c>
    </row>
    <row r="1049" spans="13:15" x14ac:dyDescent="0.3">
      <c r="M1049" s="35">
        <v>19.809999999999999</v>
      </c>
      <c r="N1049">
        <v>305</v>
      </c>
      <c r="O1049" s="34">
        <f t="shared" si="17"/>
        <v>0.11932141637254039</v>
      </c>
    </row>
    <row r="1050" spans="13:15" x14ac:dyDescent="0.3">
      <c r="M1050" s="35">
        <v>19.809999999999999</v>
      </c>
      <c r="N1050">
        <v>305</v>
      </c>
      <c r="O1050" s="34">
        <f t="shared" si="17"/>
        <v>0.11943527268587296</v>
      </c>
    </row>
    <row r="1051" spans="13:15" x14ac:dyDescent="0.3">
      <c r="M1051" s="35">
        <v>19.82</v>
      </c>
      <c r="N1051">
        <v>305</v>
      </c>
      <c r="O1051" s="34">
        <f t="shared" si="17"/>
        <v>0.11954912899920554</v>
      </c>
    </row>
    <row r="1052" spans="13:15" x14ac:dyDescent="0.3">
      <c r="M1052" s="35">
        <v>19.82</v>
      </c>
      <c r="N1052">
        <v>305</v>
      </c>
      <c r="O1052" s="34">
        <f t="shared" si="17"/>
        <v>0.11966298531253812</v>
      </c>
    </row>
    <row r="1053" spans="13:15" x14ac:dyDescent="0.3">
      <c r="M1053" s="35">
        <v>19.82</v>
      </c>
      <c r="N1053">
        <v>305</v>
      </c>
      <c r="O1053" s="34">
        <f t="shared" si="17"/>
        <v>0.1197768416258707</v>
      </c>
    </row>
    <row r="1054" spans="13:15" x14ac:dyDescent="0.3">
      <c r="M1054" s="35">
        <v>19.829999999999998</v>
      </c>
      <c r="N1054">
        <v>305</v>
      </c>
      <c r="O1054" s="34">
        <f t="shared" si="17"/>
        <v>0.11989069793920328</v>
      </c>
    </row>
    <row r="1055" spans="13:15" x14ac:dyDescent="0.3">
      <c r="M1055" s="35">
        <v>19.829999999999998</v>
      </c>
      <c r="N1055">
        <v>305</v>
      </c>
      <c r="O1055" s="34">
        <f t="shared" si="17"/>
        <v>0.12000455425253585</v>
      </c>
    </row>
    <row r="1056" spans="13:15" x14ac:dyDescent="0.3">
      <c r="M1056" s="35">
        <v>19.829999999999998</v>
      </c>
      <c r="N1056">
        <v>305</v>
      </c>
      <c r="O1056" s="34">
        <f t="shared" si="17"/>
        <v>0.12011841056586843</v>
      </c>
    </row>
    <row r="1057" spans="13:15" x14ac:dyDescent="0.3">
      <c r="M1057" s="35">
        <v>19.84</v>
      </c>
      <c r="N1057">
        <v>305</v>
      </c>
      <c r="O1057" s="34">
        <f t="shared" si="17"/>
        <v>0.12023226687920101</v>
      </c>
    </row>
    <row r="1058" spans="13:15" x14ac:dyDescent="0.3">
      <c r="M1058" s="35">
        <v>19.84</v>
      </c>
      <c r="N1058">
        <v>305</v>
      </c>
      <c r="O1058" s="34">
        <f t="shared" si="17"/>
        <v>0.12034612319253359</v>
      </c>
    </row>
    <row r="1059" spans="13:15" x14ac:dyDescent="0.3">
      <c r="M1059" s="35">
        <v>19.84</v>
      </c>
      <c r="N1059">
        <v>305</v>
      </c>
      <c r="O1059" s="34">
        <f t="shared" si="17"/>
        <v>0.12045997950586616</v>
      </c>
    </row>
    <row r="1060" spans="13:15" x14ac:dyDescent="0.3">
      <c r="M1060" s="35">
        <v>19.850000000000001</v>
      </c>
      <c r="N1060">
        <v>305</v>
      </c>
      <c r="O1060" s="34">
        <f t="shared" si="17"/>
        <v>0.12057383581919874</v>
      </c>
    </row>
    <row r="1061" spans="13:15" x14ac:dyDescent="0.3">
      <c r="M1061" s="35">
        <v>19.850000000000001</v>
      </c>
      <c r="N1061">
        <v>305</v>
      </c>
      <c r="O1061" s="34">
        <f t="shared" si="17"/>
        <v>0.12068769213253132</v>
      </c>
    </row>
    <row r="1062" spans="13:15" x14ac:dyDescent="0.3">
      <c r="M1062" s="35">
        <v>19.850000000000001</v>
      </c>
      <c r="N1062">
        <v>305</v>
      </c>
      <c r="O1062" s="34">
        <f t="shared" si="17"/>
        <v>0.1208015484458639</v>
      </c>
    </row>
    <row r="1063" spans="13:15" x14ac:dyDescent="0.3">
      <c r="M1063" s="35">
        <v>19.86</v>
      </c>
      <c r="N1063">
        <v>305</v>
      </c>
      <c r="O1063" s="34">
        <f t="shared" si="17"/>
        <v>0.12091540475919647</v>
      </c>
    </row>
    <row r="1064" spans="13:15" x14ac:dyDescent="0.3">
      <c r="M1064" s="35">
        <v>19.86</v>
      </c>
      <c r="N1064">
        <v>305</v>
      </c>
      <c r="O1064" s="34">
        <f t="shared" si="17"/>
        <v>0.12102926107252905</v>
      </c>
    </row>
    <row r="1065" spans="13:15" x14ac:dyDescent="0.3">
      <c r="M1065" s="35">
        <v>19.86</v>
      </c>
      <c r="N1065">
        <v>305</v>
      </c>
      <c r="O1065" s="34">
        <f t="shared" si="17"/>
        <v>0.12114311738586163</v>
      </c>
    </row>
    <row r="1066" spans="13:15" x14ac:dyDescent="0.3">
      <c r="M1066" s="35">
        <v>19.86</v>
      </c>
      <c r="N1066">
        <v>305</v>
      </c>
      <c r="O1066" s="34">
        <f t="shared" si="17"/>
        <v>0.12125697369919421</v>
      </c>
    </row>
    <row r="1067" spans="13:15" x14ac:dyDescent="0.3">
      <c r="M1067" s="35">
        <v>19.87</v>
      </c>
      <c r="N1067">
        <v>305</v>
      </c>
      <c r="O1067" s="34">
        <f t="shared" si="17"/>
        <v>0.12137083001252678</v>
      </c>
    </row>
    <row r="1068" spans="13:15" x14ac:dyDescent="0.3">
      <c r="M1068" s="35">
        <v>19.87</v>
      </c>
      <c r="N1068">
        <v>305</v>
      </c>
      <c r="O1068" s="34">
        <f t="shared" si="17"/>
        <v>0.12148468632585936</v>
      </c>
    </row>
    <row r="1069" spans="13:15" x14ac:dyDescent="0.3">
      <c r="M1069" s="35">
        <v>19.87</v>
      </c>
      <c r="N1069">
        <v>305</v>
      </c>
      <c r="O1069" s="34">
        <f t="shared" si="17"/>
        <v>0.12159854263919194</v>
      </c>
    </row>
    <row r="1070" spans="13:15" x14ac:dyDescent="0.3">
      <c r="M1070" s="35">
        <v>19.88</v>
      </c>
      <c r="N1070">
        <v>305</v>
      </c>
      <c r="O1070" s="34">
        <f t="shared" si="17"/>
        <v>0.12171239895252452</v>
      </c>
    </row>
    <row r="1071" spans="13:15" x14ac:dyDescent="0.3">
      <c r="M1071" s="35">
        <v>19.88</v>
      </c>
      <c r="N1071">
        <v>305</v>
      </c>
      <c r="O1071" s="34">
        <f t="shared" si="17"/>
        <v>0.12182625526585709</v>
      </c>
    </row>
    <row r="1072" spans="13:15" x14ac:dyDescent="0.3">
      <c r="M1072" s="35">
        <v>19.88</v>
      </c>
      <c r="N1072">
        <v>305</v>
      </c>
      <c r="O1072" s="34">
        <f t="shared" si="17"/>
        <v>0.12194011157918967</v>
      </c>
    </row>
    <row r="1073" spans="13:15" x14ac:dyDescent="0.3">
      <c r="M1073" s="35">
        <v>19.88</v>
      </c>
      <c r="N1073">
        <v>305</v>
      </c>
      <c r="O1073" s="34">
        <f t="shared" si="17"/>
        <v>0.12205396789252225</v>
      </c>
    </row>
    <row r="1074" spans="13:15" x14ac:dyDescent="0.3">
      <c r="M1074" s="35">
        <v>19.88</v>
      </c>
      <c r="N1074">
        <v>305</v>
      </c>
      <c r="O1074" s="34">
        <f t="shared" si="17"/>
        <v>0.12216782420585483</v>
      </c>
    </row>
    <row r="1075" spans="13:15" x14ac:dyDescent="0.3">
      <c r="M1075" s="35">
        <v>19.89</v>
      </c>
      <c r="N1075">
        <v>305</v>
      </c>
      <c r="O1075" s="34">
        <f t="shared" si="17"/>
        <v>0.12228168051918741</v>
      </c>
    </row>
    <row r="1076" spans="13:15" x14ac:dyDescent="0.3">
      <c r="M1076" s="35">
        <v>19.89</v>
      </c>
      <c r="N1076">
        <v>305</v>
      </c>
      <c r="O1076" s="34">
        <f t="shared" si="17"/>
        <v>0.12239553683251998</v>
      </c>
    </row>
    <row r="1077" spans="13:15" x14ac:dyDescent="0.3">
      <c r="M1077" s="35">
        <v>19.89</v>
      </c>
      <c r="N1077">
        <v>305</v>
      </c>
      <c r="O1077" s="34">
        <f t="shared" si="17"/>
        <v>0.12250939314585256</v>
      </c>
    </row>
    <row r="1078" spans="13:15" x14ac:dyDescent="0.3">
      <c r="M1078" s="35">
        <v>19.89</v>
      </c>
      <c r="N1078">
        <v>305</v>
      </c>
      <c r="O1078" s="34">
        <f t="shared" si="17"/>
        <v>0.12262324945918514</v>
      </c>
    </row>
    <row r="1079" spans="13:15" x14ac:dyDescent="0.3">
      <c r="M1079" s="35">
        <v>19.89</v>
      </c>
      <c r="N1079">
        <v>305</v>
      </c>
      <c r="O1079" s="34">
        <f t="shared" si="17"/>
        <v>0.12273710577251772</v>
      </c>
    </row>
    <row r="1080" spans="13:15" x14ac:dyDescent="0.3">
      <c r="M1080" s="35">
        <v>19.899999999999999</v>
      </c>
      <c r="N1080">
        <v>305</v>
      </c>
      <c r="O1080" s="34">
        <f t="shared" si="17"/>
        <v>0.12285096208585029</v>
      </c>
    </row>
    <row r="1081" spans="13:15" x14ac:dyDescent="0.3">
      <c r="M1081" s="35">
        <v>19.91</v>
      </c>
      <c r="N1081">
        <v>305</v>
      </c>
      <c r="O1081" s="34">
        <f t="shared" si="17"/>
        <v>0.12296481839918287</v>
      </c>
    </row>
    <row r="1082" spans="13:15" x14ac:dyDescent="0.3">
      <c r="M1082" s="35">
        <v>19.91</v>
      </c>
      <c r="N1082">
        <v>305</v>
      </c>
      <c r="O1082" s="34">
        <f t="shared" si="17"/>
        <v>0.12307867471251545</v>
      </c>
    </row>
    <row r="1083" spans="13:15" x14ac:dyDescent="0.3">
      <c r="M1083" s="35">
        <v>19.920000000000002</v>
      </c>
      <c r="N1083">
        <v>305</v>
      </c>
      <c r="O1083" s="34">
        <f t="shared" si="17"/>
        <v>0.12319253102584803</v>
      </c>
    </row>
    <row r="1084" spans="13:15" x14ac:dyDescent="0.3">
      <c r="M1084" s="35">
        <v>19.93</v>
      </c>
      <c r="N1084">
        <v>305</v>
      </c>
      <c r="O1084" s="34">
        <f t="shared" si="17"/>
        <v>0.1233063873391806</v>
      </c>
    </row>
    <row r="1085" spans="13:15" x14ac:dyDescent="0.3">
      <c r="M1085" s="35">
        <v>19.93</v>
      </c>
      <c r="N1085">
        <v>305</v>
      </c>
      <c r="O1085" s="34">
        <f t="shared" si="17"/>
        <v>0.12342024365251318</v>
      </c>
    </row>
    <row r="1086" spans="13:15" x14ac:dyDescent="0.3">
      <c r="M1086" s="35">
        <v>19.93</v>
      </c>
      <c r="N1086">
        <v>305</v>
      </c>
      <c r="O1086" s="34">
        <f t="shared" si="17"/>
        <v>0.12353409996584576</v>
      </c>
    </row>
    <row r="1087" spans="13:15" x14ac:dyDescent="0.3">
      <c r="M1087" s="35">
        <v>19.940000000000001</v>
      </c>
      <c r="N1087">
        <v>305</v>
      </c>
      <c r="O1087" s="34">
        <f t="shared" si="17"/>
        <v>0.12364795627917834</v>
      </c>
    </row>
    <row r="1088" spans="13:15" x14ac:dyDescent="0.3">
      <c r="M1088" s="35">
        <v>19.940000000000001</v>
      </c>
      <c r="N1088">
        <v>305</v>
      </c>
      <c r="O1088" s="34">
        <f t="shared" si="17"/>
        <v>0.12376181259251091</v>
      </c>
    </row>
    <row r="1089" spans="13:15" x14ac:dyDescent="0.3">
      <c r="M1089" s="35">
        <v>19.940000000000001</v>
      </c>
      <c r="N1089">
        <v>305</v>
      </c>
      <c r="O1089" s="34">
        <f t="shared" si="17"/>
        <v>0.12387566890584349</v>
      </c>
    </row>
    <row r="1090" spans="13:15" x14ac:dyDescent="0.3">
      <c r="M1090" s="35">
        <v>19.940000000000001</v>
      </c>
      <c r="N1090">
        <v>305</v>
      </c>
      <c r="O1090" s="34">
        <f t="shared" si="17"/>
        <v>0.12398952521917607</v>
      </c>
    </row>
    <row r="1091" spans="13:15" x14ac:dyDescent="0.3">
      <c r="M1091" s="35">
        <v>19.940000000000001</v>
      </c>
      <c r="N1091">
        <v>305</v>
      </c>
      <c r="O1091" s="34">
        <f t="shared" si="17"/>
        <v>0.12410338153250865</v>
      </c>
    </row>
    <row r="1092" spans="13:15" x14ac:dyDescent="0.3">
      <c r="M1092" s="35">
        <v>19.940000000000001</v>
      </c>
      <c r="N1092">
        <v>305</v>
      </c>
      <c r="O1092" s="34">
        <f t="shared" ref="O1092:O1155" si="18">O1091+O$2</f>
        <v>0.12421723784584122</v>
      </c>
    </row>
    <row r="1093" spans="13:15" x14ac:dyDescent="0.3">
      <c r="M1093" s="35">
        <v>19.95</v>
      </c>
      <c r="N1093">
        <v>305</v>
      </c>
      <c r="O1093" s="34">
        <f t="shared" si="18"/>
        <v>0.1243310941591738</v>
      </c>
    </row>
    <row r="1094" spans="13:15" x14ac:dyDescent="0.3">
      <c r="M1094" s="35">
        <v>19.95</v>
      </c>
      <c r="N1094">
        <v>305</v>
      </c>
      <c r="O1094" s="34">
        <f t="shared" si="18"/>
        <v>0.12444495047250638</v>
      </c>
    </row>
    <row r="1095" spans="13:15" x14ac:dyDescent="0.3">
      <c r="M1095" s="35">
        <v>19.95</v>
      </c>
      <c r="N1095">
        <v>305</v>
      </c>
      <c r="O1095" s="34">
        <f t="shared" si="18"/>
        <v>0.12455880678583896</v>
      </c>
    </row>
    <row r="1096" spans="13:15" x14ac:dyDescent="0.3">
      <c r="M1096" s="35">
        <v>19.95</v>
      </c>
      <c r="N1096">
        <v>305</v>
      </c>
      <c r="O1096" s="34">
        <f t="shared" si="18"/>
        <v>0.12467266309917154</v>
      </c>
    </row>
    <row r="1097" spans="13:15" x14ac:dyDescent="0.3">
      <c r="M1097" s="35">
        <v>19.96</v>
      </c>
      <c r="N1097">
        <v>305</v>
      </c>
      <c r="O1097" s="34">
        <f t="shared" si="18"/>
        <v>0.12478651941250411</v>
      </c>
    </row>
    <row r="1098" spans="13:15" x14ac:dyDescent="0.3">
      <c r="M1098" s="35">
        <v>19.96</v>
      </c>
      <c r="N1098">
        <v>305</v>
      </c>
      <c r="O1098" s="34">
        <f t="shared" si="18"/>
        <v>0.12490037572583669</v>
      </c>
    </row>
    <row r="1099" spans="13:15" x14ac:dyDescent="0.3">
      <c r="M1099" s="35">
        <v>19.96</v>
      </c>
      <c r="N1099">
        <v>305</v>
      </c>
      <c r="O1099" s="34">
        <f t="shared" si="18"/>
        <v>0.12501423203916925</v>
      </c>
    </row>
    <row r="1100" spans="13:15" x14ac:dyDescent="0.3">
      <c r="M1100" s="35">
        <v>19.97</v>
      </c>
      <c r="N1100">
        <v>305</v>
      </c>
      <c r="O1100" s="34">
        <f t="shared" si="18"/>
        <v>0.12512808835250183</v>
      </c>
    </row>
    <row r="1101" spans="13:15" x14ac:dyDescent="0.3">
      <c r="M1101" s="35">
        <v>19.97</v>
      </c>
      <c r="N1101">
        <v>305</v>
      </c>
      <c r="O1101" s="34">
        <f t="shared" si="18"/>
        <v>0.12524194466583441</v>
      </c>
    </row>
    <row r="1102" spans="13:15" x14ac:dyDescent="0.3">
      <c r="M1102" s="35">
        <v>19.97</v>
      </c>
      <c r="N1102">
        <v>305</v>
      </c>
      <c r="O1102" s="34">
        <f t="shared" si="18"/>
        <v>0.12535580097916699</v>
      </c>
    </row>
    <row r="1103" spans="13:15" x14ac:dyDescent="0.3">
      <c r="M1103" s="35">
        <v>19.98</v>
      </c>
      <c r="N1103">
        <v>305</v>
      </c>
      <c r="O1103" s="34">
        <f t="shared" si="18"/>
        <v>0.12546965729249956</v>
      </c>
    </row>
    <row r="1104" spans="13:15" x14ac:dyDescent="0.3">
      <c r="M1104" s="35">
        <v>19.98</v>
      </c>
      <c r="N1104">
        <v>305</v>
      </c>
      <c r="O1104" s="34">
        <f t="shared" si="18"/>
        <v>0.12558351360583214</v>
      </c>
    </row>
    <row r="1105" spans="13:15" x14ac:dyDescent="0.3">
      <c r="M1105" s="35">
        <v>19.989999999999998</v>
      </c>
      <c r="N1105">
        <v>305</v>
      </c>
      <c r="O1105" s="34">
        <f t="shared" si="18"/>
        <v>0.12569736991916472</v>
      </c>
    </row>
    <row r="1106" spans="13:15" x14ac:dyDescent="0.3">
      <c r="M1106" s="35">
        <v>19.989999999999998</v>
      </c>
      <c r="N1106">
        <v>305</v>
      </c>
      <c r="O1106" s="34">
        <f t="shared" si="18"/>
        <v>0.1258112262324973</v>
      </c>
    </row>
    <row r="1107" spans="13:15" x14ac:dyDescent="0.3">
      <c r="M1107" s="35">
        <v>19.989999999999998</v>
      </c>
      <c r="N1107">
        <v>305</v>
      </c>
      <c r="O1107" s="34">
        <f t="shared" si="18"/>
        <v>0.12592508254582988</v>
      </c>
    </row>
    <row r="1108" spans="13:15" x14ac:dyDescent="0.3">
      <c r="M1108" s="35">
        <v>19.989999999999998</v>
      </c>
      <c r="N1108">
        <v>305</v>
      </c>
      <c r="O1108" s="34">
        <f t="shared" si="18"/>
        <v>0.12603893885916245</v>
      </c>
    </row>
    <row r="1109" spans="13:15" x14ac:dyDescent="0.3">
      <c r="M1109" s="35">
        <v>20</v>
      </c>
      <c r="N1109">
        <v>305</v>
      </c>
      <c r="O1109" s="34">
        <f t="shared" si="18"/>
        <v>0.12615279517249503</v>
      </c>
    </row>
    <row r="1110" spans="13:15" x14ac:dyDescent="0.3">
      <c r="M1110" s="35">
        <v>20</v>
      </c>
      <c r="N1110">
        <v>305</v>
      </c>
      <c r="O1110" s="34">
        <f t="shared" si="18"/>
        <v>0.12626665148582761</v>
      </c>
    </row>
    <row r="1111" spans="13:15" x14ac:dyDescent="0.3">
      <c r="M1111" s="35">
        <v>20</v>
      </c>
      <c r="N1111">
        <v>305</v>
      </c>
      <c r="O1111" s="34">
        <f t="shared" si="18"/>
        <v>0.12638050779916019</v>
      </c>
    </row>
    <row r="1112" spans="13:15" x14ac:dyDescent="0.3">
      <c r="M1112" s="35">
        <v>20</v>
      </c>
      <c r="N1112">
        <v>305</v>
      </c>
      <c r="O1112" s="34">
        <f t="shared" si="18"/>
        <v>0.12649436411249276</v>
      </c>
    </row>
    <row r="1113" spans="13:15" x14ac:dyDescent="0.3">
      <c r="M1113" s="35">
        <v>20</v>
      </c>
      <c r="N1113">
        <v>305</v>
      </c>
      <c r="O1113" s="34">
        <f t="shared" si="18"/>
        <v>0.12660822042582534</v>
      </c>
    </row>
    <row r="1114" spans="13:15" x14ac:dyDescent="0.3">
      <c r="M1114" s="35">
        <v>20</v>
      </c>
      <c r="N1114">
        <v>305</v>
      </c>
      <c r="O1114" s="34">
        <f t="shared" si="18"/>
        <v>0.12672207673915792</v>
      </c>
    </row>
    <row r="1115" spans="13:15" x14ac:dyDescent="0.3">
      <c r="M1115" s="35">
        <v>20.010000000000002</v>
      </c>
      <c r="N1115">
        <v>305</v>
      </c>
      <c r="O1115" s="34">
        <f t="shared" si="18"/>
        <v>0.1268359330524905</v>
      </c>
    </row>
    <row r="1116" spans="13:15" x14ac:dyDescent="0.3">
      <c r="M1116" s="35">
        <v>20.02</v>
      </c>
      <c r="N1116">
        <v>305</v>
      </c>
      <c r="O1116" s="34">
        <f t="shared" si="18"/>
        <v>0.12694978936582307</v>
      </c>
    </row>
    <row r="1117" spans="13:15" x14ac:dyDescent="0.3">
      <c r="M1117" s="35">
        <v>20.02</v>
      </c>
      <c r="N1117">
        <v>305</v>
      </c>
      <c r="O1117" s="34">
        <f t="shared" si="18"/>
        <v>0.12706364567915565</v>
      </c>
    </row>
    <row r="1118" spans="13:15" x14ac:dyDescent="0.3">
      <c r="M1118" s="35">
        <v>20.02</v>
      </c>
      <c r="N1118">
        <v>305</v>
      </c>
      <c r="O1118" s="34">
        <f t="shared" si="18"/>
        <v>0.12717750199248823</v>
      </c>
    </row>
    <row r="1119" spans="13:15" x14ac:dyDescent="0.3">
      <c r="M1119" s="35">
        <v>20.02</v>
      </c>
      <c r="N1119">
        <v>305</v>
      </c>
      <c r="O1119" s="34">
        <f t="shared" si="18"/>
        <v>0.12729135830582081</v>
      </c>
    </row>
    <row r="1120" spans="13:15" x14ac:dyDescent="0.3">
      <c r="M1120" s="35">
        <v>20.02</v>
      </c>
      <c r="N1120">
        <v>305</v>
      </c>
      <c r="O1120" s="34">
        <f t="shared" si="18"/>
        <v>0.12740521461915338</v>
      </c>
    </row>
    <row r="1121" spans="13:15" x14ac:dyDescent="0.3">
      <c r="M1121" s="35">
        <v>20.02</v>
      </c>
      <c r="N1121">
        <v>305</v>
      </c>
      <c r="O1121" s="34">
        <f t="shared" si="18"/>
        <v>0.12751907093248596</v>
      </c>
    </row>
    <row r="1122" spans="13:15" x14ac:dyDescent="0.3">
      <c r="M1122" s="35">
        <v>20.03</v>
      </c>
      <c r="N1122">
        <v>305</v>
      </c>
      <c r="O1122" s="34">
        <f t="shared" si="18"/>
        <v>0.12763292724581854</v>
      </c>
    </row>
    <row r="1123" spans="13:15" x14ac:dyDescent="0.3">
      <c r="M1123" s="35">
        <v>20.03</v>
      </c>
      <c r="N1123">
        <v>305</v>
      </c>
      <c r="O1123" s="34">
        <f t="shared" si="18"/>
        <v>0.12774678355915112</v>
      </c>
    </row>
    <row r="1124" spans="13:15" x14ac:dyDescent="0.3">
      <c r="M1124" s="35">
        <v>20.03</v>
      </c>
      <c r="N1124">
        <v>305</v>
      </c>
      <c r="O1124" s="34">
        <f t="shared" si="18"/>
        <v>0.12786063987248369</v>
      </c>
    </row>
    <row r="1125" spans="13:15" x14ac:dyDescent="0.3">
      <c r="M1125" s="35">
        <v>20.03</v>
      </c>
      <c r="N1125">
        <v>305</v>
      </c>
      <c r="O1125" s="34">
        <f t="shared" si="18"/>
        <v>0.12797449618581627</v>
      </c>
    </row>
    <row r="1126" spans="13:15" x14ac:dyDescent="0.3">
      <c r="M1126" s="35">
        <v>20.03</v>
      </c>
      <c r="N1126">
        <v>305</v>
      </c>
      <c r="O1126" s="34">
        <f t="shared" si="18"/>
        <v>0.12808835249914885</v>
      </c>
    </row>
    <row r="1127" spans="13:15" x14ac:dyDescent="0.3">
      <c r="M1127" s="35">
        <v>20.04</v>
      </c>
      <c r="N1127">
        <v>305</v>
      </c>
      <c r="O1127" s="34">
        <f t="shared" si="18"/>
        <v>0.12820220881248143</v>
      </c>
    </row>
    <row r="1128" spans="13:15" x14ac:dyDescent="0.3">
      <c r="M1128" s="35">
        <v>20.04</v>
      </c>
      <c r="N1128">
        <v>305</v>
      </c>
      <c r="O1128" s="34">
        <f t="shared" si="18"/>
        <v>0.12831606512581401</v>
      </c>
    </row>
    <row r="1129" spans="13:15" x14ac:dyDescent="0.3">
      <c r="M1129" s="35">
        <v>20.04</v>
      </c>
      <c r="N1129">
        <v>305</v>
      </c>
      <c r="O1129" s="34">
        <f t="shared" si="18"/>
        <v>0.12842992143914658</v>
      </c>
    </row>
    <row r="1130" spans="13:15" x14ac:dyDescent="0.3">
      <c r="M1130" s="35">
        <v>20.05</v>
      </c>
      <c r="N1130">
        <v>305</v>
      </c>
      <c r="O1130" s="34">
        <f t="shared" si="18"/>
        <v>0.12854377775247916</v>
      </c>
    </row>
    <row r="1131" spans="13:15" x14ac:dyDescent="0.3">
      <c r="M1131" s="35">
        <v>20.05</v>
      </c>
      <c r="N1131">
        <v>305</v>
      </c>
      <c r="O1131" s="34">
        <f t="shared" si="18"/>
        <v>0.12865763406581174</v>
      </c>
    </row>
    <row r="1132" spans="13:15" x14ac:dyDescent="0.3">
      <c r="M1132" s="35">
        <v>20.05</v>
      </c>
      <c r="N1132">
        <v>305</v>
      </c>
      <c r="O1132" s="34">
        <f t="shared" si="18"/>
        <v>0.12877149037914432</v>
      </c>
    </row>
    <row r="1133" spans="13:15" x14ac:dyDescent="0.3">
      <c r="M1133" s="35">
        <v>20.05</v>
      </c>
      <c r="N1133">
        <v>305</v>
      </c>
      <c r="O1133" s="34">
        <f t="shared" si="18"/>
        <v>0.12888534669247689</v>
      </c>
    </row>
    <row r="1134" spans="13:15" x14ac:dyDescent="0.3">
      <c r="M1134" s="35">
        <v>20.05</v>
      </c>
      <c r="N1134">
        <v>305</v>
      </c>
      <c r="O1134" s="34">
        <f t="shared" si="18"/>
        <v>0.12899920300580947</v>
      </c>
    </row>
    <row r="1135" spans="13:15" x14ac:dyDescent="0.3">
      <c r="M1135" s="35">
        <v>20.059999999999999</v>
      </c>
      <c r="N1135">
        <v>305</v>
      </c>
      <c r="O1135" s="34">
        <f t="shared" si="18"/>
        <v>0.12911305931914205</v>
      </c>
    </row>
    <row r="1136" spans="13:15" x14ac:dyDescent="0.3">
      <c r="M1136" s="35">
        <v>20.059999999999999</v>
      </c>
      <c r="N1136">
        <v>305</v>
      </c>
      <c r="O1136" s="34">
        <f t="shared" si="18"/>
        <v>0.12922691563247463</v>
      </c>
    </row>
    <row r="1137" spans="13:15" x14ac:dyDescent="0.3">
      <c r="M1137" s="35">
        <v>20.059999999999999</v>
      </c>
      <c r="N1137">
        <v>305</v>
      </c>
      <c r="O1137" s="34">
        <f t="shared" si="18"/>
        <v>0.1293407719458072</v>
      </c>
    </row>
    <row r="1138" spans="13:15" x14ac:dyDescent="0.3">
      <c r="M1138" s="35">
        <v>20.059999999999999</v>
      </c>
      <c r="N1138">
        <v>305</v>
      </c>
      <c r="O1138" s="34">
        <f t="shared" si="18"/>
        <v>0.12945462825913978</v>
      </c>
    </row>
    <row r="1139" spans="13:15" x14ac:dyDescent="0.3">
      <c r="M1139" s="35">
        <v>20.059999999999999</v>
      </c>
      <c r="N1139">
        <v>305</v>
      </c>
      <c r="O1139" s="34">
        <f t="shared" si="18"/>
        <v>0.12956848457247236</v>
      </c>
    </row>
    <row r="1140" spans="13:15" x14ac:dyDescent="0.3">
      <c r="M1140" s="35">
        <v>20.059999999999999</v>
      </c>
      <c r="N1140">
        <v>305</v>
      </c>
      <c r="O1140" s="34">
        <f t="shared" si="18"/>
        <v>0.12968234088580494</v>
      </c>
    </row>
    <row r="1141" spans="13:15" x14ac:dyDescent="0.3">
      <c r="M1141" s="35">
        <v>20.07</v>
      </c>
      <c r="N1141">
        <v>305</v>
      </c>
      <c r="O1141" s="34">
        <f t="shared" si="18"/>
        <v>0.12979619719913751</v>
      </c>
    </row>
    <row r="1142" spans="13:15" x14ac:dyDescent="0.3">
      <c r="M1142" s="35">
        <v>20.07</v>
      </c>
      <c r="N1142">
        <v>305</v>
      </c>
      <c r="O1142" s="34">
        <f t="shared" si="18"/>
        <v>0.12991005351247009</v>
      </c>
    </row>
    <row r="1143" spans="13:15" x14ac:dyDescent="0.3">
      <c r="M1143" s="35">
        <v>20.07</v>
      </c>
      <c r="N1143">
        <v>305</v>
      </c>
      <c r="O1143" s="34">
        <f t="shared" si="18"/>
        <v>0.13002390982580267</v>
      </c>
    </row>
    <row r="1144" spans="13:15" x14ac:dyDescent="0.3">
      <c r="M1144" s="35">
        <v>20.079999999999998</v>
      </c>
      <c r="N1144">
        <v>305</v>
      </c>
      <c r="O1144" s="34">
        <f t="shared" si="18"/>
        <v>0.13013776613913525</v>
      </c>
    </row>
    <row r="1145" spans="13:15" x14ac:dyDescent="0.3">
      <c r="M1145" s="35">
        <v>20.079999999999998</v>
      </c>
      <c r="N1145">
        <v>305</v>
      </c>
      <c r="O1145" s="34">
        <f t="shared" si="18"/>
        <v>0.13025162245246782</v>
      </c>
    </row>
    <row r="1146" spans="13:15" x14ac:dyDescent="0.3">
      <c r="M1146" s="35">
        <v>20.079999999999998</v>
      </c>
      <c r="N1146">
        <v>305</v>
      </c>
      <c r="O1146" s="34">
        <f t="shared" si="18"/>
        <v>0.1303654787658004</v>
      </c>
    </row>
    <row r="1147" spans="13:15" x14ac:dyDescent="0.3">
      <c r="M1147" s="35">
        <v>20.09</v>
      </c>
      <c r="N1147">
        <v>305</v>
      </c>
      <c r="O1147" s="34">
        <f t="shared" si="18"/>
        <v>0.13047933507913298</v>
      </c>
    </row>
    <row r="1148" spans="13:15" x14ac:dyDescent="0.3">
      <c r="M1148" s="35">
        <v>20.09</v>
      </c>
      <c r="N1148">
        <v>305</v>
      </c>
      <c r="O1148" s="34">
        <f t="shared" si="18"/>
        <v>0.13059319139246556</v>
      </c>
    </row>
    <row r="1149" spans="13:15" x14ac:dyDescent="0.3">
      <c r="M1149" s="35">
        <v>20.100000000000001</v>
      </c>
      <c r="N1149">
        <v>305</v>
      </c>
      <c r="O1149" s="34">
        <f t="shared" si="18"/>
        <v>0.13070704770579814</v>
      </c>
    </row>
    <row r="1150" spans="13:15" x14ac:dyDescent="0.3">
      <c r="M1150" s="35">
        <v>20.100000000000001</v>
      </c>
      <c r="N1150">
        <v>305</v>
      </c>
      <c r="O1150" s="34">
        <f t="shared" si="18"/>
        <v>0.13082090401913071</v>
      </c>
    </row>
    <row r="1151" spans="13:15" x14ac:dyDescent="0.3">
      <c r="M1151" s="35">
        <v>20.100000000000001</v>
      </c>
      <c r="N1151">
        <v>305</v>
      </c>
      <c r="O1151" s="34">
        <f t="shared" si="18"/>
        <v>0.13093476033246329</v>
      </c>
    </row>
    <row r="1152" spans="13:15" x14ac:dyDescent="0.3">
      <c r="M1152" s="35">
        <v>20.100000000000001</v>
      </c>
      <c r="N1152">
        <v>305</v>
      </c>
      <c r="O1152" s="34">
        <f t="shared" si="18"/>
        <v>0.13104861664579587</v>
      </c>
    </row>
    <row r="1153" spans="13:15" x14ac:dyDescent="0.3">
      <c r="M1153" s="35">
        <v>20.100000000000001</v>
      </c>
      <c r="N1153">
        <v>305</v>
      </c>
      <c r="O1153" s="34">
        <f t="shared" si="18"/>
        <v>0.13116247295912845</v>
      </c>
    </row>
    <row r="1154" spans="13:15" x14ac:dyDescent="0.3">
      <c r="M1154" s="35">
        <v>20.100000000000001</v>
      </c>
      <c r="N1154">
        <v>305</v>
      </c>
      <c r="O1154" s="34">
        <f t="shared" si="18"/>
        <v>0.13127632927246102</v>
      </c>
    </row>
    <row r="1155" spans="13:15" x14ac:dyDescent="0.3">
      <c r="M1155" s="35">
        <v>20.11</v>
      </c>
      <c r="N1155">
        <v>305</v>
      </c>
      <c r="O1155" s="34">
        <f t="shared" si="18"/>
        <v>0.1313901855857936</v>
      </c>
    </row>
    <row r="1156" spans="13:15" x14ac:dyDescent="0.3">
      <c r="M1156" s="35">
        <v>20.11</v>
      </c>
      <c r="N1156">
        <v>305</v>
      </c>
      <c r="O1156" s="34">
        <f t="shared" ref="O1156:O1219" si="19">O1155+O$2</f>
        <v>0.13150404189912618</v>
      </c>
    </row>
    <row r="1157" spans="13:15" x14ac:dyDescent="0.3">
      <c r="M1157" s="35">
        <v>20.12</v>
      </c>
      <c r="N1157">
        <v>305</v>
      </c>
      <c r="O1157" s="34">
        <f t="shared" si="19"/>
        <v>0.13161789821245876</v>
      </c>
    </row>
    <row r="1158" spans="13:15" x14ac:dyDescent="0.3">
      <c r="M1158" s="35">
        <v>20.12</v>
      </c>
      <c r="N1158">
        <v>305</v>
      </c>
      <c r="O1158" s="34">
        <f t="shared" si="19"/>
        <v>0.13173175452579133</v>
      </c>
    </row>
    <row r="1159" spans="13:15" x14ac:dyDescent="0.3">
      <c r="M1159" s="35">
        <v>20.12</v>
      </c>
      <c r="N1159">
        <v>305</v>
      </c>
      <c r="O1159" s="34">
        <f t="shared" si="19"/>
        <v>0.13184561083912391</v>
      </c>
    </row>
    <row r="1160" spans="13:15" x14ac:dyDescent="0.3">
      <c r="M1160" s="35">
        <v>20.12</v>
      </c>
      <c r="N1160">
        <v>305</v>
      </c>
      <c r="O1160" s="34">
        <f t="shared" si="19"/>
        <v>0.13195946715245649</v>
      </c>
    </row>
    <row r="1161" spans="13:15" x14ac:dyDescent="0.3">
      <c r="M1161" s="35">
        <v>20.12</v>
      </c>
      <c r="N1161">
        <v>305</v>
      </c>
      <c r="O1161" s="34">
        <f t="shared" si="19"/>
        <v>0.13207332346578907</v>
      </c>
    </row>
    <row r="1162" spans="13:15" x14ac:dyDescent="0.3">
      <c r="M1162" s="35">
        <v>20.13</v>
      </c>
      <c r="N1162">
        <v>305</v>
      </c>
      <c r="O1162" s="34">
        <f t="shared" si="19"/>
        <v>0.13218717977912164</v>
      </c>
    </row>
    <row r="1163" spans="13:15" x14ac:dyDescent="0.3">
      <c r="M1163" s="35">
        <v>20.13</v>
      </c>
      <c r="N1163">
        <v>305</v>
      </c>
      <c r="O1163" s="34">
        <f t="shared" si="19"/>
        <v>0.13230103609245422</v>
      </c>
    </row>
    <row r="1164" spans="13:15" x14ac:dyDescent="0.3">
      <c r="M1164" s="35">
        <v>20.13</v>
      </c>
      <c r="N1164">
        <v>305</v>
      </c>
      <c r="O1164" s="34">
        <f t="shared" si="19"/>
        <v>0.1324148924057868</v>
      </c>
    </row>
    <row r="1165" spans="13:15" x14ac:dyDescent="0.3">
      <c r="M1165" s="35">
        <v>20.13</v>
      </c>
      <c r="N1165">
        <v>305</v>
      </c>
      <c r="O1165" s="34">
        <f t="shared" si="19"/>
        <v>0.13252874871911938</v>
      </c>
    </row>
    <row r="1166" spans="13:15" x14ac:dyDescent="0.3">
      <c r="M1166" s="35">
        <v>20.14</v>
      </c>
      <c r="N1166">
        <v>305</v>
      </c>
      <c r="O1166" s="34">
        <f t="shared" si="19"/>
        <v>0.13264260503245195</v>
      </c>
    </row>
    <row r="1167" spans="13:15" x14ac:dyDescent="0.3">
      <c r="M1167" s="35">
        <v>20.14</v>
      </c>
      <c r="N1167">
        <v>305</v>
      </c>
      <c r="O1167" s="34">
        <f t="shared" si="19"/>
        <v>0.13275646134578453</v>
      </c>
    </row>
    <row r="1168" spans="13:15" x14ac:dyDescent="0.3">
      <c r="M1168" s="35">
        <v>20.149999999999999</v>
      </c>
      <c r="N1168">
        <v>305</v>
      </c>
      <c r="O1168" s="34">
        <f t="shared" si="19"/>
        <v>0.13287031765911711</v>
      </c>
    </row>
    <row r="1169" spans="13:15" x14ac:dyDescent="0.3">
      <c r="M1169" s="35">
        <v>20.149999999999999</v>
      </c>
      <c r="N1169">
        <v>305</v>
      </c>
      <c r="O1169" s="34">
        <f t="shared" si="19"/>
        <v>0.13298417397244969</v>
      </c>
    </row>
    <row r="1170" spans="13:15" x14ac:dyDescent="0.3">
      <c r="M1170" s="35">
        <v>20.149999999999999</v>
      </c>
      <c r="N1170">
        <v>305</v>
      </c>
      <c r="O1170" s="34">
        <f t="shared" si="19"/>
        <v>0.13309803028578227</v>
      </c>
    </row>
    <row r="1171" spans="13:15" x14ac:dyDescent="0.3">
      <c r="M1171" s="35">
        <v>20.149999999999999</v>
      </c>
      <c r="N1171">
        <v>305</v>
      </c>
      <c r="O1171" s="34">
        <f t="shared" si="19"/>
        <v>0.13321188659911484</v>
      </c>
    </row>
    <row r="1172" spans="13:15" x14ac:dyDescent="0.3">
      <c r="M1172" s="35">
        <v>20.149999999999999</v>
      </c>
      <c r="N1172">
        <v>305</v>
      </c>
      <c r="O1172" s="34">
        <f t="shared" si="19"/>
        <v>0.13332574291244742</v>
      </c>
    </row>
    <row r="1173" spans="13:15" x14ac:dyDescent="0.3">
      <c r="M1173" s="35">
        <v>20.16</v>
      </c>
      <c r="N1173">
        <v>305</v>
      </c>
      <c r="O1173" s="34">
        <f t="shared" si="19"/>
        <v>0.13343959922578</v>
      </c>
    </row>
    <row r="1174" spans="13:15" x14ac:dyDescent="0.3">
      <c r="M1174" s="35">
        <v>20.16</v>
      </c>
      <c r="N1174">
        <v>305</v>
      </c>
      <c r="O1174" s="34">
        <f t="shared" si="19"/>
        <v>0.13355345553911258</v>
      </c>
    </row>
    <row r="1175" spans="13:15" x14ac:dyDescent="0.3">
      <c r="M1175" s="35">
        <v>20.16</v>
      </c>
      <c r="N1175">
        <v>305</v>
      </c>
      <c r="O1175" s="34">
        <f t="shared" si="19"/>
        <v>0.13366731185244515</v>
      </c>
    </row>
    <row r="1176" spans="13:15" x14ac:dyDescent="0.3">
      <c r="M1176" s="35">
        <v>20.170000000000002</v>
      </c>
      <c r="N1176">
        <v>305</v>
      </c>
      <c r="O1176" s="34">
        <f t="shared" si="19"/>
        <v>0.13378116816577773</v>
      </c>
    </row>
    <row r="1177" spans="13:15" x14ac:dyDescent="0.3">
      <c r="M1177" s="35">
        <v>20.170000000000002</v>
      </c>
      <c r="N1177">
        <v>305</v>
      </c>
      <c r="O1177" s="34">
        <f t="shared" si="19"/>
        <v>0.13389502447911031</v>
      </c>
    </row>
    <row r="1178" spans="13:15" x14ac:dyDescent="0.3">
      <c r="M1178" s="35">
        <v>20.170000000000002</v>
      </c>
      <c r="N1178">
        <v>305</v>
      </c>
      <c r="O1178" s="34">
        <f t="shared" si="19"/>
        <v>0.13400888079244289</v>
      </c>
    </row>
    <row r="1179" spans="13:15" x14ac:dyDescent="0.3">
      <c r="M1179" s="35">
        <v>20.18</v>
      </c>
      <c r="N1179">
        <v>305</v>
      </c>
      <c r="O1179" s="34">
        <f t="shared" si="19"/>
        <v>0.13412273710577546</v>
      </c>
    </row>
    <row r="1180" spans="13:15" x14ac:dyDescent="0.3">
      <c r="M1180" s="35">
        <v>20.190000000000001</v>
      </c>
      <c r="N1180">
        <v>305</v>
      </c>
      <c r="O1180" s="34">
        <f t="shared" si="19"/>
        <v>0.13423659341910804</v>
      </c>
    </row>
    <row r="1181" spans="13:15" x14ac:dyDescent="0.3">
      <c r="M1181" s="35">
        <v>20.190000000000001</v>
      </c>
      <c r="N1181">
        <v>305</v>
      </c>
      <c r="O1181" s="34">
        <f t="shared" si="19"/>
        <v>0.13435044973244062</v>
      </c>
    </row>
    <row r="1182" spans="13:15" x14ac:dyDescent="0.3">
      <c r="M1182" s="35">
        <v>20.190000000000001</v>
      </c>
      <c r="N1182">
        <v>305</v>
      </c>
      <c r="O1182" s="34">
        <f t="shared" si="19"/>
        <v>0.1344643060457732</v>
      </c>
    </row>
    <row r="1183" spans="13:15" x14ac:dyDescent="0.3">
      <c r="M1183" s="35">
        <v>20.2</v>
      </c>
      <c r="N1183">
        <v>305</v>
      </c>
      <c r="O1183" s="34">
        <f t="shared" si="19"/>
        <v>0.13457816235910577</v>
      </c>
    </row>
    <row r="1184" spans="13:15" x14ac:dyDescent="0.3">
      <c r="M1184" s="35">
        <v>20.21</v>
      </c>
      <c r="N1184">
        <v>305</v>
      </c>
      <c r="O1184" s="34">
        <f t="shared" si="19"/>
        <v>0.13469201867243835</v>
      </c>
    </row>
    <row r="1185" spans="13:15" x14ac:dyDescent="0.3">
      <c r="M1185" s="35">
        <v>20.21</v>
      </c>
      <c r="N1185">
        <v>305</v>
      </c>
      <c r="O1185" s="34">
        <f t="shared" si="19"/>
        <v>0.13480587498577093</v>
      </c>
    </row>
    <row r="1186" spans="13:15" x14ac:dyDescent="0.3">
      <c r="M1186" s="35">
        <v>20.21</v>
      </c>
      <c r="N1186">
        <v>305</v>
      </c>
      <c r="O1186" s="34">
        <f t="shared" si="19"/>
        <v>0.13491973129910351</v>
      </c>
    </row>
    <row r="1187" spans="13:15" x14ac:dyDescent="0.3">
      <c r="M1187" s="35">
        <v>20.22</v>
      </c>
      <c r="N1187">
        <v>305</v>
      </c>
      <c r="O1187" s="34">
        <f t="shared" si="19"/>
        <v>0.13503358761243608</v>
      </c>
    </row>
    <row r="1188" spans="13:15" x14ac:dyDescent="0.3">
      <c r="M1188" s="35">
        <v>20.22</v>
      </c>
      <c r="N1188">
        <v>305</v>
      </c>
      <c r="O1188" s="34">
        <f t="shared" si="19"/>
        <v>0.13514744392576866</v>
      </c>
    </row>
    <row r="1189" spans="13:15" x14ac:dyDescent="0.3">
      <c r="M1189" s="35">
        <v>20.22</v>
      </c>
      <c r="N1189">
        <v>305</v>
      </c>
      <c r="O1189" s="34">
        <f t="shared" si="19"/>
        <v>0.13526130023910124</v>
      </c>
    </row>
    <row r="1190" spans="13:15" x14ac:dyDescent="0.3">
      <c r="M1190" s="35">
        <v>20.22</v>
      </c>
      <c r="N1190">
        <v>305</v>
      </c>
      <c r="O1190" s="34">
        <f t="shared" si="19"/>
        <v>0.13537515655243382</v>
      </c>
    </row>
    <row r="1191" spans="13:15" x14ac:dyDescent="0.3">
      <c r="M1191" s="35">
        <v>20.23</v>
      </c>
      <c r="N1191">
        <v>305</v>
      </c>
      <c r="O1191" s="34">
        <f t="shared" si="19"/>
        <v>0.1354890128657664</v>
      </c>
    </row>
    <row r="1192" spans="13:15" x14ac:dyDescent="0.3">
      <c r="M1192" s="35">
        <v>20.23</v>
      </c>
      <c r="N1192">
        <v>305</v>
      </c>
      <c r="O1192" s="34">
        <f t="shared" si="19"/>
        <v>0.13560286917909897</v>
      </c>
    </row>
    <row r="1193" spans="13:15" x14ac:dyDescent="0.3">
      <c r="M1193" s="35">
        <v>20.23</v>
      </c>
      <c r="N1193">
        <v>305</v>
      </c>
      <c r="O1193" s="34">
        <f t="shared" si="19"/>
        <v>0.13571672549243155</v>
      </c>
    </row>
    <row r="1194" spans="13:15" x14ac:dyDescent="0.3">
      <c r="M1194" s="35">
        <v>20.23</v>
      </c>
      <c r="N1194">
        <v>305</v>
      </c>
      <c r="O1194" s="34">
        <f t="shared" si="19"/>
        <v>0.13583058180576413</v>
      </c>
    </row>
    <row r="1195" spans="13:15" x14ac:dyDescent="0.3">
      <c r="M1195" s="35">
        <v>20.239999999999998</v>
      </c>
      <c r="N1195">
        <v>305</v>
      </c>
      <c r="O1195" s="34">
        <f t="shared" si="19"/>
        <v>0.13594443811909671</v>
      </c>
    </row>
    <row r="1196" spans="13:15" x14ac:dyDescent="0.3">
      <c r="M1196" s="35">
        <v>20.239999999999998</v>
      </c>
      <c r="N1196">
        <v>305</v>
      </c>
      <c r="O1196" s="34">
        <f t="shared" si="19"/>
        <v>0.13605829443242928</v>
      </c>
    </row>
    <row r="1197" spans="13:15" x14ac:dyDescent="0.3">
      <c r="M1197" s="35">
        <v>20.239999999999998</v>
      </c>
      <c r="N1197">
        <v>305</v>
      </c>
      <c r="O1197" s="34">
        <f t="shared" si="19"/>
        <v>0.13617215074576186</v>
      </c>
    </row>
    <row r="1198" spans="13:15" x14ac:dyDescent="0.3">
      <c r="M1198" s="35">
        <v>20.25</v>
      </c>
      <c r="N1198">
        <v>305</v>
      </c>
      <c r="O1198" s="34">
        <f t="shared" si="19"/>
        <v>0.13628600705909444</v>
      </c>
    </row>
    <row r="1199" spans="13:15" x14ac:dyDescent="0.3">
      <c r="M1199" s="35">
        <v>20.25</v>
      </c>
      <c r="N1199">
        <v>305</v>
      </c>
      <c r="O1199" s="34">
        <f t="shared" si="19"/>
        <v>0.13639986337242702</v>
      </c>
    </row>
    <row r="1200" spans="13:15" x14ac:dyDescent="0.3">
      <c r="M1200" s="35">
        <v>20.25</v>
      </c>
      <c r="N1200">
        <v>305</v>
      </c>
      <c r="O1200" s="34">
        <f t="shared" si="19"/>
        <v>0.13651371968575959</v>
      </c>
    </row>
    <row r="1201" spans="13:15" x14ac:dyDescent="0.3">
      <c r="M1201" s="35">
        <v>20.25</v>
      </c>
      <c r="N1201">
        <v>305</v>
      </c>
      <c r="O1201" s="34">
        <f t="shared" si="19"/>
        <v>0.13662757599909217</v>
      </c>
    </row>
    <row r="1202" spans="13:15" x14ac:dyDescent="0.3">
      <c r="M1202" s="35">
        <v>20.260000000000002</v>
      </c>
      <c r="N1202">
        <v>305</v>
      </c>
      <c r="O1202" s="34">
        <f t="shared" si="19"/>
        <v>0.13674143231242475</v>
      </c>
    </row>
    <row r="1203" spans="13:15" x14ac:dyDescent="0.3">
      <c r="M1203" s="35">
        <v>20.27</v>
      </c>
      <c r="N1203">
        <v>305</v>
      </c>
      <c r="O1203" s="34">
        <f t="shared" si="19"/>
        <v>0.13685528862575733</v>
      </c>
    </row>
    <row r="1204" spans="13:15" x14ac:dyDescent="0.3">
      <c r="M1204" s="35">
        <v>20.27</v>
      </c>
      <c r="N1204">
        <v>305</v>
      </c>
      <c r="O1204" s="34">
        <f t="shared" si="19"/>
        <v>0.1369691449390899</v>
      </c>
    </row>
    <row r="1205" spans="13:15" x14ac:dyDescent="0.3">
      <c r="M1205" s="35">
        <v>20.27</v>
      </c>
      <c r="N1205">
        <v>305</v>
      </c>
      <c r="O1205" s="34">
        <f t="shared" si="19"/>
        <v>0.13708300125242248</v>
      </c>
    </row>
    <row r="1206" spans="13:15" x14ac:dyDescent="0.3">
      <c r="M1206" s="35">
        <v>20.27</v>
      </c>
      <c r="N1206">
        <v>305</v>
      </c>
      <c r="O1206" s="34">
        <f t="shared" si="19"/>
        <v>0.13719685756575506</v>
      </c>
    </row>
    <row r="1207" spans="13:15" x14ac:dyDescent="0.3">
      <c r="M1207" s="35">
        <v>20.27</v>
      </c>
      <c r="N1207">
        <v>305</v>
      </c>
      <c r="O1207" s="34">
        <f t="shared" si="19"/>
        <v>0.13731071387908764</v>
      </c>
    </row>
    <row r="1208" spans="13:15" x14ac:dyDescent="0.3">
      <c r="M1208" s="35">
        <v>20.27</v>
      </c>
      <c r="N1208">
        <v>305</v>
      </c>
      <c r="O1208" s="34">
        <f t="shared" si="19"/>
        <v>0.13742457019242021</v>
      </c>
    </row>
    <row r="1209" spans="13:15" x14ac:dyDescent="0.3">
      <c r="M1209" s="35">
        <v>20.27</v>
      </c>
      <c r="N1209">
        <v>305</v>
      </c>
      <c r="O1209" s="34">
        <f t="shared" si="19"/>
        <v>0.13753842650575279</v>
      </c>
    </row>
    <row r="1210" spans="13:15" x14ac:dyDescent="0.3">
      <c r="M1210" s="35">
        <v>20.27</v>
      </c>
      <c r="N1210">
        <v>305</v>
      </c>
      <c r="O1210" s="34">
        <f t="shared" si="19"/>
        <v>0.13765228281908537</v>
      </c>
    </row>
    <row r="1211" spans="13:15" x14ac:dyDescent="0.3">
      <c r="M1211" s="35">
        <v>20.28</v>
      </c>
      <c r="N1211">
        <v>305</v>
      </c>
      <c r="O1211" s="34">
        <f t="shared" si="19"/>
        <v>0.13776613913241795</v>
      </c>
    </row>
    <row r="1212" spans="13:15" x14ac:dyDescent="0.3">
      <c r="M1212" s="35">
        <v>20.29</v>
      </c>
      <c r="N1212">
        <v>305</v>
      </c>
      <c r="O1212" s="34">
        <f t="shared" si="19"/>
        <v>0.13787999544575053</v>
      </c>
    </row>
    <row r="1213" spans="13:15" x14ac:dyDescent="0.3">
      <c r="M1213" s="35">
        <v>20.29</v>
      </c>
      <c r="N1213">
        <v>305</v>
      </c>
      <c r="O1213" s="34">
        <f t="shared" si="19"/>
        <v>0.1379938517590831</v>
      </c>
    </row>
    <row r="1214" spans="13:15" x14ac:dyDescent="0.3">
      <c r="M1214" s="35">
        <v>20.309999999999999</v>
      </c>
      <c r="N1214">
        <v>305</v>
      </c>
      <c r="O1214" s="34">
        <f t="shared" si="19"/>
        <v>0.13810770807241568</v>
      </c>
    </row>
    <row r="1215" spans="13:15" x14ac:dyDescent="0.3">
      <c r="M1215" s="35">
        <v>20.309999999999999</v>
      </c>
      <c r="N1215">
        <v>305</v>
      </c>
      <c r="O1215" s="34">
        <f t="shared" si="19"/>
        <v>0.13822156438574826</v>
      </c>
    </row>
    <row r="1216" spans="13:15" x14ac:dyDescent="0.3">
      <c r="M1216" s="35">
        <v>20.32</v>
      </c>
      <c r="N1216">
        <v>305</v>
      </c>
      <c r="O1216" s="34">
        <f t="shared" si="19"/>
        <v>0.13833542069908084</v>
      </c>
    </row>
    <row r="1217" spans="13:15" x14ac:dyDescent="0.3">
      <c r="M1217" s="35">
        <v>20.32</v>
      </c>
      <c r="N1217">
        <v>305</v>
      </c>
      <c r="O1217" s="34">
        <f t="shared" si="19"/>
        <v>0.13844927701241341</v>
      </c>
    </row>
    <row r="1218" spans="13:15" x14ac:dyDescent="0.3">
      <c r="M1218" s="35">
        <v>20.32</v>
      </c>
      <c r="N1218">
        <v>305</v>
      </c>
      <c r="O1218" s="34">
        <f t="shared" si="19"/>
        <v>0.13856313332574599</v>
      </c>
    </row>
    <row r="1219" spans="13:15" x14ac:dyDescent="0.3">
      <c r="M1219" s="35">
        <v>20.32</v>
      </c>
      <c r="N1219">
        <v>305</v>
      </c>
      <c r="O1219" s="34">
        <f t="shared" si="19"/>
        <v>0.13867698963907857</v>
      </c>
    </row>
    <row r="1220" spans="13:15" x14ac:dyDescent="0.3">
      <c r="M1220" s="35">
        <v>20.32</v>
      </c>
      <c r="N1220">
        <v>305</v>
      </c>
      <c r="O1220" s="34">
        <f t="shared" ref="O1220:O1283" si="20">O1219+O$2</f>
        <v>0.13879084595241115</v>
      </c>
    </row>
    <row r="1221" spans="13:15" x14ac:dyDescent="0.3">
      <c r="M1221" s="35">
        <v>20.32</v>
      </c>
      <c r="N1221">
        <v>305</v>
      </c>
      <c r="O1221" s="34">
        <f t="shared" si="20"/>
        <v>0.13890470226574372</v>
      </c>
    </row>
    <row r="1222" spans="13:15" x14ac:dyDescent="0.3">
      <c r="M1222" s="35">
        <v>20.329999999999998</v>
      </c>
      <c r="N1222">
        <v>305</v>
      </c>
      <c r="O1222" s="34">
        <f t="shared" si="20"/>
        <v>0.1390185585790763</v>
      </c>
    </row>
    <row r="1223" spans="13:15" x14ac:dyDescent="0.3">
      <c r="M1223" s="35">
        <v>20.329999999999998</v>
      </c>
      <c r="N1223">
        <v>305</v>
      </c>
      <c r="O1223" s="34">
        <f t="shared" si="20"/>
        <v>0.13913241489240888</v>
      </c>
    </row>
    <row r="1224" spans="13:15" x14ac:dyDescent="0.3">
      <c r="M1224" s="35">
        <v>20.329999999999998</v>
      </c>
      <c r="N1224">
        <v>305</v>
      </c>
      <c r="O1224" s="34">
        <f t="shared" si="20"/>
        <v>0.13924627120574146</v>
      </c>
    </row>
    <row r="1225" spans="13:15" x14ac:dyDescent="0.3">
      <c r="M1225" s="35">
        <v>20.329999999999998</v>
      </c>
      <c r="N1225">
        <v>305</v>
      </c>
      <c r="O1225" s="34">
        <f t="shared" si="20"/>
        <v>0.13936012751907403</v>
      </c>
    </row>
    <row r="1226" spans="13:15" x14ac:dyDescent="0.3">
      <c r="M1226" s="35">
        <v>20.329999999999998</v>
      </c>
      <c r="N1226">
        <v>305</v>
      </c>
      <c r="O1226" s="34">
        <f t="shared" si="20"/>
        <v>0.13947398383240661</v>
      </c>
    </row>
    <row r="1227" spans="13:15" x14ac:dyDescent="0.3">
      <c r="M1227" s="35">
        <v>20.329999999999998</v>
      </c>
      <c r="N1227">
        <v>305</v>
      </c>
      <c r="O1227" s="34">
        <f t="shared" si="20"/>
        <v>0.13958784014573919</v>
      </c>
    </row>
    <row r="1228" spans="13:15" x14ac:dyDescent="0.3">
      <c r="M1228" s="35">
        <v>20.329999999999998</v>
      </c>
      <c r="N1228">
        <v>305</v>
      </c>
      <c r="O1228" s="34">
        <f t="shared" si="20"/>
        <v>0.13970169645907177</v>
      </c>
    </row>
    <row r="1229" spans="13:15" x14ac:dyDescent="0.3">
      <c r="M1229" s="35">
        <v>20.329999999999998</v>
      </c>
      <c r="N1229">
        <v>305</v>
      </c>
      <c r="O1229" s="34">
        <f t="shared" si="20"/>
        <v>0.13981555277240434</v>
      </c>
    </row>
    <row r="1230" spans="13:15" x14ac:dyDescent="0.3">
      <c r="M1230" s="35">
        <v>20.34</v>
      </c>
      <c r="N1230">
        <v>305</v>
      </c>
      <c r="O1230" s="34">
        <f t="shared" si="20"/>
        <v>0.13992940908573692</v>
      </c>
    </row>
    <row r="1231" spans="13:15" x14ac:dyDescent="0.3">
      <c r="M1231" s="35">
        <v>20.34</v>
      </c>
      <c r="N1231">
        <v>305</v>
      </c>
      <c r="O1231" s="34">
        <f t="shared" si="20"/>
        <v>0.1400432653990695</v>
      </c>
    </row>
    <row r="1232" spans="13:15" x14ac:dyDescent="0.3">
      <c r="M1232" s="35">
        <v>20.34</v>
      </c>
      <c r="N1232">
        <v>305</v>
      </c>
      <c r="O1232" s="34">
        <f t="shared" si="20"/>
        <v>0.14015712171240208</v>
      </c>
    </row>
    <row r="1233" spans="13:15" x14ac:dyDescent="0.3">
      <c r="M1233" s="35">
        <v>20.34</v>
      </c>
      <c r="N1233">
        <v>305</v>
      </c>
      <c r="O1233" s="34">
        <f t="shared" si="20"/>
        <v>0.14027097802573466</v>
      </c>
    </row>
    <row r="1234" spans="13:15" x14ac:dyDescent="0.3">
      <c r="M1234" s="35">
        <v>20.34</v>
      </c>
      <c r="N1234">
        <v>305</v>
      </c>
      <c r="O1234" s="34">
        <f t="shared" si="20"/>
        <v>0.14038483433906723</v>
      </c>
    </row>
    <row r="1235" spans="13:15" x14ac:dyDescent="0.3">
      <c r="M1235" s="35">
        <v>20.350000000000001</v>
      </c>
      <c r="N1235">
        <v>305</v>
      </c>
      <c r="O1235" s="34">
        <f t="shared" si="20"/>
        <v>0.14049869065239981</v>
      </c>
    </row>
    <row r="1236" spans="13:15" x14ac:dyDescent="0.3">
      <c r="M1236" s="35">
        <v>20.350000000000001</v>
      </c>
      <c r="N1236">
        <v>305</v>
      </c>
      <c r="O1236" s="34">
        <f t="shared" si="20"/>
        <v>0.14061254696573239</v>
      </c>
    </row>
    <row r="1237" spans="13:15" x14ac:dyDescent="0.3">
      <c r="M1237" s="35">
        <v>20.350000000000001</v>
      </c>
      <c r="N1237">
        <v>305</v>
      </c>
      <c r="O1237" s="34">
        <f t="shared" si="20"/>
        <v>0.14072640327906497</v>
      </c>
    </row>
    <row r="1238" spans="13:15" x14ac:dyDescent="0.3">
      <c r="M1238" s="35">
        <v>20.350000000000001</v>
      </c>
      <c r="N1238">
        <v>305</v>
      </c>
      <c r="O1238" s="34">
        <f t="shared" si="20"/>
        <v>0.14084025959239754</v>
      </c>
    </row>
    <row r="1239" spans="13:15" x14ac:dyDescent="0.3">
      <c r="M1239" s="35">
        <v>20.350000000000001</v>
      </c>
      <c r="N1239">
        <v>305</v>
      </c>
      <c r="O1239" s="34">
        <f t="shared" si="20"/>
        <v>0.14095411590573012</v>
      </c>
    </row>
    <row r="1240" spans="13:15" x14ac:dyDescent="0.3">
      <c r="M1240" s="35">
        <v>20.350000000000001</v>
      </c>
      <c r="N1240">
        <v>305</v>
      </c>
      <c r="O1240" s="34">
        <f t="shared" si="20"/>
        <v>0.1410679722190627</v>
      </c>
    </row>
    <row r="1241" spans="13:15" x14ac:dyDescent="0.3">
      <c r="M1241" s="35">
        <v>20.36</v>
      </c>
      <c r="N1241">
        <v>305</v>
      </c>
      <c r="O1241" s="34">
        <f t="shared" si="20"/>
        <v>0.14118182853239528</v>
      </c>
    </row>
    <row r="1242" spans="13:15" x14ac:dyDescent="0.3">
      <c r="M1242" s="35">
        <v>20.36</v>
      </c>
      <c r="N1242">
        <v>305</v>
      </c>
      <c r="O1242" s="34">
        <f t="shared" si="20"/>
        <v>0.14129568484572785</v>
      </c>
    </row>
    <row r="1243" spans="13:15" x14ac:dyDescent="0.3">
      <c r="M1243" s="35">
        <v>20.36</v>
      </c>
      <c r="N1243">
        <v>305</v>
      </c>
      <c r="O1243" s="34">
        <f t="shared" si="20"/>
        <v>0.14140954115906043</v>
      </c>
    </row>
    <row r="1244" spans="13:15" x14ac:dyDescent="0.3">
      <c r="M1244" s="35">
        <v>20.37</v>
      </c>
      <c r="N1244">
        <v>305</v>
      </c>
      <c r="O1244" s="34">
        <f t="shared" si="20"/>
        <v>0.14152339747239301</v>
      </c>
    </row>
    <row r="1245" spans="13:15" x14ac:dyDescent="0.3">
      <c r="M1245" s="35">
        <v>20.37</v>
      </c>
      <c r="N1245">
        <v>305</v>
      </c>
      <c r="O1245" s="34">
        <f t="shared" si="20"/>
        <v>0.14163725378572559</v>
      </c>
    </row>
    <row r="1246" spans="13:15" x14ac:dyDescent="0.3">
      <c r="M1246" s="35">
        <v>20.37</v>
      </c>
      <c r="N1246">
        <v>305</v>
      </c>
      <c r="O1246" s="34">
        <f t="shared" si="20"/>
        <v>0.14175111009905816</v>
      </c>
    </row>
    <row r="1247" spans="13:15" x14ac:dyDescent="0.3">
      <c r="M1247" s="35">
        <v>20.37</v>
      </c>
      <c r="N1247">
        <v>305</v>
      </c>
      <c r="O1247" s="34">
        <f t="shared" si="20"/>
        <v>0.14186496641239074</v>
      </c>
    </row>
    <row r="1248" spans="13:15" x14ac:dyDescent="0.3">
      <c r="M1248" s="35">
        <v>20.38</v>
      </c>
      <c r="N1248">
        <v>305</v>
      </c>
      <c r="O1248" s="34">
        <f t="shared" si="20"/>
        <v>0.14197882272572332</v>
      </c>
    </row>
    <row r="1249" spans="13:15" x14ac:dyDescent="0.3">
      <c r="M1249" s="35">
        <v>20.39</v>
      </c>
      <c r="N1249">
        <v>305</v>
      </c>
      <c r="O1249" s="34">
        <f t="shared" si="20"/>
        <v>0.1420926790390559</v>
      </c>
    </row>
    <row r="1250" spans="13:15" x14ac:dyDescent="0.3">
      <c r="M1250" s="35">
        <v>20.39</v>
      </c>
      <c r="N1250">
        <v>305</v>
      </c>
      <c r="O1250" s="34">
        <f t="shared" si="20"/>
        <v>0.14220653535238847</v>
      </c>
    </row>
    <row r="1251" spans="13:15" x14ac:dyDescent="0.3">
      <c r="M1251" s="35">
        <v>20.39</v>
      </c>
      <c r="N1251">
        <v>305</v>
      </c>
      <c r="O1251" s="34">
        <f t="shared" si="20"/>
        <v>0.14232039166572105</v>
      </c>
    </row>
    <row r="1252" spans="13:15" x14ac:dyDescent="0.3">
      <c r="M1252" s="35">
        <v>20.39</v>
      </c>
      <c r="N1252">
        <v>305</v>
      </c>
      <c r="O1252" s="34">
        <f t="shared" si="20"/>
        <v>0.14243424797905363</v>
      </c>
    </row>
    <row r="1253" spans="13:15" x14ac:dyDescent="0.3">
      <c r="M1253" s="35">
        <v>20.39</v>
      </c>
      <c r="N1253">
        <v>305</v>
      </c>
      <c r="O1253" s="34">
        <f t="shared" si="20"/>
        <v>0.14254810429238621</v>
      </c>
    </row>
    <row r="1254" spans="13:15" x14ac:dyDescent="0.3">
      <c r="M1254" s="35">
        <v>20.399999999999999</v>
      </c>
      <c r="N1254">
        <v>305</v>
      </c>
      <c r="O1254" s="34">
        <f t="shared" si="20"/>
        <v>0.14266196060571879</v>
      </c>
    </row>
    <row r="1255" spans="13:15" x14ac:dyDescent="0.3">
      <c r="M1255" s="35">
        <v>20.399999999999999</v>
      </c>
      <c r="N1255">
        <v>305</v>
      </c>
      <c r="O1255" s="34">
        <f t="shared" si="20"/>
        <v>0.14277581691905136</v>
      </c>
    </row>
    <row r="1256" spans="13:15" x14ac:dyDescent="0.3">
      <c r="M1256" s="35">
        <v>20.399999999999999</v>
      </c>
      <c r="N1256">
        <v>305</v>
      </c>
      <c r="O1256" s="34">
        <f t="shared" si="20"/>
        <v>0.14288967323238394</v>
      </c>
    </row>
    <row r="1257" spans="13:15" x14ac:dyDescent="0.3">
      <c r="M1257" s="35">
        <v>20.399999999999999</v>
      </c>
      <c r="N1257">
        <v>305</v>
      </c>
      <c r="O1257" s="34">
        <f t="shared" si="20"/>
        <v>0.14300352954571652</v>
      </c>
    </row>
    <row r="1258" spans="13:15" x14ac:dyDescent="0.3">
      <c r="M1258" s="35">
        <v>20.399999999999999</v>
      </c>
      <c r="N1258">
        <v>305</v>
      </c>
      <c r="O1258" s="34">
        <f t="shared" si="20"/>
        <v>0.1431173858590491</v>
      </c>
    </row>
    <row r="1259" spans="13:15" x14ac:dyDescent="0.3">
      <c r="M1259" s="35">
        <v>20.399999999999999</v>
      </c>
      <c r="N1259">
        <v>305</v>
      </c>
      <c r="O1259" s="34">
        <f t="shared" si="20"/>
        <v>0.14323124217238167</v>
      </c>
    </row>
    <row r="1260" spans="13:15" x14ac:dyDescent="0.3">
      <c r="M1260" s="35">
        <v>20.399999999999999</v>
      </c>
      <c r="N1260">
        <v>305</v>
      </c>
      <c r="O1260" s="34">
        <f t="shared" si="20"/>
        <v>0.14334509848571425</v>
      </c>
    </row>
    <row r="1261" spans="13:15" x14ac:dyDescent="0.3">
      <c r="M1261" s="35">
        <v>20.399999999999999</v>
      </c>
      <c r="N1261">
        <v>305</v>
      </c>
      <c r="O1261" s="34">
        <f t="shared" si="20"/>
        <v>0.14345895479904683</v>
      </c>
    </row>
    <row r="1262" spans="13:15" x14ac:dyDescent="0.3">
      <c r="M1262" s="35">
        <v>20.41</v>
      </c>
      <c r="N1262">
        <v>305</v>
      </c>
      <c r="O1262" s="34">
        <f t="shared" si="20"/>
        <v>0.14357281111237941</v>
      </c>
    </row>
    <row r="1263" spans="13:15" x14ac:dyDescent="0.3">
      <c r="M1263" s="35">
        <v>20.41</v>
      </c>
      <c r="N1263">
        <v>305</v>
      </c>
      <c r="O1263" s="34">
        <f t="shared" si="20"/>
        <v>0.14368666742571198</v>
      </c>
    </row>
    <row r="1264" spans="13:15" x14ac:dyDescent="0.3">
      <c r="M1264" s="35">
        <v>20.41</v>
      </c>
      <c r="N1264">
        <v>305</v>
      </c>
      <c r="O1264" s="34">
        <f t="shared" si="20"/>
        <v>0.14380052373904456</v>
      </c>
    </row>
    <row r="1265" spans="13:15" x14ac:dyDescent="0.3">
      <c r="M1265" s="35">
        <v>20.420000000000002</v>
      </c>
      <c r="N1265">
        <v>305</v>
      </c>
      <c r="O1265" s="34">
        <f t="shared" si="20"/>
        <v>0.14391438005237714</v>
      </c>
    </row>
    <row r="1266" spans="13:15" x14ac:dyDescent="0.3">
      <c r="M1266" s="35">
        <v>20.420000000000002</v>
      </c>
      <c r="N1266">
        <v>305</v>
      </c>
      <c r="O1266" s="34">
        <f t="shared" si="20"/>
        <v>0.14402823636570972</v>
      </c>
    </row>
    <row r="1267" spans="13:15" x14ac:dyDescent="0.3">
      <c r="M1267" s="35">
        <v>20.420000000000002</v>
      </c>
      <c r="N1267">
        <v>305</v>
      </c>
      <c r="O1267" s="34">
        <f t="shared" si="20"/>
        <v>0.14414209267904229</v>
      </c>
    </row>
    <row r="1268" spans="13:15" x14ac:dyDescent="0.3">
      <c r="M1268" s="35">
        <v>20.43</v>
      </c>
      <c r="N1268">
        <v>305</v>
      </c>
      <c r="O1268" s="34">
        <f t="shared" si="20"/>
        <v>0.14425594899237487</v>
      </c>
    </row>
    <row r="1269" spans="13:15" x14ac:dyDescent="0.3">
      <c r="M1269" s="35">
        <v>20.43</v>
      </c>
      <c r="N1269">
        <v>305</v>
      </c>
      <c r="O1269" s="34">
        <f t="shared" si="20"/>
        <v>0.14436980530570745</v>
      </c>
    </row>
    <row r="1270" spans="13:15" x14ac:dyDescent="0.3">
      <c r="M1270" s="35">
        <v>20.43</v>
      </c>
      <c r="N1270">
        <v>305</v>
      </c>
      <c r="O1270" s="34">
        <f t="shared" si="20"/>
        <v>0.14448366161904003</v>
      </c>
    </row>
    <row r="1271" spans="13:15" x14ac:dyDescent="0.3">
      <c r="M1271" s="35">
        <v>20.43</v>
      </c>
      <c r="N1271">
        <v>305</v>
      </c>
      <c r="O1271" s="34">
        <f t="shared" si="20"/>
        <v>0.1445975179323726</v>
      </c>
    </row>
    <row r="1272" spans="13:15" x14ac:dyDescent="0.3">
      <c r="M1272" s="35">
        <v>20.43</v>
      </c>
      <c r="N1272">
        <v>305</v>
      </c>
      <c r="O1272" s="34">
        <f t="shared" si="20"/>
        <v>0.14471137424570518</v>
      </c>
    </row>
    <row r="1273" spans="13:15" x14ac:dyDescent="0.3">
      <c r="M1273" s="35">
        <v>20.43</v>
      </c>
      <c r="N1273">
        <v>305</v>
      </c>
      <c r="O1273" s="34">
        <f t="shared" si="20"/>
        <v>0.14482523055903776</v>
      </c>
    </row>
    <row r="1274" spans="13:15" x14ac:dyDescent="0.3">
      <c r="M1274" s="35">
        <v>20.440000000000001</v>
      </c>
      <c r="N1274">
        <v>305</v>
      </c>
      <c r="O1274" s="34">
        <f t="shared" si="20"/>
        <v>0.14493908687237034</v>
      </c>
    </row>
    <row r="1275" spans="13:15" x14ac:dyDescent="0.3">
      <c r="M1275" s="35">
        <v>20.440000000000001</v>
      </c>
      <c r="N1275">
        <v>305</v>
      </c>
      <c r="O1275" s="34">
        <f t="shared" si="20"/>
        <v>0.14505294318570292</v>
      </c>
    </row>
    <row r="1276" spans="13:15" x14ac:dyDescent="0.3">
      <c r="M1276" s="35">
        <v>20.45</v>
      </c>
      <c r="N1276">
        <v>305</v>
      </c>
      <c r="O1276" s="34">
        <f t="shared" si="20"/>
        <v>0.14516679949903549</v>
      </c>
    </row>
    <row r="1277" spans="13:15" x14ac:dyDescent="0.3">
      <c r="M1277" s="35">
        <v>20.45</v>
      </c>
      <c r="N1277">
        <v>305</v>
      </c>
      <c r="O1277" s="34">
        <f t="shared" si="20"/>
        <v>0.14528065581236807</v>
      </c>
    </row>
    <row r="1278" spans="13:15" x14ac:dyDescent="0.3">
      <c r="M1278" s="35">
        <v>20.45</v>
      </c>
      <c r="N1278">
        <v>305</v>
      </c>
      <c r="O1278" s="34">
        <f t="shared" si="20"/>
        <v>0.14539451212570065</v>
      </c>
    </row>
    <row r="1279" spans="13:15" x14ac:dyDescent="0.3">
      <c r="M1279" s="35">
        <v>20.45</v>
      </c>
      <c r="N1279">
        <v>305</v>
      </c>
      <c r="O1279" s="34">
        <f t="shared" si="20"/>
        <v>0.14550836843903323</v>
      </c>
    </row>
    <row r="1280" spans="13:15" x14ac:dyDescent="0.3">
      <c r="M1280" s="35">
        <v>20.45</v>
      </c>
      <c r="N1280">
        <v>305</v>
      </c>
      <c r="O1280" s="34">
        <f t="shared" si="20"/>
        <v>0.1456222247523658</v>
      </c>
    </row>
    <row r="1281" spans="13:15" x14ac:dyDescent="0.3">
      <c r="M1281" s="35">
        <v>20.46</v>
      </c>
      <c r="N1281">
        <v>305</v>
      </c>
      <c r="O1281" s="34">
        <f t="shared" si="20"/>
        <v>0.14573608106569838</v>
      </c>
    </row>
    <row r="1282" spans="13:15" x14ac:dyDescent="0.3">
      <c r="M1282" s="35">
        <v>20.46</v>
      </c>
      <c r="N1282">
        <v>305</v>
      </c>
      <c r="O1282" s="34">
        <f t="shared" si="20"/>
        <v>0.14584993737903096</v>
      </c>
    </row>
    <row r="1283" spans="13:15" x14ac:dyDescent="0.3">
      <c r="M1283" s="35">
        <v>20.46</v>
      </c>
      <c r="N1283">
        <v>305</v>
      </c>
      <c r="O1283" s="34">
        <f t="shared" si="20"/>
        <v>0.14596379369236354</v>
      </c>
    </row>
    <row r="1284" spans="13:15" x14ac:dyDescent="0.3">
      <c r="M1284" s="35">
        <v>20.46</v>
      </c>
      <c r="N1284">
        <v>305</v>
      </c>
      <c r="O1284" s="34">
        <f t="shared" ref="O1284:O1347" si="21">O1283+O$2</f>
        <v>0.14607765000569611</v>
      </c>
    </row>
    <row r="1285" spans="13:15" x14ac:dyDescent="0.3">
      <c r="M1285" s="35">
        <v>20.46</v>
      </c>
      <c r="N1285">
        <v>305</v>
      </c>
      <c r="O1285" s="34">
        <f t="shared" si="21"/>
        <v>0.14619150631902869</v>
      </c>
    </row>
    <row r="1286" spans="13:15" x14ac:dyDescent="0.3">
      <c r="M1286" s="35">
        <v>20.46</v>
      </c>
      <c r="N1286">
        <v>305</v>
      </c>
      <c r="O1286" s="34">
        <f t="shared" si="21"/>
        <v>0.14630536263236127</v>
      </c>
    </row>
    <row r="1287" spans="13:15" x14ac:dyDescent="0.3">
      <c r="M1287" s="35">
        <v>20.46</v>
      </c>
      <c r="N1287">
        <v>305</v>
      </c>
      <c r="O1287" s="34">
        <f t="shared" si="21"/>
        <v>0.14641921894569385</v>
      </c>
    </row>
    <row r="1288" spans="13:15" x14ac:dyDescent="0.3">
      <c r="M1288" s="35">
        <v>20.46</v>
      </c>
      <c r="N1288">
        <v>305</v>
      </c>
      <c r="O1288" s="34">
        <f t="shared" si="21"/>
        <v>0.14653307525902642</v>
      </c>
    </row>
    <row r="1289" spans="13:15" x14ac:dyDescent="0.3">
      <c r="M1289" s="35">
        <v>20.47</v>
      </c>
      <c r="N1289">
        <v>305</v>
      </c>
      <c r="O1289" s="34">
        <f t="shared" si="21"/>
        <v>0.146646931572359</v>
      </c>
    </row>
    <row r="1290" spans="13:15" x14ac:dyDescent="0.3">
      <c r="M1290" s="35">
        <v>20.47</v>
      </c>
      <c r="N1290">
        <v>305</v>
      </c>
      <c r="O1290" s="34">
        <f t="shared" si="21"/>
        <v>0.14676078788569158</v>
      </c>
    </row>
    <row r="1291" spans="13:15" x14ac:dyDescent="0.3">
      <c r="M1291" s="35">
        <v>20.47</v>
      </c>
      <c r="N1291">
        <v>305</v>
      </c>
      <c r="O1291" s="34">
        <f t="shared" si="21"/>
        <v>0.14687464419902416</v>
      </c>
    </row>
    <row r="1292" spans="13:15" x14ac:dyDescent="0.3">
      <c r="M1292" s="35">
        <v>20.48</v>
      </c>
      <c r="N1292">
        <v>305</v>
      </c>
      <c r="O1292" s="34">
        <f t="shared" si="21"/>
        <v>0.14698850051235673</v>
      </c>
    </row>
    <row r="1293" spans="13:15" x14ac:dyDescent="0.3">
      <c r="M1293" s="35">
        <v>20.48</v>
      </c>
      <c r="N1293">
        <v>305</v>
      </c>
      <c r="O1293" s="34">
        <f t="shared" si="21"/>
        <v>0.14710235682568931</v>
      </c>
    </row>
    <row r="1294" spans="13:15" x14ac:dyDescent="0.3">
      <c r="M1294" s="35">
        <v>20.48</v>
      </c>
      <c r="N1294">
        <v>305</v>
      </c>
      <c r="O1294" s="34">
        <f t="shared" si="21"/>
        <v>0.14721621313902189</v>
      </c>
    </row>
    <row r="1295" spans="13:15" x14ac:dyDescent="0.3">
      <c r="M1295" s="35">
        <v>20.48</v>
      </c>
      <c r="N1295">
        <v>305</v>
      </c>
      <c r="O1295" s="34">
        <f t="shared" si="21"/>
        <v>0.14733006945235447</v>
      </c>
    </row>
    <row r="1296" spans="13:15" x14ac:dyDescent="0.3">
      <c r="M1296" s="35">
        <v>20.49</v>
      </c>
      <c r="N1296">
        <v>305</v>
      </c>
      <c r="O1296" s="34">
        <f t="shared" si="21"/>
        <v>0.14744392576568705</v>
      </c>
    </row>
    <row r="1297" spans="13:15" x14ac:dyDescent="0.3">
      <c r="M1297" s="35">
        <v>20.49</v>
      </c>
      <c r="N1297">
        <v>305</v>
      </c>
      <c r="O1297" s="34">
        <f t="shared" si="21"/>
        <v>0.14755778207901962</v>
      </c>
    </row>
    <row r="1298" spans="13:15" x14ac:dyDescent="0.3">
      <c r="M1298" s="35">
        <v>20.49</v>
      </c>
      <c r="N1298">
        <v>305</v>
      </c>
      <c r="O1298" s="34">
        <f t="shared" si="21"/>
        <v>0.1476716383923522</v>
      </c>
    </row>
    <row r="1299" spans="13:15" x14ac:dyDescent="0.3">
      <c r="M1299" s="35">
        <v>20.49</v>
      </c>
      <c r="N1299">
        <v>305</v>
      </c>
      <c r="O1299" s="34">
        <f t="shared" si="21"/>
        <v>0.14778549470568478</v>
      </c>
    </row>
    <row r="1300" spans="13:15" x14ac:dyDescent="0.3">
      <c r="M1300" s="35">
        <v>20.5</v>
      </c>
      <c r="N1300">
        <v>305</v>
      </c>
      <c r="O1300" s="34">
        <f t="shared" si="21"/>
        <v>0.14789935101901736</v>
      </c>
    </row>
    <row r="1301" spans="13:15" x14ac:dyDescent="0.3">
      <c r="M1301" s="35">
        <v>20.5</v>
      </c>
      <c r="N1301">
        <v>305</v>
      </c>
      <c r="O1301" s="34">
        <f t="shared" si="21"/>
        <v>0.14801320733234993</v>
      </c>
    </row>
    <row r="1302" spans="13:15" x14ac:dyDescent="0.3">
      <c r="M1302" s="35">
        <v>20.5</v>
      </c>
      <c r="N1302">
        <v>305</v>
      </c>
      <c r="O1302" s="34">
        <f t="shared" si="21"/>
        <v>0.14812706364568251</v>
      </c>
    </row>
    <row r="1303" spans="13:15" x14ac:dyDescent="0.3">
      <c r="M1303" s="35">
        <v>20.5</v>
      </c>
      <c r="N1303">
        <v>305</v>
      </c>
      <c r="O1303" s="34">
        <f t="shared" si="21"/>
        <v>0.14824091995901509</v>
      </c>
    </row>
    <row r="1304" spans="13:15" x14ac:dyDescent="0.3">
      <c r="M1304" s="35">
        <v>20.5</v>
      </c>
      <c r="N1304">
        <v>305</v>
      </c>
      <c r="O1304" s="34">
        <f t="shared" si="21"/>
        <v>0.14835477627234767</v>
      </c>
    </row>
    <row r="1305" spans="13:15" x14ac:dyDescent="0.3">
      <c r="M1305" s="35">
        <v>20.5</v>
      </c>
      <c r="N1305">
        <v>305</v>
      </c>
      <c r="O1305" s="34">
        <f t="shared" si="21"/>
        <v>0.14846863258568024</v>
      </c>
    </row>
    <row r="1306" spans="13:15" x14ac:dyDescent="0.3">
      <c r="M1306" s="35">
        <v>20.51</v>
      </c>
      <c r="N1306">
        <v>305</v>
      </c>
      <c r="O1306" s="34">
        <f t="shared" si="21"/>
        <v>0.14858248889901282</v>
      </c>
    </row>
    <row r="1307" spans="13:15" x14ac:dyDescent="0.3">
      <c r="M1307" s="35">
        <v>20.51</v>
      </c>
      <c r="N1307">
        <v>305</v>
      </c>
      <c r="O1307" s="34">
        <f t="shared" si="21"/>
        <v>0.1486963452123454</v>
      </c>
    </row>
    <row r="1308" spans="13:15" x14ac:dyDescent="0.3">
      <c r="M1308" s="35">
        <v>20.51</v>
      </c>
      <c r="N1308">
        <v>305</v>
      </c>
      <c r="O1308" s="34">
        <f t="shared" si="21"/>
        <v>0.14881020152567798</v>
      </c>
    </row>
    <row r="1309" spans="13:15" x14ac:dyDescent="0.3">
      <c r="M1309" s="35">
        <v>20.52</v>
      </c>
      <c r="N1309">
        <v>305</v>
      </c>
      <c r="O1309" s="34">
        <f t="shared" si="21"/>
        <v>0.14892405783901055</v>
      </c>
    </row>
    <row r="1310" spans="13:15" x14ac:dyDescent="0.3">
      <c r="M1310" s="35">
        <v>20.52</v>
      </c>
      <c r="N1310">
        <v>305</v>
      </c>
      <c r="O1310" s="34">
        <f t="shared" si="21"/>
        <v>0.14903791415234313</v>
      </c>
    </row>
    <row r="1311" spans="13:15" x14ac:dyDescent="0.3">
      <c r="M1311" s="35">
        <v>20.53</v>
      </c>
      <c r="N1311">
        <v>305</v>
      </c>
      <c r="O1311" s="34">
        <f t="shared" si="21"/>
        <v>0.14915177046567571</v>
      </c>
    </row>
    <row r="1312" spans="13:15" x14ac:dyDescent="0.3">
      <c r="M1312" s="35">
        <v>20.53</v>
      </c>
      <c r="N1312">
        <v>305</v>
      </c>
      <c r="O1312" s="34">
        <f t="shared" si="21"/>
        <v>0.14926562677900829</v>
      </c>
    </row>
    <row r="1313" spans="13:15" x14ac:dyDescent="0.3">
      <c r="M1313" s="35">
        <v>20.53</v>
      </c>
      <c r="N1313">
        <v>305</v>
      </c>
      <c r="O1313" s="34">
        <f t="shared" si="21"/>
        <v>0.14937948309234086</v>
      </c>
    </row>
    <row r="1314" spans="13:15" x14ac:dyDescent="0.3">
      <c r="M1314" s="35">
        <v>20.53</v>
      </c>
      <c r="N1314">
        <v>305</v>
      </c>
      <c r="O1314" s="34">
        <f t="shared" si="21"/>
        <v>0.14949333940567344</v>
      </c>
    </row>
    <row r="1315" spans="13:15" x14ac:dyDescent="0.3">
      <c r="M1315" s="35">
        <v>20.54</v>
      </c>
      <c r="N1315">
        <v>305</v>
      </c>
      <c r="O1315" s="34">
        <f t="shared" si="21"/>
        <v>0.14960719571900602</v>
      </c>
    </row>
    <row r="1316" spans="13:15" x14ac:dyDescent="0.3">
      <c r="M1316" s="35">
        <v>20.54</v>
      </c>
      <c r="N1316">
        <v>305</v>
      </c>
      <c r="O1316" s="34">
        <f t="shared" si="21"/>
        <v>0.1497210520323386</v>
      </c>
    </row>
    <row r="1317" spans="13:15" x14ac:dyDescent="0.3">
      <c r="M1317" s="35">
        <v>20.55</v>
      </c>
      <c r="N1317">
        <v>305</v>
      </c>
      <c r="O1317" s="34">
        <f t="shared" si="21"/>
        <v>0.14983490834567118</v>
      </c>
    </row>
    <row r="1318" spans="13:15" x14ac:dyDescent="0.3">
      <c r="M1318" s="35">
        <v>20.55</v>
      </c>
      <c r="N1318">
        <v>305</v>
      </c>
      <c r="O1318" s="34">
        <f t="shared" si="21"/>
        <v>0.14994876465900375</v>
      </c>
    </row>
    <row r="1319" spans="13:15" x14ac:dyDescent="0.3">
      <c r="M1319" s="35">
        <v>20.55</v>
      </c>
      <c r="N1319">
        <v>305</v>
      </c>
      <c r="O1319" s="34">
        <f t="shared" si="21"/>
        <v>0.15006262097233633</v>
      </c>
    </row>
    <row r="1320" spans="13:15" x14ac:dyDescent="0.3">
      <c r="M1320" s="35">
        <v>20.55</v>
      </c>
      <c r="N1320">
        <v>305</v>
      </c>
      <c r="O1320" s="34">
        <f t="shared" si="21"/>
        <v>0.15017647728566891</v>
      </c>
    </row>
    <row r="1321" spans="13:15" x14ac:dyDescent="0.3">
      <c r="M1321" s="35">
        <v>20.55</v>
      </c>
      <c r="N1321">
        <v>305</v>
      </c>
      <c r="O1321" s="34">
        <f t="shared" si="21"/>
        <v>0.15029033359900149</v>
      </c>
    </row>
    <row r="1322" spans="13:15" x14ac:dyDescent="0.3">
      <c r="M1322" s="35">
        <v>20.56</v>
      </c>
      <c r="N1322">
        <v>305</v>
      </c>
      <c r="O1322" s="34">
        <f t="shared" si="21"/>
        <v>0.15040418991233406</v>
      </c>
    </row>
    <row r="1323" spans="13:15" x14ac:dyDescent="0.3">
      <c r="M1323" s="35">
        <v>20.56</v>
      </c>
      <c r="N1323">
        <v>305</v>
      </c>
      <c r="O1323" s="34">
        <f t="shared" si="21"/>
        <v>0.15051804622566664</v>
      </c>
    </row>
    <row r="1324" spans="13:15" x14ac:dyDescent="0.3">
      <c r="M1324" s="35">
        <v>20.56</v>
      </c>
      <c r="N1324">
        <v>305</v>
      </c>
      <c r="O1324" s="34">
        <f t="shared" si="21"/>
        <v>0.15063190253899922</v>
      </c>
    </row>
    <row r="1325" spans="13:15" x14ac:dyDescent="0.3">
      <c r="M1325" s="35">
        <v>20.56</v>
      </c>
      <c r="N1325">
        <v>305</v>
      </c>
      <c r="O1325" s="34">
        <f t="shared" si="21"/>
        <v>0.1507457588523318</v>
      </c>
    </row>
    <row r="1326" spans="13:15" x14ac:dyDescent="0.3">
      <c r="M1326" s="35">
        <v>20.57</v>
      </c>
      <c r="N1326">
        <v>305</v>
      </c>
      <c r="O1326" s="34">
        <f t="shared" si="21"/>
        <v>0.15085961516566437</v>
      </c>
    </row>
    <row r="1327" spans="13:15" x14ac:dyDescent="0.3">
      <c r="M1327" s="35">
        <v>20.57</v>
      </c>
      <c r="N1327">
        <v>305</v>
      </c>
      <c r="O1327" s="34">
        <f t="shared" si="21"/>
        <v>0.15097347147899695</v>
      </c>
    </row>
    <row r="1328" spans="13:15" x14ac:dyDescent="0.3">
      <c r="M1328" s="35">
        <v>20.58</v>
      </c>
      <c r="N1328">
        <v>305</v>
      </c>
      <c r="O1328" s="34">
        <f t="shared" si="21"/>
        <v>0.15108732779232953</v>
      </c>
    </row>
    <row r="1329" spans="13:15" x14ac:dyDescent="0.3">
      <c r="M1329" s="35">
        <v>20.58</v>
      </c>
      <c r="N1329">
        <v>305</v>
      </c>
      <c r="O1329" s="34">
        <f t="shared" si="21"/>
        <v>0.15120118410566211</v>
      </c>
    </row>
    <row r="1330" spans="13:15" x14ac:dyDescent="0.3">
      <c r="M1330" s="35">
        <v>20.59</v>
      </c>
      <c r="N1330">
        <v>305</v>
      </c>
      <c r="O1330" s="34">
        <f t="shared" si="21"/>
        <v>0.15131504041899468</v>
      </c>
    </row>
    <row r="1331" spans="13:15" x14ac:dyDescent="0.3">
      <c r="M1331" s="35">
        <v>20.59</v>
      </c>
      <c r="N1331">
        <v>305</v>
      </c>
      <c r="O1331" s="34">
        <f t="shared" si="21"/>
        <v>0.15142889673232726</v>
      </c>
    </row>
    <row r="1332" spans="13:15" x14ac:dyDescent="0.3">
      <c r="M1332" s="35">
        <v>20.59</v>
      </c>
      <c r="N1332">
        <v>305</v>
      </c>
      <c r="O1332" s="34">
        <f t="shared" si="21"/>
        <v>0.15154275304565984</v>
      </c>
    </row>
    <row r="1333" spans="13:15" x14ac:dyDescent="0.3">
      <c r="M1333" s="35">
        <v>20.59</v>
      </c>
      <c r="N1333">
        <v>305</v>
      </c>
      <c r="O1333" s="34">
        <f t="shared" si="21"/>
        <v>0.15165660935899242</v>
      </c>
    </row>
    <row r="1334" spans="13:15" x14ac:dyDescent="0.3">
      <c r="M1334" s="35">
        <v>20.59</v>
      </c>
      <c r="N1334">
        <v>305</v>
      </c>
      <c r="O1334" s="34">
        <f t="shared" si="21"/>
        <v>0.15177046567232499</v>
      </c>
    </row>
    <row r="1335" spans="13:15" x14ac:dyDescent="0.3">
      <c r="M1335" s="35">
        <v>20.6</v>
      </c>
      <c r="N1335">
        <v>305</v>
      </c>
      <c r="O1335" s="34">
        <f t="shared" si="21"/>
        <v>0.15188432198565757</v>
      </c>
    </row>
    <row r="1336" spans="13:15" x14ac:dyDescent="0.3">
      <c r="M1336" s="35">
        <v>20.6</v>
      </c>
      <c r="N1336">
        <v>305</v>
      </c>
      <c r="O1336" s="34">
        <f t="shared" si="21"/>
        <v>0.15199817829899015</v>
      </c>
    </row>
    <row r="1337" spans="13:15" x14ac:dyDescent="0.3">
      <c r="M1337" s="35">
        <v>20.6</v>
      </c>
      <c r="N1337">
        <v>305</v>
      </c>
      <c r="O1337" s="34">
        <f t="shared" si="21"/>
        <v>0.15211203461232273</v>
      </c>
    </row>
    <row r="1338" spans="13:15" x14ac:dyDescent="0.3">
      <c r="M1338" s="35">
        <v>20.61</v>
      </c>
      <c r="N1338">
        <v>305</v>
      </c>
      <c r="O1338" s="34">
        <f t="shared" si="21"/>
        <v>0.1522258909256553</v>
      </c>
    </row>
    <row r="1339" spans="13:15" x14ac:dyDescent="0.3">
      <c r="M1339" s="35">
        <v>20.61</v>
      </c>
      <c r="N1339">
        <v>305</v>
      </c>
      <c r="O1339" s="34">
        <f t="shared" si="21"/>
        <v>0.15233974723898788</v>
      </c>
    </row>
    <row r="1340" spans="13:15" x14ac:dyDescent="0.3">
      <c r="M1340" s="35">
        <v>20.61</v>
      </c>
      <c r="N1340">
        <v>305</v>
      </c>
      <c r="O1340" s="34">
        <f t="shared" si="21"/>
        <v>0.15245360355232046</v>
      </c>
    </row>
    <row r="1341" spans="13:15" x14ac:dyDescent="0.3">
      <c r="M1341" s="35">
        <v>20.61</v>
      </c>
      <c r="N1341">
        <v>305</v>
      </c>
      <c r="O1341" s="34">
        <f t="shared" si="21"/>
        <v>0.15256745986565304</v>
      </c>
    </row>
    <row r="1342" spans="13:15" x14ac:dyDescent="0.3">
      <c r="M1342" s="35">
        <v>20.62</v>
      </c>
      <c r="N1342">
        <v>305</v>
      </c>
      <c r="O1342" s="34">
        <f t="shared" si="21"/>
        <v>0.15268131617898562</v>
      </c>
    </row>
    <row r="1343" spans="13:15" x14ac:dyDescent="0.3">
      <c r="M1343" s="35">
        <v>20.62</v>
      </c>
      <c r="N1343">
        <v>305</v>
      </c>
      <c r="O1343" s="34">
        <f t="shared" si="21"/>
        <v>0.15279517249231819</v>
      </c>
    </row>
    <row r="1344" spans="13:15" x14ac:dyDescent="0.3">
      <c r="M1344" s="35">
        <v>20.62</v>
      </c>
      <c r="N1344">
        <v>305</v>
      </c>
      <c r="O1344" s="34">
        <f t="shared" si="21"/>
        <v>0.15290902880565077</v>
      </c>
    </row>
    <row r="1345" spans="13:15" x14ac:dyDescent="0.3">
      <c r="M1345" s="35">
        <v>20.63</v>
      </c>
      <c r="N1345">
        <v>305</v>
      </c>
      <c r="O1345" s="34">
        <f t="shared" si="21"/>
        <v>0.15302288511898335</v>
      </c>
    </row>
    <row r="1346" spans="13:15" x14ac:dyDescent="0.3">
      <c r="M1346" s="35">
        <v>20.63</v>
      </c>
      <c r="N1346">
        <v>305</v>
      </c>
      <c r="O1346" s="34">
        <f t="shared" si="21"/>
        <v>0.15313674143231593</v>
      </c>
    </row>
    <row r="1347" spans="13:15" x14ac:dyDescent="0.3">
      <c r="M1347" s="35">
        <v>20.64</v>
      </c>
      <c r="N1347">
        <v>305</v>
      </c>
      <c r="O1347" s="34">
        <f t="shared" si="21"/>
        <v>0.1532505977456485</v>
      </c>
    </row>
    <row r="1348" spans="13:15" x14ac:dyDescent="0.3">
      <c r="M1348" s="35">
        <v>20.64</v>
      </c>
      <c r="N1348">
        <v>305</v>
      </c>
      <c r="O1348" s="34">
        <f t="shared" ref="O1348:O1411" si="22">O1347+O$2</f>
        <v>0.15336445405898108</v>
      </c>
    </row>
    <row r="1349" spans="13:15" x14ac:dyDescent="0.3">
      <c r="M1349" s="35">
        <v>20.64</v>
      </c>
      <c r="N1349">
        <v>305</v>
      </c>
      <c r="O1349" s="34">
        <f t="shared" si="22"/>
        <v>0.15347831037231366</v>
      </c>
    </row>
    <row r="1350" spans="13:15" x14ac:dyDescent="0.3">
      <c r="M1350" s="35">
        <v>20.65</v>
      </c>
      <c r="N1350">
        <v>305</v>
      </c>
      <c r="O1350" s="34">
        <f t="shared" si="22"/>
        <v>0.15359216668564624</v>
      </c>
    </row>
    <row r="1351" spans="13:15" x14ac:dyDescent="0.3">
      <c r="M1351" s="35">
        <v>20.65</v>
      </c>
      <c r="N1351">
        <v>305</v>
      </c>
      <c r="O1351" s="34">
        <f t="shared" si="22"/>
        <v>0.15370602299897881</v>
      </c>
    </row>
    <row r="1352" spans="13:15" x14ac:dyDescent="0.3">
      <c r="M1352" s="35">
        <v>20.65</v>
      </c>
      <c r="N1352">
        <v>305</v>
      </c>
      <c r="O1352" s="34">
        <f t="shared" si="22"/>
        <v>0.15381987931231139</v>
      </c>
    </row>
    <row r="1353" spans="13:15" x14ac:dyDescent="0.3">
      <c r="M1353" s="35">
        <v>20.65</v>
      </c>
      <c r="N1353">
        <v>305</v>
      </c>
      <c r="O1353" s="34">
        <f t="shared" si="22"/>
        <v>0.15393373562564397</v>
      </c>
    </row>
    <row r="1354" spans="13:15" x14ac:dyDescent="0.3">
      <c r="M1354" s="35">
        <v>20.65</v>
      </c>
      <c r="N1354">
        <v>305</v>
      </c>
      <c r="O1354" s="34">
        <f t="shared" si="22"/>
        <v>0.15404759193897655</v>
      </c>
    </row>
    <row r="1355" spans="13:15" x14ac:dyDescent="0.3">
      <c r="M1355" s="35">
        <v>20.66</v>
      </c>
      <c r="N1355">
        <v>305</v>
      </c>
      <c r="O1355" s="34">
        <f t="shared" si="22"/>
        <v>0.15416144825230912</v>
      </c>
    </row>
    <row r="1356" spans="13:15" x14ac:dyDescent="0.3">
      <c r="M1356" s="35">
        <v>20.66</v>
      </c>
      <c r="N1356">
        <v>305</v>
      </c>
      <c r="O1356" s="34">
        <f t="shared" si="22"/>
        <v>0.1542753045656417</v>
      </c>
    </row>
    <row r="1357" spans="13:15" x14ac:dyDescent="0.3">
      <c r="M1357" s="35">
        <v>20.66</v>
      </c>
      <c r="N1357">
        <v>305</v>
      </c>
      <c r="O1357" s="34">
        <f t="shared" si="22"/>
        <v>0.15438916087897428</v>
      </c>
    </row>
    <row r="1358" spans="13:15" x14ac:dyDescent="0.3">
      <c r="M1358" s="35">
        <v>20.66</v>
      </c>
      <c r="N1358">
        <v>305</v>
      </c>
      <c r="O1358" s="34">
        <f t="shared" si="22"/>
        <v>0.15450301719230686</v>
      </c>
    </row>
    <row r="1359" spans="13:15" x14ac:dyDescent="0.3">
      <c r="M1359" s="35">
        <v>20.66</v>
      </c>
      <c r="N1359">
        <v>305</v>
      </c>
      <c r="O1359" s="34">
        <f t="shared" si="22"/>
        <v>0.15461687350563943</v>
      </c>
    </row>
    <row r="1360" spans="13:15" x14ac:dyDescent="0.3">
      <c r="M1360" s="35">
        <v>20.67</v>
      </c>
      <c r="N1360">
        <v>305</v>
      </c>
      <c r="O1360" s="34">
        <f t="shared" si="22"/>
        <v>0.15473072981897201</v>
      </c>
    </row>
    <row r="1361" spans="13:15" x14ac:dyDescent="0.3">
      <c r="M1361" s="35">
        <v>20.67</v>
      </c>
      <c r="N1361">
        <v>305</v>
      </c>
      <c r="O1361" s="34">
        <f t="shared" si="22"/>
        <v>0.15484458613230459</v>
      </c>
    </row>
    <row r="1362" spans="13:15" x14ac:dyDescent="0.3">
      <c r="M1362" s="35">
        <v>20.67</v>
      </c>
      <c r="N1362">
        <v>305</v>
      </c>
      <c r="O1362" s="34">
        <f t="shared" si="22"/>
        <v>0.15495844244563717</v>
      </c>
    </row>
    <row r="1363" spans="13:15" x14ac:dyDescent="0.3">
      <c r="M1363" s="35">
        <v>20.68</v>
      </c>
      <c r="N1363">
        <v>305</v>
      </c>
      <c r="O1363" s="34">
        <f t="shared" si="22"/>
        <v>0.15507229875896975</v>
      </c>
    </row>
    <row r="1364" spans="13:15" x14ac:dyDescent="0.3">
      <c r="M1364" s="35">
        <v>20.68</v>
      </c>
      <c r="N1364">
        <v>305</v>
      </c>
      <c r="O1364" s="34">
        <f t="shared" si="22"/>
        <v>0.15518615507230232</v>
      </c>
    </row>
    <row r="1365" spans="13:15" x14ac:dyDescent="0.3">
      <c r="M1365" s="35">
        <v>20.68</v>
      </c>
      <c r="N1365">
        <v>305</v>
      </c>
      <c r="O1365" s="34">
        <f t="shared" si="22"/>
        <v>0.1553000113856349</v>
      </c>
    </row>
    <row r="1366" spans="13:15" x14ac:dyDescent="0.3">
      <c r="M1366" s="35">
        <v>20.69</v>
      </c>
      <c r="N1366">
        <v>305</v>
      </c>
      <c r="O1366" s="34">
        <f t="shared" si="22"/>
        <v>0.15541386769896748</v>
      </c>
    </row>
    <row r="1367" spans="13:15" x14ac:dyDescent="0.3">
      <c r="M1367" s="35">
        <v>20.69</v>
      </c>
      <c r="N1367">
        <v>305</v>
      </c>
      <c r="O1367" s="34">
        <f t="shared" si="22"/>
        <v>0.15552772401230006</v>
      </c>
    </row>
    <row r="1368" spans="13:15" x14ac:dyDescent="0.3">
      <c r="M1368" s="35">
        <v>20.69</v>
      </c>
      <c r="N1368">
        <v>305</v>
      </c>
      <c r="O1368" s="34">
        <f t="shared" si="22"/>
        <v>0.15564158032563263</v>
      </c>
    </row>
    <row r="1369" spans="13:15" x14ac:dyDescent="0.3">
      <c r="M1369" s="35">
        <v>20.69</v>
      </c>
      <c r="N1369">
        <v>305</v>
      </c>
      <c r="O1369" s="34">
        <f t="shared" si="22"/>
        <v>0.15575543663896521</v>
      </c>
    </row>
    <row r="1370" spans="13:15" x14ac:dyDescent="0.3">
      <c r="M1370" s="35">
        <v>20.69</v>
      </c>
      <c r="N1370">
        <v>305</v>
      </c>
      <c r="O1370" s="34">
        <f t="shared" si="22"/>
        <v>0.15586929295229779</v>
      </c>
    </row>
    <row r="1371" spans="13:15" x14ac:dyDescent="0.3">
      <c r="M1371" s="35">
        <v>20.69</v>
      </c>
      <c r="N1371">
        <v>305</v>
      </c>
      <c r="O1371" s="34">
        <f t="shared" si="22"/>
        <v>0.15598314926563037</v>
      </c>
    </row>
    <row r="1372" spans="13:15" x14ac:dyDescent="0.3">
      <c r="M1372" s="35">
        <v>20.69</v>
      </c>
      <c r="N1372">
        <v>305</v>
      </c>
      <c r="O1372" s="34">
        <f t="shared" si="22"/>
        <v>0.15609700557896294</v>
      </c>
    </row>
    <row r="1373" spans="13:15" x14ac:dyDescent="0.3">
      <c r="M1373" s="35">
        <v>20.7</v>
      </c>
      <c r="N1373">
        <v>305</v>
      </c>
      <c r="O1373" s="34">
        <f t="shared" si="22"/>
        <v>0.15621086189229552</v>
      </c>
    </row>
    <row r="1374" spans="13:15" x14ac:dyDescent="0.3">
      <c r="M1374" s="35">
        <v>20.7</v>
      </c>
      <c r="N1374">
        <v>305</v>
      </c>
      <c r="O1374" s="34">
        <f t="shared" si="22"/>
        <v>0.1563247182056281</v>
      </c>
    </row>
    <row r="1375" spans="13:15" x14ac:dyDescent="0.3">
      <c r="M1375" s="35">
        <v>20.7</v>
      </c>
      <c r="N1375">
        <v>305</v>
      </c>
      <c r="O1375" s="34">
        <f t="shared" si="22"/>
        <v>0.15643857451896068</v>
      </c>
    </row>
    <row r="1376" spans="13:15" x14ac:dyDescent="0.3">
      <c r="M1376" s="35">
        <v>20.7</v>
      </c>
      <c r="N1376">
        <v>305</v>
      </c>
      <c r="O1376" s="34">
        <f t="shared" si="22"/>
        <v>0.15655243083229325</v>
      </c>
    </row>
    <row r="1377" spans="13:15" x14ac:dyDescent="0.3">
      <c r="M1377" s="35">
        <v>20.7</v>
      </c>
      <c r="N1377">
        <v>305</v>
      </c>
      <c r="O1377" s="34">
        <f t="shared" si="22"/>
        <v>0.15666628714562583</v>
      </c>
    </row>
    <row r="1378" spans="13:15" x14ac:dyDescent="0.3">
      <c r="M1378" s="35">
        <v>20.7</v>
      </c>
      <c r="N1378">
        <v>305</v>
      </c>
      <c r="O1378" s="34">
        <f t="shared" si="22"/>
        <v>0.15678014345895841</v>
      </c>
    </row>
    <row r="1379" spans="13:15" x14ac:dyDescent="0.3">
      <c r="M1379" s="35">
        <v>20.7</v>
      </c>
      <c r="N1379">
        <v>305</v>
      </c>
      <c r="O1379" s="34">
        <f t="shared" si="22"/>
        <v>0.15689399977229099</v>
      </c>
    </row>
    <row r="1380" spans="13:15" x14ac:dyDescent="0.3">
      <c r="M1380" s="35">
        <v>20.71</v>
      </c>
      <c r="N1380">
        <v>305</v>
      </c>
      <c r="O1380" s="34">
        <f t="shared" si="22"/>
        <v>0.15700785608562356</v>
      </c>
    </row>
    <row r="1381" spans="13:15" x14ac:dyDescent="0.3">
      <c r="M1381" s="35">
        <v>20.71</v>
      </c>
      <c r="N1381">
        <v>305</v>
      </c>
      <c r="O1381" s="34">
        <f t="shared" si="22"/>
        <v>0.15712171239895614</v>
      </c>
    </row>
    <row r="1382" spans="13:15" x14ac:dyDescent="0.3">
      <c r="M1382" s="35">
        <v>20.71</v>
      </c>
      <c r="N1382">
        <v>305</v>
      </c>
      <c r="O1382" s="34">
        <f t="shared" si="22"/>
        <v>0.15723556871228872</v>
      </c>
    </row>
    <row r="1383" spans="13:15" x14ac:dyDescent="0.3">
      <c r="M1383" s="35">
        <v>20.72</v>
      </c>
      <c r="N1383">
        <v>305</v>
      </c>
      <c r="O1383" s="34">
        <f t="shared" si="22"/>
        <v>0.1573494250256213</v>
      </c>
    </row>
    <row r="1384" spans="13:15" x14ac:dyDescent="0.3">
      <c r="M1384" s="35">
        <v>20.72</v>
      </c>
      <c r="N1384">
        <v>305</v>
      </c>
      <c r="O1384" s="34">
        <f t="shared" si="22"/>
        <v>0.15746328133895388</v>
      </c>
    </row>
    <row r="1385" spans="13:15" x14ac:dyDescent="0.3">
      <c r="M1385" s="35">
        <v>20.73</v>
      </c>
      <c r="N1385">
        <v>305</v>
      </c>
      <c r="O1385" s="34">
        <f t="shared" si="22"/>
        <v>0.15757713765228645</v>
      </c>
    </row>
    <row r="1386" spans="13:15" x14ac:dyDescent="0.3">
      <c r="M1386" s="35">
        <v>20.73</v>
      </c>
      <c r="N1386">
        <v>305</v>
      </c>
      <c r="O1386" s="34">
        <f t="shared" si="22"/>
        <v>0.15769099396561903</v>
      </c>
    </row>
    <row r="1387" spans="13:15" x14ac:dyDescent="0.3">
      <c r="M1387" s="35">
        <v>20.73</v>
      </c>
      <c r="N1387">
        <v>305</v>
      </c>
      <c r="O1387" s="34">
        <f t="shared" si="22"/>
        <v>0.15780485027895161</v>
      </c>
    </row>
    <row r="1388" spans="13:15" x14ac:dyDescent="0.3">
      <c r="M1388" s="35">
        <v>20.74</v>
      </c>
      <c r="N1388">
        <v>305</v>
      </c>
      <c r="O1388" s="34">
        <f t="shared" si="22"/>
        <v>0.15791870659228419</v>
      </c>
    </row>
    <row r="1389" spans="13:15" x14ac:dyDescent="0.3">
      <c r="M1389" s="35">
        <v>20.74</v>
      </c>
      <c r="N1389">
        <v>305</v>
      </c>
      <c r="O1389" s="34">
        <f t="shared" si="22"/>
        <v>0.15803256290561676</v>
      </c>
    </row>
    <row r="1390" spans="13:15" x14ac:dyDescent="0.3">
      <c r="M1390" s="35">
        <v>20.75</v>
      </c>
      <c r="N1390">
        <v>305</v>
      </c>
      <c r="O1390" s="34">
        <f t="shared" si="22"/>
        <v>0.15814641921894934</v>
      </c>
    </row>
    <row r="1391" spans="13:15" x14ac:dyDescent="0.3">
      <c r="M1391" s="35">
        <v>20.75</v>
      </c>
      <c r="N1391">
        <v>305</v>
      </c>
      <c r="O1391" s="34">
        <f t="shared" si="22"/>
        <v>0.15826027553228192</v>
      </c>
    </row>
    <row r="1392" spans="13:15" x14ac:dyDescent="0.3">
      <c r="M1392" s="35">
        <v>20.75</v>
      </c>
      <c r="N1392">
        <v>305</v>
      </c>
      <c r="O1392" s="34">
        <f t="shared" si="22"/>
        <v>0.1583741318456145</v>
      </c>
    </row>
    <row r="1393" spans="13:15" x14ac:dyDescent="0.3">
      <c r="M1393" s="35">
        <v>20.76</v>
      </c>
      <c r="N1393">
        <v>305</v>
      </c>
      <c r="O1393" s="34">
        <f t="shared" si="22"/>
        <v>0.15848798815894707</v>
      </c>
    </row>
    <row r="1394" spans="13:15" x14ac:dyDescent="0.3">
      <c r="M1394" s="35">
        <v>20.77</v>
      </c>
      <c r="N1394">
        <v>305</v>
      </c>
      <c r="O1394" s="34">
        <f t="shared" si="22"/>
        <v>0.15860184447227965</v>
      </c>
    </row>
    <row r="1395" spans="13:15" x14ac:dyDescent="0.3">
      <c r="M1395" s="35">
        <v>20.77</v>
      </c>
      <c r="N1395">
        <v>305</v>
      </c>
      <c r="O1395" s="34">
        <f t="shared" si="22"/>
        <v>0.15871570078561223</v>
      </c>
    </row>
    <row r="1396" spans="13:15" x14ac:dyDescent="0.3">
      <c r="M1396" s="35">
        <v>20.77</v>
      </c>
      <c r="N1396">
        <v>305</v>
      </c>
      <c r="O1396" s="34">
        <f t="shared" si="22"/>
        <v>0.15882955709894481</v>
      </c>
    </row>
    <row r="1397" spans="13:15" x14ac:dyDescent="0.3">
      <c r="M1397" s="35">
        <v>20.78</v>
      </c>
      <c r="N1397">
        <v>305</v>
      </c>
      <c r="O1397" s="34">
        <f t="shared" si="22"/>
        <v>0.15894341341227738</v>
      </c>
    </row>
    <row r="1398" spans="13:15" x14ac:dyDescent="0.3">
      <c r="M1398" s="35">
        <v>20.78</v>
      </c>
      <c r="N1398">
        <v>305</v>
      </c>
      <c r="O1398" s="34">
        <f t="shared" si="22"/>
        <v>0.15905726972560996</v>
      </c>
    </row>
    <row r="1399" spans="13:15" x14ac:dyDescent="0.3">
      <c r="M1399" s="35">
        <v>20.78</v>
      </c>
      <c r="N1399">
        <v>305</v>
      </c>
      <c r="O1399" s="34">
        <f t="shared" si="22"/>
        <v>0.15917112603894254</v>
      </c>
    </row>
    <row r="1400" spans="13:15" x14ac:dyDescent="0.3">
      <c r="M1400" s="35">
        <v>20.78</v>
      </c>
      <c r="N1400">
        <v>305</v>
      </c>
      <c r="O1400" s="34">
        <f t="shared" si="22"/>
        <v>0.15928498235227512</v>
      </c>
    </row>
    <row r="1401" spans="13:15" x14ac:dyDescent="0.3">
      <c r="M1401" s="35">
        <v>20.79</v>
      </c>
      <c r="N1401">
        <v>305</v>
      </c>
      <c r="O1401" s="34">
        <f t="shared" si="22"/>
        <v>0.15939883866560769</v>
      </c>
    </row>
    <row r="1402" spans="13:15" x14ac:dyDescent="0.3">
      <c r="M1402" s="35">
        <v>20.79</v>
      </c>
      <c r="N1402">
        <v>305</v>
      </c>
      <c r="O1402" s="34">
        <f t="shared" si="22"/>
        <v>0.15951269497894027</v>
      </c>
    </row>
    <row r="1403" spans="13:15" x14ac:dyDescent="0.3">
      <c r="M1403" s="35">
        <v>20.79</v>
      </c>
      <c r="N1403">
        <v>305</v>
      </c>
      <c r="O1403" s="34">
        <f t="shared" si="22"/>
        <v>0.15962655129227285</v>
      </c>
    </row>
    <row r="1404" spans="13:15" x14ac:dyDescent="0.3">
      <c r="M1404" s="35">
        <v>20.79</v>
      </c>
      <c r="N1404">
        <v>305</v>
      </c>
      <c r="O1404" s="34">
        <f t="shared" si="22"/>
        <v>0.15974040760560543</v>
      </c>
    </row>
    <row r="1405" spans="13:15" x14ac:dyDescent="0.3">
      <c r="M1405" s="35">
        <v>20.79</v>
      </c>
      <c r="N1405">
        <v>305</v>
      </c>
      <c r="O1405" s="34">
        <f t="shared" si="22"/>
        <v>0.15985426391893801</v>
      </c>
    </row>
    <row r="1406" spans="13:15" x14ac:dyDescent="0.3">
      <c r="M1406" s="35">
        <v>20.8</v>
      </c>
      <c r="N1406">
        <v>305</v>
      </c>
      <c r="O1406" s="34">
        <f t="shared" si="22"/>
        <v>0.15996812023227058</v>
      </c>
    </row>
    <row r="1407" spans="13:15" x14ac:dyDescent="0.3">
      <c r="M1407" s="35">
        <v>20.8</v>
      </c>
      <c r="N1407">
        <v>305</v>
      </c>
      <c r="O1407" s="34">
        <f t="shared" si="22"/>
        <v>0.16008197654560316</v>
      </c>
    </row>
    <row r="1408" spans="13:15" x14ac:dyDescent="0.3">
      <c r="M1408" s="35">
        <v>20.81</v>
      </c>
      <c r="N1408">
        <v>305</v>
      </c>
      <c r="O1408" s="34">
        <f t="shared" si="22"/>
        <v>0.16019583285893574</v>
      </c>
    </row>
    <row r="1409" spans="13:15" x14ac:dyDescent="0.3">
      <c r="M1409" s="35">
        <v>20.81</v>
      </c>
      <c r="N1409">
        <v>305</v>
      </c>
      <c r="O1409" s="34">
        <f t="shared" si="22"/>
        <v>0.16030968917226832</v>
      </c>
    </row>
    <row r="1410" spans="13:15" x14ac:dyDescent="0.3">
      <c r="M1410" s="35">
        <v>20.81</v>
      </c>
      <c r="N1410">
        <v>305</v>
      </c>
      <c r="O1410" s="34">
        <f t="shared" si="22"/>
        <v>0.16042354548560089</v>
      </c>
    </row>
    <row r="1411" spans="13:15" x14ac:dyDescent="0.3">
      <c r="M1411" s="35">
        <v>20.81</v>
      </c>
      <c r="N1411">
        <v>305</v>
      </c>
      <c r="O1411" s="34">
        <f t="shared" si="22"/>
        <v>0.16053740179893347</v>
      </c>
    </row>
    <row r="1412" spans="13:15" x14ac:dyDescent="0.3">
      <c r="M1412" s="35">
        <v>20.82</v>
      </c>
      <c r="N1412">
        <v>305</v>
      </c>
      <c r="O1412" s="34">
        <f t="shared" ref="O1412:O1475" si="23">O1411+O$2</f>
        <v>0.16065125811226605</v>
      </c>
    </row>
    <row r="1413" spans="13:15" x14ac:dyDescent="0.3">
      <c r="M1413" s="35">
        <v>20.82</v>
      </c>
      <c r="N1413">
        <v>305</v>
      </c>
      <c r="O1413" s="34">
        <f t="shared" si="23"/>
        <v>0.16076511442559863</v>
      </c>
    </row>
    <row r="1414" spans="13:15" x14ac:dyDescent="0.3">
      <c r="M1414" s="35">
        <v>20.82</v>
      </c>
      <c r="N1414">
        <v>305</v>
      </c>
      <c r="O1414" s="34">
        <f t="shared" si="23"/>
        <v>0.1608789707389312</v>
      </c>
    </row>
    <row r="1415" spans="13:15" x14ac:dyDescent="0.3">
      <c r="M1415" s="35">
        <v>20.82</v>
      </c>
      <c r="N1415">
        <v>305</v>
      </c>
      <c r="O1415" s="34">
        <f t="shared" si="23"/>
        <v>0.16099282705226378</v>
      </c>
    </row>
    <row r="1416" spans="13:15" x14ac:dyDescent="0.3">
      <c r="M1416" s="35">
        <v>20.82</v>
      </c>
      <c r="N1416">
        <v>305</v>
      </c>
      <c r="O1416" s="34">
        <f t="shared" si="23"/>
        <v>0.16110668336559636</v>
      </c>
    </row>
    <row r="1417" spans="13:15" x14ac:dyDescent="0.3">
      <c r="M1417" s="35">
        <v>20.82</v>
      </c>
      <c r="N1417">
        <v>305</v>
      </c>
      <c r="O1417" s="34">
        <f t="shared" si="23"/>
        <v>0.16122053967892894</v>
      </c>
    </row>
    <row r="1418" spans="13:15" x14ac:dyDescent="0.3">
      <c r="M1418" s="35">
        <v>20.82</v>
      </c>
      <c r="N1418">
        <v>305</v>
      </c>
      <c r="O1418" s="34">
        <f t="shared" si="23"/>
        <v>0.16133439599226151</v>
      </c>
    </row>
    <row r="1419" spans="13:15" x14ac:dyDescent="0.3">
      <c r="M1419" s="35">
        <v>20.83</v>
      </c>
      <c r="N1419">
        <v>305</v>
      </c>
      <c r="O1419" s="34">
        <f t="shared" si="23"/>
        <v>0.16144825230559409</v>
      </c>
    </row>
    <row r="1420" spans="13:15" x14ac:dyDescent="0.3">
      <c r="M1420" s="35">
        <v>20.83</v>
      </c>
      <c r="N1420">
        <v>305</v>
      </c>
      <c r="O1420" s="34">
        <f t="shared" si="23"/>
        <v>0.16156210861892667</v>
      </c>
    </row>
    <row r="1421" spans="13:15" x14ac:dyDescent="0.3">
      <c r="M1421" s="35">
        <v>20.83</v>
      </c>
      <c r="N1421">
        <v>305</v>
      </c>
      <c r="O1421" s="34">
        <f t="shared" si="23"/>
        <v>0.16167596493225925</v>
      </c>
    </row>
    <row r="1422" spans="13:15" x14ac:dyDescent="0.3">
      <c r="M1422" s="35">
        <v>20.83</v>
      </c>
      <c r="N1422">
        <v>305</v>
      </c>
      <c r="O1422" s="34">
        <f t="shared" si="23"/>
        <v>0.16178982124559182</v>
      </c>
    </row>
    <row r="1423" spans="13:15" x14ac:dyDescent="0.3">
      <c r="M1423" s="35">
        <v>20.84</v>
      </c>
      <c r="N1423">
        <v>305</v>
      </c>
      <c r="O1423" s="34">
        <f t="shared" si="23"/>
        <v>0.1619036775589244</v>
      </c>
    </row>
    <row r="1424" spans="13:15" x14ac:dyDescent="0.3">
      <c r="M1424" s="35">
        <v>20.84</v>
      </c>
      <c r="N1424">
        <v>305</v>
      </c>
      <c r="O1424" s="34">
        <f t="shared" si="23"/>
        <v>0.16201753387225698</v>
      </c>
    </row>
    <row r="1425" spans="13:15" x14ac:dyDescent="0.3">
      <c r="M1425" s="35">
        <v>20.84</v>
      </c>
      <c r="N1425">
        <v>305</v>
      </c>
      <c r="O1425" s="34">
        <f t="shared" si="23"/>
        <v>0.16213139018558956</v>
      </c>
    </row>
    <row r="1426" spans="13:15" x14ac:dyDescent="0.3">
      <c r="M1426" s="35">
        <v>20.84</v>
      </c>
      <c r="N1426">
        <v>305</v>
      </c>
      <c r="O1426" s="34">
        <f t="shared" si="23"/>
        <v>0.16224524649892214</v>
      </c>
    </row>
    <row r="1427" spans="13:15" x14ac:dyDescent="0.3">
      <c r="M1427" s="35">
        <v>20.84</v>
      </c>
      <c r="N1427">
        <v>305</v>
      </c>
      <c r="O1427" s="34">
        <f t="shared" si="23"/>
        <v>0.16235910281225471</v>
      </c>
    </row>
    <row r="1428" spans="13:15" x14ac:dyDescent="0.3">
      <c r="M1428" s="35">
        <v>20.85</v>
      </c>
      <c r="N1428">
        <v>305</v>
      </c>
      <c r="O1428" s="34">
        <f t="shared" si="23"/>
        <v>0.16247295912558729</v>
      </c>
    </row>
    <row r="1429" spans="13:15" x14ac:dyDescent="0.3">
      <c r="M1429" s="35">
        <v>20.85</v>
      </c>
      <c r="N1429">
        <v>305</v>
      </c>
      <c r="O1429" s="34">
        <f t="shared" si="23"/>
        <v>0.16258681543891987</v>
      </c>
    </row>
    <row r="1430" spans="13:15" x14ac:dyDescent="0.3">
      <c r="M1430" s="35">
        <v>20.85</v>
      </c>
      <c r="N1430">
        <v>305</v>
      </c>
      <c r="O1430" s="34">
        <f t="shared" si="23"/>
        <v>0.16270067175225245</v>
      </c>
    </row>
    <row r="1431" spans="13:15" x14ac:dyDescent="0.3">
      <c r="M1431" s="35">
        <v>20.85</v>
      </c>
      <c r="N1431">
        <v>305</v>
      </c>
      <c r="O1431" s="34">
        <f t="shared" si="23"/>
        <v>0.16281452806558502</v>
      </c>
    </row>
    <row r="1432" spans="13:15" x14ac:dyDescent="0.3">
      <c r="M1432" s="35">
        <v>20.86</v>
      </c>
      <c r="N1432">
        <v>305</v>
      </c>
      <c r="O1432" s="34">
        <f t="shared" si="23"/>
        <v>0.1629283843789176</v>
      </c>
    </row>
    <row r="1433" spans="13:15" x14ac:dyDescent="0.3">
      <c r="M1433" s="35">
        <v>20.86</v>
      </c>
      <c r="N1433">
        <v>305</v>
      </c>
      <c r="O1433" s="34">
        <f t="shared" si="23"/>
        <v>0.16304224069225018</v>
      </c>
    </row>
    <row r="1434" spans="13:15" x14ac:dyDescent="0.3">
      <c r="M1434" s="35">
        <v>20.86</v>
      </c>
      <c r="N1434">
        <v>305</v>
      </c>
      <c r="O1434" s="34">
        <f t="shared" si="23"/>
        <v>0.16315609700558276</v>
      </c>
    </row>
    <row r="1435" spans="13:15" x14ac:dyDescent="0.3">
      <c r="M1435" s="35">
        <v>20.87</v>
      </c>
      <c r="N1435">
        <v>305</v>
      </c>
      <c r="O1435" s="34">
        <f t="shared" si="23"/>
        <v>0.16326995331891533</v>
      </c>
    </row>
    <row r="1436" spans="13:15" x14ac:dyDescent="0.3">
      <c r="M1436" s="35">
        <v>20.87</v>
      </c>
      <c r="N1436">
        <v>305</v>
      </c>
      <c r="O1436" s="34">
        <f t="shared" si="23"/>
        <v>0.16338380963224791</v>
      </c>
    </row>
    <row r="1437" spans="13:15" x14ac:dyDescent="0.3">
      <c r="M1437" s="35">
        <v>20.88</v>
      </c>
      <c r="N1437">
        <v>305</v>
      </c>
      <c r="O1437" s="34">
        <f t="shared" si="23"/>
        <v>0.16349766594558049</v>
      </c>
    </row>
    <row r="1438" spans="13:15" x14ac:dyDescent="0.3">
      <c r="M1438" s="35">
        <v>20.88</v>
      </c>
      <c r="N1438">
        <v>305</v>
      </c>
      <c r="O1438" s="34">
        <f t="shared" si="23"/>
        <v>0.16361152225891307</v>
      </c>
    </row>
    <row r="1439" spans="13:15" x14ac:dyDescent="0.3">
      <c r="M1439" s="35">
        <v>20.88</v>
      </c>
      <c r="N1439">
        <v>305</v>
      </c>
      <c r="O1439" s="34">
        <f t="shared" si="23"/>
        <v>0.16372537857224564</v>
      </c>
    </row>
    <row r="1440" spans="13:15" x14ac:dyDescent="0.3">
      <c r="M1440" s="35">
        <v>20.88</v>
      </c>
      <c r="N1440">
        <v>305</v>
      </c>
      <c r="O1440" s="34">
        <f t="shared" si="23"/>
        <v>0.16383923488557822</v>
      </c>
    </row>
    <row r="1441" spans="13:15" x14ac:dyDescent="0.3">
      <c r="M1441" s="35">
        <v>20.88</v>
      </c>
      <c r="N1441">
        <v>305</v>
      </c>
      <c r="O1441" s="34">
        <f t="shared" si="23"/>
        <v>0.1639530911989108</v>
      </c>
    </row>
    <row r="1442" spans="13:15" x14ac:dyDescent="0.3">
      <c r="M1442" s="35">
        <v>20.89</v>
      </c>
      <c r="N1442">
        <v>305</v>
      </c>
      <c r="O1442" s="34">
        <f t="shared" si="23"/>
        <v>0.16406694751224338</v>
      </c>
    </row>
    <row r="1443" spans="13:15" x14ac:dyDescent="0.3">
      <c r="M1443" s="35">
        <v>20.9</v>
      </c>
      <c r="N1443">
        <v>305</v>
      </c>
      <c r="O1443" s="34">
        <f t="shared" si="23"/>
        <v>0.16418080382557595</v>
      </c>
    </row>
    <row r="1444" spans="13:15" x14ac:dyDescent="0.3">
      <c r="M1444" s="35">
        <v>20.91</v>
      </c>
      <c r="N1444">
        <v>305</v>
      </c>
      <c r="O1444" s="34">
        <f t="shared" si="23"/>
        <v>0.16429466013890853</v>
      </c>
    </row>
    <row r="1445" spans="13:15" x14ac:dyDescent="0.3">
      <c r="M1445" s="35">
        <v>20.91</v>
      </c>
      <c r="N1445">
        <v>305</v>
      </c>
      <c r="O1445" s="34">
        <f t="shared" si="23"/>
        <v>0.16440851645224111</v>
      </c>
    </row>
    <row r="1446" spans="13:15" x14ac:dyDescent="0.3">
      <c r="M1446" s="35">
        <v>20.91</v>
      </c>
      <c r="N1446">
        <v>305</v>
      </c>
      <c r="O1446" s="34">
        <f t="shared" si="23"/>
        <v>0.16452237276557369</v>
      </c>
    </row>
    <row r="1447" spans="13:15" x14ac:dyDescent="0.3">
      <c r="M1447" s="35">
        <v>20.92</v>
      </c>
      <c r="N1447">
        <v>305</v>
      </c>
      <c r="O1447" s="34">
        <f t="shared" si="23"/>
        <v>0.16463622907890627</v>
      </c>
    </row>
    <row r="1448" spans="13:15" x14ac:dyDescent="0.3">
      <c r="M1448" s="35">
        <v>20.92</v>
      </c>
      <c r="N1448">
        <v>305</v>
      </c>
      <c r="O1448" s="34">
        <f t="shared" si="23"/>
        <v>0.16475008539223884</v>
      </c>
    </row>
    <row r="1449" spans="13:15" x14ac:dyDescent="0.3">
      <c r="M1449" s="35">
        <v>20.92</v>
      </c>
      <c r="N1449">
        <v>305</v>
      </c>
      <c r="O1449" s="34">
        <f t="shared" si="23"/>
        <v>0.16486394170557142</v>
      </c>
    </row>
    <row r="1450" spans="13:15" x14ac:dyDescent="0.3">
      <c r="M1450" s="35">
        <v>20.93</v>
      </c>
      <c r="N1450">
        <v>305</v>
      </c>
      <c r="O1450" s="34">
        <f t="shared" si="23"/>
        <v>0.164977798018904</v>
      </c>
    </row>
    <row r="1451" spans="13:15" x14ac:dyDescent="0.3">
      <c r="M1451" s="35">
        <v>20.93</v>
      </c>
      <c r="N1451">
        <v>305</v>
      </c>
      <c r="O1451" s="34">
        <f t="shared" si="23"/>
        <v>0.16509165433223658</v>
      </c>
    </row>
    <row r="1452" spans="13:15" x14ac:dyDescent="0.3">
      <c r="M1452" s="35">
        <v>20.94</v>
      </c>
      <c r="N1452">
        <v>305</v>
      </c>
      <c r="O1452" s="34">
        <f t="shared" si="23"/>
        <v>0.16520551064556915</v>
      </c>
    </row>
    <row r="1453" spans="13:15" x14ac:dyDescent="0.3">
      <c r="M1453" s="35">
        <v>20.94</v>
      </c>
      <c r="N1453">
        <v>305</v>
      </c>
      <c r="O1453" s="34">
        <f t="shared" si="23"/>
        <v>0.16531936695890173</v>
      </c>
    </row>
    <row r="1454" spans="13:15" x14ac:dyDescent="0.3">
      <c r="M1454" s="35">
        <v>20.94</v>
      </c>
      <c r="N1454">
        <v>305</v>
      </c>
      <c r="O1454" s="34">
        <f t="shared" si="23"/>
        <v>0.16543322327223431</v>
      </c>
    </row>
    <row r="1455" spans="13:15" x14ac:dyDescent="0.3">
      <c r="M1455" s="35">
        <v>20.95</v>
      </c>
      <c r="N1455">
        <v>305</v>
      </c>
      <c r="O1455" s="34">
        <f t="shared" si="23"/>
        <v>0.16554707958556689</v>
      </c>
    </row>
    <row r="1456" spans="13:15" x14ac:dyDescent="0.3">
      <c r="M1456" s="35">
        <v>20.96</v>
      </c>
      <c r="N1456">
        <v>305</v>
      </c>
      <c r="O1456" s="34">
        <f t="shared" si="23"/>
        <v>0.16566093589889946</v>
      </c>
    </row>
    <row r="1457" spans="13:15" x14ac:dyDescent="0.3">
      <c r="M1457" s="35">
        <v>20.96</v>
      </c>
      <c r="N1457">
        <v>305</v>
      </c>
      <c r="O1457" s="34">
        <f t="shared" si="23"/>
        <v>0.16577479221223204</v>
      </c>
    </row>
    <row r="1458" spans="13:15" x14ac:dyDescent="0.3">
      <c r="M1458" s="35">
        <v>20.96</v>
      </c>
      <c r="N1458">
        <v>305</v>
      </c>
      <c r="O1458" s="34">
        <f t="shared" si="23"/>
        <v>0.16588864852556462</v>
      </c>
    </row>
    <row r="1459" spans="13:15" x14ac:dyDescent="0.3">
      <c r="M1459" s="35">
        <v>20.96</v>
      </c>
      <c r="N1459">
        <v>305</v>
      </c>
      <c r="O1459" s="34">
        <f t="shared" si="23"/>
        <v>0.1660025048388972</v>
      </c>
    </row>
    <row r="1460" spans="13:15" x14ac:dyDescent="0.3">
      <c r="M1460" s="35">
        <v>20.97</v>
      </c>
      <c r="N1460">
        <v>305</v>
      </c>
      <c r="O1460" s="34">
        <f t="shared" si="23"/>
        <v>0.16611636115222977</v>
      </c>
    </row>
    <row r="1461" spans="13:15" x14ac:dyDescent="0.3">
      <c r="M1461" s="35">
        <v>20.97</v>
      </c>
      <c r="N1461">
        <v>305</v>
      </c>
      <c r="O1461" s="34">
        <f t="shared" si="23"/>
        <v>0.16623021746556235</v>
      </c>
    </row>
    <row r="1462" spans="13:15" x14ac:dyDescent="0.3">
      <c r="M1462" s="35">
        <v>20.97</v>
      </c>
      <c r="N1462">
        <v>305</v>
      </c>
      <c r="O1462" s="34">
        <f t="shared" si="23"/>
        <v>0.16634407377889493</v>
      </c>
    </row>
    <row r="1463" spans="13:15" x14ac:dyDescent="0.3">
      <c r="M1463" s="35">
        <v>20.98</v>
      </c>
      <c r="N1463">
        <v>305</v>
      </c>
      <c r="O1463" s="34">
        <f t="shared" si="23"/>
        <v>0.16645793009222751</v>
      </c>
    </row>
    <row r="1464" spans="13:15" x14ac:dyDescent="0.3">
      <c r="M1464" s="35">
        <v>20.99</v>
      </c>
      <c r="N1464">
        <v>305</v>
      </c>
      <c r="O1464" s="34">
        <f t="shared" si="23"/>
        <v>0.16657178640556008</v>
      </c>
    </row>
    <row r="1465" spans="13:15" x14ac:dyDescent="0.3">
      <c r="M1465" s="35">
        <v>20.99</v>
      </c>
      <c r="N1465">
        <v>305</v>
      </c>
      <c r="O1465" s="34">
        <f t="shared" si="23"/>
        <v>0.16668564271889266</v>
      </c>
    </row>
    <row r="1466" spans="13:15" x14ac:dyDescent="0.3">
      <c r="M1466" s="35">
        <v>20.99</v>
      </c>
      <c r="N1466">
        <v>305</v>
      </c>
      <c r="O1466" s="34">
        <f t="shared" si="23"/>
        <v>0.16679949903222524</v>
      </c>
    </row>
    <row r="1467" spans="13:15" x14ac:dyDescent="0.3">
      <c r="M1467" s="35">
        <v>20.99</v>
      </c>
      <c r="N1467">
        <v>305</v>
      </c>
      <c r="O1467" s="34">
        <f t="shared" si="23"/>
        <v>0.16691335534555782</v>
      </c>
    </row>
    <row r="1468" spans="13:15" x14ac:dyDescent="0.3">
      <c r="M1468" s="35">
        <v>20.99</v>
      </c>
      <c r="N1468">
        <v>305</v>
      </c>
      <c r="O1468" s="34">
        <f t="shared" si="23"/>
        <v>0.1670272116588904</v>
      </c>
    </row>
    <row r="1469" spans="13:15" x14ac:dyDescent="0.3">
      <c r="M1469" s="35">
        <v>20.99</v>
      </c>
      <c r="N1469">
        <v>305</v>
      </c>
      <c r="O1469" s="34">
        <f t="shared" si="23"/>
        <v>0.16714106797222297</v>
      </c>
    </row>
    <row r="1470" spans="13:15" x14ac:dyDescent="0.3">
      <c r="M1470" s="35">
        <v>20.99</v>
      </c>
      <c r="N1470">
        <v>305</v>
      </c>
      <c r="O1470" s="34">
        <f t="shared" si="23"/>
        <v>0.16725492428555555</v>
      </c>
    </row>
    <row r="1471" spans="13:15" x14ac:dyDescent="0.3">
      <c r="M1471" s="35">
        <v>20.99</v>
      </c>
      <c r="N1471">
        <v>305</v>
      </c>
      <c r="O1471" s="34">
        <f t="shared" si="23"/>
        <v>0.16736878059888813</v>
      </c>
    </row>
    <row r="1472" spans="13:15" x14ac:dyDescent="0.3">
      <c r="M1472" s="35">
        <v>21.01</v>
      </c>
      <c r="N1472">
        <v>305</v>
      </c>
      <c r="O1472" s="34">
        <f t="shared" si="23"/>
        <v>0.16748263691222071</v>
      </c>
    </row>
    <row r="1473" spans="13:15" x14ac:dyDescent="0.3">
      <c r="M1473" s="35">
        <v>21.01</v>
      </c>
      <c r="N1473">
        <v>305</v>
      </c>
      <c r="O1473" s="34">
        <f t="shared" si="23"/>
        <v>0.16759649322555328</v>
      </c>
    </row>
    <row r="1474" spans="13:15" x14ac:dyDescent="0.3">
      <c r="M1474" s="35">
        <v>21.01</v>
      </c>
      <c r="N1474">
        <v>305</v>
      </c>
      <c r="O1474" s="34">
        <f t="shared" si="23"/>
        <v>0.16771034953888586</v>
      </c>
    </row>
    <row r="1475" spans="13:15" x14ac:dyDescent="0.3">
      <c r="M1475" s="35">
        <v>21.01</v>
      </c>
      <c r="N1475">
        <v>305</v>
      </c>
      <c r="O1475" s="34">
        <f t="shared" si="23"/>
        <v>0.16782420585221844</v>
      </c>
    </row>
    <row r="1476" spans="13:15" x14ac:dyDescent="0.3">
      <c r="M1476" s="35">
        <v>21.01</v>
      </c>
      <c r="N1476">
        <v>305</v>
      </c>
      <c r="O1476" s="34">
        <f t="shared" ref="O1476:O1539" si="24">O1475+O$2</f>
        <v>0.16793806216555102</v>
      </c>
    </row>
    <row r="1477" spans="13:15" x14ac:dyDescent="0.3">
      <c r="M1477" s="35">
        <v>21.01</v>
      </c>
      <c r="N1477">
        <v>305</v>
      </c>
      <c r="O1477" s="34">
        <f t="shared" si="24"/>
        <v>0.16805191847888359</v>
      </c>
    </row>
    <row r="1478" spans="13:15" x14ac:dyDescent="0.3">
      <c r="M1478" s="35">
        <v>21.01</v>
      </c>
      <c r="N1478">
        <v>305</v>
      </c>
      <c r="O1478" s="34">
        <f t="shared" si="24"/>
        <v>0.16816577479221617</v>
      </c>
    </row>
    <row r="1479" spans="13:15" x14ac:dyDescent="0.3">
      <c r="M1479" s="35">
        <v>21.02</v>
      </c>
      <c r="N1479">
        <v>305</v>
      </c>
      <c r="O1479" s="34">
        <f t="shared" si="24"/>
        <v>0.16827963110554875</v>
      </c>
    </row>
    <row r="1480" spans="13:15" x14ac:dyDescent="0.3">
      <c r="M1480" s="35">
        <v>21.02</v>
      </c>
      <c r="N1480">
        <v>305</v>
      </c>
      <c r="O1480" s="34">
        <f t="shared" si="24"/>
        <v>0.16839348741888133</v>
      </c>
    </row>
    <row r="1481" spans="13:15" x14ac:dyDescent="0.3">
      <c r="M1481" s="35">
        <v>21.02</v>
      </c>
      <c r="N1481">
        <v>305</v>
      </c>
      <c r="O1481" s="34">
        <f t="shared" si="24"/>
        <v>0.1685073437322139</v>
      </c>
    </row>
    <row r="1482" spans="13:15" x14ac:dyDescent="0.3">
      <c r="M1482" s="35">
        <v>21.02</v>
      </c>
      <c r="N1482">
        <v>305</v>
      </c>
      <c r="O1482" s="34">
        <f t="shared" si="24"/>
        <v>0.16862120004554648</v>
      </c>
    </row>
    <row r="1483" spans="13:15" x14ac:dyDescent="0.3">
      <c r="M1483" s="35">
        <v>21.02</v>
      </c>
      <c r="N1483">
        <v>305</v>
      </c>
      <c r="O1483" s="34">
        <f t="shared" si="24"/>
        <v>0.16873505635887906</v>
      </c>
    </row>
    <row r="1484" spans="13:15" x14ac:dyDescent="0.3">
      <c r="M1484" s="35">
        <v>21.02</v>
      </c>
      <c r="N1484">
        <v>305</v>
      </c>
      <c r="O1484" s="34">
        <f t="shared" si="24"/>
        <v>0.16884891267221164</v>
      </c>
    </row>
    <row r="1485" spans="13:15" x14ac:dyDescent="0.3">
      <c r="M1485" s="35">
        <v>21.02</v>
      </c>
      <c r="N1485">
        <v>305</v>
      </c>
      <c r="O1485" s="34">
        <f t="shared" si="24"/>
        <v>0.16896276898554421</v>
      </c>
    </row>
    <row r="1486" spans="13:15" x14ac:dyDescent="0.3">
      <c r="M1486" s="35">
        <v>21.03</v>
      </c>
      <c r="N1486">
        <v>305</v>
      </c>
      <c r="O1486" s="34">
        <f t="shared" si="24"/>
        <v>0.16907662529887679</v>
      </c>
    </row>
    <row r="1487" spans="13:15" x14ac:dyDescent="0.3">
      <c r="M1487" s="35">
        <v>21.03</v>
      </c>
      <c r="N1487">
        <v>305</v>
      </c>
      <c r="O1487" s="34">
        <f t="shared" si="24"/>
        <v>0.16919048161220937</v>
      </c>
    </row>
    <row r="1488" spans="13:15" x14ac:dyDescent="0.3">
      <c r="M1488" s="35">
        <v>21.03</v>
      </c>
      <c r="N1488">
        <v>305</v>
      </c>
      <c r="O1488" s="34">
        <f t="shared" si="24"/>
        <v>0.16930433792554195</v>
      </c>
    </row>
    <row r="1489" spans="13:15" x14ac:dyDescent="0.3">
      <c r="M1489" s="35">
        <v>21.04</v>
      </c>
      <c r="N1489">
        <v>305</v>
      </c>
      <c r="O1489" s="34">
        <f t="shared" si="24"/>
        <v>0.16941819423887453</v>
      </c>
    </row>
    <row r="1490" spans="13:15" x14ac:dyDescent="0.3">
      <c r="M1490" s="35">
        <v>21.04</v>
      </c>
      <c r="N1490">
        <v>305</v>
      </c>
      <c r="O1490" s="34">
        <f t="shared" si="24"/>
        <v>0.1695320505522071</v>
      </c>
    </row>
    <row r="1491" spans="13:15" x14ac:dyDescent="0.3">
      <c r="M1491" s="35">
        <v>21.04</v>
      </c>
      <c r="N1491">
        <v>305</v>
      </c>
      <c r="O1491" s="34">
        <f t="shared" si="24"/>
        <v>0.16964590686553968</v>
      </c>
    </row>
    <row r="1492" spans="13:15" x14ac:dyDescent="0.3">
      <c r="M1492" s="35">
        <v>21.04</v>
      </c>
      <c r="N1492">
        <v>305</v>
      </c>
      <c r="O1492" s="34">
        <f t="shared" si="24"/>
        <v>0.16975976317887226</v>
      </c>
    </row>
    <row r="1493" spans="13:15" x14ac:dyDescent="0.3">
      <c r="M1493" s="35">
        <v>21.04</v>
      </c>
      <c r="N1493">
        <v>305</v>
      </c>
      <c r="O1493" s="34">
        <f t="shared" si="24"/>
        <v>0.16987361949220484</v>
      </c>
    </row>
    <row r="1494" spans="13:15" x14ac:dyDescent="0.3">
      <c r="M1494" s="35">
        <v>21.04</v>
      </c>
      <c r="N1494">
        <v>305</v>
      </c>
      <c r="O1494" s="34">
        <f t="shared" si="24"/>
        <v>0.16998747580553741</v>
      </c>
    </row>
    <row r="1495" spans="13:15" x14ac:dyDescent="0.3">
      <c r="M1495" s="35">
        <v>21.04</v>
      </c>
      <c r="N1495">
        <v>305</v>
      </c>
      <c r="O1495" s="34">
        <f t="shared" si="24"/>
        <v>0.17010133211886999</v>
      </c>
    </row>
    <row r="1496" spans="13:15" x14ac:dyDescent="0.3">
      <c r="M1496" s="35">
        <v>21.05</v>
      </c>
      <c r="N1496">
        <v>305</v>
      </c>
      <c r="O1496" s="34">
        <f t="shared" si="24"/>
        <v>0.17021518843220257</v>
      </c>
    </row>
    <row r="1497" spans="13:15" x14ac:dyDescent="0.3">
      <c r="M1497" s="35">
        <v>21.06</v>
      </c>
      <c r="N1497">
        <v>305</v>
      </c>
      <c r="O1497" s="34">
        <f t="shared" si="24"/>
        <v>0.17032904474553515</v>
      </c>
    </row>
    <row r="1498" spans="13:15" x14ac:dyDescent="0.3">
      <c r="M1498" s="35">
        <v>21.06</v>
      </c>
      <c r="N1498">
        <v>305</v>
      </c>
      <c r="O1498" s="34">
        <f t="shared" si="24"/>
        <v>0.17044290105886772</v>
      </c>
    </row>
    <row r="1499" spans="13:15" x14ac:dyDescent="0.3">
      <c r="M1499" s="35">
        <v>21.06</v>
      </c>
      <c r="N1499">
        <v>305</v>
      </c>
      <c r="O1499" s="34">
        <f t="shared" si="24"/>
        <v>0.1705567573722003</v>
      </c>
    </row>
    <row r="1500" spans="13:15" x14ac:dyDescent="0.3">
      <c r="M1500" s="35">
        <v>21.06</v>
      </c>
      <c r="N1500">
        <v>305</v>
      </c>
      <c r="O1500" s="34">
        <f t="shared" si="24"/>
        <v>0.17067061368553288</v>
      </c>
    </row>
    <row r="1501" spans="13:15" x14ac:dyDescent="0.3">
      <c r="M1501" s="35">
        <v>21.06</v>
      </c>
      <c r="N1501">
        <v>305</v>
      </c>
      <c r="O1501" s="34">
        <f t="shared" si="24"/>
        <v>0.17078446999886546</v>
      </c>
    </row>
    <row r="1502" spans="13:15" x14ac:dyDescent="0.3">
      <c r="M1502" s="35">
        <v>21.06</v>
      </c>
      <c r="N1502">
        <v>305</v>
      </c>
      <c r="O1502" s="34">
        <f t="shared" si="24"/>
        <v>0.17089832631219803</v>
      </c>
    </row>
    <row r="1503" spans="13:15" x14ac:dyDescent="0.3">
      <c r="M1503" s="35">
        <v>21.07</v>
      </c>
      <c r="N1503">
        <v>305</v>
      </c>
      <c r="O1503" s="34">
        <f t="shared" si="24"/>
        <v>0.17101218262553061</v>
      </c>
    </row>
    <row r="1504" spans="13:15" x14ac:dyDescent="0.3">
      <c r="M1504" s="35">
        <v>21.07</v>
      </c>
      <c r="N1504">
        <v>305</v>
      </c>
      <c r="O1504" s="34">
        <f t="shared" si="24"/>
        <v>0.17112603893886319</v>
      </c>
    </row>
    <row r="1505" spans="13:15" x14ac:dyDescent="0.3">
      <c r="M1505" s="35">
        <v>21.07</v>
      </c>
      <c r="N1505">
        <v>305</v>
      </c>
      <c r="O1505" s="34">
        <f t="shared" si="24"/>
        <v>0.17123989525219577</v>
      </c>
    </row>
    <row r="1506" spans="13:15" x14ac:dyDescent="0.3">
      <c r="M1506" s="35">
        <v>21.07</v>
      </c>
      <c r="N1506">
        <v>305</v>
      </c>
      <c r="O1506" s="34">
        <f t="shared" si="24"/>
        <v>0.17135375156552834</v>
      </c>
    </row>
    <row r="1507" spans="13:15" x14ac:dyDescent="0.3">
      <c r="M1507" s="35">
        <v>21.07</v>
      </c>
      <c r="N1507">
        <v>305</v>
      </c>
      <c r="O1507" s="34">
        <f t="shared" si="24"/>
        <v>0.17146760787886092</v>
      </c>
    </row>
    <row r="1508" spans="13:15" x14ac:dyDescent="0.3">
      <c r="M1508" s="35">
        <v>21.07</v>
      </c>
      <c r="N1508">
        <v>305</v>
      </c>
      <c r="O1508" s="34">
        <f t="shared" si="24"/>
        <v>0.1715814641921935</v>
      </c>
    </row>
    <row r="1509" spans="13:15" x14ac:dyDescent="0.3">
      <c r="M1509" s="35">
        <v>21.07</v>
      </c>
      <c r="N1509">
        <v>305</v>
      </c>
      <c r="O1509" s="34">
        <f t="shared" si="24"/>
        <v>0.17169532050552608</v>
      </c>
    </row>
    <row r="1510" spans="13:15" x14ac:dyDescent="0.3">
      <c r="M1510" s="35">
        <v>21.07</v>
      </c>
      <c r="N1510">
        <v>305</v>
      </c>
      <c r="O1510" s="34">
        <f t="shared" si="24"/>
        <v>0.17180917681885866</v>
      </c>
    </row>
    <row r="1511" spans="13:15" x14ac:dyDescent="0.3">
      <c r="M1511" s="35">
        <v>21.07</v>
      </c>
      <c r="N1511">
        <v>305</v>
      </c>
      <c r="O1511" s="34">
        <f t="shared" si="24"/>
        <v>0.17192303313219123</v>
      </c>
    </row>
    <row r="1512" spans="13:15" x14ac:dyDescent="0.3">
      <c r="M1512" s="35">
        <v>21.07</v>
      </c>
      <c r="N1512">
        <v>305</v>
      </c>
      <c r="O1512" s="34">
        <f t="shared" si="24"/>
        <v>0.17203688944552381</v>
      </c>
    </row>
    <row r="1513" spans="13:15" x14ac:dyDescent="0.3">
      <c r="M1513" s="35">
        <v>21.07</v>
      </c>
      <c r="N1513">
        <v>305</v>
      </c>
      <c r="O1513" s="34">
        <f t="shared" si="24"/>
        <v>0.17215074575885639</v>
      </c>
    </row>
    <row r="1514" spans="13:15" x14ac:dyDescent="0.3">
      <c r="M1514" s="35">
        <v>21.07</v>
      </c>
      <c r="N1514">
        <v>305</v>
      </c>
      <c r="O1514" s="34">
        <f t="shared" si="24"/>
        <v>0.17226460207218897</v>
      </c>
    </row>
    <row r="1515" spans="13:15" x14ac:dyDescent="0.3">
      <c r="M1515" s="35">
        <v>21.08</v>
      </c>
      <c r="N1515">
        <v>305</v>
      </c>
      <c r="O1515" s="34">
        <f t="shared" si="24"/>
        <v>0.17237845838552154</v>
      </c>
    </row>
    <row r="1516" spans="13:15" x14ac:dyDescent="0.3">
      <c r="M1516" s="35">
        <v>21.08</v>
      </c>
      <c r="N1516">
        <v>305</v>
      </c>
      <c r="O1516" s="34">
        <f t="shared" si="24"/>
        <v>0.17249231469885412</v>
      </c>
    </row>
    <row r="1517" spans="13:15" x14ac:dyDescent="0.3">
      <c r="M1517" s="35">
        <v>21.08</v>
      </c>
      <c r="N1517">
        <v>305</v>
      </c>
      <c r="O1517" s="34">
        <f t="shared" si="24"/>
        <v>0.1726061710121867</v>
      </c>
    </row>
    <row r="1518" spans="13:15" x14ac:dyDescent="0.3">
      <c r="M1518" s="35">
        <v>21.09</v>
      </c>
      <c r="N1518">
        <v>305</v>
      </c>
      <c r="O1518" s="34">
        <f t="shared" si="24"/>
        <v>0.17272002732551928</v>
      </c>
    </row>
    <row r="1519" spans="13:15" x14ac:dyDescent="0.3">
      <c r="M1519" s="35">
        <v>21.09</v>
      </c>
      <c r="N1519">
        <v>305</v>
      </c>
      <c r="O1519" s="34">
        <f t="shared" si="24"/>
        <v>0.17283388363885185</v>
      </c>
    </row>
    <row r="1520" spans="13:15" x14ac:dyDescent="0.3">
      <c r="M1520" s="35">
        <v>21.1</v>
      </c>
      <c r="N1520">
        <v>305</v>
      </c>
      <c r="O1520" s="34">
        <f t="shared" si="24"/>
        <v>0.17294773995218443</v>
      </c>
    </row>
    <row r="1521" spans="13:15" x14ac:dyDescent="0.3">
      <c r="M1521" s="35">
        <v>21.1</v>
      </c>
      <c r="N1521">
        <v>305</v>
      </c>
      <c r="O1521" s="34">
        <f t="shared" si="24"/>
        <v>0.17306159626551701</v>
      </c>
    </row>
    <row r="1522" spans="13:15" x14ac:dyDescent="0.3">
      <c r="M1522" s="35">
        <v>21.11</v>
      </c>
      <c r="N1522">
        <v>305</v>
      </c>
      <c r="O1522" s="34">
        <f t="shared" si="24"/>
        <v>0.17317545257884959</v>
      </c>
    </row>
    <row r="1523" spans="13:15" x14ac:dyDescent="0.3">
      <c r="M1523" s="35">
        <v>21.11</v>
      </c>
      <c r="N1523">
        <v>305</v>
      </c>
      <c r="O1523" s="34">
        <f t="shared" si="24"/>
        <v>0.17328930889218216</v>
      </c>
    </row>
    <row r="1524" spans="13:15" x14ac:dyDescent="0.3">
      <c r="M1524" s="35">
        <v>21.11</v>
      </c>
      <c r="N1524">
        <v>305</v>
      </c>
      <c r="O1524" s="34">
        <f t="shared" si="24"/>
        <v>0.17340316520551474</v>
      </c>
    </row>
    <row r="1525" spans="13:15" x14ac:dyDescent="0.3">
      <c r="M1525" s="35">
        <v>21.11</v>
      </c>
      <c r="N1525">
        <v>305</v>
      </c>
      <c r="O1525" s="34">
        <f t="shared" si="24"/>
        <v>0.17351702151884732</v>
      </c>
    </row>
    <row r="1526" spans="13:15" x14ac:dyDescent="0.3">
      <c r="M1526" s="35">
        <v>21.12</v>
      </c>
      <c r="N1526">
        <v>305</v>
      </c>
      <c r="O1526" s="34">
        <f t="shared" si="24"/>
        <v>0.1736308778321799</v>
      </c>
    </row>
    <row r="1527" spans="13:15" x14ac:dyDescent="0.3">
      <c r="M1527" s="35">
        <v>21.12</v>
      </c>
      <c r="N1527">
        <v>305</v>
      </c>
      <c r="O1527" s="34">
        <f t="shared" si="24"/>
        <v>0.17374473414551247</v>
      </c>
    </row>
    <row r="1528" spans="13:15" x14ac:dyDescent="0.3">
      <c r="M1528" s="35">
        <v>21.13</v>
      </c>
      <c r="N1528">
        <v>305</v>
      </c>
      <c r="O1528" s="34">
        <f t="shared" si="24"/>
        <v>0.17385859045884505</v>
      </c>
    </row>
    <row r="1529" spans="13:15" x14ac:dyDescent="0.3">
      <c r="M1529" s="35">
        <v>21.13</v>
      </c>
      <c r="N1529">
        <v>305</v>
      </c>
      <c r="O1529" s="34">
        <f t="shared" si="24"/>
        <v>0.17397244677217763</v>
      </c>
    </row>
    <row r="1530" spans="13:15" x14ac:dyDescent="0.3">
      <c r="M1530" s="35">
        <v>21.14</v>
      </c>
      <c r="N1530">
        <v>305</v>
      </c>
      <c r="O1530" s="34">
        <f t="shared" si="24"/>
        <v>0.17408630308551021</v>
      </c>
    </row>
    <row r="1531" spans="13:15" x14ac:dyDescent="0.3">
      <c r="M1531" s="35">
        <v>21.14</v>
      </c>
      <c r="N1531">
        <v>305</v>
      </c>
      <c r="O1531" s="34">
        <f t="shared" si="24"/>
        <v>0.17420015939884279</v>
      </c>
    </row>
    <row r="1532" spans="13:15" x14ac:dyDescent="0.3">
      <c r="M1532" s="35">
        <v>21.14</v>
      </c>
      <c r="N1532">
        <v>305</v>
      </c>
      <c r="O1532" s="34">
        <f t="shared" si="24"/>
        <v>0.17431401571217536</v>
      </c>
    </row>
    <row r="1533" spans="13:15" x14ac:dyDescent="0.3">
      <c r="M1533" s="35">
        <v>21.14</v>
      </c>
      <c r="N1533">
        <v>305</v>
      </c>
      <c r="O1533" s="34">
        <f t="shared" si="24"/>
        <v>0.17442787202550794</v>
      </c>
    </row>
    <row r="1534" spans="13:15" x14ac:dyDescent="0.3">
      <c r="M1534" s="35">
        <v>21.15</v>
      </c>
      <c r="N1534">
        <v>305</v>
      </c>
      <c r="O1534" s="34">
        <f t="shared" si="24"/>
        <v>0.17454172833884052</v>
      </c>
    </row>
    <row r="1535" spans="13:15" x14ac:dyDescent="0.3">
      <c r="M1535" s="35">
        <v>21.15</v>
      </c>
      <c r="N1535">
        <v>305</v>
      </c>
      <c r="O1535" s="34">
        <f t="shared" si="24"/>
        <v>0.1746555846521731</v>
      </c>
    </row>
    <row r="1536" spans="13:15" x14ac:dyDescent="0.3">
      <c r="M1536" s="35">
        <v>21.16</v>
      </c>
      <c r="N1536">
        <v>305</v>
      </c>
      <c r="O1536" s="34">
        <f t="shared" si="24"/>
        <v>0.17476944096550567</v>
      </c>
    </row>
    <row r="1537" spans="13:15" x14ac:dyDescent="0.3">
      <c r="M1537" s="35">
        <v>21.16</v>
      </c>
      <c r="N1537">
        <v>305</v>
      </c>
      <c r="O1537" s="34">
        <f t="shared" si="24"/>
        <v>0.17488329727883825</v>
      </c>
    </row>
    <row r="1538" spans="13:15" x14ac:dyDescent="0.3">
      <c r="M1538" s="35">
        <v>21.17</v>
      </c>
      <c r="N1538">
        <v>305</v>
      </c>
      <c r="O1538" s="34">
        <f t="shared" si="24"/>
        <v>0.17499715359217083</v>
      </c>
    </row>
    <row r="1539" spans="13:15" x14ac:dyDescent="0.3">
      <c r="M1539" s="35">
        <v>21.17</v>
      </c>
      <c r="N1539">
        <v>305</v>
      </c>
      <c r="O1539" s="34">
        <f t="shared" si="24"/>
        <v>0.17511100990550341</v>
      </c>
    </row>
    <row r="1540" spans="13:15" x14ac:dyDescent="0.3">
      <c r="M1540" s="35">
        <v>21.17</v>
      </c>
      <c r="N1540">
        <v>305</v>
      </c>
      <c r="O1540" s="34">
        <f t="shared" ref="O1540:O1603" si="25">O1539+O$2</f>
        <v>0.17522486621883598</v>
      </c>
    </row>
    <row r="1541" spans="13:15" x14ac:dyDescent="0.3">
      <c r="M1541" s="35">
        <v>21.18</v>
      </c>
      <c r="N1541">
        <v>305</v>
      </c>
      <c r="O1541" s="34">
        <f t="shared" si="25"/>
        <v>0.17533872253216856</v>
      </c>
    </row>
    <row r="1542" spans="13:15" x14ac:dyDescent="0.3">
      <c r="M1542" s="35">
        <v>21.18</v>
      </c>
      <c r="N1542">
        <v>305</v>
      </c>
      <c r="O1542" s="34">
        <f t="shared" si="25"/>
        <v>0.17545257884550114</v>
      </c>
    </row>
    <row r="1543" spans="13:15" x14ac:dyDescent="0.3">
      <c r="M1543" s="35">
        <v>21.18</v>
      </c>
      <c r="N1543">
        <v>305</v>
      </c>
      <c r="O1543" s="34">
        <f t="shared" si="25"/>
        <v>0.17556643515883372</v>
      </c>
    </row>
    <row r="1544" spans="13:15" x14ac:dyDescent="0.3">
      <c r="M1544" s="35">
        <v>21.18</v>
      </c>
      <c r="N1544">
        <v>305</v>
      </c>
      <c r="O1544" s="34">
        <f t="shared" si="25"/>
        <v>0.17568029147216629</v>
      </c>
    </row>
    <row r="1545" spans="13:15" x14ac:dyDescent="0.3">
      <c r="M1545" s="35">
        <v>21.19</v>
      </c>
      <c r="N1545">
        <v>305</v>
      </c>
      <c r="O1545" s="34">
        <f t="shared" si="25"/>
        <v>0.17579414778549887</v>
      </c>
    </row>
    <row r="1546" spans="13:15" x14ac:dyDescent="0.3">
      <c r="M1546" s="35">
        <v>21.19</v>
      </c>
      <c r="N1546">
        <v>305</v>
      </c>
      <c r="O1546" s="34">
        <f t="shared" si="25"/>
        <v>0.17590800409883145</v>
      </c>
    </row>
    <row r="1547" spans="13:15" x14ac:dyDescent="0.3">
      <c r="M1547" s="35">
        <v>21.2</v>
      </c>
      <c r="N1547">
        <v>305</v>
      </c>
      <c r="O1547" s="34">
        <f t="shared" si="25"/>
        <v>0.17602186041216403</v>
      </c>
    </row>
    <row r="1548" spans="13:15" x14ac:dyDescent="0.3">
      <c r="M1548" s="35">
        <v>21.2</v>
      </c>
      <c r="N1548">
        <v>305</v>
      </c>
      <c r="O1548" s="34">
        <f t="shared" si="25"/>
        <v>0.1761357167254966</v>
      </c>
    </row>
    <row r="1549" spans="13:15" x14ac:dyDescent="0.3">
      <c r="M1549" s="35">
        <v>21.2</v>
      </c>
      <c r="N1549">
        <v>305</v>
      </c>
      <c r="O1549" s="34">
        <f t="shared" si="25"/>
        <v>0.17624957303882918</v>
      </c>
    </row>
    <row r="1550" spans="13:15" x14ac:dyDescent="0.3">
      <c r="M1550" s="35">
        <v>21.2</v>
      </c>
      <c r="N1550">
        <v>305</v>
      </c>
      <c r="O1550" s="34">
        <f t="shared" si="25"/>
        <v>0.17636342935216176</v>
      </c>
    </row>
    <row r="1551" spans="13:15" x14ac:dyDescent="0.3">
      <c r="M1551" s="35">
        <v>21.21</v>
      </c>
      <c r="N1551">
        <v>305</v>
      </c>
      <c r="O1551" s="34">
        <f t="shared" si="25"/>
        <v>0.17647728566549434</v>
      </c>
    </row>
    <row r="1552" spans="13:15" x14ac:dyDescent="0.3">
      <c r="M1552" s="35">
        <v>21.21</v>
      </c>
      <c r="N1552">
        <v>305</v>
      </c>
      <c r="O1552" s="34">
        <f t="shared" si="25"/>
        <v>0.17659114197882692</v>
      </c>
    </row>
    <row r="1553" spans="13:15" x14ac:dyDescent="0.3">
      <c r="M1553" s="35">
        <v>21.21</v>
      </c>
      <c r="N1553">
        <v>305</v>
      </c>
      <c r="O1553" s="34">
        <f t="shared" si="25"/>
        <v>0.17670499829215949</v>
      </c>
    </row>
    <row r="1554" spans="13:15" x14ac:dyDescent="0.3">
      <c r="M1554" s="35">
        <v>21.22</v>
      </c>
      <c r="N1554">
        <v>305</v>
      </c>
      <c r="O1554" s="34">
        <f t="shared" si="25"/>
        <v>0.17681885460549207</v>
      </c>
    </row>
    <row r="1555" spans="13:15" x14ac:dyDescent="0.3">
      <c r="M1555" s="35">
        <v>21.22</v>
      </c>
      <c r="N1555">
        <v>305</v>
      </c>
      <c r="O1555" s="34">
        <f t="shared" si="25"/>
        <v>0.17693271091882465</v>
      </c>
    </row>
    <row r="1556" spans="13:15" x14ac:dyDescent="0.3">
      <c r="M1556" s="35">
        <v>21.22</v>
      </c>
      <c r="N1556">
        <v>305</v>
      </c>
      <c r="O1556" s="34">
        <f t="shared" si="25"/>
        <v>0.17704656723215723</v>
      </c>
    </row>
    <row r="1557" spans="13:15" x14ac:dyDescent="0.3">
      <c r="M1557" s="35">
        <v>21.22</v>
      </c>
      <c r="N1557">
        <v>305</v>
      </c>
      <c r="O1557" s="34">
        <f t="shared" si="25"/>
        <v>0.1771604235454898</v>
      </c>
    </row>
    <row r="1558" spans="13:15" x14ac:dyDescent="0.3">
      <c r="M1558" s="35">
        <v>21.22</v>
      </c>
      <c r="N1558">
        <v>305</v>
      </c>
      <c r="O1558" s="34">
        <f t="shared" si="25"/>
        <v>0.17727427985882238</v>
      </c>
    </row>
    <row r="1559" spans="13:15" x14ac:dyDescent="0.3">
      <c r="M1559" s="35">
        <v>21.22</v>
      </c>
      <c r="N1559">
        <v>305</v>
      </c>
      <c r="O1559" s="34">
        <f t="shared" si="25"/>
        <v>0.17738813617215496</v>
      </c>
    </row>
    <row r="1560" spans="13:15" x14ac:dyDescent="0.3">
      <c r="M1560" s="35">
        <v>21.23</v>
      </c>
      <c r="N1560">
        <v>305</v>
      </c>
      <c r="O1560" s="34">
        <f t="shared" si="25"/>
        <v>0.17750199248548754</v>
      </c>
    </row>
    <row r="1561" spans="13:15" x14ac:dyDescent="0.3">
      <c r="M1561" s="35">
        <v>21.23</v>
      </c>
      <c r="N1561">
        <v>305</v>
      </c>
      <c r="O1561" s="34">
        <f t="shared" si="25"/>
        <v>0.17761584879882011</v>
      </c>
    </row>
    <row r="1562" spans="13:15" x14ac:dyDescent="0.3">
      <c r="M1562" s="35">
        <v>21.24</v>
      </c>
      <c r="N1562">
        <v>305</v>
      </c>
      <c r="O1562" s="34">
        <f t="shared" si="25"/>
        <v>0.17772970511215269</v>
      </c>
    </row>
    <row r="1563" spans="13:15" x14ac:dyDescent="0.3">
      <c r="M1563" s="35">
        <v>21.24</v>
      </c>
      <c r="N1563">
        <v>305</v>
      </c>
      <c r="O1563" s="34">
        <f t="shared" si="25"/>
        <v>0.17784356142548527</v>
      </c>
    </row>
    <row r="1564" spans="13:15" x14ac:dyDescent="0.3">
      <c r="M1564" s="35">
        <v>21.25</v>
      </c>
      <c r="N1564">
        <v>305</v>
      </c>
      <c r="O1564" s="34">
        <f t="shared" si="25"/>
        <v>0.17795741773881785</v>
      </c>
    </row>
    <row r="1565" spans="13:15" x14ac:dyDescent="0.3">
      <c r="M1565" s="35">
        <v>21.25</v>
      </c>
      <c r="N1565">
        <v>305</v>
      </c>
      <c r="O1565" s="34">
        <f t="shared" si="25"/>
        <v>0.17807127405215042</v>
      </c>
    </row>
    <row r="1566" spans="13:15" x14ac:dyDescent="0.3">
      <c r="M1566" s="35">
        <v>21.25</v>
      </c>
      <c r="N1566">
        <v>305</v>
      </c>
      <c r="O1566" s="34">
        <f t="shared" si="25"/>
        <v>0.178185130365483</v>
      </c>
    </row>
    <row r="1567" spans="13:15" x14ac:dyDescent="0.3">
      <c r="M1567" s="35">
        <v>21.25</v>
      </c>
      <c r="N1567">
        <v>305</v>
      </c>
      <c r="O1567" s="34">
        <f t="shared" si="25"/>
        <v>0.17829898667881558</v>
      </c>
    </row>
    <row r="1568" spans="13:15" x14ac:dyDescent="0.3">
      <c r="M1568" s="35">
        <v>21.25</v>
      </c>
      <c r="N1568">
        <v>305</v>
      </c>
      <c r="O1568" s="34">
        <f t="shared" si="25"/>
        <v>0.17841284299214816</v>
      </c>
    </row>
    <row r="1569" spans="13:15" x14ac:dyDescent="0.3">
      <c r="M1569" s="35">
        <v>21.26</v>
      </c>
      <c r="N1569">
        <v>305</v>
      </c>
      <c r="O1569" s="34">
        <f t="shared" si="25"/>
        <v>0.17852669930548073</v>
      </c>
    </row>
    <row r="1570" spans="13:15" x14ac:dyDescent="0.3">
      <c r="M1570" s="35">
        <v>21.26</v>
      </c>
      <c r="N1570">
        <v>305</v>
      </c>
      <c r="O1570" s="34">
        <f t="shared" si="25"/>
        <v>0.17864055561881331</v>
      </c>
    </row>
    <row r="1571" spans="13:15" x14ac:dyDescent="0.3">
      <c r="M1571" s="35">
        <v>21.26</v>
      </c>
      <c r="N1571">
        <v>305</v>
      </c>
      <c r="O1571" s="34">
        <f t="shared" si="25"/>
        <v>0.17875441193214589</v>
      </c>
    </row>
    <row r="1572" spans="13:15" x14ac:dyDescent="0.3">
      <c r="M1572" s="35">
        <v>21.26</v>
      </c>
      <c r="N1572">
        <v>305</v>
      </c>
      <c r="O1572" s="34">
        <f t="shared" si="25"/>
        <v>0.17886826824547847</v>
      </c>
    </row>
    <row r="1573" spans="13:15" x14ac:dyDescent="0.3">
      <c r="M1573" s="35">
        <v>21.26</v>
      </c>
      <c r="N1573">
        <v>305</v>
      </c>
      <c r="O1573" s="34">
        <f t="shared" si="25"/>
        <v>0.17898212455881105</v>
      </c>
    </row>
    <row r="1574" spans="13:15" x14ac:dyDescent="0.3">
      <c r="M1574" s="35">
        <v>21.27</v>
      </c>
      <c r="N1574">
        <v>305</v>
      </c>
      <c r="O1574" s="34">
        <f t="shared" si="25"/>
        <v>0.17909598087214362</v>
      </c>
    </row>
    <row r="1575" spans="13:15" x14ac:dyDescent="0.3">
      <c r="M1575" s="35">
        <v>21.27</v>
      </c>
      <c r="N1575">
        <v>305</v>
      </c>
      <c r="O1575" s="34">
        <f t="shared" si="25"/>
        <v>0.1792098371854762</v>
      </c>
    </row>
    <row r="1576" spans="13:15" x14ac:dyDescent="0.3">
      <c r="M1576" s="35">
        <v>21.27</v>
      </c>
      <c r="N1576">
        <v>305</v>
      </c>
      <c r="O1576" s="34">
        <f t="shared" si="25"/>
        <v>0.17932369349880878</v>
      </c>
    </row>
    <row r="1577" spans="13:15" x14ac:dyDescent="0.3">
      <c r="M1577" s="35">
        <v>21.27</v>
      </c>
      <c r="N1577">
        <v>305</v>
      </c>
      <c r="O1577" s="34">
        <f t="shared" si="25"/>
        <v>0.17943754981214136</v>
      </c>
    </row>
    <row r="1578" spans="13:15" x14ac:dyDescent="0.3">
      <c r="M1578" s="35">
        <v>21.27</v>
      </c>
      <c r="N1578">
        <v>305</v>
      </c>
      <c r="O1578" s="34">
        <f t="shared" si="25"/>
        <v>0.17955140612547393</v>
      </c>
    </row>
    <row r="1579" spans="13:15" x14ac:dyDescent="0.3">
      <c r="M1579" s="35">
        <v>21.27</v>
      </c>
      <c r="N1579">
        <v>305</v>
      </c>
      <c r="O1579" s="34">
        <f t="shared" si="25"/>
        <v>0.17966526243880651</v>
      </c>
    </row>
    <row r="1580" spans="13:15" x14ac:dyDescent="0.3">
      <c r="M1580" s="35">
        <v>21.27</v>
      </c>
      <c r="N1580">
        <v>305</v>
      </c>
      <c r="O1580" s="34">
        <f t="shared" si="25"/>
        <v>0.17977911875213909</v>
      </c>
    </row>
    <row r="1581" spans="13:15" x14ac:dyDescent="0.3">
      <c r="M1581" s="35">
        <v>21.27</v>
      </c>
      <c r="N1581">
        <v>305</v>
      </c>
      <c r="O1581" s="34">
        <f t="shared" si="25"/>
        <v>0.17989297506547167</v>
      </c>
    </row>
    <row r="1582" spans="13:15" x14ac:dyDescent="0.3">
      <c r="M1582" s="35">
        <v>21.28</v>
      </c>
      <c r="N1582">
        <v>305</v>
      </c>
      <c r="O1582" s="34">
        <f t="shared" si="25"/>
        <v>0.18000683137880424</v>
      </c>
    </row>
    <row r="1583" spans="13:15" x14ac:dyDescent="0.3">
      <c r="M1583" s="35">
        <v>21.29</v>
      </c>
      <c r="N1583">
        <v>305</v>
      </c>
      <c r="O1583" s="34">
        <f t="shared" si="25"/>
        <v>0.18012068769213682</v>
      </c>
    </row>
    <row r="1584" spans="13:15" x14ac:dyDescent="0.3">
      <c r="M1584" s="35">
        <v>21.3</v>
      </c>
      <c r="N1584">
        <v>305</v>
      </c>
      <c r="O1584" s="34">
        <f t="shared" si="25"/>
        <v>0.1802345440054694</v>
      </c>
    </row>
    <row r="1585" spans="13:15" x14ac:dyDescent="0.3">
      <c r="M1585" s="35">
        <v>21.3</v>
      </c>
      <c r="N1585">
        <v>305</v>
      </c>
      <c r="O1585" s="34">
        <f t="shared" si="25"/>
        <v>0.18034840031880198</v>
      </c>
    </row>
    <row r="1586" spans="13:15" x14ac:dyDescent="0.3">
      <c r="M1586" s="35">
        <v>21.3</v>
      </c>
      <c r="N1586">
        <v>305</v>
      </c>
      <c r="O1586" s="34">
        <f t="shared" si="25"/>
        <v>0.18046225663213455</v>
      </c>
    </row>
    <row r="1587" spans="13:15" x14ac:dyDescent="0.3">
      <c r="M1587" s="35">
        <v>21.3</v>
      </c>
      <c r="N1587">
        <v>305</v>
      </c>
      <c r="O1587" s="34">
        <f t="shared" si="25"/>
        <v>0.18057611294546713</v>
      </c>
    </row>
    <row r="1588" spans="13:15" x14ac:dyDescent="0.3">
      <c r="M1588" s="35">
        <v>21.31</v>
      </c>
      <c r="N1588">
        <v>305</v>
      </c>
      <c r="O1588" s="34">
        <f t="shared" si="25"/>
        <v>0.18068996925879971</v>
      </c>
    </row>
    <row r="1589" spans="13:15" x14ac:dyDescent="0.3">
      <c r="M1589" s="35">
        <v>21.31</v>
      </c>
      <c r="N1589">
        <v>305</v>
      </c>
      <c r="O1589" s="34">
        <f t="shared" si="25"/>
        <v>0.18080382557213229</v>
      </c>
    </row>
    <row r="1590" spans="13:15" x14ac:dyDescent="0.3">
      <c r="M1590" s="35">
        <v>21.31</v>
      </c>
      <c r="N1590">
        <v>305</v>
      </c>
      <c r="O1590" s="34">
        <f t="shared" si="25"/>
        <v>0.18091768188546486</v>
      </c>
    </row>
    <row r="1591" spans="13:15" x14ac:dyDescent="0.3">
      <c r="M1591" s="35">
        <v>21.32</v>
      </c>
      <c r="N1591">
        <v>305</v>
      </c>
      <c r="O1591" s="34">
        <f t="shared" si="25"/>
        <v>0.18103153819879744</v>
      </c>
    </row>
    <row r="1592" spans="13:15" x14ac:dyDescent="0.3">
      <c r="M1592" s="35">
        <v>21.32</v>
      </c>
      <c r="N1592">
        <v>305</v>
      </c>
      <c r="O1592" s="34">
        <f t="shared" si="25"/>
        <v>0.18114539451213002</v>
      </c>
    </row>
    <row r="1593" spans="13:15" x14ac:dyDescent="0.3">
      <c r="M1593" s="35">
        <v>21.33</v>
      </c>
      <c r="N1593">
        <v>305</v>
      </c>
      <c r="O1593" s="34">
        <f t="shared" si="25"/>
        <v>0.1812592508254626</v>
      </c>
    </row>
    <row r="1594" spans="13:15" x14ac:dyDescent="0.3">
      <c r="M1594" s="35">
        <v>21.33</v>
      </c>
      <c r="N1594">
        <v>305</v>
      </c>
      <c r="O1594" s="34">
        <f t="shared" si="25"/>
        <v>0.18137310713879518</v>
      </c>
    </row>
    <row r="1595" spans="13:15" x14ac:dyDescent="0.3">
      <c r="M1595" s="35">
        <v>21.33</v>
      </c>
      <c r="N1595">
        <v>305</v>
      </c>
      <c r="O1595" s="34">
        <f t="shared" si="25"/>
        <v>0.18148696345212775</v>
      </c>
    </row>
    <row r="1596" spans="13:15" x14ac:dyDescent="0.3">
      <c r="M1596" s="35">
        <v>21.33</v>
      </c>
      <c r="N1596">
        <v>305</v>
      </c>
      <c r="O1596" s="34">
        <f t="shared" si="25"/>
        <v>0.18160081976546033</v>
      </c>
    </row>
    <row r="1597" spans="13:15" x14ac:dyDescent="0.3">
      <c r="M1597" s="35">
        <v>21.33</v>
      </c>
      <c r="N1597">
        <v>305</v>
      </c>
      <c r="O1597" s="34">
        <f t="shared" si="25"/>
        <v>0.18171467607879291</v>
      </c>
    </row>
    <row r="1598" spans="13:15" x14ac:dyDescent="0.3">
      <c r="M1598" s="35">
        <v>21.34</v>
      </c>
      <c r="N1598">
        <v>305</v>
      </c>
      <c r="O1598" s="34">
        <f t="shared" si="25"/>
        <v>0.18182853239212549</v>
      </c>
    </row>
    <row r="1599" spans="13:15" x14ac:dyDescent="0.3">
      <c r="M1599" s="35">
        <v>21.34</v>
      </c>
      <c r="N1599">
        <v>305</v>
      </c>
      <c r="O1599" s="34">
        <f t="shared" si="25"/>
        <v>0.18194238870545806</v>
      </c>
    </row>
    <row r="1600" spans="13:15" x14ac:dyDescent="0.3">
      <c r="M1600" s="35">
        <v>21.34</v>
      </c>
      <c r="N1600">
        <v>305</v>
      </c>
      <c r="O1600" s="34">
        <f t="shared" si="25"/>
        <v>0.18205624501879064</v>
      </c>
    </row>
    <row r="1601" spans="13:15" x14ac:dyDescent="0.3">
      <c r="M1601" s="35">
        <v>21.34</v>
      </c>
      <c r="N1601">
        <v>305</v>
      </c>
      <c r="O1601" s="34">
        <f t="shared" si="25"/>
        <v>0.18217010133212322</v>
      </c>
    </row>
    <row r="1602" spans="13:15" x14ac:dyDescent="0.3">
      <c r="M1602" s="35">
        <v>21.34</v>
      </c>
      <c r="N1602">
        <v>305</v>
      </c>
      <c r="O1602" s="34">
        <f t="shared" si="25"/>
        <v>0.1822839576454558</v>
      </c>
    </row>
    <row r="1603" spans="13:15" x14ac:dyDescent="0.3">
      <c r="M1603" s="35">
        <v>21.34</v>
      </c>
      <c r="N1603">
        <v>305</v>
      </c>
      <c r="O1603" s="34">
        <f t="shared" si="25"/>
        <v>0.18239781395878837</v>
      </c>
    </row>
    <row r="1604" spans="13:15" x14ac:dyDescent="0.3">
      <c r="M1604" s="35">
        <v>21.34</v>
      </c>
      <c r="N1604">
        <v>305</v>
      </c>
      <c r="O1604" s="34">
        <f t="shared" ref="O1604:O1667" si="26">O1603+O$2</f>
        <v>0.18251167027212095</v>
      </c>
    </row>
    <row r="1605" spans="13:15" x14ac:dyDescent="0.3">
      <c r="M1605" s="35">
        <v>21.34</v>
      </c>
      <c r="N1605">
        <v>305</v>
      </c>
      <c r="O1605" s="34">
        <f t="shared" si="26"/>
        <v>0.18262552658545353</v>
      </c>
    </row>
    <row r="1606" spans="13:15" x14ac:dyDescent="0.3">
      <c r="M1606" s="35">
        <v>21.35</v>
      </c>
      <c r="N1606">
        <v>305</v>
      </c>
      <c r="O1606" s="34">
        <f t="shared" si="26"/>
        <v>0.18273938289878611</v>
      </c>
    </row>
    <row r="1607" spans="13:15" x14ac:dyDescent="0.3">
      <c r="M1607" s="35">
        <v>21.35</v>
      </c>
      <c r="N1607">
        <v>305</v>
      </c>
      <c r="O1607" s="34">
        <f t="shared" si="26"/>
        <v>0.18285323921211868</v>
      </c>
    </row>
    <row r="1608" spans="13:15" x14ac:dyDescent="0.3">
      <c r="M1608" s="35">
        <v>21.35</v>
      </c>
      <c r="N1608">
        <v>305</v>
      </c>
      <c r="O1608" s="34">
        <f t="shared" si="26"/>
        <v>0.18296709552545126</v>
      </c>
    </row>
    <row r="1609" spans="13:15" x14ac:dyDescent="0.3">
      <c r="M1609" s="35">
        <v>21.35</v>
      </c>
      <c r="N1609">
        <v>305</v>
      </c>
      <c r="O1609" s="34">
        <f t="shared" si="26"/>
        <v>0.18308095183878384</v>
      </c>
    </row>
    <row r="1610" spans="13:15" x14ac:dyDescent="0.3">
      <c r="M1610" s="35">
        <v>21.35</v>
      </c>
      <c r="N1610">
        <v>305</v>
      </c>
      <c r="O1610" s="34">
        <f t="shared" si="26"/>
        <v>0.18319480815211642</v>
      </c>
    </row>
    <row r="1611" spans="13:15" x14ac:dyDescent="0.3">
      <c r="M1611" s="35">
        <v>21.36</v>
      </c>
      <c r="N1611">
        <v>305</v>
      </c>
      <c r="O1611" s="34">
        <f t="shared" si="26"/>
        <v>0.18330866446544899</v>
      </c>
    </row>
    <row r="1612" spans="13:15" x14ac:dyDescent="0.3">
      <c r="M1612" s="35">
        <v>21.36</v>
      </c>
      <c r="N1612">
        <v>305</v>
      </c>
      <c r="O1612" s="34">
        <f t="shared" si="26"/>
        <v>0.18342252077878157</v>
      </c>
    </row>
    <row r="1613" spans="13:15" x14ac:dyDescent="0.3">
      <c r="M1613" s="35">
        <v>21.37</v>
      </c>
      <c r="N1613">
        <v>305</v>
      </c>
      <c r="O1613" s="34">
        <f t="shared" si="26"/>
        <v>0.18353637709211415</v>
      </c>
    </row>
    <row r="1614" spans="13:15" x14ac:dyDescent="0.3">
      <c r="M1614" s="35">
        <v>21.37</v>
      </c>
      <c r="N1614">
        <v>305</v>
      </c>
      <c r="O1614" s="34">
        <f t="shared" si="26"/>
        <v>0.18365023340544673</v>
      </c>
    </row>
    <row r="1615" spans="13:15" x14ac:dyDescent="0.3">
      <c r="M1615" s="35">
        <v>21.37</v>
      </c>
      <c r="N1615">
        <v>305</v>
      </c>
      <c r="O1615" s="34">
        <f t="shared" si="26"/>
        <v>0.18376408971877931</v>
      </c>
    </row>
    <row r="1616" spans="13:15" x14ac:dyDescent="0.3">
      <c r="M1616" s="35">
        <v>21.37</v>
      </c>
      <c r="N1616">
        <v>305</v>
      </c>
      <c r="O1616" s="34">
        <f t="shared" si="26"/>
        <v>0.18387794603211188</v>
      </c>
    </row>
    <row r="1617" spans="13:15" x14ac:dyDescent="0.3">
      <c r="M1617" s="35">
        <v>21.38</v>
      </c>
      <c r="N1617">
        <v>305</v>
      </c>
      <c r="O1617" s="34">
        <f t="shared" si="26"/>
        <v>0.18399180234544446</v>
      </c>
    </row>
    <row r="1618" spans="13:15" x14ac:dyDescent="0.3">
      <c r="M1618" s="35">
        <v>21.38</v>
      </c>
      <c r="N1618">
        <v>305</v>
      </c>
      <c r="O1618" s="34">
        <f t="shared" si="26"/>
        <v>0.18410565865877704</v>
      </c>
    </row>
    <row r="1619" spans="13:15" x14ac:dyDescent="0.3">
      <c r="M1619" s="35">
        <v>21.39</v>
      </c>
      <c r="N1619">
        <v>305</v>
      </c>
      <c r="O1619" s="34">
        <f t="shared" si="26"/>
        <v>0.18421951497210962</v>
      </c>
    </row>
    <row r="1620" spans="13:15" x14ac:dyDescent="0.3">
      <c r="M1620" s="35">
        <v>21.39</v>
      </c>
      <c r="N1620">
        <v>305</v>
      </c>
      <c r="O1620" s="34">
        <f t="shared" si="26"/>
        <v>0.18433337128544219</v>
      </c>
    </row>
    <row r="1621" spans="13:15" x14ac:dyDescent="0.3">
      <c r="M1621" s="35">
        <v>21.39</v>
      </c>
      <c r="N1621">
        <v>305</v>
      </c>
      <c r="O1621" s="34">
        <f t="shared" si="26"/>
        <v>0.18444722759877477</v>
      </c>
    </row>
    <row r="1622" spans="13:15" x14ac:dyDescent="0.3">
      <c r="M1622" s="35">
        <v>21.39</v>
      </c>
      <c r="N1622">
        <v>305</v>
      </c>
      <c r="O1622" s="34">
        <f t="shared" si="26"/>
        <v>0.18456108391210735</v>
      </c>
    </row>
    <row r="1623" spans="13:15" x14ac:dyDescent="0.3">
      <c r="M1623" s="35">
        <v>21.39</v>
      </c>
      <c r="N1623">
        <v>305</v>
      </c>
      <c r="O1623" s="34">
        <f t="shared" si="26"/>
        <v>0.18467494022543993</v>
      </c>
    </row>
    <row r="1624" spans="13:15" x14ac:dyDescent="0.3">
      <c r="M1624" s="35">
        <v>21.4</v>
      </c>
      <c r="N1624">
        <v>305</v>
      </c>
      <c r="O1624" s="34">
        <f t="shared" si="26"/>
        <v>0.1847887965387725</v>
      </c>
    </row>
    <row r="1625" spans="13:15" x14ac:dyDescent="0.3">
      <c r="M1625" s="35">
        <v>21.4</v>
      </c>
      <c r="N1625">
        <v>305</v>
      </c>
      <c r="O1625" s="34">
        <f t="shared" si="26"/>
        <v>0.18490265285210508</v>
      </c>
    </row>
    <row r="1626" spans="13:15" x14ac:dyDescent="0.3">
      <c r="M1626" s="35">
        <v>21.4</v>
      </c>
      <c r="N1626">
        <v>305</v>
      </c>
      <c r="O1626" s="34">
        <f t="shared" si="26"/>
        <v>0.18501650916543766</v>
      </c>
    </row>
    <row r="1627" spans="13:15" x14ac:dyDescent="0.3">
      <c r="M1627" s="35">
        <v>21.41</v>
      </c>
      <c r="N1627">
        <v>305</v>
      </c>
      <c r="O1627" s="34">
        <f t="shared" si="26"/>
        <v>0.18513036547877024</v>
      </c>
    </row>
    <row r="1628" spans="13:15" x14ac:dyDescent="0.3">
      <c r="M1628" s="35">
        <v>21.41</v>
      </c>
      <c r="N1628">
        <v>305</v>
      </c>
      <c r="O1628" s="34">
        <f t="shared" si="26"/>
        <v>0.18524422179210281</v>
      </c>
    </row>
    <row r="1629" spans="13:15" x14ac:dyDescent="0.3">
      <c r="M1629" s="35">
        <v>21.41</v>
      </c>
      <c r="N1629">
        <v>305</v>
      </c>
      <c r="O1629" s="34">
        <f t="shared" si="26"/>
        <v>0.18535807810543539</v>
      </c>
    </row>
    <row r="1630" spans="13:15" x14ac:dyDescent="0.3">
      <c r="M1630" s="35">
        <v>21.41</v>
      </c>
      <c r="N1630">
        <v>305</v>
      </c>
      <c r="O1630" s="34">
        <f t="shared" si="26"/>
        <v>0.18547193441876797</v>
      </c>
    </row>
    <row r="1631" spans="13:15" x14ac:dyDescent="0.3">
      <c r="M1631" s="35">
        <v>21.41</v>
      </c>
      <c r="N1631">
        <v>305</v>
      </c>
      <c r="O1631" s="34">
        <f t="shared" si="26"/>
        <v>0.18558579073210055</v>
      </c>
    </row>
    <row r="1632" spans="13:15" x14ac:dyDescent="0.3">
      <c r="M1632" s="35">
        <v>21.43</v>
      </c>
      <c r="N1632">
        <v>305</v>
      </c>
      <c r="O1632" s="34">
        <f t="shared" si="26"/>
        <v>0.18569964704543312</v>
      </c>
    </row>
    <row r="1633" spans="13:15" x14ac:dyDescent="0.3">
      <c r="M1633" s="35">
        <v>21.43</v>
      </c>
      <c r="N1633">
        <v>305</v>
      </c>
      <c r="O1633" s="34">
        <f t="shared" si="26"/>
        <v>0.1858135033587657</v>
      </c>
    </row>
    <row r="1634" spans="13:15" x14ac:dyDescent="0.3">
      <c r="M1634" s="35">
        <v>21.43</v>
      </c>
      <c r="N1634">
        <v>305</v>
      </c>
      <c r="O1634" s="34">
        <f t="shared" si="26"/>
        <v>0.18592735967209828</v>
      </c>
    </row>
    <row r="1635" spans="13:15" x14ac:dyDescent="0.3">
      <c r="M1635" s="35">
        <v>21.44</v>
      </c>
      <c r="N1635">
        <v>305</v>
      </c>
      <c r="O1635" s="34">
        <f t="shared" si="26"/>
        <v>0.18604121598543086</v>
      </c>
    </row>
    <row r="1636" spans="13:15" x14ac:dyDescent="0.3">
      <c r="M1636" s="35">
        <v>21.44</v>
      </c>
      <c r="N1636">
        <v>305</v>
      </c>
      <c r="O1636" s="34">
        <f t="shared" si="26"/>
        <v>0.18615507229876344</v>
      </c>
    </row>
    <row r="1637" spans="13:15" x14ac:dyDescent="0.3">
      <c r="M1637" s="35">
        <v>21.44</v>
      </c>
      <c r="N1637">
        <v>305</v>
      </c>
      <c r="O1637" s="34">
        <f t="shared" si="26"/>
        <v>0.18626892861209601</v>
      </c>
    </row>
    <row r="1638" spans="13:15" x14ac:dyDescent="0.3">
      <c r="M1638" s="35">
        <v>21.44</v>
      </c>
      <c r="N1638">
        <v>305</v>
      </c>
      <c r="O1638" s="34">
        <f t="shared" si="26"/>
        <v>0.18638278492542859</v>
      </c>
    </row>
    <row r="1639" spans="13:15" x14ac:dyDescent="0.3">
      <c r="M1639" s="35">
        <v>21.44</v>
      </c>
      <c r="N1639">
        <v>305</v>
      </c>
      <c r="O1639" s="34">
        <f t="shared" si="26"/>
        <v>0.18649664123876117</v>
      </c>
    </row>
    <row r="1640" spans="13:15" x14ac:dyDescent="0.3">
      <c r="M1640" s="35">
        <v>21.44</v>
      </c>
      <c r="N1640">
        <v>305</v>
      </c>
      <c r="O1640" s="34">
        <f t="shared" si="26"/>
        <v>0.18661049755209375</v>
      </c>
    </row>
    <row r="1641" spans="13:15" x14ac:dyDescent="0.3">
      <c r="M1641" s="35">
        <v>21.44</v>
      </c>
      <c r="N1641">
        <v>305</v>
      </c>
      <c r="O1641" s="34">
        <f t="shared" si="26"/>
        <v>0.18672435386542632</v>
      </c>
    </row>
    <row r="1642" spans="13:15" x14ac:dyDescent="0.3">
      <c r="M1642" s="35">
        <v>21.44</v>
      </c>
      <c r="N1642">
        <v>305</v>
      </c>
      <c r="O1642" s="34">
        <f t="shared" si="26"/>
        <v>0.1868382101787589</v>
      </c>
    </row>
    <row r="1643" spans="13:15" x14ac:dyDescent="0.3">
      <c r="M1643" s="35">
        <v>21.45</v>
      </c>
      <c r="N1643">
        <v>305</v>
      </c>
      <c r="O1643" s="34">
        <f t="shared" si="26"/>
        <v>0.18695206649209148</v>
      </c>
    </row>
    <row r="1644" spans="13:15" x14ac:dyDescent="0.3">
      <c r="M1644" s="35">
        <v>21.45</v>
      </c>
      <c r="N1644">
        <v>305</v>
      </c>
      <c r="O1644" s="34">
        <f t="shared" si="26"/>
        <v>0.18706592280542406</v>
      </c>
    </row>
    <row r="1645" spans="13:15" x14ac:dyDescent="0.3">
      <c r="M1645" s="35">
        <v>21.45</v>
      </c>
      <c r="N1645">
        <v>305</v>
      </c>
      <c r="O1645" s="34">
        <f t="shared" si="26"/>
        <v>0.18717977911875663</v>
      </c>
    </row>
    <row r="1646" spans="13:15" x14ac:dyDescent="0.3">
      <c r="M1646" s="35">
        <v>21.45</v>
      </c>
      <c r="N1646">
        <v>305</v>
      </c>
      <c r="O1646" s="34">
        <f t="shared" si="26"/>
        <v>0.18729363543208921</v>
      </c>
    </row>
    <row r="1647" spans="13:15" x14ac:dyDescent="0.3">
      <c r="M1647" s="35">
        <v>21.46</v>
      </c>
      <c r="N1647">
        <v>305</v>
      </c>
      <c r="O1647" s="34">
        <f t="shared" si="26"/>
        <v>0.18740749174542179</v>
      </c>
    </row>
    <row r="1648" spans="13:15" x14ac:dyDescent="0.3">
      <c r="M1648" s="35">
        <v>21.46</v>
      </c>
      <c r="N1648">
        <v>305</v>
      </c>
      <c r="O1648" s="34">
        <f t="shared" si="26"/>
        <v>0.18752134805875437</v>
      </c>
    </row>
    <row r="1649" spans="13:15" x14ac:dyDescent="0.3">
      <c r="M1649" s="35">
        <v>21.47</v>
      </c>
      <c r="N1649">
        <v>305</v>
      </c>
      <c r="O1649" s="34">
        <f t="shared" si="26"/>
        <v>0.18763520437208694</v>
      </c>
    </row>
    <row r="1650" spans="13:15" x14ac:dyDescent="0.3">
      <c r="M1650" s="35">
        <v>21.47</v>
      </c>
      <c r="N1650">
        <v>305</v>
      </c>
      <c r="O1650" s="34">
        <f t="shared" si="26"/>
        <v>0.18774906068541952</v>
      </c>
    </row>
    <row r="1651" spans="13:15" x14ac:dyDescent="0.3">
      <c r="M1651" s="35">
        <v>21.48</v>
      </c>
      <c r="N1651">
        <v>305</v>
      </c>
      <c r="O1651" s="34">
        <f t="shared" si="26"/>
        <v>0.1878629169987521</v>
      </c>
    </row>
    <row r="1652" spans="13:15" x14ac:dyDescent="0.3">
      <c r="M1652" s="35">
        <v>21.48</v>
      </c>
      <c r="N1652">
        <v>305</v>
      </c>
      <c r="O1652" s="34">
        <f t="shared" si="26"/>
        <v>0.18797677331208468</v>
      </c>
    </row>
    <row r="1653" spans="13:15" x14ac:dyDescent="0.3">
      <c r="M1653" s="35">
        <v>21.48</v>
      </c>
      <c r="N1653">
        <v>305</v>
      </c>
      <c r="O1653" s="34">
        <f t="shared" si="26"/>
        <v>0.18809062962541725</v>
      </c>
    </row>
    <row r="1654" spans="13:15" x14ac:dyDescent="0.3">
      <c r="M1654" s="35">
        <v>21.48</v>
      </c>
      <c r="N1654">
        <v>305</v>
      </c>
      <c r="O1654" s="34">
        <f t="shared" si="26"/>
        <v>0.18820448593874983</v>
      </c>
    </row>
    <row r="1655" spans="13:15" x14ac:dyDescent="0.3">
      <c r="M1655" s="35">
        <v>21.48</v>
      </c>
      <c r="N1655">
        <v>305</v>
      </c>
      <c r="O1655" s="34">
        <f t="shared" si="26"/>
        <v>0.18831834225208241</v>
      </c>
    </row>
    <row r="1656" spans="13:15" x14ac:dyDescent="0.3">
      <c r="M1656" s="35">
        <v>21.49</v>
      </c>
      <c r="N1656">
        <v>305</v>
      </c>
      <c r="O1656" s="34">
        <f t="shared" si="26"/>
        <v>0.18843219856541499</v>
      </c>
    </row>
    <row r="1657" spans="13:15" x14ac:dyDescent="0.3">
      <c r="M1657" s="35">
        <v>21.49</v>
      </c>
      <c r="N1657">
        <v>305</v>
      </c>
      <c r="O1657" s="34">
        <f t="shared" si="26"/>
        <v>0.18854605487874757</v>
      </c>
    </row>
    <row r="1658" spans="13:15" x14ac:dyDescent="0.3">
      <c r="M1658" s="35">
        <v>21.49</v>
      </c>
      <c r="N1658">
        <v>305</v>
      </c>
      <c r="O1658" s="34">
        <f t="shared" si="26"/>
        <v>0.18865991119208014</v>
      </c>
    </row>
    <row r="1659" spans="13:15" x14ac:dyDescent="0.3">
      <c r="M1659" s="35">
        <v>21.49</v>
      </c>
      <c r="N1659">
        <v>305</v>
      </c>
      <c r="O1659" s="34">
        <f t="shared" si="26"/>
        <v>0.18877376750541272</v>
      </c>
    </row>
    <row r="1660" spans="13:15" x14ac:dyDescent="0.3">
      <c r="M1660" s="35">
        <v>21.5</v>
      </c>
      <c r="N1660">
        <v>305</v>
      </c>
      <c r="O1660" s="34">
        <f t="shared" si="26"/>
        <v>0.1888876238187453</v>
      </c>
    </row>
    <row r="1661" spans="13:15" x14ac:dyDescent="0.3">
      <c r="M1661" s="35">
        <v>21.5</v>
      </c>
      <c r="N1661">
        <v>305</v>
      </c>
      <c r="O1661" s="34">
        <f t="shared" si="26"/>
        <v>0.18900148013207788</v>
      </c>
    </row>
    <row r="1662" spans="13:15" x14ac:dyDescent="0.3">
      <c r="M1662" s="35">
        <v>21.51</v>
      </c>
      <c r="N1662">
        <v>305</v>
      </c>
      <c r="O1662" s="34">
        <f t="shared" si="26"/>
        <v>0.18911533644541045</v>
      </c>
    </row>
    <row r="1663" spans="13:15" x14ac:dyDescent="0.3">
      <c r="M1663" s="35">
        <v>21.51</v>
      </c>
      <c r="N1663">
        <v>305</v>
      </c>
      <c r="O1663" s="34">
        <f t="shared" si="26"/>
        <v>0.18922919275874303</v>
      </c>
    </row>
    <row r="1664" spans="13:15" x14ac:dyDescent="0.3">
      <c r="M1664" s="35">
        <v>21.51</v>
      </c>
      <c r="N1664">
        <v>305</v>
      </c>
      <c r="O1664" s="34">
        <f t="shared" si="26"/>
        <v>0.18934304907207561</v>
      </c>
    </row>
    <row r="1665" spans="13:15" x14ac:dyDescent="0.3">
      <c r="M1665" s="35">
        <v>21.51</v>
      </c>
      <c r="N1665">
        <v>305</v>
      </c>
      <c r="O1665" s="34">
        <f t="shared" si="26"/>
        <v>0.18945690538540819</v>
      </c>
    </row>
    <row r="1666" spans="13:15" x14ac:dyDescent="0.3">
      <c r="M1666" s="35">
        <v>21.51</v>
      </c>
      <c r="N1666">
        <v>305</v>
      </c>
      <c r="O1666" s="34">
        <f t="shared" si="26"/>
        <v>0.18957076169874076</v>
      </c>
    </row>
    <row r="1667" spans="13:15" x14ac:dyDescent="0.3">
      <c r="M1667" s="35">
        <v>21.52</v>
      </c>
      <c r="N1667">
        <v>305</v>
      </c>
      <c r="O1667" s="34">
        <f t="shared" si="26"/>
        <v>0.18968461801207334</v>
      </c>
    </row>
    <row r="1668" spans="13:15" x14ac:dyDescent="0.3">
      <c r="M1668" s="35">
        <v>21.52</v>
      </c>
      <c r="N1668">
        <v>305</v>
      </c>
      <c r="O1668" s="34">
        <f t="shared" ref="O1668:O1731" si="27">O1667+O$2</f>
        <v>0.18979847432540592</v>
      </c>
    </row>
    <row r="1669" spans="13:15" x14ac:dyDescent="0.3">
      <c r="M1669" s="35">
        <v>21.52</v>
      </c>
      <c r="N1669">
        <v>305</v>
      </c>
      <c r="O1669" s="34">
        <f t="shared" si="27"/>
        <v>0.1899123306387385</v>
      </c>
    </row>
    <row r="1670" spans="13:15" x14ac:dyDescent="0.3">
      <c r="M1670" s="35">
        <v>21.52</v>
      </c>
      <c r="N1670">
        <v>305</v>
      </c>
      <c r="O1670" s="34">
        <f t="shared" si="27"/>
        <v>0.19002618695207107</v>
      </c>
    </row>
    <row r="1671" spans="13:15" x14ac:dyDescent="0.3">
      <c r="M1671" s="35">
        <v>21.52</v>
      </c>
      <c r="N1671">
        <v>305</v>
      </c>
      <c r="O1671" s="34">
        <f t="shared" si="27"/>
        <v>0.19014004326540365</v>
      </c>
    </row>
    <row r="1672" spans="13:15" x14ac:dyDescent="0.3">
      <c r="M1672" s="35">
        <v>21.53</v>
      </c>
      <c r="N1672">
        <v>305</v>
      </c>
      <c r="O1672" s="34">
        <f t="shared" si="27"/>
        <v>0.19025389957873623</v>
      </c>
    </row>
    <row r="1673" spans="13:15" x14ac:dyDescent="0.3">
      <c r="M1673" s="35">
        <v>21.53</v>
      </c>
      <c r="N1673">
        <v>305</v>
      </c>
      <c r="O1673" s="34">
        <f t="shared" si="27"/>
        <v>0.19036775589206881</v>
      </c>
    </row>
    <row r="1674" spans="13:15" x14ac:dyDescent="0.3">
      <c r="M1674" s="35">
        <v>21.53</v>
      </c>
      <c r="N1674">
        <v>305</v>
      </c>
      <c r="O1674" s="34">
        <f t="shared" si="27"/>
        <v>0.19048161220540138</v>
      </c>
    </row>
    <row r="1675" spans="13:15" x14ac:dyDescent="0.3">
      <c r="M1675" s="35">
        <v>21.53</v>
      </c>
      <c r="N1675">
        <v>305</v>
      </c>
      <c r="O1675" s="34">
        <f t="shared" si="27"/>
        <v>0.19059546851873396</v>
      </c>
    </row>
    <row r="1676" spans="13:15" x14ac:dyDescent="0.3">
      <c r="M1676" s="35">
        <v>21.53</v>
      </c>
      <c r="N1676">
        <v>305</v>
      </c>
      <c r="O1676" s="34">
        <f t="shared" si="27"/>
        <v>0.19070932483206654</v>
      </c>
    </row>
    <row r="1677" spans="13:15" x14ac:dyDescent="0.3">
      <c r="M1677" s="35">
        <v>21.53</v>
      </c>
      <c r="N1677">
        <v>305</v>
      </c>
      <c r="O1677" s="34">
        <f t="shared" si="27"/>
        <v>0.19082318114539912</v>
      </c>
    </row>
    <row r="1678" spans="13:15" x14ac:dyDescent="0.3">
      <c r="M1678" s="35">
        <v>21.53</v>
      </c>
      <c r="N1678">
        <v>305</v>
      </c>
      <c r="O1678" s="34">
        <f t="shared" si="27"/>
        <v>0.1909370374587317</v>
      </c>
    </row>
    <row r="1679" spans="13:15" x14ac:dyDescent="0.3">
      <c r="M1679" s="35">
        <v>21.54</v>
      </c>
      <c r="N1679">
        <v>305</v>
      </c>
      <c r="O1679" s="34">
        <f t="shared" si="27"/>
        <v>0.19105089377206427</v>
      </c>
    </row>
    <row r="1680" spans="13:15" x14ac:dyDescent="0.3">
      <c r="M1680" s="35">
        <v>21.54</v>
      </c>
      <c r="N1680">
        <v>305</v>
      </c>
      <c r="O1680" s="34">
        <f t="shared" si="27"/>
        <v>0.19116475008539685</v>
      </c>
    </row>
    <row r="1681" spans="13:15" x14ac:dyDescent="0.3">
      <c r="M1681" s="35">
        <v>21.55</v>
      </c>
      <c r="N1681">
        <v>305</v>
      </c>
      <c r="O1681" s="34">
        <f t="shared" si="27"/>
        <v>0.19127860639872943</v>
      </c>
    </row>
    <row r="1682" spans="13:15" x14ac:dyDescent="0.3">
      <c r="M1682" s="35">
        <v>21.55</v>
      </c>
      <c r="N1682">
        <v>305</v>
      </c>
      <c r="O1682" s="34">
        <f t="shared" si="27"/>
        <v>0.19139246271206201</v>
      </c>
    </row>
    <row r="1683" spans="13:15" x14ac:dyDescent="0.3">
      <c r="M1683" s="35">
        <v>21.55</v>
      </c>
      <c r="N1683">
        <v>305</v>
      </c>
      <c r="O1683" s="34">
        <f t="shared" si="27"/>
        <v>0.19150631902539458</v>
      </c>
    </row>
    <row r="1684" spans="13:15" x14ac:dyDescent="0.3">
      <c r="M1684" s="35">
        <v>21.55</v>
      </c>
      <c r="N1684">
        <v>305</v>
      </c>
      <c r="O1684" s="34">
        <f t="shared" si="27"/>
        <v>0.19162017533872716</v>
      </c>
    </row>
    <row r="1685" spans="13:15" x14ac:dyDescent="0.3">
      <c r="M1685" s="35">
        <v>21.56</v>
      </c>
      <c r="N1685">
        <v>305</v>
      </c>
      <c r="O1685" s="34">
        <f t="shared" si="27"/>
        <v>0.19173403165205974</v>
      </c>
    </row>
    <row r="1686" spans="13:15" x14ac:dyDescent="0.3">
      <c r="M1686" s="35">
        <v>21.56</v>
      </c>
      <c r="N1686">
        <v>305</v>
      </c>
      <c r="O1686" s="34">
        <f t="shared" si="27"/>
        <v>0.19184788796539232</v>
      </c>
    </row>
    <row r="1687" spans="13:15" x14ac:dyDescent="0.3">
      <c r="M1687" s="35">
        <v>21.56</v>
      </c>
      <c r="N1687">
        <v>305</v>
      </c>
      <c r="O1687" s="34">
        <f t="shared" si="27"/>
        <v>0.19196174427872489</v>
      </c>
    </row>
    <row r="1688" spans="13:15" x14ac:dyDescent="0.3">
      <c r="M1688" s="35">
        <v>21.57</v>
      </c>
      <c r="N1688">
        <v>305</v>
      </c>
      <c r="O1688" s="34">
        <f t="shared" si="27"/>
        <v>0.19207560059205747</v>
      </c>
    </row>
    <row r="1689" spans="13:15" x14ac:dyDescent="0.3">
      <c r="M1689" s="35">
        <v>21.57</v>
      </c>
      <c r="N1689">
        <v>305</v>
      </c>
      <c r="O1689" s="34">
        <f t="shared" si="27"/>
        <v>0.19218945690539005</v>
      </c>
    </row>
    <row r="1690" spans="13:15" x14ac:dyDescent="0.3">
      <c r="M1690" s="35">
        <v>21.57</v>
      </c>
      <c r="N1690">
        <v>305</v>
      </c>
      <c r="O1690" s="34">
        <f t="shared" si="27"/>
        <v>0.19230331321872263</v>
      </c>
    </row>
    <row r="1691" spans="13:15" x14ac:dyDescent="0.3">
      <c r="M1691" s="35">
        <v>21.57</v>
      </c>
      <c r="N1691">
        <v>305</v>
      </c>
      <c r="O1691" s="34">
        <f t="shared" si="27"/>
        <v>0.1924171695320552</v>
      </c>
    </row>
    <row r="1692" spans="13:15" x14ac:dyDescent="0.3">
      <c r="M1692" s="35">
        <v>21.57</v>
      </c>
      <c r="N1692">
        <v>305</v>
      </c>
      <c r="O1692" s="34">
        <f t="shared" si="27"/>
        <v>0.19253102584538778</v>
      </c>
    </row>
    <row r="1693" spans="13:15" x14ac:dyDescent="0.3">
      <c r="M1693" s="35">
        <v>21.57</v>
      </c>
      <c r="N1693">
        <v>305</v>
      </c>
      <c r="O1693" s="34">
        <f t="shared" si="27"/>
        <v>0.19264488215872036</v>
      </c>
    </row>
    <row r="1694" spans="13:15" x14ac:dyDescent="0.3">
      <c r="M1694" s="35">
        <v>21.57</v>
      </c>
      <c r="N1694">
        <v>305</v>
      </c>
      <c r="O1694" s="34">
        <f t="shared" si="27"/>
        <v>0.19275873847205294</v>
      </c>
    </row>
    <row r="1695" spans="13:15" x14ac:dyDescent="0.3">
      <c r="M1695" s="35">
        <v>21.58</v>
      </c>
      <c r="N1695">
        <v>305</v>
      </c>
      <c r="O1695" s="34">
        <f t="shared" si="27"/>
        <v>0.19287259478538551</v>
      </c>
    </row>
    <row r="1696" spans="13:15" x14ac:dyDescent="0.3">
      <c r="M1696" s="35">
        <v>21.58</v>
      </c>
      <c r="N1696">
        <v>305</v>
      </c>
      <c r="O1696" s="34">
        <f t="shared" si="27"/>
        <v>0.19298645109871809</v>
      </c>
    </row>
    <row r="1697" spans="13:15" x14ac:dyDescent="0.3">
      <c r="M1697" s="35">
        <v>21.58</v>
      </c>
      <c r="N1697">
        <v>305</v>
      </c>
      <c r="O1697" s="34">
        <f t="shared" si="27"/>
        <v>0.19310030741205067</v>
      </c>
    </row>
    <row r="1698" spans="13:15" x14ac:dyDescent="0.3">
      <c r="M1698" s="35">
        <v>21.59</v>
      </c>
      <c r="N1698">
        <v>305</v>
      </c>
      <c r="O1698" s="34">
        <f t="shared" si="27"/>
        <v>0.19321416372538325</v>
      </c>
    </row>
    <row r="1699" spans="13:15" x14ac:dyDescent="0.3">
      <c r="M1699" s="35">
        <v>21.59</v>
      </c>
      <c r="N1699">
        <v>305</v>
      </c>
      <c r="O1699" s="34">
        <f t="shared" si="27"/>
        <v>0.19332802003871583</v>
      </c>
    </row>
    <row r="1700" spans="13:15" x14ac:dyDescent="0.3">
      <c r="M1700" s="35">
        <v>21.59</v>
      </c>
      <c r="N1700">
        <v>305</v>
      </c>
      <c r="O1700" s="34">
        <f t="shared" si="27"/>
        <v>0.1934418763520484</v>
      </c>
    </row>
    <row r="1701" spans="13:15" x14ac:dyDescent="0.3">
      <c r="M1701" s="35">
        <v>21.59</v>
      </c>
      <c r="N1701">
        <v>305</v>
      </c>
      <c r="O1701" s="34">
        <f t="shared" si="27"/>
        <v>0.19355573266538098</v>
      </c>
    </row>
    <row r="1702" spans="13:15" x14ac:dyDescent="0.3">
      <c r="M1702" s="35">
        <v>21.59</v>
      </c>
      <c r="N1702">
        <v>305</v>
      </c>
      <c r="O1702" s="34">
        <f t="shared" si="27"/>
        <v>0.19366958897871356</v>
      </c>
    </row>
    <row r="1703" spans="13:15" x14ac:dyDescent="0.3">
      <c r="M1703" s="35">
        <v>21.59</v>
      </c>
      <c r="N1703">
        <v>305</v>
      </c>
      <c r="O1703" s="34">
        <f t="shared" si="27"/>
        <v>0.19378344529204614</v>
      </c>
    </row>
    <row r="1704" spans="13:15" x14ac:dyDescent="0.3">
      <c r="M1704" s="35">
        <v>21.6</v>
      </c>
      <c r="N1704">
        <v>305</v>
      </c>
      <c r="O1704" s="34">
        <f t="shared" si="27"/>
        <v>0.19389730160537871</v>
      </c>
    </row>
    <row r="1705" spans="13:15" x14ac:dyDescent="0.3">
      <c r="M1705" s="35">
        <v>21.6</v>
      </c>
      <c r="N1705">
        <v>305</v>
      </c>
      <c r="O1705" s="34">
        <f t="shared" si="27"/>
        <v>0.19401115791871129</v>
      </c>
    </row>
    <row r="1706" spans="13:15" x14ac:dyDescent="0.3">
      <c r="M1706" s="35">
        <v>21.6</v>
      </c>
      <c r="N1706">
        <v>305</v>
      </c>
      <c r="O1706" s="34">
        <f t="shared" si="27"/>
        <v>0.19412501423204387</v>
      </c>
    </row>
    <row r="1707" spans="13:15" x14ac:dyDescent="0.3">
      <c r="M1707" s="35">
        <v>21.6</v>
      </c>
      <c r="N1707">
        <v>305</v>
      </c>
      <c r="O1707" s="34">
        <f t="shared" si="27"/>
        <v>0.19423887054537645</v>
      </c>
    </row>
    <row r="1708" spans="13:15" x14ac:dyDescent="0.3">
      <c r="M1708" s="35">
        <v>21.6</v>
      </c>
      <c r="N1708">
        <v>305</v>
      </c>
      <c r="O1708" s="34">
        <f t="shared" si="27"/>
        <v>0.19435272685870902</v>
      </c>
    </row>
    <row r="1709" spans="13:15" x14ac:dyDescent="0.3">
      <c r="M1709" s="35">
        <v>21.6</v>
      </c>
      <c r="N1709">
        <v>305</v>
      </c>
      <c r="O1709" s="34">
        <f t="shared" si="27"/>
        <v>0.1944665831720416</v>
      </c>
    </row>
    <row r="1710" spans="13:15" x14ac:dyDescent="0.3">
      <c r="M1710" s="35">
        <v>21.61</v>
      </c>
      <c r="N1710">
        <v>305</v>
      </c>
      <c r="O1710" s="34">
        <f t="shared" si="27"/>
        <v>0.19458043948537418</v>
      </c>
    </row>
    <row r="1711" spans="13:15" x14ac:dyDescent="0.3">
      <c r="M1711" s="35">
        <v>21.62</v>
      </c>
      <c r="N1711">
        <v>305</v>
      </c>
      <c r="O1711" s="34">
        <f t="shared" si="27"/>
        <v>0.19469429579870676</v>
      </c>
    </row>
    <row r="1712" spans="13:15" x14ac:dyDescent="0.3">
      <c r="M1712" s="35">
        <v>21.62</v>
      </c>
      <c r="N1712">
        <v>305</v>
      </c>
      <c r="O1712" s="34">
        <f t="shared" si="27"/>
        <v>0.19480815211203933</v>
      </c>
    </row>
    <row r="1713" spans="13:15" x14ac:dyDescent="0.3">
      <c r="M1713" s="35">
        <v>21.62</v>
      </c>
      <c r="N1713">
        <v>305</v>
      </c>
      <c r="O1713" s="34">
        <f t="shared" si="27"/>
        <v>0.19492200842537191</v>
      </c>
    </row>
    <row r="1714" spans="13:15" x14ac:dyDescent="0.3">
      <c r="M1714" s="35">
        <v>21.62</v>
      </c>
      <c r="N1714">
        <v>305</v>
      </c>
      <c r="O1714" s="34">
        <f t="shared" si="27"/>
        <v>0.19503586473870449</v>
      </c>
    </row>
    <row r="1715" spans="13:15" x14ac:dyDescent="0.3">
      <c r="M1715" s="35">
        <v>21.63</v>
      </c>
      <c r="N1715">
        <v>305</v>
      </c>
      <c r="O1715" s="34">
        <f t="shared" si="27"/>
        <v>0.19514972105203707</v>
      </c>
    </row>
    <row r="1716" spans="13:15" x14ac:dyDescent="0.3">
      <c r="M1716" s="35">
        <v>21.63</v>
      </c>
      <c r="N1716">
        <v>305</v>
      </c>
      <c r="O1716" s="34">
        <f t="shared" si="27"/>
        <v>0.19526357736536964</v>
      </c>
    </row>
    <row r="1717" spans="13:15" x14ac:dyDescent="0.3">
      <c r="M1717" s="35">
        <v>21.64</v>
      </c>
      <c r="N1717">
        <v>305</v>
      </c>
      <c r="O1717" s="34">
        <f t="shared" si="27"/>
        <v>0.19537743367870222</v>
      </c>
    </row>
    <row r="1718" spans="13:15" x14ac:dyDescent="0.3">
      <c r="M1718" s="35">
        <v>21.64</v>
      </c>
      <c r="N1718">
        <v>305</v>
      </c>
      <c r="O1718" s="34">
        <f t="shared" si="27"/>
        <v>0.1954912899920348</v>
      </c>
    </row>
    <row r="1719" spans="13:15" x14ac:dyDescent="0.3">
      <c r="M1719" s="35">
        <v>21.65</v>
      </c>
      <c r="N1719">
        <v>305</v>
      </c>
      <c r="O1719" s="34">
        <f t="shared" si="27"/>
        <v>0.19560514630536738</v>
      </c>
    </row>
    <row r="1720" spans="13:15" x14ac:dyDescent="0.3">
      <c r="M1720" s="35">
        <v>21.65</v>
      </c>
      <c r="N1720">
        <v>305</v>
      </c>
      <c r="O1720" s="34">
        <f t="shared" si="27"/>
        <v>0.19571900261869996</v>
      </c>
    </row>
    <row r="1721" spans="13:15" x14ac:dyDescent="0.3">
      <c r="M1721" s="35">
        <v>21.65</v>
      </c>
      <c r="N1721">
        <v>305</v>
      </c>
      <c r="O1721" s="34">
        <f t="shared" si="27"/>
        <v>0.19583285893203253</v>
      </c>
    </row>
    <row r="1722" spans="13:15" x14ac:dyDescent="0.3">
      <c r="M1722" s="35">
        <v>21.65</v>
      </c>
      <c r="N1722">
        <v>305</v>
      </c>
      <c r="O1722" s="34">
        <f t="shared" si="27"/>
        <v>0.19594671524536511</v>
      </c>
    </row>
    <row r="1723" spans="13:15" x14ac:dyDescent="0.3">
      <c r="M1723" s="35">
        <v>21.65</v>
      </c>
      <c r="N1723">
        <v>305</v>
      </c>
      <c r="O1723" s="34">
        <f t="shared" si="27"/>
        <v>0.19606057155869769</v>
      </c>
    </row>
    <row r="1724" spans="13:15" x14ac:dyDescent="0.3">
      <c r="M1724" s="35">
        <v>21.66</v>
      </c>
      <c r="N1724">
        <v>305</v>
      </c>
      <c r="O1724" s="34">
        <f t="shared" si="27"/>
        <v>0.19617442787203027</v>
      </c>
    </row>
    <row r="1725" spans="13:15" x14ac:dyDescent="0.3">
      <c r="M1725" s="35">
        <v>21.66</v>
      </c>
      <c r="N1725">
        <v>305</v>
      </c>
      <c r="O1725" s="34">
        <f t="shared" si="27"/>
        <v>0.19628828418536284</v>
      </c>
    </row>
    <row r="1726" spans="13:15" x14ac:dyDescent="0.3">
      <c r="M1726" s="35">
        <v>21.66</v>
      </c>
      <c r="N1726">
        <v>305</v>
      </c>
      <c r="O1726" s="34">
        <f t="shared" si="27"/>
        <v>0.19640214049869542</v>
      </c>
    </row>
    <row r="1727" spans="13:15" x14ac:dyDescent="0.3">
      <c r="M1727" s="35">
        <v>21.66</v>
      </c>
      <c r="N1727">
        <v>305</v>
      </c>
      <c r="O1727" s="34">
        <f t="shared" si="27"/>
        <v>0.196515996812028</v>
      </c>
    </row>
    <row r="1728" spans="13:15" x14ac:dyDescent="0.3">
      <c r="M1728" s="35">
        <v>21.67</v>
      </c>
      <c r="N1728">
        <v>305</v>
      </c>
      <c r="O1728" s="34">
        <f t="shared" si="27"/>
        <v>0.19662985312536058</v>
      </c>
    </row>
    <row r="1729" spans="13:15" x14ac:dyDescent="0.3">
      <c r="M1729" s="35">
        <v>21.67</v>
      </c>
      <c r="N1729">
        <v>305</v>
      </c>
      <c r="O1729" s="34">
        <f t="shared" si="27"/>
        <v>0.19674370943869315</v>
      </c>
    </row>
    <row r="1730" spans="13:15" x14ac:dyDescent="0.3">
      <c r="M1730" s="35">
        <v>21.67</v>
      </c>
      <c r="N1730">
        <v>305</v>
      </c>
      <c r="O1730" s="34">
        <f t="shared" si="27"/>
        <v>0.19685756575202573</v>
      </c>
    </row>
    <row r="1731" spans="13:15" x14ac:dyDescent="0.3">
      <c r="M1731" s="35">
        <v>21.67</v>
      </c>
      <c r="N1731">
        <v>305</v>
      </c>
      <c r="O1731" s="34">
        <f t="shared" si="27"/>
        <v>0.19697142206535831</v>
      </c>
    </row>
    <row r="1732" spans="13:15" x14ac:dyDescent="0.3">
      <c r="M1732" s="35">
        <v>21.67</v>
      </c>
      <c r="N1732">
        <v>305</v>
      </c>
      <c r="O1732" s="34">
        <f t="shared" ref="O1732:O1795" si="28">O1731+O$2</f>
        <v>0.19708527837869089</v>
      </c>
    </row>
    <row r="1733" spans="13:15" x14ac:dyDescent="0.3">
      <c r="M1733" s="35">
        <v>21.67</v>
      </c>
      <c r="N1733">
        <v>305</v>
      </c>
      <c r="O1733" s="34">
        <f t="shared" si="28"/>
        <v>0.19719913469202346</v>
      </c>
    </row>
    <row r="1734" spans="13:15" x14ac:dyDescent="0.3">
      <c r="M1734" s="35">
        <v>21.67</v>
      </c>
      <c r="N1734">
        <v>305</v>
      </c>
      <c r="O1734" s="34">
        <f t="shared" si="28"/>
        <v>0.19731299100535604</v>
      </c>
    </row>
    <row r="1735" spans="13:15" x14ac:dyDescent="0.3">
      <c r="M1735" s="35">
        <v>21.68</v>
      </c>
      <c r="N1735">
        <v>305</v>
      </c>
      <c r="O1735" s="34">
        <f t="shared" si="28"/>
        <v>0.19742684731868862</v>
      </c>
    </row>
    <row r="1736" spans="13:15" x14ac:dyDescent="0.3">
      <c r="M1736" s="35">
        <v>21.68</v>
      </c>
      <c r="N1736">
        <v>305</v>
      </c>
      <c r="O1736" s="34">
        <f t="shared" si="28"/>
        <v>0.1975407036320212</v>
      </c>
    </row>
    <row r="1737" spans="13:15" x14ac:dyDescent="0.3">
      <c r="M1737" s="35">
        <v>21.68</v>
      </c>
      <c r="N1737">
        <v>305</v>
      </c>
      <c r="O1737" s="34">
        <f t="shared" si="28"/>
        <v>0.19765455994535377</v>
      </c>
    </row>
    <row r="1738" spans="13:15" x14ac:dyDescent="0.3">
      <c r="M1738" s="35">
        <v>21.68</v>
      </c>
      <c r="N1738">
        <v>305</v>
      </c>
      <c r="O1738" s="34">
        <f t="shared" si="28"/>
        <v>0.19776841625868635</v>
      </c>
    </row>
    <row r="1739" spans="13:15" x14ac:dyDescent="0.3">
      <c r="M1739" s="35">
        <v>21.68</v>
      </c>
      <c r="N1739">
        <v>305</v>
      </c>
      <c r="O1739" s="34">
        <f t="shared" si="28"/>
        <v>0.19788227257201893</v>
      </c>
    </row>
    <row r="1740" spans="13:15" x14ac:dyDescent="0.3">
      <c r="M1740" s="35">
        <v>21.69</v>
      </c>
      <c r="N1740">
        <v>305</v>
      </c>
      <c r="O1740" s="34">
        <f t="shared" si="28"/>
        <v>0.19799612888535151</v>
      </c>
    </row>
    <row r="1741" spans="13:15" x14ac:dyDescent="0.3">
      <c r="M1741" s="35">
        <v>21.69</v>
      </c>
      <c r="N1741">
        <v>305</v>
      </c>
      <c r="O1741" s="34">
        <f t="shared" si="28"/>
        <v>0.19810998519868409</v>
      </c>
    </row>
    <row r="1742" spans="13:15" x14ac:dyDescent="0.3">
      <c r="M1742" s="35">
        <v>21.69</v>
      </c>
      <c r="N1742">
        <v>305</v>
      </c>
      <c r="O1742" s="34">
        <f t="shared" si="28"/>
        <v>0.19822384151201666</v>
      </c>
    </row>
    <row r="1743" spans="13:15" x14ac:dyDescent="0.3">
      <c r="M1743" s="35">
        <v>21.69</v>
      </c>
      <c r="N1743">
        <v>305</v>
      </c>
      <c r="O1743" s="34">
        <f t="shared" si="28"/>
        <v>0.19833769782534924</v>
      </c>
    </row>
    <row r="1744" spans="13:15" x14ac:dyDescent="0.3">
      <c r="M1744" s="35">
        <v>21.69</v>
      </c>
      <c r="N1744">
        <v>305</v>
      </c>
      <c r="O1744" s="34">
        <f t="shared" si="28"/>
        <v>0.19845155413868182</v>
      </c>
    </row>
    <row r="1745" spans="13:15" x14ac:dyDescent="0.3">
      <c r="M1745" s="35">
        <v>21.7</v>
      </c>
      <c r="N1745">
        <v>305</v>
      </c>
      <c r="O1745" s="34">
        <f t="shared" si="28"/>
        <v>0.1985654104520144</v>
      </c>
    </row>
    <row r="1746" spans="13:15" x14ac:dyDescent="0.3">
      <c r="M1746" s="35">
        <v>21.7</v>
      </c>
      <c r="N1746">
        <v>305</v>
      </c>
      <c r="O1746" s="34">
        <f t="shared" si="28"/>
        <v>0.19867926676534697</v>
      </c>
    </row>
    <row r="1747" spans="13:15" x14ac:dyDescent="0.3">
      <c r="M1747" s="35">
        <v>21.71</v>
      </c>
      <c r="N1747">
        <v>305</v>
      </c>
      <c r="O1747" s="34">
        <f t="shared" si="28"/>
        <v>0.19879312307867955</v>
      </c>
    </row>
    <row r="1748" spans="13:15" x14ac:dyDescent="0.3">
      <c r="M1748" s="35">
        <v>21.71</v>
      </c>
      <c r="N1748">
        <v>305</v>
      </c>
      <c r="O1748" s="34">
        <f t="shared" si="28"/>
        <v>0.19890697939201213</v>
      </c>
    </row>
    <row r="1749" spans="13:15" x14ac:dyDescent="0.3">
      <c r="M1749" s="35">
        <v>21.71</v>
      </c>
      <c r="N1749">
        <v>305</v>
      </c>
      <c r="O1749" s="34">
        <f t="shared" si="28"/>
        <v>0.19902083570534471</v>
      </c>
    </row>
    <row r="1750" spans="13:15" x14ac:dyDescent="0.3">
      <c r="M1750" s="35">
        <v>21.72</v>
      </c>
      <c r="N1750">
        <v>305</v>
      </c>
      <c r="O1750" s="34">
        <f t="shared" si="28"/>
        <v>0.19913469201867728</v>
      </c>
    </row>
    <row r="1751" spans="13:15" x14ac:dyDescent="0.3">
      <c r="M1751" s="35">
        <v>21.72</v>
      </c>
      <c r="N1751">
        <v>305</v>
      </c>
      <c r="O1751" s="34">
        <f t="shared" si="28"/>
        <v>0.19924854833200986</v>
      </c>
    </row>
    <row r="1752" spans="13:15" x14ac:dyDescent="0.3">
      <c r="M1752" s="35">
        <v>21.72</v>
      </c>
      <c r="N1752">
        <v>305</v>
      </c>
      <c r="O1752" s="34">
        <f t="shared" si="28"/>
        <v>0.19936240464534244</v>
      </c>
    </row>
    <row r="1753" spans="13:15" x14ac:dyDescent="0.3">
      <c r="M1753" s="35">
        <v>21.72</v>
      </c>
      <c r="N1753">
        <v>305</v>
      </c>
      <c r="O1753" s="34">
        <f t="shared" si="28"/>
        <v>0.19947626095867502</v>
      </c>
    </row>
    <row r="1754" spans="13:15" x14ac:dyDescent="0.3">
      <c r="M1754" s="35">
        <v>21.73</v>
      </c>
      <c r="N1754">
        <v>305</v>
      </c>
      <c r="O1754" s="34">
        <f t="shared" si="28"/>
        <v>0.19959011727200759</v>
      </c>
    </row>
    <row r="1755" spans="13:15" x14ac:dyDescent="0.3">
      <c r="M1755" s="35">
        <v>21.73</v>
      </c>
      <c r="N1755">
        <v>305</v>
      </c>
      <c r="O1755" s="34">
        <f t="shared" si="28"/>
        <v>0.19970397358534017</v>
      </c>
    </row>
    <row r="1756" spans="13:15" x14ac:dyDescent="0.3">
      <c r="M1756" s="35">
        <v>21.73</v>
      </c>
      <c r="N1756">
        <v>305</v>
      </c>
      <c r="O1756" s="34">
        <f t="shared" si="28"/>
        <v>0.19981782989867275</v>
      </c>
    </row>
    <row r="1757" spans="13:15" x14ac:dyDescent="0.3">
      <c r="M1757" s="35">
        <v>21.73</v>
      </c>
      <c r="N1757">
        <v>305</v>
      </c>
      <c r="O1757" s="34">
        <f t="shared" si="28"/>
        <v>0.19993168621200533</v>
      </c>
    </row>
    <row r="1758" spans="13:15" x14ac:dyDescent="0.3">
      <c r="M1758" s="35">
        <v>21.74</v>
      </c>
      <c r="N1758">
        <v>305</v>
      </c>
      <c r="O1758" s="34">
        <f t="shared" si="28"/>
        <v>0.2000455425253379</v>
      </c>
    </row>
    <row r="1759" spans="13:15" x14ac:dyDescent="0.3">
      <c r="M1759" s="35">
        <v>21.74</v>
      </c>
      <c r="N1759">
        <v>305</v>
      </c>
      <c r="O1759" s="34">
        <f t="shared" si="28"/>
        <v>0.20015939883867048</v>
      </c>
    </row>
    <row r="1760" spans="13:15" x14ac:dyDescent="0.3">
      <c r="M1760" s="35">
        <v>21.75</v>
      </c>
      <c r="N1760">
        <v>305</v>
      </c>
      <c r="O1760" s="34">
        <f t="shared" si="28"/>
        <v>0.20027325515200306</v>
      </c>
    </row>
    <row r="1761" spans="13:15" x14ac:dyDescent="0.3">
      <c r="M1761" s="35">
        <v>21.75</v>
      </c>
      <c r="N1761">
        <v>305</v>
      </c>
      <c r="O1761" s="34">
        <f t="shared" si="28"/>
        <v>0.20038711146533564</v>
      </c>
    </row>
    <row r="1762" spans="13:15" x14ac:dyDescent="0.3">
      <c r="M1762" s="35">
        <v>21.76</v>
      </c>
      <c r="N1762">
        <v>305</v>
      </c>
      <c r="O1762" s="34">
        <f t="shared" si="28"/>
        <v>0.20050096777866822</v>
      </c>
    </row>
    <row r="1763" spans="13:15" x14ac:dyDescent="0.3">
      <c r="M1763" s="35">
        <v>21.76</v>
      </c>
      <c r="N1763">
        <v>305</v>
      </c>
      <c r="O1763" s="34">
        <f t="shared" si="28"/>
        <v>0.20061482409200079</v>
      </c>
    </row>
    <row r="1764" spans="13:15" x14ac:dyDescent="0.3">
      <c r="M1764" s="35">
        <v>21.76</v>
      </c>
      <c r="N1764">
        <v>305</v>
      </c>
      <c r="O1764" s="34">
        <f t="shared" si="28"/>
        <v>0.20072868040533337</v>
      </c>
    </row>
    <row r="1765" spans="13:15" x14ac:dyDescent="0.3">
      <c r="M1765" s="35">
        <v>21.76</v>
      </c>
      <c r="N1765">
        <v>305</v>
      </c>
      <c r="O1765" s="34">
        <f t="shared" si="28"/>
        <v>0.20084253671866595</v>
      </c>
    </row>
    <row r="1766" spans="13:15" x14ac:dyDescent="0.3">
      <c r="M1766" s="35">
        <v>21.76</v>
      </c>
      <c r="N1766">
        <v>305</v>
      </c>
      <c r="O1766" s="34">
        <f t="shared" si="28"/>
        <v>0.20095639303199853</v>
      </c>
    </row>
    <row r="1767" spans="13:15" x14ac:dyDescent="0.3">
      <c r="M1767" s="35">
        <v>21.77</v>
      </c>
      <c r="N1767">
        <v>305</v>
      </c>
      <c r="O1767" s="34">
        <f t="shared" si="28"/>
        <v>0.2010702493453311</v>
      </c>
    </row>
    <row r="1768" spans="13:15" x14ac:dyDescent="0.3">
      <c r="M1768" s="35">
        <v>21.77</v>
      </c>
      <c r="N1768">
        <v>305</v>
      </c>
      <c r="O1768" s="34">
        <f t="shared" si="28"/>
        <v>0.20118410565866368</v>
      </c>
    </row>
    <row r="1769" spans="13:15" x14ac:dyDescent="0.3">
      <c r="M1769" s="35">
        <v>21.77</v>
      </c>
      <c r="N1769">
        <v>305</v>
      </c>
      <c r="O1769" s="34">
        <f t="shared" si="28"/>
        <v>0.20129796197199626</v>
      </c>
    </row>
    <row r="1770" spans="13:15" x14ac:dyDescent="0.3">
      <c r="M1770" s="35">
        <v>21.77</v>
      </c>
      <c r="N1770">
        <v>305</v>
      </c>
      <c r="O1770" s="34">
        <f t="shared" si="28"/>
        <v>0.20141181828532884</v>
      </c>
    </row>
    <row r="1771" spans="13:15" x14ac:dyDescent="0.3">
      <c r="M1771" s="35">
        <v>21.78</v>
      </c>
      <c r="N1771">
        <v>305</v>
      </c>
      <c r="O1771" s="34">
        <f t="shared" si="28"/>
        <v>0.20152567459866141</v>
      </c>
    </row>
    <row r="1772" spans="13:15" x14ac:dyDescent="0.3">
      <c r="M1772" s="35">
        <v>21.78</v>
      </c>
      <c r="N1772">
        <v>305</v>
      </c>
      <c r="O1772" s="34">
        <f t="shared" si="28"/>
        <v>0.20163953091199399</v>
      </c>
    </row>
    <row r="1773" spans="13:15" x14ac:dyDescent="0.3">
      <c r="M1773" s="35">
        <v>21.78</v>
      </c>
      <c r="N1773">
        <v>305</v>
      </c>
      <c r="O1773" s="34">
        <f t="shared" si="28"/>
        <v>0.20175338722532657</v>
      </c>
    </row>
    <row r="1774" spans="13:15" x14ac:dyDescent="0.3">
      <c r="M1774" s="35">
        <v>21.78</v>
      </c>
      <c r="N1774">
        <v>305</v>
      </c>
      <c r="O1774" s="34">
        <f t="shared" si="28"/>
        <v>0.20186724353865915</v>
      </c>
    </row>
    <row r="1775" spans="13:15" x14ac:dyDescent="0.3">
      <c r="M1775" s="35">
        <v>21.78</v>
      </c>
      <c r="N1775">
        <v>305</v>
      </c>
      <c r="O1775" s="34">
        <f t="shared" si="28"/>
        <v>0.20198109985199172</v>
      </c>
    </row>
    <row r="1776" spans="13:15" x14ac:dyDescent="0.3">
      <c r="M1776" s="35">
        <v>21.78</v>
      </c>
      <c r="N1776">
        <v>305</v>
      </c>
      <c r="O1776" s="34">
        <f t="shared" si="28"/>
        <v>0.2020949561653243</v>
      </c>
    </row>
    <row r="1777" spans="13:15" x14ac:dyDescent="0.3">
      <c r="M1777" s="35">
        <v>21.78</v>
      </c>
      <c r="N1777">
        <v>305</v>
      </c>
      <c r="O1777" s="34">
        <f t="shared" si="28"/>
        <v>0.20220881247865688</v>
      </c>
    </row>
    <row r="1778" spans="13:15" x14ac:dyDescent="0.3">
      <c r="M1778" s="35">
        <v>21.78</v>
      </c>
      <c r="N1778">
        <v>305</v>
      </c>
      <c r="O1778" s="34">
        <f t="shared" si="28"/>
        <v>0.20232266879198946</v>
      </c>
    </row>
    <row r="1779" spans="13:15" x14ac:dyDescent="0.3">
      <c r="M1779" s="35">
        <v>21.79</v>
      </c>
      <c r="N1779">
        <v>305</v>
      </c>
      <c r="O1779" s="34">
        <f t="shared" si="28"/>
        <v>0.20243652510532203</v>
      </c>
    </row>
    <row r="1780" spans="13:15" x14ac:dyDescent="0.3">
      <c r="M1780" s="35">
        <v>21.79</v>
      </c>
      <c r="N1780">
        <v>305</v>
      </c>
      <c r="O1780" s="34">
        <f t="shared" si="28"/>
        <v>0.20255038141865461</v>
      </c>
    </row>
    <row r="1781" spans="13:15" x14ac:dyDescent="0.3">
      <c r="M1781" s="35">
        <v>21.8</v>
      </c>
      <c r="N1781">
        <v>305</v>
      </c>
      <c r="O1781" s="34">
        <f t="shared" si="28"/>
        <v>0.20266423773198719</v>
      </c>
    </row>
    <row r="1782" spans="13:15" x14ac:dyDescent="0.3">
      <c r="M1782" s="35">
        <v>21.8</v>
      </c>
      <c r="N1782">
        <v>305</v>
      </c>
      <c r="O1782" s="34">
        <f t="shared" si="28"/>
        <v>0.20277809404531977</v>
      </c>
    </row>
    <row r="1783" spans="13:15" x14ac:dyDescent="0.3">
      <c r="M1783" s="35">
        <v>21.8</v>
      </c>
      <c r="N1783">
        <v>305</v>
      </c>
      <c r="O1783" s="34">
        <f t="shared" si="28"/>
        <v>0.20289195035865235</v>
      </c>
    </row>
    <row r="1784" spans="13:15" x14ac:dyDescent="0.3">
      <c r="M1784" s="35">
        <v>21.8</v>
      </c>
      <c r="N1784">
        <v>305</v>
      </c>
      <c r="O1784" s="34">
        <f t="shared" si="28"/>
        <v>0.20300580667198492</v>
      </c>
    </row>
    <row r="1785" spans="13:15" x14ac:dyDescent="0.3">
      <c r="M1785" s="35">
        <v>21.81</v>
      </c>
      <c r="N1785">
        <v>305</v>
      </c>
      <c r="O1785" s="34">
        <f t="shared" si="28"/>
        <v>0.2031196629853175</v>
      </c>
    </row>
    <row r="1786" spans="13:15" x14ac:dyDescent="0.3">
      <c r="M1786" s="35">
        <v>21.83</v>
      </c>
      <c r="N1786">
        <v>305</v>
      </c>
      <c r="O1786" s="34">
        <f t="shared" si="28"/>
        <v>0.20323351929865008</v>
      </c>
    </row>
    <row r="1787" spans="13:15" x14ac:dyDescent="0.3">
      <c r="M1787" s="35">
        <v>21.83</v>
      </c>
      <c r="N1787">
        <v>305</v>
      </c>
      <c r="O1787" s="34">
        <f t="shared" si="28"/>
        <v>0.20334737561198266</v>
      </c>
    </row>
    <row r="1788" spans="13:15" x14ac:dyDescent="0.3">
      <c r="M1788" s="35">
        <v>21.83</v>
      </c>
      <c r="N1788">
        <v>305</v>
      </c>
      <c r="O1788" s="34">
        <f t="shared" si="28"/>
        <v>0.20346123192531523</v>
      </c>
    </row>
    <row r="1789" spans="13:15" x14ac:dyDescent="0.3">
      <c r="M1789" s="35">
        <v>21.83</v>
      </c>
      <c r="N1789">
        <v>305</v>
      </c>
      <c r="O1789" s="34">
        <f t="shared" si="28"/>
        <v>0.20357508823864781</v>
      </c>
    </row>
    <row r="1790" spans="13:15" x14ac:dyDescent="0.3">
      <c r="M1790" s="35">
        <v>21.83</v>
      </c>
      <c r="N1790">
        <v>305</v>
      </c>
      <c r="O1790" s="34">
        <f t="shared" si="28"/>
        <v>0.20368894455198039</v>
      </c>
    </row>
    <row r="1791" spans="13:15" x14ac:dyDescent="0.3">
      <c r="M1791" s="35">
        <v>21.84</v>
      </c>
      <c r="N1791">
        <v>305</v>
      </c>
      <c r="O1791" s="34">
        <f t="shared" si="28"/>
        <v>0.20380280086531297</v>
      </c>
    </row>
    <row r="1792" spans="13:15" x14ac:dyDescent="0.3">
      <c r="M1792" s="35">
        <v>21.84</v>
      </c>
      <c r="N1792">
        <v>305</v>
      </c>
      <c r="O1792" s="34">
        <f t="shared" si="28"/>
        <v>0.20391665717864554</v>
      </c>
    </row>
    <row r="1793" spans="13:15" x14ac:dyDescent="0.3">
      <c r="M1793" s="35">
        <v>21.85</v>
      </c>
      <c r="N1793">
        <v>305</v>
      </c>
      <c r="O1793" s="34">
        <f t="shared" si="28"/>
        <v>0.20403051349197812</v>
      </c>
    </row>
    <row r="1794" spans="13:15" x14ac:dyDescent="0.3">
      <c r="M1794" s="35">
        <v>21.85</v>
      </c>
      <c r="N1794">
        <v>305</v>
      </c>
      <c r="O1794" s="34">
        <f t="shared" si="28"/>
        <v>0.2041443698053107</v>
      </c>
    </row>
    <row r="1795" spans="13:15" x14ac:dyDescent="0.3">
      <c r="M1795" s="35">
        <v>21.85</v>
      </c>
      <c r="N1795">
        <v>305</v>
      </c>
      <c r="O1795" s="34">
        <f t="shared" si="28"/>
        <v>0.20425822611864328</v>
      </c>
    </row>
    <row r="1796" spans="13:15" x14ac:dyDescent="0.3">
      <c r="M1796" s="35">
        <v>21.86</v>
      </c>
      <c r="N1796">
        <v>305</v>
      </c>
      <c r="O1796" s="34">
        <f t="shared" ref="O1796:O1859" si="29">O1795+O$2</f>
        <v>0.20437208243197585</v>
      </c>
    </row>
    <row r="1797" spans="13:15" x14ac:dyDescent="0.3">
      <c r="M1797" s="35">
        <v>21.86</v>
      </c>
      <c r="N1797">
        <v>305</v>
      </c>
      <c r="O1797" s="34">
        <f t="shared" si="29"/>
        <v>0.20448593874530843</v>
      </c>
    </row>
    <row r="1798" spans="13:15" x14ac:dyDescent="0.3">
      <c r="M1798" s="35">
        <v>21.87</v>
      </c>
      <c r="N1798">
        <v>305</v>
      </c>
      <c r="O1798" s="34">
        <f t="shared" si="29"/>
        <v>0.20459979505864101</v>
      </c>
    </row>
    <row r="1799" spans="13:15" x14ac:dyDescent="0.3">
      <c r="M1799" s="35">
        <v>21.87</v>
      </c>
      <c r="N1799">
        <v>305</v>
      </c>
      <c r="O1799" s="34">
        <f t="shared" si="29"/>
        <v>0.20471365137197359</v>
      </c>
    </row>
    <row r="1800" spans="13:15" x14ac:dyDescent="0.3">
      <c r="M1800" s="35">
        <v>21.88</v>
      </c>
      <c r="N1800">
        <v>305</v>
      </c>
      <c r="O1800" s="34">
        <f t="shared" si="29"/>
        <v>0.20482750768530616</v>
      </c>
    </row>
    <row r="1801" spans="13:15" x14ac:dyDescent="0.3">
      <c r="M1801" s="35">
        <v>21.88</v>
      </c>
      <c r="N1801">
        <v>305</v>
      </c>
      <c r="O1801" s="34">
        <f t="shared" si="29"/>
        <v>0.20494136399863874</v>
      </c>
    </row>
    <row r="1802" spans="13:15" x14ac:dyDescent="0.3">
      <c r="M1802" s="35">
        <v>21.88</v>
      </c>
      <c r="N1802">
        <v>305</v>
      </c>
      <c r="O1802" s="34">
        <f t="shared" si="29"/>
        <v>0.20505522031197132</v>
      </c>
    </row>
    <row r="1803" spans="13:15" x14ac:dyDescent="0.3">
      <c r="M1803" s="35">
        <v>21.88</v>
      </c>
      <c r="N1803">
        <v>305</v>
      </c>
      <c r="O1803" s="34">
        <f t="shared" si="29"/>
        <v>0.2051690766253039</v>
      </c>
    </row>
    <row r="1804" spans="13:15" x14ac:dyDescent="0.3">
      <c r="M1804" s="35">
        <v>21.88</v>
      </c>
      <c r="N1804">
        <v>305</v>
      </c>
      <c r="O1804" s="34">
        <f t="shared" si="29"/>
        <v>0.20528293293863648</v>
      </c>
    </row>
    <row r="1805" spans="13:15" x14ac:dyDescent="0.3">
      <c r="M1805" s="35">
        <v>21.89</v>
      </c>
      <c r="N1805">
        <v>305</v>
      </c>
      <c r="O1805" s="34">
        <f t="shared" si="29"/>
        <v>0.20539678925196905</v>
      </c>
    </row>
    <row r="1806" spans="13:15" x14ac:dyDescent="0.3">
      <c r="M1806" s="35">
        <v>21.89</v>
      </c>
      <c r="N1806">
        <v>305</v>
      </c>
      <c r="O1806" s="34">
        <f t="shared" si="29"/>
        <v>0.20551064556530163</v>
      </c>
    </row>
    <row r="1807" spans="13:15" x14ac:dyDescent="0.3">
      <c r="M1807" s="35">
        <v>21.89</v>
      </c>
      <c r="N1807">
        <v>305</v>
      </c>
      <c r="O1807" s="34">
        <f t="shared" si="29"/>
        <v>0.20562450187863421</v>
      </c>
    </row>
    <row r="1808" spans="13:15" x14ac:dyDescent="0.3">
      <c r="M1808" s="35">
        <v>21.9</v>
      </c>
      <c r="N1808">
        <v>305</v>
      </c>
      <c r="O1808" s="34">
        <f t="shared" si="29"/>
        <v>0.20573835819196679</v>
      </c>
    </row>
    <row r="1809" spans="13:15" x14ac:dyDescent="0.3">
      <c r="M1809" s="35">
        <v>21.9</v>
      </c>
      <c r="N1809">
        <v>305</v>
      </c>
      <c r="O1809" s="34">
        <f t="shared" si="29"/>
        <v>0.20585221450529936</v>
      </c>
    </row>
    <row r="1810" spans="13:15" x14ac:dyDescent="0.3">
      <c r="M1810" s="35">
        <v>21.9</v>
      </c>
      <c r="N1810">
        <v>305</v>
      </c>
      <c r="O1810" s="34">
        <f t="shared" si="29"/>
        <v>0.20596607081863194</v>
      </c>
    </row>
    <row r="1811" spans="13:15" x14ac:dyDescent="0.3">
      <c r="M1811" s="35">
        <v>21.9</v>
      </c>
      <c r="N1811">
        <v>305</v>
      </c>
      <c r="O1811" s="34">
        <f t="shared" si="29"/>
        <v>0.20607992713196452</v>
      </c>
    </row>
    <row r="1812" spans="13:15" x14ac:dyDescent="0.3">
      <c r="M1812" s="35">
        <v>21.91</v>
      </c>
      <c r="N1812">
        <v>305</v>
      </c>
      <c r="O1812" s="34">
        <f t="shared" si="29"/>
        <v>0.2061937834452971</v>
      </c>
    </row>
    <row r="1813" spans="13:15" x14ac:dyDescent="0.3">
      <c r="M1813" s="35">
        <v>21.91</v>
      </c>
      <c r="N1813">
        <v>305</v>
      </c>
      <c r="O1813" s="34">
        <f t="shared" si="29"/>
        <v>0.20630763975862967</v>
      </c>
    </row>
    <row r="1814" spans="13:15" x14ac:dyDescent="0.3">
      <c r="M1814" s="35">
        <v>21.91</v>
      </c>
      <c r="N1814">
        <v>305</v>
      </c>
      <c r="O1814" s="34">
        <f t="shared" si="29"/>
        <v>0.20642149607196225</v>
      </c>
    </row>
    <row r="1815" spans="13:15" x14ac:dyDescent="0.3">
      <c r="M1815" s="35">
        <v>21.92</v>
      </c>
      <c r="N1815">
        <v>305</v>
      </c>
      <c r="O1815" s="34">
        <f t="shared" si="29"/>
        <v>0.20653535238529483</v>
      </c>
    </row>
    <row r="1816" spans="13:15" x14ac:dyDescent="0.3">
      <c r="M1816" s="35">
        <v>21.92</v>
      </c>
      <c r="N1816">
        <v>305</v>
      </c>
      <c r="O1816" s="34">
        <f t="shared" si="29"/>
        <v>0.20664920869862741</v>
      </c>
    </row>
    <row r="1817" spans="13:15" x14ac:dyDescent="0.3">
      <c r="M1817" s="35">
        <v>21.92</v>
      </c>
      <c r="N1817">
        <v>305</v>
      </c>
      <c r="O1817" s="34">
        <f t="shared" si="29"/>
        <v>0.20676306501195998</v>
      </c>
    </row>
    <row r="1818" spans="13:15" x14ac:dyDescent="0.3">
      <c r="M1818" s="35">
        <v>21.93</v>
      </c>
      <c r="N1818">
        <v>305</v>
      </c>
      <c r="O1818" s="34">
        <f t="shared" si="29"/>
        <v>0.20687692132529256</v>
      </c>
    </row>
    <row r="1819" spans="13:15" x14ac:dyDescent="0.3">
      <c r="M1819" s="35">
        <v>21.93</v>
      </c>
      <c r="N1819">
        <v>305</v>
      </c>
      <c r="O1819" s="34">
        <f t="shared" si="29"/>
        <v>0.20699077763862514</v>
      </c>
    </row>
    <row r="1820" spans="13:15" x14ac:dyDescent="0.3">
      <c r="M1820" s="35">
        <v>21.93</v>
      </c>
      <c r="N1820">
        <v>305</v>
      </c>
      <c r="O1820" s="34">
        <f t="shared" si="29"/>
        <v>0.20710463395195772</v>
      </c>
    </row>
    <row r="1821" spans="13:15" x14ac:dyDescent="0.3">
      <c r="M1821" s="35">
        <v>21.93</v>
      </c>
      <c r="N1821">
        <v>305</v>
      </c>
      <c r="O1821" s="34">
        <f t="shared" si="29"/>
        <v>0.20721849026529029</v>
      </c>
    </row>
    <row r="1822" spans="13:15" x14ac:dyDescent="0.3">
      <c r="M1822" s="35">
        <v>21.93</v>
      </c>
      <c r="N1822">
        <v>305</v>
      </c>
      <c r="O1822" s="34">
        <f t="shared" si="29"/>
        <v>0.20733234657862287</v>
      </c>
    </row>
    <row r="1823" spans="13:15" x14ac:dyDescent="0.3">
      <c r="M1823" s="35">
        <v>21.93</v>
      </c>
      <c r="N1823">
        <v>305</v>
      </c>
      <c r="O1823" s="34">
        <f t="shared" si="29"/>
        <v>0.20744620289195545</v>
      </c>
    </row>
    <row r="1824" spans="13:15" x14ac:dyDescent="0.3">
      <c r="M1824" s="35">
        <v>21.94</v>
      </c>
      <c r="N1824">
        <v>305</v>
      </c>
      <c r="O1824" s="34">
        <f t="shared" si="29"/>
        <v>0.20756005920528803</v>
      </c>
    </row>
    <row r="1825" spans="13:15" x14ac:dyDescent="0.3">
      <c r="M1825" s="35">
        <v>21.94</v>
      </c>
      <c r="N1825">
        <v>305</v>
      </c>
      <c r="O1825" s="34">
        <f t="shared" si="29"/>
        <v>0.20767391551862061</v>
      </c>
    </row>
    <row r="1826" spans="13:15" x14ac:dyDescent="0.3">
      <c r="M1826" s="35">
        <v>21.94</v>
      </c>
      <c r="N1826">
        <v>305</v>
      </c>
      <c r="O1826" s="34">
        <f t="shared" si="29"/>
        <v>0.20778777183195318</v>
      </c>
    </row>
    <row r="1827" spans="13:15" x14ac:dyDescent="0.3">
      <c r="M1827" s="35">
        <v>21.94</v>
      </c>
      <c r="N1827">
        <v>305</v>
      </c>
      <c r="O1827" s="34">
        <f t="shared" si="29"/>
        <v>0.20790162814528576</v>
      </c>
    </row>
    <row r="1828" spans="13:15" x14ac:dyDescent="0.3">
      <c r="M1828" s="35">
        <v>21.95</v>
      </c>
      <c r="N1828">
        <v>305</v>
      </c>
      <c r="O1828" s="34">
        <f t="shared" si="29"/>
        <v>0.20801548445861834</v>
      </c>
    </row>
    <row r="1829" spans="13:15" x14ac:dyDescent="0.3">
      <c r="M1829" s="35">
        <v>21.95</v>
      </c>
      <c r="N1829">
        <v>305</v>
      </c>
      <c r="O1829" s="34">
        <f t="shared" si="29"/>
        <v>0.20812934077195092</v>
      </c>
    </row>
    <row r="1830" spans="13:15" x14ac:dyDescent="0.3">
      <c r="M1830" s="35">
        <v>21.95</v>
      </c>
      <c r="N1830">
        <v>305</v>
      </c>
      <c r="O1830" s="34">
        <f t="shared" si="29"/>
        <v>0.20824319708528349</v>
      </c>
    </row>
    <row r="1831" spans="13:15" x14ac:dyDescent="0.3">
      <c r="M1831" s="35">
        <v>21.95</v>
      </c>
      <c r="N1831">
        <v>305</v>
      </c>
      <c r="O1831" s="34">
        <f t="shared" si="29"/>
        <v>0.20835705339861607</v>
      </c>
    </row>
    <row r="1832" spans="13:15" x14ac:dyDescent="0.3">
      <c r="M1832" s="35">
        <v>21.96</v>
      </c>
      <c r="N1832">
        <v>305</v>
      </c>
      <c r="O1832" s="34">
        <f t="shared" si="29"/>
        <v>0.20847090971194865</v>
      </c>
    </row>
    <row r="1833" spans="13:15" x14ac:dyDescent="0.3">
      <c r="M1833" s="35">
        <v>21.96</v>
      </c>
      <c r="N1833">
        <v>305</v>
      </c>
      <c r="O1833" s="34">
        <f t="shared" si="29"/>
        <v>0.20858476602528123</v>
      </c>
    </row>
    <row r="1834" spans="13:15" x14ac:dyDescent="0.3">
      <c r="M1834" s="35">
        <v>21.96</v>
      </c>
      <c r="N1834">
        <v>305</v>
      </c>
      <c r="O1834" s="34">
        <f t="shared" si="29"/>
        <v>0.2086986223386138</v>
      </c>
    </row>
    <row r="1835" spans="13:15" x14ac:dyDescent="0.3">
      <c r="M1835" s="35">
        <v>21.96</v>
      </c>
      <c r="N1835">
        <v>305</v>
      </c>
      <c r="O1835" s="34">
        <f t="shared" si="29"/>
        <v>0.20881247865194638</v>
      </c>
    </row>
    <row r="1836" spans="13:15" x14ac:dyDescent="0.3">
      <c r="M1836" s="35">
        <v>21.96</v>
      </c>
      <c r="N1836">
        <v>305</v>
      </c>
      <c r="O1836" s="34">
        <f t="shared" si="29"/>
        <v>0.20892633496527896</v>
      </c>
    </row>
    <row r="1837" spans="13:15" x14ac:dyDescent="0.3">
      <c r="M1837" s="35">
        <v>21.97</v>
      </c>
      <c r="N1837">
        <v>305</v>
      </c>
      <c r="O1837" s="34">
        <f t="shared" si="29"/>
        <v>0.20904019127861154</v>
      </c>
    </row>
    <row r="1838" spans="13:15" x14ac:dyDescent="0.3">
      <c r="M1838" s="35">
        <v>21.97</v>
      </c>
      <c r="N1838">
        <v>305</v>
      </c>
      <c r="O1838" s="34">
        <f t="shared" si="29"/>
        <v>0.20915404759194411</v>
      </c>
    </row>
    <row r="1839" spans="13:15" x14ac:dyDescent="0.3">
      <c r="M1839" s="35">
        <v>21.98</v>
      </c>
      <c r="N1839">
        <v>305</v>
      </c>
      <c r="O1839" s="34">
        <f t="shared" si="29"/>
        <v>0.20926790390527669</v>
      </c>
    </row>
    <row r="1840" spans="13:15" x14ac:dyDescent="0.3">
      <c r="M1840" s="35">
        <v>21.98</v>
      </c>
      <c r="N1840">
        <v>305</v>
      </c>
      <c r="O1840" s="34">
        <f t="shared" si="29"/>
        <v>0.20938176021860927</v>
      </c>
    </row>
    <row r="1841" spans="13:15" x14ac:dyDescent="0.3">
      <c r="M1841" s="35">
        <v>21.98</v>
      </c>
      <c r="N1841">
        <v>305</v>
      </c>
      <c r="O1841" s="34">
        <f t="shared" si="29"/>
        <v>0.20949561653194185</v>
      </c>
    </row>
    <row r="1842" spans="13:15" x14ac:dyDescent="0.3">
      <c r="M1842" s="35">
        <v>21.98</v>
      </c>
      <c r="N1842">
        <v>305</v>
      </c>
      <c r="O1842" s="34">
        <f t="shared" si="29"/>
        <v>0.20960947284527442</v>
      </c>
    </row>
    <row r="1843" spans="13:15" x14ac:dyDescent="0.3">
      <c r="M1843" s="35">
        <v>21.98</v>
      </c>
      <c r="N1843">
        <v>305</v>
      </c>
      <c r="O1843" s="34">
        <f t="shared" si="29"/>
        <v>0.209723329158607</v>
      </c>
    </row>
    <row r="1844" spans="13:15" x14ac:dyDescent="0.3">
      <c r="M1844" s="35">
        <v>21.99</v>
      </c>
      <c r="N1844">
        <v>305</v>
      </c>
      <c r="O1844" s="34">
        <f t="shared" si="29"/>
        <v>0.20983718547193958</v>
      </c>
    </row>
    <row r="1845" spans="13:15" x14ac:dyDescent="0.3">
      <c r="M1845" s="35">
        <v>21.99</v>
      </c>
      <c r="N1845">
        <v>305</v>
      </c>
      <c r="O1845" s="34">
        <f t="shared" si="29"/>
        <v>0.20995104178527216</v>
      </c>
    </row>
    <row r="1846" spans="13:15" x14ac:dyDescent="0.3">
      <c r="M1846" s="35">
        <v>21.99</v>
      </c>
      <c r="N1846">
        <v>305</v>
      </c>
      <c r="O1846" s="34">
        <f t="shared" si="29"/>
        <v>0.21006489809860474</v>
      </c>
    </row>
    <row r="1847" spans="13:15" x14ac:dyDescent="0.3">
      <c r="M1847" s="35">
        <v>21.99</v>
      </c>
      <c r="N1847">
        <v>305</v>
      </c>
      <c r="O1847" s="34">
        <f t="shared" si="29"/>
        <v>0.21017875441193731</v>
      </c>
    </row>
    <row r="1848" spans="13:15" x14ac:dyDescent="0.3">
      <c r="M1848" s="35">
        <v>21.99</v>
      </c>
      <c r="N1848">
        <v>305</v>
      </c>
      <c r="O1848" s="34">
        <f t="shared" si="29"/>
        <v>0.21029261072526989</v>
      </c>
    </row>
    <row r="1849" spans="13:15" x14ac:dyDescent="0.3">
      <c r="M1849" s="35">
        <v>22</v>
      </c>
      <c r="N1849">
        <v>305</v>
      </c>
      <c r="O1849" s="34">
        <f t="shared" si="29"/>
        <v>0.21040646703860247</v>
      </c>
    </row>
    <row r="1850" spans="13:15" x14ac:dyDescent="0.3">
      <c r="M1850" s="35">
        <v>22</v>
      </c>
      <c r="N1850">
        <v>305</v>
      </c>
      <c r="O1850" s="34">
        <f t="shared" si="29"/>
        <v>0.21052032335193505</v>
      </c>
    </row>
    <row r="1851" spans="13:15" x14ac:dyDescent="0.3">
      <c r="M1851" s="35">
        <v>22</v>
      </c>
      <c r="N1851">
        <v>305</v>
      </c>
      <c r="O1851" s="34">
        <f t="shared" si="29"/>
        <v>0.21063417966526762</v>
      </c>
    </row>
    <row r="1852" spans="13:15" x14ac:dyDescent="0.3">
      <c r="M1852" s="35">
        <v>22.01</v>
      </c>
      <c r="N1852">
        <v>305</v>
      </c>
      <c r="O1852" s="34">
        <f t="shared" si="29"/>
        <v>0.2107480359786002</v>
      </c>
    </row>
    <row r="1853" spans="13:15" x14ac:dyDescent="0.3">
      <c r="M1853" s="35">
        <v>22.01</v>
      </c>
      <c r="N1853">
        <v>305</v>
      </c>
      <c r="O1853" s="34">
        <f t="shared" si="29"/>
        <v>0.21086189229193278</v>
      </c>
    </row>
    <row r="1854" spans="13:15" x14ac:dyDescent="0.3">
      <c r="M1854" s="35">
        <v>22.01</v>
      </c>
      <c r="N1854">
        <v>305</v>
      </c>
      <c r="O1854" s="34">
        <f t="shared" si="29"/>
        <v>0.21097574860526536</v>
      </c>
    </row>
    <row r="1855" spans="13:15" x14ac:dyDescent="0.3">
      <c r="M1855" s="35">
        <v>22.02</v>
      </c>
      <c r="N1855">
        <v>305</v>
      </c>
      <c r="O1855" s="34">
        <f t="shared" si="29"/>
        <v>0.21108960491859793</v>
      </c>
    </row>
    <row r="1856" spans="13:15" x14ac:dyDescent="0.3">
      <c r="M1856" s="35">
        <v>22.02</v>
      </c>
      <c r="N1856">
        <v>305</v>
      </c>
      <c r="O1856" s="34">
        <f t="shared" si="29"/>
        <v>0.21120346123193051</v>
      </c>
    </row>
    <row r="1857" spans="13:15" x14ac:dyDescent="0.3">
      <c r="M1857" s="35">
        <v>22.02</v>
      </c>
      <c r="N1857">
        <v>305</v>
      </c>
      <c r="O1857" s="34">
        <f t="shared" si="29"/>
        <v>0.21131731754526309</v>
      </c>
    </row>
    <row r="1858" spans="13:15" x14ac:dyDescent="0.3">
      <c r="M1858" s="35">
        <v>22.02</v>
      </c>
      <c r="N1858">
        <v>305</v>
      </c>
      <c r="O1858" s="34">
        <f t="shared" si="29"/>
        <v>0.21143117385859567</v>
      </c>
    </row>
    <row r="1859" spans="13:15" x14ac:dyDescent="0.3">
      <c r="M1859" s="35">
        <v>22.03</v>
      </c>
      <c r="N1859">
        <v>305</v>
      </c>
      <c r="O1859" s="34">
        <f t="shared" si="29"/>
        <v>0.21154503017192824</v>
      </c>
    </row>
    <row r="1860" spans="13:15" x14ac:dyDescent="0.3">
      <c r="M1860" s="35">
        <v>22.03</v>
      </c>
      <c r="N1860">
        <v>305</v>
      </c>
      <c r="O1860" s="34">
        <f t="shared" ref="O1860:O1923" si="30">O1859+O$2</f>
        <v>0.21165888648526082</v>
      </c>
    </row>
    <row r="1861" spans="13:15" x14ac:dyDescent="0.3">
      <c r="M1861" s="35">
        <v>22.03</v>
      </c>
      <c r="N1861">
        <v>305</v>
      </c>
      <c r="O1861" s="34">
        <f t="shared" si="30"/>
        <v>0.2117727427985934</v>
      </c>
    </row>
    <row r="1862" spans="13:15" x14ac:dyDescent="0.3">
      <c r="M1862" s="35">
        <v>22.03</v>
      </c>
      <c r="N1862">
        <v>305</v>
      </c>
      <c r="O1862" s="34">
        <f t="shared" si="30"/>
        <v>0.21188659911192598</v>
      </c>
    </row>
    <row r="1863" spans="13:15" x14ac:dyDescent="0.3">
      <c r="M1863" s="35">
        <v>22.03</v>
      </c>
      <c r="N1863">
        <v>305</v>
      </c>
      <c r="O1863" s="34">
        <f t="shared" si="30"/>
        <v>0.21200045542525855</v>
      </c>
    </row>
    <row r="1864" spans="13:15" x14ac:dyDescent="0.3">
      <c r="M1864" s="35">
        <v>22.04</v>
      </c>
      <c r="N1864">
        <v>305</v>
      </c>
      <c r="O1864" s="34">
        <f t="shared" si="30"/>
        <v>0.21211431173859113</v>
      </c>
    </row>
    <row r="1865" spans="13:15" x14ac:dyDescent="0.3">
      <c r="M1865" s="35">
        <v>22.04</v>
      </c>
      <c r="N1865">
        <v>305</v>
      </c>
      <c r="O1865" s="34">
        <f t="shared" si="30"/>
        <v>0.21222816805192371</v>
      </c>
    </row>
    <row r="1866" spans="13:15" x14ac:dyDescent="0.3">
      <c r="M1866" s="35">
        <v>22.04</v>
      </c>
      <c r="N1866">
        <v>305</v>
      </c>
      <c r="O1866" s="34">
        <f t="shared" si="30"/>
        <v>0.21234202436525629</v>
      </c>
    </row>
    <row r="1867" spans="13:15" x14ac:dyDescent="0.3">
      <c r="M1867" s="35">
        <v>22.04</v>
      </c>
      <c r="N1867">
        <v>305</v>
      </c>
      <c r="O1867" s="34">
        <f t="shared" si="30"/>
        <v>0.21245588067858887</v>
      </c>
    </row>
    <row r="1868" spans="13:15" x14ac:dyDescent="0.3">
      <c r="M1868" s="35">
        <v>22.04</v>
      </c>
      <c r="N1868">
        <v>305</v>
      </c>
      <c r="O1868" s="34">
        <f t="shared" si="30"/>
        <v>0.21256973699192144</v>
      </c>
    </row>
    <row r="1869" spans="13:15" x14ac:dyDescent="0.3">
      <c r="M1869" s="35">
        <v>22.04</v>
      </c>
      <c r="N1869">
        <v>305</v>
      </c>
      <c r="O1869" s="34">
        <f t="shared" si="30"/>
        <v>0.21268359330525402</v>
      </c>
    </row>
    <row r="1870" spans="13:15" x14ac:dyDescent="0.3">
      <c r="M1870" s="35">
        <v>22.05</v>
      </c>
      <c r="N1870">
        <v>305</v>
      </c>
      <c r="O1870" s="34">
        <f t="shared" si="30"/>
        <v>0.2127974496185866</v>
      </c>
    </row>
    <row r="1871" spans="13:15" x14ac:dyDescent="0.3">
      <c r="M1871" s="35">
        <v>22.05</v>
      </c>
      <c r="N1871">
        <v>305</v>
      </c>
      <c r="O1871" s="34">
        <f t="shared" si="30"/>
        <v>0.21291130593191918</v>
      </c>
    </row>
    <row r="1872" spans="13:15" x14ac:dyDescent="0.3">
      <c r="M1872" s="35">
        <v>22.05</v>
      </c>
      <c r="N1872">
        <v>305</v>
      </c>
      <c r="O1872" s="34">
        <f t="shared" si="30"/>
        <v>0.21302516224525175</v>
      </c>
    </row>
    <row r="1873" spans="13:15" x14ac:dyDescent="0.3">
      <c r="M1873" s="35">
        <v>22.05</v>
      </c>
      <c r="N1873">
        <v>305</v>
      </c>
      <c r="O1873" s="34">
        <f t="shared" si="30"/>
        <v>0.21313901855858433</v>
      </c>
    </row>
    <row r="1874" spans="13:15" x14ac:dyDescent="0.3">
      <c r="M1874" s="35">
        <v>22.05</v>
      </c>
      <c r="N1874">
        <v>305</v>
      </c>
      <c r="O1874" s="34">
        <f t="shared" si="30"/>
        <v>0.21325287487191691</v>
      </c>
    </row>
    <row r="1875" spans="13:15" x14ac:dyDescent="0.3">
      <c r="M1875" s="35">
        <v>22.06</v>
      </c>
      <c r="N1875">
        <v>305</v>
      </c>
      <c r="O1875" s="34">
        <f t="shared" si="30"/>
        <v>0.21336673118524949</v>
      </c>
    </row>
    <row r="1876" spans="13:15" x14ac:dyDescent="0.3">
      <c r="M1876" s="35">
        <v>22.06</v>
      </c>
      <c r="N1876">
        <v>305</v>
      </c>
      <c r="O1876" s="34">
        <f t="shared" si="30"/>
        <v>0.21348058749858206</v>
      </c>
    </row>
    <row r="1877" spans="13:15" x14ac:dyDescent="0.3">
      <c r="M1877" s="35">
        <v>22.06</v>
      </c>
      <c r="N1877">
        <v>305</v>
      </c>
      <c r="O1877" s="34">
        <f t="shared" si="30"/>
        <v>0.21359444381191464</v>
      </c>
    </row>
    <row r="1878" spans="13:15" x14ac:dyDescent="0.3">
      <c r="M1878" s="35">
        <v>22.07</v>
      </c>
      <c r="N1878">
        <v>305</v>
      </c>
      <c r="O1878" s="34">
        <f t="shared" si="30"/>
        <v>0.21370830012524722</v>
      </c>
    </row>
    <row r="1879" spans="13:15" x14ac:dyDescent="0.3">
      <c r="M1879" s="35">
        <v>22.07</v>
      </c>
      <c r="N1879">
        <v>305</v>
      </c>
      <c r="O1879" s="34">
        <f t="shared" si="30"/>
        <v>0.2138221564385798</v>
      </c>
    </row>
    <row r="1880" spans="13:15" x14ac:dyDescent="0.3">
      <c r="M1880" s="35">
        <v>22.07</v>
      </c>
      <c r="N1880">
        <v>305</v>
      </c>
      <c r="O1880" s="34">
        <f t="shared" si="30"/>
        <v>0.21393601275191237</v>
      </c>
    </row>
    <row r="1881" spans="13:15" x14ac:dyDescent="0.3">
      <c r="M1881" s="35">
        <v>22.07</v>
      </c>
      <c r="N1881">
        <v>305</v>
      </c>
      <c r="O1881" s="34">
        <f t="shared" si="30"/>
        <v>0.21404986906524495</v>
      </c>
    </row>
    <row r="1882" spans="13:15" x14ac:dyDescent="0.3">
      <c r="M1882" s="35">
        <v>22.07</v>
      </c>
      <c r="N1882">
        <v>305</v>
      </c>
      <c r="O1882" s="34">
        <f t="shared" si="30"/>
        <v>0.21416372537857753</v>
      </c>
    </row>
    <row r="1883" spans="13:15" x14ac:dyDescent="0.3">
      <c r="M1883" s="35">
        <v>22.07</v>
      </c>
      <c r="N1883">
        <v>305</v>
      </c>
      <c r="O1883" s="34">
        <f t="shared" si="30"/>
        <v>0.21427758169191011</v>
      </c>
    </row>
    <row r="1884" spans="13:15" x14ac:dyDescent="0.3">
      <c r="M1884" s="35">
        <v>22.08</v>
      </c>
      <c r="N1884">
        <v>305</v>
      </c>
      <c r="O1884" s="34">
        <f t="shared" si="30"/>
        <v>0.21439143800524268</v>
      </c>
    </row>
    <row r="1885" spans="13:15" x14ac:dyDescent="0.3">
      <c r="M1885" s="35">
        <v>22.08</v>
      </c>
      <c r="N1885">
        <v>305</v>
      </c>
      <c r="O1885" s="34">
        <f t="shared" si="30"/>
        <v>0.21450529431857526</v>
      </c>
    </row>
    <row r="1886" spans="13:15" x14ac:dyDescent="0.3">
      <c r="M1886" s="35">
        <v>22.08</v>
      </c>
      <c r="N1886">
        <v>305</v>
      </c>
      <c r="O1886" s="34">
        <f t="shared" si="30"/>
        <v>0.21461915063190784</v>
      </c>
    </row>
    <row r="1887" spans="13:15" x14ac:dyDescent="0.3">
      <c r="M1887" s="35">
        <v>22.08</v>
      </c>
      <c r="N1887">
        <v>305</v>
      </c>
      <c r="O1887" s="34">
        <f t="shared" si="30"/>
        <v>0.21473300694524042</v>
      </c>
    </row>
    <row r="1888" spans="13:15" x14ac:dyDescent="0.3">
      <c r="M1888" s="35">
        <v>22.08</v>
      </c>
      <c r="N1888">
        <v>305</v>
      </c>
      <c r="O1888" s="34">
        <f t="shared" si="30"/>
        <v>0.214846863258573</v>
      </c>
    </row>
    <row r="1889" spans="13:15" x14ac:dyDescent="0.3">
      <c r="M1889" s="35">
        <v>22.08</v>
      </c>
      <c r="N1889">
        <v>305</v>
      </c>
      <c r="O1889" s="34">
        <f t="shared" si="30"/>
        <v>0.21496071957190557</v>
      </c>
    </row>
    <row r="1890" spans="13:15" x14ac:dyDescent="0.3">
      <c r="M1890" s="35">
        <v>22.09</v>
      </c>
      <c r="N1890">
        <v>305</v>
      </c>
      <c r="O1890" s="34">
        <f t="shared" si="30"/>
        <v>0.21507457588523815</v>
      </c>
    </row>
    <row r="1891" spans="13:15" x14ac:dyDescent="0.3">
      <c r="M1891" s="35">
        <v>22.09</v>
      </c>
      <c r="N1891">
        <v>305</v>
      </c>
      <c r="O1891" s="34">
        <f t="shared" si="30"/>
        <v>0.21518843219857073</v>
      </c>
    </row>
    <row r="1892" spans="13:15" x14ac:dyDescent="0.3">
      <c r="M1892" s="35">
        <v>22.09</v>
      </c>
      <c r="N1892">
        <v>305</v>
      </c>
      <c r="O1892" s="34">
        <f t="shared" si="30"/>
        <v>0.21530228851190331</v>
      </c>
    </row>
    <row r="1893" spans="13:15" x14ac:dyDescent="0.3">
      <c r="M1893" s="35">
        <v>22.09</v>
      </c>
      <c r="N1893">
        <v>305</v>
      </c>
      <c r="O1893" s="34">
        <f t="shared" si="30"/>
        <v>0.21541614482523588</v>
      </c>
    </row>
    <row r="1894" spans="13:15" x14ac:dyDescent="0.3">
      <c r="M1894" s="35">
        <v>22.09</v>
      </c>
      <c r="N1894">
        <v>305</v>
      </c>
      <c r="O1894" s="34">
        <f t="shared" si="30"/>
        <v>0.21553000113856846</v>
      </c>
    </row>
    <row r="1895" spans="13:15" x14ac:dyDescent="0.3">
      <c r="M1895" s="35">
        <v>22.1</v>
      </c>
      <c r="N1895">
        <v>305</v>
      </c>
      <c r="O1895" s="34">
        <f t="shared" si="30"/>
        <v>0.21564385745190104</v>
      </c>
    </row>
    <row r="1896" spans="13:15" x14ac:dyDescent="0.3">
      <c r="M1896" s="35">
        <v>22.1</v>
      </c>
      <c r="N1896">
        <v>305</v>
      </c>
      <c r="O1896" s="34">
        <f t="shared" si="30"/>
        <v>0.21575771376523362</v>
      </c>
    </row>
    <row r="1897" spans="13:15" x14ac:dyDescent="0.3">
      <c r="M1897" s="35">
        <v>22.1</v>
      </c>
      <c r="N1897">
        <v>305</v>
      </c>
      <c r="O1897" s="34">
        <f t="shared" si="30"/>
        <v>0.21587157007856619</v>
      </c>
    </row>
    <row r="1898" spans="13:15" x14ac:dyDescent="0.3">
      <c r="M1898" s="35">
        <v>22.1</v>
      </c>
      <c r="N1898">
        <v>305</v>
      </c>
      <c r="O1898" s="34">
        <f t="shared" si="30"/>
        <v>0.21598542639189877</v>
      </c>
    </row>
    <row r="1899" spans="13:15" x14ac:dyDescent="0.3">
      <c r="M1899" s="35">
        <v>22.1</v>
      </c>
      <c r="N1899">
        <v>305</v>
      </c>
      <c r="O1899" s="34">
        <f t="shared" si="30"/>
        <v>0.21609928270523135</v>
      </c>
    </row>
    <row r="1900" spans="13:15" x14ac:dyDescent="0.3">
      <c r="M1900" s="35">
        <v>22.11</v>
      </c>
      <c r="N1900">
        <v>305</v>
      </c>
      <c r="O1900" s="34">
        <f t="shared" si="30"/>
        <v>0.21621313901856393</v>
      </c>
    </row>
    <row r="1901" spans="13:15" x14ac:dyDescent="0.3">
      <c r="M1901" s="35">
        <v>22.11</v>
      </c>
      <c r="N1901">
        <v>305</v>
      </c>
      <c r="O1901" s="34">
        <f t="shared" si="30"/>
        <v>0.2163269953318965</v>
      </c>
    </row>
    <row r="1902" spans="13:15" x14ac:dyDescent="0.3">
      <c r="M1902" s="35">
        <v>22.11</v>
      </c>
      <c r="N1902">
        <v>305</v>
      </c>
      <c r="O1902" s="34">
        <f t="shared" si="30"/>
        <v>0.21644085164522908</v>
      </c>
    </row>
    <row r="1903" spans="13:15" x14ac:dyDescent="0.3">
      <c r="M1903" s="35">
        <v>22.11</v>
      </c>
      <c r="N1903">
        <v>305</v>
      </c>
      <c r="O1903" s="34">
        <f t="shared" si="30"/>
        <v>0.21655470795856166</v>
      </c>
    </row>
    <row r="1904" spans="13:15" x14ac:dyDescent="0.3">
      <c r="M1904" s="35">
        <v>22.12</v>
      </c>
      <c r="N1904">
        <v>305</v>
      </c>
      <c r="O1904" s="34">
        <f t="shared" si="30"/>
        <v>0.21666856427189424</v>
      </c>
    </row>
    <row r="1905" spans="13:15" x14ac:dyDescent="0.3">
      <c r="M1905" s="35">
        <v>22.13</v>
      </c>
      <c r="N1905">
        <v>305</v>
      </c>
      <c r="O1905" s="34">
        <f t="shared" si="30"/>
        <v>0.21678242058522681</v>
      </c>
    </row>
    <row r="1906" spans="13:15" x14ac:dyDescent="0.3">
      <c r="M1906" s="35">
        <v>22.13</v>
      </c>
      <c r="N1906">
        <v>305</v>
      </c>
      <c r="O1906" s="34">
        <f t="shared" si="30"/>
        <v>0.21689627689855939</v>
      </c>
    </row>
    <row r="1907" spans="13:15" x14ac:dyDescent="0.3">
      <c r="M1907" s="35">
        <v>22.14</v>
      </c>
      <c r="N1907">
        <v>305</v>
      </c>
      <c r="O1907" s="34">
        <f t="shared" si="30"/>
        <v>0.21701013321189197</v>
      </c>
    </row>
    <row r="1908" spans="13:15" x14ac:dyDescent="0.3">
      <c r="M1908" s="35">
        <v>22.14</v>
      </c>
      <c r="N1908">
        <v>305</v>
      </c>
      <c r="O1908" s="34">
        <f t="shared" si="30"/>
        <v>0.21712398952522455</v>
      </c>
    </row>
    <row r="1909" spans="13:15" x14ac:dyDescent="0.3">
      <c r="M1909" s="35">
        <v>22.14</v>
      </c>
      <c r="N1909">
        <v>305</v>
      </c>
      <c r="O1909" s="34">
        <f t="shared" si="30"/>
        <v>0.21723784583855713</v>
      </c>
    </row>
    <row r="1910" spans="13:15" x14ac:dyDescent="0.3">
      <c r="M1910" s="35">
        <v>22.14</v>
      </c>
      <c r="N1910">
        <v>305</v>
      </c>
      <c r="O1910" s="34">
        <f t="shared" si="30"/>
        <v>0.2173517021518897</v>
      </c>
    </row>
    <row r="1911" spans="13:15" x14ac:dyDescent="0.3">
      <c r="M1911" s="35">
        <v>22.14</v>
      </c>
      <c r="N1911">
        <v>305</v>
      </c>
      <c r="O1911" s="34">
        <f t="shared" si="30"/>
        <v>0.21746555846522228</v>
      </c>
    </row>
    <row r="1912" spans="13:15" x14ac:dyDescent="0.3">
      <c r="M1912" s="35">
        <v>22.15</v>
      </c>
      <c r="N1912">
        <v>305</v>
      </c>
      <c r="O1912" s="34">
        <f t="shared" si="30"/>
        <v>0.21757941477855486</v>
      </c>
    </row>
    <row r="1913" spans="13:15" x14ac:dyDescent="0.3">
      <c r="M1913" s="35">
        <v>22.15</v>
      </c>
      <c r="N1913">
        <v>305</v>
      </c>
      <c r="O1913" s="34">
        <f t="shared" si="30"/>
        <v>0.21769327109188744</v>
      </c>
    </row>
    <row r="1914" spans="13:15" x14ac:dyDescent="0.3">
      <c r="M1914" s="35">
        <v>22.15</v>
      </c>
      <c r="N1914">
        <v>305</v>
      </c>
      <c r="O1914" s="34">
        <f t="shared" si="30"/>
        <v>0.21780712740522001</v>
      </c>
    </row>
    <row r="1915" spans="13:15" x14ac:dyDescent="0.3">
      <c r="M1915" s="35">
        <v>22.16</v>
      </c>
      <c r="N1915">
        <v>305</v>
      </c>
      <c r="O1915" s="34">
        <f t="shared" si="30"/>
        <v>0.21792098371855259</v>
      </c>
    </row>
    <row r="1916" spans="13:15" x14ac:dyDescent="0.3">
      <c r="M1916" s="35">
        <v>22.16</v>
      </c>
      <c r="N1916">
        <v>305</v>
      </c>
      <c r="O1916" s="34">
        <f t="shared" si="30"/>
        <v>0.21803484003188517</v>
      </c>
    </row>
    <row r="1917" spans="13:15" x14ac:dyDescent="0.3">
      <c r="M1917" s="35">
        <v>22.16</v>
      </c>
      <c r="N1917">
        <v>305</v>
      </c>
      <c r="O1917" s="34">
        <f t="shared" si="30"/>
        <v>0.21814869634521775</v>
      </c>
    </row>
    <row r="1918" spans="13:15" x14ac:dyDescent="0.3">
      <c r="M1918" s="35">
        <v>22.16</v>
      </c>
      <c r="N1918">
        <v>305</v>
      </c>
      <c r="O1918" s="34">
        <f t="shared" si="30"/>
        <v>0.21826255265855032</v>
      </c>
    </row>
    <row r="1919" spans="13:15" x14ac:dyDescent="0.3">
      <c r="M1919" s="35">
        <v>22.16</v>
      </c>
      <c r="N1919">
        <v>305</v>
      </c>
      <c r="O1919" s="34">
        <f t="shared" si="30"/>
        <v>0.2183764089718829</v>
      </c>
    </row>
    <row r="1920" spans="13:15" x14ac:dyDescent="0.3">
      <c r="M1920" s="35">
        <v>22.16</v>
      </c>
      <c r="N1920">
        <v>305</v>
      </c>
      <c r="O1920" s="34">
        <f t="shared" si="30"/>
        <v>0.21849026528521548</v>
      </c>
    </row>
    <row r="1921" spans="13:15" x14ac:dyDescent="0.3">
      <c r="M1921" s="35">
        <v>22.16</v>
      </c>
      <c r="N1921">
        <v>305</v>
      </c>
      <c r="O1921" s="34">
        <f t="shared" si="30"/>
        <v>0.21860412159854806</v>
      </c>
    </row>
    <row r="1922" spans="13:15" x14ac:dyDescent="0.3">
      <c r="M1922" s="35">
        <v>22.16</v>
      </c>
      <c r="N1922">
        <v>305</v>
      </c>
      <c r="O1922" s="34">
        <f t="shared" si="30"/>
        <v>0.21871797791188063</v>
      </c>
    </row>
    <row r="1923" spans="13:15" x14ac:dyDescent="0.3">
      <c r="M1923" s="35">
        <v>22.16</v>
      </c>
      <c r="N1923">
        <v>305</v>
      </c>
      <c r="O1923" s="34">
        <f t="shared" si="30"/>
        <v>0.21883183422521321</v>
      </c>
    </row>
    <row r="1924" spans="13:15" x14ac:dyDescent="0.3">
      <c r="M1924" s="35">
        <v>22.17</v>
      </c>
      <c r="N1924">
        <v>305</v>
      </c>
      <c r="O1924" s="34">
        <f t="shared" ref="O1924:O1987" si="31">O1923+O$2</f>
        <v>0.21894569053854579</v>
      </c>
    </row>
    <row r="1925" spans="13:15" x14ac:dyDescent="0.3">
      <c r="M1925" s="35">
        <v>22.17</v>
      </c>
      <c r="N1925">
        <v>305</v>
      </c>
      <c r="O1925" s="34">
        <f t="shared" si="31"/>
        <v>0.21905954685187837</v>
      </c>
    </row>
    <row r="1926" spans="13:15" x14ac:dyDescent="0.3">
      <c r="M1926" s="35">
        <v>22.17</v>
      </c>
      <c r="N1926">
        <v>305</v>
      </c>
      <c r="O1926" s="34">
        <f t="shared" si="31"/>
        <v>0.21917340316521094</v>
      </c>
    </row>
    <row r="1927" spans="13:15" x14ac:dyDescent="0.3">
      <c r="M1927" s="35">
        <v>22.17</v>
      </c>
      <c r="N1927">
        <v>305</v>
      </c>
      <c r="O1927" s="34">
        <f t="shared" si="31"/>
        <v>0.21928725947854352</v>
      </c>
    </row>
    <row r="1928" spans="13:15" x14ac:dyDescent="0.3">
      <c r="M1928" s="35">
        <v>22.18</v>
      </c>
      <c r="N1928">
        <v>305</v>
      </c>
      <c r="O1928" s="34">
        <f t="shared" si="31"/>
        <v>0.2194011157918761</v>
      </c>
    </row>
    <row r="1929" spans="13:15" x14ac:dyDescent="0.3">
      <c r="M1929" s="35">
        <v>22.18</v>
      </c>
      <c r="N1929">
        <v>305</v>
      </c>
      <c r="O1929" s="34">
        <f t="shared" si="31"/>
        <v>0.21951497210520868</v>
      </c>
    </row>
    <row r="1930" spans="13:15" x14ac:dyDescent="0.3">
      <c r="M1930" s="35">
        <v>22.18</v>
      </c>
      <c r="N1930">
        <v>305</v>
      </c>
      <c r="O1930" s="34">
        <f t="shared" si="31"/>
        <v>0.21962882841854126</v>
      </c>
    </row>
    <row r="1931" spans="13:15" x14ac:dyDescent="0.3">
      <c r="M1931" s="35">
        <v>22.19</v>
      </c>
      <c r="N1931">
        <v>305</v>
      </c>
      <c r="O1931" s="34">
        <f t="shared" si="31"/>
        <v>0.21974268473187383</v>
      </c>
    </row>
    <row r="1932" spans="13:15" x14ac:dyDescent="0.3">
      <c r="M1932" s="35">
        <v>22.19</v>
      </c>
      <c r="N1932">
        <v>305</v>
      </c>
      <c r="O1932" s="34">
        <f t="shared" si="31"/>
        <v>0.21985654104520641</v>
      </c>
    </row>
    <row r="1933" spans="13:15" x14ac:dyDescent="0.3">
      <c r="M1933" s="35">
        <v>22.2</v>
      </c>
      <c r="N1933">
        <v>305</v>
      </c>
      <c r="O1933" s="34">
        <f t="shared" si="31"/>
        <v>0.21997039735853899</v>
      </c>
    </row>
    <row r="1934" spans="13:15" x14ac:dyDescent="0.3">
      <c r="M1934" s="35">
        <v>22.2</v>
      </c>
      <c r="N1934">
        <v>305</v>
      </c>
      <c r="O1934" s="34">
        <f t="shared" si="31"/>
        <v>0.22008425367187157</v>
      </c>
    </row>
    <row r="1935" spans="13:15" x14ac:dyDescent="0.3">
      <c r="M1935" s="35">
        <v>22.2</v>
      </c>
      <c r="N1935">
        <v>305</v>
      </c>
      <c r="O1935" s="34">
        <f t="shared" si="31"/>
        <v>0.22019810998520414</v>
      </c>
    </row>
    <row r="1936" spans="13:15" x14ac:dyDescent="0.3">
      <c r="M1936" s="35">
        <v>22.2</v>
      </c>
      <c r="N1936">
        <v>305</v>
      </c>
      <c r="O1936" s="34">
        <f t="shared" si="31"/>
        <v>0.22031196629853672</v>
      </c>
    </row>
    <row r="1937" spans="13:15" x14ac:dyDescent="0.3">
      <c r="M1937" s="35">
        <v>22.21</v>
      </c>
      <c r="N1937">
        <v>305</v>
      </c>
      <c r="O1937" s="34">
        <f t="shared" si="31"/>
        <v>0.2204258226118693</v>
      </c>
    </row>
    <row r="1938" spans="13:15" x14ac:dyDescent="0.3">
      <c r="M1938" s="35">
        <v>22.22</v>
      </c>
      <c r="N1938">
        <v>305</v>
      </c>
      <c r="O1938" s="34">
        <f t="shared" si="31"/>
        <v>0.22053967892520188</v>
      </c>
    </row>
    <row r="1939" spans="13:15" x14ac:dyDescent="0.3">
      <c r="M1939" s="35">
        <v>22.22</v>
      </c>
      <c r="N1939">
        <v>305</v>
      </c>
      <c r="O1939" s="34">
        <f t="shared" si="31"/>
        <v>0.22065353523853445</v>
      </c>
    </row>
    <row r="1940" spans="13:15" x14ac:dyDescent="0.3">
      <c r="M1940" s="35">
        <v>22.23</v>
      </c>
      <c r="N1940">
        <v>305</v>
      </c>
      <c r="O1940" s="34">
        <f t="shared" si="31"/>
        <v>0.22076739155186703</v>
      </c>
    </row>
    <row r="1941" spans="13:15" x14ac:dyDescent="0.3">
      <c r="M1941" s="35">
        <v>22.23</v>
      </c>
      <c r="N1941">
        <v>305</v>
      </c>
      <c r="O1941" s="34">
        <f t="shared" si="31"/>
        <v>0.22088124786519961</v>
      </c>
    </row>
    <row r="1942" spans="13:15" x14ac:dyDescent="0.3">
      <c r="M1942" s="35">
        <v>22.23</v>
      </c>
      <c r="N1942">
        <v>305</v>
      </c>
      <c r="O1942" s="34">
        <f t="shared" si="31"/>
        <v>0.22099510417853219</v>
      </c>
    </row>
    <row r="1943" spans="13:15" x14ac:dyDescent="0.3">
      <c r="M1943" s="35">
        <v>22.23</v>
      </c>
      <c r="N1943">
        <v>305</v>
      </c>
      <c r="O1943" s="34">
        <f t="shared" si="31"/>
        <v>0.22110896049186476</v>
      </c>
    </row>
    <row r="1944" spans="13:15" x14ac:dyDescent="0.3">
      <c r="M1944" s="35">
        <v>22.23</v>
      </c>
      <c r="N1944">
        <v>305</v>
      </c>
      <c r="O1944" s="34">
        <f t="shared" si="31"/>
        <v>0.22122281680519734</v>
      </c>
    </row>
    <row r="1945" spans="13:15" x14ac:dyDescent="0.3">
      <c r="M1945" s="35">
        <v>22.24</v>
      </c>
      <c r="N1945">
        <v>305</v>
      </c>
      <c r="O1945" s="34">
        <f t="shared" si="31"/>
        <v>0.22133667311852992</v>
      </c>
    </row>
    <row r="1946" spans="13:15" x14ac:dyDescent="0.3">
      <c r="M1946" s="35">
        <v>22.24</v>
      </c>
      <c r="N1946">
        <v>305</v>
      </c>
      <c r="O1946" s="34">
        <f t="shared" si="31"/>
        <v>0.2214505294318625</v>
      </c>
    </row>
    <row r="1947" spans="13:15" x14ac:dyDescent="0.3">
      <c r="M1947" s="35">
        <v>22.24</v>
      </c>
      <c r="N1947">
        <v>305</v>
      </c>
      <c r="O1947" s="34">
        <f t="shared" si="31"/>
        <v>0.22156438574519507</v>
      </c>
    </row>
    <row r="1948" spans="13:15" x14ac:dyDescent="0.3">
      <c r="M1948" s="35">
        <v>22.25</v>
      </c>
      <c r="N1948">
        <v>305</v>
      </c>
      <c r="O1948" s="34">
        <f t="shared" si="31"/>
        <v>0.22167824205852765</v>
      </c>
    </row>
    <row r="1949" spans="13:15" x14ac:dyDescent="0.3">
      <c r="M1949" s="35">
        <v>22.25</v>
      </c>
      <c r="N1949">
        <v>305</v>
      </c>
      <c r="O1949" s="34">
        <f t="shared" si="31"/>
        <v>0.22179209837186023</v>
      </c>
    </row>
    <row r="1950" spans="13:15" x14ac:dyDescent="0.3">
      <c r="M1950" s="35">
        <v>22.25</v>
      </c>
      <c r="N1950">
        <v>305</v>
      </c>
      <c r="O1950" s="34">
        <f t="shared" si="31"/>
        <v>0.22190595468519281</v>
      </c>
    </row>
    <row r="1951" spans="13:15" x14ac:dyDescent="0.3">
      <c r="M1951" s="35">
        <v>22.25</v>
      </c>
      <c r="N1951">
        <v>305</v>
      </c>
      <c r="O1951" s="34">
        <f t="shared" si="31"/>
        <v>0.22201981099852539</v>
      </c>
    </row>
    <row r="1952" spans="13:15" x14ac:dyDescent="0.3">
      <c r="M1952" s="35">
        <v>22.25</v>
      </c>
      <c r="N1952">
        <v>305</v>
      </c>
      <c r="O1952" s="34">
        <f t="shared" si="31"/>
        <v>0.22213366731185796</v>
      </c>
    </row>
    <row r="1953" spans="13:15" x14ac:dyDescent="0.3">
      <c r="M1953" s="35">
        <v>22.25</v>
      </c>
      <c r="N1953">
        <v>305</v>
      </c>
      <c r="O1953" s="34">
        <f t="shared" si="31"/>
        <v>0.22224752362519054</v>
      </c>
    </row>
    <row r="1954" spans="13:15" x14ac:dyDescent="0.3">
      <c r="M1954" s="35">
        <v>22.26</v>
      </c>
      <c r="N1954">
        <v>305</v>
      </c>
      <c r="O1954" s="34">
        <f t="shared" si="31"/>
        <v>0.22236137993852312</v>
      </c>
    </row>
    <row r="1955" spans="13:15" x14ac:dyDescent="0.3">
      <c r="M1955" s="35">
        <v>22.26</v>
      </c>
      <c r="N1955">
        <v>305</v>
      </c>
      <c r="O1955" s="34">
        <f t="shared" si="31"/>
        <v>0.2224752362518557</v>
      </c>
    </row>
    <row r="1956" spans="13:15" x14ac:dyDescent="0.3">
      <c r="M1956" s="35">
        <v>22.27</v>
      </c>
      <c r="N1956">
        <v>305</v>
      </c>
      <c r="O1956" s="34">
        <f t="shared" si="31"/>
        <v>0.22258909256518827</v>
      </c>
    </row>
    <row r="1957" spans="13:15" x14ac:dyDescent="0.3">
      <c r="M1957" s="35">
        <v>22.27</v>
      </c>
      <c r="N1957">
        <v>305</v>
      </c>
      <c r="O1957" s="34">
        <f t="shared" si="31"/>
        <v>0.22270294887852085</v>
      </c>
    </row>
    <row r="1958" spans="13:15" x14ac:dyDescent="0.3">
      <c r="M1958" s="35">
        <v>22.27</v>
      </c>
      <c r="N1958">
        <v>305</v>
      </c>
      <c r="O1958" s="34">
        <f t="shared" si="31"/>
        <v>0.22281680519185343</v>
      </c>
    </row>
    <row r="1959" spans="13:15" x14ac:dyDescent="0.3">
      <c r="M1959" s="35">
        <v>22.28</v>
      </c>
      <c r="N1959">
        <v>305</v>
      </c>
      <c r="O1959" s="34">
        <f t="shared" si="31"/>
        <v>0.22293066150518601</v>
      </c>
    </row>
    <row r="1960" spans="13:15" x14ac:dyDescent="0.3">
      <c r="M1960" s="35">
        <v>22.28</v>
      </c>
      <c r="N1960">
        <v>305</v>
      </c>
      <c r="O1960" s="34">
        <f t="shared" si="31"/>
        <v>0.22304451781851858</v>
      </c>
    </row>
    <row r="1961" spans="13:15" x14ac:dyDescent="0.3">
      <c r="M1961" s="35">
        <v>22.28</v>
      </c>
      <c r="N1961">
        <v>305</v>
      </c>
      <c r="O1961" s="34">
        <f t="shared" si="31"/>
        <v>0.22315837413185116</v>
      </c>
    </row>
    <row r="1962" spans="13:15" x14ac:dyDescent="0.3">
      <c r="M1962" s="35">
        <v>22.28</v>
      </c>
      <c r="N1962">
        <v>305</v>
      </c>
      <c r="O1962" s="34">
        <f t="shared" si="31"/>
        <v>0.22327223044518374</v>
      </c>
    </row>
    <row r="1963" spans="13:15" x14ac:dyDescent="0.3">
      <c r="M1963" s="35">
        <v>22.28</v>
      </c>
      <c r="N1963">
        <v>305</v>
      </c>
      <c r="O1963" s="34">
        <f t="shared" si="31"/>
        <v>0.22338608675851632</v>
      </c>
    </row>
    <row r="1964" spans="13:15" x14ac:dyDescent="0.3">
      <c r="M1964" s="35">
        <v>22.28</v>
      </c>
      <c r="N1964">
        <v>305</v>
      </c>
      <c r="O1964" s="34">
        <f t="shared" si="31"/>
        <v>0.22349994307184889</v>
      </c>
    </row>
    <row r="1965" spans="13:15" x14ac:dyDescent="0.3">
      <c r="M1965" s="35">
        <v>22.29</v>
      </c>
      <c r="N1965">
        <v>305</v>
      </c>
      <c r="O1965" s="34">
        <f t="shared" si="31"/>
        <v>0.22361379938518147</v>
      </c>
    </row>
    <row r="1966" spans="13:15" x14ac:dyDescent="0.3">
      <c r="M1966" s="35">
        <v>22.29</v>
      </c>
      <c r="N1966">
        <v>305</v>
      </c>
      <c r="O1966" s="34">
        <f t="shared" si="31"/>
        <v>0.22372765569851405</v>
      </c>
    </row>
    <row r="1967" spans="13:15" x14ac:dyDescent="0.3">
      <c r="M1967" s="35">
        <v>22.29</v>
      </c>
      <c r="N1967">
        <v>305</v>
      </c>
      <c r="O1967" s="34">
        <f t="shared" si="31"/>
        <v>0.22384151201184663</v>
      </c>
    </row>
    <row r="1968" spans="13:15" x14ac:dyDescent="0.3">
      <c r="M1968" s="35">
        <v>22.3</v>
      </c>
      <c r="N1968">
        <v>305</v>
      </c>
      <c r="O1968" s="34">
        <f t="shared" si="31"/>
        <v>0.2239553683251792</v>
      </c>
    </row>
    <row r="1969" spans="13:15" x14ac:dyDescent="0.3">
      <c r="M1969" s="35">
        <v>22.3</v>
      </c>
      <c r="N1969">
        <v>305</v>
      </c>
      <c r="O1969" s="34">
        <f t="shared" si="31"/>
        <v>0.22406922463851178</v>
      </c>
    </row>
    <row r="1970" spans="13:15" x14ac:dyDescent="0.3">
      <c r="M1970" s="35">
        <v>22.31</v>
      </c>
      <c r="N1970">
        <v>305</v>
      </c>
      <c r="O1970" s="34">
        <f t="shared" si="31"/>
        <v>0.22418308095184436</v>
      </c>
    </row>
    <row r="1971" spans="13:15" x14ac:dyDescent="0.3">
      <c r="M1971" s="35">
        <v>22.31</v>
      </c>
      <c r="N1971">
        <v>305</v>
      </c>
      <c r="O1971" s="34">
        <f t="shared" si="31"/>
        <v>0.22429693726517694</v>
      </c>
    </row>
    <row r="1972" spans="13:15" x14ac:dyDescent="0.3">
      <c r="M1972" s="35">
        <v>22.31</v>
      </c>
      <c r="N1972">
        <v>305</v>
      </c>
      <c r="O1972" s="34">
        <f t="shared" si="31"/>
        <v>0.22441079357850952</v>
      </c>
    </row>
    <row r="1973" spans="13:15" x14ac:dyDescent="0.3">
      <c r="M1973" s="35">
        <v>22.32</v>
      </c>
      <c r="N1973">
        <v>305</v>
      </c>
      <c r="O1973" s="34">
        <f t="shared" si="31"/>
        <v>0.22452464989184209</v>
      </c>
    </row>
    <row r="1974" spans="13:15" x14ac:dyDescent="0.3">
      <c r="M1974" s="35">
        <v>22.32</v>
      </c>
      <c r="N1974">
        <v>305</v>
      </c>
      <c r="O1974" s="34">
        <f t="shared" si="31"/>
        <v>0.22463850620517467</v>
      </c>
    </row>
    <row r="1975" spans="13:15" x14ac:dyDescent="0.3">
      <c r="M1975" s="35">
        <v>22.33</v>
      </c>
      <c r="N1975">
        <v>305</v>
      </c>
      <c r="O1975" s="34">
        <f t="shared" si="31"/>
        <v>0.22475236251850725</v>
      </c>
    </row>
    <row r="1976" spans="13:15" x14ac:dyDescent="0.3">
      <c r="M1976" s="35">
        <v>22.33</v>
      </c>
      <c r="N1976">
        <v>305</v>
      </c>
      <c r="O1976" s="34">
        <f t="shared" si="31"/>
        <v>0.22486621883183983</v>
      </c>
    </row>
    <row r="1977" spans="13:15" x14ac:dyDescent="0.3">
      <c r="M1977" s="35">
        <v>22.33</v>
      </c>
      <c r="N1977">
        <v>305</v>
      </c>
      <c r="O1977" s="34">
        <f t="shared" si="31"/>
        <v>0.2249800751451724</v>
      </c>
    </row>
    <row r="1978" spans="13:15" x14ac:dyDescent="0.3">
      <c r="M1978" s="35">
        <v>22.34</v>
      </c>
      <c r="N1978">
        <v>305</v>
      </c>
      <c r="O1978" s="34">
        <f t="shared" si="31"/>
        <v>0.22509393145850498</v>
      </c>
    </row>
    <row r="1979" spans="13:15" x14ac:dyDescent="0.3">
      <c r="M1979" s="35">
        <v>22.34</v>
      </c>
      <c r="N1979">
        <v>305</v>
      </c>
      <c r="O1979" s="34">
        <f t="shared" si="31"/>
        <v>0.22520778777183756</v>
      </c>
    </row>
    <row r="1980" spans="13:15" x14ac:dyDescent="0.3">
      <c r="M1980" s="35">
        <v>22.35</v>
      </c>
      <c r="N1980">
        <v>305</v>
      </c>
      <c r="O1980" s="34">
        <f t="shared" si="31"/>
        <v>0.22532164408517014</v>
      </c>
    </row>
    <row r="1981" spans="13:15" x14ac:dyDescent="0.3">
      <c r="M1981" s="35">
        <v>22.35</v>
      </c>
      <c r="N1981">
        <v>305</v>
      </c>
      <c r="O1981" s="34">
        <f t="shared" si="31"/>
        <v>0.22543550039850271</v>
      </c>
    </row>
    <row r="1982" spans="13:15" x14ac:dyDescent="0.3">
      <c r="M1982" s="35">
        <v>22.35</v>
      </c>
      <c r="N1982">
        <v>305</v>
      </c>
      <c r="O1982" s="34">
        <f t="shared" si="31"/>
        <v>0.22554935671183529</v>
      </c>
    </row>
    <row r="1983" spans="13:15" x14ac:dyDescent="0.3">
      <c r="M1983" s="35">
        <v>22.35</v>
      </c>
      <c r="N1983">
        <v>305</v>
      </c>
      <c r="O1983" s="34">
        <f t="shared" si="31"/>
        <v>0.22566321302516787</v>
      </c>
    </row>
    <row r="1984" spans="13:15" x14ac:dyDescent="0.3">
      <c r="M1984" s="35">
        <v>22.35</v>
      </c>
      <c r="N1984">
        <v>305</v>
      </c>
      <c r="O1984" s="34">
        <f t="shared" si="31"/>
        <v>0.22577706933850045</v>
      </c>
    </row>
    <row r="1985" spans="13:15" x14ac:dyDescent="0.3">
      <c r="M1985" s="35">
        <v>22.35</v>
      </c>
      <c r="N1985">
        <v>305</v>
      </c>
      <c r="O1985" s="34">
        <f t="shared" si="31"/>
        <v>0.22589092565183302</v>
      </c>
    </row>
    <row r="1986" spans="13:15" x14ac:dyDescent="0.3">
      <c r="M1986" s="35">
        <v>22.35</v>
      </c>
      <c r="N1986">
        <v>305</v>
      </c>
      <c r="O1986" s="34">
        <f t="shared" si="31"/>
        <v>0.2260047819651656</v>
      </c>
    </row>
    <row r="1987" spans="13:15" x14ac:dyDescent="0.3">
      <c r="M1987" s="35">
        <v>22.36</v>
      </c>
      <c r="N1987">
        <v>305</v>
      </c>
      <c r="O1987" s="34">
        <f t="shared" si="31"/>
        <v>0.22611863827849818</v>
      </c>
    </row>
    <row r="1988" spans="13:15" x14ac:dyDescent="0.3">
      <c r="M1988" s="35">
        <v>22.36</v>
      </c>
      <c r="N1988">
        <v>305</v>
      </c>
      <c r="O1988" s="34">
        <f t="shared" ref="O1988:O2051" si="32">O1987+O$2</f>
        <v>0.22623249459183076</v>
      </c>
    </row>
    <row r="1989" spans="13:15" x14ac:dyDescent="0.3">
      <c r="M1989" s="35">
        <v>22.36</v>
      </c>
      <c r="N1989">
        <v>305</v>
      </c>
      <c r="O1989" s="34">
        <f t="shared" si="32"/>
        <v>0.22634635090516333</v>
      </c>
    </row>
    <row r="1990" spans="13:15" x14ac:dyDescent="0.3">
      <c r="M1990" s="35">
        <v>22.36</v>
      </c>
      <c r="N1990">
        <v>305</v>
      </c>
      <c r="O1990" s="34">
        <f t="shared" si="32"/>
        <v>0.22646020721849591</v>
      </c>
    </row>
    <row r="1991" spans="13:15" x14ac:dyDescent="0.3">
      <c r="M1991" s="35">
        <v>22.36</v>
      </c>
      <c r="N1991">
        <v>305</v>
      </c>
      <c r="O1991" s="34">
        <f t="shared" si="32"/>
        <v>0.22657406353182849</v>
      </c>
    </row>
    <row r="1992" spans="13:15" x14ac:dyDescent="0.3">
      <c r="M1992" s="35">
        <v>22.36</v>
      </c>
      <c r="N1992">
        <v>305</v>
      </c>
      <c r="O1992" s="34">
        <f t="shared" si="32"/>
        <v>0.22668791984516107</v>
      </c>
    </row>
    <row r="1993" spans="13:15" x14ac:dyDescent="0.3">
      <c r="M1993" s="35">
        <v>22.37</v>
      </c>
      <c r="N1993">
        <v>305</v>
      </c>
      <c r="O1993" s="34">
        <f t="shared" si="32"/>
        <v>0.22680177615849365</v>
      </c>
    </row>
    <row r="1994" spans="13:15" x14ac:dyDescent="0.3">
      <c r="M1994" s="35">
        <v>22.37</v>
      </c>
      <c r="N1994">
        <v>305</v>
      </c>
      <c r="O1994" s="34">
        <f t="shared" si="32"/>
        <v>0.22691563247182622</v>
      </c>
    </row>
    <row r="1995" spans="13:15" x14ac:dyDescent="0.3">
      <c r="M1995" s="35">
        <v>22.37</v>
      </c>
      <c r="N1995">
        <v>305</v>
      </c>
      <c r="O1995" s="34">
        <f t="shared" si="32"/>
        <v>0.2270294887851588</v>
      </c>
    </row>
    <row r="1996" spans="13:15" x14ac:dyDescent="0.3">
      <c r="M1996" s="35">
        <v>22.37</v>
      </c>
      <c r="N1996">
        <v>305</v>
      </c>
      <c r="O1996" s="34">
        <f t="shared" si="32"/>
        <v>0.22714334509849138</v>
      </c>
    </row>
    <row r="1997" spans="13:15" x14ac:dyDescent="0.3">
      <c r="M1997" s="35">
        <v>22.37</v>
      </c>
      <c r="N1997">
        <v>305</v>
      </c>
      <c r="O1997" s="34">
        <f t="shared" si="32"/>
        <v>0.22725720141182396</v>
      </c>
    </row>
    <row r="1998" spans="13:15" x14ac:dyDescent="0.3">
      <c r="M1998" s="35">
        <v>22.37</v>
      </c>
      <c r="N1998">
        <v>305</v>
      </c>
      <c r="O1998" s="34">
        <f t="shared" si="32"/>
        <v>0.22737105772515653</v>
      </c>
    </row>
    <row r="1999" spans="13:15" x14ac:dyDescent="0.3">
      <c r="M1999" s="35">
        <v>22.38</v>
      </c>
      <c r="N1999">
        <v>305</v>
      </c>
      <c r="O1999" s="34">
        <f t="shared" si="32"/>
        <v>0.22748491403848911</v>
      </c>
    </row>
    <row r="2000" spans="13:15" x14ac:dyDescent="0.3">
      <c r="M2000" s="35">
        <v>22.38</v>
      </c>
      <c r="N2000">
        <v>305</v>
      </c>
      <c r="O2000" s="34">
        <f t="shared" si="32"/>
        <v>0.22759877035182169</v>
      </c>
    </row>
    <row r="2001" spans="13:15" x14ac:dyDescent="0.3">
      <c r="M2001" s="35">
        <v>22.39</v>
      </c>
      <c r="N2001">
        <v>305</v>
      </c>
      <c r="O2001" s="34">
        <f t="shared" si="32"/>
        <v>0.22771262666515427</v>
      </c>
    </row>
    <row r="2002" spans="13:15" x14ac:dyDescent="0.3">
      <c r="M2002" s="35">
        <v>22.39</v>
      </c>
      <c r="N2002">
        <v>305</v>
      </c>
      <c r="O2002" s="34">
        <f t="shared" si="32"/>
        <v>0.22782648297848684</v>
      </c>
    </row>
    <row r="2003" spans="13:15" x14ac:dyDescent="0.3">
      <c r="M2003" s="35">
        <v>22.39</v>
      </c>
      <c r="N2003">
        <v>305</v>
      </c>
      <c r="O2003" s="34">
        <f t="shared" si="32"/>
        <v>0.22794033929181942</v>
      </c>
    </row>
    <row r="2004" spans="13:15" x14ac:dyDescent="0.3">
      <c r="M2004" s="35">
        <v>22.39</v>
      </c>
      <c r="N2004">
        <v>305</v>
      </c>
      <c r="O2004" s="34">
        <f t="shared" si="32"/>
        <v>0.228054195605152</v>
      </c>
    </row>
    <row r="2005" spans="13:15" x14ac:dyDescent="0.3">
      <c r="M2005" s="35">
        <v>22.39</v>
      </c>
      <c r="N2005">
        <v>305</v>
      </c>
      <c r="O2005" s="34">
        <f t="shared" si="32"/>
        <v>0.22816805191848458</v>
      </c>
    </row>
    <row r="2006" spans="13:15" x14ac:dyDescent="0.3">
      <c r="M2006" s="35">
        <v>22.4</v>
      </c>
      <c r="N2006">
        <v>305</v>
      </c>
      <c r="O2006" s="34">
        <f t="shared" si="32"/>
        <v>0.22828190823181715</v>
      </c>
    </row>
    <row r="2007" spans="13:15" x14ac:dyDescent="0.3">
      <c r="M2007" s="35">
        <v>22.4</v>
      </c>
      <c r="N2007">
        <v>305</v>
      </c>
      <c r="O2007" s="34">
        <f t="shared" si="32"/>
        <v>0.22839576454514973</v>
      </c>
    </row>
    <row r="2008" spans="13:15" x14ac:dyDescent="0.3">
      <c r="M2008" s="35">
        <v>22.4</v>
      </c>
      <c r="N2008">
        <v>305</v>
      </c>
      <c r="O2008" s="34">
        <f t="shared" si="32"/>
        <v>0.22850962085848231</v>
      </c>
    </row>
    <row r="2009" spans="13:15" x14ac:dyDescent="0.3">
      <c r="M2009" s="35">
        <v>22.4</v>
      </c>
      <c r="N2009">
        <v>305</v>
      </c>
      <c r="O2009" s="34">
        <f t="shared" si="32"/>
        <v>0.22862347717181489</v>
      </c>
    </row>
    <row r="2010" spans="13:15" x14ac:dyDescent="0.3">
      <c r="M2010" s="35">
        <v>22.4</v>
      </c>
      <c r="N2010">
        <v>305</v>
      </c>
      <c r="O2010" s="34">
        <f t="shared" si="32"/>
        <v>0.22873733348514746</v>
      </c>
    </row>
    <row r="2011" spans="13:15" x14ac:dyDescent="0.3">
      <c r="M2011" s="35">
        <v>22.41</v>
      </c>
      <c r="N2011">
        <v>305</v>
      </c>
      <c r="O2011" s="34">
        <f t="shared" si="32"/>
        <v>0.22885118979848004</v>
      </c>
    </row>
    <row r="2012" spans="13:15" x14ac:dyDescent="0.3">
      <c r="M2012" s="35">
        <v>22.41</v>
      </c>
      <c r="N2012">
        <v>305</v>
      </c>
      <c r="O2012" s="34">
        <f t="shared" si="32"/>
        <v>0.22896504611181262</v>
      </c>
    </row>
    <row r="2013" spans="13:15" x14ac:dyDescent="0.3">
      <c r="M2013" s="35">
        <v>22.42</v>
      </c>
      <c r="N2013">
        <v>305</v>
      </c>
      <c r="O2013" s="34">
        <f t="shared" si="32"/>
        <v>0.2290789024251452</v>
      </c>
    </row>
    <row r="2014" spans="13:15" x14ac:dyDescent="0.3">
      <c r="M2014" s="35">
        <v>22.42</v>
      </c>
      <c r="N2014">
        <v>305</v>
      </c>
      <c r="O2014" s="34">
        <f t="shared" si="32"/>
        <v>0.22919275873847778</v>
      </c>
    </row>
    <row r="2015" spans="13:15" x14ac:dyDescent="0.3">
      <c r="M2015" s="35">
        <v>22.43</v>
      </c>
      <c r="N2015">
        <v>305</v>
      </c>
      <c r="O2015" s="34">
        <f t="shared" si="32"/>
        <v>0.22930661505181035</v>
      </c>
    </row>
    <row r="2016" spans="13:15" x14ac:dyDescent="0.3">
      <c r="M2016" s="35">
        <v>22.43</v>
      </c>
      <c r="N2016">
        <v>305</v>
      </c>
      <c r="O2016" s="34">
        <f t="shared" si="32"/>
        <v>0.22942047136514293</v>
      </c>
    </row>
    <row r="2017" spans="13:15" x14ac:dyDescent="0.3">
      <c r="M2017" s="35">
        <v>22.43</v>
      </c>
      <c r="N2017">
        <v>305</v>
      </c>
      <c r="O2017" s="34">
        <f t="shared" si="32"/>
        <v>0.22953432767847551</v>
      </c>
    </row>
    <row r="2018" spans="13:15" x14ac:dyDescent="0.3">
      <c r="M2018" s="35">
        <v>22.44</v>
      </c>
      <c r="N2018">
        <v>305</v>
      </c>
      <c r="O2018" s="34">
        <f t="shared" si="32"/>
        <v>0.22964818399180809</v>
      </c>
    </row>
    <row r="2019" spans="13:15" x14ac:dyDescent="0.3">
      <c r="M2019" s="35">
        <v>22.44</v>
      </c>
      <c r="N2019">
        <v>305</v>
      </c>
      <c r="O2019" s="34">
        <f t="shared" si="32"/>
        <v>0.22976204030514066</v>
      </c>
    </row>
    <row r="2020" spans="13:15" x14ac:dyDescent="0.3">
      <c r="M2020" s="35">
        <v>22.44</v>
      </c>
      <c r="N2020">
        <v>305</v>
      </c>
      <c r="O2020" s="34">
        <f t="shared" si="32"/>
        <v>0.22987589661847324</v>
      </c>
    </row>
    <row r="2021" spans="13:15" x14ac:dyDescent="0.3">
      <c r="M2021" s="35">
        <v>22.44</v>
      </c>
      <c r="N2021">
        <v>305</v>
      </c>
      <c r="O2021" s="34">
        <f t="shared" si="32"/>
        <v>0.22998975293180582</v>
      </c>
    </row>
    <row r="2022" spans="13:15" x14ac:dyDescent="0.3">
      <c r="M2022" s="35">
        <v>22.44</v>
      </c>
      <c r="N2022">
        <v>305</v>
      </c>
      <c r="O2022" s="34">
        <f t="shared" si="32"/>
        <v>0.2301036092451384</v>
      </c>
    </row>
    <row r="2023" spans="13:15" x14ac:dyDescent="0.3">
      <c r="M2023" s="35">
        <v>22.44</v>
      </c>
      <c r="N2023">
        <v>305</v>
      </c>
      <c r="O2023" s="34">
        <f t="shared" si="32"/>
        <v>0.23021746555847097</v>
      </c>
    </row>
    <row r="2024" spans="13:15" x14ac:dyDescent="0.3">
      <c r="M2024" s="35">
        <v>22.44</v>
      </c>
      <c r="N2024">
        <v>305</v>
      </c>
      <c r="O2024" s="34">
        <f t="shared" si="32"/>
        <v>0.23033132187180355</v>
      </c>
    </row>
    <row r="2025" spans="13:15" x14ac:dyDescent="0.3">
      <c r="M2025" s="35">
        <v>22.45</v>
      </c>
      <c r="N2025">
        <v>305</v>
      </c>
      <c r="O2025" s="34">
        <f t="shared" si="32"/>
        <v>0.23044517818513613</v>
      </c>
    </row>
    <row r="2026" spans="13:15" x14ac:dyDescent="0.3">
      <c r="M2026" s="35">
        <v>22.45</v>
      </c>
      <c r="N2026">
        <v>305</v>
      </c>
      <c r="O2026" s="34">
        <f t="shared" si="32"/>
        <v>0.23055903449846871</v>
      </c>
    </row>
    <row r="2027" spans="13:15" x14ac:dyDescent="0.3">
      <c r="M2027" s="35">
        <v>22.45</v>
      </c>
      <c r="N2027">
        <v>305</v>
      </c>
      <c r="O2027" s="34">
        <f t="shared" si="32"/>
        <v>0.23067289081180128</v>
      </c>
    </row>
    <row r="2028" spans="13:15" x14ac:dyDescent="0.3">
      <c r="M2028" s="35">
        <v>22.45</v>
      </c>
      <c r="N2028">
        <v>305</v>
      </c>
      <c r="O2028" s="34">
        <f t="shared" si="32"/>
        <v>0.23078674712513386</v>
      </c>
    </row>
    <row r="2029" spans="13:15" x14ac:dyDescent="0.3">
      <c r="M2029" s="35">
        <v>22.46</v>
      </c>
      <c r="N2029">
        <v>305</v>
      </c>
      <c r="O2029" s="34">
        <f t="shared" si="32"/>
        <v>0.23090060343846644</v>
      </c>
    </row>
    <row r="2030" spans="13:15" x14ac:dyDescent="0.3">
      <c r="M2030" s="35">
        <v>22.46</v>
      </c>
      <c r="N2030">
        <v>305</v>
      </c>
      <c r="O2030" s="34">
        <f t="shared" si="32"/>
        <v>0.23101445975179902</v>
      </c>
    </row>
    <row r="2031" spans="13:15" x14ac:dyDescent="0.3">
      <c r="M2031" s="35">
        <v>22.46</v>
      </c>
      <c r="N2031">
        <v>305</v>
      </c>
      <c r="O2031" s="34">
        <f t="shared" si="32"/>
        <v>0.23112831606513159</v>
      </c>
    </row>
    <row r="2032" spans="13:15" x14ac:dyDescent="0.3">
      <c r="M2032" s="35">
        <v>22.46</v>
      </c>
      <c r="N2032">
        <v>305</v>
      </c>
      <c r="O2032" s="34">
        <f t="shared" si="32"/>
        <v>0.23124217237846417</v>
      </c>
    </row>
    <row r="2033" spans="13:15" x14ac:dyDescent="0.3">
      <c r="M2033" s="35">
        <v>22.46</v>
      </c>
      <c r="N2033">
        <v>305</v>
      </c>
      <c r="O2033" s="34">
        <f t="shared" si="32"/>
        <v>0.23135602869179675</v>
      </c>
    </row>
    <row r="2034" spans="13:15" x14ac:dyDescent="0.3">
      <c r="M2034" s="35">
        <v>22.46</v>
      </c>
      <c r="N2034">
        <v>305</v>
      </c>
      <c r="O2034" s="34">
        <f t="shared" si="32"/>
        <v>0.23146988500512933</v>
      </c>
    </row>
    <row r="2035" spans="13:15" x14ac:dyDescent="0.3">
      <c r="M2035" s="35">
        <v>22.47</v>
      </c>
      <c r="N2035">
        <v>305</v>
      </c>
      <c r="O2035" s="34">
        <f t="shared" si="32"/>
        <v>0.23158374131846191</v>
      </c>
    </row>
    <row r="2036" spans="13:15" x14ac:dyDescent="0.3">
      <c r="M2036" s="35">
        <v>22.47</v>
      </c>
      <c r="N2036">
        <v>305</v>
      </c>
      <c r="O2036" s="34">
        <f t="shared" si="32"/>
        <v>0.23169759763179448</v>
      </c>
    </row>
    <row r="2037" spans="13:15" x14ac:dyDescent="0.3">
      <c r="M2037" s="35">
        <v>22.47</v>
      </c>
      <c r="N2037">
        <v>305</v>
      </c>
      <c r="O2037" s="34">
        <f t="shared" si="32"/>
        <v>0.23181145394512706</v>
      </c>
    </row>
    <row r="2038" spans="13:15" x14ac:dyDescent="0.3">
      <c r="M2038" s="35">
        <v>22.47</v>
      </c>
      <c r="N2038">
        <v>305</v>
      </c>
      <c r="O2038" s="34">
        <f t="shared" si="32"/>
        <v>0.23192531025845964</v>
      </c>
    </row>
    <row r="2039" spans="13:15" x14ac:dyDescent="0.3">
      <c r="M2039" s="35">
        <v>22.48</v>
      </c>
      <c r="N2039">
        <v>305</v>
      </c>
      <c r="O2039" s="34">
        <f t="shared" si="32"/>
        <v>0.23203916657179222</v>
      </c>
    </row>
    <row r="2040" spans="13:15" x14ac:dyDescent="0.3">
      <c r="M2040" s="35">
        <v>22.48</v>
      </c>
      <c r="N2040">
        <v>305</v>
      </c>
      <c r="O2040" s="34">
        <f t="shared" si="32"/>
        <v>0.23215302288512479</v>
      </c>
    </row>
    <row r="2041" spans="13:15" x14ac:dyDescent="0.3">
      <c r="M2041" s="35">
        <v>22.49</v>
      </c>
      <c r="N2041">
        <v>305</v>
      </c>
      <c r="O2041" s="34">
        <f t="shared" si="32"/>
        <v>0.23226687919845737</v>
      </c>
    </row>
    <row r="2042" spans="13:15" x14ac:dyDescent="0.3">
      <c r="M2042" s="35">
        <v>22.49</v>
      </c>
      <c r="N2042">
        <v>305</v>
      </c>
      <c r="O2042" s="34">
        <f t="shared" si="32"/>
        <v>0.23238073551178995</v>
      </c>
    </row>
    <row r="2043" spans="13:15" x14ac:dyDescent="0.3">
      <c r="M2043" s="35">
        <v>22.5</v>
      </c>
      <c r="N2043">
        <v>305</v>
      </c>
      <c r="O2043" s="34">
        <f t="shared" si="32"/>
        <v>0.23249459182512253</v>
      </c>
    </row>
    <row r="2044" spans="13:15" x14ac:dyDescent="0.3">
      <c r="M2044" s="35">
        <v>22.5</v>
      </c>
      <c r="N2044">
        <v>305</v>
      </c>
      <c r="O2044" s="34">
        <f t="shared" si="32"/>
        <v>0.2326084481384551</v>
      </c>
    </row>
    <row r="2045" spans="13:15" x14ac:dyDescent="0.3">
      <c r="M2045" s="35">
        <v>22.5</v>
      </c>
      <c r="N2045">
        <v>305</v>
      </c>
      <c r="O2045" s="34">
        <f t="shared" si="32"/>
        <v>0.23272230445178768</v>
      </c>
    </row>
    <row r="2046" spans="13:15" x14ac:dyDescent="0.3">
      <c r="M2046" s="35">
        <v>22.5</v>
      </c>
      <c r="N2046">
        <v>305</v>
      </c>
      <c r="O2046" s="34">
        <f t="shared" si="32"/>
        <v>0.23283616076512026</v>
      </c>
    </row>
    <row r="2047" spans="13:15" x14ac:dyDescent="0.3">
      <c r="M2047" s="35">
        <v>22.51</v>
      </c>
      <c r="N2047">
        <v>305</v>
      </c>
      <c r="O2047" s="34">
        <f t="shared" si="32"/>
        <v>0.23295001707845284</v>
      </c>
    </row>
    <row r="2048" spans="13:15" x14ac:dyDescent="0.3">
      <c r="M2048" s="35">
        <v>22.51</v>
      </c>
      <c r="N2048">
        <v>305</v>
      </c>
      <c r="O2048" s="34">
        <f t="shared" si="32"/>
        <v>0.23306387339178541</v>
      </c>
    </row>
    <row r="2049" spans="13:15" x14ac:dyDescent="0.3">
      <c r="M2049" s="35">
        <v>22.51</v>
      </c>
      <c r="N2049">
        <v>305</v>
      </c>
      <c r="O2049" s="34">
        <f t="shared" si="32"/>
        <v>0.23317772970511799</v>
      </c>
    </row>
    <row r="2050" spans="13:15" x14ac:dyDescent="0.3">
      <c r="M2050" s="35">
        <v>22.51</v>
      </c>
      <c r="N2050">
        <v>305</v>
      </c>
      <c r="O2050" s="34">
        <f t="shared" si="32"/>
        <v>0.23329158601845057</v>
      </c>
    </row>
    <row r="2051" spans="13:15" x14ac:dyDescent="0.3">
      <c r="M2051" s="35">
        <v>22.52</v>
      </c>
      <c r="N2051">
        <v>305</v>
      </c>
      <c r="O2051" s="34">
        <f t="shared" si="32"/>
        <v>0.23340544233178315</v>
      </c>
    </row>
    <row r="2052" spans="13:15" x14ac:dyDescent="0.3">
      <c r="M2052" s="35">
        <v>22.52</v>
      </c>
      <c r="N2052">
        <v>305</v>
      </c>
      <c r="O2052" s="34">
        <f t="shared" ref="O2052:O2115" si="33">O2051+O$2</f>
        <v>0.23351929864511572</v>
      </c>
    </row>
    <row r="2053" spans="13:15" x14ac:dyDescent="0.3">
      <c r="M2053" s="35">
        <v>22.52</v>
      </c>
      <c r="N2053">
        <v>305</v>
      </c>
      <c r="O2053" s="34">
        <f t="shared" si="33"/>
        <v>0.2336331549584483</v>
      </c>
    </row>
    <row r="2054" spans="13:15" x14ac:dyDescent="0.3">
      <c r="M2054" s="35">
        <v>22.53</v>
      </c>
      <c r="N2054">
        <v>305</v>
      </c>
      <c r="O2054" s="34">
        <f t="shared" si="33"/>
        <v>0.23374701127178088</v>
      </c>
    </row>
    <row r="2055" spans="13:15" x14ac:dyDescent="0.3">
      <c r="M2055" s="35">
        <v>22.53</v>
      </c>
      <c r="N2055">
        <v>305</v>
      </c>
      <c r="O2055" s="34">
        <f t="shared" si="33"/>
        <v>0.23386086758511346</v>
      </c>
    </row>
    <row r="2056" spans="13:15" x14ac:dyDescent="0.3">
      <c r="M2056" s="35">
        <v>22.53</v>
      </c>
      <c r="N2056">
        <v>305</v>
      </c>
      <c r="O2056" s="34">
        <f t="shared" si="33"/>
        <v>0.23397472389844604</v>
      </c>
    </row>
    <row r="2057" spans="13:15" x14ac:dyDescent="0.3">
      <c r="M2057" s="35">
        <v>22.53</v>
      </c>
      <c r="N2057">
        <v>305</v>
      </c>
      <c r="O2057" s="34">
        <f t="shared" si="33"/>
        <v>0.23408858021177861</v>
      </c>
    </row>
    <row r="2058" spans="13:15" x14ac:dyDescent="0.3">
      <c r="M2058" s="35">
        <v>22.54</v>
      </c>
      <c r="N2058">
        <v>305</v>
      </c>
      <c r="O2058" s="34">
        <f t="shared" si="33"/>
        <v>0.23420243652511119</v>
      </c>
    </row>
    <row r="2059" spans="13:15" x14ac:dyDescent="0.3">
      <c r="M2059" s="35">
        <v>22.54</v>
      </c>
      <c r="N2059">
        <v>305</v>
      </c>
      <c r="O2059" s="34">
        <f t="shared" si="33"/>
        <v>0.23431629283844377</v>
      </c>
    </row>
    <row r="2060" spans="13:15" x14ac:dyDescent="0.3">
      <c r="M2060" s="35">
        <v>22.54</v>
      </c>
      <c r="N2060">
        <v>305</v>
      </c>
      <c r="O2060" s="34">
        <f t="shared" si="33"/>
        <v>0.23443014915177635</v>
      </c>
    </row>
    <row r="2061" spans="13:15" x14ac:dyDescent="0.3">
      <c r="M2061" s="35">
        <v>22.54</v>
      </c>
      <c r="N2061">
        <v>305</v>
      </c>
      <c r="O2061" s="34">
        <f t="shared" si="33"/>
        <v>0.23454400546510892</v>
      </c>
    </row>
    <row r="2062" spans="13:15" x14ac:dyDescent="0.3">
      <c r="M2062" s="35">
        <v>22.55</v>
      </c>
      <c r="N2062">
        <v>305</v>
      </c>
      <c r="O2062" s="34">
        <f t="shared" si="33"/>
        <v>0.2346578617784415</v>
      </c>
    </row>
    <row r="2063" spans="13:15" x14ac:dyDescent="0.3">
      <c r="M2063" s="35">
        <v>22.55</v>
      </c>
      <c r="N2063">
        <v>305</v>
      </c>
      <c r="O2063" s="34">
        <f t="shared" si="33"/>
        <v>0.23477171809177408</v>
      </c>
    </row>
    <row r="2064" spans="13:15" x14ac:dyDescent="0.3">
      <c r="M2064" s="35">
        <v>22.55</v>
      </c>
      <c r="N2064">
        <v>305</v>
      </c>
      <c r="O2064" s="34">
        <f t="shared" si="33"/>
        <v>0.23488557440510666</v>
      </c>
    </row>
    <row r="2065" spans="13:15" x14ac:dyDescent="0.3">
      <c r="M2065" s="35">
        <v>22.55</v>
      </c>
      <c r="N2065">
        <v>305</v>
      </c>
      <c r="O2065" s="34">
        <f t="shared" si="33"/>
        <v>0.23499943071843923</v>
      </c>
    </row>
    <row r="2066" spans="13:15" x14ac:dyDescent="0.3">
      <c r="M2066" s="35">
        <v>22.56</v>
      </c>
      <c r="N2066">
        <v>305</v>
      </c>
      <c r="O2066" s="34">
        <f t="shared" si="33"/>
        <v>0.23511328703177181</v>
      </c>
    </row>
    <row r="2067" spans="13:15" x14ac:dyDescent="0.3">
      <c r="M2067" s="35">
        <v>22.56</v>
      </c>
      <c r="N2067">
        <v>305</v>
      </c>
      <c r="O2067" s="34">
        <f t="shared" si="33"/>
        <v>0.23522714334510439</v>
      </c>
    </row>
    <row r="2068" spans="13:15" x14ac:dyDescent="0.3">
      <c r="M2068" s="35">
        <v>22.57</v>
      </c>
      <c r="N2068">
        <v>305</v>
      </c>
      <c r="O2068" s="34">
        <f t="shared" si="33"/>
        <v>0.23534099965843697</v>
      </c>
    </row>
    <row r="2069" spans="13:15" x14ac:dyDescent="0.3">
      <c r="M2069" s="35">
        <v>22.57</v>
      </c>
      <c r="N2069">
        <v>305</v>
      </c>
      <c r="O2069" s="34">
        <f t="shared" si="33"/>
        <v>0.23545485597176954</v>
      </c>
    </row>
    <row r="2070" spans="13:15" x14ac:dyDescent="0.3">
      <c r="M2070" s="35">
        <v>22.57</v>
      </c>
      <c r="N2070">
        <v>305</v>
      </c>
      <c r="O2070" s="34">
        <f t="shared" si="33"/>
        <v>0.23556871228510212</v>
      </c>
    </row>
    <row r="2071" spans="13:15" x14ac:dyDescent="0.3">
      <c r="M2071" s="35">
        <v>22.57</v>
      </c>
      <c r="N2071">
        <v>305</v>
      </c>
      <c r="O2071" s="34">
        <f t="shared" si="33"/>
        <v>0.2356825685984347</v>
      </c>
    </row>
    <row r="2072" spans="13:15" x14ac:dyDescent="0.3">
      <c r="M2072" s="35">
        <v>22.58</v>
      </c>
      <c r="N2072">
        <v>305</v>
      </c>
      <c r="O2072" s="34">
        <f t="shared" si="33"/>
        <v>0.23579642491176728</v>
      </c>
    </row>
    <row r="2073" spans="13:15" x14ac:dyDescent="0.3">
      <c r="M2073" s="35">
        <v>22.58</v>
      </c>
      <c r="N2073">
        <v>305</v>
      </c>
      <c r="O2073" s="34">
        <f t="shared" si="33"/>
        <v>0.23591028122509985</v>
      </c>
    </row>
    <row r="2074" spans="13:15" x14ac:dyDescent="0.3">
      <c r="M2074" s="35">
        <v>22.59</v>
      </c>
      <c r="N2074">
        <v>305</v>
      </c>
      <c r="O2074" s="34">
        <f t="shared" si="33"/>
        <v>0.23602413753843243</v>
      </c>
    </row>
    <row r="2075" spans="13:15" x14ac:dyDescent="0.3">
      <c r="M2075" s="35">
        <v>22.59</v>
      </c>
      <c r="N2075">
        <v>305</v>
      </c>
      <c r="O2075" s="34">
        <f t="shared" si="33"/>
        <v>0.23613799385176501</v>
      </c>
    </row>
    <row r="2076" spans="13:15" x14ac:dyDescent="0.3">
      <c r="M2076" s="35">
        <v>22.59</v>
      </c>
      <c r="N2076">
        <v>305</v>
      </c>
      <c r="O2076" s="34">
        <f t="shared" si="33"/>
        <v>0.23625185016509759</v>
      </c>
    </row>
    <row r="2077" spans="13:15" x14ac:dyDescent="0.3">
      <c r="M2077" s="35">
        <v>22.6</v>
      </c>
      <c r="N2077">
        <v>305</v>
      </c>
      <c r="O2077" s="34">
        <f t="shared" si="33"/>
        <v>0.23636570647843017</v>
      </c>
    </row>
    <row r="2078" spans="13:15" x14ac:dyDescent="0.3">
      <c r="M2078" s="35">
        <v>22.6</v>
      </c>
      <c r="N2078">
        <v>305</v>
      </c>
      <c r="O2078" s="34">
        <f t="shared" si="33"/>
        <v>0.23647956279176274</v>
      </c>
    </row>
    <row r="2079" spans="13:15" x14ac:dyDescent="0.3">
      <c r="M2079" s="35">
        <v>22.6</v>
      </c>
      <c r="N2079">
        <v>305</v>
      </c>
      <c r="O2079" s="34">
        <f t="shared" si="33"/>
        <v>0.23659341910509532</v>
      </c>
    </row>
    <row r="2080" spans="13:15" x14ac:dyDescent="0.3">
      <c r="M2080" s="35">
        <v>22.6</v>
      </c>
      <c r="N2080">
        <v>305</v>
      </c>
      <c r="O2080" s="34">
        <f t="shared" si="33"/>
        <v>0.2367072754184279</v>
      </c>
    </row>
    <row r="2081" spans="13:15" x14ac:dyDescent="0.3">
      <c r="M2081" s="35">
        <v>22.61</v>
      </c>
      <c r="N2081">
        <v>305</v>
      </c>
      <c r="O2081" s="34">
        <f t="shared" si="33"/>
        <v>0.23682113173176048</v>
      </c>
    </row>
    <row r="2082" spans="13:15" x14ac:dyDescent="0.3">
      <c r="M2082" s="35">
        <v>22.61</v>
      </c>
      <c r="N2082">
        <v>305</v>
      </c>
      <c r="O2082" s="34">
        <f t="shared" si="33"/>
        <v>0.23693498804509305</v>
      </c>
    </row>
    <row r="2083" spans="13:15" x14ac:dyDescent="0.3">
      <c r="M2083" s="35">
        <v>22.61</v>
      </c>
      <c r="N2083">
        <v>305</v>
      </c>
      <c r="O2083" s="34">
        <f t="shared" si="33"/>
        <v>0.23704884435842563</v>
      </c>
    </row>
    <row r="2084" spans="13:15" x14ac:dyDescent="0.3">
      <c r="M2084" s="35">
        <v>22.62</v>
      </c>
      <c r="N2084">
        <v>305</v>
      </c>
      <c r="O2084" s="34">
        <f t="shared" si="33"/>
        <v>0.23716270067175821</v>
      </c>
    </row>
    <row r="2085" spans="13:15" x14ac:dyDescent="0.3">
      <c r="M2085" s="35">
        <v>22.62</v>
      </c>
      <c r="N2085">
        <v>305</v>
      </c>
      <c r="O2085" s="34">
        <f t="shared" si="33"/>
        <v>0.23727655698509079</v>
      </c>
    </row>
    <row r="2086" spans="13:15" x14ac:dyDescent="0.3">
      <c r="M2086" s="35">
        <v>22.62</v>
      </c>
      <c r="N2086">
        <v>305</v>
      </c>
      <c r="O2086" s="34">
        <f t="shared" si="33"/>
        <v>0.23739041329842336</v>
      </c>
    </row>
    <row r="2087" spans="13:15" x14ac:dyDescent="0.3">
      <c r="M2087" s="35">
        <v>22.62</v>
      </c>
      <c r="N2087">
        <v>305</v>
      </c>
      <c r="O2087" s="34">
        <f t="shared" si="33"/>
        <v>0.23750426961175594</v>
      </c>
    </row>
    <row r="2088" spans="13:15" x14ac:dyDescent="0.3">
      <c r="M2088" s="35">
        <v>22.63</v>
      </c>
      <c r="N2088">
        <v>305</v>
      </c>
      <c r="O2088" s="34">
        <f t="shared" si="33"/>
        <v>0.23761812592508852</v>
      </c>
    </row>
    <row r="2089" spans="13:15" x14ac:dyDescent="0.3">
      <c r="M2089" s="35">
        <v>22.63</v>
      </c>
      <c r="N2089">
        <v>305</v>
      </c>
      <c r="O2089" s="34">
        <f t="shared" si="33"/>
        <v>0.2377319822384211</v>
      </c>
    </row>
    <row r="2090" spans="13:15" x14ac:dyDescent="0.3">
      <c r="M2090" s="35">
        <v>22.63</v>
      </c>
      <c r="N2090">
        <v>305</v>
      </c>
      <c r="O2090" s="34">
        <f t="shared" si="33"/>
        <v>0.23784583855175367</v>
      </c>
    </row>
    <row r="2091" spans="13:15" x14ac:dyDescent="0.3">
      <c r="M2091" s="35">
        <v>22.65</v>
      </c>
      <c r="N2091">
        <v>305</v>
      </c>
      <c r="O2091" s="34">
        <f t="shared" si="33"/>
        <v>0.23795969486508625</v>
      </c>
    </row>
    <row r="2092" spans="13:15" x14ac:dyDescent="0.3">
      <c r="M2092" s="35">
        <v>22.65</v>
      </c>
      <c r="N2092">
        <v>305</v>
      </c>
      <c r="O2092" s="34">
        <f t="shared" si="33"/>
        <v>0.23807355117841883</v>
      </c>
    </row>
    <row r="2093" spans="13:15" x14ac:dyDescent="0.3">
      <c r="M2093" s="35">
        <v>22.65</v>
      </c>
      <c r="N2093">
        <v>305</v>
      </c>
      <c r="O2093" s="34">
        <f t="shared" si="33"/>
        <v>0.23818740749175141</v>
      </c>
    </row>
    <row r="2094" spans="13:15" x14ac:dyDescent="0.3">
      <c r="M2094" s="35">
        <v>22.65</v>
      </c>
      <c r="N2094">
        <v>305</v>
      </c>
      <c r="O2094" s="34">
        <f t="shared" si="33"/>
        <v>0.23830126380508398</v>
      </c>
    </row>
    <row r="2095" spans="13:15" x14ac:dyDescent="0.3">
      <c r="M2095" s="35">
        <v>22.65</v>
      </c>
      <c r="N2095">
        <v>305</v>
      </c>
      <c r="O2095" s="34">
        <f t="shared" si="33"/>
        <v>0.23841512011841656</v>
      </c>
    </row>
    <row r="2096" spans="13:15" x14ac:dyDescent="0.3">
      <c r="M2096" s="35">
        <v>22.65</v>
      </c>
      <c r="N2096">
        <v>305</v>
      </c>
      <c r="O2096" s="34">
        <f t="shared" si="33"/>
        <v>0.23852897643174914</v>
      </c>
    </row>
    <row r="2097" spans="13:15" x14ac:dyDescent="0.3">
      <c r="M2097" s="35">
        <v>22.65</v>
      </c>
      <c r="N2097">
        <v>305</v>
      </c>
      <c r="O2097" s="34">
        <f t="shared" si="33"/>
        <v>0.23864283274508172</v>
      </c>
    </row>
    <row r="2098" spans="13:15" x14ac:dyDescent="0.3">
      <c r="M2098" s="35">
        <v>22.66</v>
      </c>
      <c r="N2098">
        <v>305</v>
      </c>
      <c r="O2098" s="34">
        <f t="shared" si="33"/>
        <v>0.2387566890584143</v>
      </c>
    </row>
    <row r="2099" spans="13:15" x14ac:dyDescent="0.3">
      <c r="M2099" s="35">
        <v>22.66</v>
      </c>
      <c r="N2099">
        <v>305</v>
      </c>
      <c r="O2099" s="34">
        <f t="shared" si="33"/>
        <v>0.23887054537174687</v>
      </c>
    </row>
    <row r="2100" spans="13:15" x14ac:dyDescent="0.3">
      <c r="M2100" s="35">
        <v>22.66</v>
      </c>
      <c r="N2100">
        <v>305</v>
      </c>
      <c r="O2100" s="34">
        <f t="shared" si="33"/>
        <v>0.23898440168507945</v>
      </c>
    </row>
    <row r="2101" spans="13:15" x14ac:dyDescent="0.3">
      <c r="M2101" s="35">
        <v>22.66</v>
      </c>
      <c r="N2101">
        <v>305</v>
      </c>
      <c r="O2101" s="34">
        <f t="shared" si="33"/>
        <v>0.23909825799841203</v>
      </c>
    </row>
    <row r="2102" spans="13:15" x14ac:dyDescent="0.3">
      <c r="M2102" s="35">
        <v>22.66</v>
      </c>
      <c r="N2102">
        <v>305</v>
      </c>
      <c r="O2102" s="34">
        <f t="shared" si="33"/>
        <v>0.23921211431174461</v>
      </c>
    </row>
    <row r="2103" spans="13:15" x14ac:dyDescent="0.3">
      <c r="M2103" s="35">
        <v>22.66</v>
      </c>
      <c r="N2103">
        <v>305</v>
      </c>
      <c r="O2103" s="34">
        <f t="shared" si="33"/>
        <v>0.23932597062507718</v>
      </c>
    </row>
    <row r="2104" spans="13:15" x14ac:dyDescent="0.3">
      <c r="M2104" s="35">
        <v>22.67</v>
      </c>
      <c r="N2104">
        <v>305</v>
      </c>
      <c r="O2104" s="34">
        <f t="shared" si="33"/>
        <v>0.23943982693840976</v>
      </c>
    </row>
    <row r="2105" spans="13:15" x14ac:dyDescent="0.3">
      <c r="M2105" s="35">
        <v>22.67</v>
      </c>
      <c r="N2105">
        <v>305</v>
      </c>
      <c r="O2105" s="34">
        <f t="shared" si="33"/>
        <v>0.23955368325174234</v>
      </c>
    </row>
    <row r="2106" spans="13:15" x14ac:dyDescent="0.3">
      <c r="M2106" s="35">
        <v>22.67</v>
      </c>
      <c r="N2106">
        <v>305</v>
      </c>
      <c r="O2106" s="34">
        <f t="shared" si="33"/>
        <v>0.23966753956507492</v>
      </c>
    </row>
    <row r="2107" spans="13:15" x14ac:dyDescent="0.3">
      <c r="M2107" s="35">
        <v>22.67</v>
      </c>
      <c r="N2107">
        <v>305</v>
      </c>
      <c r="O2107" s="34">
        <f t="shared" si="33"/>
        <v>0.23978139587840749</v>
      </c>
    </row>
    <row r="2108" spans="13:15" x14ac:dyDescent="0.3">
      <c r="M2108" s="35">
        <v>22.67</v>
      </c>
      <c r="N2108">
        <v>305</v>
      </c>
      <c r="O2108" s="34">
        <f t="shared" si="33"/>
        <v>0.23989525219174007</v>
      </c>
    </row>
    <row r="2109" spans="13:15" x14ac:dyDescent="0.3">
      <c r="M2109" s="35">
        <v>22.67</v>
      </c>
      <c r="N2109">
        <v>305</v>
      </c>
      <c r="O2109" s="34">
        <f t="shared" si="33"/>
        <v>0.24000910850507265</v>
      </c>
    </row>
    <row r="2110" spans="13:15" x14ac:dyDescent="0.3">
      <c r="M2110" s="35">
        <v>22.67</v>
      </c>
      <c r="N2110">
        <v>305</v>
      </c>
      <c r="O2110" s="34">
        <f t="shared" si="33"/>
        <v>0.24012296481840523</v>
      </c>
    </row>
    <row r="2111" spans="13:15" x14ac:dyDescent="0.3">
      <c r="M2111" s="35">
        <v>22.69</v>
      </c>
      <c r="N2111">
        <v>305</v>
      </c>
      <c r="O2111" s="34">
        <f t="shared" si="33"/>
        <v>0.2402368211317378</v>
      </c>
    </row>
    <row r="2112" spans="13:15" x14ac:dyDescent="0.3">
      <c r="M2112" s="35">
        <v>22.69</v>
      </c>
      <c r="N2112">
        <v>305</v>
      </c>
      <c r="O2112" s="34">
        <f t="shared" si="33"/>
        <v>0.24035067744507038</v>
      </c>
    </row>
    <row r="2113" spans="13:15" x14ac:dyDescent="0.3">
      <c r="M2113" s="35">
        <v>22.69</v>
      </c>
      <c r="N2113">
        <v>305</v>
      </c>
      <c r="O2113" s="34">
        <f t="shared" si="33"/>
        <v>0.24046453375840296</v>
      </c>
    </row>
    <row r="2114" spans="13:15" x14ac:dyDescent="0.3">
      <c r="M2114" s="35">
        <v>22.69</v>
      </c>
      <c r="N2114">
        <v>305</v>
      </c>
      <c r="O2114" s="34">
        <f t="shared" si="33"/>
        <v>0.24057839007173554</v>
      </c>
    </row>
    <row r="2115" spans="13:15" x14ac:dyDescent="0.3">
      <c r="M2115" s="35">
        <v>22.69</v>
      </c>
      <c r="N2115">
        <v>305</v>
      </c>
      <c r="O2115" s="34">
        <f t="shared" si="33"/>
        <v>0.24069224638506811</v>
      </c>
    </row>
    <row r="2116" spans="13:15" x14ac:dyDescent="0.3">
      <c r="M2116" s="35">
        <v>22.69</v>
      </c>
      <c r="N2116">
        <v>305</v>
      </c>
      <c r="O2116" s="34">
        <f t="shared" ref="O2116:O2179" si="34">O2115+O$2</f>
        <v>0.24080610269840069</v>
      </c>
    </row>
    <row r="2117" spans="13:15" x14ac:dyDescent="0.3">
      <c r="M2117" s="35">
        <v>22.69</v>
      </c>
      <c r="N2117">
        <v>305</v>
      </c>
      <c r="O2117" s="34">
        <f t="shared" si="34"/>
        <v>0.24091995901173327</v>
      </c>
    </row>
    <row r="2118" spans="13:15" x14ac:dyDescent="0.3">
      <c r="M2118" s="35">
        <v>22.69</v>
      </c>
      <c r="N2118">
        <v>305</v>
      </c>
      <c r="O2118" s="34">
        <f t="shared" si="34"/>
        <v>0.24103381532506585</v>
      </c>
    </row>
    <row r="2119" spans="13:15" x14ac:dyDescent="0.3">
      <c r="M2119" s="35">
        <v>22.7</v>
      </c>
      <c r="N2119">
        <v>305</v>
      </c>
      <c r="O2119" s="34">
        <f t="shared" si="34"/>
        <v>0.24114767163839843</v>
      </c>
    </row>
    <row r="2120" spans="13:15" x14ac:dyDescent="0.3">
      <c r="M2120" s="35">
        <v>22.7</v>
      </c>
      <c r="N2120">
        <v>305</v>
      </c>
      <c r="O2120" s="34">
        <f t="shared" si="34"/>
        <v>0.241261527951731</v>
      </c>
    </row>
    <row r="2121" spans="13:15" x14ac:dyDescent="0.3">
      <c r="M2121" s="35">
        <v>22.7</v>
      </c>
      <c r="N2121">
        <v>305</v>
      </c>
      <c r="O2121" s="34">
        <f t="shared" si="34"/>
        <v>0.24137538426506358</v>
      </c>
    </row>
    <row r="2122" spans="13:15" x14ac:dyDescent="0.3">
      <c r="M2122" s="35">
        <v>22.7</v>
      </c>
      <c r="N2122">
        <v>305</v>
      </c>
      <c r="O2122" s="34">
        <f t="shared" si="34"/>
        <v>0.24148924057839616</v>
      </c>
    </row>
    <row r="2123" spans="13:15" x14ac:dyDescent="0.3">
      <c r="M2123" s="35">
        <v>22.7</v>
      </c>
      <c r="N2123">
        <v>305</v>
      </c>
      <c r="O2123" s="34">
        <f t="shared" si="34"/>
        <v>0.24160309689172874</v>
      </c>
    </row>
    <row r="2124" spans="13:15" x14ac:dyDescent="0.3">
      <c r="M2124" s="35">
        <v>22.71</v>
      </c>
      <c r="N2124">
        <v>305</v>
      </c>
      <c r="O2124" s="34">
        <f t="shared" si="34"/>
        <v>0.24171695320506131</v>
      </c>
    </row>
    <row r="2125" spans="13:15" x14ac:dyDescent="0.3">
      <c r="M2125" s="35">
        <v>22.71</v>
      </c>
      <c r="N2125">
        <v>305</v>
      </c>
      <c r="O2125" s="34">
        <f t="shared" si="34"/>
        <v>0.24183080951839389</v>
      </c>
    </row>
    <row r="2126" spans="13:15" x14ac:dyDescent="0.3">
      <c r="M2126" s="35">
        <v>22.72</v>
      </c>
      <c r="N2126">
        <v>305</v>
      </c>
      <c r="O2126" s="34">
        <f t="shared" si="34"/>
        <v>0.24194466583172647</v>
      </c>
    </row>
    <row r="2127" spans="13:15" x14ac:dyDescent="0.3">
      <c r="M2127" s="35">
        <v>22.72</v>
      </c>
      <c r="N2127">
        <v>305</v>
      </c>
      <c r="O2127" s="34">
        <f t="shared" si="34"/>
        <v>0.24205852214505905</v>
      </c>
    </row>
    <row r="2128" spans="13:15" x14ac:dyDescent="0.3">
      <c r="M2128" s="35">
        <v>22.72</v>
      </c>
      <c r="N2128">
        <v>305</v>
      </c>
      <c r="O2128" s="34">
        <f t="shared" si="34"/>
        <v>0.24217237845839162</v>
      </c>
    </row>
    <row r="2129" spans="13:15" x14ac:dyDescent="0.3">
      <c r="M2129" s="35">
        <v>22.73</v>
      </c>
      <c r="N2129">
        <v>305</v>
      </c>
      <c r="O2129" s="34">
        <f t="shared" si="34"/>
        <v>0.2422862347717242</v>
      </c>
    </row>
    <row r="2130" spans="13:15" x14ac:dyDescent="0.3">
      <c r="M2130" s="35">
        <v>22.73</v>
      </c>
      <c r="N2130">
        <v>305</v>
      </c>
      <c r="O2130" s="34">
        <f t="shared" si="34"/>
        <v>0.24240009108505678</v>
      </c>
    </row>
    <row r="2131" spans="13:15" x14ac:dyDescent="0.3">
      <c r="M2131" s="35">
        <v>22.73</v>
      </c>
      <c r="N2131">
        <v>305</v>
      </c>
      <c r="O2131" s="34">
        <f t="shared" si="34"/>
        <v>0.24251394739838936</v>
      </c>
    </row>
    <row r="2132" spans="13:15" x14ac:dyDescent="0.3">
      <c r="M2132" s="35">
        <v>22.73</v>
      </c>
      <c r="N2132">
        <v>305</v>
      </c>
      <c r="O2132" s="34">
        <f t="shared" si="34"/>
        <v>0.24262780371172193</v>
      </c>
    </row>
    <row r="2133" spans="13:15" x14ac:dyDescent="0.3">
      <c r="M2133" s="35">
        <v>22.73</v>
      </c>
      <c r="N2133">
        <v>305</v>
      </c>
      <c r="O2133" s="34">
        <f t="shared" si="34"/>
        <v>0.24274166002505451</v>
      </c>
    </row>
    <row r="2134" spans="13:15" x14ac:dyDescent="0.3">
      <c r="M2134" s="35">
        <v>22.74</v>
      </c>
      <c r="N2134">
        <v>305</v>
      </c>
      <c r="O2134" s="34">
        <f t="shared" si="34"/>
        <v>0.24285551633838709</v>
      </c>
    </row>
    <row r="2135" spans="13:15" x14ac:dyDescent="0.3">
      <c r="M2135" s="35">
        <v>22.74</v>
      </c>
      <c r="N2135">
        <v>305</v>
      </c>
      <c r="O2135" s="34">
        <f t="shared" si="34"/>
        <v>0.24296937265171967</v>
      </c>
    </row>
    <row r="2136" spans="13:15" x14ac:dyDescent="0.3">
      <c r="M2136" s="35">
        <v>22.74</v>
      </c>
      <c r="N2136">
        <v>305</v>
      </c>
      <c r="O2136" s="34">
        <f t="shared" si="34"/>
        <v>0.24308322896505224</v>
      </c>
    </row>
    <row r="2137" spans="13:15" x14ac:dyDescent="0.3">
      <c r="M2137" s="35">
        <v>22.74</v>
      </c>
      <c r="N2137">
        <v>305</v>
      </c>
      <c r="O2137" s="34">
        <f t="shared" si="34"/>
        <v>0.24319708527838482</v>
      </c>
    </row>
    <row r="2138" spans="13:15" x14ac:dyDescent="0.3">
      <c r="M2138" s="35">
        <v>22.74</v>
      </c>
      <c r="N2138">
        <v>305</v>
      </c>
      <c r="O2138" s="34">
        <f t="shared" si="34"/>
        <v>0.2433109415917174</v>
      </c>
    </row>
    <row r="2139" spans="13:15" x14ac:dyDescent="0.3">
      <c r="M2139" s="35">
        <v>22.75</v>
      </c>
      <c r="N2139">
        <v>305</v>
      </c>
      <c r="O2139" s="34">
        <f t="shared" si="34"/>
        <v>0.24342479790504998</v>
      </c>
    </row>
    <row r="2140" spans="13:15" x14ac:dyDescent="0.3">
      <c r="M2140" s="35">
        <v>22.75</v>
      </c>
      <c r="N2140">
        <v>305</v>
      </c>
      <c r="O2140" s="34">
        <f t="shared" si="34"/>
        <v>0.24353865421838256</v>
      </c>
    </row>
    <row r="2141" spans="13:15" x14ac:dyDescent="0.3">
      <c r="M2141" s="35">
        <v>22.75</v>
      </c>
      <c r="N2141">
        <v>305</v>
      </c>
      <c r="O2141" s="34">
        <f t="shared" si="34"/>
        <v>0.24365251053171513</v>
      </c>
    </row>
    <row r="2142" spans="13:15" x14ac:dyDescent="0.3">
      <c r="M2142" s="35">
        <v>22.75</v>
      </c>
      <c r="N2142">
        <v>305</v>
      </c>
      <c r="O2142" s="34">
        <f t="shared" si="34"/>
        <v>0.24376636684504771</v>
      </c>
    </row>
    <row r="2143" spans="13:15" x14ac:dyDescent="0.3">
      <c r="M2143" s="35">
        <v>22.75</v>
      </c>
      <c r="N2143">
        <v>305</v>
      </c>
      <c r="O2143" s="34">
        <f t="shared" si="34"/>
        <v>0.24388022315838029</v>
      </c>
    </row>
    <row r="2144" spans="13:15" x14ac:dyDescent="0.3">
      <c r="M2144" s="35">
        <v>22.75</v>
      </c>
      <c r="N2144">
        <v>305</v>
      </c>
      <c r="O2144" s="34">
        <f t="shared" si="34"/>
        <v>0.24399407947171287</v>
      </c>
    </row>
    <row r="2145" spans="13:15" x14ac:dyDescent="0.3">
      <c r="M2145" s="35">
        <v>22.75</v>
      </c>
      <c r="N2145">
        <v>305</v>
      </c>
      <c r="O2145" s="34">
        <f t="shared" si="34"/>
        <v>0.24410793578504544</v>
      </c>
    </row>
    <row r="2146" spans="13:15" x14ac:dyDescent="0.3">
      <c r="M2146" s="35">
        <v>22.76</v>
      </c>
      <c r="N2146">
        <v>305</v>
      </c>
      <c r="O2146" s="34">
        <f t="shared" si="34"/>
        <v>0.24422179209837802</v>
      </c>
    </row>
    <row r="2147" spans="13:15" x14ac:dyDescent="0.3">
      <c r="M2147" s="35">
        <v>22.77</v>
      </c>
      <c r="N2147">
        <v>305</v>
      </c>
      <c r="O2147" s="34">
        <f t="shared" si="34"/>
        <v>0.2443356484117106</v>
      </c>
    </row>
    <row r="2148" spans="13:15" x14ac:dyDescent="0.3">
      <c r="M2148" s="35">
        <v>22.77</v>
      </c>
      <c r="N2148">
        <v>305</v>
      </c>
      <c r="O2148" s="34">
        <f t="shared" si="34"/>
        <v>0.24444950472504318</v>
      </c>
    </row>
    <row r="2149" spans="13:15" x14ac:dyDescent="0.3">
      <c r="M2149" s="35">
        <v>22.77</v>
      </c>
      <c r="N2149">
        <v>305</v>
      </c>
      <c r="O2149" s="34">
        <f t="shared" si="34"/>
        <v>0.24456336103837575</v>
      </c>
    </row>
    <row r="2150" spans="13:15" x14ac:dyDescent="0.3">
      <c r="M2150" s="35">
        <v>22.77</v>
      </c>
      <c r="N2150">
        <v>305</v>
      </c>
      <c r="O2150" s="34">
        <f t="shared" si="34"/>
        <v>0.24467721735170833</v>
      </c>
    </row>
    <row r="2151" spans="13:15" x14ac:dyDescent="0.3">
      <c r="M2151" s="35">
        <v>22.77</v>
      </c>
      <c r="N2151">
        <v>305</v>
      </c>
      <c r="O2151" s="34">
        <f t="shared" si="34"/>
        <v>0.24479107366504091</v>
      </c>
    </row>
    <row r="2152" spans="13:15" x14ac:dyDescent="0.3">
      <c r="M2152" s="35">
        <v>22.77</v>
      </c>
      <c r="N2152">
        <v>305</v>
      </c>
      <c r="O2152" s="34">
        <f t="shared" si="34"/>
        <v>0.24490492997837349</v>
      </c>
    </row>
    <row r="2153" spans="13:15" x14ac:dyDescent="0.3">
      <c r="M2153" s="35">
        <v>22.77</v>
      </c>
      <c r="N2153">
        <v>305</v>
      </c>
      <c r="O2153" s="34">
        <f t="shared" si="34"/>
        <v>0.24501878629170606</v>
      </c>
    </row>
    <row r="2154" spans="13:15" x14ac:dyDescent="0.3">
      <c r="M2154" s="35">
        <v>22.77</v>
      </c>
      <c r="N2154">
        <v>305</v>
      </c>
      <c r="O2154" s="34">
        <f t="shared" si="34"/>
        <v>0.24513264260503864</v>
      </c>
    </row>
    <row r="2155" spans="13:15" x14ac:dyDescent="0.3">
      <c r="M2155" s="35">
        <v>22.78</v>
      </c>
      <c r="N2155">
        <v>305</v>
      </c>
      <c r="O2155" s="34">
        <f t="shared" si="34"/>
        <v>0.24524649891837122</v>
      </c>
    </row>
    <row r="2156" spans="13:15" x14ac:dyDescent="0.3">
      <c r="M2156" s="35">
        <v>22.78</v>
      </c>
      <c r="N2156">
        <v>305</v>
      </c>
      <c r="O2156" s="34">
        <f t="shared" si="34"/>
        <v>0.2453603552317038</v>
      </c>
    </row>
    <row r="2157" spans="13:15" x14ac:dyDescent="0.3">
      <c r="M2157" s="35">
        <v>22.78</v>
      </c>
      <c r="N2157">
        <v>305</v>
      </c>
      <c r="O2157" s="34">
        <f t="shared" si="34"/>
        <v>0.24547421154503637</v>
      </c>
    </row>
    <row r="2158" spans="13:15" x14ac:dyDescent="0.3">
      <c r="M2158" s="35">
        <v>22.78</v>
      </c>
      <c r="N2158">
        <v>305</v>
      </c>
      <c r="O2158" s="34">
        <f t="shared" si="34"/>
        <v>0.24558806785836895</v>
      </c>
    </row>
    <row r="2159" spans="13:15" x14ac:dyDescent="0.3">
      <c r="M2159" s="35">
        <v>22.79</v>
      </c>
      <c r="N2159">
        <v>305</v>
      </c>
      <c r="O2159" s="34">
        <f t="shared" si="34"/>
        <v>0.24570192417170153</v>
      </c>
    </row>
    <row r="2160" spans="13:15" x14ac:dyDescent="0.3">
      <c r="M2160" s="35">
        <v>22.8</v>
      </c>
      <c r="N2160">
        <v>305</v>
      </c>
      <c r="O2160" s="34">
        <f t="shared" si="34"/>
        <v>0.24581578048503411</v>
      </c>
    </row>
    <row r="2161" spans="13:15" x14ac:dyDescent="0.3">
      <c r="M2161" s="35">
        <v>22.8</v>
      </c>
      <c r="N2161">
        <v>305</v>
      </c>
      <c r="O2161" s="34">
        <f t="shared" si="34"/>
        <v>0.24592963679836669</v>
      </c>
    </row>
    <row r="2162" spans="13:15" x14ac:dyDescent="0.3">
      <c r="M2162" s="35">
        <v>22.8</v>
      </c>
      <c r="N2162">
        <v>305</v>
      </c>
      <c r="O2162" s="34">
        <f t="shared" si="34"/>
        <v>0.24604349311169926</v>
      </c>
    </row>
    <row r="2163" spans="13:15" x14ac:dyDescent="0.3">
      <c r="M2163" s="35">
        <v>22.8</v>
      </c>
      <c r="N2163">
        <v>305</v>
      </c>
      <c r="O2163" s="34">
        <f t="shared" si="34"/>
        <v>0.24615734942503184</v>
      </c>
    </row>
    <row r="2164" spans="13:15" x14ac:dyDescent="0.3">
      <c r="M2164" s="35">
        <v>22.8</v>
      </c>
      <c r="N2164">
        <v>305</v>
      </c>
      <c r="O2164" s="34">
        <f t="shared" si="34"/>
        <v>0.24627120573836442</v>
      </c>
    </row>
    <row r="2165" spans="13:15" x14ac:dyDescent="0.3">
      <c r="M2165" s="35">
        <v>22.8</v>
      </c>
      <c r="N2165">
        <v>305</v>
      </c>
      <c r="O2165" s="34">
        <f t="shared" si="34"/>
        <v>0.246385062051697</v>
      </c>
    </row>
    <row r="2166" spans="13:15" x14ac:dyDescent="0.3">
      <c r="M2166" s="35">
        <v>22.81</v>
      </c>
      <c r="N2166">
        <v>305</v>
      </c>
      <c r="O2166" s="34">
        <f t="shared" si="34"/>
        <v>0.24649891836502957</v>
      </c>
    </row>
    <row r="2167" spans="13:15" x14ac:dyDescent="0.3">
      <c r="M2167" s="35">
        <v>22.82</v>
      </c>
      <c r="N2167">
        <v>305</v>
      </c>
      <c r="O2167" s="34">
        <f t="shared" si="34"/>
        <v>0.24661277467836215</v>
      </c>
    </row>
    <row r="2168" spans="13:15" x14ac:dyDescent="0.3">
      <c r="M2168" s="35">
        <v>22.82</v>
      </c>
      <c r="N2168">
        <v>305</v>
      </c>
      <c r="O2168" s="34">
        <f t="shared" si="34"/>
        <v>0.24672663099169473</v>
      </c>
    </row>
    <row r="2169" spans="13:15" x14ac:dyDescent="0.3">
      <c r="M2169" s="35">
        <v>22.82</v>
      </c>
      <c r="N2169">
        <v>305</v>
      </c>
      <c r="O2169" s="34">
        <f t="shared" si="34"/>
        <v>0.24684048730502731</v>
      </c>
    </row>
    <row r="2170" spans="13:15" x14ac:dyDescent="0.3">
      <c r="M2170" s="35">
        <v>22.82</v>
      </c>
      <c r="N2170">
        <v>305</v>
      </c>
      <c r="O2170" s="34">
        <f t="shared" si="34"/>
        <v>0.24695434361835988</v>
      </c>
    </row>
    <row r="2171" spans="13:15" x14ac:dyDescent="0.3">
      <c r="M2171" s="35">
        <v>22.82</v>
      </c>
      <c r="N2171">
        <v>305</v>
      </c>
      <c r="O2171" s="34">
        <f t="shared" si="34"/>
        <v>0.24706819993169246</v>
      </c>
    </row>
    <row r="2172" spans="13:15" x14ac:dyDescent="0.3">
      <c r="M2172" s="35">
        <v>22.84</v>
      </c>
      <c r="N2172">
        <v>305</v>
      </c>
      <c r="O2172" s="34">
        <f t="shared" si="34"/>
        <v>0.24718205624502504</v>
      </c>
    </row>
    <row r="2173" spans="13:15" x14ac:dyDescent="0.3">
      <c r="M2173" s="35">
        <v>22.84</v>
      </c>
      <c r="N2173">
        <v>305</v>
      </c>
      <c r="O2173" s="34">
        <f t="shared" si="34"/>
        <v>0.24729591255835762</v>
      </c>
    </row>
    <row r="2174" spans="13:15" x14ac:dyDescent="0.3">
      <c r="M2174" s="35">
        <v>22.84</v>
      </c>
      <c r="N2174">
        <v>305</v>
      </c>
      <c r="O2174" s="34">
        <f t="shared" si="34"/>
        <v>0.24740976887169019</v>
      </c>
    </row>
    <row r="2175" spans="13:15" x14ac:dyDescent="0.3">
      <c r="M2175" s="35">
        <v>22.84</v>
      </c>
      <c r="N2175">
        <v>305</v>
      </c>
      <c r="O2175" s="34">
        <f t="shared" si="34"/>
        <v>0.24752362518502277</v>
      </c>
    </row>
    <row r="2176" spans="13:15" x14ac:dyDescent="0.3">
      <c r="M2176" s="35">
        <v>22.85</v>
      </c>
      <c r="N2176">
        <v>305</v>
      </c>
      <c r="O2176" s="34">
        <f t="shared" si="34"/>
        <v>0.24763748149835535</v>
      </c>
    </row>
    <row r="2177" spans="13:15" x14ac:dyDescent="0.3">
      <c r="M2177" s="35">
        <v>22.85</v>
      </c>
      <c r="N2177">
        <v>305</v>
      </c>
      <c r="O2177" s="34">
        <f t="shared" si="34"/>
        <v>0.24775133781168793</v>
      </c>
    </row>
    <row r="2178" spans="13:15" x14ac:dyDescent="0.3">
      <c r="M2178" s="35">
        <v>22.85</v>
      </c>
      <c r="N2178">
        <v>305</v>
      </c>
      <c r="O2178" s="34">
        <f t="shared" si="34"/>
        <v>0.2478651941250205</v>
      </c>
    </row>
    <row r="2179" spans="13:15" x14ac:dyDescent="0.3">
      <c r="M2179" s="35">
        <v>22.85</v>
      </c>
      <c r="N2179">
        <v>305</v>
      </c>
      <c r="O2179" s="34">
        <f t="shared" si="34"/>
        <v>0.24797905043835308</v>
      </c>
    </row>
    <row r="2180" spans="13:15" x14ac:dyDescent="0.3">
      <c r="M2180" s="35">
        <v>22.86</v>
      </c>
      <c r="N2180">
        <v>305</v>
      </c>
      <c r="O2180" s="34">
        <f t="shared" ref="O2180:O2243" si="35">O2179+O$2</f>
        <v>0.24809290675168566</v>
      </c>
    </row>
    <row r="2181" spans="13:15" x14ac:dyDescent="0.3">
      <c r="M2181" s="35">
        <v>22.86</v>
      </c>
      <c r="N2181">
        <v>305</v>
      </c>
      <c r="O2181" s="34">
        <f t="shared" si="35"/>
        <v>0.24820676306501824</v>
      </c>
    </row>
    <row r="2182" spans="13:15" x14ac:dyDescent="0.3">
      <c r="M2182" s="35">
        <v>22.87</v>
      </c>
      <c r="N2182">
        <v>305</v>
      </c>
      <c r="O2182" s="34">
        <f t="shared" si="35"/>
        <v>0.24832061937835082</v>
      </c>
    </row>
    <row r="2183" spans="13:15" x14ac:dyDescent="0.3">
      <c r="M2183" s="35">
        <v>22.87</v>
      </c>
      <c r="N2183">
        <v>305</v>
      </c>
      <c r="O2183" s="34">
        <f t="shared" si="35"/>
        <v>0.24843447569168339</v>
      </c>
    </row>
    <row r="2184" spans="13:15" x14ac:dyDescent="0.3">
      <c r="M2184" s="35">
        <v>22.87</v>
      </c>
      <c r="N2184">
        <v>305</v>
      </c>
      <c r="O2184" s="34">
        <f t="shared" si="35"/>
        <v>0.24854833200501597</v>
      </c>
    </row>
    <row r="2185" spans="13:15" x14ac:dyDescent="0.3">
      <c r="M2185" s="35">
        <v>22.88</v>
      </c>
      <c r="N2185">
        <v>305</v>
      </c>
      <c r="O2185" s="34">
        <f t="shared" si="35"/>
        <v>0.24866218831834855</v>
      </c>
    </row>
    <row r="2186" spans="13:15" x14ac:dyDescent="0.3">
      <c r="M2186" s="35">
        <v>22.88</v>
      </c>
      <c r="N2186">
        <v>305</v>
      </c>
      <c r="O2186" s="34">
        <f t="shared" si="35"/>
        <v>0.24877604463168113</v>
      </c>
    </row>
    <row r="2187" spans="13:15" x14ac:dyDescent="0.3">
      <c r="M2187" s="35">
        <v>22.88</v>
      </c>
      <c r="N2187">
        <v>305</v>
      </c>
      <c r="O2187" s="34">
        <f t="shared" si="35"/>
        <v>0.2488899009450137</v>
      </c>
    </row>
    <row r="2188" spans="13:15" x14ac:dyDescent="0.3">
      <c r="M2188" s="35">
        <v>22.89</v>
      </c>
      <c r="N2188">
        <v>305</v>
      </c>
      <c r="O2188" s="34">
        <f t="shared" si="35"/>
        <v>0.24900375725834628</v>
      </c>
    </row>
    <row r="2189" spans="13:15" x14ac:dyDescent="0.3">
      <c r="M2189" s="35">
        <v>22.89</v>
      </c>
      <c r="N2189">
        <v>305</v>
      </c>
      <c r="O2189" s="34">
        <f t="shared" si="35"/>
        <v>0.24911761357167886</v>
      </c>
    </row>
    <row r="2190" spans="13:15" x14ac:dyDescent="0.3">
      <c r="M2190" s="35">
        <v>22.89</v>
      </c>
      <c r="N2190">
        <v>305</v>
      </c>
      <c r="O2190" s="34">
        <f t="shared" si="35"/>
        <v>0.24923146988501144</v>
      </c>
    </row>
    <row r="2191" spans="13:15" x14ac:dyDescent="0.3">
      <c r="M2191" s="35">
        <v>22.89</v>
      </c>
      <c r="N2191">
        <v>305</v>
      </c>
      <c r="O2191" s="34">
        <f t="shared" si="35"/>
        <v>0.24934532619834401</v>
      </c>
    </row>
    <row r="2192" spans="13:15" x14ac:dyDescent="0.3">
      <c r="M2192" s="35">
        <v>22.89</v>
      </c>
      <c r="N2192">
        <v>305</v>
      </c>
      <c r="O2192" s="34">
        <f t="shared" si="35"/>
        <v>0.24945918251167659</v>
      </c>
    </row>
    <row r="2193" spans="13:15" x14ac:dyDescent="0.3">
      <c r="M2193" s="35">
        <v>22.9</v>
      </c>
      <c r="N2193">
        <v>305</v>
      </c>
      <c r="O2193" s="34">
        <f t="shared" si="35"/>
        <v>0.24957303882500917</v>
      </c>
    </row>
    <row r="2194" spans="13:15" x14ac:dyDescent="0.3">
      <c r="M2194" s="35">
        <v>22.91</v>
      </c>
      <c r="N2194">
        <v>305</v>
      </c>
      <c r="O2194" s="34">
        <f t="shared" si="35"/>
        <v>0.24968689513834175</v>
      </c>
    </row>
    <row r="2195" spans="13:15" x14ac:dyDescent="0.3">
      <c r="M2195" s="35">
        <v>22.91</v>
      </c>
      <c r="N2195">
        <v>305</v>
      </c>
      <c r="O2195" s="34">
        <f t="shared" si="35"/>
        <v>0.24980075145167432</v>
      </c>
    </row>
    <row r="2196" spans="13:15" x14ac:dyDescent="0.3">
      <c r="M2196" s="35">
        <v>22.91</v>
      </c>
      <c r="N2196">
        <v>305</v>
      </c>
      <c r="O2196" s="34">
        <f t="shared" si="35"/>
        <v>0.2499146077650069</v>
      </c>
    </row>
    <row r="2197" spans="13:15" x14ac:dyDescent="0.3">
      <c r="M2197" s="35">
        <v>22.91</v>
      </c>
      <c r="N2197">
        <v>305</v>
      </c>
      <c r="O2197" s="34">
        <f t="shared" si="35"/>
        <v>0.25002846407833945</v>
      </c>
    </row>
    <row r="2198" spans="13:15" x14ac:dyDescent="0.3">
      <c r="M2198" s="35">
        <v>22.91</v>
      </c>
      <c r="N2198">
        <v>305</v>
      </c>
      <c r="O2198" s="34">
        <f t="shared" si="35"/>
        <v>0.250142320391672</v>
      </c>
    </row>
    <row r="2199" spans="13:15" x14ac:dyDescent="0.3">
      <c r="M2199" s="35">
        <v>22.92</v>
      </c>
      <c r="N2199">
        <v>305</v>
      </c>
      <c r="O2199" s="34">
        <f t="shared" si="35"/>
        <v>0.25025617670500455</v>
      </c>
    </row>
    <row r="2200" spans="13:15" x14ac:dyDescent="0.3">
      <c r="M2200" s="35">
        <v>22.92</v>
      </c>
      <c r="N2200">
        <v>305</v>
      </c>
      <c r="O2200" s="34">
        <f t="shared" si="35"/>
        <v>0.2503700330183371</v>
      </c>
    </row>
    <row r="2201" spans="13:15" x14ac:dyDescent="0.3">
      <c r="M2201" s="35">
        <v>22.92</v>
      </c>
      <c r="N2201">
        <v>305</v>
      </c>
      <c r="O2201" s="34">
        <f t="shared" si="35"/>
        <v>0.25048388933166965</v>
      </c>
    </row>
    <row r="2202" spans="13:15" x14ac:dyDescent="0.3">
      <c r="M2202" s="35">
        <v>22.93</v>
      </c>
      <c r="N2202">
        <v>305</v>
      </c>
      <c r="O2202" s="34">
        <f t="shared" si="35"/>
        <v>0.2505977456450022</v>
      </c>
    </row>
    <row r="2203" spans="13:15" x14ac:dyDescent="0.3">
      <c r="M2203" s="35">
        <v>22.93</v>
      </c>
      <c r="N2203">
        <v>305</v>
      </c>
      <c r="O2203" s="34">
        <f t="shared" si="35"/>
        <v>0.25071160195833475</v>
      </c>
    </row>
    <row r="2204" spans="13:15" x14ac:dyDescent="0.3">
      <c r="M2204" s="35">
        <v>22.93</v>
      </c>
      <c r="N2204">
        <v>305</v>
      </c>
      <c r="O2204" s="34">
        <f t="shared" si="35"/>
        <v>0.2508254582716673</v>
      </c>
    </row>
    <row r="2205" spans="13:15" x14ac:dyDescent="0.3">
      <c r="M2205" s="35">
        <v>22.93</v>
      </c>
      <c r="N2205">
        <v>305</v>
      </c>
      <c r="O2205" s="34">
        <f t="shared" si="35"/>
        <v>0.25093931458499985</v>
      </c>
    </row>
    <row r="2206" spans="13:15" x14ac:dyDescent="0.3">
      <c r="M2206" s="35">
        <v>22.93</v>
      </c>
      <c r="N2206">
        <v>305</v>
      </c>
      <c r="O2206" s="34">
        <f t="shared" si="35"/>
        <v>0.2510531708983324</v>
      </c>
    </row>
    <row r="2207" spans="13:15" x14ac:dyDescent="0.3">
      <c r="M2207" s="35">
        <v>22.93</v>
      </c>
      <c r="N2207">
        <v>305</v>
      </c>
      <c r="O2207" s="34">
        <f t="shared" si="35"/>
        <v>0.25116702721166495</v>
      </c>
    </row>
    <row r="2208" spans="13:15" x14ac:dyDescent="0.3">
      <c r="M2208" s="35">
        <v>22.94</v>
      </c>
      <c r="N2208">
        <v>305</v>
      </c>
      <c r="O2208" s="34">
        <f t="shared" si="35"/>
        <v>0.2512808835249975</v>
      </c>
    </row>
    <row r="2209" spans="13:15" x14ac:dyDescent="0.3">
      <c r="M2209" s="35">
        <v>22.94</v>
      </c>
      <c r="N2209">
        <v>305</v>
      </c>
      <c r="O2209" s="34">
        <f t="shared" si="35"/>
        <v>0.25139473983833005</v>
      </c>
    </row>
    <row r="2210" spans="13:15" x14ac:dyDescent="0.3">
      <c r="M2210" s="35">
        <v>22.94</v>
      </c>
      <c r="N2210">
        <v>305</v>
      </c>
      <c r="O2210" s="34">
        <f t="shared" si="35"/>
        <v>0.2515085961516626</v>
      </c>
    </row>
    <row r="2211" spans="13:15" x14ac:dyDescent="0.3">
      <c r="M2211" s="35">
        <v>22.95</v>
      </c>
      <c r="N2211">
        <v>305</v>
      </c>
      <c r="O2211" s="34">
        <f t="shared" si="35"/>
        <v>0.25162245246499515</v>
      </c>
    </row>
    <row r="2212" spans="13:15" x14ac:dyDescent="0.3">
      <c r="M2212" s="35">
        <v>22.95</v>
      </c>
      <c r="N2212">
        <v>305</v>
      </c>
      <c r="O2212" s="34">
        <f t="shared" si="35"/>
        <v>0.2517363087783277</v>
      </c>
    </row>
    <row r="2213" spans="13:15" x14ac:dyDescent="0.3">
      <c r="M2213" s="35">
        <v>22.95</v>
      </c>
      <c r="N2213">
        <v>305</v>
      </c>
      <c r="O2213" s="34">
        <f t="shared" si="35"/>
        <v>0.25185016509166025</v>
      </c>
    </row>
    <row r="2214" spans="13:15" x14ac:dyDescent="0.3">
      <c r="M2214" s="35">
        <v>22.95</v>
      </c>
      <c r="N2214">
        <v>305</v>
      </c>
      <c r="O2214" s="34">
        <f t="shared" si="35"/>
        <v>0.2519640214049928</v>
      </c>
    </row>
    <row r="2215" spans="13:15" x14ac:dyDescent="0.3">
      <c r="M2215" s="35">
        <v>22.96</v>
      </c>
      <c r="N2215">
        <v>305</v>
      </c>
      <c r="O2215" s="34">
        <f t="shared" si="35"/>
        <v>0.25207787771832535</v>
      </c>
    </row>
    <row r="2216" spans="13:15" x14ac:dyDescent="0.3">
      <c r="M2216" s="35">
        <v>22.96</v>
      </c>
      <c r="N2216">
        <v>305</v>
      </c>
      <c r="O2216" s="34">
        <f t="shared" si="35"/>
        <v>0.2521917340316579</v>
      </c>
    </row>
    <row r="2217" spans="13:15" x14ac:dyDescent="0.3">
      <c r="M2217" s="35">
        <v>22.96</v>
      </c>
      <c r="N2217">
        <v>305</v>
      </c>
      <c r="O2217" s="34">
        <f t="shared" si="35"/>
        <v>0.25230559034499045</v>
      </c>
    </row>
    <row r="2218" spans="13:15" x14ac:dyDescent="0.3">
      <c r="M2218" s="35">
        <v>22.97</v>
      </c>
      <c r="N2218">
        <v>305</v>
      </c>
      <c r="O2218" s="34">
        <f t="shared" si="35"/>
        <v>0.252419446658323</v>
      </c>
    </row>
    <row r="2219" spans="13:15" x14ac:dyDescent="0.3">
      <c r="M2219" s="35">
        <v>22.97</v>
      </c>
      <c r="N2219">
        <v>305</v>
      </c>
      <c r="O2219" s="34">
        <f t="shared" si="35"/>
        <v>0.25253330297165555</v>
      </c>
    </row>
    <row r="2220" spans="13:15" x14ac:dyDescent="0.3">
      <c r="M2220" s="35">
        <v>22.97</v>
      </c>
      <c r="N2220">
        <v>305</v>
      </c>
      <c r="O2220" s="34">
        <f t="shared" si="35"/>
        <v>0.2526471592849881</v>
      </c>
    </row>
    <row r="2221" spans="13:15" x14ac:dyDescent="0.3">
      <c r="M2221" s="35">
        <v>22.98</v>
      </c>
      <c r="N2221">
        <v>305</v>
      </c>
      <c r="O2221" s="34">
        <f t="shared" si="35"/>
        <v>0.25276101559832065</v>
      </c>
    </row>
    <row r="2222" spans="13:15" x14ac:dyDescent="0.3">
      <c r="M2222" s="35">
        <v>22.98</v>
      </c>
      <c r="N2222">
        <v>305</v>
      </c>
      <c r="O2222" s="34">
        <f t="shared" si="35"/>
        <v>0.2528748719116532</v>
      </c>
    </row>
    <row r="2223" spans="13:15" x14ac:dyDescent="0.3">
      <c r="M2223" s="35">
        <v>22.99</v>
      </c>
      <c r="N2223">
        <v>305</v>
      </c>
      <c r="O2223" s="34">
        <f t="shared" si="35"/>
        <v>0.25298872822498575</v>
      </c>
    </row>
    <row r="2224" spans="13:15" x14ac:dyDescent="0.3">
      <c r="M2224" s="35">
        <v>22.99</v>
      </c>
      <c r="N2224">
        <v>305</v>
      </c>
      <c r="O2224" s="34">
        <f t="shared" si="35"/>
        <v>0.2531025845383183</v>
      </c>
    </row>
    <row r="2225" spans="13:15" x14ac:dyDescent="0.3">
      <c r="M2225" s="35">
        <v>22.99</v>
      </c>
      <c r="N2225">
        <v>305</v>
      </c>
      <c r="O2225" s="34">
        <f t="shared" si="35"/>
        <v>0.25321644085165085</v>
      </c>
    </row>
    <row r="2226" spans="13:15" x14ac:dyDescent="0.3">
      <c r="M2226" s="35">
        <v>22.99</v>
      </c>
      <c r="N2226">
        <v>305</v>
      </c>
      <c r="O2226" s="34">
        <f t="shared" si="35"/>
        <v>0.2533302971649834</v>
      </c>
    </row>
    <row r="2227" spans="13:15" x14ac:dyDescent="0.3">
      <c r="M2227" s="35">
        <v>22.99</v>
      </c>
      <c r="N2227">
        <v>305</v>
      </c>
      <c r="O2227" s="34">
        <f t="shared" si="35"/>
        <v>0.25344415347831595</v>
      </c>
    </row>
    <row r="2228" spans="13:15" x14ac:dyDescent="0.3">
      <c r="M2228" s="35">
        <v>22.99</v>
      </c>
      <c r="N2228">
        <v>305</v>
      </c>
      <c r="O2228" s="34">
        <f t="shared" si="35"/>
        <v>0.2535580097916485</v>
      </c>
    </row>
    <row r="2229" spans="13:15" x14ac:dyDescent="0.3">
      <c r="M2229" s="35">
        <v>22.99</v>
      </c>
      <c r="N2229">
        <v>305</v>
      </c>
      <c r="O2229" s="34">
        <f t="shared" si="35"/>
        <v>0.25367186610498105</v>
      </c>
    </row>
    <row r="2230" spans="13:15" x14ac:dyDescent="0.3">
      <c r="M2230" s="35">
        <v>23</v>
      </c>
      <c r="N2230">
        <v>305</v>
      </c>
      <c r="O2230" s="34">
        <f t="shared" si="35"/>
        <v>0.2537857224183136</v>
      </c>
    </row>
    <row r="2231" spans="13:15" x14ac:dyDescent="0.3">
      <c r="M2231" s="35">
        <v>23</v>
      </c>
      <c r="N2231">
        <v>305</v>
      </c>
      <c r="O2231" s="34">
        <f t="shared" si="35"/>
        <v>0.25389957873164615</v>
      </c>
    </row>
    <row r="2232" spans="13:15" x14ac:dyDescent="0.3">
      <c r="M2232" s="35">
        <v>23.01</v>
      </c>
      <c r="N2232">
        <v>305</v>
      </c>
      <c r="O2232" s="34">
        <f t="shared" si="35"/>
        <v>0.2540134350449787</v>
      </c>
    </row>
    <row r="2233" spans="13:15" x14ac:dyDescent="0.3">
      <c r="M2233" s="35">
        <v>23.02</v>
      </c>
      <c r="N2233">
        <v>305</v>
      </c>
      <c r="O2233" s="34">
        <f t="shared" si="35"/>
        <v>0.25412729135831125</v>
      </c>
    </row>
    <row r="2234" spans="13:15" x14ac:dyDescent="0.3">
      <c r="M2234" s="35">
        <v>23.02</v>
      </c>
      <c r="N2234">
        <v>305</v>
      </c>
      <c r="O2234" s="34">
        <f t="shared" si="35"/>
        <v>0.2542411476716438</v>
      </c>
    </row>
    <row r="2235" spans="13:15" x14ac:dyDescent="0.3">
      <c r="M2235" s="35">
        <v>23.03</v>
      </c>
      <c r="N2235">
        <v>305</v>
      </c>
      <c r="O2235" s="34">
        <f t="shared" si="35"/>
        <v>0.25435500398497635</v>
      </c>
    </row>
    <row r="2236" spans="13:15" x14ac:dyDescent="0.3">
      <c r="M2236" s="35">
        <v>23.03</v>
      </c>
      <c r="N2236">
        <v>305</v>
      </c>
      <c r="O2236" s="34">
        <f t="shared" si="35"/>
        <v>0.2544688602983089</v>
      </c>
    </row>
    <row r="2237" spans="13:15" x14ac:dyDescent="0.3">
      <c r="M2237" s="35">
        <v>23.03</v>
      </c>
      <c r="N2237">
        <v>305</v>
      </c>
      <c r="O2237" s="34">
        <f t="shared" si="35"/>
        <v>0.25458271661164145</v>
      </c>
    </row>
    <row r="2238" spans="13:15" x14ac:dyDescent="0.3">
      <c r="M2238" s="35">
        <v>23.03</v>
      </c>
      <c r="N2238">
        <v>305</v>
      </c>
      <c r="O2238" s="34">
        <f t="shared" si="35"/>
        <v>0.254696572924974</v>
      </c>
    </row>
    <row r="2239" spans="13:15" x14ac:dyDescent="0.3">
      <c r="M2239" s="35">
        <v>23.03</v>
      </c>
      <c r="N2239">
        <v>305</v>
      </c>
      <c r="O2239" s="34">
        <f t="shared" si="35"/>
        <v>0.25481042923830655</v>
      </c>
    </row>
    <row r="2240" spans="13:15" x14ac:dyDescent="0.3">
      <c r="M2240" s="35">
        <v>23.04</v>
      </c>
      <c r="N2240">
        <v>305</v>
      </c>
      <c r="O2240" s="34">
        <f t="shared" si="35"/>
        <v>0.2549242855516391</v>
      </c>
    </row>
    <row r="2241" spans="13:15" x14ac:dyDescent="0.3">
      <c r="M2241" s="35">
        <v>23.04</v>
      </c>
      <c r="N2241">
        <v>305</v>
      </c>
      <c r="O2241" s="34">
        <f t="shared" si="35"/>
        <v>0.25503814186497165</v>
      </c>
    </row>
    <row r="2242" spans="13:15" x14ac:dyDescent="0.3">
      <c r="M2242" s="35">
        <v>23.04</v>
      </c>
      <c r="N2242">
        <v>305</v>
      </c>
      <c r="O2242" s="34">
        <f t="shared" si="35"/>
        <v>0.2551519981783042</v>
      </c>
    </row>
    <row r="2243" spans="13:15" x14ac:dyDescent="0.3">
      <c r="M2243" s="35">
        <v>23.04</v>
      </c>
      <c r="N2243">
        <v>305</v>
      </c>
      <c r="O2243" s="34">
        <f t="shared" si="35"/>
        <v>0.25526585449163675</v>
      </c>
    </row>
    <row r="2244" spans="13:15" x14ac:dyDescent="0.3">
      <c r="M2244" s="35">
        <v>23.05</v>
      </c>
      <c r="N2244">
        <v>305</v>
      </c>
      <c r="O2244" s="34">
        <f t="shared" ref="O2244:O2307" si="36">O2243+O$2</f>
        <v>0.2553797108049693</v>
      </c>
    </row>
    <row r="2245" spans="13:15" x14ac:dyDescent="0.3">
      <c r="M2245" s="35">
        <v>23.05</v>
      </c>
      <c r="N2245">
        <v>305</v>
      </c>
      <c r="O2245" s="34">
        <f t="shared" si="36"/>
        <v>0.25549356711830185</v>
      </c>
    </row>
    <row r="2246" spans="13:15" x14ac:dyDescent="0.3">
      <c r="M2246" s="35">
        <v>23.05</v>
      </c>
      <c r="N2246">
        <v>305</v>
      </c>
      <c r="O2246" s="34">
        <f t="shared" si="36"/>
        <v>0.2556074234316344</v>
      </c>
    </row>
    <row r="2247" spans="13:15" x14ac:dyDescent="0.3">
      <c r="M2247" s="35">
        <v>23.05</v>
      </c>
      <c r="N2247">
        <v>305</v>
      </c>
      <c r="O2247" s="34">
        <f t="shared" si="36"/>
        <v>0.25572127974496695</v>
      </c>
    </row>
    <row r="2248" spans="13:15" x14ac:dyDescent="0.3">
      <c r="M2248" s="35">
        <v>23.06</v>
      </c>
      <c r="N2248">
        <v>305</v>
      </c>
      <c r="O2248" s="34">
        <f t="shared" si="36"/>
        <v>0.25583513605829949</v>
      </c>
    </row>
    <row r="2249" spans="13:15" x14ac:dyDescent="0.3">
      <c r="M2249" s="35">
        <v>23.06</v>
      </c>
      <c r="N2249">
        <v>305</v>
      </c>
      <c r="O2249" s="34">
        <f t="shared" si="36"/>
        <v>0.25594899237163204</v>
      </c>
    </row>
    <row r="2250" spans="13:15" x14ac:dyDescent="0.3">
      <c r="M2250" s="35">
        <v>23.06</v>
      </c>
      <c r="N2250">
        <v>305</v>
      </c>
      <c r="O2250" s="34">
        <f t="shared" si="36"/>
        <v>0.25606284868496459</v>
      </c>
    </row>
    <row r="2251" spans="13:15" x14ac:dyDescent="0.3">
      <c r="M2251" s="35">
        <v>23.06</v>
      </c>
      <c r="N2251">
        <v>305</v>
      </c>
      <c r="O2251" s="34">
        <f t="shared" si="36"/>
        <v>0.25617670499829714</v>
      </c>
    </row>
    <row r="2252" spans="13:15" x14ac:dyDescent="0.3">
      <c r="M2252" s="35">
        <v>23.06</v>
      </c>
      <c r="N2252">
        <v>305</v>
      </c>
      <c r="O2252" s="34">
        <f t="shared" si="36"/>
        <v>0.25629056131162969</v>
      </c>
    </row>
    <row r="2253" spans="13:15" x14ac:dyDescent="0.3">
      <c r="M2253" s="35">
        <v>23.06</v>
      </c>
      <c r="N2253">
        <v>305</v>
      </c>
      <c r="O2253" s="34">
        <f t="shared" si="36"/>
        <v>0.25640441762496224</v>
      </c>
    </row>
    <row r="2254" spans="13:15" x14ac:dyDescent="0.3">
      <c r="M2254" s="35">
        <v>23.06</v>
      </c>
      <c r="N2254">
        <v>305</v>
      </c>
      <c r="O2254" s="34">
        <f t="shared" si="36"/>
        <v>0.25651827393829479</v>
      </c>
    </row>
    <row r="2255" spans="13:15" x14ac:dyDescent="0.3">
      <c r="M2255" s="35">
        <v>23.06</v>
      </c>
      <c r="N2255">
        <v>305</v>
      </c>
      <c r="O2255" s="34">
        <f t="shared" si="36"/>
        <v>0.25663213025162734</v>
      </c>
    </row>
    <row r="2256" spans="13:15" x14ac:dyDescent="0.3">
      <c r="M2256" s="35">
        <v>23.06</v>
      </c>
      <c r="N2256">
        <v>305</v>
      </c>
      <c r="O2256" s="34">
        <f t="shared" si="36"/>
        <v>0.25674598656495989</v>
      </c>
    </row>
    <row r="2257" spans="13:15" x14ac:dyDescent="0.3">
      <c r="M2257" s="35">
        <v>23.07</v>
      </c>
      <c r="N2257">
        <v>305</v>
      </c>
      <c r="O2257" s="34">
        <f t="shared" si="36"/>
        <v>0.25685984287829244</v>
      </c>
    </row>
    <row r="2258" spans="13:15" x14ac:dyDescent="0.3">
      <c r="M2258" s="35">
        <v>23.07</v>
      </c>
      <c r="N2258">
        <v>305</v>
      </c>
      <c r="O2258" s="34">
        <f t="shared" si="36"/>
        <v>0.25697369919162499</v>
      </c>
    </row>
    <row r="2259" spans="13:15" x14ac:dyDescent="0.3">
      <c r="M2259" s="35">
        <v>23.07</v>
      </c>
      <c r="N2259">
        <v>305</v>
      </c>
      <c r="O2259" s="34">
        <f t="shared" si="36"/>
        <v>0.25708755550495754</v>
      </c>
    </row>
    <row r="2260" spans="13:15" x14ac:dyDescent="0.3">
      <c r="M2260" s="35">
        <v>23.07</v>
      </c>
      <c r="N2260">
        <v>305</v>
      </c>
      <c r="O2260" s="34">
        <f t="shared" si="36"/>
        <v>0.25720141181829009</v>
      </c>
    </row>
    <row r="2261" spans="13:15" x14ac:dyDescent="0.3">
      <c r="M2261" s="35">
        <v>23.08</v>
      </c>
      <c r="N2261">
        <v>305</v>
      </c>
      <c r="O2261" s="34">
        <f t="shared" si="36"/>
        <v>0.25731526813162264</v>
      </c>
    </row>
    <row r="2262" spans="13:15" x14ac:dyDescent="0.3">
      <c r="M2262" s="35">
        <v>23.08</v>
      </c>
      <c r="N2262">
        <v>305</v>
      </c>
      <c r="O2262" s="34">
        <f t="shared" si="36"/>
        <v>0.25742912444495519</v>
      </c>
    </row>
    <row r="2263" spans="13:15" x14ac:dyDescent="0.3">
      <c r="M2263" s="35">
        <v>23.08</v>
      </c>
      <c r="N2263">
        <v>305</v>
      </c>
      <c r="O2263" s="34">
        <f t="shared" si="36"/>
        <v>0.25754298075828774</v>
      </c>
    </row>
    <row r="2264" spans="13:15" x14ac:dyDescent="0.3">
      <c r="M2264" s="35">
        <v>23.08</v>
      </c>
      <c r="N2264">
        <v>305</v>
      </c>
      <c r="O2264" s="34">
        <f t="shared" si="36"/>
        <v>0.25765683707162029</v>
      </c>
    </row>
    <row r="2265" spans="13:15" x14ac:dyDescent="0.3">
      <c r="M2265" s="35">
        <v>23.09</v>
      </c>
      <c r="N2265">
        <v>305</v>
      </c>
      <c r="O2265" s="34">
        <f t="shared" si="36"/>
        <v>0.25777069338495284</v>
      </c>
    </row>
    <row r="2266" spans="13:15" x14ac:dyDescent="0.3">
      <c r="M2266" s="35">
        <v>23.09</v>
      </c>
      <c r="N2266">
        <v>305</v>
      </c>
      <c r="O2266" s="34">
        <f t="shared" si="36"/>
        <v>0.25788454969828539</v>
      </c>
    </row>
    <row r="2267" spans="13:15" x14ac:dyDescent="0.3">
      <c r="M2267" s="35">
        <v>23.09</v>
      </c>
      <c r="N2267">
        <v>305</v>
      </c>
      <c r="O2267" s="34">
        <f t="shared" si="36"/>
        <v>0.25799840601161794</v>
      </c>
    </row>
    <row r="2268" spans="13:15" x14ac:dyDescent="0.3">
      <c r="M2268" s="35">
        <v>23.09</v>
      </c>
      <c r="N2268">
        <v>305</v>
      </c>
      <c r="O2268" s="34">
        <f t="shared" si="36"/>
        <v>0.25811226232495049</v>
      </c>
    </row>
    <row r="2269" spans="13:15" x14ac:dyDescent="0.3">
      <c r="M2269" s="35">
        <v>23.09</v>
      </c>
      <c r="N2269">
        <v>305</v>
      </c>
      <c r="O2269" s="34">
        <f t="shared" si="36"/>
        <v>0.25822611863828304</v>
      </c>
    </row>
    <row r="2270" spans="13:15" x14ac:dyDescent="0.3">
      <c r="M2270" s="35">
        <v>23.09</v>
      </c>
      <c r="N2270">
        <v>305</v>
      </c>
      <c r="O2270" s="34">
        <f t="shared" si="36"/>
        <v>0.25833997495161559</v>
      </c>
    </row>
    <row r="2271" spans="13:15" x14ac:dyDescent="0.3">
      <c r="M2271" s="35">
        <v>23.1</v>
      </c>
      <c r="N2271">
        <v>305</v>
      </c>
      <c r="O2271" s="34">
        <f t="shared" si="36"/>
        <v>0.25845383126494814</v>
      </c>
    </row>
    <row r="2272" spans="13:15" x14ac:dyDescent="0.3">
      <c r="M2272" s="35">
        <v>23.1</v>
      </c>
      <c r="N2272">
        <v>305</v>
      </c>
      <c r="O2272" s="34">
        <f t="shared" si="36"/>
        <v>0.25856768757828069</v>
      </c>
    </row>
    <row r="2273" spans="13:15" x14ac:dyDescent="0.3">
      <c r="M2273" s="35">
        <v>23.1</v>
      </c>
      <c r="N2273">
        <v>305</v>
      </c>
      <c r="O2273" s="34">
        <f t="shared" si="36"/>
        <v>0.25868154389161324</v>
      </c>
    </row>
    <row r="2274" spans="13:15" x14ac:dyDescent="0.3">
      <c r="M2274" s="35">
        <v>23.1</v>
      </c>
      <c r="N2274">
        <v>305</v>
      </c>
      <c r="O2274" s="34">
        <f t="shared" si="36"/>
        <v>0.25879540020494579</v>
      </c>
    </row>
    <row r="2275" spans="13:15" x14ac:dyDescent="0.3">
      <c r="M2275" s="35">
        <v>23.11</v>
      </c>
      <c r="N2275">
        <v>305</v>
      </c>
      <c r="O2275" s="34">
        <f t="shared" si="36"/>
        <v>0.25890925651827834</v>
      </c>
    </row>
    <row r="2276" spans="13:15" x14ac:dyDescent="0.3">
      <c r="M2276" s="35">
        <v>23.11</v>
      </c>
      <c r="N2276">
        <v>305</v>
      </c>
      <c r="O2276" s="34">
        <f t="shared" si="36"/>
        <v>0.25902311283161089</v>
      </c>
    </row>
    <row r="2277" spans="13:15" x14ac:dyDescent="0.3">
      <c r="M2277" s="35">
        <v>23.11</v>
      </c>
      <c r="N2277">
        <v>305</v>
      </c>
      <c r="O2277" s="34">
        <f t="shared" si="36"/>
        <v>0.25913696914494344</v>
      </c>
    </row>
    <row r="2278" spans="13:15" x14ac:dyDescent="0.3">
      <c r="M2278" s="35">
        <v>23.11</v>
      </c>
      <c r="N2278">
        <v>305</v>
      </c>
      <c r="O2278" s="34">
        <f t="shared" si="36"/>
        <v>0.25925082545827599</v>
      </c>
    </row>
    <row r="2279" spans="13:15" x14ac:dyDescent="0.3">
      <c r="M2279" s="35">
        <v>23.11</v>
      </c>
      <c r="N2279">
        <v>305</v>
      </c>
      <c r="O2279" s="34">
        <f t="shared" si="36"/>
        <v>0.25936468177160854</v>
      </c>
    </row>
    <row r="2280" spans="13:15" x14ac:dyDescent="0.3">
      <c r="M2280" s="35">
        <v>23.12</v>
      </c>
      <c r="N2280">
        <v>305</v>
      </c>
      <c r="O2280" s="34">
        <f t="shared" si="36"/>
        <v>0.25947853808494109</v>
      </c>
    </row>
    <row r="2281" spans="13:15" x14ac:dyDescent="0.3">
      <c r="M2281" s="35">
        <v>23.13</v>
      </c>
      <c r="N2281">
        <v>305</v>
      </c>
      <c r="O2281" s="34">
        <f t="shared" si="36"/>
        <v>0.25959239439827364</v>
      </c>
    </row>
    <row r="2282" spans="13:15" x14ac:dyDescent="0.3">
      <c r="M2282" s="35">
        <v>23.13</v>
      </c>
      <c r="N2282">
        <v>305</v>
      </c>
      <c r="O2282" s="34">
        <f t="shared" si="36"/>
        <v>0.25970625071160619</v>
      </c>
    </row>
    <row r="2283" spans="13:15" x14ac:dyDescent="0.3">
      <c r="M2283" s="35">
        <v>23.13</v>
      </c>
      <c r="N2283">
        <v>305</v>
      </c>
      <c r="O2283" s="34">
        <f t="shared" si="36"/>
        <v>0.25982010702493874</v>
      </c>
    </row>
    <row r="2284" spans="13:15" x14ac:dyDescent="0.3">
      <c r="M2284" s="35">
        <v>23.14</v>
      </c>
      <c r="N2284">
        <v>305</v>
      </c>
      <c r="O2284" s="34">
        <f t="shared" si="36"/>
        <v>0.25993396333827129</v>
      </c>
    </row>
    <row r="2285" spans="13:15" x14ac:dyDescent="0.3">
      <c r="M2285" s="35">
        <v>23.14</v>
      </c>
      <c r="N2285">
        <v>305</v>
      </c>
      <c r="O2285" s="34">
        <f t="shared" si="36"/>
        <v>0.26004781965160384</v>
      </c>
    </row>
    <row r="2286" spans="13:15" x14ac:dyDescent="0.3">
      <c r="M2286" s="35">
        <v>23.15</v>
      </c>
      <c r="N2286">
        <v>305</v>
      </c>
      <c r="O2286" s="34">
        <f t="shared" si="36"/>
        <v>0.26016167596493639</v>
      </c>
    </row>
    <row r="2287" spans="13:15" x14ac:dyDescent="0.3">
      <c r="M2287" s="35">
        <v>23.15</v>
      </c>
      <c r="N2287">
        <v>305</v>
      </c>
      <c r="O2287" s="34">
        <f t="shared" si="36"/>
        <v>0.26027553227826894</v>
      </c>
    </row>
    <row r="2288" spans="13:15" x14ac:dyDescent="0.3">
      <c r="M2288" s="35">
        <v>23.16</v>
      </c>
      <c r="N2288">
        <v>305</v>
      </c>
      <c r="O2288" s="34">
        <f t="shared" si="36"/>
        <v>0.26038938859160149</v>
      </c>
    </row>
    <row r="2289" spans="13:15" x14ac:dyDescent="0.3">
      <c r="M2289" s="35">
        <v>23.16</v>
      </c>
      <c r="N2289">
        <v>305</v>
      </c>
      <c r="O2289" s="34">
        <f t="shared" si="36"/>
        <v>0.26050324490493404</v>
      </c>
    </row>
    <row r="2290" spans="13:15" x14ac:dyDescent="0.3">
      <c r="M2290" s="35">
        <v>23.16</v>
      </c>
      <c r="N2290">
        <v>305</v>
      </c>
      <c r="O2290" s="34">
        <f t="shared" si="36"/>
        <v>0.26061710121826659</v>
      </c>
    </row>
    <row r="2291" spans="13:15" x14ac:dyDescent="0.3">
      <c r="M2291" s="35">
        <v>23.16</v>
      </c>
      <c r="N2291">
        <v>305</v>
      </c>
      <c r="O2291" s="34">
        <f t="shared" si="36"/>
        <v>0.26073095753159914</v>
      </c>
    </row>
    <row r="2292" spans="13:15" x14ac:dyDescent="0.3">
      <c r="M2292" s="35">
        <v>23.16</v>
      </c>
      <c r="N2292">
        <v>305</v>
      </c>
      <c r="O2292" s="34">
        <f t="shared" si="36"/>
        <v>0.26084481384493169</v>
      </c>
    </row>
    <row r="2293" spans="13:15" x14ac:dyDescent="0.3">
      <c r="M2293" s="35">
        <v>23.17</v>
      </c>
      <c r="N2293">
        <v>305</v>
      </c>
      <c r="O2293" s="34">
        <f t="shared" si="36"/>
        <v>0.26095867015826424</v>
      </c>
    </row>
    <row r="2294" spans="13:15" x14ac:dyDescent="0.3">
      <c r="M2294" s="35">
        <v>23.17</v>
      </c>
      <c r="N2294">
        <v>305</v>
      </c>
      <c r="O2294" s="34">
        <f t="shared" si="36"/>
        <v>0.26107252647159679</v>
      </c>
    </row>
    <row r="2295" spans="13:15" x14ac:dyDescent="0.3">
      <c r="M2295" s="35">
        <v>23.17</v>
      </c>
      <c r="N2295">
        <v>305</v>
      </c>
      <c r="O2295" s="34">
        <f t="shared" si="36"/>
        <v>0.26118638278492934</v>
      </c>
    </row>
    <row r="2296" spans="13:15" x14ac:dyDescent="0.3">
      <c r="M2296" s="35">
        <v>23.18</v>
      </c>
      <c r="N2296">
        <v>305</v>
      </c>
      <c r="O2296" s="34">
        <f t="shared" si="36"/>
        <v>0.26130023909826189</v>
      </c>
    </row>
    <row r="2297" spans="13:15" x14ac:dyDescent="0.3">
      <c r="M2297" s="35">
        <v>23.18</v>
      </c>
      <c r="N2297">
        <v>305</v>
      </c>
      <c r="O2297" s="34">
        <f t="shared" si="36"/>
        <v>0.26141409541159444</v>
      </c>
    </row>
    <row r="2298" spans="13:15" x14ac:dyDescent="0.3">
      <c r="M2298" s="35">
        <v>23.19</v>
      </c>
      <c r="N2298">
        <v>305</v>
      </c>
      <c r="O2298" s="34">
        <f t="shared" si="36"/>
        <v>0.26152795172492699</v>
      </c>
    </row>
    <row r="2299" spans="13:15" x14ac:dyDescent="0.3">
      <c r="M2299" s="35">
        <v>23.19</v>
      </c>
      <c r="N2299">
        <v>305</v>
      </c>
      <c r="O2299" s="34">
        <f t="shared" si="36"/>
        <v>0.26164180803825954</v>
      </c>
    </row>
    <row r="2300" spans="13:15" x14ac:dyDescent="0.3">
      <c r="M2300" s="35">
        <v>23.19</v>
      </c>
      <c r="N2300">
        <v>305</v>
      </c>
      <c r="O2300" s="34">
        <f t="shared" si="36"/>
        <v>0.26175566435159209</v>
      </c>
    </row>
    <row r="2301" spans="13:15" x14ac:dyDescent="0.3">
      <c r="M2301" s="35">
        <v>23.19</v>
      </c>
      <c r="N2301">
        <v>305</v>
      </c>
      <c r="O2301" s="34">
        <f t="shared" si="36"/>
        <v>0.26186952066492464</v>
      </c>
    </row>
    <row r="2302" spans="13:15" x14ac:dyDescent="0.3">
      <c r="M2302" s="35">
        <v>23.19</v>
      </c>
      <c r="N2302">
        <v>305</v>
      </c>
      <c r="O2302" s="34">
        <f t="shared" si="36"/>
        <v>0.26198337697825719</v>
      </c>
    </row>
    <row r="2303" spans="13:15" x14ac:dyDescent="0.3">
      <c r="M2303" s="35">
        <v>23.2</v>
      </c>
      <c r="N2303">
        <v>305</v>
      </c>
      <c r="O2303" s="34">
        <f t="shared" si="36"/>
        <v>0.26209723329158974</v>
      </c>
    </row>
    <row r="2304" spans="13:15" x14ac:dyDescent="0.3">
      <c r="M2304" s="35">
        <v>23.21</v>
      </c>
      <c r="N2304">
        <v>305</v>
      </c>
      <c r="O2304" s="34">
        <f t="shared" si="36"/>
        <v>0.26221108960492229</v>
      </c>
    </row>
    <row r="2305" spans="13:15" x14ac:dyDescent="0.3">
      <c r="M2305" s="35">
        <v>23.21</v>
      </c>
      <c r="N2305">
        <v>305</v>
      </c>
      <c r="O2305" s="34">
        <f t="shared" si="36"/>
        <v>0.26232494591825484</v>
      </c>
    </row>
    <row r="2306" spans="13:15" x14ac:dyDescent="0.3">
      <c r="M2306" s="35">
        <v>23.21</v>
      </c>
      <c r="N2306">
        <v>305</v>
      </c>
      <c r="O2306" s="34">
        <f t="shared" si="36"/>
        <v>0.26243880223158739</v>
      </c>
    </row>
    <row r="2307" spans="13:15" x14ac:dyDescent="0.3">
      <c r="M2307" s="35">
        <v>23.21</v>
      </c>
      <c r="N2307">
        <v>305</v>
      </c>
      <c r="O2307" s="34">
        <f t="shared" si="36"/>
        <v>0.26255265854491994</v>
      </c>
    </row>
    <row r="2308" spans="13:15" x14ac:dyDescent="0.3">
      <c r="M2308" s="35">
        <v>23.21</v>
      </c>
      <c r="N2308">
        <v>305</v>
      </c>
      <c r="O2308" s="34">
        <f t="shared" ref="O2308:O2371" si="37">O2307+O$2</f>
        <v>0.26266651485825249</v>
      </c>
    </row>
    <row r="2309" spans="13:15" x14ac:dyDescent="0.3">
      <c r="M2309" s="35">
        <v>23.21</v>
      </c>
      <c r="N2309">
        <v>305</v>
      </c>
      <c r="O2309" s="34">
        <f t="shared" si="37"/>
        <v>0.26278037117158504</v>
      </c>
    </row>
    <row r="2310" spans="13:15" x14ac:dyDescent="0.3">
      <c r="M2310" s="35">
        <v>23.22</v>
      </c>
      <c r="N2310">
        <v>305</v>
      </c>
      <c r="O2310" s="34">
        <f t="shared" si="37"/>
        <v>0.26289422748491759</v>
      </c>
    </row>
    <row r="2311" spans="13:15" x14ac:dyDescent="0.3">
      <c r="M2311" s="35">
        <v>23.22</v>
      </c>
      <c r="N2311">
        <v>305</v>
      </c>
      <c r="O2311" s="34">
        <f t="shared" si="37"/>
        <v>0.26300808379825014</v>
      </c>
    </row>
    <row r="2312" spans="13:15" x14ac:dyDescent="0.3">
      <c r="M2312" s="35">
        <v>23.22</v>
      </c>
      <c r="N2312">
        <v>305</v>
      </c>
      <c r="O2312" s="34">
        <f t="shared" si="37"/>
        <v>0.26312194011158269</v>
      </c>
    </row>
    <row r="2313" spans="13:15" x14ac:dyDescent="0.3">
      <c r="M2313" s="35">
        <v>23.22</v>
      </c>
      <c r="N2313">
        <v>305</v>
      </c>
      <c r="O2313" s="34">
        <f t="shared" si="37"/>
        <v>0.26323579642491524</v>
      </c>
    </row>
    <row r="2314" spans="13:15" x14ac:dyDescent="0.3">
      <c r="M2314" s="35">
        <v>23.23</v>
      </c>
      <c r="N2314">
        <v>305</v>
      </c>
      <c r="O2314" s="34">
        <f t="shared" si="37"/>
        <v>0.26334965273824779</v>
      </c>
    </row>
    <row r="2315" spans="13:15" x14ac:dyDescent="0.3">
      <c r="M2315" s="35">
        <v>23.23</v>
      </c>
      <c r="N2315">
        <v>305</v>
      </c>
      <c r="O2315" s="34">
        <f t="shared" si="37"/>
        <v>0.26346350905158034</v>
      </c>
    </row>
    <row r="2316" spans="13:15" x14ac:dyDescent="0.3">
      <c r="M2316" s="35">
        <v>23.23</v>
      </c>
      <c r="N2316">
        <v>305</v>
      </c>
      <c r="O2316" s="34">
        <f t="shared" si="37"/>
        <v>0.26357736536491289</v>
      </c>
    </row>
    <row r="2317" spans="13:15" x14ac:dyDescent="0.3">
      <c r="M2317" s="35">
        <v>23.23</v>
      </c>
      <c r="N2317">
        <v>305</v>
      </c>
      <c r="O2317" s="34">
        <f t="shared" si="37"/>
        <v>0.26369122167824544</v>
      </c>
    </row>
    <row r="2318" spans="13:15" x14ac:dyDescent="0.3">
      <c r="M2318" s="35">
        <v>23.24</v>
      </c>
      <c r="N2318">
        <v>305</v>
      </c>
      <c r="O2318" s="34">
        <f t="shared" si="37"/>
        <v>0.26380507799157799</v>
      </c>
    </row>
    <row r="2319" spans="13:15" x14ac:dyDescent="0.3">
      <c r="M2319" s="35">
        <v>23.24</v>
      </c>
      <c r="N2319">
        <v>305</v>
      </c>
      <c r="O2319" s="34">
        <f t="shared" si="37"/>
        <v>0.26391893430491054</v>
      </c>
    </row>
    <row r="2320" spans="13:15" x14ac:dyDescent="0.3">
      <c r="M2320" s="35">
        <v>23.24</v>
      </c>
      <c r="N2320">
        <v>305</v>
      </c>
      <c r="O2320" s="34">
        <f t="shared" si="37"/>
        <v>0.26403279061824309</v>
      </c>
    </row>
    <row r="2321" spans="13:15" x14ac:dyDescent="0.3">
      <c r="M2321" s="35">
        <v>23.24</v>
      </c>
      <c r="N2321">
        <v>305</v>
      </c>
      <c r="O2321" s="34">
        <f t="shared" si="37"/>
        <v>0.26414664693157563</v>
      </c>
    </row>
    <row r="2322" spans="13:15" x14ac:dyDescent="0.3">
      <c r="M2322" s="35">
        <v>23.24</v>
      </c>
      <c r="N2322">
        <v>305</v>
      </c>
      <c r="O2322" s="34">
        <f t="shared" si="37"/>
        <v>0.26426050324490818</v>
      </c>
    </row>
    <row r="2323" spans="13:15" x14ac:dyDescent="0.3">
      <c r="M2323" s="35">
        <v>23.25</v>
      </c>
      <c r="N2323">
        <v>305</v>
      </c>
      <c r="O2323" s="34">
        <f t="shared" si="37"/>
        <v>0.26437435955824073</v>
      </c>
    </row>
    <row r="2324" spans="13:15" x14ac:dyDescent="0.3">
      <c r="M2324" s="35">
        <v>23.25</v>
      </c>
      <c r="N2324">
        <v>305</v>
      </c>
      <c r="O2324" s="34">
        <f t="shared" si="37"/>
        <v>0.26448821587157328</v>
      </c>
    </row>
    <row r="2325" spans="13:15" x14ac:dyDescent="0.3">
      <c r="M2325" s="35">
        <v>23.25</v>
      </c>
      <c r="N2325">
        <v>305</v>
      </c>
      <c r="O2325" s="34">
        <f t="shared" si="37"/>
        <v>0.26460207218490583</v>
      </c>
    </row>
    <row r="2326" spans="13:15" x14ac:dyDescent="0.3">
      <c r="M2326" s="35">
        <v>23.25</v>
      </c>
      <c r="N2326">
        <v>305</v>
      </c>
      <c r="O2326" s="34">
        <f t="shared" si="37"/>
        <v>0.26471592849823838</v>
      </c>
    </row>
    <row r="2327" spans="13:15" x14ac:dyDescent="0.3">
      <c r="M2327" s="35">
        <v>23.25</v>
      </c>
      <c r="N2327">
        <v>305</v>
      </c>
      <c r="O2327" s="34">
        <f t="shared" si="37"/>
        <v>0.26482978481157093</v>
      </c>
    </row>
    <row r="2328" spans="13:15" x14ac:dyDescent="0.3">
      <c r="M2328" s="35">
        <v>23.26</v>
      </c>
      <c r="N2328">
        <v>305</v>
      </c>
      <c r="O2328" s="34">
        <f t="shared" si="37"/>
        <v>0.26494364112490348</v>
      </c>
    </row>
    <row r="2329" spans="13:15" x14ac:dyDescent="0.3">
      <c r="M2329" s="35">
        <v>23.26</v>
      </c>
      <c r="N2329">
        <v>305</v>
      </c>
      <c r="O2329" s="34">
        <f t="shared" si="37"/>
        <v>0.26505749743823603</v>
      </c>
    </row>
    <row r="2330" spans="13:15" x14ac:dyDescent="0.3">
      <c r="M2330" s="35">
        <v>23.26</v>
      </c>
      <c r="N2330">
        <v>305</v>
      </c>
      <c r="O2330" s="34">
        <f t="shared" si="37"/>
        <v>0.26517135375156858</v>
      </c>
    </row>
    <row r="2331" spans="13:15" x14ac:dyDescent="0.3">
      <c r="M2331" s="35">
        <v>23.26</v>
      </c>
      <c r="N2331">
        <v>305</v>
      </c>
      <c r="O2331" s="34">
        <f t="shared" si="37"/>
        <v>0.26528521006490113</v>
      </c>
    </row>
    <row r="2332" spans="13:15" x14ac:dyDescent="0.3">
      <c r="M2332" s="35">
        <v>23.26</v>
      </c>
      <c r="N2332">
        <v>305</v>
      </c>
      <c r="O2332" s="34">
        <f t="shared" si="37"/>
        <v>0.26539906637823368</v>
      </c>
    </row>
    <row r="2333" spans="13:15" x14ac:dyDescent="0.3">
      <c r="M2333" s="35">
        <v>23.27</v>
      </c>
      <c r="N2333">
        <v>305</v>
      </c>
      <c r="O2333" s="34">
        <f t="shared" si="37"/>
        <v>0.26551292269156623</v>
      </c>
    </row>
    <row r="2334" spans="13:15" x14ac:dyDescent="0.3">
      <c r="M2334" s="35">
        <v>23.27</v>
      </c>
      <c r="N2334">
        <v>305</v>
      </c>
      <c r="O2334" s="34">
        <f t="shared" si="37"/>
        <v>0.26562677900489878</v>
      </c>
    </row>
    <row r="2335" spans="13:15" x14ac:dyDescent="0.3">
      <c r="M2335" s="35">
        <v>23.28</v>
      </c>
      <c r="N2335">
        <v>305</v>
      </c>
      <c r="O2335" s="34">
        <f t="shared" si="37"/>
        <v>0.26574063531823133</v>
      </c>
    </row>
    <row r="2336" spans="13:15" x14ac:dyDescent="0.3">
      <c r="M2336" s="35">
        <v>23.28</v>
      </c>
      <c r="N2336">
        <v>305</v>
      </c>
      <c r="O2336" s="34">
        <f t="shared" si="37"/>
        <v>0.26585449163156388</v>
      </c>
    </row>
    <row r="2337" spans="13:15" x14ac:dyDescent="0.3">
      <c r="M2337" s="35">
        <v>23.28</v>
      </c>
      <c r="N2337">
        <v>305</v>
      </c>
      <c r="O2337" s="34">
        <f t="shared" si="37"/>
        <v>0.26596834794489643</v>
      </c>
    </row>
    <row r="2338" spans="13:15" x14ac:dyDescent="0.3">
      <c r="M2338" s="35">
        <v>23.28</v>
      </c>
      <c r="N2338">
        <v>305</v>
      </c>
      <c r="O2338" s="34">
        <f t="shared" si="37"/>
        <v>0.26608220425822898</v>
      </c>
    </row>
    <row r="2339" spans="13:15" x14ac:dyDescent="0.3">
      <c r="M2339" s="35">
        <v>23.28</v>
      </c>
      <c r="N2339">
        <v>305</v>
      </c>
      <c r="O2339" s="34">
        <f t="shared" si="37"/>
        <v>0.26619606057156153</v>
      </c>
    </row>
    <row r="2340" spans="13:15" x14ac:dyDescent="0.3">
      <c r="M2340" s="35">
        <v>23.28</v>
      </c>
      <c r="N2340">
        <v>305</v>
      </c>
      <c r="O2340" s="34">
        <f t="shared" si="37"/>
        <v>0.26630991688489408</v>
      </c>
    </row>
    <row r="2341" spans="13:15" x14ac:dyDescent="0.3">
      <c r="M2341" s="35">
        <v>23.28</v>
      </c>
      <c r="N2341">
        <v>305</v>
      </c>
      <c r="O2341" s="34">
        <f t="shared" si="37"/>
        <v>0.26642377319822663</v>
      </c>
    </row>
    <row r="2342" spans="13:15" x14ac:dyDescent="0.3">
      <c r="M2342" s="35">
        <v>23.28</v>
      </c>
      <c r="N2342">
        <v>305</v>
      </c>
      <c r="O2342" s="34">
        <f t="shared" si="37"/>
        <v>0.26653762951155918</v>
      </c>
    </row>
    <row r="2343" spans="13:15" x14ac:dyDescent="0.3">
      <c r="M2343" s="35">
        <v>23.28</v>
      </c>
      <c r="N2343">
        <v>305</v>
      </c>
      <c r="O2343" s="34">
        <f t="shared" si="37"/>
        <v>0.26665148582489173</v>
      </c>
    </row>
    <row r="2344" spans="13:15" x14ac:dyDescent="0.3">
      <c r="M2344" s="35">
        <v>23.29</v>
      </c>
      <c r="N2344">
        <v>305</v>
      </c>
      <c r="O2344" s="34">
        <f t="shared" si="37"/>
        <v>0.26676534213822428</v>
      </c>
    </row>
    <row r="2345" spans="13:15" x14ac:dyDescent="0.3">
      <c r="M2345" s="35">
        <v>23.29</v>
      </c>
      <c r="N2345">
        <v>305</v>
      </c>
      <c r="O2345" s="34">
        <f t="shared" si="37"/>
        <v>0.26687919845155683</v>
      </c>
    </row>
    <row r="2346" spans="13:15" x14ac:dyDescent="0.3">
      <c r="M2346" s="35">
        <v>23.29</v>
      </c>
      <c r="N2346">
        <v>305</v>
      </c>
      <c r="O2346" s="34">
        <f t="shared" si="37"/>
        <v>0.26699305476488938</v>
      </c>
    </row>
    <row r="2347" spans="13:15" x14ac:dyDescent="0.3">
      <c r="M2347" s="35">
        <v>23.29</v>
      </c>
      <c r="N2347">
        <v>305</v>
      </c>
      <c r="O2347" s="34">
        <f t="shared" si="37"/>
        <v>0.26710691107822193</v>
      </c>
    </row>
    <row r="2348" spans="13:15" x14ac:dyDescent="0.3">
      <c r="M2348" s="35">
        <v>23.29</v>
      </c>
      <c r="N2348">
        <v>305</v>
      </c>
      <c r="O2348" s="34">
        <f t="shared" si="37"/>
        <v>0.26722076739155448</v>
      </c>
    </row>
    <row r="2349" spans="13:15" x14ac:dyDescent="0.3">
      <c r="M2349" s="35">
        <v>23.29</v>
      </c>
      <c r="N2349">
        <v>305</v>
      </c>
      <c r="O2349" s="34">
        <f t="shared" si="37"/>
        <v>0.26733462370488703</v>
      </c>
    </row>
    <row r="2350" spans="13:15" x14ac:dyDescent="0.3">
      <c r="M2350" s="35">
        <v>23.29</v>
      </c>
      <c r="N2350">
        <v>305</v>
      </c>
      <c r="O2350" s="34">
        <f t="shared" si="37"/>
        <v>0.26744848001821958</v>
      </c>
    </row>
    <row r="2351" spans="13:15" x14ac:dyDescent="0.3">
      <c r="M2351" s="35">
        <v>23.29</v>
      </c>
      <c r="N2351">
        <v>305</v>
      </c>
      <c r="O2351" s="34">
        <f t="shared" si="37"/>
        <v>0.26756233633155213</v>
      </c>
    </row>
    <row r="2352" spans="13:15" x14ac:dyDescent="0.3">
      <c r="M2352" s="35">
        <v>23.3</v>
      </c>
      <c r="N2352">
        <v>305</v>
      </c>
      <c r="O2352" s="34">
        <f t="shared" si="37"/>
        <v>0.26767619264488468</v>
      </c>
    </row>
    <row r="2353" spans="13:15" x14ac:dyDescent="0.3">
      <c r="M2353" s="35">
        <v>23.3</v>
      </c>
      <c r="N2353">
        <v>305</v>
      </c>
      <c r="O2353" s="34">
        <f t="shared" si="37"/>
        <v>0.26779004895821723</v>
      </c>
    </row>
    <row r="2354" spans="13:15" x14ac:dyDescent="0.3">
      <c r="M2354" s="35">
        <v>23.31</v>
      </c>
      <c r="N2354">
        <v>305</v>
      </c>
      <c r="O2354" s="34">
        <f t="shared" si="37"/>
        <v>0.26790390527154978</v>
      </c>
    </row>
    <row r="2355" spans="13:15" x14ac:dyDescent="0.3">
      <c r="M2355" s="35">
        <v>23.32</v>
      </c>
      <c r="N2355">
        <v>305</v>
      </c>
      <c r="O2355" s="34">
        <f t="shared" si="37"/>
        <v>0.26801776158488233</v>
      </c>
    </row>
    <row r="2356" spans="13:15" x14ac:dyDescent="0.3">
      <c r="M2356" s="35">
        <v>23.32</v>
      </c>
      <c r="N2356">
        <v>305</v>
      </c>
      <c r="O2356" s="34">
        <f t="shared" si="37"/>
        <v>0.26813161789821488</v>
      </c>
    </row>
    <row r="2357" spans="13:15" x14ac:dyDescent="0.3">
      <c r="M2357" s="35">
        <v>23.32</v>
      </c>
      <c r="N2357">
        <v>305</v>
      </c>
      <c r="O2357" s="34">
        <f t="shared" si="37"/>
        <v>0.26824547421154743</v>
      </c>
    </row>
    <row r="2358" spans="13:15" x14ac:dyDescent="0.3">
      <c r="M2358" s="35">
        <v>23.32</v>
      </c>
      <c r="N2358">
        <v>305</v>
      </c>
      <c r="O2358" s="34">
        <f t="shared" si="37"/>
        <v>0.26835933052487998</v>
      </c>
    </row>
    <row r="2359" spans="13:15" x14ac:dyDescent="0.3">
      <c r="M2359" s="35">
        <v>23.32</v>
      </c>
      <c r="N2359">
        <v>305</v>
      </c>
      <c r="O2359" s="34">
        <f t="shared" si="37"/>
        <v>0.26847318683821253</v>
      </c>
    </row>
    <row r="2360" spans="13:15" x14ac:dyDescent="0.3">
      <c r="M2360" s="35">
        <v>23.33</v>
      </c>
      <c r="N2360">
        <v>305</v>
      </c>
      <c r="O2360" s="34">
        <f t="shared" si="37"/>
        <v>0.26858704315154508</v>
      </c>
    </row>
    <row r="2361" spans="13:15" x14ac:dyDescent="0.3">
      <c r="M2361" s="35">
        <v>23.33</v>
      </c>
      <c r="N2361">
        <v>305</v>
      </c>
      <c r="O2361" s="34">
        <f t="shared" si="37"/>
        <v>0.26870089946487763</v>
      </c>
    </row>
    <row r="2362" spans="13:15" x14ac:dyDescent="0.3">
      <c r="M2362" s="35">
        <v>23.34</v>
      </c>
      <c r="N2362">
        <v>305</v>
      </c>
      <c r="O2362" s="34">
        <f t="shared" si="37"/>
        <v>0.26881475577821018</v>
      </c>
    </row>
    <row r="2363" spans="13:15" x14ac:dyDescent="0.3">
      <c r="M2363" s="35">
        <v>23.35</v>
      </c>
      <c r="N2363">
        <v>305</v>
      </c>
      <c r="O2363" s="34">
        <f t="shared" si="37"/>
        <v>0.26892861209154273</v>
      </c>
    </row>
    <row r="2364" spans="13:15" x14ac:dyDescent="0.3">
      <c r="M2364" s="35">
        <v>23.35</v>
      </c>
      <c r="N2364">
        <v>305</v>
      </c>
      <c r="O2364" s="34">
        <f t="shared" si="37"/>
        <v>0.26904246840487528</v>
      </c>
    </row>
    <row r="2365" spans="13:15" x14ac:dyDescent="0.3">
      <c r="M2365" s="35">
        <v>23.35</v>
      </c>
      <c r="N2365">
        <v>305</v>
      </c>
      <c r="O2365" s="34">
        <f t="shared" si="37"/>
        <v>0.26915632471820783</v>
      </c>
    </row>
    <row r="2366" spans="13:15" x14ac:dyDescent="0.3">
      <c r="M2366" s="35">
        <v>23.36</v>
      </c>
      <c r="N2366">
        <v>305</v>
      </c>
      <c r="O2366" s="34">
        <f t="shared" si="37"/>
        <v>0.26927018103154038</v>
      </c>
    </row>
    <row r="2367" spans="13:15" x14ac:dyDescent="0.3">
      <c r="M2367" s="35">
        <v>23.36</v>
      </c>
      <c r="N2367">
        <v>305</v>
      </c>
      <c r="O2367" s="34">
        <f t="shared" si="37"/>
        <v>0.26938403734487293</v>
      </c>
    </row>
    <row r="2368" spans="13:15" x14ac:dyDescent="0.3">
      <c r="M2368" s="35">
        <v>23.36</v>
      </c>
      <c r="N2368">
        <v>305</v>
      </c>
      <c r="O2368" s="34">
        <f t="shared" si="37"/>
        <v>0.26949789365820548</v>
      </c>
    </row>
    <row r="2369" spans="13:15" x14ac:dyDescent="0.3">
      <c r="M2369" s="35">
        <v>23.36</v>
      </c>
      <c r="N2369">
        <v>305</v>
      </c>
      <c r="O2369" s="34">
        <f t="shared" si="37"/>
        <v>0.26961174997153803</v>
      </c>
    </row>
    <row r="2370" spans="13:15" x14ac:dyDescent="0.3">
      <c r="M2370" s="35">
        <v>23.36</v>
      </c>
      <c r="N2370">
        <v>305</v>
      </c>
      <c r="O2370" s="34">
        <f t="shared" si="37"/>
        <v>0.26972560628487058</v>
      </c>
    </row>
    <row r="2371" spans="13:15" x14ac:dyDescent="0.3">
      <c r="M2371" s="35">
        <v>23.37</v>
      </c>
      <c r="N2371">
        <v>305</v>
      </c>
      <c r="O2371" s="34">
        <f t="shared" si="37"/>
        <v>0.26983946259820313</v>
      </c>
    </row>
    <row r="2372" spans="13:15" x14ac:dyDescent="0.3">
      <c r="M2372" s="35">
        <v>23.37</v>
      </c>
      <c r="N2372">
        <v>305</v>
      </c>
      <c r="O2372" s="34">
        <f t="shared" ref="O2372:O2435" si="38">O2371+O$2</f>
        <v>0.26995331891153568</v>
      </c>
    </row>
    <row r="2373" spans="13:15" x14ac:dyDescent="0.3">
      <c r="M2373" s="35">
        <v>23.37</v>
      </c>
      <c r="N2373">
        <v>305</v>
      </c>
      <c r="O2373" s="34">
        <f t="shared" si="38"/>
        <v>0.27006717522486823</v>
      </c>
    </row>
    <row r="2374" spans="13:15" x14ac:dyDescent="0.3">
      <c r="M2374" s="35">
        <v>23.37</v>
      </c>
      <c r="N2374">
        <v>305</v>
      </c>
      <c r="O2374" s="34">
        <f t="shared" si="38"/>
        <v>0.27018103153820078</v>
      </c>
    </row>
    <row r="2375" spans="13:15" x14ac:dyDescent="0.3">
      <c r="M2375" s="35">
        <v>23.37</v>
      </c>
      <c r="N2375">
        <v>305</v>
      </c>
      <c r="O2375" s="34">
        <f t="shared" si="38"/>
        <v>0.27029488785153333</v>
      </c>
    </row>
    <row r="2376" spans="13:15" x14ac:dyDescent="0.3">
      <c r="M2376" s="35">
        <v>23.37</v>
      </c>
      <c r="N2376">
        <v>305</v>
      </c>
      <c r="O2376" s="34">
        <f t="shared" si="38"/>
        <v>0.27040874416486588</v>
      </c>
    </row>
    <row r="2377" spans="13:15" x14ac:dyDescent="0.3">
      <c r="M2377" s="35">
        <v>23.38</v>
      </c>
      <c r="N2377">
        <v>305</v>
      </c>
      <c r="O2377" s="34">
        <f t="shared" si="38"/>
        <v>0.27052260047819843</v>
      </c>
    </row>
    <row r="2378" spans="13:15" x14ac:dyDescent="0.3">
      <c r="M2378" s="35">
        <v>23.38</v>
      </c>
      <c r="N2378">
        <v>305</v>
      </c>
      <c r="O2378" s="34">
        <f t="shared" si="38"/>
        <v>0.27063645679153098</v>
      </c>
    </row>
    <row r="2379" spans="13:15" x14ac:dyDescent="0.3">
      <c r="M2379" s="35">
        <v>23.38</v>
      </c>
      <c r="N2379">
        <v>305</v>
      </c>
      <c r="O2379" s="34">
        <f t="shared" si="38"/>
        <v>0.27075031310486353</v>
      </c>
    </row>
    <row r="2380" spans="13:15" x14ac:dyDescent="0.3">
      <c r="M2380" s="35">
        <v>23.39</v>
      </c>
      <c r="N2380">
        <v>305</v>
      </c>
      <c r="O2380" s="34">
        <f t="shared" si="38"/>
        <v>0.27086416941819608</v>
      </c>
    </row>
    <row r="2381" spans="13:15" x14ac:dyDescent="0.3">
      <c r="M2381" s="35">
        <v>23.39</v>
      </c>
      <c r="N2381">
        <v>305</v>
      </c>
      <c r="O2381" s="34">
        <f t="shared" si="38"/>
        <v>0.27097802573152863</v>
      </c>
    </row>
    <row r="2382" spans="13:15" x14ac:dyDescent="0.3">
      <c r="M2382" s="35">
        <v>23.39</v>
      </c>
      <c r="N2382">
        <v>305</v>
      </c>
      <c r="O2382" s="34">
        <f t="shared" si="38"/>
        <v>0.27109188204486118</v>
      </c>
    </row>
    <row r="2383" spans="13:15" x14ac:dyDescent="0.3">
      <c r="M2383" s="35">
        <v>23.39</v>
      </c>
      <c r="N2383">
        <v>305</v>
      </c>
      <c r="O2383" s="34">
        <f t="shared" si="38"/>
        <v>0.27120573835819373</v>
      </c>
    </row>
    <row r="2384" spans="13:15" x14ac:dyDescent="0.3">
      <c r="M2384" s="35">
        <v>23.39</v>
      </c>
      <c r="N2384">
        <v>305</v>
      </c>
      <c r="O2384" s="34">
        <f t="shared" si="38"/>
        <v>0.27131959467152628</v>
      </c>
    </row>
    <row r="2385" spans="13:15" x14ac:dyDescent="0.3">
      <c r="M2385" s="35">
        <v>23.39</v>
      </c>
      <c r="N2385">
        <v>305</v>
      </c>
      <c r="O2385" s="34">
        <f t="shared" si="38"/>
        <v>0.27143345098485883</v>
      </c>
    </row>
    <row r="2386" spans="13:15" x14ac:dyDescent="0.3">
      <c r="M2386" s="35">
        <v>23.4</v>
      </c>
      <c r="N2386">
        <v>305</v>
      </c>
      <c r="O2386" s="34">
        <f t="shared" si="38"/>
        <v>0.27154730729819138</v>
      </c>
    </row>
    <row r="2387" spans="13:15" x14ac:dyDescent="0.3">
      <c r="M2387" s="35">
        <v>23.4</v>
      </c>
      <c r="N2387">
        <v>305</v>
      </c>
      <c r="O2387" s="34">
        <f t="shared" si="38"/>
        <v>0.27166116361152393</v>
      </c>
    </row>
    <row r="2388" spans="13:15" x14ac:dyDescent="0.3">
      <c r="M2388" s="35">
        <v>23.41</v>
      </c>
      <c r="N2388">
        <v>305</v>
      </c>
      <c r="O2388" s="34">
        <f t="shared" si="38"/>
        <v>0.27177501992485648</v>
      </c>
    </row>
    <row r="2389" spans="13:15" x14ac:dyDescent="0.3">
      <c r="M2389" s="35">
        <v>23.41</v>
      </c>
      <c r="N2389">
        <v>305</v>
      </c>
      <c r="O2389" s="34">
        <f t="shared" si="38"/>
        <v>0.27188887623818903</v>
      </c>
    </row>
    <row r="2390" spans="13:15" x14ac:dyDescent="0.3">
      <c r="M2390" s="35">
        <v>23.42</v>
      </c>
      <c r="N2390">
        <v>305</v>
      </c>
      <c r="O2390" s="34">
        <f t="shared" si="38"/>
        <v>0.27200273255152158</v>
      </c>
    </row>
    <row r="2391" spans="13:15" x14ac:dyDescent="0.3">
      <c r="M2391" s="35">
        <v>23.43</v>
      </c>
      <c r="N2391">
        <v>305</v>
      </c>
      <c r="O2391" s="34">
        <f t="shared" si="38"/>
        <v>0.27211658886485413</v>
      </c>
    </row>
    <row r="2392" spans="13:15" x14ac:dyDescent="0.3">
      <c r="M2392" s="35">
        <v>23.43</v>
      </c>
      <c r="N2392">
        <v>305</v>
      </c>
      <c r="O2392" s="34">
        <f t="shared" si="38"/>
        <v>0.27223044517818668</v>
      </c>
    </row>
    <row r="2393" spans="13:15" x14ac:dyDescent="0.3">
      <c r="M2393" s="35">
        <v>23.43</v>
      </c>
      <c r="N2393">
        <v>305</v>
      </c>
      <c r="O2393" s="34">
        <f t="shared" si="38"/>
        <v>0.27234430149151923</v>
      </c>
    </row>
    <row r="2394" spans="13:15" x14ac:dyDescent="0.3">
      <c r="M2394" s="35">
        <v>23.43</v>
      </c>
      <c r="N2394">
        <v>305</v>
      </c>
      <c r="O2394" s="34">
        <f t="shared" si="38"/>
        <v>0.27245815780485177</v>
      </c>
    </row>
    <row r="2395" spans="13:15" x14ac:dyDescent="0.3">
      <c r="M2395" s="35">
        <v>23.43</v>
      </c>
      <c r="N2395">
        <v>305</v>
      </c>
      <c r="O2395" s="34">
        <f t="shared" si="38"/>
        <v>0.27257201411818432</v>
      </c>
    </row>
    <row r="2396" spans="13:15" x14ac:dyDescent="0.3">
      <c r="M2396" s="35">
        <v>23.45</v>
      </c>
      <c r="N2396">
        <v>305</v>
      </c>
      <c r="O2396" s="34">
        <f t="shared" si="38"/>
        <v>0.27268587043151687</v>
      </c>
    </row>
    <row r="2397" spans="13:15" x14ac:dyDescent="0.3">
      <c r="M2397" s="35">
        <v>23.45</v>
      </c>
      <c r="N2397">
        <v>305</v>
      </c>
      <c r="O2397" s="34">
        <f t="shared" si="38"/>
        <v>0.27279972674484942</v>
      </c>
    </row>
    <row r="2398" spans="13:15" x14ac:dyDescent="0.3">
      <c r="M2398" s="35">
        <v>23.45</v>
      </c>
      <c r="N2398">
        <v>305</v>
      </c>
      <c r="O2398" s="34">
        <f t="shared" si="38"/>
        <v>0.27291358305818197</v>
      </c>
    </row>
    <row r="2399" spans="13:15" x14ac:dyDescent="0.3">
      <c r="M2399" s="35">
        <v>23.45</v>
      </c>
      <c r="N2399">
        <v>305</v>
      </c>
      <c r="O2399" s="34">
        <f t="shared" si="38"/>
        <v>0.27302743937151452</v>
      </c>
    </row>
    <row r="2400" spans="13:15" x14ac:dyDescent="0.3">
      <c r="M2400" s="35">
        <v>23.45</v>
      </c>
      <c r="N2400">
        <v>305</v>
      </c>
      <c r="O2400" s="34">
        <f t="shared" si="38"/>
        <v>0.27314129568484707</v>
      </c>
    </row>
    <row r="2401" spans="13:15" x14ac:dyDescent="0.3">
      <c r="M2401" s="35">
        <v>23.46</v>
      </c>
      <c r="N2401">
        <v>305</v>
      </c>
      <c r="O2401" s="34">
        <f t="shared" si="38"/>
        <v>0.27325515199817962</v>
      </c>
    </row>
    <row r="2402" spans="13:15" x14ac:dyDescent="0.3">
      <c r="M2402" s="35">
        <v>23.46</v>
      </c>
      <c r="N2402">
        <v>305</v>
      </c>
      <c r="O2402" s="34">
        <f t="shared" si="38"/>
        <v>0.27336900831151217</v>
      </c>
    </row>
    <row r="2403" spans="13:15" x14ac:dyDescent="0.3">
      <c r="M2403" s="35">
        <v>23.46</v>
      </c>
      <c r="N2403">
        <v>305</v>
      </c>
      <c r="O2403" s="34">
        <f t="shared" si="38"/>
        <v>0.27348286462484472</v>
      </c>
    </row>
    <row r="2404" spans="13:15" x14ac:dyDescent="0.3">
      <c r="M2404" s="35">
        <v>23.47</v>
      </c>
      <c r="N2404">
        <v>305</v>
      </c>
      <c r="O2404" s="34">
        <f t="shared" si="38"/>
        <v>0.27359672093817727</v>
      </c>
    </row>
    <row r="2405" spans="13:15" x14ac:dyDescent="0.3">
      <c r="M2405" s="35">
        <v>23.47</v>
      </c>
      <c r="N2405">
        <v>305</v>
      </c>
      <c r="O2405" s="34">
        <f t="shared" si="38"/>
        <v>0.27371057725150982</v>
      </c>
    </row>
    <row r="2406" spans="13:15" x14ac:dyDescent="0.3">
      <c r="M2406" s="35">
        <v>23.47</v>
      </c>
      <c r="N2406">
        <v>305</v>
      </c>
      <c r="O2406" s="34">
        <f t="shared" si="38"/>
        <v>0.27382443356484237</v>
      </c>
    </row>
    <row r="2407" spans="13:15" x14ac:dyDescent="0.3">
      <c r="M2407" s="35">
        <v>23.48</v>
      </c>
      <c r="N2407">
        <v>305</v>
      </c>
      <c r="O2407" s="34">
        <f t="shared" si="38"/>
        <v>0.27393828987817492</v>
      </c>
    </row>
    <row r="2408" spans="13:15" x14ac:dyDescent="0.3">
      <c r="M2408" s="35">
        <v>23.48</v>
      </c>
      <c r="N2408">
        <v>305</v>
      </c>
      <c r="O2408" s="34">
        <f t="shared" si="38"/>
        <v>0.27405214619150747</v>
      </c>
    </row>
    <row r="2409" spans="13:15" x14ac:dyDescent="0.3">
      <c r="M2409" s="35">
        <v>23.48</v>
      </c>
      <c r="N2409">
        <v>305</v>
      </c>
      <c r="O2409" s="34">
        <f t="shared" si="38"/>
        <v>0.27416600250484002</v>
      </c>
    </row>
    <row r="2410" spans="13:15" x14ac:dyDescent="0.3">
      <c r="M2410" s="35">
        <v>23.48</v>
      </c>
      <c r="N2410">
        <v>305</v>
      </c>
      <c r="O2410" s="34">
        <f t="shared" si="38"/>
        <v>0.27427985881817257</v>
      </c>
    </row>
    <row r="2411" spans="13:15" x14ac:dyDescent="0.3">
      <c r="M2411" s="35">
        <v>23.49</v>
      </c>
      <c r="N2411">
        <v>305</v>
      </c>
      <c r="O2411" s="34">
        <f t="shared" si="38"/>
        <v>0.27439371513150512</v>
      </c>
    </row>
    <row r="2412" spans="13:15" x14ac:dyDescent="0.3">
      <c r="M2412" s="35">
        <v>23.5</v>
      </c>
      <c r="N2412">
        <v>305</v>
      </c>
      <c r="O2412" s="34">
        <f t="shared" si="38"/>
        <v>0.27450757144483767</v>
      </c>
    </row>
    <row r="2413" spans="13:15" x14ac:dyDescent="0.3">
      <c r="M2413" s="35">
        <v>23.5</v>
      </c>
      <c r="N2413">
        <v>305</v>
      </c>
      <c r="O2413" s="34">
        <f t="shared" si="38"/>
        <v>0.27462142775817022</v>
      </c>
    </row>
    <row r="2414" spans="13:15" x14ac:dyDescent="0.3">
      <c r="M2414" s="35">
        <v>23.5</v>
      </c>
      <c r="N2414">
        <v>305</v>
      </c>
      <c r="O2414" s="34">
        <f t="shared" si="38"/>
        <v>0.27473528407150277</v>
      </c>
    </row>
    <row r="2415" spans="13:15" x14ac:dyDescent="0.3">
      <c r="M2415" s="35">
        <v>23.5</v>
      </c>
      <c r="N2415">
        <v>305</v>
      </c>
      <c r="O2415" s="34">
        <f t="shared" si="38"/>
        <v>0.27484914038483532</v>
      </c>
    </row>
    <row r="2416" spans="13:15" x14ac:dyDescent="0.3">
      <c r="M2416" s="35">
        <v>23.51</v>
      </c>
      <c r="N2416">
        <v>305</v>
      </c>
      <c r="O2416" s="34">
        <f t="shared" si="38"/>
        <v>0.27496299669816787</v>
      </c>
    </row>
    <row r="2417" spans="13:15" x14ac:dyDescent="0.3">
      <c r="M2417" s="35">
        <v>23.51</v>
      </c>
      <c r="N2417">
        <v>305</v>
      </c>
      <c r="O2417" s="34">
        <f t="shared" si="38"/>
        <v>0.27507685301150042</v>
      </c>
    </row>
    <row r="2418" spans="13:15" x14ac:dyDescent="0.3">
      <c r="M2418" s="35">
        <v>23.51</v>
      </c>
      <c r="N2418">
        <v>305</v>
      </c>
      <c r="O2418" s="34">
        <f t="shared" si="38"/>
        <v>0.27519070932483297</v>
      </c>
    </row>
    <row r="2419" spans="13:15" x14ac:dyDescent="0.3">
      <c r="M2419" s="35">
        <v>23.51</v>
      </c>
      <c r="N2419">
        <v>305</v>
      </c>
      <c r="O2419" s="34">
        <f t="shared" si="38"/>
        <v>0.27530456563816552</v>
      </c>
    </row>
    <row r="2420" spans="13:15" x14ac:dyDescent="0.3">
      <c r="M2420" s="35">
        <v>23.51</v>
      </c>
      <c r="N2420">
        <v>305</v>
      </c>
      <c r="O2420" s="34">
        <f t="shared" si="38"/>
        <v>0.27541842195149807</v>
      </c>
    </row>
    <row r="2421" spans="13:15" x14ac:dyDescent="0.3">
      <c r="M2421" s="35">
        <v>23.53</v>
      </c>
      <c r="N2421">
        <v>305</v>
      </c>
      <c r="O2421" s="34">
        <f t="shared" si="38"/>
        <v>0.27553227826483062</v>
      </c>
    </row>
    <row r="2422" spans="13:15" x14ac:dyDescent="0.3">
      <c r="M2422" s="35">
        <v>23.53</v>
      </c>
      <c r="N2422">
        <v>305</v>
      </c>
      <c r="O2422" s="34">
        <f t="shared" si="38"/>
        <v>0.27564613457816317</v>
      </c>
    </row>
    <row r="2423" spans="13:15" x14ac:dyDescent="0.3">
      <c r="M2423" s="35">
        <v>23.54</v>
      </c>
      <c r="N2423">
        <v>305</v>
      </c>
      <c r="O2423" s="34">
        <f t="shared" si="38"/>
        <v>0.27575999089149572</v>
      </c>
    </row>
    <row r="2424" spans="13:15" x14ac:dyDescent="0.3">
      <c r="M2424" s="35">
        <v>23.54</v>
      </c>
      <c r="N2424">
        <v>305</v>
      </c>
      <c r="O2424" s="34">
        <f t="shared" si="38"/>
        <v>0.27587384720482827</v>
      </c>
    </row>
    <row r="2425" spans="13:15" x14ac:dyDescent="0.3">
      <c r="M2425" s="35">
        <v>23.55</v>
      </c>
      <c r="N2425">
        <v>305</v>
      </c>
      <c r="O2425" s="34">
        <f t="shared" si="38"/>
        <v>0.27598770351816082</v>
      </c>
    </row>
    <row r="2426" spans="13:15" x14ac:dyDescent="0.3">
      <c r="M2426" s="35">
        <v>23.56</v>
      </c>
      <c r="N2426">
        <v>305</v>
      </c>
      <c r="O2426" s="34">
        <f t="shared" si="38"/>
        <v>0.27610155983149337</v>
      </c>
    </row>
    <row r="2427" spans="13:15" x14ac:dyDescent="0.3">
      <c r="M2427" s="35">
        <v>23.56</v>
      </c>
      <c r="N2427">
        <v>305</v>
      </c>
      <c r="O2427" s="34">
        <f t="shared" si="38"/>
        <v>0.27621541614482592</v>
      </c>
    </row>
    <row r="2428" spans="13:15" x14ac:dyDescent="0.3">
      <c r="M2428" s="35">
        <v>23.56</v>
      </c>
      <c r="N2428">
        <v>305</v>
      </c>
      <c r="O2428" s="34">
        <f t="shared" si="38"/>
        <v>0.27632927245815847</v>
      </c>
    </row>
    <row r="2429" spans="13:15" x14ac:dyDescent="0.3">
      <c r="M2429" s="35">
        <v>23.56</v>
      </c>
      <c r="N2429">
        <v>305</v>
      </c>
      <c r="O2429" s="34">
        <f t="shared" si="38"/>
        <v>0.27644312877149102</v>
      </c>
    </row>
    <row r="2430" spans="13:15" x14ac:dyDescent="0.3">
      <c r="M2430" s="35">
        <v>23.57</v>
      </c>
      <c r="N2430">
        <v>305</v>
      </c>
      <c r="O2430" s="34">
        <f t="shared" si="38"/>
        <v>0.27655698508482357</v>
      </c>
    </row>
    <row r="2431" spans="13:15" x14ac:dyDescent="0.3">
      <c r="M2431" s="35">
        <v>23.57</v>
      </c>
      <c r="N2431">
        <v>305</v>
      </c>
      <c r="O2431" s="34">
        <f t="shared" si="38"/>
        <v>0.27667084139815612</v>
      </c>
    </row>
    <row r="2432" spans="13:15" x14ac:dyDescent="0.3">
      <c r="M2432" s="35">
        <v>23.57</v>
      </c>
      <c r="N2432">
        <v>305</v>
      </c>
      <c r="O2432" s="34">
        <f t="shared" si="38"/>
        <v>0.27678469771148867</v>
      </c>
    </row>
    <row r="2433" spans="13:15" x14ac:dyDescent="0.3">
      <c r="M2433" s="35">
        <v>23.58</v>
      </c>
      <c r="N2433">
        <v>305</v>
      </c>
      <c r="O2433" s="34">
        <f t="shared" si="38"/>
        <v>0.27689855402482122</v>
      </c>
    </row>
    <row r="2434" spans="13:15" x14ac:dyDescent="0.3">
      <c r="M2434" s="35">
        <v>23.58</v>
      </c>
      <c r="N2434">
        <v>305</v>
      </c>
      <c r="O2434" s="34">
        <f t="shared" si="38"/>
        <v>0.27701241033815377</v>
      </c>
    </row>
    <row r="2435" spans="13:15" x14ac:dyDescent="0.3">
      <c r="M2435" s="35">
        <v>23.58</v>
      </c>
      <c r="N2435">
        <v>305</v>
      </c>
      <c r="O2435" s="34">
        <f t="shared" si="38"/>
        <v>0.27712626665148632</v>
      </c>
    </row>
    <row r="2436" spans="13:15" x14ac:dyDescent="0.3">
      <c r="M2436" s="35">
        <v>23.58</v>
      </c>
      <c r="N2436">
        <v>305</v>
      </c>
      <c r="O2436" s="34">
        <f t="shared" ref="O2436:O2499" si="39">O2435+O$2</f>
        <v>0.27724012296481887</v>
      </c>
    </row>
    <row r="2437" spans="13:15" x14ac:dyDescent="0.3">
      <c r="M2437" s="35">
        <v>23.59</v>
      </c>
      <c r="N2437">
        <v>305</v>
      </c>
      <c r="O2437" s="34">
        <f t="shared" si="39"/>
        <v>0.27735397927815142</v>
      </c>
    </row>
    <row r="2438" spans="13:15" x14ac:dyDescent="0.3">
      <c r="M2438" s="35">
        <v>23.6</v>
      </c>
      <c r="N2438">
        <v>305</v>
      </c>
      <c r="O2438" s="34">
        <f t="shared" si="39"/>
        <v>0.27746783559148397</v>
      </c>
    </row>
    <row r="2439" spans="13:15" x14ac:dyDescent="0.3">
      <c r="M2439" s="35">
        <v>23.6</v>
      </c>
      <c r="N2439">
        <v>305</v>
      </c>
      <c r="O2439" s="34">
        <f t="shared" si="39"/>
        <v>0.27758169190481652</v>
      </c>
    </row>
    <row r="2440" spans="13:15" x14ac:dyDescent="0.3">
      <c r="M2440" s="35">
        <v>23.6</v>
      </c>
      <c r="N2440">
        <v>305</v>
      </c>
      <c r="O2440" s="34">
        <f t="shared" si="39"/>
        <v>0.27769554821814907</v>
      </c>
    </row>
    <row r="2441" spans="13:15" x14ac:dyDescent="0.3">
      <c r="M2441" s="35">
        <v>23.6</v>
      </c>
      <c r="N2441">
        <v>305</v>
      </c>
      <c r="O2441" s="34">
        <f t="shared" si="39"/>
        <v>0.27780940453148162</v>
      </c>
    </row>
    <row r="2442" spans="13:15" x14ac:dyDescent="0.3">
      <c r="M2442" s="35">
        <v>23.6</v>
      </c>
      <c r="N2442">
        <v>305</v>
      </c>
      <c r="O2442" s="34">
        <f t="shared" si="39"/>
        <v>0.27792326084481417</v>
      </c>
    </row>
    <row r="2443" spans="13:15" x14ac:dyDescent="0.3">
      <c r="M2443" s="35">
        <v>23.61</v>
      </c>
      <c r="N2443">
        <v>305</v>
      </c>
      <c r="O2443" s="34">
        <f t="shared" si="39"/>
        <v>0.27803711715814672</v>
      </c>
    </row>
    <row r="2444" spans="13:15" x14ac:dyDescent="0.3">
      <c r="M2444" s="35">
        <v>23.61</v>
      </c>
      <c r="N2444">
        <v>305</v>
      </c>
      <c r="O2444" s="34">
        <f t="shared" si="39"/>
        <v>0.27815097347147927</v>
      </c>
    </row>
    <row r="2445" spans="13:15" x14ac:dyDescent="0.3">
      <c r="M2445" s="35">
        <v>23.61</v>
      </c>
      <c r="N2445">
        <v>305</v>
      </c>
      <c r="O2445" s="34">
        <f t="shared" si="39"/>
        <v>0.27826482978481182</v>
      </c>
    </row>
    <row r="2446" spans="13:15" x14ac:dyDescent="0.3">
      <c r="M2446" s="35">
        <v>23.62</v>
      </c>
      <c r="N2446">
        <v>305</v>
      </c>
      <c r="O2446" s="34">
        <f t="shared" si="39"/>
        <v>0.27837868609814437</v>
      </c>
    </row>
    <row r="2447" spans="13:15" x14ac:dyDescent="0.3">
      <c r="M2447" s="35">
        <v>23.62</v>
      </c>
      <c r="N2447">
        <v>305</v>
      </c>
      <c r="O2447" s="34">
        <f t="shared" si="39"/>
        <v>0.27849254241147692</v>
      </c>
    </row>
    <row r="2448" spans="13:15" x14ac:dyDescent="0.3">
      <c r="M2448" s="35">
        <v>23.62</v>
      </c>
      <c r="N2448">
        <v>305</v>
      </c>
      <c r="O2448" s="34">
        <f t="shared" si="39"/>
        <v>0.27860639872480947</v>
      </c>
    </row>
    <row r="2449" spans="13:15" x14ac:dyDescent="0.3">
      <c r="M2449" s="35">
        <v>23.62</v>
      </c>
      <c r="N2449">
        <v>305</v>
      </c>
      <c r="O2449" s="34">
        <f t="shared" si="39"/>
        <v>0.27872025503814202</v>
      </c>
    </row>
    <row r="2450" spans="13:15" x14ac:dyDescent="0.3">
      <c r="M2450" s="35">
        <v>23.62</v>
      </c>
      <c r="N2450">
        <v>305</v>
      </c>
      <c r="O2450" s="34">
        <f t="shared" si="39"/>
        <v>0.27883411135147457</v>
      </c>
    </row>
    <row r="2451" spans="13:15" x14ac:dyDescent="0.3">
      <c r="M2451" s="35">
        <v>23.62</v>
      </c>
      <c r="N2451">
        <v>305</v>
      </c>
      <c r="O2451" s="34">
        <f t="shared" si="39"/>
        <v>0.27894796766480712</v>
      </c>
    </row>
    <row r="2452" spans="13:15" x14ac:dyDescent="0.3">
      <c r="M2452" s="35">
        <v>23.62</v>
      </c>
      <c r="N2452">
        <v>305</v>
      </c>
      <c r="O2452" s="34">
        <f t="shared" si="39"/>
        <v>0.27906182397813967</v>
      </c>
    </row>
    <row r="2453" spans="13:15" x14ac:dyDescent="0.3">
      <c r="M2453" s="35">
        <v>23.62</v>
      </c>
      <c r="N2453">
        <v>305</v>
      </c>
      <c r="O2453" s="34">
        <f t="shared" si="39"/>
        <v>0.27917568029147222</v>
      </c>
    </row>
    <row r="2454" spans="13:15" x14ac:dyDescent="0.3">
      <c r="M2454" s="35">
        <v>23.63</v>
      </c>
      <c r="N2454">
        <v>305</v>
      </c>
      <c r="O2454" s="34">
        <f t="shared" si="39"/>
        <v>0.27928953660480477</v>
      </c>
    </row>
    <row r="2455" spans="13:15" x14ac:dyDescent="0.3">
      <c r="M2455" s="35">
        <v>23.63</v>
      </c>
      <c r="N2455">
        <v>305</v>
      </c>
      <c r="O2455" s="34">
        <f t="shared" si="39"/>
        <v>0.27940339291813732</v>
      </c>
    </row>
    <row r="2456" spans="13:15" x14ac:dyDescent="0.3">
      <c r="M2456" s="35">
        <v>23.63</v>
      </c>
      <c r="N2456">
        <v>305</v>
      </c>
      <c r="O2456" s="34">
        <f t="shared" si="39"/>
        <v>0.27951724923146987</v>
      </c>
    </row>
    <row r="2457" spans="13:15" x14ac:dyDescent="0.3">
      <c r="M2457" s="35">
        <v>23.63</v>
      </c>
      <c r="N2457">
        <v>305</v>
      </c>
      <c r="O2457" s="34">
        <f t="shared" si="39"/>
        <v>0.27963110554480242</v>
      </c>
    </row>
    <row r="2458" spans="13:15" x14ac:dyDescent="0.3">
      <c r="M2458" s="35">
        <v>23.64</v>
      </c>
      <c r="N2458">
        <v>305</v>
      </c>
      <c r="O2458" s="34">
        <f t="shared" si="39"/>
        <v>0.27974496185813497</v>
      </c>
    </row>
    <row r="2459" spans="13:15" x14ac:dyDescent="0.3">
      <c r="M2459" s="35">
        <v>23.64</v>
      </c>
      <c r="N2459">
        <v>305</v>
      </c>
      <c r="O2459" s="34">
        <f t="shared" si="39"/>
        <v>0.27985881817146752</v>
      </c>
    </row>
    <row r="2460" spans="13:15" x14ac:dyDescent="0.3">
      <c r="M2460" s="35">
        <v>23.64</v>
      </c>
      <c r="N2460">
        <v>305</v>
      </c>
      <c r="O2460" s="34">
        <f t="shared" si="39"/>
        <v>0.27997267448480007</v>
      </c>
    </row>
    <row r="2461" spans="13:15" x14ac:dyDescent="0.3">
      <c r="M2461" s="35">
        <v>23.64</v>
      </c>
      <c r="N2461">
        <v>305</v>
      </c>
      <c r="O2461" s="34">
        <f t="shared" si="39"/>
        <v>0.28008653079813262</v>
      </c>
    </row>
    <row r="2462" spans="13:15" x14ac:dyDescent="0.3">
      <c r="M2462" s="35">
        <v>23.64</v>
      </c>
      <c r="N2462">
        <v>305</v>
      </c>
      <c r="O2462" s="34">
        <f t="shared" si="39"/>
        <v>0.28020038711146517</v>
      </c>
    </row>
    <row r="2463" spans="13:15" x14ac:dyDescent="0.3">
      <c r="M2463" s="35">
        <v>23.65</v>
      </c>
      <c r="N2463">
        <v>305</v>
      </c>
      <c r="O2463" s="34">
        <f t="shared" si="39"/>
        <v>0.28031424342479772</v>
      </c>
    </row>
    <row r="2464" spans="13:15" x14ac:dyDescent="0.3">
      <c r="M2464" s="35">
        <v>23.65</v>
      </c>
      <c r="N2464">
        <v>305</v>
      </c>
      <c r="O2464" s="34">
        <f t="shared" si="39"/>
        <v>0.28042809973813027</v>
      </c>
    </row>
    <row r="2465" spans="13:15" x14ac:dyDescent="0.3">
      <c r="M2465" s="35">
        <v>23.66</v>
      </c>
      <c r="N2465">
        <v>305</v>
      </c>
      <c r="O2465" s="34">
        <f t="shared" si="39"/>
        <v>0.28054195605146282</v>
      </c>
    </row>
    <row r="2466" spans="13:15" x14ac:dyDescent="0.3">
      <c r="M2466" s="35">
        <v>23.66</v>
      </c>
      <c r="N2466">
        <v>305</v>
      </c>
      <c r="O2466" s="34">
        <f t="shared" si="39"/>
        <v>0.28065581236479537</v>
      </c>
    </row>
    <row r="2467" spans="13:15" x14ac:dyDescent="0.3">
      <c r="M2467" s="35">
        <v>23.66</v>
      </c>
      <c r="N2467">
        <v>305</v>
      </c>
      <c r="O2467" s="34">
        <f t="shared" si="39"/>
        <v>0.28076966867812791</v>
      </c>
    </row>
    <row r="2468" spans="13:15" x14ac:dyDescent="0.3">
      <c r="M2468" s="35">
        <v>23.67</v>
      </c>
      <c r="N2468">
        <v>305</v>
      </c>
      <c r="O2468" s="34">
        <f t="shared" si="39"/>
        <v>0.28088352499146046</v>
      </c>
    </row>
    <row r="2469" spans="13:15" x14ac:dyDescent="0.3">
      <c r="M2469" s="35">
        <v>23.67</v>
      </c>
      <c r="N2469">
        <v>305</v>
      </c>
      <c r="O2469" s="34">
        <f t="shared" si="39"/>
        <v>0.28099738130479301</v>
      </c>
    </row>
    <row r="2470" spans="13:15" x14ac:dyDescent="0.3">
      <c r="M2470" s="35">
        <v>23.67</v>
      </c>
      <c r="N2470">
        <v>305</v>
      </c>
      <c r="O2470" s="34">
        <f t="shared" si="39"/>
        <v>0.28111123761812556</v>
      </c>
    </row>
    <row r="2471" spans="13:15" x14ac:dyDescent="0.3">
      <c r="M2471" s="35">
        <v>23.67</v>
      </c>
      <c r="N2471">
        <v>305</v>
      </c>
      <c r="O2471" s="34">
        <f t="shared" si="39"/>
        <v>0.28122509393145811</v>
      </c>
    </row>
    <row r="2472" spans="13:15" x14ac:dyDescent="0.3">
      <c r="M2472" s="35">
        <v>23.67</v>
      </c>
      <c r="N2472">
        <v>305</v>
      </c>
      <c r="O2472" s="34">
        <f t="shared" si="39"/>
        <v>0.28133895024479066</v>
      </c>
    </row>
    <row r="2473" spans="13:15" x14ac:dyDescent="0.3">
      <c r="M2473" s="35">
        <v>23.68</v>
      </c>
      <c r="N2473">
        <v>305</v>
      </c>
      <c r="O2473" s="34">
        <f t="shared" si="39"/>
        <v>0.28145280655812321</v>
      </c>
    </row>
    <row r="2474" spans="13:15" x14ac:dyDescent="0.3">
      <c r="M2474" s="35">
        <v>23.68</v>
      </c>
      <c r="N2474">
        <v>305</v>
      </c>
      <c r="O2474" s="34">
        <f t="shared" si="39"/>
        <v>0.28156666287145576</v>
      </c>
    </row>
    <row r="2475" spans="13:15" x14ac:dyDescent="0.3">
      <c r="M2475" s="35">
        <v>23.68</v>
      </c>
      <c r="N2475">
        <v>305</v>
      </c>
      <c r="O2475" s="34">
        <f t="shared" si="39"/>
        <v>0.28168051918478831</v>
      </c>
    </row>
    <row r="2476" spans="13:15" x14ac:dyDescent="0.3">
      <c r="M2476" s="35">
        <v>23.69</v>
      </c>
      <c r="N2476">
        <v>305</v>
      </c>
      <c r="O2476" s="34">
        <f t="shared" si="39"/>
        <v>0.28179437549812086</v>
      </c>
    </row>
    <row r="2477" spans="13:15" x14ac:dyDescent="0.3">
      <c r="M2477" s="35">
        <v>23.69</v>
      </c>
      <c r="N2477">
        <v>305</v>
      </c>
      <c r="O2477" s="34">
        <f t="shared" si="39"/>
        <v>0.28190823181145341</v>
      </c>
    </row>
    <row r="2478" spans="13:15" x14ac:dyDescent="0.3">
      <c r="M2478" s="35">
        <v>23.69</v>
      </c>
      <c r="N2478">
        <v>305</v>
      </c>
      <c r="O2478" s="34">
        <f t="shared" si="39"/>
        <v>0.28202208812478596</v>
      </c>
    </row>
    <row r="2479" spans="13:15" x14ac:dyDescent="0.3">
      <c r="M2479" s="35">
        <v>23.69</v>
      </c>
      <c r="N2479">
        <v>305</v>
      </c>
      <c r="O2479" s="34">
        <f t="shared" si="39"/>
        <v>0.28213594443811851</v>
      </c>
    </row>
    <row r="2480" spans="13:15" x14ac:dyDescent="0.3">
      <c r="M2480" s="35">
        <v>23.69</v>
      </c>
      <c r="N2480">
        <v>305</v>
      </c>
      <c r="O2480" s="34">
        <f t="shared" si="39"/>
        <v>0.28224980075145106</v>
      </c>
    </row>
    <row r="2481" spans="13:15" x14ac:dyDescent="0.3">
      <c r="M2481" s="35">
        <v>23.69</v>
      </c>
      <c r="N2481">
        <v>305</v>
      </c>
      <c r="O2481" s="34">
        <f t="shared" si="39"/>
        <v>0.28236365706478361</v>
      </c>
    </row>
    <row r="2482" spans="13:15" x14ac:dyDescent="0.3">
      <c r="M2482" s="35">
        <v>23.69</v>
      </c>
      <c r="N2482">
        <v>305</v>
      </c>
      <c r="O2482" s="34">
        <f t="shared" si="39"/>
        <v>0.28247751337811616</v>
      </c>
    </row>
    <row r="2483" spans="13:15" x14ac:dyDescent="0.3">
      <c r="M2483" s="35">
        <v>23.7</v>
      </c>
      <c r="N2483">
        <v>305</v>
      </c>
      <c r="O2483" s="34">
        <f t="shared" si="39"/>
        <v>0.28259136969144871</v>
      </c>
    </row>
    <row r="2484" spans="13:15" x14ac:dyDescent="0.3">
      <c r="M2484" s="35">
        <v>23.7</v>
      </c>
      <c r="N2484">
        <v>305</v>
      </c>
      <c r="O2484" s="34">
        <f t="shared" si="39"/>
        <v>0.28270522600478126</v>
      </c>
    </row>
    <row r="2485" spans="13:15" x14ac:dyDescent="0.3">
      <c r="M2485" s="35">
        <v>23.7</v>
      </c>
      <c r="N2485">
        <v>305</v>
      </c>
      <c r="O2485" s="34">
        <f t="shared" si="39"/>
        <v>0.28281908231811381</v>
      </c>
    </row>
    <row r="2486" spans="13:15" x14ac:dyDescent="0.3">
      <c r="M2486" s="35">
        <v>23.7</v>
      </c>
      <c r="N2486">
        <v>305</v>
      </c>
      <c r="O2486" s="34">
        <f t="shared" si="39"/>
        <v>0.28293293863144636</v>
      </c>
    </row>
    <row r="2487" spans="13:15" x14ac:dyDescent="0.3">
      <c r="M2487" s="35">
        <v>23.7</v>
      </c>
      <c r="N2487">
        <v>305</v>
      </c>
      <c r="O2487" s="34">
        <f t="shared" si="39"/>
        <v>0.28304679494477891</v>
      </c>
    </row>
    <row r="2488" spans="13:15" x14ac:dyDescent="0.3">
      <c r="M2488" s="35">
        <v>23.71</v>
      </c>
      <c r="N2488">
        <v>305</v>
      </c>
      <c r="O2488" s="34">
        <f t="shared" si="39"/>
        <v>0.28316065125811146</v>
      </c>
    </row>
    <row r="2489" spans="13:15" x14ac:dyDescent="0.3">
      <c r="M2489" s="35">
        <v>23.71</v>
      </c>
      <c r="N2489">
        <v>305</v>
      </c>
      <c r="O2489" s="34">
        <f t="shared" si="39"/>
        <v>0.28327450757144401</v>
      </c>
    </row>
    <row r="2490" spans="13:15" x14ac:dyDescent="0.3">
      <c r="M2490" s="35">
        <v>23.71</v>
      </c>
      <c r="N2490">
        <v>305</v>
      </c>
      <c r="O2490" s="34">
        <f t="shared" si="39"/>
        <v>0.28338836388477656</v>
      </c>
    </row>
    <row r="2491" spans="13:15" x14ac:dyDescent="0.3">
      <c r="M2491" s="35">
        <v>23.71</v>
      </c>
      <c r="N2491">
        <v>305</v>
      </c>
      <c r="O2491" s="34">
        <f t="shared" si="39"/>
        <v>0.28350222019810911</v>
      </c>
    </row>
    <row r="2492" spans="13:15" x14ac:dyDescent="0.3">
      <c r="M2492" s="35">
        <v>23.72</v>
      </c>
      <c r="N2492">
        <v>305</v>
      </c>
      <c r="O2492" s="34">
        <f t="shared" si="39"/>
        <v>0.28361607651144166</v>
      </c>
    </row>
    <row r="2493" spans="13:15" x14ac:dyDescent="0.3">
      <c r="M2493" s="35">
        <v>23.72</v>
      </c>
      <c r="N2493">
        <v>305</v>
      </c>
      <c r="O2493" s="34">
        <f t="shared" si="39"/>
        <v>0.28372993282477421</v>
      </c>
    </row>
    <row r="2494" spans="13:15" x14ac:dyDescent="0.3">
      <c r="M2494" s="35">
        <v>23.72</v>
      </c>
      <c r="N2494">
        <v>305</v>
      </c>
      <c r="O2494" s="34">
        <f t="shared" si="39"/>
        <v>0.28384378913810676</v>
      </c>
    </row>
    <row r="2495" spans="13:15" x14ac:dyDescent="0.3">
      <c r="M2495" s="35">
        <v>23.73</v>
      </c>
      <c r="N2495">
        <v>305</v>
      </c>
      <c r="O2495" s="34">
        <f t="shared" si="39"/>
        <v>0.28395764545143931</v>
      </c>
    </row>
    <row r="2496" spans="13:15" x14ac:dyDescent="0.3">
      <c r="M2496" s="35">
        <v>23.73</v>
      </c>
      <c r="N2496">
        <v>305</v>
      </c>
      <c r="O2496" s="34">
        <f t="shared" si="39"/>
        <v>0.28407150176477186</v>
      </c>
    </row>
    <row r="2497" spans="13:15" x14ac:dyDescent="0.3">
      <c r="M2497" s="35">
        <v>23.74</v>
      </c>
      <c r="N2497">
        <v>305</v>
      </c>
      <c r="O2497" s="34">
        <f t="shared" si="39"/>
        <v>0.28418535807810441</v>
      </c>
    </row>
    <row r="2498" spans="13:15" x14ac:dyDescent="0.3">
      <c r="M2498" s="35">
        <v>23.74</v>
      </c>
      <c r="N2498">
        <v>305</v>
      </c>
      <c r="O2498" s="34">
        <f t="shared" si="39"/>
        <v>0.28429921439143696</v>
      </c>
    </row>
    <row r="2499" spans="13:15" x14ac:dyDescent="0.3">
      <c r="M2499" s="35">
        <v>23.74</v>
      </c>
      <c r="N2499">
        <v>305</v>
      </c>
      <c r="O2499" s="34">
        <f t="shared" si="39"/>
        <v>0.28441307070476951</v>
      </c>
    </row>
    <row r="2500" spans="13:15" x14ac:dyDescent="0.3">
      <c r="M2500" s="35">
        <v>23.75</v>
      </c>
      <c r="N2500">
        <v>305</v>
      </c>
      <c r="O2500" s="34">
        <f t="shared" ref="O2500:O2563" si="40">O2499+O$2</f>
        <v>0.28452692701810206</v>
      </c>
    </row>
    <row r="2501" spans="13:15" x14ac:dyDescent="0.3">
      <c r="M2501" s="35">
        <v>23.75</v>
      </c>
      <c r="N2501">
        <v>305</v>
      </c>
      <c r="O2501" s="34">
        <f t="shared" si="40"/>
        <v>0.28464078333143461</v>
      </c>
    </row>
    <row r="2502" spans="13:15" x14ac:dyDescent="0.3">
      <c r="M2502" s="35">
        <v>23.75</v>
      </c>
      <c r="N2502">
        <v>305</v>
      </c>
      <c r="O2502" s="34">
        <f t="shared" si="40"/>
        <v>0.28475463964476716</v>
      </c>
    </row>
    <row r="2503" spans="13:15" x14ac:dyDescent="0.3">
      <c r="M2503" s="35">
        <v>23.75</v>
      </c>
      <c r="N2503">
        <v>305</v>
      </c>
      <c r="O2503" s="34">
        <f t="shared" si="40"/>
        <v>0.28486849595809971</v>
      </c>
    </row>
    <row r="2504" spans="13:15" x14ac:dyDescent="0.3">
      <c r="M2504" s="35">
        <v>23.75</v>
      </c>
      <c r="N2504">
        <v>305</v>
      </c>
      <c r="O2504" s="34">
        <f t="shared" si="40"/>
        <v>0.28498235227143226</v>
      </c>
    </row>
    <row r="2505" spans="13:15" x14ac:dyDescent="0.3">
      <c r="M2505" s="35">
        <v>23.75</v>
      </c>
      <c r="N2505">
        <v>305</v>
      </c>
      <c r="O2505" s="34">
        <f t="shared" si="40"/>
        <v>0.28509620858476481</v>
      </c>
    </row>
    <row r="2506" spans="13:15" x14ac:dyDescent="0.3">
      <c r="M2506" s="35">
        <v>23.76</v>
      </c>
      <c r="N2506">
        <v>305</v>
      </c>
      <c r="O2506" s="34">
        <f t="shared" si="40"/>
        <v>0.28521006489809736</v>
      </c>
    </row>
    <row r="2507" spans="13:15" x14ac:dyDescent="0.3">
      <c r="M2507" s="35">
        <v>23.76</v>
      </c>
      <c r="N2507">
        <v>305</v>
      </c>
      <c r="O2507" s="34">
        <f t="shared" si="40"/>
        <v>0.28532392121142991</v>
      </c>
    </row>
    <row r="2508" spans="13:15" x14ac:dyDescent="0.3">
      <c r="M2508" s="35">
        <v>23.76</v>
      </c>
      <c r="N2508">
        <v>305</v>
      </c>
      <c r="O2508" s="34">
        <f t="shared" si="40"/>
        <v>0.28543777752476246</v>
      </c>
    </row>
    <row r="2509" spans="13:15" x14ac:dyDescent="0.3">
      <c r="M2509" s="35">
        <v>23.77</v>
      </c>
      <c r="N2509">
        <v>305</v>
      </c>
      <c r="O2509" s="34">
        <f t="shared" si="40"/>
        <v>0.28555163383809501</v>
      </c>
    </row>
    <row r="2510" spans="13:15" x14ac:dyDescent="0.3">
      <c r="M2510" s="35">
        <v>23.78</v>
      </c>
      <c r="N2510">
        <v>305</v>
      </c>
      <c r="O2510" s="34">
        <f t="shared" si="40"/>
        <v>0.28566549015142756</v>
      </c>
    </row>
    <row r="2511" spans="13:15" x14ac:dyDescent="0.3">
      <c r="M2511" s="35">
        <v>23.78</v>
      </c>
      <c r="N2511">
        <v>305</v>
      </c>
      <c r="O2511" s="34">
        <f t="shared" si="40"/>
        <v>0.28577934646476011</v>
      </c>
    </row>
    <row r="2512" spans="13:15" x14ac:dyDescent="0.3">
      <c r="M2512" s="35">
        <v>23.79</v>
      </c>
      <c r="N2512">
        <v>305</v>
      </c>
      <c r="O2512" s="34">
        <f t="shared" si="40"/>
        <v>0.28589320277809266</v>
      </c>
    </row>
    <row r="2513" spans="13:15" x14ac:dyDescent="0.3">
      <c r="M2513" s="35">
        <v>23.79</v>
      </c>
      <c r="N2513">
        <v>305</v>
      </c>
      <c r="O2513" s="34">
        <f t="shared" si="40"/>
        <v>0.28600705909142521</v>
      </c>
    </row>
    <row r="2514" spans="13:15" x14ac:dyDescent="0.3">
      <c r="M2514" s="35">
        <v>23.79</v>
      </c>
      <c r="N2514">
        <v>305</v>
      </c>
      <c r="O2514" s="34">
        <f t="shared" si="40"/>
        <v>0.28612091540475776</v>
      </c>
    </row>
    <row r="2515" spans="13:15" x14ac:dyDescent="0.3">
      <c r="M2515" s="35">
        <v>23.8</v>
      </c>
      <c r="N2515">
        <v>305</v>
      </c>
      <c r="O2515" s="34">
        <f t="shared" si="40"/>
        <v>0.28623477171809031</v>
      </c>
    </row>
    <row r="2516" spans="13:15" x14ac:dyDescent="0.3">
      <c r="M2516" s="35">
        <v>23.81</v>
      </c>
      <c r="N2516">
        <v>305</v>
      </c>
      <c r="O2516" s="34">
        <f t="shared" si="40"/>
        <v>0.28634862803142286</v>
      </c>
    </row>
    <row r="2517" spans="13:15" x14ac:dyDescent="0.3">
      <c r="M2517" s="35">
        <v>23.81</v>
      </c>
      <c r="N2517">
        <v>305</v>
      </c>
      <c r="O2517" s="34">
        <f t="shared" si="40"/>
        <v>0.28646248434475541</v>
      </c>
    </row>
    <row r="2518" spans="13:15" x14ac:dyDescent="0.3">
      <c r="M2518" s="35">
        <v>23.81</v>
      </c>
      <c r="N2518">
        <v>305</v>
      </c>
      <c r="O2518" s="34">
        <f t="shared" si="40"/>
        <v>0.28657634065808796</v>
      </c>
    </row>
    <row r="2519" spans="13:15" x14ac:dyDescent="0.3">
      <c r="M2519" s="35">
        <v>23.82</v>
      </c>
      <c r="N2519">
        <v>305</v>
      </c>
      <c r="O2519" s="34">
        <f t="shared" si="40"/>
        <v>0.28669019697142051</v>
      </c>
    </row>
    <row r="2520" spans="13:15" x14ac:dyDescent="0.3">
      <c r="M2520" s="35">
        <v>23.82</v>
      </c>
      <c r="N2520">
        <v>305</v>
      </c>
      <c r="O2520" s="34">
        <f t="shared" si="40"/>
        <v>0.28680405328475306</v>
      </c>
    </row>
    <row r="2521" spans="13:15" x14ac:dyDescent="0.3">
      <c r="M2521" s="35">
        <v>23.83</v>
      </c>
      <c r="N2521">
        <v>305</v>
      </c>
      <c r="O2521" s="34">
        <f t="shared" si="40"/>
        <v>0.28691790959808561</v>
      </c>
    </row>
    <row r="2522" spans="13:15" x14ac:dyDescent="0.3">
      <c r="M2522" s="35">
        <v>23.83</v>
      </c>
      <c r="N2522">
        <v>305</v>
      </c>
      <c r="O2522" s="34">
        <f t="shared" si="40"/>
        <v>0.28703176591141816</v>
      </c>
    </row>
    <row r="2523" spans="13:15" x14ac:dyDescent="0.3">
      <c r="M2523" s="35">
        <v>23.83</v>
      </c>
      <c r="N2523">
        <v>305</v>
      </c>
      <c r="O2523" s="34">
        <f t="shared" si="40"/>
        <v>0.28714562222475071</v>
      </c>
    </row>
    <row r="2524" spans="13:15" x14ac:dyDescent="0.3">
      <c r="M2524" s="35">
        <v>23.83</v>
      </c>
      <c r="N2524">
        <v>305</v>
      </c>
      <c r="O2524" s="34">
        <f t="shared" si="40"/>
        <v>0.28725947853808326</v>
      </c>
    </row>
    <row r="2525" spans="13:15" x14ac:dyDescent="0.3">
      <c r="M2525" s="35">
        <v>23.83</v>
      </c>
      <c r="N2525">
        <v>305</v>
      </c>
      <c r="O2525" s="34">
        <f t="shared" si="40"/>
        <v>0.28737333485141581</v>
      </c>
    </row>
    <row r="2526" spans="13:15" x14ac:dyDescent="0.3">
      <c r="M2526" s="35">
        <v>23.84</v>
      </c>
      <c r="N2526">
        <v>305</v>
      </c>
      <c r="O2526" s="34">
        <f t="shared" si="40"/>
        <v>0.28748719116474836</v>
      </c>
    </row>
    <row r="2527" spans="13:15" x14ac:dyDescent="0.3">
      <c r="M2527" s="35">
        <v>23.84</v>
      </c>
      <c r="N2527">
        <v>305</v>
      </c>
      <c r="O2527" s="34">
        <f t="shared" si="40"/>
        <v>0.28760104747808091</v>
      </c>
    </row>
    <row r="2528" spans="13:15" x14ac:dyDescent="0.3">
      <c r="M2528" s="35">
        <v>23.85</v>
      </c>
      <c r="N2528">
        <v>305</v>
      </c>
      <c r="O2528" s="34">
        <f t="shared" si="40"/>
        <v>0.28771490379141346</v>
      </c>
    </row>
    <row r="2529" spans="13:15" x14ac:dyDescent="0.3">
      <c r="M2529" s="35">
        <v>23.85</v>
      </c>
      <c r="N2529">
        <v>305</v>
      </c>
      <c r="O2529" s="34">
        <f t="shared" si="40"/>
        <v>0.28782876010474601</v>
      </c>
    </row>
    <row r="2530" spans="13:15" x14ac:dyDescent="0.3">
      <c r="M2530" s="35">
        <v>23.85</v>
      </c>
      <c r="N2530">
        <v>305</v>
      </c>
      <c r="O2530" s="34">
        <f t="shared" si="40"/>
        <v>0.28794261641807856</v>
      </c>
    </row>
    <row r="2531" spans="13:15" x14ac:dyDescent="0.3">
      <c r="M2531" s="35">
        <v>23.85</v>
      </c>
      <c r="N2531">
        <v>305</v>
      </c>
      <c r="O2531" s="34">
        <f t="shared" si="40"/>
        <v>0.28805647273141111</v>
      </c>
    </row>
    <row r="2532" spans="13:15" x14ac:dyDescent="0.3">
      <c r="M2532" s="35">
        <v>23.85</v>
      </c>
      <c r="N2532">
        <v>305</v>
      </c>
      <c r="O2532" s="34">
        <f t="shared" si="40"/>
        <v>0.28817032904474366</v>
      </c>
    </row>
    <row r="2533" spans="13:15" x14ac:dyDescent="0.3">
      <c r="M2533" s="35">
        <v>23.85</v>
      </c>
      <c r="N2533">
        <v>305</v>
      </c>
      <c r="O2533" s="34">
        <f t="shared" si="40"/>
        <v>0.28828418535807621</v>
      </c>
    </row>
    <row r="2534" spans="13:15" x14ac:dyDescent="0.3">
      <c r="M2534" s="35">
        <v>23.85</v>
      </c>
      <c r="N2534">
        <v>305</v>
      </c>
      <c r="O2534" s="34">
        <f t="shared" si="40"/>
        <v>0.28839804167140876</v>
      </c>
    </row>
    <row r="2535" spans="13:15" x14ac:dyDescent="0.3">
      <c r="M2535" s="35">
        <v>23.85</v>
      </c>
      <c r="N2535">
        <v>305</v>
      </c>
      <c r="O2535" s="34">
        <f t="shared" si="40"/>
        <v>0.28851189798474131</v>
      </c>
    </row>
    <row r="2536" spans="13:15" x14ac:dyDescent="0.3">
      <c r="M2536" s="35">
        <v>23.86</v>
      </c>
      <c r="N2536">
        <v>305</v>
      </c>
      <c r="O2536" s="34">
        <f t="shared" si="40"/>
        <v>0.28862575429807386</v>
      </c>
    </row>
    <row r="2537" spans="13:15" x14ac:dyDescent="0.3">
      <c r="M2537" s="35">
        <v>23.86</v>
      </c>
      <c r="N2537">
        <v>305</v>
      </c>
      <c r="O2537" s="34">
        <f t="shared" si="40"/>
        <v>0.28873961061140641</v>
      </c>
    </row>
    <row r="2538" spans="13:15" x14ac:dyDescent="0.3">
      <c r="M2538" s="35">
        <v>23.86</v>
      </c>
      <c r="N2538">
        <v>305</v>
      </c>
      <c r="O2538" s="34">
        <f t="shared" si="40"/>
        <v>0.28885346692473896</v>
      </c>
    </row>
    <row r="2539" spans="13:15" x14ac:dyDescent="0.3">
      <c r="M2539" s="35">
        <v>23.86</v>
      </c>
      <c r="N2539">
        <v>305</v>
      </c>
      <c r="O2539" s="34">
        <f t="shared" si="40"/>
        <v>0.28896732323807151</v>
      </c>
    </row>
    <row r="2540" spans="13:15" x14ac:dyDescent="0.3">
      <c r="M2540" s="35">
        <v>23.87</v>
      </c>
      <c r="N2540">
        <v>305</v>
      </c>
      <c r="O2540" s="34">
        <f t="shared" si="40"/>
        <v>0.28908117955140405</v>
      </c>
    </row>
    <row r="2541" spans="13:15" x14ac:dyDescent="0.3">
      <c r="M2541" s="35">
        <v>23.87</v>
      </c>
      <c r="N2541">
        <v>305</v>
      </c>
      <c r="O2541" s="34">
        <f t="shared" si="40"/>
        <v>0.2891950358647366</v>
      </c>
    </row>
    <row r="2542" spans="13:15" x14ac:dyDescent="0.3">
      <c r="M2542" s="35">
        <v>23.87</v>
      </c>
      <c r="N2542">
        <v>305</v>
      </c>
      <c r="O2542" s="34">
        <f t="shared" si="40"/>
        <v>0.28930889217806915</v>
      </c>
    </row>
    <row r="2543" spans="13:15" x14ac:dyDescent="0.3">
      <c r="M2543" s="35">
        <v>23.87</v>
      </c>
      <c r="N2543">
        <v>305</v>
      </c>
      <c r="O2543" s="34">
        <f t="shared" si="40"/>
        <v>0.2894227484914017</v>
      </c>
    </row>
    <row r="2544" spans="13:15" x14ac:dyDescent="0.3">
      <c r="M2544" s="35">
        <v>23.87</v>
      </c>
      <c r="N2544">
        <v>305</v>
      </c>
      <c r="O2544" s="34">
        <f t="shared" si="40"/>
        <v>0.28953660480473425</v>
      </c>
    </row>
    <row r="2545" spans="13:15" x14ac:dyDescent="0.3">
      <c r="M2545" s="35">
        <v>23.87</v>
      </c>
      <c r="N2545">
        <v>305</v>
      </c>
      <c r="O2545" s="34">
        <f t="shared" si="40"/>
        <v>0.2896504611180668</v>
      </c>
    </row>
    <row r="2546" spans="13:15" x14ac:dyDescent="0.3">
      <c r="M2546" s="35">
        <v>23.88</v>
      </c>
      <c r="N2546">
        <v>305</v>
      </c>
      <c r="O2546" s="34">
        <f t="shared" si="40"/>
        <v>0.28976431743139935</v>
      </c>
    </row>
    <row r="2547" spans="13:15" x14ac:dyDescent="0.3">
      <c r="M2547" s="35">
        <v>23.88</v>
      </c>
      <c r="N2547">
        <v>305</v>
      </c>
      <c r="O2547" s="34">
        <f t="shared" si="40"/>
        <v>0.2898781737447319</v>
      </c>
    </row>
    <row r="2548" spans="13:15" x14ac:dyDescent="0.3">
      <c r="M2548" s="35">
        <v>23.88</v>
      </c>
      <c r="N2548">
        <v>305</v>
      </c>
      <c r="O2548" s="34">
        <f t="shared" si="40"/>
        <v>0.28999203005806445</v>
      </c>
    </row>
    <row r="2549" spans="13:15" x14ac:dyDescent="0.3">
      <c r="M2549" s="35">
        <v>23.89</v>
      </c>
      <c r="N2549">
        <v>305</v>
      </c>
      <c r="O2549" s="34">
        <f t="shared" si="40"/>
        <v>0.290105886371397</v>
      </c>
    </row>
    <row r="2550" spans="13:15" x14ac:dyDescent="0.3">
      <c r="M2550" s="35">
        <v>23.89</v>
      </c>
      <c r="N2550">
        <v>305</v>
      </c>
      <c r="O2550" s="34">
        <f t="shared" si="40"/>
        <v>0.29021974268472955</v>
      </c>
    </row>
    <row r="2551" spans="13:15" x14ac:dyDescent="0.3">
      <c r="M2551" s="35">
        <v>23.9</v>
      </c>
      <c r="N2551">
        <v>305</v>
      </c>
      <c r="O2551" s="34">
        <f t="shared" si="40"/>
        <v>0.2903335989980621</v>
      </c>
    </row>
    <row r="2552" spans="13:15" x14ac:dyDescent="0.3">
      <c r="M2552" s="35">
        <v>23.9</v>
      </c>
      <c r="N2552">
        <v>305</v>
      </c>
      <c r="O2552" s="34">
        <f t="shared" si="40"/>
        <v>0.29044745531139465</v>
      </c>
    </row>
    <row r="2553" spans="13:15" x14ac:dyDescent="0.3">
      <c r="M2553" s="35">
        <v>23.91</v>
      </c>
      <c r="N2553">
        <v>305</v>
      </c>
      <c r="O2553" s="34">
        <f t="shared" si="40"/>
        <v>0.2905613116247272</v>
      </c>
    </row>
    <row r="2554" spans="13:15" x14ac:dyDescent="0.3">
      <c r="M2554" s="35">
        <v>23.91</v>
      </c>
      <c r="N2554">
        <v>305</v>
      </c>
      <c r="O2554" s="34">
        <f t="shared" si="40"/>
        <v>0.29067516793805975</v>
      </c>
    </row>
    <row r="2555" spans="13:15" x14ac:dyDescent="0.3">
      <c r="M2555" s="35">
        <v>23.91</v>
      </c>
      <c r="N2555">
        <v>305</v>
      </c>
      <c r="O2555" s="34">
        <f t="shared" si="40"/>
        <v>0.2907890242513923</v>
      </c>
    </row>
    <row r="2556" spans="13:15" x14ac:dyDescent="0.3">
      <c r="M2556" s="35">
        <v>23.92</v>
      </c>
      <c r="N2556">
        <v>305</v>
      </c>
      <c r="O2556" s="34">
        <f t="shared" si="40"/>
        <v>0.29090288056472485</v>
      </c>
    </row>
    <row r="2557" spans="13:15" x14ac:dyDescent="0.3">
      <c r="M2557" s="35">
        <v>23.93</v>
      </c>
      <c r="N2557">
        <v>305</v>
      </c>
      <c r="O2557" s="34">
        <f t="shared" si="40"/>
        <v>0.2910167368780574</v>
      </c>
    </row>
    <row r="2558" spans="13:15" x14ac:dyDescent="0.3">
      <c r="M2558" s="35">
        <v>23.93</v>
      </c>
      <c r="N2558">
        <v>305</v>
      </c>
      <c r="O2558" s="34">
        <f t="shared" si="40"/>
        <v>0.29113059319138995</v>
      </c>
    </row>
    <row r="2559" spans="13:15" x14ac:dyDescent="0.3">
      <c r="M2559" s="35">
        <v>23.93</v>
      </c>
      <c r="N2559">
        <v>305</v>
      </c>
      <c r="O2559" s="34">
        <f t="shared" si="40"/>
        <v>0.2912444495047225</v>
      </c>
    </row>
    <row r="2560" spans="13:15" x14ac:dyDescent="0.3">
      <c r="M2560" s="35">
        <v>23.94</v>
      </c>
      <c r="N2560">
        <v>305</v>
      </c>
      <c r="O2560" s="34">
        <f t="shared" si="40"/>
        <v>0.29135830581805505</v>
      </c>
    </row>
    <row r="2561" spans="13:15" x14ac:dyDescent="0.3">
      <c r="M2561" s="35">
        <v>23.94</v>
      </c>
      <c r="N2561">
        <v>305</v>
      </c>
      <c r="O2561" s="34">
        <f t="shared" si="40"/>
        <v>0.2914721621313876</v>
      </c>
    </row>
    <row r="2562" spans="13:15" x14ac:dyDescent="0.3">
      <c r="M2562" s="35">
        <v>23.94</v>
      </c>
      <c r="N2562">
        <v>305</v>
      </c>
      <c r="O2562" s="34">
        <f t="shared" si="40"/>
        <v>0.29158601844472015</v>
      </c>
    </row>
    <row r="2563" spans="13:15" x14ac:dyDescent="0.3">
      <c r="M2563" s="35">
        <v>23.95</v>
      </c>
      <c r="N2563">
        <v>305</v>
      </c>
      <c r="O2563" s="34">
        <f t="shared" si="40"/>
        <v>0.2916998747580527</v>
      </c>
    </row>
    <row r="2564" spans="13:15" x14ac:dyDescent="0.3">
      <c r="M2564" s="35">
        <v>23.95</v>
      </c>
      <c r="N2564">
        <v>305</v>
      </c>
      <c r="O2564" s="34">
        <f t="shared" ref="O2564:O2627" si="41">O2563+O$2</f>
        <v>0.29181373107138525</v>
      </c>
    </row>
    <row r="2565" spans="13:15" x14ac:dyDescent="0.3">
      <c r="M2565" s="35">
        <v>23.95</v>
      </c>
      <c r="N2565">
        <v>305</v>
      </c>
      <c r="O2565" s="34">
        <f t="shared" si="41"/>
        <v>0.2919275873847178</v>
      </c>
    </row>
    <row r="2566" spans="13:15" x14ac:dyDescent="0.3">
      <c r="M2566" s="35">
        <v>23.95</v>
      </c>
      <c r="N2566">
        <v>305</v>
      </c>
      <c r="O2566" s="34">
        <f t="shared" si="41"/>
        <v>0.29204144369805035</v>
      </c>
    </row>
    <row r="2567" spans="13:15" x14ac:dyDescent="0.3">
      <c r="M2567" s="35">
        <v>23.95</v>
      </c>
      <c r="N2567">
        <v>305</v>
      </c>
      <c r="O2567" s="34">
        <f t="shared" si="41"/>
        <v>0.2921553000113829</v>
      </c>
    </row>
    <row r="2568" spans="13:15" x14ac:dyDescent="0.3">
      <c r="M2568" s="35">
        <v>23.96</v>
      </c>
      <c r="N2568">
        <v>305</v>
      </c>
      <c r="O2568" s="34">
        <f t="shared" si="41"/>
        <v>0.29226915632471545</v>
      </c>
    </row>
    <row r="2569" spans="13:15" x14ac:dyDescent="0.3">
      <c r="M2569" s="35">
        <v>23.96</v>
      </c>
      <c r="N2569">
        <v>305</v>
      </c>
      <c r="O2569" s="34">
        <f t="shared" si="41"/>
        <v>0.292383012638048</v>
      </c>
    </row>
    <row r="2570" spans="13:15" x14ac:dyDescent="0.3">
      <c r="M2570" s="35">
        <v>23.96</v>
      </c>
      <c r="N2570">
        <v>305</v>
      </c>
      <c r="O2570" s="34">
        <f t="shared" si="41"/>
        <v>0.29249686895138055</v>
      </c>
    </row>
    <row r="2571" spans="13:15" x14ac:dyDescent="0.3">
      <c r="M2571" s="35">
        <v>23.96</v>
      </c>
      <c r="N2571">
        <v>305</v>
      </c>
      <c r="O2571" s="34">
        <f t="shared" si="41"/>
        <v>0.2926107252647131</v>
      </c>
    </row>
    <row r="2572" spans="13:15" x14ac:dyDescent="0.3">
      <c r="M2572" s="35">
        <v>23.97</v>
      </c>
      <c r="N2572">
        <v>305</v>
      </c>
      <c r="O2572" s="34">
        <f t="shared" si="41"/>
        <v>0.29272458157804565</v>
      </c>
    </row>
    <row r="2573" spans="13:15" x14ac:dyDescent="0.3">
      <c r="M2573" s="35">
        <v>23.97</v>
      </c>
      <c r="N2573">
        <v>305</v>
      </c>
      <c r="O2573" s="34">
        <f t="shared" si="41"/>
        <v>0.2928384378913782</v>
      </c>
    </row>
    <row r="2574" spans="13:15" x14ac:dyDescent="0.3">
      <c r="M2574" s="35">
        <v>23.97</v>
      </c>
      <c r="N2574">
        <v>305</v>
      </c>
      <c r="O2574" s="34">
        <f t="shared" si="41"/>
        <v>0.29295229420471075</v>
      </c>
    </row>
    <row r="2575" spans="13:15" x14ac:dyDescent="0.3">
      <c r="M2575" s="35">
        <v>23.97</v>
      </c>
      <c r="N2575">
        <v>305</v>
      </c>
      <c r="O2575" s="34">
        <f t="shared" si="41"/>
        <v>0.2930661505180433</v>
      </c>
    </row>
    <row r="2576" spans="13:15" x14ac:dyDescent="0.3">
      <c r="M2576" s="35">
        <v>23.97</v>
      </c>
      <c r="N2576">
        <v>305</v>
      </c>
      <c r="O2576" s="34">
        <f t="shared" si="41"/>
        <v>0.29318000683137585</v>
      </c>
    </row>
    <row r="2577" spans="13:15" x14ac:dyDescent="0.3">
      <c r="M2577" s="35">
        <v>23.98</v>
      </c>
      <c r="N2577">
        <v>305</v>
      </c>
      <c r="O2577" s="34">
        <f t="shared" si="41"/>
        <v>0.2932938631447084</v>
      </c>
    </row>
    <row r="2578" spans="13:15" x14ac:dyDescent="0.3">
      <c r="M2578" s="35">
        <v>23.98</v>
      </c>
      <c r="N2578">
        <v>305</v>
      </c>
      <c r="O2578" s="34">
        <f t="shared" si="41"/>
        <v>0.29340771945804095</v>
      </c>
    </row>
    <row r="2579" spans="13:15" x14ac:dyDescent="0.3">
      <c r="M2579" s="35">
        <v>23.98</v>
      </c>
      <c r="N2579">
        <v>305</v>
      </c>
      <c r="O2579" s="34">
        <f t="shared" si="41"/>
        <v>0.2935215757713735</v>
      </c>
    </row>
    <row r="2580" spans="13:15" x14ac:dyDescent="0.3">
      <c r="M2580" s="35">
        <v>23.99</v>
      </c>
      <c r="N2580">
        <v>305</v>
      </c>
      <c r="O2580" s="34">
        <f t="shared" si="41"/>
        <v>0.29363543208470605</v>
      </c>
    </row>
    <row r="2581" spans="13:15" x14ac:dyDescent="0.3">
      <c r="M2581" s="35">
        <v>23.99</v>
      </c>
      <c r="N2581">
        <v>305</v>
      </c>
      <c r="O2581" s="34">
        <f t="shared" si="41"/>
        <v>0.2937492883980386</v>
      </c>
    </row>
    <row r="2582" spans="13:15" x14ac:dyDescent="0.3">
      <c r="M2582" s="35">
        <v>23.99</v>
      </c>
      <c r="N2582">
        <v>305</v>
      </c>
      <c r="O2582" s="34">
        <f t="shared" si="41"/>
        <v>0.29386314471137115</v>
      </c>
    </row>
    <row r="2583" spans="13:15" x14ac:dyDescent="0.3">
      <c r="M2583" s="35">
        <v>23.99</v>
      </c>
      <c r="N2583">
        <v>305</v>
      </c>
      <c r="O2583" s="34">
        <f t="shared" si="41"/>
        <v>0.2939770010247037</v>
      </c>
    </row>
    <row r="2584" spans="13:15" x14ac:dyDescent="0.3">
      <c r="M2584" s="35">
        <v>23.99</v>
      </c>
      <c r="N2584">
        <v>305</v>
      </c>
      <c r="O2584" s="34">
        <f t="shared" si="41"/>
        <v>0.29409085733803625</v>
      </c>
    </row>
    <row r="2585" spans="13:15" x14ac:dyDescent="0.3">
      <c r="M2585" s="35">
        <v>23.99</v>
      </c>
      <c r="N2585">
        <v>305</v>
      </c>
      <c r="O2585" s="34">
        <f t="shared" si="41"/>
        <v>0.2942047136513688</v>
      </c>
    </row>
    <row r="2586" spans="13:15" x14ac:dyDescent="0.3">
      <c r="M2586" s="35">
        <v>23.99</v>
      </c>
      <c r="N2586">
        <v>305</v>
      </c>
      <c r="O2586" s="34">
        <f t="shared" si="41"/>
        <v>0.29431856996470135</v>
      </c>
    </row>
    <row r="2587" spans="13:15" x14ac:dyDescent="0.3">
      <c r="M2587" s="35">
        <v>24</v>
      </c>
      <c r="N2587">
        <v>305</v>
      </c>
      <c r="O2587" s="34">
        <f t="shared" si="41"/>
        <v>0.2944324262780339</v>
      </c>
    </row>
    <row r="2588" spans="13:15" x14ac:dyDescent="0.3">
      <c r="M2588" s="35">
        <v>24</v>
      </c>
      <c r="N2588">
        <v>305</v>
      </c>
      <c r="O2588" s="34">
        <f t="shared" si="41"/>
        <v>0.29454628259136645</v>
      </c>
    </row>
    <row r="2589" spans="13:15" x14ac:dyDescent="0.3">
      <c r="M2589" s="35">
        <v>24</v>
      </c>
      <c r="N2589">
        <v>305</v>
      </c>
      <c r="O2589" s="34">
        <f t="shared" si="41"/>
        <v>0.294660138904699</v>
      </c>
    </row>
    <row r="2590" spans="13:15" x14ac:dyDescent="0.3">
      <c r="M2590" s="35">
        <v>24.01</v>
      </c>
      <c r="N2590">
        <v>305</v>
      </c>
      <c r="O2590" s="34">
        <f t="shared" si="41"/>
        <v>0.29477399521803155</v>
      </c>
    </row>
    <row r="2591" spans="13:15" x14ac:dyDescent="0.3">
      <c r="M2591" s="35">
        <v>24.01</v>
      </c>
      <c r="N2591">
        <v>305</v>
      </c>
      <c r="O2591" s="34">
        <f t="shared" si="41"/>
        <v>0.2948878515313641</v>
      </c>
    </row>
    <row r="2592" spans="13:15" x14ac:dyDescent="0.3">
      <c r="M2592" s="35">
        <v>24.01</v>
      </c>
      <c r="N2592">
        <v>305</v>
      </c>
      <c r="O2592" s="34">
        <f t="shared" si="41"/>
        <v>0.29500170784469665</v>
      </c>
    </row>
    <row r="2593" spans="13:15" x14ac:dyDescent="0.3">
      <c r="M2593" s="35">
        <v>24.01</v>
      </c>
      <c r="N2593">
        <v>305</v>
      </c>
      <c r="O2593" s="34">
        <f t="shared" si="41"/>
        <v>0.2951155641580292</v>
      </c>
    </row>
    <row r="2594" spans="13:15" x14ac:dyDescent="0.3">
      <c r="M2594" s="35">
        <v>24.02</v>
      </c>
      <c r="N2594">
        <v>305</v>
      </c>
      <c r="O2594" s="34">
        <f t="shared" si="41"/>
        <v>0.29522942047136175</v>
      </c>
    </row>
    <row r="2595" spans="13:15" x14ac:dyDescent="0.3">
      <c r="M2595" s="35">
        <v>24.02</v>
      </c>
      <c r="N2595">
        <v>305</v>
      </c>
      <c r="O2595" s="34">
        <f t="shared" si="41"/>
        <v>0.2953432767846943</v>
      </c>
    </row>
    <row r="2596" spans="13:15" x14ac:dyDescent="0.3">
      <c r="M2596" s="35">
        <v>24.02</v>
      </c>
      <c r="N2596">
        <v>305</v>
      </c>
      <c r="O2596" s="34">
        <f t="shared" si="41"/>
        <v>0.29545713309802685</v>
      </c>
    </row>
    <row r="2597" spans="13:15" x14ac:dyDescent="0.3">
      <c r="M2597" s="35">
        <v>24.02</v>
      </c>
      <c r="N2597">
        <v>305</v>
      </c>
      <c r="O2597" s="34">
        <f t="shared" si="41"/>
        <v>0.2955709894113594</v>
      </c>
    </row>
    <row r="2598" spans="13:15" x14ac:dyDescent="0.3">
      <c r="M2598" s="35">
        <v>24.02</v>
      </c>
      <c r="N2598">
        <v>305</v>
      </c>
      <c r="O2598" s="34">
        <f t="shared" si="41"/>
        <v>0.29568484572469195</v>
      </c>
    </row>
    <row r="2599" spans="13:15" x14ac:dyDescent="0.3">
      <c r="M2599" s="35">
        <v>24.02</v>
      </c>
      <c r="N2599">
        <v>305</v>
      </c>
      <c r="O2599" s="34">
        <f t="shared" si="41"/>
        <v>0.2957987020380245</v>
      </c>
    </row>
    <row r="2600" spans="13:15" x14ac:dyDescent="0.3">
      <c r="M2600" s="35">
        <v>24.03</v>
      </c>
      <c r="N2600">
        <v>305</v>
      </c>
      <c r="O2600" s="34">
        <f t="shared" si="41"/>
        <v>0.29591255835135705</v>
      </c>
    </row>
    <row r="2601" spans="13:15" x14ac:dyDescent="0.3">
      <c r="M2601" s="35">
        <v>24.03</v>
      </c>
      <c r="N2601">
        <v>305</v>
      </c>
      <c r="O2601" s="34">
        <f t="shared" si="41"/>
        <v>0.2960264146646896</v>
      </c>
    </row>
    <row r="2602" spans="13:15" x14ac:dyDescent="0.3">
      <c r="M2602" s="35">
        <v>24.03</v>
      </c>
      <c r="N2602">
        <v>305</v>
      </c>
      <c r="O2602" s="34">
        <f t="shared" si="41"/>
        <v>0.29614027097802215</v>
      </c>
    </row>
    <row r="2603" spans="13:15" x14ac:dyDescent="0.3">
      <c r="M2603" s="35">
        <v>24.03</v>
      </c>
      <c r="N2603">
        <v>305</v>
      </c>
      <c r="O2603" s="34">
        <f t="shared" si="41"/>
        <v>0.2962541272913547</v>
      </c>
    </row>
    <row r="2604" spans="13:15" x14ac:dyDescent="0.3">
      <c r="M2604" s="35">
        <v>24.04</v>
      </c>
      <c r="N2604">
        <v>305</v>
      </c>
      <c r="O2604" s="34">
        <f t="shared" si="41"/>
        <v>0.29636798360468725</v>
      </c>
    </row>
    <row r="2605" spans="13:15" x14ac:dyDescent="0.3">
      <c r="M2605" s="35">
        <v>24.04</v>
      </c>
      <c r="N2605">
        <v>305</v>
      </c>
      <c r="O2605" s="34">
        <f t="shared" si="41"/>
        <v>0.2964818399180198</v>
      </c>
    </row>
    <row r="2606" spans="13:15" x14ac:dyDescent="0.3">
      <c r="M2606" s="35">
        <v>24.04</v>
      </c>
      <c r="N2606">
        <v>305</v>
      </c>
      <c r="O2606" s="34">
        <f t="shared" si="41"/>
        <v>0.29659569623135235</v>
      </c>
    </row>
    <row r="2607" spans="13:15" x14ac:dyDescent="0.3">
      <c r="M2607" s="35">
        <v>24.04</v>
      </c>
      <c r="N2607">
        <v>305</v>
      </c>
      <c r="O2607" s="34">
        <f t="shared" si="41"/>
        <v>0.2967095525446849</v>
      </c>
    </row>
    <row r="2608" spans="13:15" x14ac:dyDescent="0.3">
      <c r="M2608" s="35">
        <v>24.04</v>
      </c>
      <c r="N2608">
        <v>305</v>
      </c>
      <c r="O2608" s="34">
        <f t="shared" si="41"/>
        <v>0.29682340885801745</v>
      </c>
    </row>
    <row r="2609" spans="13:15" x14ac:dyDescent="0.3">
      <c r="M2609" s="35">
        <v>24.04</v>
      </c>
      <c r="N2609">
        <v>305</v>
      </c>
      <c r="O2609" s="34">
        <f t="shared" si="41"/>
        <v>0.29693726517135</v>
      </c>
    </row>
    <row r="2610" spans="13:15" x14ac:dyDescent="0.3">
      <c r="M2610" s="35">
        <v>24.04</v>
      </c>
      <c r="N2610">
        <v>305</v>
      </c>
      <c r="O2610" s="34">
        <f t="shared" si="41"/>
        <v>0.29705112148468255</v>
      </c>
    </row>
    <row r="2611" spans="13:15" x14ac:dyDescent="0.3">
      <c r="M2611" s="35">
        <v>24.05</v>
      </c>
      <c r="N2611">
        <v>305</v>
      </c>
      <c r="O2611" s="34">
        <f t="shared" si="41"/>
        <v>0.2971649777980151</v>
      </c>
    </row>
    <row r="2612" spans="13:15" x14ac:dyDescent="0.3">
      <c r="M2612" s="35">
        <v>24.05</v>
      </c>
      <c r="N2612">
        <v>305</v>
      </c>
      <c r="O2612" s="34">
        <f t="shared" si="41"/>
        <v>0.29727883411134765</v>
      </c>
    </row>
    <row r="2613" spans="13:15" x14ac:dyDescent="0.3">
      <c r="M2613" s="35">
        <v>24.05</v>
      </c>
      <c r="N2613">
        <v>305</v>
      </c>
      <c r="O2613" s="34">
        <f t="shared" si="41"/>
        <v>0.29739269042468019</v>
      </c>
    </row>
    <row r="2614" spans="13:15" x14ac:dyDescent="0.3">
      <c r="M2614" s="35">
        <v>24.07</v>
      </c>
      <c r="N2614">
        <v>305</v>
      </c>
      <c r="O2614" s="34">
        <f t="shared" si="41"/>
        <v>0.29750654673801274</v>
      </c>
    </row>
    <row r="2615" spans="13:15" x14ac:dyDescent="0.3">
      <c r="M2615" s="35">
        <v>24.07</v>
      </c>
      <c r="N2615">
        <v>305</v>
      </c>
      <c r="O2615" s="34">
        <f t="shared" si="41"/>
        <v>0.29762040305134529</v>
      </c>
    </row>
    <row r="2616" spans="13:15" x14ac:dyDescent="0.3">
      <c r="M2616" s="35">
        <v>24.07</v>
      </c>
      <c r="N2616">
        <v>305</v>
      </c>
      <c r="O2616" s="34">
        <f t="shared" si="41"/>
        <v>0.29773425936467784</v>
      </c>
    </row>
    <row r="2617" spans="13:15" x14ac:dyDescent="0.3">
      <c r="M2617" s="35">
        <v>24.07</v>
      </c>
      <c r="N2617">
        <v>305</v>
      </c>
      <c r="O2617" s="34">
        <f t="shared" si="41"/>
        <v>0.29784811567801039</v>
      </c>
    </row>
    <row r="2618" spans="13:15" x14ac:dyDescent="0.3">
      <c r="M2618" s="35">
        <v>24.07</v>
      </c>
      <c r="N2618">
        <v>305</v>
      </c>
      <c r="O2618" s="34">
        <f t="shared" si="41"/>
        <v>0.29796197199134294</v>
      </c>
    </row>
    <row r="2619" spans="13:15" x14ac:dyDescent="0.3">
      <c r="M2619" s="35">
        <v>24.09</v>
      </c>
      <c r="N2619">
        <v>305</v>
      </c>
      <c r="O2619" s="34">
        <f t="shared" si="41"/>
        <v>0.29807582830467549</v>
      </c>
    </row>
    <row r="2620" spans="13:15" x14ac:dyDescent="0.3">
      <c r="M2620" s="35">
        <v>24.09</v>
      </c>
      <c r="N2620">
        <v>305</v>
      </c>
      <c r="O2620" s="34">
        <f t="shared" si="41"/>
        <v>0.29818968461800804</v>
      </c>
    </row>
    <row r="2621" spans="13:15" x14ac:dyDescent="0.3">
      <c r="M2621" s="35">
        <v>24.09</v>
      </c>
      <c r="N2621">
        <v>305</v>
      </c>
      <c r="O2621" s="34">
        <f t="shared" si="41"/>
        <v>0.29830354093134059</v>
      </c>
    </row>
    <row r="2622" spans="13:15" x14ac:dyDescent="0.3">
      <c r="M2622" s="35">
        <v>24.09</v>
      </c>
      <c r="N2622">
        <v>305</v>
      </c>
      <c r="O2622" s="34">
        <f t="shared" si="41"/>
        <v>0.29841739724467314</v>
      </c>
    </row>
    <row r="2623" spans="13:15" x14ac:dyDescent="0.3">
      <c r="M2623" s="35">
        <v>24.09</v>
      </c>
      <c r="N2623">
        <v>305</v>
      </c>
      <c r="O2623" s="34">
        <f t="shared" si="41"/>
        <v>0.29853125355800569</v>
      </c>
    </row>
    <row r="2624" spans="13:15" x14ac:dyDescent="0.3">
      <c r="M2624" s="35">
        <v>24.09</v>
      </c>
      <c r="N2624">
        <v>305</v>
      </c>
      <c r="O2624" s="34">
        <f t="shared" si="41"/>
        <v>0.29864510987133824</v>
      </c>
    </row>
    <row r="2625" spans="13:15" x14ac:dyDescent="0.3">
      <c r="M2625" s="35">
        <v>24.09</v>
      </c>
      <c r="N2625">
        <v>305</v>
      </c>
      <c r="O2625" s="34">
        <f t="shared" si="41"/>
        <v>0.29875896618467079</v>
      </c>
    </row>
    <row r="2626" spans="13:15" x14ac:dyDescent="0.3">
      <c r="M2626" s="35">
        <v>24.1</v>
      </c>
      <c r="N2626">
        <v>305</v>
      </c>
      <c r="O2626" s="34">
        <f t="shared" si="41"/>
        <v>0.29887282249800334</v>
      </c>
    </row>
    <row r="2627" spans="13:15" x14ac:dyDescent="0.3">
      <c r="M2627" s="35">
        <v>24.1</v>
      </c>
      <c r="N2627">
        <v>305</v>
      </c>
      <c r="O2627" s="34">
        <f t="shared" si="41"/>
        <v>0.29898667881133589</v>
      </c>
    </row>
    <row r="2628" spans="13:15" x14ac:dyDescent="0.3">
      <c r="M2628" s="35">
        <v>24.1</v>
      </c>
      <c r="N2628">
        <v>305</v>
      </c>
      <c r="O2628" s="34">
        <f t="shared" ref="O2628:O2691" si="42">O2627+O$2</f>
        <v>0.29910053512466844</v>
      </c>
    </row>
    <row r="2629" spans="13:15" x14ac:dyDescent="0.3">
      <c r="M2629" s="35">
        <v>24.11</v>
      </c>
      <c r="N2629">
        <v>305</v>
      </c>
      <c r="O2629" s="34">
        <f t="shared" si="42"/>
        <v>0.29921439143800099</v>
      </c>
    </row>
    <row r="2630" spans="13:15" x14ac:dyDescent="0.3">
      <c r="M2630" s="35">
        <v>24.11</v>
      </c>
      <c r="N2630">
        <v>305</v>
      </c>
      <c r="O2630" s="34">
        <f t="shared" si="42"/>
        <v>0.29932824775133354</v>
      </c>
    </row>
    <row r="2631" spans="13:15" x14ac:dyDescent="0.3">
      <c r="M2631" s="35">
        <v>24.12</v>
      </c>
      <c r="N2631">
        <v>305</v>
      </c>
      <c r="O2631" s="34">
        <f t="shared" si="42"/>
        <v>0.29944210406466609</v>
      </c>
    </row>
    <row r="2632" spans="13:15" x14ac:dyDescent="0.3">
      <c r="M2632" s="35">
        <v>24.12</v>
      </c>
      <c r="N2632">
        <v>305</v>
      </c>
      <c r="O2632" s="34">
        <f t="shared" si="42"/>
        <v>0.29955596037799864</v>
      </c>
    </row>
    <row r="2633" spans="13:15" x14ac:dyDescent="0.3">
      <c r="M2633" s="35">
        <v>24.12</v>
      </c>
      <c r="N2633">
        <v>305</v>
      </c>
      <c r="O2633" s="34">
        <f t="shared" si="42"/>
        <v>0.29966981669133119</v>
      </c>
    </row>
    <row r="2634" spans="13:15" x14ac:dyDescent="0.3">
      <c r="M2634" s="35">
        <v>24.12</v>
      </c>
      <c r="N2634">
        <v>305</v>
      </c>
      <c r="O2634" s="34">
        <f t="shared" si="42"/>
        <v>0.29978367300466374</v>
      </c>
    </row>
    <row r="2635" spans="13:15" x14ac:dyDescent="0.3">
      <c r="M2635" s="35">
        <v>24.12</v>
      </c>
      <c r="N2635">
        <v>305</v>
      </c>
      <c r="O2635" s="34">
        <f t="shared" si="42"/>
        <v>0.29989752931799629</v>
      </c>
    </row>
    <row r="2636" spans="13:15" x14ac:dyDescent="0.3">
      <c r="M2636" s="35">
        <v>24.13</v>
      </c>
      <c r="N2636">
        <v>305</v>
      </c>
      <c r="O2636" s="34">
        <f t="shared" si="42"/>
        <v>0.30001138563132884</v>
      </c>
    </row>
    <row r="2637" spans="13:15" x14ac:dyDescent="0.3">
      <c r="M2637" s="35">
        <v>24.13</v>
      </c>
      <c r="N2637">
        <v>305</v>
      </c>
      <c r="O2637" s="34">
        <f t="shared" si="42"/>
        <v>0.30012524194466139</v>
      </c>
    </row>
    <row r="2638" spans="13:15" x14ac:dyDescent="0.3">
      <c r="M2638" s="35">
        <v>24.13</v>
      </c>
      <c r="N2638">
        <v>305</v>
      </c>
      <c r="O2638" s="34">
        <f t="shared" si="42"/>
        <v>0.30023909825799394</v>
      </c>
    </row>
    <row r="2639" spans="13:15" x14ac:dyDescent="0.3">
      <c r="M2639" s="35">
        <v>24.13</v>
      </c>
      <c r="N2639">
        <v>305</v>
      </c>
      <c r="O2639" s="34">
        <f t="shared" si="42"/>
        <v>0.30035295457132649</v>
      </c>
    </row>
    <row r="2640" spans="13:15" x14ac:dyDescent="0.3">
      <c r="M2640" s="35">
        <v>24.14</v>
      </c>
      <c r="N2640">
        <v>305</v>
      </c>
      <c r="O2640" s="34">
        <f t="shared" si="42"/>
        <v>0.30046681088465904</v>
      </c>
    </row>
    <row r="2641" spans="13:15" x14ac:dyDescent="0.3">
      <c r="M2641" s="35">
        <v>24.14</v>
      </c>
      <c r="N2641">
        <v>305</v>
      </c>
      <c r="O2641" s="34">
        <f t="shared" si="42"/>
        <v>0.30058066719799159</v>
      </c>
    </row>
    <row r="2642" spans="13:15" x14ac:dyDescent="0.3">
      <c r="M2642" s="35">
        <v>24.15</v>
      </c>
      <c r="N2642">
        <v>305</v>
      </c>
      <c r="O2642" s="34">
        <f t="shared" si="42"/>
        <v>0.30069452351132414</v>
      </c>
    </row>
    <row r="2643" spans="13:15" x14ac:dyDescent="0.3">
      <c r="M2643" s="35">
        <v>24.15</v>
      </c>
      <c r="N2643">
        <v>305</v>
      </c>
      <c r="O2643" s="34">
        <f t="shared" si="42"/>
        <v>0.30080837982465669</v>
      </c>
    </row>
    <row r="2644" spans="13:15" x14ac:dyDescent="0.3">
      <c r="M2644" s="35">
        <v>24.15</v>
      </c>
      <c r="N2644">
        <v>305</v>
      </c>
      <c r="O2644" s="34">
        <f t="shared" si="42"/>
        <v>0.30092223613798924</v>
      </c>
    </row>
    <row r="2645" spans="13:15" x14ac:dyDescent="0.3">
      <c r="M2645" s="35">
        <v>24.16</v>
      </c>
      <c r="N2645">
        <v>305</v>
      </c>
      <c r="O2645" s="34">
        <f t="shared" si="42"/>
        <v>0.30103609245132179</v>
      </c>
    </row>
    <row r="2646" spans="13:15" x14ac:dyDescent="0.3">
      <c r="M2646" s="35">
        <v>24.16</v>
      </c>
      <c r="N2646">
        <v>305</v>
      </c>
      <c r="O2646" s="34">
        <f t="shared" si="42"/>
        <v>0.30114994876465434</v>
      </c>
    </row>
    <row r="2647" spans="13:15" x14ac:dyDescent="0.3">
      <c r="M2647" s="35">
        <v>24.16</v>
      </c>
      <c r="N2647">
        <v>305</v>
      </c>
      <c r="O2647" s="34">
        <f t="shared" si="42"/>
        <v>0.30126380507798689</v>
      </c>
    </row>
    <row r="2648" spans="13:15" x14ac:dyDescent="0.3">
      <c r="M2648" s="35">
        <v>24.16</v>
      </c>
      <c r="N2648">
        <v>305</v>
      </c>
      <c r="O2648" s="34">
        <f t="shared" si="42"/>
        <v>0.30137766139131944</v>
      </c>
    </row>
    <row r="2649" spans="13:15" x14ac:dyDescent="0.3">
      <c r="M2649" s="35">
        <v>24.16</v>
      </c>
      <c r="N2649">
        <v>305</v>
      </c>
      <c r="O2649" s="34">
        <f t="shared" si="42"/>
        <v>0.30149151770465199</v>
      </c>
    </row>
    <row r="2650" spans="13:15" x14ac:dyDescent="0.3">
      <c r="M2650" s="35">
        <v>24.17</v>
      </c>
      <c r="N2650">
        <v>305</v>
      </c>
      <c r="O2650" s="34">
        <f t="shared" si="42"/>
        <v>0.30160537401798454</v>
      </c>
    </row>
    <row r="2651" spans="13:15" x14ac:dyDescent="0.3">
      <c r="M2651" s="35">
        <v>24.17</v>
      </c>
      <c r="N2651">
        <v>305</v>
      </c>
      <c r="O2651" s="34">
        <f t="shared" si="42"/>
        <v>0.30171923033131709</v>
      </c>
    </row>
    <row r="2652" spans="13:15" x14ac:dyDescent="0.3">
      <c r="M2652" s="35">
        <v>24.18</v>
      </c>
      <c r="N2652">
        <v>305</v>
      </c>
      <c r="O2652" s="34">
        <f t="shared" si="42"/>
        <v>0.30183308664464964</v>
      </c>
    </row>
    <row r="2653" spans="13:15" x14ac:dyDescent="0.3">
      <c r="M2653" s="35">
        <v>24.18</v>
      </c>
      <c r="N2653">
        <v>305</v>
      </c>
      <c r="O2653" s="34">
        <f t="shared" si="42"/>
        <v>0.30194694295798219</v>
      </c>
    </row>
    <row r="2654" spans="13:15" x14ac:dyDescent="0.3">
      <c r="M2654" s="35">
        <v>24.18</v>
      </c>
      <c r="N2654">
        <v>305</v>
      </c>
      <c r="O2654" s="34">
        <f t="shared" si="42"/>
        <v>0.30206079927131474</v>
      </c>
    </row>
    <row r="2655" spans="13:15" x14ac:dyDescent="0.3">
      <c r="M2655" s="35">
        <v>24.18</v>
      </c>
      <c r="N2655">
        <v>305</v>
      </c>
      <c r="O2655" s="34">
        <f t="shared" si="42"/>
        <v>0.30217465558464729</v>
      </c>
    </row>
    <row r="2656" spans="13:15" x14ac:dyDescent="0.3">
      <c r="M2656" s="35">
        <v>24.18</v>
      </c>
      <c r="N2656">
        <v>305</v>
      </c>
      <c r="O2656" s="34">
        <f t="shared" si="42"/>
        <v>0.30228851189797984</v>
      </c>
    </row>
    <row r="2657" spans="13:15" x14ac:dyDescent="0.3">
      <c r="M2657" s="35">
        <v>24.18</v>
      </c>
      <c r="N2657">
        <v>305</v>
      </c>
      <c r="O2657" s="34">
        <f t="shared" si="42"/>
        <v>0.30240236821131239</v>
      </c>
    </row>
    <row r="2658" spans="13:15" x14ac:dyDescent="0.3">
      <c r="M2658" s="35">
        <v>24.18</v>
      </c>
      <c r="N2658">
        <v>305</v>
      </c>
      <c r="O2658" s="34">
        <f t="shared" si="42"/>
        <v>0.30251622452464494</v>
      </c>
    </row>
    <row r="2659" spans="13:15" x14ac:dyDescent="0.3">
      <c r="M2659" s="35">
        <v>24.18</v>
      </c>
      <c r="N2659">
        <v>305</v>
      </c>
      <c r="O2659" s="34">
        <f t="shared" si="42"/>
        <v>0.30263008083797749</v>
      </c>
    </row>
    <row r="2660" spans="13:15" x14ac:dyDescent="0.3">
      <c r="M2660" s="35">
        <v>24.19</v>
      </c>
      <c r="N2660">
        <v>305</v>
      </c>
      <c r="O2660" s="34">
        <f t="shared" si="42"/>
        <v>0.30274393715131004</v>
      </c>
    </row>
    <row r="2661" spans="13:15" x14ac:dyDescent="0.3">
      <c r="M2661" s="35">
        <v>24.19</v>
      </c>
      <c r="N2661">
        <v>305</v>
      </c>
      <c r="O2661" s="34">
        <f t="shared" si="42"/>
        <v>0.30285779346464259</v>
      </c>
    </row>
    <row r="2662" spans="13:15" x14ac:dyDescent="0.3">
      <c r="M2662" s="35">
        <v>24.19</v>
      </c>
      <c r="N2662">
        <v>305</v>
      </c>
      <c r="O2662" s="34">
        <f t="shared" si="42"/>
        <v>0.30297164977797514</v>
      </c>
    </row>
    <row r="2663" spans="13:15" x14ac:dyDescent="0.3">
      <c r="M2663" s="35">
        <v>24.19</v>
      </c>
      <c r="N2663">
        <v>305</v>
      </c>
      <c r="O2663" s="34">
        <f t="shared" si="42"/>
        <v>0.30308550609130769</v>
      </c>
    </row>
    <row r="2664" spans="13:15" x14ac:dyDescent="0.3">
      <c r="M2664" s="35">
        <v>24.2</v>
      </c>
      <c r="N2664">
        <v>305</v>
      </c>
      <c r="O2664" s="34">
        <f t="shared" si="42"/>
        <v>0.30319936240464024</v>
      </c>
    </row>
    <row r="2665" spans="13:15" x14ac:dyDescent="0.3">
      <c r="M2665" s="35">
        <v>24.2</v>
      </c>
      <c r="N2665">
        <v>305</v>
      </c>
      <c r="O2665" s="34">
        <f t="shared" si="42"/>
        <v>0.30331321871797279</v>
      </c>
    </row>
    <row r="2666" spans="13:15" x14ac:dyDescent="0.3">
      <c r="M2666" s="35">
        <v>24.2</v>
      </c>
      <c r="N2666">
        <v>305</v>
      </c>
      <c r="O2666" s="34">
        <f t="shared" si="42"/>
        <v>0.30342707503130534</v>
      </c>
    </row>
    <row r="2667" spans="13:15" x14ac:dyDescent="0.3">
      <c r="M2667" s="35">
        <v>24.2</v>
      </c>
      <c r="N2667">
        <v>305</v>
      </c>
      <c r="O2667" s="34">
        <f t="shared" si="42"/>
        <v>0.30354093134463789</v>
      </c>
    </row>
    <row r="2668" spans="13:15" x14ac:dyDescent="0.3">
      <c r="M2668" s="35">
        <v>24.2</v>
      </c>
      <c r="N2668">
        <v>305</v>
      </c>
      <c r="O2668" s="34">
        <f t="shared" si="42"/>
        <v>0.30365478765797044</v>
      </c>
    </row>
    <row r="2669" spans="13:15" x14ac:dyDescent="0.3">
      <c r="M2669" s="35">
        <v>24.21</v>
      </c>
      <c r="N2669">
        <v>305</v>
      </c>
      <c r="O2669" s="34">
        <f t="shared" si="42"/>
        <v>0.30376864397130299</v>
      </c>
    </row>
    <row r="2670" spans="13:15" x14ac:dyDescent="0.3">
      <c r="M2670" s="35">
        <v>24.21</v>
      </c>
      <c r="N2670">
        <v>305</v>
      </c>
      <c r="O2670" s="34">
        <f t="shared" si="42"/>
        <v>0.30388250028463554</v>
      </c>
    </row>
    <row r="2671" spans="13:15" x14ac:dyDescent="0.3">
      <c r="M2671" s="35">
        <v>24.21</v>
      </c>
      <c r="N2671">
        <v>305</v>
      </c>
      <c r="O2671" s="34">
        <f t="shared" si="42"/>
        <v>0.30399635659796809</v>
      </c>
    </row>
    <row r="2672" spans="13:15" x14ac:dyDescent="0.3">
      <c r="M2672" s="35">
        <v>24.21</v>
      </c>
      <c r="N2672">
        <v>305</v>
      </c>
      <c r="O2672" s="34">
        <f t="shared" si="42"/>
        <v>0.30411021291130064</v>
      </c>
    </row>
    <row r="2673" spans="13:15" x14ac:dyDescent="0.3">
      <c r="M2673" s="35">
        <v>24.21</v>
      </c>
      <c r="N2673">
        <v>305</v>
      </c>
      <c r="O2673" s="34">
        <f t="shared" si="42"/>
        <v>0.30422406922463319</v>
      </c>
    </row>
    <row r="2674" spans="13:15" x14ac:dyDescent="0.3">
      <c r="M2674" s="35">
        <v>24.22</v>
      </c>
      <c r="N2674">
        <v>305</v>
      </c>
      <c r="O2674" s="34">
        <f t="shared" si="42"/>
        <v>0.30433792553796574</v>
      </c>
    </row>
    <row r="2675" spans="13:15" x14ac:dyDescent="0.3">
      <c r="M2675" s="35">
        <v>24.22</v>
      </c>
      <c r="N2675">
        <v>305</v>
      </c>
      <c r="O2675" s="34">
        <f t="shared" si="42"/>
        <v>0.30445178185129829</v>
      </c>
    </row>
    <row r="2676" spans="13:15" x14ac:dyDescent="0.3">
      <c r="M2676" s="35">
        <v>24.22</v>
      </c>
      <c r="N2676">
        <v>305</v>
      </c>
      <c r="O2676" s="34">
        <f t="shared" si="42"/>
        <v>0.30456563816463084</v>
      </c>
    </row>
    <row r="2677" spans="13:15" x14ac:dyDescent="0.3">
      <c r="M2677" s="35">
        <v>24.23</v>
      </c>
      <c r="N2677">
        <v>305</v>
      </c>
      <c r="O2677" s="34">
        <f t="shared" si="42"/>
        <v>0.30467949447796339</v>
      </c>
    </row>
    <row r="2678" spans="13:15" x14ac:dyDescent="0.3">
      <c r="M2678" s="35">
        <v>24.23</v>
      </c>
      <c r="N2678">
        <v>305</v>
      </c>
      <c r="O2678" s="34">
        <f t="shared" si="42"/>
        <v>0.30479335079129594</v>
      </c>
    </row>
    <row r="2679" spans="13:15" x14ac:dyDescent="0.3">
      <c r="M2679" s="35">
        <v>24.24</v>
      </c>
      <c r="N2679">
        <v>305</v>
      </c>
      <c r="O2679" s="34">
        <f t="shared" si="42"/>
        <v>0.30490720710462849</v>
      </c>
    </row>
    <row r="2680" spans="13:15" x14ac:dyDescent="0.3">
      <c r="M2680" s="35">
        <v>24.24</v>
      </c>
      <c r="N2680">
        <v>305</v>
      </c>
      <c r="O2680" s="34">
        <f t="shared" si="42"/>
        <v>0.30502106341796104</v>
      </c>
    </row>
    <row r="2681" spans="13:15" x14ac:dyDescent="0.3">
      <c r="M2681" s="35">
        <v>24.24</v>
      </c>
      <c r="N2681">
        <v>305</v>
      </c>
      <c r="O2681" s="34">
        <f t="shared" si="42"/>
        <v>0.30513491973129359</v>
      </c>
    </row>
    <row r="2682" spans="13:15" x14ac:dyDescent="0.3">
      <c r="M2682" s="35">
        <v>24.25</v>
      </c>
      <c r="N2682">
        <v>305</v>
      </c>
      <c r="O2682" s="34">
        <f t="shared" si="42"/>
        <v>0.30524877604462614</v>
      </c>
    </row>
    <row r="2683" spans="13:15" x14ac:dyDescent="0.3">
      <c r="M2683" s="35">
        <v>24.25</v>
      </c>
      <c r="N2683">
        <v>305</v>
      </c>
      <c r="O2683" s="34">
        <f t="shared" si="42"/>
        <v>0.30536263235795869</v>
      </c>
    </row>
    <row r="2684" spans="13:15" x14ac:dyDescent="0.3">
      <c r="M2684" s="35">
        <v>24.25</v>
      </c>
      <c r="N2684">
        <v>305</v>
      </c>
      <c r="O2684" s="34">
        <f t="shared" si="42"/>
        <v>0.30547648867129124</v>
      </c>
    </row>
    <row r="2685" spans="13:15" x14ac:dyDescent="0.3">
      <c r="M2685" s="35">
        <v>24.26</v>
      </c>
      <c r="N2685">
        <v>305</v>
      </c>
      <c r="O2685" s="34">
        <f t="shared" si="42"/>
        <v>0.30559034498462379</v>
      </c>
    </row>
    <row r="2686" spans="13:15" x14ac:dyDescent="0.3">
      <c r="M2686" s="35">
        <v>24.26</v>
      </c>
      <c r="N2686">
        <v>305</v>
      </c>
      <c r="O2686" s="34">
        <f t="shared" si="42"/>
        <v>0.30570420129795634</v>
      </c>
    </row>
    <row r="2687" spans="13:15" x14ac:dyDescent="0.3">
      <c r="M2687" s="35">
        <v>24.26</v>
      </c>
      <c r="N2687">
        <v>305</v>
      </c>
      <c r="O2687" s="34">
        <f t="shared" si="42"/>
        <v>0.30581805761128888</v>
      </c>
    </row>
    <row r="2688" spans="13:15" x14ac:dyDescent="0.3">
      <c r="M2688" s="35">
        <v>24.26</v>
      </c>
      <c r="N2688">
        <v>305</v>
      </c>
      <c r="O2688" s="34">
        <f t="shared" si="42"/>
        <v>0.30593191392462143</v>
      </c>
    </row>
    <row r="2689" spans="13:15" x14ac:dyDescent="0.3">
      <c r="M2689" s="35">
        <v>24.26</v>
      </c>
      <c r="N2689">
        <v>305</v>
      </c>
      <c r="O2689" s="34">
        <f t="shared" si="42"/>
        <v>0.30604577023795398</v>
      </c>
    </row>
    <row r="2690" spans="13:15" x14ac:dyDescent="0.3">
      <c r="M2690" s="35">
        <v>24.27</v>
      </c>
      <c r="N2690">
        <v>305</v>
      </c>
      <c r="O2690" s="34">
        <f t="shared" si="42"/>
        <v>0.30615962655128653</v>
      </c>
    </row>
    <row r="2691" spans="13:15" x14ac:dyDescent="0.3">
      <c r="M2691" s="35">
        <v>24.27</v>
      </c>
      <c r="N2691">
        <v>305</v>
      </c>
      <c r="O2691" s="34">
        <f t="shared" si="42"/>
        <v>0.30627348286461908</v>
      </c>
    </row>
    <row r="2692" spans="13:15" x14ac:dyDescent="0.3">
      <c r="M2692" s="35">
        <v>24.27</v>
      </c>
      <c r="N2692">
        <v>305</v>
      </c>
      <c r="O2692" s="34">
        <f t="shared" ref="O2692:O2755" si="43">O2691+O$2</f>
        <v>0.30638733917795163</v>
      </c>
    </row>
    <row r="2693" spans="13:15" x14ac:dyDescent="0.3">
      <c r="M2693" s="35">
        <v>24.27</v>
      </c>
      <c r="N2693">
        <v>305</v>
      </c>
      <c r="O2693" s="34">
        <f t="shared" si="43"/>
        <v>0.30650119549128418</v>
      </c>
    </row>
    <row r="2694" spans="13:15" x14ac:dyDescent="0.3">
      <c r="M2694" s="35">
        <v>24.27</v>
      </c>
      <c r="N2694">
        <v>305</v>
      </c>
      <c r="O2694" s="34">
        <f t="shared" si="43"/>
        <v>0.30661505180461673</v>
      </c>
    </row>
    <row r="2695" spans="13:15" x14ac:dyDescent="0.3">
      <c r="M2695" s="35">
        <v>24.27</v>
      </c>
      <c r="N2695">
        <v>305</v>
      </c>
      <c r="O2695" s="34">
        <f t="shared" si="43"/>
        <v>0.30672890811794928</v>
      </c>
    </row>
    <row r="2696" spans="13:15" x14ac:dyDescent="0.3">
      <c r="M2696" s="35">
        <v>24.27</v>
      </c>
      <c r="N2696">
        <v>305</v>
      </c>
      <c r="O2696" s="34">
        <f t="shared" si="43"/>
        <v>0.30684276443128183</v>
      </c>
    </row>
    <row r="2697" spans="13:15" x14ac:dyDescent="0.3">
      <c r="M2697" s="35">
        <v>24.28</v>
      </c>
      <c r="N2697">
        <v>305</v>
      </c>
      <c r="O2697" s="34">
        <f t="shared" si="43"/>
        <v>0.30695662074461438</v>
      </c>
    </row>
    <row r="2698" spans="13:15" x14ac:dyDescent="0.3">
      <c r="M2698" s="35">
        <v>24.28</v>
      </c>
      <c r="N2698">
        <v>305</v>
      </c>
      <c r="O2698" s="34">
        <f t="shared" si="43"/>
        <v>0.30707047705794693</v>
      </c>
    </row>
    <row r="2699" spans="13:15" x14ac:dyDescent="0.3">
      <c r="M2699" s="35">
        <v>24.28</v>
      </c>
      <c r="N2699">
        <v>305</v>
      </c>
      <c r="O2699" s="34">
        <f t="shared" si="43"/>
        <v>0.30718433337127948</v>
      </c>
    </row>
    <row r="2700" spans="13:15" x14ac:dyDescent="0.3">
      <c r="M2700" s="35">
        <v>24.28</v>
      </c>
      <c r="N2700">
        <v>305</v>
      </c>
      <c r="O2700" s="34">
        <f t="shared" si="43"/>
        <v>0.30729818968461203</v>
      </c>
    </row>
    <row r="2701" spans="13:15" x14ac:dyDescent="0.3">
      <c r="M2701" s="35">
        <v>24.28</v>
      </c>
      <c r="N2701">
        <v>305</v>
      </c>
      <c r="O2701" s="34">
        <f t="shared" si="43"/>
        <v>0.30741204599794458</v>
      </c>
    </row>
    <row r="2702" spans="13:15" x14ac:dyDescent="0.3">
      <c r="M2702" s="35">
        <v>24.28</v>
      </c>
      <c r="N2702">
        <v>305</v>
      </c>
      <c r="O2702" s="34">
        <f t="shared" si="43"/>
        <v>0.30752590231127713</v>
      </c>
    </row>
    <row r="2703" spans="13:15" x14ac:dyDescent="0.3">
      <c r="M2703" s="35">
        <v>24.28</v>
      </c>
      <c r="N2703">
        <v>305</v>
      </c>
      <c r="O2703" s="34">
        <f t="shared" si="43"/>
        <v>0.30763975862460968</v>
      </c>
    </row>
    <row r="2704" spans="13:15" x14ac:dyDescent="0.3">
      <c r="M2704" s="35">
        <v>24.28</v>
      </c>
      <c r="N2704">
        <v>305</v>
      </c>
      <c r="O2704" s="34">
        <f t="shared" si="43"/>
        <v>0.30775361493794223</v>
      </c>
    </row>
    <row r="2705" spans="13:15" x14ac:dyDescent="0.3">
      <c r="M2705" s="35">
        <v>24.29</v>
      </c>
      <c r="N2705">
        <v>305</v>
      </c>
      <c r="O2705" s="34">
        <f t="shared" si="43"/>
        <v>0.30786747125127478</v>
      </c>
    </row>
    <row r="2706" spans="13:15" x14ac:dyDescent="0.3">
      <c r="M2706" s="35">
        <v>24.29</v>
      </c>
      <c r="N2706">
        <v>305</v>
      </c>
      <c r="O2706" s="34">
        <f t="shared" si="43"/>
        <v>0.30798132756460733</v>
      </c>
    </row>
    <row r="2707" spans="13:15" x14ac:dyDescent="0.3">
      <c r="M2707" s="35">
        <v>24.29</v>
      </c>
      <c r="N2707">
        <v>305</v>
      </c>
      <c r="O2707" s="34">
        <f t="shared" si="43"/>
        <v>0.30809518387793988</v>
      </c>
    </row>
    <row r="2708" spans="13:15" x14ac:dyDescent="0.3">
      <c r="M2708" s="35">
        <v>24.29</v>
      </c>
      <c r="N2708">
        <v>305</v>
      </c>
      <c r="O2708" s="34">
        <f t="shared" si="43"/>
        <v>0.30820904019127243</v>
      </c>
    </row>
    <row r="2709" spans="13:15" x14ac:dyDescent="0.3">
      <c r="M2709" s="35">
        <v>24.29</v>
      </c>
      <c r="N2709">
        <v>305</v>
      </c>
      <c r="O2709" s="34">
        <f t="shared" si="43"/>
        <v>0.30832289650460498</v>
      </c>
    </row>
    <row r="2710" spans="13:15" x14ac:dyDescent="0.3">
      <c r="M2710" s="35">
        <v>24.3</v>
      </c>
      <c r="N2710">
        <v>305</v>
      </c>
      <c r="O2710" s="34">
        <f t="shared" si="43"/>
        <v>0.30843675281793753</v>
      </c>
    </row>
    <row r="2711" spans="13:15" x14ac:dyDescent="0.3">
      <c r="M2711" s="35">
        <v>24.3</v>
      </c>
      <c r="N2711">
        <v>305</v>
      </c>
      <c r="O2711" s="34">
        <f t="shared" si="43"/>
        <v>0.30855060913127008</v>
      </c>
    </row>
    <row r="2712" spans="13:15" x14ac:dyDescent="0.3">
      <c r="M2712" s="35">
        <v>24.3</v>
      </c>
      <c r="N2712">
        <v>305</v>
      </c>
      <c r="O2712" s="34">
        <f t="shared" si="43"/>
        <v>0.30866446544460263</v>
      </c>
    </row>
    <row r="2713" spans="13:15" x14ac:dyDescent="0.3">
      <c r="M2713" s="35">
        <v>24.3</v>
      </c>
      <c r="N2713">
        <v>305</v>
      </c>
      <c r="O2713" s="34">
        <f t="shared" si="43"/>
        <v>0.30877832175793518</v>
      </c>
    </row>
    <row r="2714" spans="13:15" x14ac:dyDescent="0.3">
      <c r="M2714" s="35">
        <v>24.3</v>
      </c>
      <c r="N2714">
        <v>305</v>
      </c>
      <c r="O2714" s="34">
        <f t="shared" si="43"/>
        <v>0.30889217807126773</v>
      </c>
    </row>
    <row r="2715" spans="13:15" x14ac:dyDescent="0.3">
      <c r="M2715" s="35">
        <v>24.31</v>
      </c>
      <c r="N2715">
        <v>305</v>
      </c>
      <c r="O2715" s="34">
        <f t="shared" si="43"/>
        <v>0.30900603438460028</v>
      </c>
    </row>
    <row r="2716" spans="13:15" x14ac:dyDescent="0.3">
      <c r="M2716" s="35">
        <v>24.32</v>
      </c>
      <c r="N2716">
        <v>305</v>
      </c>
      <c r="O2716" s="34">
        <f t="shared" si="43"/>
        <v>0.30911989069793283</v>
      </c>
    </row>
    <row r="2717" spans="13:15" x14ac:dyDescent="0.3">
      <c r="M2717" s="35">
        <v>24.32</v>
      </c>
      <c r="N2717">
        <v>305</v>
      </c>
      <c r="O2717" s="34">
        <f t="shared" si="43"/>
        <v>0.30923374701126538</v>
      </c>
    </row>
    <row r="2718" spans="13:15" x14ac:dyDescent="0.3">
      <c r="M2718" s="35">
        <v>24.32</v>
      </c>
      <c r="N2718">
        <v>305</v>
      </c>
      <c r="O2718" s="34">
        <f t="shared" si="43"/>
        <v>0.30934760332459793</v>
      </c>
    </row>
    <row r="2719" spans="13:15" x14ac:dyDescent="0.3">
      <c r="M2719" s="35">
        <v>24.32</v>
      </c>
      <c r="N2719">
        <v>305</v>
      </c>
      <c r="O2719" s="34">
        <f t="shared" si="43"/>
        <v>0.30946145963793048</v>
      </c>
    </row>
    <row r="2720" spans="13:15" x14ac:dyDescent="0.3">
      <c r="M2720" s="35">
        <v>24.32</v>
      </c>
      <c r="N2720">
        <v>305</v>
      </c>
      <c r="O2720" s="34">
        <f t="shared" si="43"/>
        <v>0.30957531595126303</v>
      </c>
    </row>
    <row r="2721" spans="13:15" x14ac:dyDescent="0.3">
      <c r="M2721" s="35">
        <v>24.33</v>
      </c>
      <c r="N2721">
        <v>305</v>
      </c>
      <c r="O2721" s="34">
        <f t="shared" si="43"/>
        <v>0.30968917226459558</v>
      </c>
    </row>
    <row r="2722" spans="13:15" x14ac:dyDescent="0.3">
      <c r="M2722" s="35">
        <v>24.34</v>
      </c>
      <c r="N2722">
        <v>305</v>
      </c>
      <c r="O2722" s="34">
        <f t="shared" si="43"/>
        <v>0.30980302857792813</v>
      </c>
    </row>
    <row r="2723" spans="13:15" x14ac:dyDescent="0.3">
      <c r="M2723" s="35">
        <v>24.34</v>
      </c>
      <c r="N2723">
        <v>305</v>
      </c>
      <c r="O2723" s="34">
        <f t="shared" si="43"/>
        <v>0.30991688489126068</v>
      </c>
    </row>
    <row r="2724" spans="13:15" x14ac:dyDescent="0.3">
      <c r="M2724" s="35">
        <v>24.34</v>
      </c>
      <c r="N2724">
        <v>305</v>
      </c>
      <c r="O2724" s="34">
        <f t="shared" si="43"/>
        <v>0.31003074120459323</v>
      </c>
    </row>
    <row r="2725" spans="13:15" x14ac:dyDescent="0.3">
      <c r="M2725" s="35">
        <v>24.34</v>
      </c>
      <c r="N2725">
        <v>305</v>
      </c>
      <c r="O2725" s="34">
        <f t="shared" si="43"/>
        <v>0.31014459751792578</v>
      </c>
    </row>
    <row r="2726" spans="13:15" x14ac:dyDescent="0.3">
      <c r="M2726" s="35">
        <v>24.34</v>
      </c>
      <c r="N2726">
        <v>305</v>
      </c>
      <c r="O2726" s="34">
        <f t="shared" si="43"/>
        <v>0.31025845383125833</v>
      </c>
    </row>
    <row r="2727" spans="13:15" x14ac:dyDescent="0.3">
      <c r="M2727" s="35">
        <v>24.34</v>
      </c>
      <c r="N2727">
        <v>305</v>
      </c>
      <c r="O2727" s="34">
        <f t="shared" si="43"/>
        <v>0.31037231014459088</v>
      </c>
    </row>
    <row r="2728" spans="13:15" x14ac:dyDescent="0.3">
      <c r="M2728" s="35">
        <v>24.34</v>
      </c>
      <c r="N2728">
        <v>305</v>
      </c>
      <c r="O2728" s="34">
        <f t="shared" si="43"/>
        <v>0.31048616645792343</v>
      </c>
    </row>
    <row r="2729" spans="13:15" x14ac:dyDescent="0.3">
      <c r="M2729" s="35">
        <v>24.35</v>
      </c>
      <c r="N2729">
        <v>305</v>
      </c>
      <c r="O2729" s="34">
        <f t="shared" si="43"/>
        <v>0.31060002277125598</v>
      </c>
    </row>
    <row r="2730" spans="13:15" x14ac:dyDescent="0.3">
      <c r="M2730" s="35">
        <v>24.35</v>
      </c>
      <c r="N2730">
        <v>305</v>
      </c>
      <c r="O2730" s="34">
        <f t="shared" si="43"/>
        <v>0.31071387908458853</v>
      </c>
    </row>
    <row r="2731" spans="13:15" x14ac:dyDescent="0.3">
      <c r="M2731" s="35">
        <v>24.35</v>
      </c>
      <c r="N2731">
        <v>305</v>
      </c>
      <c r="O2731" s="34">
        <f t="shared" si="43"/>
        <v>0.31082773539792108</v>
      </c>
    </row>
    <row r="2732" spans="13:15" x14ac:dyDescent="0.3">
      <c r="M2732" s="35">
        <v>24.35</v>
      </c>
      <c r="N2732">
        <v>305</v>
      </c>
      <c r="O2732" s="34">
        <f t="shared" si="43"/>
        <v>0.31094159171125363</v>
      </c>
    </row>
    <row r="2733" spans="13:15" x14ac:dyDescent="0.3">
      <c r="M2733" s="35">
        <v>24.35</v>
      </c>
      <c r="N2733">
        <v>305</v>
      </c>
      <c r="O2733" s="34">
        <f t="shared" si="43"/>
        <v>0.31105544802458618</v>
      </c>
    </row>
    <row r="2734" spans="13:15" x14ac:dyDescent="0.3">
      <c r="M2734" s="35">
        <v>24.35</v>
      </c>
      <c r="N2734">
        <v>305</v>
      </c>
      <c r="O2734" s="34">
        <f t="shared" si="43"/>
        <v>0.31116930433791873</v>
      </c>
    </row>
    <row r="2735" spans="13:15" x14ac:dyDescent="0.3">
      <c r="M2735" s="35">
        <v>24.35</v>
      </c>
      <c r="N2735">
        <v>305</v>
      </c>
      <c r="O2735" s="34">
        <f t="shared" si="43"/>
        <v>0.31128316065125128</v>
      </c>
    </row>
    <row r="2736" spans="13:15" x14ac:dyDescent="0.3">
      <c r="M2736" s="35">
        <v>24.37</v>
      </c>
      <c r="N2736">
        <v>305</v>
      </c>
      <c r="O2736" s="34">
        <f t="shared" si="43"/>
        <v>0.31139701696458383</v>
      </c>
    </row>
    <row r="2737" spans="13:15" x14ac:dyDescent="0.3">
      <c r="M2737" s="35">
        <v>24.37</v>
      </c>
      <c r="N2737">
        <v>305</v>
      </c>
      <c r="O2737" s="34">
        <f t="shared" si="43"/>
        <v>0.31151087327791638</v>
      </c>
    </row>
    <row r="2738" spans="13:15" x14ac:dyDescent="0.3">
      <c r="M2738" s="35">
        <v>24.38</v>
      </c>
      <c r="N2738">
        <v>305</v>
      </c>
      <c r="O2738" s="34">
        <f t="shared" si="43"/>
        <v>0.31162472959124893</v>
      </c>
    </row>
    <row r="2739" spans="13:15" x14ac:dyDescent="0.3">
      <c r="M2739" s="35">
        <v>24.38</v>
      </c>
      <c r="N2739">
        <v>305</v>
      </c>
      <c r="O2739" s="34">
        <f t="shared" si="43"/>
        <v>0.31173858590458148</v>
      </c>
    </row>
    <row r="2740" spans="13:15" x14ac:dyDescent="0.3">
      <c r="M2740" s="35">
        <v>24.38</v>
      </c>
      <c r="N2740">
        <v>305</v>
      </c>
      <c r="O2740" s="34">
        <f t="shared" si="43"/>
        <v>0.31185244221791403</v>
      </c>
    </row>
    <row r="2741" spans="13:15" x14ac:dyDescent="0.3">
      <c r="M2741" s="35">
        <v>24.38</v>
      </c>
      <c r="N2741">
        <v>305</v>
      </c>
      <c r="O2741" s="34">
        <f t="shared" si="43"/>
        <v>0.31196629853124658</v>
      </c>
    </row>
    <row r="2742" spans="13:15" x14ac:dyDescent="0.3">
      <c r="M2742" s="35">
        <v>24.38</v>
      </c>
      <c r="N2742">
        <v>305</v>
      </c>
      <c r="O2742" s="34">
        <f t="shared" si="43"/>
        <v>0.31208015484457913</v>
      </c>
    </row>
    <row r="2743" spans="13:15" x14ac:dyDescent="0.3">
      <c r="M2743" s="35">
        <v>24.39</v>
      </c>
      <c r="N2743">
        <v>305</v>
      </c>
      <c r="O2743" s="34">
        <f t="shared" si="43"/>
        <v>0.31219401115791168</v>
      </c>
    </row>
    <row r="2744" spans="13:15" x14ac:dyDescent="0.3">
      <c r="M2744" s="35">
        <v>24.39</v>
      </c>
      <c r="N2744">
        <v>305</v>
      </c>
      <c r="O2744" s="34">
        <f t="shared" si="43"/>
        <v>0.31230786747124423</v>
      </c>
    </row>
    <row r="2745" spans="13:15" x14ac:dyDescent="0.3">
      <c r="M2745" s="35">
        <v>24.4</v>
      </c>
      <c r="N2745">
        <v>305</v>
      </c>
      <c r="O2745" s="34">
        <f t="shared" si="43"/>
        <v>0.31242172378457678</v>
      </c>
    </row>
    <row r="2746" spans="13:15" x14ac:dyDescent="0.3">
      <c r="M2746" s="35">
        <v>24.4</v>
      </c>
      <c r="N2746">
        <v>305</v>
      </c>
      <c r="O2746" s="34">
        <f t="shared" si="43"/>
        <v>0.31253558009790933</v>
      </c>
    </row>
    <row r="2747" spans="13:15" x14ac:dyDescent="0.3">
      <c r="M2747" s="35">
        <v>24.41</v>
      </c>
      <c r="N2747">
        <v>305</v>
      </c>
      <c r="O2747" s="34">
        <f t="shared" si="43"/>
        <v>0.31264943641124188</v>
      </c>
    </row>
    <row r="2748" spans="13:15" x14ac:dyDescent="0.3">
      <c r="M2748" s="35">
        <v>24.41</v>
      </c>
      <c r="N2748">
        <v>305</v>
      </c>
      <c r="O2748" s="34">
        <f t="shared" si="43"/>
        <v>0.31276329272457443</v>
      </c>
    </row>
    <row r="2749" spans="13:15" x14ac:dyDescent="0.3">
      <c r="M2749" s="35">
        <v>24.41</v>
      </c>
      <c r="N2749">
        <v>305</v>
      </c>
      <c r="O2749" s="34">
        <f t="shared" si="43"/>
        <v>0.31287714903790698</v>
      </c>
    </row>
    <row r="2750" spans="13:15" x14ac:dyDescent="0.3">
      <c r="M2750" s="35">
        <v>24.41</v>
      </c>
      <c r="N2750">
        <v>305</v>
      </c>
      <c r="O2750" s="34">
        <f t="shared" si="43"/>
        <v>0.31299100535123953</v>
      </c>
    </row>
    <row r="2751" spans="13:15" x14ac:dyDescent="0.3">
      <c r="M2751" s="35">
        <v>24.41</v>
      </c>
      <c r="N2751">
        <v>305</v>
      </c>
      <c r="O2751" s="34">
        <f t="shared" si="43"/>
        <v>0.31310486166457208</v>
      </c>
    </row>
    <row r="2752" spans="13:15" x14ac:dyDescent="0.3">
      <c r="M2752" s="35">
        <v>24.41</v>
      </c>
      <c r="N2752">
        <v>305</v>
      </c>
      <c r="O2752" s="34">
        <f t="shared" si="43"/>
        <v>0.31321871797790463</v>
      </c>
    </row>
    <row r="2753" spans="13:15" x14ac:dyDescent="0.3">
      <c r="M2753" s="35">
        <v>24.42</v>
      </c>
      <c r="N2753">
        <v>305</v>
      </c>
      <c r="O2753" s="34">
        <f t="shared" si="43"/>
        <v>0.31333257429123718</v>
      </c>
    </row>
    <row r="2754" spans="13:15" x14ac:dyDescent="0.3">
      <c r="M2754" s="35">
        <v>24.42</v>
      </c>
      <c r="N2754">
        <v>305</v>
      </c>
      <c r="O2754" s="34">
        <f t="shared" si="43"/>
        <v>0.31344643060456973</v>
      </c>
    </row>
    <row r="2755" spans="13:15" x14ac:dyDescent="0.3">
      <c r="M2755" s="35">
        <v>24.42</v>
      </c>
      <c r="N2755">
        <v>305</v>
      </c>
      <c r="O2755" s="34">
        <f t="shared" si="43"/>
        <v>0.31356028691790228</v>
      </c>
    </row>
    <row r="2756" spans="13:15" x14ac:dyDescent="0.3">
      <c r="M2756" s="35">
        <v>24.42</v>
      </c>
      <c r="N2756">
        <v>305</v>
      </c>
      <c r="O2756" s="34">
        <f t="shared" ref="O2756:O2819" si="44">O2755+O$2</f>
        <v>0.31367414323123483</v>
      </c>
    </row>
    <row r="2757" spans="13:15" x14ac:dyDescent="0.3">
      <c r="M2757" s="35">
        <v>24.43</v>
      </c>
      <c r="N2757">
        <v>305</v>
      </c>
      <c r="O2757" s="34">
        <f t="shared" si="44"/>
        <v>0.31378799954456738</v>
      </c>
    </row>
    <row r="2758" spans="13:15" x14ac:dyDescent="0.3">
      <c r="M2758" s="35">
        <v>24.44</v>
      </c>
      <c r="N2758">
        <v>305</v>
      </c>
      <c r="O2758" s="34">
        <f t="shared" si="44"/>
        <v>0.31390185585789993</v>
      </c>
    </row>
    <row r="2759" spans="13:15" x14ac:dyDescent="0.3">
      <c r="M2759" s="35">
        <v>24.44</v>
      </c>
      <c r="N2759">
        <v>305</v>
      </c>
      <c r="O2759" s="34">
        <f t="shared" si="44"/>
        <v>0.31401571217123248</v>
      </c>
    </row>
    <row r="2760" spans="13:15" x14ac:dyDescent="0.3">
      <c r="M2760" s="35">
        <v>24.44</v>
      </c>
      <c r="N2760">
        <v>305</v>
      </c>
      <c r="O2760" s="34">
        <f t="shared" si="44"/>
        <v>0.31412956848456502</v>
      </c>
    </row>
    <row r="2761" spans="13:15" x14ac:dyDescent="0.3">
      <c r="M2761" s="35">
        <v>24.45</v>
      </c>
      <c r="N2761">
        <v>305</v>
      </c>
      <c r="O2761" s="34">
        <f t="shared" si="44"/>
        <v>0.31424342479789757</v>
      </c>
    </row>
    <row r="2762" spans="13:15" x14ac:dyDescent="0.3">
      <c r="M2762" s="35">
        <v>24.45</v>
      </c>
      <c r="N2762">
        <v>305</v>
      </c>
      <c r="O2762" s="34">
        <f t="shared" si="44"/>
        <v>0.31435728111123012</v>
      </c>
    </row>
    <row r="2763" spans="13:15" x14ac:dyDescent="0.3">
      <c r="M2763" s="35">
        <v>24.46</v>
      </c>
      <c r="N2763">
        <v>305</v>
      </c>
      <c r="O2763" s="34">
        <f t="shared" si="44"/>
        <v>0.31447113742456267</v>
      </c>
    </row>
    <row r="2764" spans="13:15" x14ac:dyDescent="0.3">
      <c r="M2764" s="35">
        <v>24.46</v>
      </c>
      <c r="N2764">
        <v>305</v>
      </c>
      <c r="O2764" s="34">
        <f t="shared" si="44"/>
        <v>0.31458499373789522</v>
      </c>
    </row>
    <row r="2765" spans="13:15" x14ac:dyDescent="0.3">
      <c r="M2765" s="35">
        <v>24.47</v>
      </c>
      <c r="N2765">
        <v>305</v>
      </c>
      <c r="O2765" s="34">
        <f t="shared" si="44"/>
        <v>0.31469885005122777</v>
      </c>
    </row>
    <row r="2766" spans="13:15" x14ac:dyDescent="0.3">
      <c r="M2766" s="35">
        <v>24.47</v>
      </c>
      <c r="N2766">
        <v>305</v>
      </c>
      <c r="O2766" s="34">
        <f t="shared" si="44"/>
        <v>0.31481270636456032</v>
      </c>
    </row>
    <row r="2767" spans="13:15" x14ac:dyDescent="0.3">
      <c r="M2767" s="35">
        <v>24.47</v>
      </c>
      <c r="N2767">
        <v>305</v>
      </c>
      <c r="O2767" s="34">
        <f t="shared" si="44"/>
        <v>0.31492656267789287</v>
      </c>
    </row>
    <row r="2768" spans="13:15" x14ac:dyDescent="0.3">
      <c r="M2768" s="35">
        <v>24.48</v>
      </c>
      <c r="N2768">
        <v>305</v>
      </c>
      <c r="O2768" s="34">
        <f t="shared" si="44"/>
        <v>0.31504041899122542</v>
      </c>
    </row>
    <row r="2769" spans="13:15" x14ac:dyDescent="0.3">
      <c r="M2769" s="35">
        <v>24.49</v>
      </c>
      <c r="N2769">
        <v>305</v>
      </c>
      <c r="O2769" s="34">
        <f t="shared" si="44"/>
        <v>0.31515427530455797</v>
      </c>
    </row>
    <row r="2770" spans="13:15" x14ac:dyDescent="0.3">
      <c r="M2770" s="35">
        <v>24.49</v>
      </c>
      <c r="N2770">
        <v>305</v>
      </c>
      <c r="O2770" s="34">
        <f t="shared" si="44"/>
        <v>0.31526813161789052</v>
      </c>
    </row>
    <row r="2771" spans="13:15" x14ac:dyDescent="0.3">
      <c r="M2771" s="35">
        <v>24.5</v>
      </c>
      <c r="N2771">
        <v>305</v>
      </c>
      <c r="O2771" s="34">
        <f t="shared" si="44"/>
        <v>0.31538198793122307</v>
      </c>
    </row>
    <row r="2772" spans="13:15" x14ac:dyDescent="0.3">
      <c r="M2772" s="35">
        <v>24.5</v>
      </c>
      <c r="N2772">
        <v>305</v>
      </c>
      <c r="O2772" s="34">
        <f t="shared" si="44"/>
        <v>0.31549584424455562</v>
      </c>
    </row>
    <row r="2773" spans="13:15" x14ac:dyDescent="0.3">
      <c r="M2773" s="35">
        <v>24.51</v>
      </c>
      <c r="N2773">
        <v>305</v>
      </c>
      <c r="O2773" s="34">
        <f t="shared" si="44"/>
        <v>0.31560970055788817</v>
      </c>
    </row>
    <row r="2774" spans="13:15" x14ac:dyDescent="0.3">
      <c r="M2774" s="35">
        <v>24.51</v>
      </c>
      <c r="N2774">
        <v>305</v>
      </c>
      <c r="O2774" s="34">
        <f t="shared" si="44"/>
        <v>0.31572355687122072</v>
      </c>
    </row>
    <row r="2775" spans="13:15" x14ac:dyDescent="0.3">
      <c r="M2775" s="35">
        <v>24.51</v>
      </c>
      <c r="N2775">
        <v>305</v>
      </c>
      <c r="O2775" s="34">
        <f t="shared" si="44"/>
        <v>0.31583741318455327</v>
      </c>
    </row>
    <row r="2776" spans="13:15" x14ac:dyDescent="0.3">
      <c r="M2776" s="35">
        <v>24.51</v>
      </c>
      <c r="N2776">
        <v>305</v>
      </c>
      <c r="O2776" s="34">
        <f t="shared" si="44"/>
        <v>0.31595126949788582</v>
      </c>
    </row>
    <row r="2777" spans="13:15" x14ac:dyDescent="0.3">
      <c r="M2777" s="35">
        <v>24.51</v>
      </c>
      <c r="N2777">
        <v>305</v>
      </c>
      <c r="O2777" s="34">
        <f t="shared" si="44"/>
        <v>0.31606512581121837</v>
      </c>
    </row>
    <row r="2778" spans="13:15" x14ac:dyDescent="0.3">
      <c r="M2778" s="35">
        <v>24.52</v>
      </c>
      <c r="N2778">
        <v>305</v>
      </c>
      <c r="O2778" s="34">
        <f t="shared" si="44"/>
        <v>0.31617898212455092</v>
      </c>
    </row>
    <row r="2779" spans="13:15" x14ac:dyDescent="0.3">
      <c r="M2779" s="35">
        <v>24.52</v>
      </c>
      <c r="N2779">
        <v>305</v>
      </c>
      <c r="O2779" s="34">
        <f t="shared" si="44"/>
        <v>0.31629283843788347</v>
      </c>
    </row>
    <row r="2780" spans="13:15" x14ac:dyDescent="0.3">
      <c r="M2780" s="35">
        <v>24.52</v>
      </c>
      <c r="N2780">
        <v>305</v>
      </c>
      <c r="O2780" s="34">
        <f t="shared" si="44"/>
        <v>0.31640669475121602</v>
      </c>
    </row>
    <row r="2781" spans="13:15" x14ac:dyDescent="0.3">
      <c r="M2781" s="35">
        <v>24.52</v>
      </c>
      <c r="N2781">
        <v>305</v>
      </c>
      <c r="O2781" s="34">
        <f t="shared" si="44"/>
        <v>0.31652055106454857</v>
      </c>
    </row>
    <row r="2782" spans="13:15" x14ac:dyDescent="0.3">
      <c r="M2782" s="35">
        <v>24.53</v>
      </c>
      <c r="N2782">
        <v>305</v>
      </c>
      <c r="O2782" s="34">
        <f t="shared" si="44"/>
        <v>0.31663440737788112</v>
      </c>
    </row>
    <row r="2783" spans="13:15" x14ac:dyDescent="0.3">
      <c r="M2783" s="35">
        <v>24.53</v>
      </c>
      <c r="N2783">
        <v>305</v>
      </c>
      <c r="O2783" s="34">
        <f t="shared" si="44"/>
        <v>0.31674826369121367</v>
      </c>
    </row>
    <row r="2784" spans="13:15" x14ac:dyDescent="0.3">
      <c r="M2784" s="35">
        <v>24.54</v>
      </c>
      <c r="N2784">
        <v>305</v>
      </c>
      <c r="O2784" s="34">
        <f t="shared" si="44"/>
        <v>0.31686212000454622</v>
      </c>
    </row>
    <row r="2785" spans="13:15" x14ac:dyDescent="0.3">
      <c r="M2785" s="35">
        <v>24.54</v>
      </c>
      <c r="N2785">
        <v>305</v>
      </c>
      <c r="O2785" s="34">
        <f t="shared" si="44"/>
        <v>0.31697597631787877</v>
      </c>
    </row>
    <row r="2786" spans="13:15" x14ac:dyDescent="0.3">
      <c r="M2786" s="35">
        <v>24.55</v>
      </c>
      <c r="N2786">
        <v>305</v>
      </c>
      <c r="O2786" s="34">
        <f t="shared" si="44"/>
        <v>0.31708983263121132</v>
      </c>
    </row>
    <row r="2787" spans="13:15" x14ac:dyDescent="0.3">
      <c r="M2787" s="35">
        <v>24.55</v>
      </c>
      <c r="N2787">
        <v>305</v>
      </c>
      <c r="O2787" s="34">
        <f t="shared" si="44"/>
        <v>0.31720368894454387</v>
      </c>
    </row>
    <row r="2788" spans="13:15" x14ac:dyDescent="0.3">
      <c r="M2788" s="35">
        <v>24.55</v>
      </c>
      <c r="N2788">
        <v>305</v>
      </c>
      <c r="O2788" s="34">
        <f t="shared" si="44"/>
        <v>0.31731754525787642</v>
      </c>
    </row>
    <row r="2789" spans="13:15" x14ac:dyDescent="0.3">
      <c r="M2789" s="35">
        <v>24.55</v>
      </c>
      <c r="N2789">
        <v>305</v>
      </c>
      <c r="O2789" s="34">
        <f t="shared" si="44"/>
        <v>0.31743140157120897</v>
      </c>
    </row>
    <row r="2790" spans="13:15" x14ac:dyDescent="0.3">
      <c r="M2790" s="35">
        <v>24.56</v>
      </c>
      <c r="N2790">
        <v>305</v>
      </c>
      <c r="O2790" s="34">
        <f t="shared" si="44"/>
        <v>0.31754525788454152</v>
      </c>
    </row>
    <row r="2791" spans="13:15" x14ac:dyDescent="0.3">
      <c r="M2791" s="35">
        <v>24.56</v>
      </c>
      <c r="N2791">
        <v>305</v>
      </c>
      <c r="O2791" s="34">
        <f t="shared" si="44"/>
        <v>0.31765911419787407</v>
      </c>
    </row>
    <row r="2792" spans="13:15" x14ac:dyDescent="0.3">
      <c r="M2792" s="35">
        <v>24.56</v>
      </c>
      <c r="N2792">
        <v>305</v>
      </c>
      <c r="O2792" s="34">
        <f t="shared" si="44"/>
        <v>0.31777297051120662</v>
      </c>
    </row>
    <row r="2793" spans="13:15" x14ac:dyDescent="0.3">
      <c r="M2793" s="35">
        <v>24.56</v>
      </c>
      <c r="N2793">
        <v>305</v>
      </c>
      <c r="O2793" s="34">
        <f t="shared" si="44"/>
        <v>0.31788682682453917</v>
      </c>
    </row>
    <row r="2794" spans="13:15" x14ac:dyDescent="0.3">
      <c r="M2794" s="35">
        <v>24.56</v>
      </c>
      <c r="N2794">
        <v>305</v>
      </c>
      <c r="O2794" s="34">
        <f t="shared" si="44"/>
        <v>0.31800068313787172</v>
      </c>
    </row>
    <row r="2795" spans="13:15" x14ac:dyDescent="0.3">
      <c r="M2795" s="35">
        <v>24.56</v>
      </c>
      <c r="N2795">
        <v>305</v>
      </c>
      <c r="O2795" s="34">
        <f t="shared" si="44"/>
        <v>0.31811453945120427</v>
      </c>
    </row>
    <row r="2796" spans="13:15" x14ac:dyDescent="0.3">
      <c r="M2796" s="35">
        <v>24.56</v>
      </c>
      <c r="N2796">
        <v>305</v>
      </c>
      <c r="O2796" s="34">
        <f t="shared" si="44"/>
        <v>0.31822839576453682</v>
      </c>
    </row>
    <row r="2797" spans="13:15" x14ac:dyDescent="0.3">
      <c r="M2797" s="35">
        <v>24.57</v>
      </c>
      <c r="N2797">
        <v>305</v>
      </c>
      <c r="O2797" s="34">
        <f t="shared" si="44"/>
        <v>0.31834225207786937</v>
      </c>
    </row>
    <row r="2798" spans="13:15" x14ac:dyDescent="0.3">
      <c r="M2798" s="35">
        <v>24.57</v>
      </c>
      <c r="N2798">
        <v>305</v>
      </c>
      <c r="O2798" s="34">
        <f t="shared" si="44"/>
        <v>0.31845610839120192</v>
      </c>
    </row>
    <row r="2799" spans="13:15" x14ac:dyDescent="0.3">
      <c r="M2799" s="35">
        <v>24.58</v>
      </c>
      <c r="N2799">
        <v>305</v>
      </c>
      <c r="O2799" s="34">
        <f t="shared" si="44"/>
        <v>0.31856996470453447</v>
      </c>
    </row>
    <row r="2800" spans="13:15" x14ac:dyDescent="0.3">
      <c r="M2800" s="35">
        <v>24.58</v>
      </c>
      <c r="N2800">
        <v>305</v>
      </c>
      <c r="O2800" s="34">
        <f t="shared" si="44"/>
        <v>0.31868382101786702</v>
      </c>
    </row>
    <row r="2801" spans="13:15" x14ac:dyDescent="0.3">
      <c r="M2801" s="35">
        <v>24.58</v>
      </c>
      <c r="N2801">
        <v>305</v>
      </c>
      <c r="O2801" s="34">
        <f t="shared" si="44"/>
        <v>0.31879767733119957</v>
      </c>
    </row>
    <row r="2802" spans="13:15" x14ac:dyDescent="0.3">
      <c r="M2802" s="35">
        <v>24.58</v>
      </c>
      <c r="N2802">
        <v>305</v>
      </c>
      <c r="O2802" s="34">
        <f t="shared" si="44"/>
        <v>0.31891153364453212</v>
      </c>
    </row>
    <row r="2803" spans="13:15" x14ac:dyDescent="0.3">
      <c r="M2803" s="35">
        <v>24.58</v>
      </c>
      <c r="N2803">
        <v>305</v>
      </c>
      <c r="O2803" s="34">
        <f t="shared" si="44"/>
        <v>0.31902538995786467</v>
      </c>
    </row>
    <row r="2804" spans="13:15" x14ac:dyDescent="0.3">
      <c r="M2804" s="35">
        <v>24.58</v>
      </c>
      <c r="N2804">
        <v>305</v>
      </c>
      <c r="O2804" s="34">
        <f t="shared" si="44"/>
        <v>0.31913924627119722</v>
      </c>
    </row>
    <row r="2805" spans="13:15" x14ac:dyDescent="0.3">
      <c r="M2805" s="35">
        <v>24.58</v>
      </c>
      <c r="N2805">
        <v>305</v>
      </c>
      <c r="O2805" s="34">
        <f t="shared" si="44"/>
        <v>0.31925310258452977</v>
      </c>
    </row>
    <row r="2806" spans="13:15" x14ac:dyDescent="0.3">
      <c r="M2806" s="35">
        <v>24.58</v>
      </c>
      <c r="N2806">
        <v>305</v>
      </c>
      <c r="O2806" s="34">
        <f t="shared" si="44"/>
        <v>0.31936695889786232</v>
      </c>
    </row>
    <row r="2807" spans="13:15" x14ac:dyDescent="0.3">
      <c r="M2807" s="35">
        <v>24.59</v>
      </c>
      <c r="N2807">
        <v>305</v>
      </c>
      <c r="O2807" s="34">
        <f t="shared" si="44"/>
        <v>0.31948081521119487</v>
      </c>
    </row>
    <row r="2808" spans="13:15" x14ac:dyDescent="0.3">
      <c r="M2808" s="35">
        <v>24.59</v>
      </c>
      <c r="N2808">
        <v>305</v>
      </c>
      <c r="O2808" s="34">
        <f t="shared" si="44"/>
        <v>0.31959467152452742</v>
      </c>
    </row>
    <row r="2809" spans="13:15" x14ac:dyDescent="0.3">
      <c r="M2809" s="35">
        <v>24.59</v>
      </c>
      <c r="N2809">
        <v>305</v>
      </c>
      <c r="O2809" s="34">
        <f t="shared" si="44"/>
        <v>0.31970852783785997</v>
      </c>
    </row>
    <row r="2810" spans="13:15" x14ac:dyDescent="0.3">
      <c r="M2810" s="35">
        <v>24.59</v>
      </c>
      <c r="N2810">
        <v>305</v>
      </c>
      <c r="O2810" s="34">
        <f t="shared" si="44"/>
        <v>0.31982238415119252</v>
      </c>
    </row>
    <row r="2811" spans="13:15" x14ac:dyDescent="0.3">
      <c r="M2811" s="35">
        <v>24.59</v>
      </c>
      <c r="N2811">
        <v>305</v>
      </c>
      <c r="O2811" s="34">
        <f t="shared" si="44"/>
        <v>0.31993624046452507</v>
      </c>
    </row>
    <row r="2812" spans="13:15" x14ac:dyDescent="0.3">
      <c r="M2812" s="35">
        <v>24.6</v>
      </c>
      <c r="N2812">
        <v>305</v>
      </c>
      <c r="O2812" s="34">
        <f t="shared" si="44"/>
        <v>0.32005009677785762</v>
      </c>
    </row>
    <row r="2813" spans="13:15" x14ac:dyDescent="0.3">
      <c r="M2813" s="35">
        <v>24.6</v>
      </c>
      <c r="N2813">
        <v>305</v>
      </c>
      <c r="O2813" s="34">
        <f t="shared" si="44"/>
        <v>0.32016395309119017</v>
      </c>
    </row>
    <row r="2814" spans="13:15" x14ac:dyDescent="0.3">
      <c r="M2814" s="35">
        <v>24.61</v>
      </c>
      <c r="N2814">
        <v>305</v>
      </c>
      <c r="O2814" s="34">
        <f t="shared" si="44"/>
        <v>0.32027780940452272</v>
      </c>
    </row>
    <row r="2815" spans="13:15" x14ac:dyDescent="0.3">
      <c r="M2815" s="35">
        <v>24.61</v>
      </c>
      <c r="N2815">
        <v>305</v>
      </c>
      <c r="O2815" s="34">
        <f t="shared" si="44"/>
        <v>0.32039166571785527</v>
      </c>
    </row>
    <row r="2816" spans="13:15" x14ac:dyDescent="0.3">
      <c r="M2816" s="35">
        <v>24.61</v>
      </c>
      <c r="N2816">
        <v>305</v>
      </c>
      <c r="O2816" s="34">
        <f t="shared" si="44"/>
        <v>0.32050552203118782</v>
      </c>
    </row>
    <row r="2817" spans="13:15" x14ac:dyDescent="0.3">
      <c r="M2817" s="35">
        <v>24.61</v>
      </c>
      <c r="N2817">
        <v>305</v>
      </c>
      <c r="O2817" s="34">
        <f t="shared" si="44"/>
        <v>0.32061937834452037</v>
      </c>
    </row>
    <row r="2818" spans="13:15" x14ac:dyDescent="0.3">
      <c r="M2818" s="35">
        <v>24.61</v>
      </c>
      <c r="N2818">
        <v>305</v>
      </c>
      <c r="O2818" s="34">
        <f t="shared" si="44"/>
        <v>0.32073323465785292</v>
      </c>
    </row>
    <row r="2819" spans="13:15" x14ac:dyDescent="0.3">
      <c r="M2819" s="35">
        <v>24.61</v>
      </c>
      <c r="N2819">
        <v>305</v>
      </c>
      <c r="O2819" s="34">
        <f t="shared" si="44"/>
        <v>0.32084709097118547</v>
      </c>
    </row>
    <row r="2820" spans="13:15" x14ac:dyDescent="0.3">
      <c r="M2820" s="35">
        <v>24.61</v>
      </c>
      <c r="N2820">
        <v>305</v>
      </c>
      <c r="O2820" s="34">
        <f t="shared" ref="O2820:O2883" si="45">O2819+O$2</f>
        <v>0.32096094728451802</v>
      </c>
    </row>
    <row r="2821" spans="13:15" x14ac:dyDescent="0.3">
      <c r="M2821" s="35">
        <v>24.62</v>
      </c>
      <c r="N2821">
        <v>305</v>
      </c>
      <c r="O2821" s="34">
        <f t="shared" si="45"/>
        <v>0.32107480359785057</v>
      </c>
    </row>
    <row r="2822" spans="13:15" x14ac:dyDescent="0.3">
      <c r="M2822" s="35">
        <v>24.62</v>
      </c>
      <c r="N2822">
        <v>305</v>
      </c>
      <c r="O2822" s="34">
        <f t="shared" si="45"/>
        <v>0.32118865991118312</v>
      </c>
    </row>
    <row r="2823" spans="13:15" x14ac:dyDescent="0.3">
      <c r="M2823" s="35">
        <v>24.63</v>
      </c>
      <c r="N2823">
        <v>305</v>
      </c>
      <c r="O2823" s="34">
        <f t="shared" si="45"/>
        <v>0.32130251622451567</v>
      </c>
    </row>
    <row r="2824" spans="13:15" x14ac:dyDescent="0.3">
      <c r="M2824" s="35">
        <v>24.63</v>
      </c>
      <c r="N2824">
        <v>305</v>
      </c>
      <c r="O2824" s="34">
        <f t="shared" si="45"/>
        <v>0.32141637253784822</v>
      </c>
    </row>
    <row r="2825" spans="13:15" x14ac:dyDescent="0.3">
      <c r="M2825" s="35">
        <v>24.64</v>
      </c>
      <c r="N2825">
        <v>305</v>
      </c>
      <c r="O2825" s="34">
        <f t="shared" si="45"/>
        <v>0.32153022885118077</v>
      </c>
    </row>
    <row r="2826" spans="13:15" x14ac:dyDescent="0.3">
      <c r="M2826" s="35">
        <v>24.64</v>
      </c>
      <c r="N2826">
        <v>305</v>
      </c>
      <c r="O2826" s="34">
        <f t="shared" si="45"/>
        <v>0.32164408516451332</v>
      </c>
    </row>
    <row r="2827" spans="13:15" x14ac:dyDescent="0.3">
      <c r="M2827" s="35">
        <v>24.64</v>
      </c>
      <c r="N2827">
        <v>305</v>
      </c>
      <c r="O2827" s="34">
        <f t="shared" si="45"/>
        <v>0.32175794147784587</v>
      </c>
    </row>
    <row r="2828" spans="13:15" x14ac:dyDescent="0.3">
      <c r="M2828" s="35">
        <v>24.64</v>
      </c>
      <c r="N2828">
        <v>305</v>
      </c>
      <c r="O2828" s="34">
        <f t="shared" si="45"/>
        <v>0.32187179779117842</v>
      </c>
    </row>
    <row r="2829" spans="13:15" x14ac:dyDescent="0.3">
      <c r="M2829" s="35">
        <v>24.64</v>
      </c>
      <c r="N2829">
        <v>305</v>
      </c>
      <c r="O2829" s="34">
        <f t="shared" si="45"/>
        <v>0.32198565410451097</v>
      </c>
    </row>
    <row r="2830" spans="13:15" x14ac:dyDescent="0.3">
      <c r="M2830" s="35">
        <v>24.65</v>
      </c>
      <c r="N2830">
        <v>305</v>
      </c>
      <c r="O2830" s="34">
        <f t="shared" si="45"/>
        <v>0.32209951041784352</v>
      </c>
    </row>
    <row r="2831" spans="13:15" x14ac:dyDescent="0.3">
      <c r="M2831" s="35">
        <v>24.65</v>
      </c>
      <c r="N2831">
        <v>305</v>
      </c>
      <c r="O2831" s="34">
        <f t="shared" si="45"/>
        <v>0.32221336673117607</v>
      </c>
    </row>
    <row r="2832" spans="13:15" x14ac:dyDescent="0.3">
      <c r="M2832" s="35">
        <v>24.65</v>
      </c>
      <c r="N2832">
        <v>305</v>
      </c>
      <c r="O2832" s="34">
        <f t="shared" si="45"/>
        <v>0.32232722304450862</v>
      </c>
    </row>
    <row r="2833" spans="13:15" x14ac:dyDescent="0.3">
      <c r="M2833" s="35">
        <v>24.65</v>
      </c>
      <c r="N2833">
        <v>305</v>
      </c>
      <c r="O2833" s="34">
        <f t="shared" si="45"/>
        <v>0.32244107935784116</v>
      </c>
    </row>
    <row r="2834" spans="13:15" x14ac:dyDescent="0.3">
      <c r="M2834" s="35">
        <v>24.66</v>
      </c>
      <c r="N2834">
        <v>305</v>
      </c>
      <c r="O2834" s="34">
        <f t="shared" si="45"/>
        <v>0.32255493567117371</v>
      </c>
    </row>
    <row r="2835" spans="13:15" x14ac:dyDescent="0.3">
      <c r="M2835" s="35">
        <v>24.67</v>
      </c>
      <c r="N2835">
        <v>305</v>
      </c>
      <c r="O2835" s="34">
        <f t="shared" si="45"/>
        <v>0.32266879198450626</v>
      </c>
    </row>
    <row r="2836" spans="13:15" x14ac:dyDescent="0.3">
      <c r="M2836" s="35">
        <v>24.67</v>
      </c>
      <c r="N2836">
        <v>305</v>
      </c>
      <c r="O2836" s="34">
        <f t="shared" si="45"/>
        <v>0.32278264829783881</v>
      </c>
    </row>
    <row r="2837" spans="13:15" x14ac:dyDescent="0.3">
      <c r="M2837" s="35">
        <v>24.68</v>
      </c>
      <c r="N2837">
        <v>305</v>
      </c>
      <c r="O2837" s="34">
        <f t="shared" si="45"/>
        <v>0.32289650461117136</v>
      </c>
    </row>
    <row r="2838" spans="13:15" x14ac:dyDescent="0.3">
      <c r="M2838" s="35">
        <v>24.68</v>
      </c>
      <c r="N2838">
        <v>305</v>
      </c>
      <c r="O2838" s="34">
        <f t="shared" si="45"/>
        <v>0.32301036092450391</v>
      </c>
    </row>
    <row r="2839" spans="13:15" x14ac:dyDescent="0.3">
      <c r="M2839" s="35">
        <v>24.68</v>
      </c>
      <c r="N2839">
        <v>305</v>
      </c>
      <c r="O2839" s="34">
        <f t="shared" si="45"/>
        <v>0.32312421723783646</v>
      </c>
    </row>
    <row r="2840" spans="13:15" x14ac:dyDescent="0.3">
      <c r="M2840" s="35">
        <v>24.68</v>
      </c>
      <c r="N2840">
        <v>305</v>
      </c>
      <c r="O2840" s="34">
        <f t="shared" si="45"/>
        <v>0.32323807355116901</v>
      </c>
    </row>
    <row r="2841" spans="13:15" x14ac:dyDescent="0.3">
      <c r="M2841" s="35">
        <v>24.68</v>
      </c>
      <c r="N2841">
        <v>305</v>
      </c>
      <c r="O2841" s="34">
        <f t="shared" si="45"/>
        <v>0.32335192986450156</v>
      </c>
    </row>
    <row r="2842" spans="13:15" x14ac:dyDescent="0.3">
      <c r="M2842" s="35">
        <v>24.69</v>
      </c>
      <c r="N2842">
        <v>305</v>
      </c>
      <c r="O2842" s="34">
        <f t="shared" si="45"/>
        <v>0.32346578617783411</v>
      </c>
    </row>
    <row r="2843" spans="13:15" x14ac:dyDescent="0.3">
      <c r="M2843" s="35">
        <v>24.69</v>
      </c>
      <c r="N2843">
        <v>305</v>
      </c>
      <c r="O2843" s="34">
        <f t="shared" si="45"/>
        <v>0.32357964249116666</v>
      </c>
    </row>
    <row r="2844" spans="13:15" x14ac:dyDescent="0.3">
      <c r="M2844" s="35">
        <v>24.69</v>
      </c>
      <c r="N2844">
        <v>305</v>
      </c>
      <c r="O2844" s="34">
        <f t="shared" si="45"/>
        <v>0.32369349880449921</v>
      </c>
    </row>
    <row r="2845" spans="13:15" x14ac:dyDescent="0.3">
      <c r="M2845" s="35">
        <v>24.7</v>
      </c>
      <c r="N2845">
        <v>305</v>
      </c>
      <c r="O2845" s="34">
        <f t="shared" si="45"/>
        <v>0.32380735511783176</v>
      </c>
    </row>
    <row r="2846" spans="13:15" x14ac:dyDescent="0.3">
      <c r="M2846" s="35">
        <v>24.7</v>
      </c>
      <c r="N2846">
        <v>305</v>
      </c>
      <c r="O2846" s="34">
        <f t="shared" si="45"/>
        <v>0.32392121143116431</v>
      </c>
    </row>
    <row r="2847" spans="13:15" x14ac:dyDescent="0.3">
      <c r="M2847" s="35">
        <v>24.7</v>
      </c>
      <c r="N2847">
        <v>305</v>
      </c>
      <c r="O2847" s="34">
        <f t="shared" si="45"/>
        <v>0.32403506774449686</v>
      </c>
    </row>
    <row r="2848" spans="13:15" x14ac:dyDescent="0.3">
      <c r="M2848" s="35">
        <v>24.71</v>
      </c>
      <c r="N2848">
        <v>305</v>
      </c>
      <c r="O2848" s="34">
        <f t="shared" si="45"/>
        <v>0.32414892405782941</v>
      </c>
    </row>
    <row r="2849" spans="13:15" x14ac:dyDescent="0.3">
      <c r="M2849" s="35">
        <v>24.72</v>
      </c>
      <c r="N2849">
        <v>305</v>
      </c>
      <c r="O2849" s="34">
        <f t="shared" si="45"/>
        <v>0.32426278037116196</v>
      </c>
    </row>
    <row r="2850" spans="13:15" x14ac:dyDescent="0.3">
      <c r="M2850" s="35">
        <v>24.72</v>
      </c>
      <c r="N2850">
        <v>305</v>
      </c>
      <c r="O2850" s="34">
        <f t="shared" si="45"/>
        <v>0.32437663668449451</v>
      </c>
    </row>
    <row r="2851" spans="13:15" x14ac:dyDescent="0.3">
      <c r="M2851" s="35">
        <v>24.72</v>
      </c>
      <c r="N2851">
        <v>305</v>
      </c>
      <c r="O2851" s="34">
        <f t="shared" si="45"/>
        <v>0.32449049299782706</v>
      </c>
    </row>
    <row r="2852" spans="13:15" x14ac:dyDescent="0.3">
      <c r="M2852" s="35">
        <v>24.73</v>
      </c>
      <c r="N2852">
        <v>305</v>
      </c>
      <c r="O2852" s="34">
        <f t="shared" si="45"/>
        <v>0.32460434931115961</v>
      </c>
    </row>
    <row r="2853" spans="13:15" x14ac:dyDescent="0.3">
      <c r="M2853" s="35">
        <v>24.73</v>
      </c>
      <c r="N2853">
        <v>305</v>
      </c>
      <c r="O2853" s="34">
        <f t="shared" si="45"/>
        <v>0.32471820562449216</v>
      </c>
    </row>
    <row r="2854" spans="13:15" x14ac:dyDescent="0.3">
      <c r="M2854" s="35">
        <v>24.74</v>
      </c>
      <c r="N2854">
        <v>305</v>
      </c>
      <c r="O2854" s="34">
        <f t="shared" si="45"/>
        <v>0.32483206193782471</v>
      </c>
    </row>
    <row r="2855" spans="13:15" x14ac:dyDescent="0.3">
      <c r="M2855" s="35">
        <v>24.74</v>
      </c>
      <c r="N2855">
        <v>305</v>
      </c>
      <c r="O2855" s="34">
        <f t="shared" si="45"/>
        <v>0.32494591825115726</v>
      </c>
    </row>
    <row r="2856" spans="13:15" x14ac:dyDescent="0.3">
      <c r="M2856" s="35">
        <v>24.75</v>
      </c>
      <c r="N2856">
        <v>305</v>
      </c>
      <c r="O2856" s="34">
        <f t="shared" si="45"/>
        <v>0.32505977456448981</v>
      </c>
    </row>
    <row r="2857" spans="13:15" x14ac:dyDescent="0.3">
      <c r="M2857" s="35">
        <v>24.76</v>
      </c>
      <c r="N2857">
        <v>305</v>
      </c>
      <c r="O2857" s="34">
        <f t="shared" si="45"/>
        <v>0.32517363087782236</v>
      </c>
    </row>
    <row r="2858" spans="13:15" x14ac:dyDescent="0.3">
      <c r="M2858" s="35">
        <v>24.76</v>
      </c>
      <c r="N2858">
        <v>305</v>
      </c>
      <c r="O2858" s="34">
        <f t="shared" si="45"/>
        <v>0.32528748719115491</v>
      </c>
    </row>
    <row r="2859" spans="13:15" x14ac:dyDescent="0.3">
      <c r="M2859" s="35">
        <v>24.77</v>
      </c>
      <c r="N2859">
        <v>305</v>
      </c>
      <c r="O2859" s="34">
        <f t="shared" si="45"/>
        <v>0.32540134350448746</v>
      </c>
    </row>
    <row r="2860" spans="13:15" x14ac:dyDescent="0.3">
      <c r="M2860" s="35">
        <v>24.77</v>
      </c>
      <c r="N2860">
        <v>305</v>
      </c>
      <c r="O2860" s="34">
        <f t="shared" si="45"/>
        <v>0.32551519981782001</v>
      </c>
    </row>
    <row r="2861" spans="13:15" x14ac:dyDescent="0.3">
      <c r="M2861" s="35">
        <v>24.77</v>
      </c>
      <c r="N2861">
        <v>305</v>
      </c>
      <c r="O2861" s="34">
        <f t="shared" si="45"/>
        <v>0.32562905613115256</v>
      </c>
    </row>
    <row r="2862" spans="13:15" x14ac:dyDescent="0.3">
      <c r="M2862" s="35">
        <v>24.77</v>
      </c>
      <c r="N2862">
        <v>305</v>
      </c>
      <c r="O2862" s="34">
        <f t="shared" si="45"/>
        <v>0.32574291244448511</v>
      </c>
    </row>
    <row r="2863" spans="13:15" x14ac:dyDescent="0.3">
      <c r="M2863" s="35">
        <v>24.77</v>
      </c>
      <c r="N2863">
        <v>305</v>
      </c>
      <c r="O2863" s="34">
        <f t="shared" si="45"/>
        <v>0.32585676875781766</v>
      </c>
    </row>
    <row r="2864" spans="13:15" x14ac:dyDescent="0.3">
      <c r="M2864" s="35">
        <v>24.78</v>
      </c>
      <c r="N2864">
        <v>305</v>
      </c>
      <c r="O2864" s="34">
        <f t="shared" si="45"/>
        <v>0.32597062507115021</v>
      </c>
    </row>
    <row r="2865" spans="13:15" x14ac:dyDescent="0.3">
      <c r="M2865" s="35">
        <v>24.79</v>
      </c>
      <c r="N2865">
        <v>305</v>
      </c>
      <c r="O2865" s="34">
        <f t="shared" si="45"/>
        <v>0.32608448138448276</v>
      </c>
    </row>
    <row r="2866" spans="13:15" x14ac:dyDescent="0.3">
      <c r="M2866" s="35">
        <v>24.79</v>
      </c>
      <c r="N2866">
        <v>305</v>
      </c>
      <c r="O2866" s="34">
        <f t="shared" si="45"/>
        <v>0.32619833769781531</v>
      </c>
    </row>
    <row r="2867" spans="13:15" x14ac:dyDescent="0.3">
      <c r="M2867" s="35">
        <v>24.79</v>
      </c>
      <c r="N2867">
        <v>305</v>
      </c>
      <c r="O2867" s="34">
        <f t="shared" si="45"/>
        <v>0.32631219401114786</v>
      </c>
    </row>
    <row r="2868" spans="13:15" x14ac:dyDescent="0.3">
      <c r="M2868" s="35">
        <v>24.79</v>
      </c>
      <c r="N2868">
        <v>305</v>
      </c>
      <c r="O2868" s="34">
        <f t="shared" si="45"/>
        <v>0.32642605032448041</v>
      </c>
    </row>
    <row r="2869" spans="13:15" x14ac:dyDescent="0.3">
      <c r="M2869" s="35">
        <v>24.8</v>
      </c>
      <c r="N2869">
        <v>305</v>
      </c>
      <c r="O2869" s="34">
        <f t="shared" si="45"/>
        <v>0.32653990663781296</v>
      </c>
    </row>
    <row r="2870" spans="13:15" x14ac:dyDescent="0.3">
      <c r="M2870" s="35">
        <v>24.8</v>
      </c>
      <c r="N2870">
        <v>305</v>
      </c>
      <c r="O2870" s="34">
        <f t="shared" si="45"/>
        <v>0.32665376295114551</v>
      </c>
    </row>
    <row r="2871" spans="13:15" x14ac:dyDescent="0.3">
      <c r="M2871" s="35">
        <v>24.8</v>
      </c>
      <c r="N2871">
        <v>305</v>
      </c>
      <c r="O2871" s="34">
        <f t="shared" si="45"/>
        <v>0.32676761926447806</v>
      </c>
    </row>
    <row r="2872" spans="13:15" x14ac:dyDescent="0.3">
      <c r="M2872" s="35">
        <v>24.81</v>
      </c>
      <c r="N2872">
        <v>305</v>
      </c>
      <c r="O2872" s="34">
        <f t="shared" si="45"/>
        <v>0.32688147557781061</v>
      </c>
    </row>
    <row r="2873" spans="13:15" x14ac:dyDescent="0.3">
      <c r="M2873" s="35">
        <v>24.81</v>
      </c>
      <c r="N2873">
        <v>305</v>
      </c>
      <c r="O2873" s="34">
        <f t="shared" si="45"/>
        <v>0.32699533189114316</v>
      </c>
    </row>
    <row r="2874" spans="13:15" x14ac:dyDescent="0.3">
      <c r="M2874" s="35">
        <v>24.81</v>
      </c>
      <c r="N2874">
        <v>305</v>
      </c>
      <c r="O2874" s="34">
        <f t="shared" si="45"/>
        <v>0.32710918820447571</v>
      </c>
    </row>
    <row r="2875" spans="13:15" x14ac:dyDescent="0.3">
      <c r="M2875" s="35">
        <v>24.82</v>
      </c>
      <c r="N2875">
        <v>305</v>
      </c>
      <c r="O2875" s="34">
        <f t="shared" si="45"/>
        <v>0.32722304451780826</v>
      </c>
    </row>
    <row r="2876" spans="13:15" x14ac:dyDescent="0.3">
      <c r="M2876" s="35">
        <v>24.83</v>
      </c>
      <c r="N2876">
        <v>305</v>
      </c>
      <c r="O2876" s="34">
        <f t="shared" si="45"/>
        <v>0.32733690083114081</v>
      </c>
    </row>
    <row r="2877" spans="13:15" x14ac:dyDescent="0.3">
      <c r="M2877" s="35">
        <v>24.83</v>
      </c>
      <c r="N2877">
        <v>305</v>
      </c>
      <c r="O2877" s="34">
        <f t="shared" si="45"/>
        <v>0.32745075714447336</v>
      </c>
    </row>
    <row r="2878" spans="13:15" x14ac:dyDescent="0.3">
      <c r="M2878" s="35">
        <v>24.84</v>
      </c>
      <c r="N2878">
        <v>305</v>
      </c>
      <c r="O2878" s="34">
        <f t="shared" si="45"/>
        <v>0.32756461345780591</v>
      </c>
    </row>
    <row r="2879" spans="13:15" x14ac:dyDescent="0.3">
      <c r="M2879" s="35">
        <v>24.84</v>
      </c>
      <c r="N2879">
        <v>305</v>
      </c>
      <c r="O2879" s="34">
        <f t="shared" si="45"/>
        <v>0.32767846977113846</v>
      </c>
    </row>
    <row r="2880" spans="13:15" x14ac:dyDescent="0.3">
      <c r="M2880" s="35">
        <v>24.84</v>
      </c>
      <c r="N2880">
        <v>305</v>
      </c>
      <c r="O2880" s="34">
        <f t="shared" si="45"/>
        <v>0.32779232608447101</v>
      </c>
    </row>
    <row r="2881" spans="13:15" x14ac:dyDescent="0.3">
      <c r="M2881" s="35">
        <v>24.84</v>
      </c>
      <c r="N2881">
        <v>305</v>
      </c>
      <c r="O2881" s="34">
        <f t="shared" si="45"/>
        <v>0.32790618239780356</v>
      </c>
    </row>
    <row r="2882" spans="13:15" x14ac:dyDescent="0.3">
      <c r="M2882" s="35">
        <v>24.85</v>
      </c>
      <c r="N2882">
        <v>305</v>
      </c>
      <c r="O2882" s="34">
        <f t="shared" si="45"/>
        <v>0.32802003871113611</v>
      </c>
    </row>
    <row r="2883" spans="13:15" x14ac:dyDescent="0.3">
      <c r="M2883" s="35">
        <v>24.85</v>
      </c>
      <c r="N2883">
        <v>305</v>
      </c>
      <c r="O2883" s="34">
        <f t="shared" si="45"/>
        <v>0.32813389502446866</v>
      </c>
    </row>
    <row r="2884" spans="13:15" x14ac:dyDescent="0.3">
      <c r="M2884" s="35">
        <v>24.86</v>
      </c>
      <c r="N2884">
        <v>305</v>
      </c>
      <c r="O2884" s="34">
        <f t="shared" ref="O2884:O2947" si="46">O2883+O$2</f>
        <v>0.32824775133780121</v>
      </c>
    </row>
    <row r="2885" spans="13:15" x14ac:dyDescent="0.3">
      <c r="M2885" s="35">
        <v>24.87</v>
      </c>
      <c r="N2885">
        <v>305</v>
      </c>
      <c r="O2885" s="34">
        <f t="shared" si="46"/>
        <v>0.32836160765113376</v>
      </c>
    </row>
    <row r="2886" spans="13:15" x14ac:dyDescent="0.3">
      <c r="M2886" s="35">
        <v>24.87</v>
      </c>
      <c r="N2886">
        <v>305</v>
      </c>
      <c r="O2886" s="34">
        <f t="shared" si="46"/>
        <v>0.32847546396446631</v>
      </c>
    </row>
    <row r="2887" spans="13:15" x14ac:dyDescent="0.3">
      <c r="M2887" s="35">
        <v>24.87</v>
      </c>
      <c r="N2887">
        <v>305</v>
      </c>
      <c r="O2887" s="34">
        <f t="shared" si="46"/>
        <v>0.32858932027779886</v>
      </c>
    </row>
    <row r="2888" spans="13:15" x14ac:dyDescent="0.3">
      <c r="M2888" s="35">
        <v>24.88</v>
      </c>
      <c r="N2888">
        <v>305</v>
      </c>
      <c r="O2888" s="34">
        <f t="shared" si="46"/>
        <v>0.32870317659113141</v>
      </c>
    </row>
    <row r="2889" spans="13:15" x14ac:dyDescent="0.3">
      <c r="M2889" s="35">
        <v>24.88</v>
      </c>
      <c r="N2889">
        <v>305</v>
      </c>
      <c r="O2889" s="34">
        <f t="shared" si="46"/>
        <v>0.32881703290446396</v>
      </c>
    </row>
    <row r="2890" spans="13:15" x14ac:dyDescent="0.3">
      <c r="M2890" s="35">
        <v>24.89</v>
      </c>
      <c r="N2890">
        <v>305</v>
      </c>
      <c r="O2890" s="34">
        <f t="shared" si="46"/>
        <v>0.32893088921779651</v>
      </c>
    </row>
    <row r="2891" spans="13:15" x14ac:dyDescent="0.3">
      <c r="M2891" s="35">
        <v>24.89</v>
      </c>
      <c r="N2891">
        <v>305</v>
      </c>
      <c r="O2891" s="34">
        <f t="shared" si="46"/>
        <v>0.32904474553112906</v>
      </c>
    </row>
    <row r="2892" spans="13:15" x14ac:dyDescent="0.3">
      <c r="M2892" s="35">
        <v>24.9</v>
      </c>
      <c r="N2892">
        <v>305</v>
      </c>
      <c r="O2892" s="34">
        <f t="shared" si="46"/>
        <v>0.32915860184446161</v>
      </c>
    </row>
    <row r="2893" spans="13:15" x14ac:dyDescent="0.3">
      <c r="M2893" s="35">
        <v>24.9</v>
      </c>
      <c r="N2893">
        <v>305</v>
      </c>
      <c r="O2893" s="34">
        <f t="shared" si="46"/>
        <v>0.32927245815779416</v>
      </c>
    </row>
    <row r="2894" spans="13:15" x14ac:dyDescent="0.3">
      <c r="M2894" s="35">
        <v>24.9</v>
      </c>
      <c r="N2894">
        <v>305</v>
      </c>
      <c r="O2894" s="34">
        <f t="shared" si="46"/>
        <v>0.32938631447112671</v>
      </c>
    </row>
    <row r="2895" spans="13:15" x14ac:dyDescent="0.3">
      <c r="M2895" s="35">
        <v>24.9</v>
      </c>
      <c r="N2895">
        <v>305</v>
      </c>
      <c r="O2895" s="34">
        <f t="shared" si="46"/>
        <v>0.32950017078445926</v>
      </c>
    </row>
    <row r="2896" spans="13:15" x14ac:dyDescent="0.3">
      <c r="M2896" s="35">
        <v>24.91</v>
      </c>
      <c r="N2896">
        <v>305</v>
      </c>
      <c r="O2896" s="34">
        <f t="shared" si="46"/>
        <v>0.32961402709779181</v>
      </c>
    </row>
    <row r="2897" spans="13:15" x14ac:dyDescent="0.3">
      <c r="M2897" s="35">
        <v>24.91</v>
      </c>
      <c r="N2897">
        <v>305</v>
      </c>
      <c r="O2897" s="34">
        <f t="shared" si="46"/>
        <v>0.32972788341112436</v>
      </c>
    </row>
    <row r="2898" spans="13:15" x14ac:dyDescent="0.3">
      <c r="M2898" s="35">
        <v>24.91</v>
      </c>
      <c r="N2898">
        <v>305</v>
      </c>
      <c r="O2898" s="34">
        <f t="shared" si="46"/>
        <v>0.32984173972445691</v>
      </c>
    </row>
    <row r="2899" spans="13:15" x14ac:dyDescent="0.3">
      <c r="M2899" s="35">
        <v>24.91</v>
      </c>
      <c r="N2899">
        <v>305</v>
      </c>
      <c r="O2899" s="34">
        <f t="shared" si="46"/>
        <v>0.32995559603778946</v>
      </c>
    </row>
    <row r="2900" spans="13:15" x14ac:dyDescent="0.3">
      <c r="M2900" s="35">
        <v>24.91</v>
      </c>
      <c r="N2900">
        <v>305</v>
      </c>
      <c r="O2900" s="34">
        <f t="shared" si="46"/>
        <v>0.33006945235112201</v>
      </c>
    </row>
    <row r="2901" spans="13:15" x14ac:dyDescent="0.3">
      <c r="M2901" s="35">
        <v>24.92</v>
      </c>
      <c r="N2901">
        <v>305</v>
      </c>
      <c r="O2901" s="34">
        <f t="shared" si="46"/>
        <v>0.33018330866445456</v>
      </c>
    </row>
    <row r="2902" spans="13:15" x14ac:dyDescent="0.3">
      <c r="M2902" s="35">
        <v>24.92</v>
      </c>
      <c r="N2902">
        <v>305</v>
      </c>
      <c r="O2902" s="34">
        <f t="shared" si="46"/>
        <v>0.33029716497778711</v>
      </c>
    </row>
    <row r="2903" spans="13:15" x14ac:dyDescent="0.3">
      <c r="M2903" s="35">
        <v>24.92</v>
      </c>
      <c r="N2903">
        <v>305</v>
      </c>
      <c r="O2903" s="34">
        <f t="shared" si="46"/>
        <v>0.33041102129111966</v>
      </c>
    </row>
    <row r="2904" spans="13:15" x14ac:dyDescent="0.3">
      <c r="M2904" s="35">
        <v>24.92</v>
      </c>
      <c r="N2904">
        <v>305</v>
      </c>
      <c r="O2904" s="34">
        <f t="shared" si="46"/>
        <v>0.33052487760445221</v>
      </c>
    </row>
    <row r="2905" spans="13:15" x14ac:dyDescent="0.3">
      <c r="M2905" s="35">
        <v>24.94</v>
      </c>
      <c r="N2905">
        <v>305</v>
      </c>
      <c r="O2905" s="34">
        <f t="shared" si="46"/>
        <v>0.33063873391778476</v>
      </c>
    </row>
    <row r="2906" spans="13:15" x14ac:dyDescent="0.3">
      <c r="M2906" s="35">
        <v>24.94</v>
      </c>
      <c r="N2906">
        <v>305</v>
      </c>
      <c r="O2906" s="34">
        <f t="shared" si="46"/>
        <v>0.3307525902311173</v>
      </c>
    </row>
    <row r="2907" spans="13:15" x14ac:dyDescent="0.3">
      <c r="M2907" s="35">
        <v>24.94</v>
      </c>
      <c r="N2907">
        <v>305</v>
      </c>
      <c r="O2907" s="34">
        <f t="shared" si="46"/>
        <v>0.33086644654444985</v>
      </c>
    </row>
    <row r="2908" spans="13:15" x14ac:dyDescent="0.3">
      <c r="M2908" s="35">
        <v>24.94</v>
      </c>
      <c r="N2908">
        <v>305</v>
      </c>
      <c r="O2908" s="34">
        <f t="shared" si="46"/>
        <v>0.3309803028577824</v>
      </c>
    </row>
    <row r="2909" spans="13:15" x14ac:dyDescent="0.3">
      <c r="M2909" s="35">
        <v>24.94</v>
      </c>
      <c r="N2909">
        <v>305</v>
      </c>
      <c r="O2909" s="34">
        <f t="shared" si="46"/>
        <v>0.33109415917111495</v>
      </c>
    </row>
    <row r="2910" spans="13:15" x14ac:dyDescent="0.3">
      <c r="M2910" s="35">
        <v>24.94</v>
      </c>
      <c r="N2910">
        <v>305</v>
      </c>
      <c r="O2910" s="34">
        <f t="shared" si="46"/>
        <v>0.3312080154844475</v>
      </c>
    </row>
    <row r="2911" spans="13:15" x14ac:dyDescent="0.3">
      <c r="M2911" s="35">
        <v>24.94</v>
      </c>
      <c r="N2911">
        <v>305</v>
      </c>
      <c r="O2911" s="34">
        <f t="shared" si="46"/>
        <v>0.33132187179778005</v>
      </c>
    </row>
    <row r="2912" spans="13:15" x14ac:dyDescent="0.3">
      <c r="M2912" s="35">
        <v>24.95</v>
      </c>
      <c r="N2912">
        <v>305</v>
      </c>
      <c r="O2912" s="34">
        <f t="shared" si="46"/>
        <v>0.3314357281111126</v>
      </c>
    </row>
    <row r="2913" spans="13:15" x14ac:dyDescent="0.3">
      <c r="M2913" s="35">
        <v>24.95</v>
      </c>
      <c r="N2913">
        <v>305</v>
      </c>
      <c r="O2913" s="34">
        <f t="shared" si="46"/>
        <v>0.33154958442444515</v>
      </c>
    </row>
    <row r="2914" spans="13:15" x14ac:dyDescent="0.3">
      <c r="M2914" s="35">
        <v>24.95</v>
      </c>
      <c r="N2914">
        <v>305</v>
      </c>
      <c r="O2914" s="34">
        <f t="shared" si="46"/>
        <v>0.3316634407377777</v>
      </c>
    </row>
    <row r="2915" spans="13:15" x14ac:dyDescent="0.3">
      <c r="M2915" s="35">
        <v>24.95</v>
      </c>
      <c r="N2915">
        <v>305</v>
      </c>
      <c r="O2915" s="34">
        <f t="shared" si="46"/>
        <v>0.33177729705111025</v>
      </c>
    </row>
    <row r="2916" spans="13:15" x14ac:dyDescent="0.3">
      <c r="M2916" s="35">
        <v>24.96</v>
      </c>
      <c r="N2916">
        <v>305</v>
      </c>
      <c r="O2916" s="34">
        <f t="shared" si="46"/>
        <v>0.3318911533644428</v>
      </c>
    </row>
    <row r="2917" spans="13:15" x14ac:dyDescent="0.3">
      <c r="M2917" s="35">
        <v>24.97</v>
      </c>
      <c r="N2917">
        <v>305</v>
      </c>
      <c r="O2917" s="34">
        <f t="shared" si="46"/>
        <v>0.33200500967777535</v>
      </c>
    </row>
    <row r="2918" spans="13:15" x14ac:dyDescent="0.3">
      <c r="M2918" s="35">
        <v>24.97</v>
      </c>
      <c r="N2918">
        <v>305</v>
      </c>
      <c r="O2918" s="34">
        <f t="shared" si="46"/>
        <v>0.3321188659911079</v>
      </c>
    </row>
    <row r="2919" spans="13:15" x14ac:dyDescent="0.3">
      <c r="M2919" s="35">
        <v>24.97</v>
      </c>
      <c r="N2919">
        <v>305</v>
      </c>
      <c r="O2919" s="34">
        <f t="shared" si="46"/>
        <v>0.33223272230444045</v>
      </c>
    </row>
    <row r="2920" spans="13:15" x14ac:dyDescent="0.3">
      <c r="M2920" s="35">
        <v>24.97</v>
      </c>
      <c r="N2920">
        <v>305</v>
      </c>
      <c r="O2920" s="34">
        <f t="shared" si="46"/>
        <v>0.332346578617773</v>
      </c>
    </row>
    <row r="2921" spans="13:15" x14ac:dyDescent="0.3">
      <c r="M2921" s="35">
        <v>24.97</v>
      </c>
      <c r="N2921">
        <v>305</v>
      </c>
      <c r="O2921" s="34">
        <f t="shared" si="46"/>
        <v>0.33246043493110555</v>
      </c>
    </row>
    <row r="2922" spans="13:15" x14ac:dyDescent="0.3">
      <c r="M2922" s="35">
        <v>24.97</v>
      </c>
      <c r="N2922">
        <v>305</v>
      </c>
      <c r="O2922" s="34">
        <f t="shared" si="46"/>
        <v>0.3325742912444381</v>
      </c>
    </row>
    <row r="2923" spans="13:15" x14ac:dyDescent="0.3">
      <c r="M2923" s="35">
        <v>24.97</v>
      </c>
      <c r="N2923">
        <v>305</v>
      </c>
      <c r="O2923" s="34">
        <f t="shared" si="46"/>
        <v>0.33268814755777065</v>
      </c>
    </row>
    <row r="2924" spans="13:15" x14ac:dyDescent="0.3">
      <c r="M2924" s="35">
        <v>24.98</v>
      </c>
      <c r="N2924">
        <v>305</v>
      </c>
      <c r="O2924" s="34">
        <f t="shared" si="46"/>
        <v>0.3328020038711032</v>
      </c>
    </row>
    <row r="2925" spans="13:15" x14ac:dyDescent="0.3">
      <c r="M2925" s="35">
        <v>24.98</v>
      </c>
      <c r="N2925">
        <v>305</v>
      </c>
      <c r="O2925" s="34">
        <f t="shared" si="46"/>
        <v>0.33291586018443575</v>
      </c>
    </row>
    <row r="2926" spans="13:15" x14ac:dyDescent="0.3">
      <c r="M2926" s="35">
        <v>24.99</v>
      </c>
      <c r="N2926">
        <v>305</v>
      </c>
      <c r="O2926" s="34">
        <f t="shared" si="46"/>
        <v>0.3330297164977683</v>
      </c>
    </row>
    <row r="2927" spans="13:15" x14ac:dyDescent="0.3">
      <c r="M2927" s="35">
        <v>24.99</v>
      </c>
      <c r="N2927">
        <v>305</v>
      </c>
      <c r="O2927" s="34">
        <f t="shared" si="46"/>
        <v>0.33314357281110085</v>
      </c>
    </row>
    <row r="2928" spans="13:15" x14ac:dyDescent="0.3">
      <c r="M2928" s="35">
        <v>24.99</v>
      </c>
      <c r="N2928">
        <v>305</v>
      </c>
      <c r="O2928" s="34">
        <f t="shared" si="46"/>
        <v>0.3332574291244334</v>
      </c>
    </row>
    <row r="2929" spans="13:15" x14ac:dyDescent="0.3">
      <c r="M2929" s="35">
        <v>24.99</v>
      </c>
      <c r="N2929">
        <v>305</v>
      </c>
      <c r="O2929" s="34">
        <f t="shared" si="46"/>
        <v>0.33337128543776595</v>
      </c>
    </row>
    <row r="2930" spans="13:15" x14ac:dyDescent="0.3">
      <c r="M2930" s="35">
        <v>24.99</v>
      </c>
      <c r="N2930">
        <v>305</v>
      </c>
      <c r="O2930" s="34">
        <f t="shared" si="46"/>
        <v>0.3334851417510985</v>
      </c>
    </row>
    <row r="2931" spans="13:15" x14ac:dyDescent="0.3">
      <c r="M2931" s="35">
        <v>24.99</v>
      </c>
      <c r="N2931">
        <v>305</v>
      </c>
      <c r="O2931" s="34">
        <f t="shared" si="46"/>
        <v>0.33359899806443105</v>
      </c>
    </row>
    <row r="2932" spans="13:15" x14ac:dyDescent="0.3">
      <c r="M2932" s="35">
        <v>25</v>
      </c>
      <c r="N2932">
        <v>305</v>
      </c>
      <c r="O2932" s="34">
        <f t="shared" si="46"/>
        <v>0.3337128543777636</v>
      </c>
    </row>
    <row r="2933" spans="13:15" x14ac:dyDescent="0.3">
      <c r="M2933" s="35">
        <v>25</v>
      </c>
      <c r="N2933">
        <v>305</v>
      </c>
      <c r="O2933" s="34">
        <f t="shared" si="46"/>
        <v>0.33382671069109615</v>
      </c>
    </row>
    <row r="2934" spans="13:15" x14ac:dyDescent="0.3">
      <c r="M2934" s="35">
        <v>25.01</v>
      </c>
      <c r="N2934">
        <v>305</v>
      </c>
      <c r="O2934" s="34">
        <f t="shared" si="46"/>
        <v>0.3339405670044287</v>
      </c>
    </row>
    <row r="2935" spans="13:15" x14ac:dyDescent="0.3">
      <c r="M2935" s="35">
        <v>25.02</v>
      </c>
      <c r="N2935">
        <v>305</v>
      </c>
      <c r="O2935" s="34">
        <f t="shared" si="46"/>
        <v>0.33405442331776125</v>
      </c>
    </row>
    <row r="2936" spans="13:15" x14ac:dyDescent="0.3">
      <c r="M2936" s="35">
        <v>25.02</v>
      </c>
      <c r="N2936">
        <v>305</v>
      </c>
      <c r="O2936" s="34">
        <f t="shared" si="46"/>
        <v>0.3341682796310938</v>
      </c>
    </row>
    <row r="2937" spans="13:15" x14ac:dyDescent="0.3">
      <c r="M2937" s="35">
        <v>25.03</v>
      </c>
      <c r="N2937">
        <v>305</v>
      </c>
      <c r="O2937" s="34">
        <f t="shared" si="46"/>
        <v>0.33428213594442635</v>
      </c>
    </row>
    <row r="2938" spans="13:15" x14ac:dyDescent="0.3">
      <c r="M2938" s="35">
        <v>25.03</v>
      </c>
      <c r="N2938">
        <v>305</v>
      </c>
      <c r="O2938" s="34">
        <f t="shared" si="46"/>
        <v>0.3343959922577589</v>
      </c>
    </row>
    <row r="2939" spans="13:15" x14ac:dyDescent="0.3">
      <c r="M2939" s="35">
        <v>25.03</v>
      </c>
      <c r="N2939">
        <v>305</v>
      </c>
      <c r="O2939" s="34">
        <f t="shared" si="46"/>
        <v>0.33450984857109145</v>
      </c>
    </row>
    <row r="2940" spans="13:15" x14ac:dyDescent="0.3">
      <c r="M2940" s="35">
        <v>25.04</v>
      </c>
      <c r="N2940">
        <v>305</v>
      </c>
      <c r="O2940" s="34">
        <f t="shared" si="46"/>
        <v>0.334623704884424</v>
      </c>
    </row>
    <row r="2941" spans="13:15" x14ac:dyDescent="0.3">
      <c r="M2941" s="35">
        <v>25.04</v>
      </c>
      <c r="N2941">
        <v>305</v>
      </c>
      <c r="O2941" s="34">
        <f t="shared" si="46"/>
        <v>0.33473756119775655</v>
      </c>
    </row>
    <row r="2942" spans="13:15" x14ac:dyDescent="0.3">
      <c r="M2942" s="35">
        <v>25.04</v>
      </c>
      <c r="N2942">
        <v>305</v>
      </c>
      <c r="O2942" s="34">
        <f t="shared" si="46"/>
        <v>0.3348514175110891</v>
      </c>
    </row>
    <row r="2943" spans="13:15" x14ac:dyDescent="0.3">
      <c r="M2943" s="35">
        <v>25.04</v>
      </c>
      <c r="N2943">
        <v>305</v>
      </c>
      <c r="O2943" s="34">
        <f t="shared" si="46"/>
        <v>0.33496527382442165</v>
      </c>
    </row>
    <row r="2944" spans="13:15" x14ac:dyDescent="0.3">
      <c r="M2944" s="35">
        <v>25.04</v>
      </c>
      <c r="N2944">
        <v>305</v>
      </c>
      <c r="O2944" s="34">
        <f t="shared" si="46"/>
        <v>0.3350791301377542</v>
      </c>
    </row>
    <row r="2945" spans="13:15" x14ac:dyDescent="0.3">
      <c r="M2945" s="35">
        <v>25.04</v>
      </c>
      <c r="N2945">
        <v>305</v>
      </c>
      <c r="O2945" s="34">
        <f t="shared" si="46"/>
        <v>0.33519298645108675</v>
      </c>
    </row>
    <row r="2946" spans="13:15" x14ac:dyDescent="0.3">
      <c r="M2946" s="35">
        <v>25.05</v>
      </c>
      <c r="N2946">
        <v>305</v>
      </c>
      <c r="O2946" s="34">
        <f t="shared" si="46"/>
        <v>0.3353068427644193</v>
      </c>
    </row>
    <row r="2947" spans="13:15" x14ac:dyDescent="0.3">
      <c r="M2947" s="35">
        <v>25.05</v>
      </c>
      <c r="N2947">
        <v>305</v>
      </c>
      <c r="O2947" s="34">
        <f t="shared" si="46"/>
        <v>0.33542069907775185</v>
      </c>
    </row>
    <row r="2948" spans="13:15" x14ac:dyDescent="0.3">
      <c r="M2948" s="35">
        <v>25.05</v>
      </c>
      <c r="N2948">
        <v>305</v>
      </c>
      <c r="O2948" s="34">
        <f t="shared" ref="O2948:O3011" si="47">O2947+O$2</f>
        <v>0.3355345553910844</v>
      </c>
    </row>
    <row r="2949" spans="13:15" x14ac:dyDescent="0.3">
      <c r="M2949" s="35">
        <v>25.06</v>
      </c>
      <c r="N2949">
        <v>305</v>
      </c>
      <c r="O2949" s="34">
        <f t="shared" si="47"/>
        <v>0.33564841170441695</v>
      </c>
    </row>
    <row r="2950" spans="13:15" x14ac:dyDescent="0.3">
      <c r="M2950" s="35">
        <v>25.06</v>
      </c>
      <c r="N2950">
        <v>305</v>
      </c>
      <c r="O2950" s="34">
        <f t="shared" si="47"/>
        <v>0.3357622680177495</v>
      </c>
    </row>
    <row r="2951" spans="13:15" x14ac:dyDescent="0.3">
      <c r="M2951" s="35">
        <v>25.06</v>
      </c>
      <c r="N2951">
        <v>305</v>
      </c>
      <c r="O2951" s="34">
        <f t="shared" si="47"/>
        <v>0.33587612433108205</v>
      </c>
    </row>
    <row r="2952" spans="13:15" x14ac:dyDescent="0.3">
      <c r="M2952" s="35">
        <v>25.06</v>
      </c>
      <c r="N2952">
        <v>305</v>
      </c>
      <c r="O2952" s="34">
        <f t="shared" si="47"/>
        <v>0.3359899806444146</v>
      </c>
    </row>
    <row r="2953" spans="13:15" x14ac:dyDescent="0.3">
      <c r="M2953" s="35">
        <v>25.07</v>
      </c>
      <c r="N2953">
        <v>305</v>
      </c>
      <c r="O2953" s="34">
        <f t="shared" si="47"/>
        <v>0.33610383695774715</v>
      </c>
    </row>
    <row r="2954" spans="13:15" x14ac:dyDescent="0.3">
      <c r="M2954" s="35">
        <v>25.07</v>
      </c>
      <c r="N2954">
        <v>305</v>
      </c>
      <c r="O2954" s="34">
        <f t="shared" si="47"/>
        <v>0.3362176932710797</v>
      </c>
    </row>
    <row r="2955" spans="13:15" x14ac:dyDescent="0.3">
      <c r="M2955" s="35">
        <v>25.07</v>
      </c>
      <c r="N2955">
        <v>305</v>
      </c>
      <c r="O2955" s="34">
        <f t="shared" si="47"/>
        <v>0.33633154958441225</v>
      </c>
    </row>
    <row r="2956" spans="13:15" x14ac:dyDescent="0.3">
      <c r="M2956" s="35">
        <v>25.07</v>
      </c>
      <c r="N2956">
        <v>305</v>
      </c>
      <c r="O2956" s="34">
        <f t="shared" si="47"/>
        <v>0.3364454058977448</v>
      </c>
    </row>
    <row r="2957" spans="13:15" x14ac:dyDescent="0.3">
      <c r="M2957" s="35">
        <v>25.07</v>
      </c>
      <c r="N2957">
        <v>305</v>
      </c>
      <c r="O2957" s="34">
        <f t="shared" si="47"/>
        <v>0.33655926221107735</v>
      </c>
    </row>
    <row r="2958" spans="13:15" x14ac:dyDescent="0.3">
      <c r="M2958" s="35">
        <v>25.08</v>
      </c>
      <c r="N2958">
        <v>305</v>
      </c>
      <c r="O2958" s="34">
        <f t="shared" si="47"/>
        <v>0.3366731185244099</v>
      </c>
    </row>
    <row r="2959" spans="13:15" x14ac:dyDescent="0.3">
      <c r="M2959" s="35">
        <v>25.08</v>
      </c>
      <c r="N2959">
        <v>305</v>
      </c>
      <c r="O2959" s="34">
        <f t="shared" si="47"/>
        <v>0.33678697483774245</v>
      </c>
    </row>
    <row r="2960" spans="13:15" x14ac:dyDescent="0.3">
      <c r="M2960" s="35">
        <v>25.08</v>
      </c>
      <c r="N2960">
        <v>305</v>
      </c>
      <c r="O2960" s="34">
        <f t="shared" si="47"/>
        <v>0.336900831151075</v>
      </c>
    </row>
    <row r="2961" spans="13:15" x14ac:dyDescent="0.3">
      <c r="M2961" s="35">
        <v>25.08</v>
      </c>
      <c r="N2961">
        <v>305</v>
      </c>
      <c r="O2961" s="34">
        <f t="shared" si="47"/>
        <v>0.33701468746440755</v>
      </c>
    </row>
    <row r="2962" spans="13:15" x14ac:dyDescent="0.3">
      <c r="M2962" s="35">
        <v>25.09</v>
      </c>
      <c r="N2962">
        <v>305</v>
      </c>
      <c r="O2962" s="34">
        <f t="shared" si="47"/>
        <v>0.3371285437777401</v>
      </c>
    </row>
    <row r="2963" spans="13:15" x14ac:dyDescent="0.3">
      <c r="M2963" s="35">
        <v>25.09</v>
      </c>
      <c r="N2963">
        <v>305</v>
      </c>
      <c r="O2963" s="34">
        <f t="shared" si="47"/>
        <v>0.33724240009107265</v>
      </c>
    </row>
    <row r="2964" spans="13:15" x14ac:dyDescent="0.3">
      <c r="M2964" s="35">
        <v>25.09</v>
      </c>
      <c r="N2964">
        <v>305</v>
      </c>
      <c r="O2964" s="34">
        <f t="shared" si="47"/>
        <v>0.3373562564044052</v>
      </c>
    </row>
    <row r="2965" spans="13:15" x14ac:dyDescent="0.3">
      <c r="M2965" s="35">
        <v>25.1</v>
      </c>
      <c r="N2965">
        <v>305</v>
      </c>
      <c r="O2965" s="34">
        <f t="shared" si="47"/>
        <v>0.33747011271773775</v>
      </c>
    </row>
    <row r="2966" spans="13:15" x14ac:dyDescent="0.3">
      <c r="M2966" s="35">
        <v>25.1</v>
      </c>
      <c r="N2966">
        <v>305</v>
      </c>
      <c r="O2966" s="34">
        <f t="shared" si="47"/>
        <v>0.3375839690310703</v>
      </c>
    </row>
    <row r="2967" spans="13:15" x14ac:dyDescent="0.3">
      <c r="M2967" s="35">
        <v>25.1</v>
      </c>
      <c r="N2967">
        <v>305</v>
      </c>
      <c r="O2967" s="34">
        <f t="shared" si="47"/>
        <v>0.33769782534440285</v>
      </c>
    </row>
    <row r="2968" spans="13:15" x14ac:dyDescent="0.3">
      <c r="M2968" s="35">
        <v>25.1</v>
      </c>
      <c r="N2968">
        <v>305</v>
      </c>
      <c r="O2968" s="34">
        <f t="shared" si="47"/>
        <v>0.3378116816577354</v>
      </c>
    </row>
    <row r="2969" spans="13:15" x14ac:dyDescent="0.3">
      <c r="M2969" s="35">
        <v>25.1</v>
      </c>
      <c r="N2969">
        <v>305</v>
      </c>
      <c r="O2969" s="34">
        <f t="shared" si="47"/>
        <v>0.33792553797106795</v>
      </c>
    </row>
    <row r="2970" spans="13:15" x14ac:dyDescent="0.3">
      <c r="M2970" s="35">
        <v>25.11</v>
      </c>
      <c r="N2970">
        <v>305</v>
      </c>
      <c r="O2970" s="34">
        <f t="shared" si="47"/>
        <v>0.3380393942844005</v>
      </c>
    </row>
    <row r="2971" spans="13:15" x14ac:dyDescent="0.3">
      <c r="M2971" s="35">
        <v>25.11</v>
      </c>
      <c r="N2971">
        <v>305</v>
      </c>
      <c r="O2971" s="34">
        <f t="shared" si="47"/>
        <v>0.33815325059773305</v>
      </c>
    </row>
    <row r="2972" spans="13:15" x14ac:dyDescent="0.3">
      <c r="M2972" s="35">
        <v>25.11</v>
      </c>
      <c r="N2972">
        <v>305</v>
      </c>
      <c r="O2972" s="34">
        <f t="shared" si="47"/>
        <v>0.3382671069110656</v>
      </c>
    </row>
    <row r="2973" spans="13:15" x14ac:dyDescent="0.3">
      <c r="M2973" s="35">
        <v>25.11</v>
      </c>
      <c r="N2973">
        <v>305</v>
      </c>
      <c r="O2973" s="34">
        <f t="shared" si="47"/>
        <v>0.33838096322439815</v>
      </c>
    </row>
    <row r="2974" spans="13:15" x14ac:dyDescent="0.3">
      <c r="M2974" s="35">
        <v>25.11</v>
      </c>
      <c r="N2974">
        <v>305</v>
      </c>
      <c r="O2974" s="34">
        <f t="shared" si="47"/>
        <v>0.3384948195377307</v>
      </c>
    </row>
    <row r="2975" spans="13:15" x14ac:dyDescent="0.3">
      <c r="M2975" s="35">
        <v>25.12</v>
      </c>
      <c r="N2975">
        <v>305</v>
      </c>
      <c r="O2975" s="34">
        <f t="shared" si="47"/>
        <v>0.33860867585106325</v>
      </c>
    </row>
    <row r="2976" spans="13:15" x14ac:dyDescent="0.3">
      <c r="M2976" s="35">
        <v>25.12</v>
      </c>
      <c r="N2976">
        <v>305</v>
      </c>
      <c r="O2976" s="34">
        <f t="shared" si="47"/>
        <v>0.3387225321643958</v>
      </c>
    </row>
    <row r="2977" spans="13:15" x14ac:dyDescent="0.3">
      <c r="M2977" s="35">
        <v>25.12</v>
      </c>
      <c r="N2977">
        <v>305</v>
      </c>
      <c r="O2977" s="34">
        <f t="shared" si="47"/>
        <v>0.33883638847772835</v>
      </c>
    </row>
    <row r="2978" spans="13:15" x14ac:dyDescent="0.3">
      <c r="M2978" s="35">
        <v>25.13</v>
      </c>
      <c r="N2978">
        <v>305</v>
      </c>
      <c r="O2978" s="34">
        <f t="shared" si="47"/>
        <v>0.3389502447910609</v>
      </c>
    </row>
    <row r="2979" spans="13:15" x14ac:dyDescent="0.3">
      <c r="M2979" s="35">
        <v>25.13</v>
      </c>
      <c r="N2979">
        <v>305</v>
      </c>
      <c r="O2979" s="34">
        <f t="shared" si="47"/>
        <v>0.33906410110439344</v>
      </c>
    </row>
    <row r="2980" spans="13:15" x14ac:dyDescent="0.3">
      <c r="M2980" s="35">
        <v>25.13</v>
      </c>
      <c r="N2980">
        <v>305</v>
      </c>
      <c r="O2980" s="34">
        <f t="shared" si="47"/>
        <v>0.33917795741772599</v>
      </c>
    </row>
    <row r="2981" spans="13:15" x14ac:dyDescent="0.3">
      <c r="M2981" s="35">
        <v>25.14</v>
      </c>
      <c r="N2981">
        <v>305</v>
      </c>
      <c r="O2981" s="34">
        <f t="shared" si="47"/>
        <v>0.33929181373105854</v>
      </c>
    </row>
    <row r="2982" spans="13:15" x14ac:dyDescent="0.3">
      <c r="M2982" s="35">
        <v>25.14</v>
      </c>
      <c r="N2982">
        <v>305</v>
      </c>
      <c r="O2982" s="34">
        <f t="shared" si="47"/>
        <v>0.33940567004439109</v>
      </c>
    </row>
    <row r="2983" spans="13:15" x14ac:dyDescent="0.3">
      <c r="M2983" s="35">
        <v>25.14</v>
      </c>
      <c r="N2983">
        <v>305</v>
      </c>
      <c r="O2983" s="34">
        <f t="shared" si="47"/>
        <v>0.33951952635772364</v>
      </c>
    </row>
    <row r="2984" spans="13:15" x14ac:dyDescent="0.3">
      <c r="M2984" s="35">
        <v>25.14</v>
      </c>
      <c r="N2984">
        <v>305</v>
      </c>
      <c r="O2984" s="34">
        <f t="shared" si="47"/>
        <v>0.33963338267105619</v>
      </c>
    </row>
    <row r="2985" spans="13:15" x14ac:dyDescent="0.3">
      <c r="M2985" s="35">
        <v>25.14</v>
      </c>
      <c r="N2985">
        <v>305</v>
      </c>
      <c r="O2985" s="34">
        <f t="shared" si="47"/>
        <v>0.33974723898438874</v>
      </c>
    </row>
    <row r="2986" spans="13:15" x14ac:dyDescent="0.3">
      <c r="M2986" s="35">
        <v>25.15</v>
      </c>
      <c r="N2986">
        <v>305</v>
      </c>
      <c r="O2986" s="34">
        <f t="shared" si="47"/>
        <v>0.33986109529772129</v>
      </c>
    </row>
    <row r="2987" spans="13:15" x14ac:dyDescent="0.3">
      <c r="M2987" s="35">
        <v>25.15</v>
      </c>
      <c r="N2987">
        <v>305</v>
      </c>
      <c r="O2987" s="34">
        <f t="shared" si="47"/>
        <v>0.33997495161105384</v>
      </c>
    </row>
    <row r="2988" spans="13:15" x14ac:dyDescent="0.3">
      <c r="M2988" s="35">
        <v>25.15</v>
      </c>
      <c r="N2988">
        <v>305</v>
      </c>
      <c r="O2988" s="34">
        <f t="shared" si="47"/>
        <v>0.34008880792438639</v>
      </c>
    </row>
    <row r="2989" spans="13:15" x14ac:dyDescent="0.3">
      <c r="M2989" s="35">
        <v>25.16</v>
      </c>
      <c r="N2989">
        <v>305</v>
      </c>
      <c r="O2989" s="34">
        <f t="shared" si="47"/>
        <v>0.34020266423771894</v>
      </c>
    </row>
    <row r="2990" spans="13:15" x14ac:dyDescent="0.3">
      <c r="M2990" s="35">
        <v>25.16</v>
      </c>
      <c r="N2990">
        <v>305</v>
      </c>
      <c r="O2990" s="34">
        <f t="shared" si="47"/>
        <v>0.34031652055105149</v>
      </c>
    </row>
    <row r="2991" spans="13:15" x14ac:dyDescent="0.3">
      <c r="M2991" s="35">
        <v>25.16</v>
      </c>
      <c r="N2991">
        <v>305</v>
      </c>
      <c r="O2991" s="34">
        <f t="shared" si="47"/>
        <v>0.34043037686438404</v>
      </c>
    </row>
    <row r="2992" spans="13:15" x14ac:dyDescent="0.3">
      <c r="M2992" s="35">
        <v>25.16</v>
      </c>
      <c r="N2992">
        <v>305</v>
      </c>
      <c r="O2992" s="34">
        <f t="shared" si="47"/>
        <v>0.34054423317771659</v>
      </c>
    </row>
    <row r="2993" spans="13:15" x14ac:dyDescent="0.3">
      <c r="M2993" s="35">
        <v>25.17</v>
      </c>
      <c r="N2993">
        <v>305</v>
      </c>
      <c r="O2993" s="34">
        <f t="shared" si="47"/>
        <v>0.34065808949104914</v>
      </c>
    </row>
    <row r="2994" spans="13:15" x14ac:dyDescent="0.3">
      <c r="M2994" s="35">
        <v>25.18</v>
      </c>
      <c r="N2994">
        <v>305</v>
      </c>
      <c r="O2994" s="34">
        <f t="shared" si="47"/>
        <v>0.34077194580438169</v>
      </c>
    </row>
    <row r="2995" spans="13:15" x14ac:dyDescent="0.3">
      <c r="M2995" s="35">
        <v>25.18</v>
      </c>
      <c r="N2995">
        <v>305</v>
      </c>
      <c r="O2995" s="34">
        <f t="shared" si="47"/>
        <v>0.34088580211771424</v>
      </c>
    </row>
    <row r="2996" spans="13:15" x14ac:dyDescent="0.3">
      <c r="M2996" s="35">
        <v>25.18</v>
      </c>
      <c r="N2996">
        <v>305</v>
      </c>
      <c r="O2996" s="34">
        <f t="shared" si="47"/>
        <v>0.34099965843104679</v>
      </c>
    </row>
    <row r="2997" spans="13:15" x14ac:dyDescent="0.3">
      <c r="M2997" s="35">
        <v>25.18</v>
      </c>
      <c r="N2997">
        <v>305</v>
      </c>
      <c r="O2997" s="34">
        <f t="shared" si="47"/>
        <v>0.34111351474437934</v>
      </c>
    </row>
    <row r="2998" spans="13:15" x14ac:dyDescent="0.3">
      <c r="M2998" s="35">
        <v>25.19</v>
      </c>
      <c r="N2998">
        <v>305</v>
      </c>
      <c r="O2998" s="34">
        <f t="shared" si="47"/>
        <v>0.34122737105771189</v>
      </c>
    </row>
    <row r="2999" spans="13:15" x14ac:dyDescent="0.3">
      <c r="M2999" s="35">
        <v>25.19</v>
      </c>
      <c r="N2999">
        <v>305</v>
      </c>
      <c r="O2999" s="34">
        <f t="shared" si="47"/>
        <v>0.34134122737104444</v>
      </c>
    </row>
    <row r="3000" spans="13:15" x14ac:dyDescent="0.3">
      <c r="M3000" s="35">
        <v>25.19</v>
      </c>
      <c r="N3000">
        <v>305</v>
      </c>
      <c r="O3000" s="34">
        <f t="shared" si="47"/>
        <v>0.34145508368437699</v>
      </c>
    </row>
    <row r="3001" spans="13:15" x14ac:dyDescent="0.3">
      <c r="M3001" s="35">
        <v>25.2</v>
      </c>
      <c r="N3001">
        <v>305</v>
      </c>
      <c r="O3001" s="34">
        <f t="shared" si="47"/>
        <v>0.34156893999770954</v>
      </c>
    </row>
    <row r="3002" spans="13:15" x14ac:dyDescent="0.3">
      <c r="M3002" s="35">
        <v>25.2</v>
      </c>
      <c r="N3002">
        <v>305</v>
      </c>
      <c r="O3002" s="34">
        <f t="shared" si="47"/>
        <v>0.34168279631104209</v>
      </c>
    </row>
    <row r="3003" spans="13:15" x14ac:dyDescent="0.3">
      <c r="M3003" s="35">
        <v>25.2</v>
      </c>
      <c r="N3003">
        <v>305</v>
      </c>
      <c r="O3003" s="34">
        <f t="shared" si="47"/>
        <v>0.34179665262437464</v>
      </c>
    </row>
    <row r="3004" spans="13:15" x14ac:dyDescent="0.3">
      <c r="M3004" s="35">
        <v>25.21</v>
      </c>
      <c r="N3004">
        <v>305</v>
      </c>
      <c r="O3004" s="34">
        <f t="shared" si="47"/>
        <v>0.34191050893770719</v>
      </c>
    </row>
    <row r="3005" spans="13:15" x14ac:dyDescent="0.3">
      <c r="M3005" s="35">
        <v>25.21</v>
      </c>
      <c r="N3005">
        <v>305</v>
      </c>
      <c r="O3005" s="34">
        <f t="shared" si="47"/>
        <v>0.34202436525103974</v>
      </c>
    </row>
    <row r="3006" spans="13:15" x14ac:dyDescent="0.3">
      <c r="M3006" s="35">
        <v>25.21</v>
      </c>
      <c r="N3006">
        <v>305</v>
      </c>
      <c r="O3006" s="34">
        <f t="shared" si="47"/>
        <v>0.34213822156437229</v>
      </c>
    </row>
    <row r="3007" spans="13:15" x14ac:dyDescent="0.3">
      <c r="M3007" s="35">
        <v>25.21</v>
      </c>
      <c r="N3007">
        <v>305</v>
      </c>
      <c r="O3007" s="34">
        <f t="shared" si="47"/>
        <v>0.34225207787770484</v>
      </c>
    </row>
    <row r="3008" spans="13:15" x14ac:dyDescent="0.3">
      <c r="M3008" s="35">
        <v>25.21</v>
      </c>
      <c r="N3008">
        <v>305</v>
      </c>
      <c r="O3008" s="34">
        <f t="shared" si="47"/>
        <v>0.34236593419103739</v>
      </c>
    </row>
    <row r="3009" spans="13:15" x14ac:dyDescent="0.3">
      <c r="M3009" s="35">
        <v>25.22</v>
      </c>
      <c r="N3009">
        <v>305</v>
      </c>
      <c r="O3009" s="34">
        <f t="shared" si="47"/>
        <v>0.34247979050436994</v>
      </c>
    </row>
    <row r="3010" spans="13:15" x14ac:dyDescent="0.3">
      <c r="M3010" s="35">
        <v>25.22</v>
      </c>
      <c r="N3010">
        <v>305</v>
      </c>
      <c r="O3010" s="34">
        <f t="shared" si="47"/>
        <v>0.34259364681770249</v>
      </c>
    </row>
    <row r="3011" spans="13:15" x14ac:dyDescent="0.3">
      <c r="M3011" s="35">
        <v>25.23</v>
      </c>
      <c r="N3011">
        <v>305</v>
      </c>
      <c r="O3011" s="34">
        <f t="shared" si="47"/>
        <v>0.34270750313103504</v>
      </c>
    </row>
    <row r="3012" spans="13:15" x14ac:dyDescent="0.3">
      <c r="M3012" s="35">
        <v>25.23</v>
      </c>
      <c r="N3012">
        <v>305</v>
      </c>
      <c r="O3012" s="34">
        <f t="shared" ref="O3012:O3075" si="48">O3011+O$2</f>
        <v>0.34282135944436759</v>
      </c>
    </row>
    <row r="3013" spans="13:15" x14ac:dyDescent="0.3">
      <c r="M3013" s="35">
        <v>25.23</v>
      </c>
      <c r="N3013">
        <v>305</v>
      </c>
      <c r="O3013" s="34">
        <f t="shared" si="48"/>
        <v>0.34293521575770014</v>
      </c>
    </row>
    <row r="3014" spans="13:15" x14ac:dyDescent="0.3">
      <c r="M3014" s="35">
        <v>25.24</v>
      </c>
      <c r="N3014">
        <v>305</v>
      </c>
      <c r="O3014" s="34">
        <f t="shared" si="48"/>
        <v>0.34304907207103269</v>
      </c>
    </row>
    <row r="3015" spans="13:15" x14ac:dyDescent="0.3">
      <c r="M3015" s="35">
        <v>25.24</v>
      </c>
      <c r="N3015">
        <v>305</v>
      </c>
      <c r="O3015" s="34">
        <f t="shared" si="48"/>
        <v>0.34316292838436524</v>
      </c>
    </row>
    <row r="3016" spans="13:15" x14ac:dyDescent="0.3">
      <c r="M3016" s="35">
        <v>25.24</v>
      </c>
      <c r="N3016">
        <v>305</v>
      </c>
      <c r="O3016" s="34">
        <f t="shared" si="48"/>
        <v>0.34327678469769779</v>
      </c>
    </row>
    <row r="3017" spans="13:15" x14ac:dyDescent="0.3">
      <c r="M3017" s="35">
        <v>25.24</v>
      </c>
      <c r="N3017">
        <v>305</v>
      </c>
      <c r="O3017" s="34">
        <f t="shared" si="48"/>
        <v>0.34339064101103034</v>
      </c>
    </row>
    <row r="3018" spans="13:15" x14ac:dyDescent="0.3">
      <c r="M3018" s="35">
        <v>25.24</v>
      </c>
      <c r="N3018">
        <v>305</v>
      </c>
      <c r="O3018" s="34">
        <f t="shared" si="48"/>
        <v>0.34350449732436289</v>
      </c>
    </row>
    <row r="3019" spans="13:15" x14ac:dyDescent="0.3">
      <c r="M3019" s="35">
        <v>25.25</v>
      </c>
      <c r="N3019">
        <v>305</v>
      </c>
      <c r="O3019" s="34">
        <f t="shared" si="48"/>
        <v>0.34361835363769544</v>
      </c>
    </row>
    <row r="3020" spans="13:15" x14ac:dyDescent="0.3">
      <c r="M3020" s="35">
        <v>25.25</v>
      </c>
      <c r="N3020">
        <v>305</v>
      </c>
      <c r="O3020" s="34">
        <f t="shared" si="48"/>
        <v>0.34373220995102799</v>
      </c>
    </row>
    <row r="3021" spans="13:15" x14ac:dyDescent="0.3">
      <c r="M3021" s="35">
        <v>25.25</v>
      </c>
      <c r="N3021">
        <v>305</v>
      </c>
      <c r="O3021" s="34">
        <f t="shared" si="48"/>
        <v>0.34384606626436054</v>
      </c>
    </row>
    <row r="3022" spans="13:15" x14ac:dyDescent="0.3">
      <c r="M3022" s="35">
        <v>25.25</v>
      </c>
      <c r="N3022">
        <v>305</v>
      </c>
      <c r="O3022" s="34">
        <f t="shared" si="48"/>
        <v>0.34395992257769309</v>
      </c>
    </row>
    <row r="3023" spans="13:15" x14ac:dyDescent="0.3">
      <c r="M3023" s="35">
        <v>25.25</v>
      </c>
      <c r="N3023">
        <v>305</v>
      </c>
      <c r="O3023" s="34">
        <f t="shared" si="48"/>
        <v>0.34407377889102564</v>
      </c>
    </row>
    <row r="3024" spans="13:15" x14ac:dyDescent="0.3">
      <c r="M3024" s="35">
        <v>25.26</v>
      </c>
      <c r="N3024">
        <v>305</v>
      </c>
      <c r="O3024" s="34">
        <f t="shared" si="48"/>
        <v>0.34418763520435819</v>
      </c>
    </row>
    <row r="3025" spans="13:15" x14ac:dyDescent="0.3">
      <c r="M3025" s="35">
        <v>25.26</v>
      </c>
      <c r="N3025">
        <v>305</v>
      </c>
      <c r="O3025" s="34">
        <f t="shared" si="48"/>
        <v>0.34430149151769074</v>
      </c>
    </row>
    <row r="3026" spans="13:15" x14ac:dyDescent="0.3">
      <c r="M3026" s="35">
        <v>25.26</v>
      </c>
      <c r="N3026">
        <v>305</v>
      </c>
      <c r="O3026" s="34">
        <f t="shared" si="48"/>
        <v>0.34441534783102329</v>
      </c>
    </row>
    <row r="3027" spans="13:15" x14ac:dyDescent="0.3">
      <c r="M3027" s="35">
        <v>25.27</v>
      </c>
      <c r="N3027">
        <v>305</v>
      </c>
      <c r="O3027" s="34">
        <f t="shared" si="48"/>
        <v>0.34452920414435584</v>
      </c>
    </row>
    <row r="3028" spans="13:15" x14ac:dyDescent="0.3">
      <c r="M3028" s="35">
        <v>25.27</v>
      </c>
      <c r="N3028">
        <v>305</v>
      </c>
      <c r="O3028" s="34">
        <f t="shared" si="48"/>
        <v>0.34464306045768839</v>
      </c>
    </row>
    <row r="3029" spans="13:15" x14ac:dyDescent="0.3">
      <c r="M3029" s="35">
        <v>25.27</v>
      </c>
      <c r="N3029">
        <v>305</v>
      </c>
      <c r="O3029" s="34">
        <f t="shared" si="48"/>
        <v>0.34475691677102094</v>
      </c>
    </row>
    <row r="3030" spans="13:15" x14ac:dyDescent="0.3">
      <c r="M3030" s="35">
        <v>25.27</v>
      </c>
      <c r="N3030">
        <v>305</v>
      </c>
      <c r="O3030" s="34">
        <f t="shared" si="48"/>
        <v>0.34487077308435349</v>
      </c>
    </row>
    <row r="3031" spans="13:15" x14ac:dyDescent="0.3">
      <c r="M3031" s="35">
        <v>25.28</v>
      </c>
      <c r="N3031">
        <v>305</v>
      </c>
      <c r="O3031" s="34">
        <f t="shared" si="48"/>
        <v>0.34498462939768604</v>
      </c>
    </row>
    <row r="3032" spans="13:15" x14ac:dyDescent="0.3">
      <c r="M3032" s="35">
        <v>25.29</v>
      </c>
      <c r="N3032">
        <v>305</v>
      </c>
      <c r="O3032" s="34">
        <f t="shared" si="48"/>
        <v>0.34509848571101859</v>
      </c>
    </row>
    <row r="3033" spans="13:15" x14ac:dyDescent="0.3">
      <c r="M3033" s="35">
        <v>25.29</v>
      </c>
      <c r="N3033">
        <v>305</v>
      </c>
      <c r="O3033" s="34">
        <f t="shared" si="48"/>
        <v>0.34521234202435114</v>
      </c>
    </row>
    <row r="3034" spans="13:15" x14ac:dyDescent="0.3">
      <c r="M3034" s="35">
        <v>25.29</v>
      </c>
      <c r="N3034">
        <v>305</v>
      </c>
      <c r="O3034" s="34">
        <f t="shared" si="48"/>
        <v>0.34532619833768369</v>
      </c>
    </row>
    <row r="3035" spans="13:15" x14ac:dyDescent="0.3">
      <c r="M3035" s="35">
        <v>25.3</v>
      </c>
      <c r="N3035">
        <v>305</v>
      </c>
      <c r="O3035" s="34">
        <f t="shared" si="48"/>
        <v>0.34544005465101624</v>
      </c>
    </row>
    <row r="3036" spans="13:15" x14ac:dyDescent="0.3">
      <c r="M3036" s="35">
        <v>25.3</v>
      </c>
      <c r="N3036">
        <v>305</v>
      </c>
      <c r="O3036" s="34">
        <f t="shared" si="48"/>
        <v>0.34555391096434879</v>
      </c>
    </row>
    <row r="3037" spans="13:15" x14ac:dyDescent="0.3">
      <c r="M3037" s="35">
        <v>25.3</v>
      </c>
      <c r="N3037">
        <v>305</v>
      </c>
      <c r="O3037" s="34">
        <f t="shared" si="48"/>
        <v>0.34566776727768134</v>
      </c>
    </row>
    <row r="3038" spans="13:15" x14ac:dyDescent="0.3">
      <c r="M3038" s="35">
        <v>25.3</v>
      </c>
      <c r="N3038">
        <v>305</v>
      </c>
      <c r="O3038" s="34">
        <f t="shared" si="48"/>
        <v>0.34578162359101389</v>
      </c>
    </row>
    <row r="3039" spans="13:15" x14ac:dyDescent="0.3">
      <c r="M3039" s="35">
        <v>25.3</v>
      </c>
      <c r="N3039">
        <v>305</v>
      </c>
      <c r="O3039" s="34">
        <f t="shared" si="48"/>
        <v>0.34589547990434644</v>
      </c>
    </row>
    <row r="3040" spans="13:15" x14ac:dyDescent="0.3">
      <c r="M3040" s="35">
        <v>25.31</v>
      </c>
      <c r="N3040">
        <v>305</v>
      </c>
      <c r="O3040" s="34">
        <f t="shared" si="48"/>
        <v>0.34600933621767899</v>
      </c>
    </row>
    <row r="3041" spans="13:15" x14ac:dyDescent="0.3">
      <c r="M3041" s="35">
        <v>25.31</v>
      </c>
      <c r="N3041">
        <v>305</v>
      </c>
      <c r="O3041" s="34">
        <f t="shared" si="48"/>
        <v>0.34612319253101154</v>
      </c>
    </row>
    <row r="3042" spans="13:15" x14ac:dyDescent="0.3">
      <c r="M3042" s="35">
        <v>25.31</v>
      </c>
      <c r="N3042">
        <v>305</v>
      </c>
      <c r="O3042" s="34">
        <f t="shared" si="48"/>
        <v>0.34623704884434409</v>
      </c>
    </row>
    <row r="3043" spans="13:15" x14ac:dyDescent="0.3">
      <c r="M3043" s="35">
        <v>25.31</v>
      </c>
      <c r="N3043">
        <v>305</v>
      </c>
      <c r="O3043" s="34">
        <f t="shared" si="48"/>
        <v>0.34635090515767664</v>
      </c>
    </row>
    <row r="3044" spans="13:15" x14ac:dyDescent="0.3">
      <c r="M3044" s="35">
        <v>25.31</v>
      </c>
      <c r="N3044">
        <v>305</v>
      </c>
      <c r="O3044" s="34">
        <f t="shared" si="48"/>
        <v>0.34646476147100919</v>
      </c>
    </row>
    <row r="3045" spans="13:15" x14ac:dyDescent="0.3">
      <c r="M3045" s="35">
        <v>25.32</v>
      </c>
      <c r="N3045">
        <v>305</v>
      </c>
      <c r="O3045" s="34">
        <f t="shared" si="48"/>
        <v>0.34657861778434174</v>
      </c>
    </row>
    <row r="3046" spans="13:15" x14ac:dyDescent="0.3">
      <c r="M3046" s="35">
        <v>25.32</v>
      </c>
      <c r="N3046">
        <v>305</v>
      </c>
      <c r="O3046" s="34">
        <f t="shared" si="48"/>
        <v>0.34669247409767429</v>
      </c>
    </row>
    <row r="3047" spans="13:15" x14ac:dyDescent="0.3">
      <c r="M3047" s="35">
        <v>25.32</v>
      </c>
      <c r="N3047">
        <v>305</v>
      </c>
      <c r="O3047" s="34">
        <f t="shared" si="48"/>
        <v>0.34680633041100684</v>
      </c>
    </row>
    <row r="3048" spans="13:15" x14ac:dyDescent="0.3">
      <c r="M3048" s="35">
        <v>25.32</v>
      </c>
      <c r="N3048">
        <v>305</v>
      </c>
      <c r="O3048" s="34">
        <f t="shared" si="48"/>
        <v>0.34692018672433939</v>
      </c>
    </row>
    <row r="3049" spans="13:15" x14ac:dyDescent="0.3">
      <c r="M3049" s="35">
        <v>25.32</v>
      </c>
      <c r="N3049">
        <v>305</v>
      </c>
      <c r="O3049" s="34">
        <f t="shared" si="48"/>
        <v>0.34703404303767194</v>
      </c>
    </row>
    <row r="3050" spans="13:15" x14ac:dyDescent="0.3">
      <c r="M3050" s="35">
        <v>25.33</v>
      </c>
      <c r="N3050">
        <v>305</v>
      </c>
      <c r="O3050" s="34">
        <f t="shared" si="48"/>
        <v>0.34714789935100449</v>
      </c>
    </row>
    <row r="3051" spans="13:15" x14ac:dyDescent="0.3">
      <c r="M3051" s="35">
        <v>25.33</v>
      </c>
      <c r="N3051">
        <v>305</v>
      </c>
      <c r="O3051" s="34">
        <f t="shared" si="48"/>
        <v>0.34726175566433704</v>
      </c>
    </row>
    <row r="3052" spans="13:15" x14ac:dyDescent="0.3">
      <c r="M3052" s="35">
        <v>25.34</v>
      </c>
      <c r="N3052">
        <v>305</v>
      </c>
      <c r="O3052" s="34">
        <f t="shared" si="48"/>
        <v>0.34737561197766958</v>
      </c>
    </row>
    <row r="3053" spans="13:15" x14ac:dyDescent="0.3">
      <c r="M3053" s="35">
        <v>25.34</v>
      </c>
      <c r="N3053">
        <v>305</v>
      </c>
      <c r="O3053" s="34">
        <f t="shared" si="48"/>
        <v>0.34748946829100213</v>
      </c>
    </row>
    <row r="3054" spans="13:15" x14ac:dyDescent="0.3">
      <c r="M3054" s="35">
        <v>25.34</v>
      </c>
      <c r="N3054">
        <v>305</v>
      </c>
      <c r="O3054" s="34">
        <f t="shared" si="48"/>
        <v>0.34760332460433468</v>
      </c>
    </row>
    <row r="3055" spans="13:15" x14ac:dyDescent="0.3">
      <c r="M3055" s="35">
        <v>25.35</v>
      </c>
      <c r="N3055">
        <v>305</v>
      </c>
      <c r="O3055" s="34">
        <f t="shared" si="48"/>
        <v>0.34771718091766723</v>
      </c>
    </row>
    <row r="3056" spans="13:15" x14ac:dyDescent="0.3">
      <c r="M3056" s="35">
        <v>25.35</v>
      </c>
      <c r="N3056">
        <v>305</v>
      </c>
      <c r="O3056" s="34">
        <f t="shared" si="48"/>
        <v>0.34783103723099978</v>
      </c>
    </row>
    <row r="3057" spans="13:15" x14ac:dyDescent="0.3">
      <c r="M3057" s="35">
        <v>25.35</v>
      </c>
      <c r="N3057">
        <v>305</v>
      </c>
      <c r="O3057" s="34">
        <f t="shared" si="48"/>
        <v>0.34794489354433233</v>
      </c>
    </row>
    <row r="3058" spans="13:15" x14ac:dyDescent="0.3">
      <c r="M3058" s="35">
        <v>25.35</v>
      </c>
      <c r="N3058">
        <v>305</v>
      </c>
      <c r="O3058" s="34">
        <f t="shared" si="48"/>
        <v>0.34805874985766488</v>
      </c>
    </row>
    <row r="3059" spans="13:15" x14ac:dyDescent="0.3">
      <c r="M3059" s="35">
        <v>25.35</v>
      </c>
      <c r="N3059">
        <v>305</v>
      </c>
      <c r="O3059" s="34">
        <f t="shared" si="48"/>
        <v>0.34817260617099743</v>
      </c>
    </row>
    <row r="3060" spans="13:15" x14ac:dyDescent="0.3">
      <c r="M3060" s="35">
        <v>25.37</v>
      </c>
      <c r="N3060">
        <v>305</v>
      </c>
      <c r="O3060" s="34">
        <f t="shared" si="48"/>
        <v>0.34828646248432998</v>
      </c>
    </row>
    <row r="3061" spans="13:15" x14ac:dyDescent="0.3">
      <c r="M3061" s="35">
        <v>25.37</v>
      </c>
      <c r="N3061">
        <v>305</v>
      </c>
      <c r="O3061" s="34">
        <f t="shared" si="48"/>
        <v>0.34840031879766253</v>
      </c>
    </row>
    <row r="3062" spans="13:15" x14ac:dyDescent="0.3">
      <c r="M3062" s="35">
        <v>25.37</v>
      </c>
      <c r="N3062">
        <v>305</v>
      </c>
      <c r="O3062" s="34">
        <f t="shared" si="48"/>
        <v>0.34851417511099508</v>
      </c>
    </row>
    <row r="3063" spans="13:15" x14ac:dyDescent="0.3">
      <c r="M3063" s="35">
        <v>25.37</v>
      </c>
      <c r="N3063">
        <v>305</v>
      </c>
      <c r="O3063" s="34">
        <f t="shared" si="48"/>
        <v>0.34862803142432763</v>
      </c>
    </row>
    <row r="3064" spans="13:15" x14ac:dyDescent="0.3">
      <c r="M3064" s="35">
        <v>25.38</v>
      </c>
      <c r="N3064">
        <v>305</v>
      </c>
      <c r="O3064" s="34">
        <f t="shared" si="48"/>
        <v>0.34874188773766018</v>
      </c>
    </row>
    <row r="3065" spans="13:15" x14ac:dyDescent="0.3">
      <c r="M3065" s="35">
        <v>25.38</v>
      </c>
      <c r="N3065">
        <v>305</v>
      </c>
      <c r="O3065" s="34">
        <f t="shared" si="48"/>
        <v>0.34885574405099273</v>
      </c>
    </row>
    <row r="3066" spans="13:15" x14ac:dyDescent="0.3">
      <c r="M3066" s="35">
        <v>25.38</v>
      </c>
      <c r="N3066">
        <v>305</v>
      </c>
      <c r="O3066" s="34">
        <f t="shared" si="48"/>
        <v>0.34896960036432528</v>
      </c>
    </row>
    <row r="3067" spans="13:15" x14ac:dyDescent="0.3">
      <c r="M3067" s="35">
        <v>25.39</v>
      </c>
      <c r="N3067">
        <v>305</v>
      </c>
      <c r="O3067" s="34">
        <f t="shared" si="48"/>
        <v>0.34908345667765783</v>
      </c>
    </row>
    <row r="3068" spans="13:15" x14ac:dyDescent="0.3">
      <c r="M3068" s="35">
        <v>25.39</v>
      </c>
      <c r="N3068">
        <v>305</v>
      </c>
      <c r="O3068" s="34">
        <f t="shared" si="48"/>
        <v>0.34919731299099038</v>
      </c>
    </row>
    <row r="3069" spans="13:15" x14ac:dyDescent="0.3">
      <c r="M3069" s="35">
        <v>25.39</v>
      </c>
      <c r="N3069">
        <v>305</v>
      </c>
      <c r="O3069" s="34">
        <f t="shared" si="48"/>
        <v>0.34931116930432293</v>
      </c>
    </row>
    <row r="3070" spans="13:15" x14ac:dyDescent="0.3">
      <c r="M3070" s="35">
        <v>25.4</v>
      </c>
      <c r="N3070">
        <v>305</v>
      </c>
      <c r="O3070" s="34">
        <f t="shared" si="48"/>
        <v>0.34942502561765548</v>
      </c>
    </row>
    <row r="3071" spans="13:15" x14ac:dyDescent="0.3">
      <c r="M3071" s="35">
        <v>25.4</v>
      </c>
      <c r="N3071">
        <v>305</v>
      </c>
      <c r="O3071" s="34">
        <f t="shared" si="48"/>
        <v>0.34953888193098803</v>
      </c>
    </row>
    <row r="3072" spans="13:15" x14ac:dyDescent="0.3">
      <c r="M3072" s="35">
        <v>25.41</v>
      </c>
      <c r="N3072">
        <v>305</v>
      </c>
      <c r="O3072" s="34">
        <f t="shared" si="48"/>
        <v>0.34965273824432058</v>
      </c>
    </row>
    <row r="3073" spans="13:15" x14ac:dyDescent="0.3">
      <c r="M3073" s="35">
        <v>25.43</v>
      </c>
      <c r="N3073">
        <v>305</v>
      </c>
      <c r="O3073" s="34">
        <f t="shared" si="48"/>
        <v>0.34976659455765313</v>
      </c>
    </row>
    <row r="3074" spans="13:15" x14ac:dyDescent="0.3">
      <c r="M3074" s="35">
        <v>25.43</v>
      </c>
      <c r="N3074">
        <v>305</v>
      </c>
      <c r="O3074" s="34">
        <f t="shared" si="48"/>
        <v>0.34988045087098568</v>
      </c>
    </row>
    <row r="3075" spans="13:15" x14ac:dyDescent="0.3">
      <c r="M3075" s="35">
        <v>25.43</v>
      </c>
      <c r="N3075">
        <v>305</v>
      </c>
      <c r="O3075" s="34">
        <f t="shared" si="48"/>
        <v>0.34999430718431823</v>
      </c>
    </row>
    <row r="3076" spans="13:15" x14ac:dyDescent="0.3">
      <c r="M3076" s="35">
        <v>25.43</v>
      </c>
      <c r="N3076">
        <v>305</v>
      </c>
      <c r="O3076" s="34">
        <f t="shared" ref="O3076:O3139" si="49">O3075+O$2</f>
        <v>0.35010816349765078</v>
      </c>
    </row>
    <row r="3077" spans="13:15" x14ac:dyDescent="0.3">
      <c r="M3077" s="35">
        <v>25.43</v>
      </c>
      <c r="N3077">
        <v>305</v>
      </c>
      <c r="O3077" s="34">
        <f t="shared" si="49"/>
        <v>0.35022201981098333</v>
      </c>
    </row>
    <row r="3078" spans="13:15" x14ac:dyDescent="0.3">
      <c r="M3078" s="35">
        <v>25.43</v>
      </c>
      <c r="N3078">
        <v>305</v>
      </c>
      <c r="O3078" s="34">
        <f t="shared" si="49"/>
        <v>0.35033587612431588</v>
      </c>
    </row>
    <row r="3079" spans="13:15" x14ac:dyDescent="0.3">
      <c r="M3079" s="35">
        <v>25.43</v>
      </c>
      <c r="N3079">
        <v>305</v>
      </c>
      <c r="O3079" s="34">
        <f t="shared" si="49"/>
        <v>0.35044973243764843</v>
      </c>
    </row>
    <row r="3080" spans="13:15" x14ac:dyDescent="0.3">
      <c r="M3080" s="35">
        <v>25.43</v>
      </c>
      <c r="N3080">
        <v>305</v>
      </c>
      <c r="O3080" s="34">
        <f t="shared" si="49"/>
        <v>0.35056358875098098</v>
      </c>
    </row>
    <row r="3081" spans="13:15" x14ac:dyDescent="0.3">
      <c r="M3081" s="35">
        <v>25.44</v>
      </c>
      <c r="N3081">
        <v>305</v>
      </c>
      <c r="O3081" s="34">
        <f t="shared" si="49"/>
        <v>0.35067744506431353</v>
      </c>
    </row>
    <row r="3082" spans="13:15" x14ac:dyDescent="0.3">
      <c r="M3082" s="35">
        <v>25.44</v>
      </c>
      <c r="N3082">
        <v>305</v>
      </c>
      <c r="O3082" s="34">
        <f t="shared" si="49"/>
        <v>0.35079130137764608</v>
      </c>
    </row>
    <row r="3083" spans="13:15" x14ac:dyDescent="0.3">
      <c r="M3083" s="35">
        <v>25.44</v>
      </c>
      <c r="N3083">
        <v>305</v>
      </c>
      <c r="O3083" s="34">
        <f t="shared" si="49"/>
        <v>0.35090515769097863</v>
      </c>
    </row>
    <row r="3084" spans="13:15" x14ac:dyDescent="0.3">
      <c r="M3084" s="35">
        <v>25.45</v>
      </c>
      <c r="N3084">
        <v>305</v>
      </c>
      <c r="O3084" s="34">
        <f t="shared" si="49"/>
        <v>0.35101901400431118</v>
      </c>
    </row>
    <row r="3085" spans="13:15" x14ac:dyDescent="0.3">
      <c r="M3085" s="35">
        <v>25.45</v>
      </c>
      <c r="N3085">
        <v>305</v>
      </c>
      <c r="O3085" s="34">
        <f t="shared" si="49"/>
        <v>0.35113287031764373</v>
      </c>
    </row>
    <row r="3086" spans="13:15" x14ac:dyDescent="0.3">
      <c r="M3086" s="35">
        <v>25.45</v>
      </c>
      <c r="N3086">
        <v>305</v>
      </c>
      <c r="O3086" s="34">
        <f t="shared" si="49"/>
        <v>0.35124672663097628</v>
      </c>
    </row>
    <row r="3087" spans="13:15" x14ac:dyDescent="0.3">
      <c r="M3087" s="35">
        <v>25.45</v>
      </c>
      <c r="N3087">
        <v>305</v>
      </c>
      <c r="O3087" s="34">
        <f t="shared" si="49"/>
        <v>0.35136058294430883</v>
      </c>
    </row>
    <row r="3088" spans="13:15" x14ac:dyDescent="0.3">
      <c r="M3088" s="35">
        <v>25.45</v>
      </c>
      <c r="N3088">
        <v>305</v>
      </c>
      <c r="O3088" s="34">
        <f t="shared" si="49"/>
        <v>0.35147443925764138</v>
      </c>
    </row>
    <row r="3089" spans="13:15" x14ac:dyDescent="0.3">
      <c r="M3089" s="35">
        <v>25.45</v>
      </c>
      <c r="N3089">
        <v>305</v>
      </c>
      <c r="O3089" s="34">
        <f t="shared" si="49"/>
        <v>0.35158829557097393</v>
      </c>
    </row>
    <row r="3090" spans="13:15" x14ac:dyDescent="0.3">
      <c r="M3090" s="35">
        <v>25.46</v>
      </c>
      <c r="N3090">
        <v>305</v>
      </c>
      <c r="O3090" s="34">
        <f t="shared" si="49"/>
        <v>0.35170215188430648</v>
      </c>
    </row>
    <row r="3091" spans="13:15" x14ac:dyDescent="0.3">
      <c r="M3091" s="35">
        <v>25.47</v>
      </c>
      <c r="N3091">
        <v>305</v>
      </c>
      <c r="O3091" s="34">
        <f t="shared" si="49"/>
        <v>0.35181600819763903</v>
      </c>
    </row>
    <row r="3092" spans="13:15" x14ac:dyDescent="0.3">
      <c r="M3092" s="35">
        <v>25.47</v>
      </c>
      <c r="N3092">
        <v>305</v>
      </c>
      <c r="O3092" s="34">
        <f t="shared" si="49"/>
        <v>0.35192986451097158</v>
      </c>
    </row>
    <row r="3093" spans="13:15" x14ac:dyDescent="0.3">
      <c r="M3093" s="35">
        <v>25.47</v>
      </c>
      <c r="N3093">
        <v>305</v>
      </c>
      <c r="O3093" s="34">
        <f t="shared" si="49"/>
        <v>0.35204372082430413</v>
      </c>
    </row>
    <row r="3094" spans="13:15" x14ac:dyDescent="0.3">
      <c r="M3094" s="35">
        <v>25.47</v>
      </c>
      <c r="N3094">
        <v>305</v>
      </c>
      <c r="O3094" s="34">
        <f t="shared" si="49"/>
        <v>0.35215757713763668</v>
      </c>
    </row>
    <row r="3095" spans="13:15" x14ac:dyDescent="0.3">
      <c r="M3095" s="35">
        <v>25.47</v>
      </c>
      <c r="N3095">
        <v>305</v>
      </c>
      <c r="O3095" s="34">
        <f t="shared" si="49"/>
        <v>0.35227143345096923</v>
      </c>
    </row>
    <row r="3096" spans="13:15" x14ac:dyDescent="0.3">
      <c r="M3096" s="35">
        <v>25.48</v>
      </c>
      <c r="N3096">
        <v>305</v>
      </c>
      <c r="O3096" s="34">
        <f t="shared" si="49"/>
        <v>0.35238528976430178</v>
      </c>
    </row>
    <row r="3097" spans="13:15" x14ac:dyDescent="0.3">
      <c r="M3097" s="35">
        <v>25.49</v>
      </c>
      <c r="N3097">
        <v>305</v>
      </c>
      <c r="O3097" s="34">
        <f t="shared" si="49"/>
        <v>0.35249914607763433</v>
      </c>
    </row>
    <row r="3098" spans="13:15" x14ac:dyDescent="0.3">
      <c r="M3098" s="35">
        <v>25.49</v>
      </c>
      <c r="N3098">
        <v>305</v>
      </c>
      <c r="O3098" s="34">
        <f t="shared" si="49"/>
        <v>0.35261300239096688</v>
      </c>
    </row>
    <row r="3099" spans="13:15" x14ac:dyDescent="0.3">
      <c r="M3099" s="35">
        <v>25.5</v>
      </c>
      <c r="N3099">
        <v>305</v>
      </c>
      <c r="O3099" s="34">
        <f t="shared" si="49"/>
        <v>0.35272685870429943</v>
      </c>
    </row>
    <row r="3100" spans="13:15" x14ac:dyDescent="0.3">
      <c r="M3100" s="35">
        <v>25.51</v>
      </c>
      <c r="N3100">
        <v>305</v>
      </c>
      <c r="O3100" s="34">
        <f t="shared" si="49"/>
        <v>0.35284071501763198</v>
      </c>
    </row>
    <row r="3101" spans="13:15" x14ac:dyDescent="0.3">
      <c r="M3101" s="35">
        <v>25.51</v>
      </c>
      <c r="N3101">
        <v>305</v>
      </c>
      <c r="O3101" s="34">
        <f t="shared" si="49"/>
        <v>0.35295457133096453</v>
      </c>
    </row>
    <row r="3102" spans="13:15" x14ac:dyDescent="0.3">
      <c r="M3102" s="35">
        <v>25.51</v>
      </c>
      <c r="N3102">
        <v>305</v>
      </c>
      <c r="O3102" s="34">
        <f t="shared" si="49"/>
        <v>0.35306842764429708</v>
      </c>
    </row>
    <row r="3103" spans="13:15" x14ac:dyDescent="0.3">
      <c r="M3103" s="35">
        <v>25.52</v>
      </c>
      <c r="N3103">
        <v>305</v>
      </c>
      <c r="O3103" s="34">
        <f t="shared" si="49"/>
        <v>0.35318228395762963</v>
      </c>
    </row>
    <row r="3104" spans="13:15" x14ac:dyDescent="0.3">
      <c r="M3104" s="35">
        <v>25.52</v>
      </c>
      <c r="N3104">
        <v>305</v>
      </c>
      <c r="O3104" s="34">
        <f t="shared" si="49"/>
        <v>0.35329614027096218</v>
      </c>
    </row>
    <row r="3105" spans="13:15" x14ac:dyDescent="0.3">
      <c r="M3105" s="35">
        <v>25.52</v>
      </c>
      <c r="N3105">
        <v>305</v>
      </c>
      <c r="O3105" s="34">
        <f t="shared" si="49"/>
        <v>0.35340999658429473</v>
      </c>
    </row>
    <row r="3106" spans="13:15" x14ac:dyDescent="0.3">
      <c r="M3106" s="35">
        <v>25.52</v>
      </c>
      <c r="N3106">
        <v>305</v>
      </c>
      <c r="O3106" s="34">
        <f t="shared" si="49"/>
        <v>0.35352385289762728</v>
      </c>
    </row>
    <row r="3107" spans="13:15" x14ac:dyDescent="0.3">
      <c r="M3107" s="35">
        <v>25.52</v>
      </c>
      <c r="N3107">
        <v>305</v>
      </c>
      <c r="O3107" s="34">
        <f t="shared" si="49"/>
        <v>0.35363770921095983</v>
      </c>
    </row>
    <row r="3108" spans="13:15" x14ac:dyDescent="0.3">
      <c r="M3108" s="35">
        <v>25.52</v>
      </c>
      <c r="N3108">
        <v>305</v>
      </c>
      <c r="O3108" s="34">
        <f t="shared" si="49"/>
        <v>0.35375156552429238</v>
      </c>
    </row>
    <row r="3109" spans="13:15" x14ac:dyDescent="0.3">
      <c r="M3109" s="35">
        <v>25.53</v>
      </c>
      <c r="N3109">
        <v>305</v>
      </c>
      <c r="O3109" s="34">
        <f t="shared" si="49"/>
        <v>0.35386542183762493</v>
      </c>
    </row>
    <row r="3110" spans="13:15" x14ac:dyDescent="0.3">
      <c r="M3110" s="35">
        <v>25.54</v>
      </c>
      <c r="N3110">
        <v>305</v>
      </c>
      <c r="O3110" s="34">
        <f t="shared" si="49"/>
        <v>0.35397927815095748</v>
      </c>
    </row>
    <row r="3111" spans="13:15" x14ac:dyDescent="0.3">
      <c r="M3111" s="35">
        <v>25.54</v>
      </c>
      <c r="N3111">
        <v>305</v>
      </c>
      <c r="O3111" s="34">
        <f t="shared" si="49"/>
        <v>0.35409313446429003</v>
      </c>
    </row>
    <row r="3112" spans="13:15" x14ac:dyDescent="0.3">
      <c r="M3112" s="35">
        <v>25.55</v>
      </c>
      <c r="N3112">
        <v>305</v>
      </c>
      <c r="O3112" s="34">
        <f t="shared" si="49"/>
        <v>0.35420699077762258</v>
      </c>
    </row>
    <row r="3113" spans="13:15" x14ac:dyDescent="0.3">
      <c r="M3113" s="35">
        <v>25.55</v>
      </c>
      <c r="N3113">
        <v>305</v>
      </c>
      <c r="O3113" s="34">
        <f t="shared" si="49"/>
        <v>0.35432084709095513</v>
      </c>
    </row>
    <row r="3114" spans="13:15" x14ac:dyDescent="0.3">
      <c r="M3114" s="35">
        <v>25.55</v>
      </c>
      <c r="N3114">
        <v>305</v>
      </c>
      <c r="O3114" s="34">
        <f t="shared" si="49"/>
        <v>0.35443470340428768</v>
      </c>
    </row>
    <row r="3115" spans="13:15" x14ac:dyDescent="0.3">
      <c r="M3115" s="35">
        <v>25.56</v>
      </c>
      <c r="N3115">
        <v>305</v>
      </c>
      <c r="O3115" s="34">
        <f t="shared" si="49"/>
        <v>0.35454855971762023</v>
      </c>
    </row>
    <row r="3116" spans="13:15" x14ac:dyDescent="0.3">
      <c r="M3116" s="35">
        <v>25.56</v>
      </c>
      <c r="N3116">
        <v>305</v>
      </c>
      <c r="O3116" s="34">
        <f t="shared" si="49"/>
        <v>0.35466241603095278</v>
      </c>
    </row>
    <row r="3117" spans="13:15" x14ac:dyDescent="0.3">
      <c r="M3117" s="35">
        <v>25.56</v>
      </c>
      <c r="N3117">
        <v>305</v>
      </c>
      <c r="O3117" s="34">
        <f t="shared" si="49"/>
        <v>0.35477627234428533</v>
      </c>
    </row>
    <row r="3118" spans="13:15" x14ac:dyDescent="0.3">
      <c r="M3118" s="35">
        <v>25.56</v>
      </c>
      <c r="N3118">
        <v>305</v>
      </c>
      <c r="O3118" s="34">
        <f t="shared" si="49"/>
        <v>0.35489012865761788</v>
      </c>
    </row>
    <row r="3119" spans="13:15" x14ac:dyDescent="0.3">
      <c r="M3119" s="35">
        <v>25.56</v>
      </c>
      <c r="N3119">
        <v>305</v>
      </c>
      <c r="O3119" s="34">
        <f t="shared" si="49"/>
        <v>0.35500398497095043</v>
      </c>
    </row>
    <row r="3120" spans="13:15" x14ac:dyDescent="0.3">
      <c r="M3120" s="35">
        <v>25.57</v>
      </c>
      <c r="N3120">
        <v>305</v>
      </c>
      <c r="O3120" s="34">
        <f t="shared" si="49"/>
        <v>0.35511784128428298</v>
      </c>
    </row>
    <row r="3121" spans="13:15" x14ac:dyDescent="0.3">
      <c r="M3121" s="35">
        <v>25.57</v>
      </c>
      <c r="N3121">
        <v>305</v>
      </c>
      <c r="O3121" s="34">
        <f t="shared" si="49"/>
        <v>0.35523169759761553</v>
      </c>
    </row>
    <row r="3122" spans="13:15" x14ac:dyDescent="0.3">
      <c r="M3122" s="35">
        <v>25.58</v>
      </c>
      <c r="N3122">
        <v>305</v>
      </c>
      <c r="O3122" s="34">
        <f t="shared" si="49"/>
        <v>0.35534555391094808</v>
      </c>
    </row>
    <row r="3123" spans="13:15" x14ac:dyDescent="0.3">
      <c r="M3123" s="35">
        <v>25.58</v>
      </c>
      <c r="N3123">
        <v>305</v>
      </c>
      <c r="O3123" s="34">
        <f t="shared" si="49"/>
        <v>0.35545941022428063</v>
      </c>
    </row>
    <row r="3124" spans="13:15" x14ac:dyDescent="0.3">
      <c r="M3124" s="35">
        <v>25.58</v>
      </c>
      <c r="N3124">
        <v>305</v>
      </c>
      <c r="O3124" s="34">
        <f t="shared" si="49"/>
        <v>0.35557326653761318</v>
      </c>
    </row>
    <row r="3125" spans="13:15" x14ac:dyDescent="0.3">
      <c r="M3125" s="35">
        <v>25.58</v>
      </c>
      <c r="N3125">
        <v>305</v>
      </c>
      <c r="O3125" s="34">
        <f t="shared" si="49"/>
        <v>0.35568712285094573</v>
      </c>
    </row>
    <row r="3126" spans="13:15" x14ac:dyDescent="0.3">
      <c r="M3126" s="35">
        <v>25.58</v>
      </c>
      <c r="N3126">
        <v>305</v>
      </c>
      <c r="O3126" s="34">
        <f t="shared" si="49"/>
        <v>0.35580097916427827</v>
      </c>
    </row>
    <row r="3127" spans="13:15" x14ac:dyDescent="0.3">
      <c r="M3127" s="35">
        <v>25.58</v>
      </c>
      <c r="N3127">
        <v>305</v>
      </c>
      <c r="O3127" s="34">
        <f t="shared" si="49"/>
        <v>0.35591483547761082</v>
      </c>
    </row>
    <row r="3128" spans="13:15" x14ac:dyDescent="0.3">
      <c r="M3128" s="35">
        <v>25.58</v>
      </c>
      <c r="N3128">
        <v>305</v>
      </c>
      <c r="O3128" s="34">
        <f t="shared" si="49"/>
        <v>0.35602869179094337</v>
      </c>
    </row>
    <row r="3129" spans="13:15" x14ac:dyDescent="0.3">
      <c r="M3129" s="35">
        <v>25.58</v>
      </c>
      <c r="N3129">
        <v>305</v>
      </c>
      <c r="O3129" s="34">
        <f t="shared" si="49"/>
        <v>0.35614254810427592</v>
      </c>
    </row>
    <row r="3130" spans="13:15" x14ac:dyDescent="0.3">
      <c r="M3130" s="35">
        <v>25.59</v>
      </c>
      <c r="N3130">
        <v>305</v>
      </c>
      <c r="O3130" s="34">
        <f t="shared" si="49"/>
        <v>0.35625640441760847</v>
      </c>
    </row>
    <row r="3131" spans="13:15" x14ac:dyDescent="0.3">
      <c r="M3131" s="35">
        <v>25.59</v>
      </c>
      <c r="N3131">
        <v>305</v>
      </c>
      <c r="O3131" s="34">
        <f t="shared" si="49"/>
        <v>0.35637026073094102</v>
      </c>
    </row>
    <row r="3132" spans="13:15" x14ac:dyDescent="0.3">
      <c r="M3132" s="35">
        <v>25.59</v>
      </c>
      <c r="N3132">
        <v>305</v>
      </c>
      <c r="O3132" s="34">
        <f t="shared" si="49"/>
        <v>0.35648411704427357</v>
      </c>
    </row>
    <row r="3133" spans="13:15" x14ac:dyDescent="0.3">
      <c r="M3133" s="35">
        <v>25.59</v>
      </c>
      <c r="N3133">
        <v>305</v>
      </c>
      <c r="O3133" s="34">
        <f t="shared" si="49"/>
        <v>0.35659797335760612</v>
      </c>
    </row>
    <row r="3134" spans="13:15" x14ac:dyDescent="0.3">
      <c r="M3134" s="35">
        <v>25.6</v>
      </c>
      <c r="N3134">
        <v>305</v>
      </c>
      <c r="O3134" s="34">
        <f t="shared" si="49"/>
        <v>0.35671182967093867</v>
      </c>
    </row>
    <row r="3135" spans="13:15" x14ac:dyDescent="0.3">
      <c r="M3135" s="35">
        <v>25.6</v>
      </c>
      <c r="N3135">
        <v>305</v>
      </c>
      <c r="O3135" s="34">
        <f t="shared" si="49"/>
        <v>0.35682568598427122</v>
      </c>
    </row>
    <row r="3136" spans="13:15" x14ac:dyDescent="0.3">
      <c r="M3136" s="35">
        <v>25.6</v>
      </c>
      <c r="N3136">
        <v>305</v>
      </c>
      <c r="O3136" s="34">
        <f t="shared" si="49"/>
        <v>0.35693954229760377</v>
      </c>
    </row>
    <row r="3137" spans="13:15" x14ac:dyDescent="0.3">
      <c r="M3137" s="35">
        <v>25.6</v>
      </c>
      <c r="N3137">
        <v>305</v>
      </c>
      <c r="O3137" s="34">
        <f t="shared" si="49"/>
        <v>0.35705339861093632</v>
      </c>
    </row>
    <row r="3138" spans="13:15" x14ac:dyDescent="0.3">
      <c r="M3138" s="35">
        <v>25.6</v>
      </c>
      <c r="N3138">
        <v>305</v>
      </c>
      <c r="O3138" s="34">
        <f t="shared" si="49"/>
        <v>0.35716725492426887</v>
      </c>
    </row>
    <row r="3139" spans="13:15" x14ac:dyDescent="0.3">
      <c r="M3139" s="35">
        <v>25.6</v>
      </c>
      <c r="N3139">
        <v>305</v>
      </c>
      <c r="O3139" s="34">
        <f t="shared" si="49"/>
        <v>0.35728111123760142</v>
      </c>
    </row>
    <row r="3140" spans="13:15" x14ac:dyDescent="0.3">
      <c r="M3140" s="35">
        <v>25.61</v>
      </c>
      <c r="N3140">
        <v>305</v>
      </c>
      <c r="O3140" s="34">
        <f t="shared" ref="O3140:O3203" si="50">O3139+O$2</f>
        <v>0.35739496755093397</v>
      </c>
    </row>
    <row r="3141" spans="13:15" x14ac:dyDescent="0.3">
      <c r="M3141" s="35">
        <v>25.61</v>
      </c>
      <c r="N3141">
        <v>305</v>
      </c>
      <c r="O3141" s="34">
        <f t="shared" si="50"/>
        <v>0.35750882386426652</v>
      </c>
    </row>
    <row r="3142" spans="13:15" x14ac:dyDescent="0.3">
      <c r="M3142" s="35">
        <v>25.63</v>
      </c>
      <c r="N3142">
        <v>305</v>
      </c>
      <c r="O3142" s="34">
        <f t="shared" si="50"/>
        <v>0.35762268017759907</v>
      </c>
    </row>
    <row r="3143" spans="13:15" x14ac:dyDescent="0.3">
      <c r="M3143" s="35">
        <v>25.64</v>
      </c>
      <c r="N3143">
        <v>305</v>
      </c>
      <c r="O3143" s="34">
        <f t="shared" si="50"/>
        <v>0.35773653649093162</v>
      </c>
    </row>
    <row r="3144" spans="13:15" x14ac:dyDescent="0.3">
      <c r="M3144" s="35">
        <v>25.65</v>
      </c>
      <c r="N3144">
        <v>305</v>
      </c>
      <c r="O3144" s="34">
        <f t="shared" si="50"/>
        <v>0.35785039280426417</v>
      </c>
    </row>
    <row r="3145" spans="13:15" x14ac:dyDescent="0.3">
      <c r="M3145" s="35">
        <v>25.65</v>
      </c>
      <c r="N3145">
        <v>305</v>
      </c>
      <c r="O3145" s="34">
        <f t="shared" si="50"/>
        <v>0.35796424911759672</v>
      </c>
    </row>
    <row r="3146" spans="13:15" x14ac:dyDescent="0.3">
      <c r="M3146" s="35">
        <v>25.66</v>
      </c>
      <c r="N3146">
        <v>305</v>
      </c>
      <c r="O3146" s="34">
        <f t="shared" si="50"/>
        <v>0.35807810543092927</v>
      </c>
    </row>
    <row r="3147" spans="13:15" x14ac:dyDescent="0.3">
      <c r="M3147" s="35">
        <v>25.66</v>
      </c>
      <c r="N3147">
        <v>305</v>
      </c>
      <c r="O3147" s="34">
        <f t="shared" si="50"/>
        <v>0.35819196174426182</v>
      </c>
    </row>
    <row r="3148" spans="13:15" x14ac:dyDescent="0.3">
      <c r="M3148" s="35">
        <v>25.66</v>
      </c>
      <c r="N3148">
        <v>305</v>
      </c>
      <c r="O3148" s="34">
        <f t="shared" si="50"/>
        <v>0.35830581805759437</v>
      </c>
    </row>
    <row r="3149" spans="13:15" x14ac:dyDescent="0.3">
      <c r="M3149" s="35">
        <v>25.66</v>
      </c>
      <c r="N3149">
        <v>305</v>
      </c>
      <c r="O3149" s="34">
        <f t="shared" si="50"/>
        <v>0.35841967437092692</v>
      </c>
    </row>
    <row r="3150" spans="13:15" x14ac:dyDescent="0.3">
      <c r="M3150" s="35">
        <v>25.66</v>
      </c>
      <c r="N3150">
        <v>305</v>
      </c>
      <c r="O3150" s="34">
        <f t="shared" si="50"/>
        <v>0.35853353068425947</v>
      </c>
    </row>
    <row r="3151" spans="13:15" x14ac:dyDescent="0.3">
      <c r="M3151" s="35">
        <v>25.67</v>
      </c>
      <c r="N3151">
        <v>305</v>
      </c>
      <c r="O3151" s="34">
        <f t="shared" si="50"/>
        <v>0.35864738699759202</v>
      </c>
    </row>
    <row r="3152" spans="13:15" x14ac:dyDescent="0.3">
      <c r="M3152" s="35">
        <v>25.67</v>
      </c>
      <c r="N3152">
        <v>305</v>
      </c>
      <c r="O3152" s="34">
        <f t="shared" si="50"/>
        <v>0.35876124331092457</v>
      </c>
    </row>
    <row r="3153" spans="13:15" x14ac:dyDescent="0.3">
      <c r="M3153" s="35">
        <v>25.67</v>
      </c>
      <c r="N3153">
        <v>305</v>
      </c>
      <c r="O3153" s="34">
        <f t="shared" si="50"/>
        <v>0.35887509962425712</v>
      </c>
    </row>
    <row r="3154" spans="13:15" x14ac:dyDescent="0.3">
      <c r="M3154" s="35">
        <v>25.68</v>
      </c>
      <c r="N3154">
        <v>305</v>
      </c>
      <c r="O3154" s="34">
        <f t="shared" si="50"/>
        <v>0.35898895593758967</v>
      </c>
    </row>
    <row r="3155" spans="13:15" x14ac:dyDescent="0.3">
      <c r="M3155" s="35">
        <v>25.68</v>
      </c>
      <c r="N3155">
        <v>305</v>
      </c>
      <c r="O3155" s="34">
        <f t="shared" si="50"/>
        <v>0.35910281225092222</v>
      </c>
    </row>
    <row r="3156" spans="13:15" x14ac:dyDescent="0.3">
      <c r="M3156" s="35">
        <v>25.68</v>
      </c>
      <c r="N3156">
        <v>305</v>
      </c>
      <c r="O3156" s="34">
        <f t="shared" si="50"/>
        <v>0.35921666856425477</v>
      </c>
    </row>
    <row r="3157" spans="13:15" x14ac:dyDescent="0.3">
      <c r="M3157" s="35">
        <v>25.68</v>
      </c>
      <c r="N3157">
        <v>305</v>
      </c>
      <c r="O3157" s="34">
        <f t="shared" si="50"/>
        <v>0.35933052487758732</v>
      </c>
    </row>
    <row r="3158" spans="13:15" x14ac:dyDescent="0.3">
      <c r="M3158" s="35">
        <v>25.69</v>
      </c>
      <c r="N3158">
        <v>305</v>
      </c>
      <c r="O3158" s="34">
        <f t="shared" si="50"/>
        <v>0.35944438119091987</v>
      </c>
    </row>
    <row r="3159" spans="13:15" x14ac:dyDescent="0.3">
      <c r="M3159" s="35">
        <v>25.69</v>
      </c>
      <c r="N3159">
        <v>305</v>
      </c>
      <c r="O3159" s="34">
        <f t="shared" si="50"/>
        <v>0.35955823750425242</v>
      </c>
    </row>
    <row r="3160" spans="13:15" x14ac:dyDescent="0.3">
      <c r="M3160" s="35">
        <v>25.69</v>
      </c>
      <c r="N3160">
        <v>305</v>
      </c>
      <c r="O3160" s="34">
        <f t="shared" si="50"/>
        <v>0.35967209381758497</v>
      </c>
    </row>
    <row r="3161" spans="13:15" x14ac:dyDescent="0.3">
      <c r="M3161" s="35">
        <v>25.69</v>
      </c>
      <c r="N3161">
        <v>305</v>
      </c>
      <c r="O3161" s="34">
        <f t="shared" si="50"/>
        <v>0.35978595013091752</v>
      </c>
    </row>
    <row r="3162" spans="13:15" x14ac:dyDescent="0.3">
      <c r="M3162" s="35">
        <v>25.7</v>
      </c>
      <c r="N3162">
        <v>305</v>
      </c>
      <c r="O3162" s="34">
        <f t="shared" si="50"/>
        <v>0.35989980644425007</v>
      </c>
    </row>
    <row r="3163" spans="13:15" x14ac:dyDescent="0.3">
      <c r="M3163" s="35">
        <v>25.7</v>
      </c>
      <c r="N3163">
        <v>305</v>
      </c>
      <c r="O3163" s="34">
        <f t="shared" si="50"/>
        <v>0.36001366275758262</v>
      </c>
    </row>
    <row r="3164" spans="13:15" x14ac:dyDescent="0.3">
      <c r="M3164" s="35">
        <v>25.7</v>
      </c>
      <c r="N3164">
        <v>305</v>
      </c>
      <c r="O3164" s="34">
        <f t="shared" si="50"/>
        <v>0.36012751907091517</v>
      </c>
    </row>
    <row r="3165" spans="13:15" x14ac:dyDescent="0.3">
      <c r="M3165" s="35">
        <v>25.71</v>
      </c>
      <c r="N3165">
        <v>305</v>
      </c>
      <c r="O3165" s="34">
        <f t="shared" si="50"/>
        <v>0.36024137538424772</v>
      </c>
    </row>
    <row r="3166" spans="13:15" x14ac:dyDescent="0.3">
      <c r="M3166" s="35">
        <v>25.71</v>
      </c>
      <c r="N3166">
        <v>305</v>
      </c>
      <c r="O3166" s="34">
        <f t="shared" si="50"/>
        <v>0.36035523169758027</v>
      </c>
    </row>
    <row r="3167" spans="13:15" x14ac:dyDescent="0.3">
      <c r="M3167" s="35">
        <v>25.71</v>
      </c>
      <c r="N3167">
        <v>305</v>
      </c>
      <c r="O3167" s="34">
        <f t="shared" si="50"/>
        <v>0.36046908801091282</v>
      </c>
    </row>
    <row r="3168" spans="13:15" x14ac:dyDescent="0.3">
      <c r="M3168" s="35">
        <v>25.71</v>
      </c>
      <c r="N3168">
        <v>305</v>
      </c>
      <c r="O3168" s="34">
        <f t="shared" si="50"/>
        <v>0.36058294432424537</v>
      </c>
    </row>
    <row r="3169" spans="13:15" x14ac:dyDescent="0.3">
      <c r="M3169" s="35">
        <v>25.72</v>
      </c>
      <c r="N3169">
        <v>305</v>
      </c>
      <c r="O3169" s="34">
        <f t="shared" si="50"/>
        <v>0.36069680063757792</v>
      </c>
    </row>
    <row r="3170" spans="13:15" x14ac:dyDescent="0.3">
      <c r="M3170" s="35">
        <v>25.73</v>
      </c>
      <c r="N3170">
        <v>305</v>
      </c>
      <c r="O3170" s="34">
        <f t="shared" si="50"/>
        <v>0.36081065695091047</v>
      </c>
    </row>
    <row r="3171" spans="13:15" x14ac:dyDescent="0.3">
      <c r="M3171" s="35">
        <v>25.73</v>
      </c>
      <c r="N3171">
        <v>305</v>
      </c>
      <c r="O3171" s="34">
        <f t="shared" si="50"/>
        <v>0.36092451326424302</v>
      </c>
    </row>
    <row r="3172" spans="13:15" x14ac:dyDescent="0.3">
      <c r="M3172" s="35">
        <v>25.73</v>
      </c>
      <c r="N3172">
        <v>305</v>
      </c>
      <c r="O3172" s="34">
        <f t="shared" si="50"/>
        <v>0.36103836957757557</v>
      </c>
    </row>
    <row r="3173" spans="13:15" x14ac:dyDescent="0.3">
      <c r="M3173" s="35">
        <v>25.73</v>
      </c>
      <c r="N3173">
        <v>305</v>
      </c>
      <c r="O3173" s="34">
        <f t="shared" si="50"/>
        <v>0.36115222589090812</v>
      </c>
    </row>
    <row r="3174" spans="13:15" x14ac:dyDescent="0.3">
      <c r="M3174" s="35">
        <v>25.73</v>
      </c>
      <c r="N3174">
        <v>305</v>
      </c>
      <c r="O3174" s="34">
        <f t="shared" si="50"/>
        <v>0.36126608220424067</v>
      </c>
    </row>
    <row r="3175" spans="13:15" x14ac:dyDescent="0.3">
      <c r="M3175" s="35">
        <v>25.73</v>
      </c>
      <c r="N3175">
        <v>305</v>
      </c>
      <c r="O3175" s="34">
        <f t="shared" si="50"/>
        <v>0.36137993851757322</v>
      </c>
    </row>
    <row r="3176" spans="13:15" x14ac:dyDescent="0.3">
      <c r="M3176" s="35">
        <v>25.74</v>
      </c>
      <c r="N3176">
        <v>305</v>
      </c>
      <c r="O3176" s="34">
        <f t="shared" si="50"/>
        <v>0.36149379483090577</v>
      </c>
    </row>
    <row r="3177" spans="13:15" x14ac:dyDescent="0.3">
      <c r="M3177" s="35">
        <v>25.74</v>
      </c>
      <c r="N3177">
        <v>305</v>
      </c>
      <c r="O3177" s="34">
        <f t="shared" si="50"/>
        <v>0.36160765114423832</v>
      </c>
    </row>
    <row r="3178" spans="13:15" x14ac:dyDescent="0.3">
      <c r="M3178" s="35">
        <v>25.74</v>
      </c>
      <c r="N3178">
        <v>305</v>
      </c>
      <c r="O3178" s="34">
        <f t="shared" si="50"/>
        <v>0.36172150745757087</v>
      </c>
    </row>
    <row r="3179" spans="13:15" x14ac:dyDescent="0.3">
      <c r="M3179" s="35">
        <v>25.74</v>
      </c>
      <c r="N3179">
        <v>305</v>
      </c>
      <c r="O3179" s="34">
        <f t="shared" si="50"/>
        <v>0.36183536377090342</v>
      </c>
    </row>
    <row r="3180" spans="13:15" x14ac:dyDescent="0.3">
      <c r="M3180" s="35">
        <v>25.74</v>
      </c>
      <c r="N3180">
        <v>305</v>
      </c>
      <c r="O3180" s="34">
        <f t="shared" si="50"/>
        <v>0.36194922008423597</v>
      </c>
    </row>
    <row r="3181" spans="13:15" x14ac:dyDescent="0.3">
      <c r="M3181" s="35">
        <v>25.75</v>
      </c>
      <c r="N3181">
        <v>305</v>
      </c>
      <c r="O3181" s="34">
        <f t="shared" si="50"/>
        <v>0.36206307639756852</v>
      </c>
    </row>
    <row r="3182" spans="13:15" x14ac:dyDescent="0.3">
      <c r="M3182" s="35">
        <v>25.75</v>
      </c>
      <c r="N3182">
        <v>305</v>
      </c>
      <c r="O3182" s="34">
        <f t="shared" si="50"/>
        <v>0.36217693271090107</v>
      </c>
    </row>
    <row r="3183" spans="13:15" x14ac:dyDescent="0.3">
      <c r="M3183" s="35">
        <v>25.75</v>
      </c>
      <c r="N3183">
        <v>305</v>
      </c>
      <c r="O3183" s="34">
        <f t="shared" si="50"/>
        <v>0.36229078902423362</v>
      </c>
    </row>
    <row r="3184" spans="13:15" x14ac:dyDescent="0.3">
      <c r="M3184" s="35">
        <v>25.75</v>
      </c>
      <c r="N3184">
        <v>305</v>
      </c>
      <c r="O3184" s="34">
        <f t="shared" si="50"/>
        <v>0.36240464533756617</v>
      </c>
    </row>
    <row r="3185" spans="13:15" x14ac:dyDescent="0.3">
      <c r="M3185" s="35">
        <v>25.75</v>
      </c>
      <c r="N3185">
        <v>305</v>
      </c>
      <c r="O3185" s="34">
        <f t="shared" si="50"/>
        <v>0.36251850165089872</v>
      </c>
    </row>
    <row r="3186" spans="13:15" x14ac:dyDescent="0.3">
      <c r="M3186" s="35">
        <v>25.75</v>
      </c>
      <c r="N3186">
        <v>305</v>
      </c>
      <c r="O3186" s="34">
        <f t="shared" si="50"/>
        <v>0.36263235796423127</v>
      </c>
    </row>
    <row r="3187" spans="13:15" x14ac:dyDescent="0.3">
      <c r="M3187" s="35">
        <v>25.75</v>
      </c>
      <c r="N3187">
        <v>305</v>
      </c>
      <c r="O3187" s="34">
        <f t="shared" si="50"/>
        <v>0.36274621427756382</v>
      </c>
    </row>
    <row r="3188" spans="13:15" x14ac:dyDescent="0.3">
      <c r="M3188" s="35">
        <v>25.75</v>
      </c>
      <c r="N3188">
        <v>305</v>
      </c>
      <c r="O3188" s="34">
        <f t="shared" si="50"/>
        <v>0.36286007059089637</v>
      </c>
    </row>
    <row r="3189" spans="13:15" x14ac:dyDescent="0.3">
      <c r="M3189" s="35">
        <v>25.76</v>
      </c>
      <c r="N3189">
        <v>305</v>
      </c>
      <c r="O3189" s="34">
        <f t="shared" si="50"/>
        <v>0.36297392690422892</v>
      </c>
    </row>
    <row r="3190" spans="13:15" x14ac:dyDescent="0.3">
      <c r="M3190" s="35">
        <v>25.77</v>
      </c>
      <c r="N3190">
        <v>305</v>
      </c>
      <c r="O3190" s="34">
        <f t="shared" si="50"/>
        <v>0.36308778321756147</v>
      </c>
    </row>
    <row r="3191" spans="13:15" x14ac:dyDescent="0.3">
      <c r="M3191" s="35">
        <v>25.77</v>
      </c>
      <c r="N3191">
        <v>305</v>
      </c>
      <c r="O3191" s="34">
        <f t="shared" si="50"/>
        <v>0.36320163953089402</v>
      </c>
    </row>
    <row r="3192" spans="13:15" x14ac:dyDescent="0.3">
      <c r="M3192" s="35">
        <v>25.77</v>
      </c>
      <c r="N3192">
        <v>305</v>
      </c>
      <c r="O3192" s="34">
        <f t="shared" si="50"/>
        <v>0.36331549584422657</v>
      </c>
    </row>
    <row r="3193" spans="13:15" x14ac:dyDescent="0.3">
      <c r="M3193" s="35">
        <v>25.77</v>
      </c>
      <c r="N3193">
        <v>305</v>
      </c>
      <c r="O3193" s="34">
        <f t="shared" si="50"/>
        <v>0.36342935215755912</v>
      </c>
    </row>
    <row r="3194" spans="13:15" x14ac:dyDescent="0.3">
      <c r="M3194" s="35">
        <v>25.77</v>
      </c>
      <c r="N3194">
        <v>305</v>
      </c>
      <c r="O3194" s="34">
        <f t="shared" si="50"/>
        <v>0.36354320847089167</v>
      </c>
    </row>
    <row r="3195" spans="13:15" x14ac:dyDescent="0.3">
      <c r="M3195" s="35">
        <v>25.78</v>
      </c>
      <c r="N3195">
        <v>305</v>
      </c>
      <c r="O3195" s="34">
        <f t="shared" si="50"/>
        <v>0.36365706478422422</v>
      </c>
    </row>
    <row r="3196" spans="13:15" x14ac:dyDescent="0.3">
      <c r="M3196" s="35">
        <v>25.78</v>
      </c>
      <c r="N3196">
        <v>305</v>
      </c>
      <c r="O3196" s="34">
        <f t="shared" si="50"/>
        <v>0.36377092109755677</v>
      </c>
    </row>
    <row r="3197" spans="13:15" x14ac:dyDescent="0.3">
      <c r="M3197" s="35">
        <v>25.78</v>
      </c>
      <c r="N3197">
        <v>305</v>
      </c>
      <c r="O3197" s="34">
        <f t="shared" si="50"/>
        <v>0.36388477741088932</v>
      </c>
    </row>
    <row r="3198" spans="13:15" x14ac:dyDescent="0.3">
      <c r="M3198" s="35">
        <v>25.78</v>
      </c>
      <c r="N3198">
        <v>305</v>
      </c>
      <c r="O3198" s="34">
        <f t="shared" si="50"/>
        <v>0.36399863372422187</v>
      </c>
    </row>
    <row r="3199" spans="13:15" x14ac:dyDescent="0.3">
      <c r="M3199" s="35">
        <v>25.78</v>
      </c>
      <c r="N3199">
        <v>305</v>
      </c>
      <c r="O3199" s="34">
        <f t="shared" si="50"/>
        <v>0.36411249003755441</v>
      </c>
    </row>
    <row r="3200" spans="13:15" x14ac:dyDescent="0.3">
      <c r="M3200" s="35">
        <v>25.78</v>
      </c>
      <c r="N3200">
        <v>305</v>
      </c>
      <c r="O3200" s="34">
        <f t="shared" si="50"/>
        <v>0.36422634635088696</v>
      </c>
    </row>
    <row r="3201" spans="13:15" x14ac:dyDescent="0.3">
      <c r="M3201" s="35">
        <v>25.79</v>
      </c>
      <c r="N3201">
        <v>305</v>
      </c>
      <c r="O3201" s="34">
        <f t="shared" si="50"/>
        <v>0.36434020266421951</v>
      </c>
    </row>
    <row r="3202" spans="13:15" x14ac:dyDescent="0.3">
      <c r="M3202" s="35">
        <v>25.79</v>
      </c>
      <c r="N3202">
        <v>305</v>
      </c>
      <c r="O3202" s="34">
        <f t="shared" si="50"/>
        <v>0.36445405897755206</v>
      </c>
    </row>
    <row r="3203" spans="13:15" x14ac:dyDescent="0.3">
      <c r="M3203" s="35">
        <v>25.8</v>
      </c>
      <c r="N3203">
        <v>305</v>
      </c>
      <c r="O3203" s="34">
        <f t="shared" si="50"/>
        <v>0.36456791529088461</v>
      </c>
    </row>
    <row r="3204" spans="13:15" x14ac:dyDescent="0.3">
      <c r="M3204" s="35">
        <v>25.8</v>
      </c>
      <c r="N3204">
        <v>305</v>
      </c>
      <c r="O3204" s="34">
        <f t="shared" ref="O3204:O3267" si="51">O3203+O$2</f>
        <v>0.36468177160421716</v>
      </c>
    </row>
    <row r="3205" spans="13:15" x14ac:dyDescent="0.3">
      <c r="M3205" s="35">
        <v>25.81</v>
      </c>
      <c r="N3205">
        <v>305</v>
      </c>
      <c r="O3205" s="34">
        <f t="shared" si="51"/>
        <v>0.36479562791754971</v>
      </c>
    </row>
    <row r="3206" spans="13:15" x14ac:dyDescent="0.3">
      <c r="M3206" s="35">
        <v>25.81</v>
      </c>
      <c r="N3206">
        <v>305</v>
      </c>
      <c r="O3206" s="34">
        <f t="shared" si="51"/>
        <v>0.36490948423088226</v>
      </c>
    </row>
    <row r="3207" spans="13:15" x14ac:dyDescent="0.3">
      <c r="M3207" s="35">
        <v>25.81</v>
      </c>
      <c r="N3207">
        <v>305</v>
      </c>
      <c r="O3207" s="34">
        <f t="shared" si="51"/>
        <v>0.36502334054421481</v>
      </c>
    </row>
    <row r="3208" spans="13:15" x14ac:dyDescent="0.3">
      <c r="M3208" s="35">
        <v>25.81</v>
      </c>
      <c r="N3208">
        <v>305</v>
      </c>
      <c r="O3208" s="34">
        <f t="shared" si="51"/>
        <v>0.36513719685754736</v>
      </c>
    </row>
    <row r="3209" spans="13:15" x14ac:dyDescent="0.3">
      <c r="M3209" s="35">
        <v>25.82</v>
      </c>
      <c r="N3209">
        <v>305</v>
      </c>
      <c r="O3209" s="34">
        <f t="shared" si="51"/>
        <v>0.36525105317087991</v>
      </c>
    </row>
    <row r="3210" spans="13:15" x14ac:dyDescent="0.3">
      <c r="M3210" s="35">
        <v>25.83</v>
      </c>
      <c r="N3210">
        <v>305</v>
      </c>
      <c r="O3210" s="34">
        <f t="shared" si="51"/>
        <v>0.36536490948421246</v>
      </c>
    </row>
    <row r="3211" spans="13:15" x14ac:dyDescent="0.3">
      <c r="M3211" s="35">
        <v>25.83</v>
      </c>
      <c r="N3211">
        <v>305</v>
      </c>
      <c r="O3211" s="34">
        <f t="shared" si="51"/>
        <v>0.36547876579754501</v>
      </c>
    </row>
    <row r="3212" spans="13:15" x14ac:dyDescent="0.3">
      <c r="M3212" s="35">
        <v>25.83</v>
      </c>
      <c r="N3212">
        <v>305</v>
      </c>
      <c r="O3212" s="34">
        <f t="shared" si="51"/>
        <v>0.36559262211087756</v>
      </c>
    </row>
    <row r="3213" spans="13:15" x14ac:dyDescent="0.3">
      <c r="M3213" s="35">
        <v>25.83</v>
      </c>
      <c r="N3213">
        <v>305</v>
      </c>
      <c r="O3213" s="34">
        <f t="shared" si="51"/>
        <v>0.36570647842421011</v>
      </c>
    </row>
    <row r="3214" spans="13:15" x14ac:dyDescent="0.3">
      <c r="M3214" s="35">
        <v>25.84</v>
      </c>
      <c r="N3214">
        <v>305</v>
      </c>
      <c r="O3214" s="34">
        <f t="shared" si="51"/>
        <v>0.36582033473754266</v>
      </c>
    </row>
    <row r="3215" spans="13:15" x14ac:dyDescent="0.3">
      <c r="M3215" s="35">
        <v>25.84</v>
      </c>
      <c r="N3215">
        <v>305</v>
      </c>
      <c r="O3215" s="34">
        <f t="shared" si="51"/>
        <v>0.36593419105087521</v>
      </c>
    </row>
    <row r="3216" spans="13:15" x14ac:dyDescent="0.3">
      <c r="M3216" s="35">
        <v>25.84</v>
      </c>
      <c r="N3216">
        <v>305</v>
      </c>
      <c r="O3216" s="34">
        <f t="shared" si="51"/>
        <v>0.36604804736420776</v>
      </c>
    </row>
    <row r="3217" spans="13:15" x14ac:dyDescent="0.3">
      <c r="M3217" s="35">
        <v>25.85</v>
      </c>
      <c r="N3217">
        <v>305</v>
      </c>
      <c r="O3217" s="34">
        <f t="shared" si="51"/>
        <v>0.36616190367754031</v>
      </c>
    </row>
    <row r="3218" spans="13:15" x14ac:dyDescent="0.3">
      <c r="M3218" s="35">
        <v>25.85</v>
      </c>
      <c r="N3218">
        <v>305</v>
      </c>
      <c r="O3218" s="34">
        <f t="shared" si="51"/>
        <v>0.36627575999087286</v>
      </c>
    </row>
    <row r="3219" spans="13:15" x14ac:dyDescent="0.3">
      <c r="M3219" s="35">
        <v>25.86</v>
      </c>
      <c r="N3219">
        <v>305</v>
      </c>
      <c r="O3219" s="34">
        <f t="shared" si="51"/>
        <v>0.36638961630420541</v>
      </c>
    </row>
    <row r="3220" spans="13:15" x14ac:dyDescent="0.3">
      <c r="M3220" s="35">
        <v>25.86</v>
      </c>
      <c r="N3220">
        <v>305</v>
      </c>
      <c r="O3220" s="34">
        <f t="shared" si="51"/>
        <v>0.36650347261753796</v>
      </c>
    </row>
    <row r="3221" spans="13:15" x14ac:dyDescent="0.3">
      <c r="M3221" s="35">
        <v>25.86</v>
      </c>
      <c r="N3221">
        <v>305</v>
      </c>
      <c r="O3221" s="34">
        <f t="shared" si="51"/>
        <v>0.36661732893087051</v>
      </c>
    </row>
    <row r="3222" spans="13:15" x14ac:dyDescent="0.3">
      <c r="M3222" s="35">
        <v>25.86</v>
      </c>
      <c r="N3222">
        <v>305</v>
      </c>
      <c r="O3222" s="34">
        <f t="shared" si="51"/>
        <v>0.36673118524420306</v>
      </c>
    </row>
    <row r="3223" spans="13:15" x14ac:dyDescent="0.3">
      <c r="M3223" s="35">
        <v>25.86</v>
      </c>
      <c r="N3223">
        <v>305</v>
      </c>
      <c r="O3223" s="34">
        <f t="shared" si="51"/>
        <v>0.36684504155753561</v>
      </c>
    </row>
    <row r="3224" spans="13:15" x14ac:dyDescent="0.3">
      <c r="M3224" s="35">
        <v>25.87</v>
      </c>
      <c r="N3224">
        <v>305</v>
      </c>
      <c r="O3224" s="34">
        <f t="shared" si="51"/>
        <v>0.36695889787086816</v>
      </c>
    </row>
    <row r="3225" spans="13:15" x14ac:dyDescent="0.3">
      <c r="M3225" s="35">
        <v>25.87</v>
      </c>
      <c r="N3225">
        <v>305</v>
      </c>
      <c r="O3225" s="34">
        <f t="shared" si="51"/>
        <v>0.36707275418420071</v>
      </c>
    </row>
    <row r="3226" spans="13:15" x14ac:dyDescent="0.3">
      <c r="M3226" s="35">
        <v>25.87</v>
      </c>
      <c r="N3226">
        <v>305</v>
      </c>
      <c r="O3226" s="34">
        <f t="shared" si="51"/>
        <v>0.36718661049753326</v>
      </c>
    </row>
    <row r="3227" spans="13:15" x14ac:dyDescent="0.3">
      <c r="M3227" s="35">
        <v>25.88</v>
      </c>
      <c r="N3227">
        <v>305</v>
      </c>
      <c r="O3227" s="34">
        <f t="shared" si="51"/>
        <v>0.36730046681086581</v>
      </c>
    </row>
    <row r="3228" spans="13:15" x14ac:dyDescent="0.3">
      <c r="M3228" s="35">
        <v>25.88</v>
      </c>
      <c r="N3228">
        <v>305</v>
      </c>
      <c r="O3228" s="34">
        <f t="shared" si="51"/>
        <v>0.36741432312419836</v>
      </c>
    </row>
    <row r="3229" spans="13:15" x14ac:dyDescent="0.3">
      <c r="M3229" s="35">
        <v>25.88</v>
      </c>
      <c r="N3229">
        <v>305</v>
      </c>
      <c r="O3229" s="34">
        <f t="shared" si="51"/>
        <v>0.36752817943753091</v>
      </c>
    </row>
    <row r="3230" spans="13:15" x14ac:dyDescent="0.3">
      <c r="M3230" s="35">
        <v>25.88</v>
      </c>
      <c r="N3230">
        <v>305</v>
      </c>
      <c r="O3230" s="34">
        <f t="shared" si="51"/>
        <v>0.36764203575086346</v>
      </c>
    </row>
    <row r="3231" spans="13:15" x14ac:dyDescent="0.3">
      <c r="M3231" s="35">
        <v>25.88</v>
      </c>
      <c r="N3231">
        <v>305</v>
      </c>
      <c r="O3231" s="34">
        <f t="shared" si="51"/>
        <v>0.36775589206419601</v>
      </c>
    </row>
    <row r="3232" spans="13:15" x14ac:dyDescent="0.3">
      <c r="M3232" s="35">
        <v>25.88</v>
      </c>
      <c r="N3232">
        <v>305</v>
      </c>
      <c r="O3232" s="34">
        <f t="shared" si="51"/>
        <v>0.36786974837752856</v>
      </c>
    </row>
    <row r="3233" spans="13:15" x14ac:dyDescent="0.3">
      <c r="M3233" s="35">
        <v>25.88</v>
      </c>
      <c r="N3233">
        <v>305</v>
      </c>
      <c r="O3233" s="34">
        <f t="shared" si="51"/>
        <v>0.36798360469086111</v>
      </c>
    </row>
    <row r="3234" spans="13:15" x14ac:dyDescent="0.3">
      <c r="M3234" s="35">
        <v>25.89</v>
      </c>
      <c r="N3234">
        <v>305</v>
      </c>
      <c r="O3234" s="34">
        <f t="shared" si="51"/>
        <v>0.36809746100419366</v>
      </c>
    </row>
    <row r="3235" spans="13:15" x14ac:dyDescent="0.3">
      <c r="M3235" s="35">
        <v>25.89</v>
      </c>
      <c r="N3235">
        <v>305</v>
      </c>
      <c r="O3235" s="34">
        <f t="shared" si="51"/>
        <v>0.36821131731752621</v>
      </c>
    </row>
    <row r="3236" spans="13:15" x14ac:dyDescent="0.3">
      <c r="M3236" s="35">
        <v>25.89</v>
      </c>
      <c r="N3236">
        <v>305</v>
      </c>
      <c r="O3236" s="34">
        <f t="shared" si="51"/>
        <v>0.36832517363085876</v>
      </c>
    </row>
    <row r="3237" spans="13:15" x14ac:dyDescent="0.3">
      <c r="M3237" s="35">
        <v>25.89</v>
      </c>
      <c r="N3237">
        <v>305</v>
      </c>
      <c r="O3237" s="34">
        <f t="shared" si="51"/>
        <v>0.36843902994419131</v>
      </c>
    </row>
    <row r="3238" spans="13:15" x14ac:dyDescent="0.3">
      <c r="M3238" s="35">
        <v>25.9</v>
      </c>
      <c r="N3238">
        <v>305</v>
      </c>
      <c r="O3238" s="34">
        <f t="shared" si="51"/>
        <v>0.36855288625752386</v>
      </c>
    </row>
    <row r="3239" spans="13:15" x14ac:dyDescent="0.3">
      <c r="M3239" s="35">
        <v>25.91</v>
      </c>
      <c r="N3239">
        <v>305</v>
      </c>
      <c r="O3239" s="34">
        <f t="shared" si="51"/>
        <v>0.36866674257085641</v>
      </c>
    </row>
    <row r="3240" spans="13:15" x14ac:dyDescent="0.3">
      <c r="M3240" s="35">
        <v>25.91</v>
      </c>
      <c r="N3240">
        <v>305</v>
      </c>
      <c r="O3240" s="34">
        <f t="shared" si="51"/>
        <v>0.36878059888418896</v>
      </c>
    </row>
    <row r="3241" spans="13:15" x14ac:dyDescent="0.3">
      <c r="M3241" s="35">
        <v>25.91</v>
      </c>
      <c r="N3241">
        <v>305</v>
      </c>
      <c r="O3241" s="34">
        <f t="shared" si="51"/>
        <v>0.36889445519752151</v>
      </c>
    </row>
    <row r="3242" spans="13:15" x14ac:dyDescent="0.3">
      <c r="M3242" s="35">
        <v>25.91</v>
      </c>
      <c r="N3242">
        <v>305</v>
      </c>
      <c r="O3242" s="34">
        <f t="shared" si="51"/>
        <v>0.36900831151085406</v>
      </c>
    </row>
    <row r="3243" spans="13:15" x14ac:dyDescent="0.3">
      <c r="M3243" s="35">
        <v>25.91</v>
      </c>
      <c r="N3243">
        <v>305</v>
      </c>
      <c r="O3243" s="34">
        <f t="shared" si="51"/>
        <v>0.36912216782418661</v>
      </c>
    </row>
    <row r="3244" spans="13:15" x14ac:dyDescent="0.3">
      <c r="M3244" s="35">
        <v>25.91</v>
      </c>
      <c r="N3244">
        <v>305</v>
      </c>
      <c r="O3244" s="34">
        <f t="shared" si="51"/>
        <v>0.36923602413751916</v>
      </c>
    </row>
    <row r="3245" spans="13:15" x14ac:dyDescent="0.3">
      <c r="M3245" s="35">
        <v>25.91</v>
      </c>
      <c r="N3245">
        <v>305</v>
      </c>
      <c r="O3245" s="34">
        <f t="shared" si="51"/>
        <v>0.36934988045085171</v>
      </c>
    </row>
    <row r="3246" spans="13:15" x14ac:dyDescent="0.3">
      <c r="M3246" s="35">
        <v>25.92</v>
      </c>
      <c r="N3246">
        <v>305</v>
      </c>
      <c r="O3246" s="34">
        <f t="shared" si="51"/>
        <v>0.36946373676418426</v>
      </c>
    </row>
    <row r="3247" spans="13:15" x14ac:dyDescent="0.3">
      <c r="M3247" s="35">
        <v>25.92</v>
      </c>
      <c r="N3247">
        <v>305</v>
      </c>
      <c r="O3247" s="34">
        <f t="shared" si="51"/>
        <v>0.36957759307751681</v>
      </c>
    </row>
    <row r="3248" spans="13:15" x14ac:dyDescent="0.3">
      <c r="M3248" s="35">
        <v>25.92</v>
      </c>
      <c r="N3248">
        <v>305</v>
      </c>
      <c r="O3248" s="34">
        <f t="shared" si="51"/>
        <v>0.36969144939084936</v>
      </c>
    </row>
    <row r="3249" spans="13:15" x14ac:dyDescent="0.3">
      <c r="M3249" s="35">
        <v>25.92</v>
      </c>
      <c r="N3249">
        <v>305</v>
      </c>
      <c r="O3249" s="34">
        <f t="shared" si="51"/>
        <v>0.36980530570418191</v>
      </c>
    </row>
    <row r="3250" spans="13:15" x14ac:dyDescent="0.3">
      <c r="M3250" s="35">
        <v>25.92</v>
      </c>
      <c r="N3250">
        <v>305</v>
      </c>
      <c r="O3250" s="34">
        <f t="shared" si="51"/>
        <v>0.36991916201751446</v>
      </c>
    </row>
    <row r="3251" spans="13:15" x14ac:dyDescent="0.3">
      <c r="M3251" s="35">
        <v>25.93</v>
      </c>
      <c r="N3251">
        <v>305</v>
      </c>
      <c r="O3251" s="34">
        <f t="shared" si="51"/>
        <v>0.37003301833084701</v>
      </c>
    </row>
    <row r="3252" spans="13:15" x14ac:dyDescent="0.3">
      <c r="M3252" s="35">
        <v>25.93</v>
      </c>
      <c r="N3252">
        <v>305</v>
      </c>
      <c r="O3252" s="34">
        <f t="shared" si="51"/>
        <v>0.37014687464417956</v>
      </c>
    </row>
    <row r="3253" spans="13:15" x14ac:dyDescent="0.3">
      <c r="M3253" s="35">
        <v>25.94</v>
      </c>
      <c r="N3253">
        <v>305</v>
      </c>
      <c r="O3253" s="34">
        <f t="shared" si="51"/>
        <v>0.37026073095751211</v>
      </c>
    </row>
    <row r="3254" spans="13:15" x14ac:dyDescent="0.3">
      <c r="M3254" s="35">
        <v>25.94</v>
      </c>
      <c r="N3254">
        <v>305</v>
      </c>
      <c r="O3254" s="34">
        <f t="shared" si="51"/>
        <v>0.37037458727084466</v>
      </c>
    </row>
    <row r="3255" spans="13:15" x14ac:dyDescent="0.3">
      <c r="M3255" s="35">
        <v>25.94</v>
      </c>
      <c r="N3255">
        <v>305</v>
      </c>
      <c r="O3255" s="34">
        <f t="shared" si="51"/>
        <v>0.37048844358417721</v>
      </c>
    </row>
    <row r="3256" spans="13:15" x14ac:dyDescent="0.3">
      <c r="M3256" s="35">
        <v>25.94</v>
      </c>
      <c r="N3256">
        <v>305</v>
      </c>
      <c r="O3256" s="34">
        <f t="shared" si="51"/>
        <v>0.37060229989750976</v>
      </c>
    </row>
    <row r="3257" spans="13:15" x14ac:dyDescent="0.3">
      <c r="M3257" s="35">
        <v>25.95</v>
      </c>
      <c r="N3257">
        <v>305</v>
      </c>
      <c r="O3257" s="34">
        <f t="shared" si="51"/>
        <v>0.37071615621084231</v>
      </c>
    </row>
    <row r="3258" spans="13:15" x14ac:dyDescent="0.3">
      <c r="M3258" s="35">
        <v>25.95</v>
      </c>
      <c r="N3258">
        <v>305</v>
      </c>
      <c r="O3258" s="34">
        <f t="shared" si="51"/>
        <v>0.37083001252417486</v>
      </c>
    </row>
    <row r="3259" spans="13:15" x14ac:dyDescent="0.3">
      <c r="M3259" s="35">
        <v>25.95</v>
      </c>
      <c r="N3259">
        <v>305</v>
      </c>
      <c r="O3259" s="34">
        <f t="shared" si="51"/>
        <v>0.37094386883750741</v>
      </c>
    </row>
    <row r="3260" spans="13:15" x14ac:dyDescent="0.3">
      <c r="M3260" s="35">
        <v>25.97</v>
      </c>
      <c r="N3260">
        <v>305</v>
      </c>
      <c r="O3260" s="34">
        <f t="shared" si="51"/>
        <v>0.37105772515083996</v>
      </c>
    </row>
    <row r="3261" spans="13:15" x14ac:dyDescent="0.3">
      <c r="M3261" s="35">
        <v>25.97</v>
      </c>
      <c r="N3261">
        <v>305</v>
      </c>
      <c r="O3261" s="34">
        <f t="shared" si="51"/>
        <v>0.37117158146417251</v>
      </c>
    </row>
    <row r="3262" spans="13:15" x14ac:dyDescent="0.3">
      <c r="M3262" s="35">
        <v>25.97</v>
      </c>
      <c r="N3262">
        <v>305</v>
      </c>
      <c r="O3262" s="34">
        <f t="shared" si="51"/>
        <v>0.37128543777750506</v>
      </c>
    </row>
    <row r="3263" spans="13:15" x14ac:dyDescent="0.3">
      <c r="M3263" s="35">
        <v>25.97</v>
      </c>
      <c r="N3263">
        <v>305</v>
      </c>
      <c r="O3263" s="34">
        <f t="shared" si="51"/>
        <v>0.37139929409083761</v>
      </c>
    </row>
    <row r="3264" spans="13:15" x14ac:dyDescent="0.3">
      <c r="M3264" s="35">
        <v>25.98</v>
      </c>
      <c r="N3264">
        <v>305</v>
      </c>
      <c r="O3264" s="34">
        <f t="shared" si="51"/>
        <v>0.37151315040417016</v>
      </c>
    </row>
    <row r="3265" spans="13:15" x14ac:dyDescent="0.3">
      <c r="M3265" s="35">
        <v>25.98</v>
      </c>
      <c r="N3265">
        <v>305</v>
      </c>
      <c r="O3265" s="34">
        <f t="shared" si="51"/>
        <v>0.37162700671750271</v>
      </c>
    </row>
    <row r="3266" spans="13:15" x14ac:dyDescent="0.3">
      <c r="M3266" s="35">
        <v>25.98</v>
      </c>
      <c r="N3266">
        <v>305</v>
      </c>
      <c r="O3266" s="34">
        <f t="shared" si="51"/>
        <v>0.37174086303083526</v>
      </c>
    </row>
    <row r="3267" spans="13:15" x14ac:dyDescent="0.3">
      <c r="M3267" s="35">
        <v>25.99</v>
      </c>
      <c r="N3267">
        <v>305</v>
      </c>
      <c r="O3267" s="34">
        <f t="shared" si="51"/>
        <v>0.37185471934416781</v>
      </c>
    </row>
    <row r="3268" spans="13:15" x14ac:dyDescent="0.3">
      <c r="M3268" s="35">
        <v>25.99</v>
      </c>
      <c r="N3268">
        <v>305</v>
      </c>
      <c r="O3268" s="34">
        <f t="shared" ref="O3268:O3331" si="52">O3267+O$2</f>
        <v>0.37196857565750036</v>
      </c>
    </row>
    <row r="3269" spans="13:15" x14ac:dyDescent="0.3">
      <c r="M3269" s="35">
        <v>25.99</v>
      </c>
      <c r="N3269">
        <v>305</v>
      </c>
      <c r="O3269" s="34">
        <f t="shared" si="52"/>
        <v>0.37208243197083291</v>
      </c>
    </row>
    <row r="3270" spans="13:15" x14ac:dyDescent="0.3">
      <c r="M3270" s="35">
        <v>25.99</v>
      </c>
      <c r="N3270">
        <v>305</v>
      </c>
      <c r="O3270" s="34">
        <f t="shared" si="52"/>
        <v>0.37219628828416546</v>
      </c>
    </row>
    <row r="3271" spans="13:15" x14ac:dyDescent="0.3">
      <c r="M3271" s="35">
        <v>26</v>
      </c>
      <c r="N3271">
        <v>305</v>
      </c>
      <c r="O3271" s="34">
        <f t="shared" si="52"/>
        <v>0.37231014459749801</v>
      </c>
    </row>
    <row r="3272" spans="13:15" x14ac:dyDescent="0.3">
      <c r="M3272" s="35">
        <v>26</v>
      </c>
      <c r="N3272">
        <v>305</v>
      </c>
      <c r="O3272" s="34">
        <f t="shared" si="52"/>
        <v>0.37242400091083055</v>
      </c>
    </row>
    <row r="3273" spans="13:15" x14ac:dyDescent="0.3">
      <c r="M3273" s="35">
        <v>26</v>
      </c>
      <c r="N3273">
        <v>305</v>
      </c>
      <c r="O3273" s="34">
        <f t="shared" si="52"/>
        <v>0.3725378572241631</v>
      </c>
    </row>
    <row r="3274" spans="13:15" x14ac:dyDescent="0.3">
      <c r="M3274" s="35">
        <v>26.01</v>
      </c>
      <c r="N3274">
        <v>305</v>
      </c>
      <c r="O3274" s="34">
        <f t="shared" si="52"/>
        <v>0.37265171353749565</v>
      </c>
    </row>
    <row r="3275" spans="13:15" x14ac:dyDescent="0.3">
      <c r="M3275" s="35">
        <v>26.01</v>
      </c>
      <c r="N3275">
        <v>305</v>
      </c>
      <c r="O3275" s="34">
        <f t="shared" si="52"/>
        <v>0.3727655698508282</v>
      </c>
    </row>
    <row r="3276" spans="13:15" x14ac:dyDescent="0.3">
      <c r="M3276" s="35">
        <v>26.01</v>
      </c>
      <c r="N3276">
        <v>305</v>
      </c>
      <c r="O3276" s="34">
        <f t="shared" si="52"/>
        <v>0.37287942616416075</v>
      </c>
    </row>
    <row r="3277" spans="13:15" x14ac:dyDescent="0.3">
      <c r="M3277" s="35">
        <v>26.02</v>
      </c>
      <c r="N3277">
        <v>305</v>
      </c>
      <c r="O3277" s="34">
        <f t="shared" si="52"/>
        <v>0.3729932824774933</v>
      </c>
    </row>
    <row r="3278" spans="13:15" x14ac:dyDescent="0.3">
      <c r="M3278" s="35">
        <v>26.02</v>
      </c>
      <c r="N3278">
        <v>305</v>
      </c>
      <c r="O3278" s="34">
        <f t="shared" si="52"/>
        <v>0.37310713879082585</v>
      </c>
    </row>
    <row r="3279" spans="13:15" x14ac:dyDescent="0.3">
      <c r="M3279" s="35">
        <v>26.02</v>
      </c>
      <c r="N3279">
        <v>305</v>
      </c>
      <c r="O3279" s="34">
        <f t="shared" si="52"/>
        <v>0.3732209951041584</v>
      </c>
    </row>
    <row r="3280" spans="13:15" x14ac:dyDescent="0.3">
      <c r="M3280" s="35">
        <v>26.02</v>
      </c>
      <c r="N3280">
        <v>305</v>
      </c>
      <c r="O3280" s="34">
        <f t="shared" si="52"/>
        <v>0.37333485141749095</v>
      </c>
    </row>
    <row r="3281" spans="13:15" x14ac:dyDescent="0.3">
      <c r="M3281" s="35">
        <v>26.03</v>
      </c>
      <c r="N3281">
        <v>305</v>
      </c>
      <c r="O3281" s="34">
        <f t="shared" si="52"/>
        <v>0.3734487077308235</v>
      </c>
    </row>
    <row r="3282" spans="13:15" x14ac:dyDescent="0.3">
      <c r="M3282" s="35">
        <v>26.03</v>
      </c>
      <c r="N3282">
        <v>305</v>
      </c>
      <c r="O3282" s="34">
        <f t="shared" si="52"/>
        <v>0.37356256404415605</v>
      </c>
    </row>
    <row r="3283" spans="13:15" x14ac:dyDescent="0.3">
      <c r="M3283" s="35">
        <v>26.04</v>
      </c>
      <c r="N3283">
        <v>305</v>
      </c>
      <c r="O3283" s="34">
        <f t="shared" si="52"/>
        <v>0.3736764203574886</v>
      </c>
    </row>
    <row r="3284" spans="13:15" x14ac:dyDescent="0.3">
      <c r="M3284" s="35">
        <v>26.04</v>
      </c>
      <c r="N3284">
        <v>305</v>
      </c>
      <c r="O3284" s="34">
        <f t="shared" si="52"/>
        <v>0.37379027667082115</v>
      </c>
    </row>
    <row r="3285" spans="13:15" x14ac:dyDescent="0.3">
      <c r="M3285" s="35">
        <v>26.05</v>
      </c>
      <c r="N3285">
        <v>305</v>
      </c>
      <c r="O3285" s="34">
        <f t="shared" si="52"/>
        <v>0.3739041329841537</v>
      </c>
    </row>
    <row r="3286" spans="13:15" x14ac:dyDescent="0.3">
      <c r="M3286" s="35">
        <v>26.05</v>
      </c>
      <c r="N3286">
        <v>305</v>
      </c>
      <c r="O3286" s="34">
        <f t="shared" si="52"/>
        <v>0.37401798929748625</v>
      </c>
    </row>
    <row r="3287" spans="13:15" x14ac:dyDescent="0.3">
      <c r="M3287" s="35">
        <v>26.06</v>
      </c>
      <c r="N3287">
        <v>305</v>
      </c>
      <c r="O3287" s="34">
        <f t="shared" si="52"/>
        <v>0.3741318456108188</v>
      </c>
    </row>
    <row r="3288" spans="13:15" x14ac:dyDescent="0.3">
      <c r="M3288" s="35">
        <v>26.06</v>
      </c>
      <c r="N3288">
        <v>305</v>
      </c>
      <c r="O3288" s="34">
        <f t="shared" si="52"/>
        <v>0.37424570192415135</v>
      </c>
    </row>
    <row r="3289" spans="13:15" x14ac:dyDescent="0.3">
      <c r="M3289" s="35">
        <v>26.07</v>
      </c>
      <c r="N3289">
        <v>305</v>
      </c>
      <c r="O3289" s="34">
        <f t="shared" si="52"/>
        <v>0.3743595582374839</v>
      </c>
    </row>
    <row r="3290" spans="13:15" x14ac:dyDescent="0.3">
      <c r="M3290" s="35">
        <v>26.07</v>
      </c>
      <c r="N3290">
        <v>305</v>
      </c>
      <c r="O3290" s="34">
        <f t="shared" si="52"/>
        <v>0.37447341455081645</v>
      </c>
    </row>
    <row r="3291" spans="13:15" x14ac:dyDescent="0.3">
      <c r="M3291" s="35">
        <v>26.07</v>
      </c>
      <c r="N3291">
        <v>305</v>
      </c>
      <c r="O3291" s="34">
        <f t="shared" si="52"/>
        <v>0.374587270864149</v>
      </c>
    </row>
    <row r="3292" spans="13:15" x14ac:dyDescent="0.3">
      <c r="M3292" s="35">
        <v>26.07</v>
      </c>
      <c r="N3292">
        <v>305</v>
      </c>
      <c r="O3292" s="34">
        <f t="shared" si="52"/>
        <v>0.37470112717748155</v>
      </c>
    </row>
    <row r="3293" spans="13:15" x14ac:dyDescent="0.3">
      <c r="M3293" s="35">
        <v>26.08</v>
      </c>
      <c r="N3293">
        <v>305</v>
      </c>
      <c r="O3293" s="34">
        <f t="shared" si="52"/>
        <v>0.3748149834908141</v>
      </c>
    </row>
    <row r="3294" spans="13:15" x14ac:dyDescent="0.3">
      <c r="M3294" s="35">
        <v>26.08</v>
      </c>
      <c r="N3294">
        <v>305</v>
      </c>
      <c r="O3294" s="34">
        <f t="shared" si="52"/>
        <v>0.37492883980414665</v>
      </c>
    </row>
    <row r="3295" spans="13:15" x14ac:dyDescent="0.3">
      <c r="M3295" s="35">
        <v>26.08</v>
      </c>
      <c r="N3295">
        <v>305</v>
      </c>
      <c r="O3295" s="34">
        <f t="shared" si="52"/>
        <v>0.3750426961174792</v>
      </c>
    </row>
    <row r="3296" spans="13:15" x14ac:dyDescent="0.3">
      <c r="M3296" s="35">
        <v>26.08</v>
      </c>
      <c r="N3296">
        <v>305</v>
      </c>
      <c r="O3296" s="34">
        <f t="shared" si="52"/>
        <v>0.37515655243081175</v>
      </c>
    </row>
    <row r="3297" spans="13:15" x14ac:dyDescent="0.3">
      <c r="M3297" s="35">
        <v>26.09</v>
      </c>
      <c r="N3297">
        <v>305</v>
      </c>
      <c r="O3297" s="34">
        <f t="shared" si="52"/>
        <v>0.3752704087441443</v>
      </c>
    </row>
    <row r="3298" spans="13:15" x14ac:dyDescent="0.3">
      <c r="M3298" s="35">
        <v>26.09</v>
      </c>
      <c r="N3298">
        <v>305</v>
      </c>
      <c r="O3298" s="34">
        <f t="shared" si="52"/>
        <v>0.37538426505747685</v>
      </c>
    </row>
    <row r="3299" spans="13:15" x14ac:dyDescent="0.3">
      <c r="M3299" s="35">
        <v>26.09</v>
      </c>
      <c r="N3299">
        <v>305</v>
      </c>
      <c r="O3299" s="34">
        <f t="shared" si="52"/>
        <v>0.3754981213708094</v>
      </c>
    </row>
    <row r="3300" spans="13:15" x14ac:dyDescent="0.3">
      <c r="M3300" s="35">
        <v>26.1</v>
      </c>
      <c r="N3300">
        <v>305</v>
      </c>
      <c r="O3300" s="34">
        <f t="shared" si="52"/>
        <v>0.37561197768414195</v>
      </c>
    </row>
    <row r="3301" spans="13:15" x14ac:dyDescent="0.3">
      <c r="M3301" s="35">
        <v>26.1</v>
      </c>
      <c r="N3301">
        <v>305</v>
      </c>
      <c r="O3301" s="34">
        <f t="shared" si="52"/>
        <v>0.3757258339974745</v>
      </c>
    </row>
    <row r="3302" spans="13:15" x14ac:dyDescent="0.3">
      <c r="M3302" s="35">
        <v>26.1</v>
      </c>
      <c r="N3302">
        <v>305</v>
      </c>
      <c r="O3302" s="34">
        <f t="shared" si="52"/>
        <v>0.37583969031080705</v>
      </c>
    </row>
    <row r="3303" spans="13:15" x14ac:dyDescent="0.3">
      <c r="M3303" s="35">
        <v>26.11</v>
      </c>
      <c r="N3303">
        <v>305</v>
      </c>
      <c r="O3303" s="34">
        <f t="shared" si="52"/>
        <v>0.3759535466241396</v>
      </c>
    </row>
    <row r="3304" spans="13:15" x14ac:dyDescent="0.3">
      <c r="M3304" s="35">
        <v>26.11</v>
      </c>
      <c r="N3304">
        <v>305</v>
      </c>
      <c r="O3304" s="34">
        <f t="shared" si="52"/>
        <v>0.37606740293747215</v>
      </c>
    </row>
    <row r="3305" spans="13:15" x14ac:dyDescent="0.3">
      <c r="M3305" s="35">
        <v>26.11</v>
      </c>
      <c r="N3305">
        <v>305</v>
      </c>
      <c r="O3305" s="34">
        <f t="shared" si="52"/>
        <v>0.3761812592508047</v>
      </c>
    </row>
    <row r="3306" spans="13:15" x14ac:dyDescent="0.3">
      <c r="M3306" s="35">
        <v>26.12</v>
      </c>
      <c r="N3306">
        <v>305</v>
      </c>
      <c r="O3306" s="34">
        <f t="shared" si="52"/>
        <v>0.37629511556413725</v>
      </c>
    </row>
    <row r="3307" spans="13:15" x14ac:dyDescent="0.3">
      <c r="M3307" s="35">
        <v>26.12</v>
      </c>
      <c r="N3307">
        <v>305</v>
      </c>
      <c r="O3307" s="34">
        <f t="shared" si="52"/>
        <v>0.3764089718774698</v>
      </c>
    </row>
    <row r="3308" spans="13:15" x14ac:dyDescent="0.3">
      <c r="M3308" s="35">
        <v>26.12</v>
      </c>
      <c r="N3308">
        <v>305</v>
      </c>
      <c r="O3308" s="34">
        <f t="shared" si="52"/>
        <v>0.37652282819080235</v>
      </c>
    </row>
    <row r="3309" spans="13:15" x14ac:dyDescent="0.3">
      <c r="M3309" s="35">
        <v>26.13</v>
      </c>
      <c r="N3309">
        <v>305</v>
      </c>
      <c r="O3309" s="34">
        <f t="shared" si="52"/>
        <v>0.3766366845041349</v>
      </c>
    </row>
    <row r="3310" spans="13:15" x14ac:dyDescent="0.3">
      <c r="M3310" s="35">
        <v>26.13</v>
      </c>
      <c r="N3310">
        <v>305</v>
      </c>
      <c r="O3310" s="34">
        <f t="shared" si="52"/>
        <v>0.37675054081746745</v>
      </c>
    </row>
    <row r="3311" spans="13:15" x14ac:dyDescent="0.3">
      <c r="M3311" s="35">
        <v>26.13</v>
      </c>
      <c r="N3311">
        <v>305</v>
      </c>
      <c r="O3311" s="34">
        <f t="shared" si="52"/>
        <v>0.3768643971308</v>
      </c>
    </row>
    <row r="3312" spans="13:15" x14ac:dyDescent="0.3">
      <c r="M3312" s="35">
        <v>26.14</v>
      </c>
      <c r="N3312">
        <v>305</v>
      </c>
      <c r="O3312" s="34">
        <f t="shared" si="52"/>
        <v>0.37697825344413255</v>
      </c>
    </row>
    <row r="3313" spans="13:15" x14ac:dyDescent="0.3">
      <c r="M3313" s="35">
        <v>26.15</v>
      </c>
      <c r="N3313">
        <v>305</v>
      </c>
      <c r="O3313" s="34">
        <f t="shared" si="52"/>
        <v>0.3770921097574651</v>
      </c>
    </row>
    <row r="3314" spans="13:15" x14ac:dyDescent="0.3">
      <c r="M3314" s="35">
        <v>26.15</v>
      </c>
      <c r="N3314">
        <v>305</v>
      </c>
      <c r="O3314" s="34">
        <f t="shared" si="52"/>
        <v>0.37720596607079765</v>
      </c>
    </row>
    <row r="3315" spans="13:15" x14ac:dyDescent="0.3">
      <c r="M3315" s="35">
        <v>26.15</v>
      </c>
      <c r="N3315">
        <v>305</v>
      </c>
      <c r="O3315" s="34">
        <f t="shared" si="52"/>
        <v>0.3773198223841302</v>
      </c>
    </row>
    <row r="3316" spans="13:15" x14ac:dyDescent="0.3">
      <c r="M3316" s="35">
        <v>26.16</v>
      </c>
      <c r="N3316">
        <v>305</v>
      </c>
      <c r="O3316" s="34">
        <f t="shared" si="52"/>
        <v>0.37743367869746275</v>
      </c>
    </row>
    <row r="3317" spans="13:15" x14ac:dyDescent="0.3">
      <c r="M3317" s="35">
        <v>26.16</v>
      </c>
      <c r="N3317">
        <v>305</v>
      </c>
      <c r="O3317" s="34">
        <f t="shared" si="52"/>
        <v>0.3775475350107953</v>
      </c>
    </row>
    <row r="3318" spans="13:15" x14ac:dyDescent="0.3">
      <c r="M3318" s="35">
        <v>26.16</v>
      </c>
      <c r="N3318">
        <v>305</v>
      </c>
      <c r="O3318" s="34">
        <f t="shared" si="52"/>
        <v>0.37766139132412785</v>
      </c>
    </row>
    <row r="3319" spans="13:15" x14ac:dyDescent="0.3">
      <c r="M3319" s="35">
        <v>26.16</v>
      </c>
      <c r="N3319">
        <v>305</v>
      </c>
      <c r="O3319" s="34">
        <f t="shared" si="52"/>
        <v>0.3777752476374604</v>
      </c>
    </row>
    <row r="3320" spans="13:15" x14ac:dyDescent="0.3">
      <c r="M3320" s="35">
        <v>26.17</v>
      </c>
      <c r="N3320">
        <v>305</v>
      </c>
      <c r="O3320" s="34">
        <f t="shared" si="52"/>
        <v>0.37788910395079295</v>
      </c>
    </row>
    <row r="3321" spans="13:15" x14ac:dyDescent="0.3">
      <c r="M3321" s="35">
        <v>26.17</v>
      </c>
      <c r="N3321">
        <v>305</v>
      </c>
      <c r="O3321" s="34">
        <f t="shared" si="52"/>
        <v>0.3780029602641255</v>
      </c>
    </row>
    <row r="3322" spans="13:15" x14ac:dyDescent="0.3">
      <c r="M3322" s="35">
        <v>26.17</v>
      </c>
      <c r="N3322">
        <v>305</v>
      </c>
      <c r="O3322" s="34">
        <f t="shared" si="52"/>
        <v>0.37811681657745805</v>
      </c>
    </row>
    <row r="3323" spans="13:15" x14ac:dyDescent="0.3">
      <c r="M3323" s="35">
        <v>26.17</v>
      </c>
      <c r="N3323">
        <v>305</v>
      </c>
      <c r="O3323" s="34">
        <f t="shared" si="52"/>
        <v>0.3782306728907906</v>
      </c>
    </row>
    <row r="3324" spans="13:15" x14ac:dyDescent="0.3">
      <c r="M3324" s="35">
        <v>26.17</v>
      </c>
      <c r="N3324">
        <v>305</v>
      </c>
      <c r="O3324" s="34">
        <f t="shared" si="52"/>
        <v>0.37834452920412315</v>
      </c>
    </row>
    <row r="3325" spans="13:15" x14ac:dyDescent="0.3">
      <c r="M3325" s="35">
        <v>26.18</v>
      </c>
      <c r="N3325">
        <v>305</v>
      </c>
      <c r="O3325" s="34">
        <f t="shared" si="52"/>
        <v>0.3784583855174557</v>
      </c>
    </row>
    <row r="3326" spans="13:15" x14ac:dyDescent="0.3">
      <c r="M3326" s="35">
        <v>26.18</v>
      </c>
      <c r="N3326">
        <v>305</v>
      </c>
      <c r="O3326" s="34">
        <f t="shared" si="52"/>
        <v>0.37857224183078825</v>
      </c>
    </row>
    <row r="3327" spans="13:15" x14ac:dyDescent="0.3">
      <c r="M3327" s="35">
        <v>26.19</v>
      </c>
      <c r="N3327">
        <v>305</v>
      </c>
      <c r="O3327" s="34">
        <f t="shared" si="52"/>
        <v>0.3786860981441208</v>
      </c>
    </row>
    <row r="3328" spans="13:15" x14ac:dyDescent="0.3">
      <c r="M3328" s="35">
        <v>26.19</v>
      </c>
      <c r="N3328">
        <v>305</v>
      </c>
      <c r="O3328" s="34">
        <f t="shared" si="52"/>
        <v>0.37879995445745335</v>
      </c>
    </row>
    <row r="3329" spans="13:15" x14ac:dyDescent="0.3">
      <c r="M3329" s="35">
        <v>26.2</v>
      </c>
      <c r="N3329">
        <v>305</v>
      </c>
      <c r="O3329" s="34">
        <f t="shared" si="52"/>
        <v>0.3789138107707859</v>
      </c>
    </row>
    <row r="3330" spans="13:15" x14ac:dyDescent="0.3">
      <c r="M3330" s="35">
        <v>26.2</v>
      </c>
      <c r="N3330">
        <v>305</v>
      </c>
      <c r="O3330" s="34">
        <f t="shared" si="52"/>
        <v>0.37902766708411845</v>
      </c>
    </row>
    <row r="3331" spans="13:15" x14ac:dyDescent="0.3">
      <c r="M3331" s="35">
        <v>26.21</v>
      </c>
      <c r="N3331">
        <v>305</v>
      </c>
      <c r="O3331" s="34">
        <f t="shared" si="52"/>
        <v>0.379141523397451</v>
      </c>
    </row>
    <row r="3332" spans="13:15" x14ac:dyDescent="0.3">
      <c r="M3332" s="35">
        <v>26.21</v>
      </c>
      <c r="N3332">
        <v>305</v>
      </c>
      <c r="O3332" s="34">
        <f t="shared" ref="O3332:O3395" si="53">O3331+O$2</f>
        <v>0.37925537971078355</v>
      </c>
    </row>
    <row r="3333" spans="13:15" x14ac:dyDescent="0.3">
      <c r="M3333" s="35">
        <v>26.22</v>
      </c>
      <c r="N3333">
        <v>305</v>
      </c>
      <c r="O3333" s="34">
        <f t="shared" si="53"/>
        <v>0.3793692360241161</v>
      </c>
    </row>
    <row r="3334" spans="13:15" x14ac:dyDescent="0.3">
      <c r="M3334" s="35">
        <v>26.23</v>
      </c>
      <c r="N3334">
        <v>305</v>
      </c>
      <c r="O3334" s="34">
        <f t="shared" si="53"/>
        <v>0.37948309233744865</v>
      </c>
    </row>
    <row r="3335" spans="13:15" x14ac:dyDescent="0.3">
      <c r="M3335" s="35">
        <v>26.23</v>
      </c>
      <c r="N3335">
        <v>305</v>
      </c>
      <c r="O3335" s="34">
        <f t="shared" si="53"/>
        <v>0.3795969486507812</v>
      </c>
    </row>
    <row r="3336" spans="13:15" x14ac:dyDescent="0.3">
      <c r="M3336" s="35">
        <v>26.23</v>
      </c>
      <c r="N3336">
        <v>305</v>
      </c>
      <c r="O3336" s="34">
        <f t="shared" si="53"/>
        <v>0.37971080496411375</v>
      </c>
    </row>
    <row r="3337" spans="13:15" x14ac:dyDescent="0.3">
      <c r="M3337" s="35">
        <v>26.23</v>
      </c>
      <c r="N3337">
        <v>305</v>
      </c>
      <c r="O3337" s="34">
        <f t="shared" si="53"/>
        <v>0.3798246612774463</v>
      </c>
    </row>
    <row r="3338" spans="13:15" x14ac:dyDescent="0.3">
      <c r="M3338" s="35">
        <v>26.24</v>
      </c>
      <c r="N3338">
        <v>305</v>
      </c>
      <c r="O3338" s="34">
        <f t="shared" si="53"/>
        <v>0.37993851759077885</v>
      </c>
    </row>
    <row r="3339" spans="13:15" x14ac:dyDescent="0.3">
      <c r="M3339" s="35">
        <v>26.24</v>
      </c>
      <c r="N3339">
        <v>305</v>
      </c>
      <c r="O3339" s="34">
        <f t="shared" si="53"/>
        <v>0.3800523739041114</v>
      </c>
    </row>
    <row r="3340" spans="13:15" x14ac:dyDescent="0.3">
      <c r="M3340" s="35">
        <v>26.25</v>
      </c>
      <c r="N3340">
        <v>305</v>
      </c>
      <c r="O3340" s="34">
        <f t="shared" si="53"/>
        <v>0.38016623021744395</v>
      </c>
    </row>
    <row r="3341" spans="13:15" x14ac:dyDescent="0.3">
      <c r="M3341" s="35">
        <v>26.25</v>
      </c>
      <c r="N3341">
        <v>305</v>
      </c>
      <c r="O3341" s="34">
        <f t="shared" si="53"/>
        <v>0.3802800865307765</v>
      </c>
    </row>
    <row r="3342" spans="13:15" x14ac:dyDescent="0.3">
      <c r="M3342" s="35">
        <v>26.25</v>
      </c>
      <c r="N3342">
        <v>305</v>
      </c>
      <c r="O3342" s="34">
        <f t="shared" si="53"/>
        <v>0.38039394284410905</v>
      </c>
    </row>
    <row r="3343" spans="13:15" x14ac:dyDescent="0.3">
      <c r="M3343" s="35">
        <v>26.26</v>
      </c>
      <c r="N3343">
        <v>305</v>
      </c>
      <c r="O3343" s="34">
        <f t="shared" si="53"/>
        <v>0.3805077991574416</v>
      </c>
    </row>
    <row r="3344" spans="13:15" x14ac:dyDescent="0.3">
      <c r="M3344" s="35">
        <v>26.26</v>
      </c>
      <c r="N3344">
        <v>305</v>
      </c>
      <c r="O3344" s="34">
        <f t="shared" si="53"/>
        <v>0.38062165547077415</v>
      </c>
    </row>
    <row r="3345" spans="13:15" x14ac:dyDescent="0.3">
      <c r="M3345" s="35">
        <v>26.26</v>
      </c>
      <c r="N3345">
        <v>305</v>
      </c>
      <c r="O3345" s="34">
        <f t="shared" si="53"/>
        <v>0.38073551178410669</v>
      </c>
    </row>
    <row r="3346" spans="13:15" x14ac:dyDescent="0.3">
      <c r="M3346" s="35">
        <v>26.28</v>
      </c>
      <c r="N3346">
        <v>305</v>
      </c>
      <c r="O3346" s="34">
        <f t="shared" si="53"/>
        <v>0.38084936809743924</v>
      </c>
    </row>
    <row r="3347" spans="13:15" x14ac:dyDescent="0.3">
      <c r="M3347" s="35">
        <v>26.28</v>
      </c>
      <c r="N3347">
        <v>305</v>
      </c>
      <c r="O3347" s="34">
        <f t="shared" si="53"/>
        <v>0.38096322441077179</v>
      </c>
    </row>
    <row r="3348" spans="13:15" x14ac:dyDescent="0.3">
      <c r="M3348" s="35">
        <v>26.28</v>
      </c>
      <c r="N3348">
        <v>305</v>
      </c>
      <c r="O3348" s="34">
        <f t="shared" si="53"/>
        <v>0.38107708072410434</v>
      </c>
    </row>
    <row r="3349" spans="13:15" x14ac:dyDescent="0.3">
      <c r="M3349" s="35">
        <v>26.29</v>
      </c>
      <c r="N3349">
        <v>305</v>
      </c>
      <c r="O3349" s="34">
        <f t="shared" si="53"/>
        <v>0.38119093703743689</v>
      </c>
    </row>
    <row r="3350" spans="13:15" x14ac:dyDescent="0.3">
      <c r="M3350" s="35">
        <v>26.29</v>
      </c>
      <c r="N3350">
        <v>305</v>
      </c>
      <c r="O3350" s="34">
        <f t="shared" si="53"/>
        <v>0.38130479335076944</v>
      </c>
    </row>
    <row r="3351" spans="13:15" x14ac:dyDescent="0.3">
      <c r="M3351" s="35">
        <v>26.29</v>
      </c>
      <c r="N3351">
        <v>305</v>
      </c>
      <c r="O3351" s="34">
        <f t="shared" si="53"/>
        <v>0.38141864966410199</v>
      </c>
    </row>
    <row r="3352" spans="13:15" x14ac:dyDescent="0.3">
      <c r="M3352" s="35">
        <v>26.3</v>
      </c>
      <c r="N3352">
        <v>305</v>
      </c>
      <c r="O3352" s="34">
        <f t="shared" si="53"/>
        <v>0.38153250597743454</v>
      </c>
    </row>
    <row r="3353" spans="13:15" x14ac:dyDescent="0.3">
      <c r="M3353" s="35">
        <v>26.3</v>
      </c>
      <c r="N3353">
        <v>305</v>
      </c>
      <c r="O3353" s="34">
        <f t="shared" si="53"/>
        <v>0.38164636229076709</v>
      </c>
    </row>
    <row r="3354" spans="13:15" x14ac:dyDescent="0.3">
      <c r="M3354" s="35">
        <v>26.3</v>
      </c>
      <c r="N3354">
        <v>305</v>
      </c>
      <c r="O3354" s="34">
        <f t="shared" si="53"/>
        <v>0.38176021860409964</v>
      </c>
    </row>
    <row r="3355" spans="13:15" x14ac:dyDescent="0.3">
      <c r="M3355" s="35">
        <v>26.3</v>
      </c>
      <c r="N3355">
        <v>305</v>
      </c>
      <c r="O3355" s="34">
        <f t="shared" si="53"/>
        <v>0.38187407491743219</v>
      </c>
    </row>
    <row r="3356" spans="13:15" x14ac:dyDescent="0.3">
      <c r="M3356" s="35">
        <v>26.31</v>
      </c>
      <c r="N3356">
        <v>305</v>
      </c>
      <c r="O3356" s="34">
        <f t="shared" si="53"/>
        <v>0.38198793123076474</v>
      </c>
    </row>
    <row r="3357" spans="13:15" x14ac:dyDescent="0.3">
      <c r="M3357" s="35">
        <v>26.31</v>
      </c>
      <c r="N3357">
        <v>305</v>
      </c>
      <c r="O3357" s="34">
        <f t="shared" si="53"/>
        <v>0.38210178754409729</v>
      </c>
    </row>
    <row r="3358" spans="13:15" x14ac:dyDescent="0.3">
      <c r="M3358" s="35">
        <v>26.31</v>
      </c>
      <c r="N3358">
        <v>305</v>
      </c>
      <c r="O3358" s="34">
        <f t="shared" si="53"/>
        <v>0.38221564385742984</v>
      </c>
    </row>
    <row r="3359" spans="13:15" x14ac:dyDescent="0.3">
      <c r="M3359" s="35">
        <v>26.31</v>
      </c>
      <c r="N3359">
        <v>305</v>
      </c>
      <c r="O3359" s="34">
        <f t="shared" si="53"/>
        <v>0.38232950017076239</v>
      </c>
    </row>
    <row r="3360" spans="13:15" x14ac:dyDescent="0.3">
      <c r="M3360" s="35">
        <v>26.32</v>
      </c>
      <c r="N3360">
        <v>305</v>
      </c>
      <c r="O3360" s="34">
        <f t="shared" si="53"/>
        <v>0.38244335648409494</v>
      </c>
    </row>
    <row r="3361" spans="13:15" x14ac:dyDescent="0.3">
      <c r="M3361" s="35">
        <v>26.32</v>
      </c>
      <c r="N3361">
        <v>305</v>
      </c>
      <c r="O3361" s="34">
        <f t="shared" si="53"/>
        <v>0.38255721279742749</v>
      </c>
    </row>
    <row r="3362" spans="13:15" x14ac:dyDescent="0.3">
      <c r="M3362" s="35">
        <v>26.32</v>
      </c>
      <c r="N3362">
        <v>305</v>
      </c>
      <c r="O3362" s="34">
        <f t="shared" si="53"/>
        <v>0.38267106911076004</v>
      </c>
    </row>
    <row r="3363" spans="13:15" x14ac:dyDescent="0.3">
      <c r="M3363" s="35">
        <v>26.33</v>
      </c>
      <c r="N3363">
        <v>305</v>
      </c>
      <c r="O3363" s="34">
        <f t="shared" si="53"/>
        <v>0.38278492542409259</v>
      </c>
    </row>
    <row r="3364" spans="13:15" x14ac:dyDescent="0.3">
      <c r="M3364" s="35">
        <v>26.33</v>
      </c>
      <c r="N3364">
        <v>305</v>
      </c>
      <c r="O3364" s="34">
        <f t="shared" si="53"/>
        <v>0.38289878173742514</v>
      </c>
    </row>
    <row r="3365" spans="13:15" x14ac:dyDescent="0.3">
      <c r="M3365" s="35">
        <v>26.33</v>
      </c>
      <c r="N3365">
        <v>305</v>
      </c>
      <c r="O3365" s="34">
        <f t="shared" si="53"/>
        <v>0.38301263805075769</v>
      </c>
    </row>
    <row r="3366" spans="13:15" x14ac:dyDescent="0.3">
      <c r="M3366" s="35">
        <v>26.34</v>
      </c>
      <c r="N3366">
        <v>305</v>
      </c>
      <c r="O3366" s="34">
        <f t="shared" si="53"/>
        <v>0.38312649436409024</v>
      </c>
    </row>
    <row r="3367" spans="13:15" x14ac:dyDescent="0.3">
      <c r="M3367" s="35">
        <v>26.34</v>
      </c>
      <c r="N3367">
        <v>305</v>
      </c>
      <c r="O3367" s="34">
        <f t="shared" si="53"/>
        <v>0.38324035067742279</v>
      </c>
    </row>
    <row r="3368" spans="13:15" x14ac:dyDescent="0.3">
      <c r="M3368" s="35">
        <v>26.34</v>
      </c>
      <c r="N3368">
        <v>305</v>
      </c>
      <c r="O3368" s="34">
        <f t="shared" si="53"/>
        <v>0.38335420699075534</v>
      </c>
    </row>
    <row r="3369" spans="13:15" x14ac:dyDescent="0.3">
      <c r="M3369" s="35">
        <v>26.35</v>
      </c>
      <c r="N3369">
        <v>305</v>
      </c>
      <c r="O3369" s="34">
        <f t="shared" si="53"/>
        <v>0.38346806330408789</v>
      </c>
    </row>
    <row r="3370" spans="13:15" x14ac:dyDescent="0.3">
      <c r="M3370" s="35">
        <v>26.35</v>
      </c>
      <c r="N3370">
        <v>305</v>
      </c>
      <c r="O3370" s="34">
        <f t="shared" si="53"/>
        <v>0.38358191961742044</v>
      </c>
    </row>
    <row r="3371" spans="13:15" x14ac:dyDescent="0.3">
      <c r="M3371" s="35">
        <v>26.35</v>
      </c>
      <c r="N3371">
        <v>305</v>
      </c>
      <c r="O3371" s="34">
        <f t="shared" si="53"/>
        <v>0.38369577593075299</v>
      </c>
    </row>
    <row r="3372" spans="13:15" x14ac:dyDescent="0.3">
      <c r="M3372" s="35">
        <v>26.35</v>
      </c>
      <c r="N3372">
        <v>305</v>
      </c>
      <c r="O3372" s="34">
        <f t="shared" si="53"/>
        <v>0.38380963224408554</v>
      </c>
    </row>
    <row r="3373" spans="13:15" x14ac:dyDescent="0.3">
      <c r="M3373" s="35">
        <v>26.35</v>
      </c>
      <c r="N3373">
        <v>305</v>
      </c>
      <c r="O3373" s="34">
        <f t="shared" si="53"/>
        <v>0.38392348855741809</v>
      </c>
    </row>
    <row r="3374" spans="13:15" x14ac:dyDescent="0.3">
      <c r="M3374" s="35">
        <v>26.35</v>
      </c>
      <c r="N3374">
        <v>305</v>
      </c>
      <c r="O3374" s="34">
        <f t="shared" si="53"/>
        <v>0.38403734487075064</v>
      </c>
    </row>
    <row r="3375" spans="13:15" x14ac:dyDescent="0.3">
      <c r="M3375" s="35">
        <v>26.36</v>
      </c>
      <c r="N3375">
        <v>305</v>
      </c>
      <c r="O3375" s="34">
        <f t="shared" si="53"/>
        <v>0.38415120118408319</v>
      </c>
    </row>
    <row r="3376" spans="13:15" x14ac:dyDescent="0.3">
      <c r="M3376" s="35">
        <v>26.36</v>
      </c>
      <c r="N3376">
        <v>305</v>
      </c>
      <c r="O3376" s="34">
        <f t="shared" si="53"/>
        <v>0.38426505749741574</v>
      </c>
    </row>
    <row r="3377" spans="13:15" x14ac:dyDescent="0.3">
      <c r="M3377" s="35">
        <v>26.36</v>
      </c>
      <c r="N3377">
        <v>305</v>
      </c>
      <c r="O3377" s="34">
        <f t="shared" si="53"/>
        <v>0.38437891381074829</v>
      </c>
    </row>
    <row r="3378" spans="13:15" x14ac:dyDescent="0.3">
      <c r="M3378" s="35">
        <v>26.37</v>
      </c>
      <c r="N3378">
        <v>305</v>
      </c>
      <c r="O3378" s="34">
        <f t="shared" si="53"/>
        <v>0.38449277012408084</v>
      </c>
    </row>
    <row r="3379" spans="13:15" x14ac:dyDescent="0.3">
      <c r="M3379" s="35">
        <v>26.37</v>
      </c>
      <c r="N3379">
        <v>305</v>
      </c>
      <c r="O3379" s="34">
        <f t="shared" si="53"/>
        <v>0.38460662643741339</v>
      </c>
    </row>
    <row r="3380" spans="13:15" x14ac:dyDescent="0.3">
      <c r="M3380" s="35">
        <v>26.37</v>
      </c>
      <c r="N3380">
        <v>305</v>
      </c>
      <c r="O3380" s="34">
        <f t="shared" si="53"/>
        <v>0.38472048275074594</v>
      </c>
    </row>
    <row r="3381" spans="13:15" x14ac:dyDescent="0.3">
      <c r="M3381" s="35">
        <v>26.37</v>
      </c>
      <c r="N3381">
        <v>305</v>
      </c>
      <c r="O3381" s="34">
        <f t="shared" si="53"/>
        <v>0.38483433906407849</v>
      </c>
    </row>
    <row r="3382" spans="13:15" x14ac:dyDescent="0.3">
      <c r="M3382" s="35">
        <v>26.37</v>
      </c>
      <c r="N3382">
        <v>305</v>
      </c>
      <c r="O3382" s="34">
        <f t="shared" si="53"/>
        <v>0.38494819537741104</v>
      </c>
    </row>
    <row r="3383" spans="13:15" x14ac:dyDescent="0.3">
      <c r="M3383" s="35">
        <v>26.37</v>
      </c>
      <c r="N3383">
        <v>305</v>
      </c>
      <c r="O3383" s="34">
        <f t="shared" si="53"/>
        <v>0.38506205169074359</v>
      </c>
    </row>
    <row r="3384" spans="13:15" x14ac:dyDescent="0.3">
      <c r="M3384" s="35">
        <v>26.37</v>
      </c>
      <c r="N3384">
        <v>305</v>
      </c>
      <c r="O3384" s="34">
        <f t="shared" si="53"/>
        <v>0.38517590800407614</v>
      </c>
    </row>
    <row r="3385" spans="13:15" x14ac:dyDescent="0.3">
      <c r="M3385" s="35">
        <v>26.37</v>
      </c>
      <c r="N3385">
        <v>305</v>
      </c>
      <c r="O3385" s="34">
        <f t="shared" si="53"/>
        <v>0.38528976431740869</v>
      </c>
    </row>
    <row r="3386" spans="13:15" x14ac:dyDescent="0.3">
      <c r="M3386" s="35">
        <v>26.38</v>
      </c>
      <c r="N3386">
        <v>305</v>
      </c>
      <c r="O3386" s="34">
        <f t="shared" si="53"/>
        <v>0.38540362063074124</v>
      </c>
    </row>
    <row r="3387" spans="13:15" x14ac:dyDescent="0.3">
      <c r="M3387" s="35">
        <v>26.38</v>
      </c>
      <c r="N3387">
        <v>305</v>
      </c>
      <c r="O3387" s="34">
        <f t="shared" si="53"/>
        <v>0.38551747694407379</v>
      </c>
    </row>
    <row r="3388" spans="13:15" x14ac:dyDescent="0.3">
      <c r="M3388" s="35">
        <v>26.39</v>
      </c>
      <c r="N3388">
        <v>305</v>
      </c>
      <c r="O3388" s="34">
        <f t="shared" si="53"/>
        <v>0.38563133325740634</v>
      </c>
    </row>
    <row r="3389" spans="13:15" x14ac:dyDescent="0.3">
      <c r="M3389" s="35">
        <v>26.39</v>
      </c>
      <c r="N3389">
        <v>305</v>
      </c>
      <c r="O3389" s="34">
        <f t="shared" si="53"/>
        <v>0.38574518957073889</v>
      </c>
    </row>
    <row r="3390" spans="13:15" x14ac:dyDescent="0.3">
      <c r="M3390" s="35">
        <v>26.39</v>
      </c>
      <c r="N3390">
        <v>305</v>
      </c>
      <c r="O3390" s="34">
        <f t="shared" si="53"/>
        <v>0.38585904588407144</v>
      </c>
    </row>
    <row r="3391" spans="13:15" x14ac:dyDescent="0.3">
      <c r="M3391" s="35">
        <v>26.39</v>
      </c>
      <c r="N3391">
        <v>305</v>
      </c>
      <c r="O3391" s="34">
        <f t="shared" si="53"/>
        <v>0.38597290219740399</v>
      </c>
    </row>
    <row r="3392" spans="13:15" x14ac:dyDescent="0.3">
      <c r="M3392" s="35">
        <v>26.39</v>
      </c>
      <c r="N3392">
        <v>305</v>
      </c>
      <c r="O3392" s="34">
        <f t="shared" si="53"/>
        <v>0.38608675851073654</v>
      </c>
    </row>
    <row r="3393" spans="13:15" x14ac:dyDescent="0.3">
      <c r="M3393" s="35">
        <v>26.41</v>
      </c>
      <c r="N3393">
        <v>305</v>
      </c>
      <c r="O3393" s="34">
        <f t="shared" si="53"/>
        <v>0.38620061482406909</v>
      </c>
    </row>
    <row r="3394" spans="13:15" x14ac:dyDescent="0.3">
      <c r="M3394" s="35">
        <v>26.41</v>
      </c>
      <c r="N3394">
        <v>305</v>
      </c>
      <c r="O3394" s="34">
        <f t="shared" si="53"/>
        <v>0.38631447113740164</v>
      </c>
    </row>
    <row r="3395" spans="13:15" x14ac:dyDescent="0.3">
      <c r="M3395" s="35">
        <v>26.41</v>
      </c>
      <c r="N3395">
        <v>305</v>
      </c>
      <c r="O3395" s="34">
        <f t="shared" si="53"/>
        <v>0.38642832745073419</v>
      </c>
    </row>
    <row r="3396" spans="13:15" x14ac:dyDescent="0.3">
      <c r="M3396" s="35">
        <v>26.41</v>
      </c>
      <c r="N3396">
        <v>305</v>
      </c>
      <c r="O3396" s="34">
        <f t="shared" ref="O3396:O3459" si="54">O3395+O$2</f>
        <v>0.38654218376406674</v>
      </c>
    </row>
    <row r="3397" spans="13:15" x14ac:dyDescent="0.3">
      <c r="M3397" s="35">
        <v>26.42</v>
      </c>
      <c r="N3397">
        <v>305</v>
      </c>
      <c r="O3397" s="34">
        <f t="shared" si="54"/>
        <v>0.38665604007739929</v>
      </c>
    </row>
    <row r="3398" spans="13:15" x14ac:dyDescent="0.3">
      <c r="M3398" s="35">
        <v>26.42</v>
      </c>
      <c r="N3398">
        <v>305</v>
      </c>
      <c r="O3398" s="34">
        <f t="shared" si="54"/>
        <v>0.38676989639073184</v>
      </c>
    </row>
    <row r="3399" spans="13:15" x14ac:dyDescent="0.3">
      <c r="M3399" s="35">
        <v>26.42</v>
      </c>
      <c r="N3399">
        <v>305</v>
      </c>
      <c r="O3399" s="34">
        <f t="shared" si="54"/>
        <v>0.38688375270406439</v>
      </c>
    </row>
    <row r="3400" spans="13:15" x14ac:dyDescent="0.3">
      <c r="M3400" s="35">
        <v>26.42</v>
      </c>
      <c r="N3400">
        <v>305</v>
      </c>
      <c r="O3400" s="34">
        <f t="shared" si="54"/>
        <v>0.38699760901739694</v>
      </c>
    </row>
    <row r="3401" spans="13:15" x14ac:dyDescent="0.3">
      <c r="M3401" s="35">
        <v>26.44</v>
      </c>
      <c r="N3401">
        <v>305</v>
      </c>
      <c r="O3401" s="34">
        <f t="shared" si="54"/>
        <v>0.38711146533072949</v>
      </c>
    </row>
    <row r="3402" spans="13:15" x14ac:dyDescent="0.3">
      <c r="M3402" s="35">
        <v>26.44</v>
      </c>
      <c r="N3402">
        <v>305</v>
      </c>
      <c r="O3402" s="34">
        <f t="shared" si="54"/>
        <v>0.38722532164406204</v>
      </c>
    </row>
    <row r="3403" spans="13:15" x14ac:dyDescent="0.3">
      <c r="M3403" s="35">
        <v>26.45</v>
      </c>
      <c r="N3403">
        <v>305</v>
      </c>
      <c r="O3403" s="34">
        <f t="shared" si="54"/>
        <v>0.38733917795739459</v>
      </c>
    </row>
    <row r="3404" spans="13:15" x14ac:dyDescent="0.3">
      <c r="M3404" s="35">
        <v>26.45</v>
      </c>
      <c r="N3404">
        <v>305</v>
      </c>
      <c r="O3404" s="34">
        <f t="shared" si="54"/>
        <v>0.38745303427072714</v>
      </c>
    </row>
    <row r="3405" spans="13:15" x14ac:dyDescent="0.3">
      <c r="M3405" s="35">
        <v>26.46</v>
      </c>
      <c r="N3405">
        <v>305</v>
      </c>
      <c r="O3405" s="34">
        <f t="shared" si="54"/>
        <v>0.38756689058405969</v>
      </c>
    </row>
    <row r="3406" spans="13:15" x14ac:dyDescent="0.3">
      <c r="M3406" s="35">
        <v>26.46</v>
      </c>
      <c r="N3406">
        <v>305</v>
      </c>
      <c r="O3406" s="34">
        <f t="shared" si="54"/>
        <v>0.38768074689739224</v>
      </c>
    </row>
    <row r="3407" spans="13:15" x14ac:dyDescent="0.3">
      <c r="M3407" s="35">
        <v>26.46</v>
      </c>
      <c r="N3407">
        <v>305</v>
      </c>
      <c r="O3407" s="34">
        <f t="shared" si="54"/>
        <v>0.38779460321072479</v>
      </c>
    </row>
    <row r="3408" spans="13:15" x14ac:dyDescent="0.3">
      <c r="M3408" s="35">
        <v>26.46</v>
      </c>
      <c r="N3408">
        <v>305</v>
      </c>
      <c r="O3408" s="34">
        <f t="shared" si="54"/>
        <v>0.38790845952405734</v>
      </c>
    </row>
    <row r="3409" spans="13:15" x14ac:dyDescent="0.3">
      <c r="M3409" s="35">
        <v>26.46</v>
      </c>
      <c r="N3409">
        <v>305</v>
      </c>
      <c r="O3409" s="34">
        <f t="shared" si="54"/>
        <v>0.38802231583738989</v>
      </c>
    </row>
    <row r="3410" spans="13:15" x14ac:dyDescent="0.3">
      <c r="M3410" s="35">
        <v>26.46</v>
      </c>
      <c r="N3410">
        <v>305</v>
      </c>
      <c r="O3410" s="34">
        <f t="shared" si="54"/>
        <v>0.38813617215072244</v>
      </c>
    </row>
    <row r="3411" spans="13:15" x14ac:dyDescent="0.3">
      <c r="M3411" s="35">
        <v>26.46</v>
      </c>
      <c r="N3411">
        <v>305</v>
      </c>
      <c r="O3411" s="34">
        <f t="shared" si="54"/>
        <v>0.38825002846405499</v>
      </c>
    </row>
    <row r="3412" spans="13:15" x14ac:dyDescent="0.3">
      <c r="M3412" s="35">
        <v>26.47</v>
      </c>
      <c r="N3412">
        <v>305</v>
      </c>
      <c r="O3412" s="34">
        <f t="shared" si="54"/>
        <v>0.38836388477738754</v>
      </c>
    </row>
    <row r="3413" spans="13:15" x14ac:dyDescent="0.3">
      <c r="M3413" s="35">
        <v>26.47</v>
      </c>
      <c r="N3413">
        <v>305</v>
      </c>
      <c r="O3413" s="34">
        <f t="shared" si="54"/>
        <v>0.38847774109072009</v>
      </c>
    </row>
    <row r="3414" spans="13:15" x14ac:dyDescent="0.3">
      <c r="M3414" s="35">
        <v>26.48</v>
      </c>
      <c r="N3414">
        <v>305</v>
      </c>
      <c r="O3414" s="34">
        <f t="shared" si="54"/>
        <v>0.38859159740405264</v>
      </c>
    </row>
    <row r="3415" spans="13:15" x14ac:dyDescent="0.3">
      <c r="M3415" s="35">
        <v>26.48</v>
      </c>
      <c r="N3415">
        <v>305</v>
      </c>
      <c r="O3415" s="34">
        <f t="shared" si="54"/>
        <v>0.38870545371738519</v>
      </c>
    </row>
    <row r="3416" spans="13:15" x14ac:dyDescent="0.3">
      <c r="M3416" s="35">
        <v>26.49</v>
      </c>
      <c r="N3416">
        <v>305</v>
      </c>
      <c r="O3416" s="34">
        <f t="shared" si="54"/>
        <v>0.38881931003071774</v>
      </c>
    </row>
    <row r="3417" spans="13:15" x14ac:dyDescent="0.3">
      <c r="M3417" s="35">
        <v>26.49</v>
      </c>
      <c r="N3417">
        <v>305</v>
      </c>
      <c r="O3417" s="34">
        <f t="shared" si="54"/>
        <v>0.38893316634405029</v>
      </c>
    </row>
    <row r="3418" spans="13:15" x14ac:dyDescent="0.3">
      <c r="M3418" s="35">
        <v>26.51</v>
      </c>
      <c r="N3418">
        <v>305</v>
      </c>
      <c r="O3418" s="34">
        <f t="shared" si="54"/>
        <v>0.38904702265738283</v>
      </c>
    </row>
    <row r="3419" spans="13:15" x14ac:dyDescent="0.3">
      <c r="M3419" s="35">
        <v>26.51</v>
      </c>
      <c r="N3419">
        <v>305</v>
      </c>
      <c r="O3419" s="34">
        <f t="shared" si="54"/>
        <v>0.38916087897071538</v>
      </c>
    </row>
    <row r="3420" spans="13:15" x14ac:dyDescent="0.3">
      <c r="M3420" s="35">
        <v>26.51</v>
      </c>
      <c r="N3420">
        <v>305</v>
      </c>
      <c r="O3420" s="34">
        <f t="shared" si="54"/>
        <v>0.38927473528404793</v>
      </c>
    </row>
    <row r="3421" spans="13:15" x14ac:dyDescent="0.3">
      <c r="M3421" s="35">
        <v>26.51</v>
      </c>
      <c r="N3421">
        <v>305</v>
      </c>
      <c r="O3421" s="34">
        <f t="shared" si="54"/>
        <v>0.38938859159738048</v>
      </c>
    </row>
    <row r="3422" spans="13:15" x14ac:dyDescent="0.3">
      <c r="M3422" s="35">
        <v>26.52</v>
      </c>
      <c r="N3422">
        <v>305</v>
      </c>
      <c r="O3422" s="34">
        <f t="shared" si="54"/>
        <v>0.38950244791071303</v>
      </c>
    </row>
    <row r="3423" spans="13:15" x14ac:dyDescent="0.3">
      <c r="M3423" s="35">
        <v>26.52</v>
      </c>
      <c r="N3423">
        <v>305</v>
      </c>
      <c r="O3423" s="34">
        <f t="shared" si="54"/>
        <v>0.38961630422404558</v>
      </c>
    </row>
    <row r="3424" spans="13:15" x14ac:dyDescent="0.3">
      <c r="M3424" s="35">
        <v>26.52</v>
      </c>
      <c r="N3424">
        <v>305</v>
      </c>
      <c r="O3424" s="34">
        <f t="shared" si="54"/>
        <v>0.38973016053737813</v>
      </c>
    </row>
    <row r="3425" spans="13:15" x14ac:dyDescent="0.3">
      <c r="M3425" s="35">
        <v>26.53</v>
      </c>
      <c r="N3425">
        <v>305</v>
      </c>
      <c r="O3425" s="34">
        <f t="shared" si="54"/>
        <v>0.38984401685071068</v>
      </c>
    </row>
    <row r="3426" spans="13:15" x14ac:dyDescent="0.3">
      <c r="M3426" s="35">
        <v>26.54</v>
      </c>
      <c r="N3426">
        <v>305</v>
      </c>
      <c r="O3426" s="34">
        <f t="shared" si="54"/>
        <v>0.38995787316404323</v>
      </c>
    </row>
    <row r="3427" spans="13:15" x14ac:dyDescent="0.3">
      <c r="M3427" s="35">
        <v>26.54</v>
      </c>
      <c r="N3427">
        <v>305</v>
      </c>
      <c r="O3427" s="34">
        <f t="shared" si="54"/>
        <v>0.39007172947737578</v>
      </c>
    </row>
    <row r="3428" spans="13:15" x14ac:dyDescent="0.3">
      <c r="M3428" s="35">
        <v>26.54</v>
      </c>
      <c r="N3428">
        <v>305</v>
      </c>
      <c r="O3428" s="34">
        <f t="shared" si="54"/>
        <v>0.39018558579070833</v>
      </c>
    </row>
    <row r="3429" spans="13:15" x14ac:dyDescent="0.3">
      <c r="M3429" s="35">
        <v>26.56</v>
      </c>
      <c r="N3429">
        <v>305</v>
      </c>
      <c r="O3429" s="34">
        <f t="shared" si="54"/>
        <v>0.39029944210404088</v>
      </c>
    </row>
    <row r="3430" spans="13:15" x14ac:dyDescent="0.3">
      <c r="M3430" s="35">
        <v>26.56</v>
      </c>
      <c r="N3430">
        <v>305</v>
      </c>
      <c r="O3430" s="34">
        <f t="shared" si="54"/>
        <v>0.39041329841737343</v>
      </c>
    </row>
    <row r="3431" spans="13:15" x14ac:dyDescent="0.3">
      <c r="M3431" s="35">
        <v>26.57</v>
      </c>
      <c r="N3431">
        <v>305</v>
      </c>
      <c r="O3431" s="34">
        <f t="shared" si="54"/>
        <v>0.39052715473070598</v>
      </c>
    </row>
    <row r="3432" spans="13:15" x14ac:dyDescent="0.3">
      <c r="M3432" s="35">
        <v>26.57</v>
      </c>
      <c r="N3432">
        <v>305</v>
      </c>
      <c r="O3432" s="34">
        <f t="shared" si="54"/>
        <v>0.39064101104403853</v>
      </c>
    </row>
    <row r="3433" spans="13:15" x14ac:dyDescent="0.3">
      <c r="M3433" s="35">
        <v>26.57</v>
      </c>
      <c r="N3433">
        <v>305</v>
      </c>
      <c r="O3433" s="34">
        <f t="shared" si="54"/>
        <v>0.39075486735737108</v>
      </c>
    </row>
    <row r="3434" spans="13:15" x14ac:dyDescent="0.3">
      <c r="M3434" s="35">
        <v>26.57</v>
      </c>
      <c r="N3434">
        <v>305</v>
      </c>
      <c r="O3434" s="34">
        <f t="shared" si="54"/>
        <v>0.39086872367070363</v>
      </c>
    </row>
    <row r="3435" spans="13:15" x14ac:dyDescent="0.3">
      <c r="M3435" s="35">
        <v>26.58</v>
      </c>
      <c r="N3435">
        <v>305</v>
      </c>
      <c r="O3435" s="34">
        <f t="shared" si="54"/>
        <v>0.39098257998403618</v>
      </c>
    </row>
    <row r="3436" spans="13:15" x14ac:dyDescent="0.3">
      <c r="M3436" s="35">
        <v>26.58</v>
      </c>
      <c r="N3436">
        <v>305</v>
      </c>
      <c r="O3436" s="34">
        <f t="shared" si="54"/>
        <v>0.39109643629736873</v>
      </c>
    </row>
    <row r="3437" spans="13:15" x14ac:dyDescent="0.3">
      <c r="M3437" s="35">
        <v>26.58</v>
      </c>
      <c r="N3437">
        <v>305</v>
      </c>
      <c r="O3437" s="34">
        <f t="shared" si="54"/>
        <v>0.39121029261070128</v>
      </c>
    </row>
    <row r="3438" spans="13:15" x14ac:dyDescent="0.3">
      <c r="M3438" s="35">
        <v>26.59</v>
      </c>
      <c r="N3438">
        <v>305</v>
      </c>
      <c r="O3438" s="34">
        <f t="shared" si="54"/>
        <v>0.39132414892403383</v>
      </c>
    </row>
    <row r="3439" spans="13:15" x14ac:dyDescent="0.3">
      <c r="M3439" s="35">
        <v>26.59</v>
      </c>
      <c r="N3439">
        <v>305</v>
      </c>
      <c r="O3439" s="34">
        <f t="shared" si="54"/>
        <v>0.39143800523736638</v>
      </c>
    </row>
    <row r="3440" spans="13:15" x14ac:dyDescent="0.3">
      <c r="M3440" s="35">
        <v>26.59</v>
      </c>
      <c r="N3440">
        <v>305</v>
      </c>
      <c r="O3440" s="34">
        <f t="shared" si="54"/>
        <v>0.39155186155069893</v>
      </c>
    </row>
    <row r="3441" spans="13:15" x14ac:dyDescent="0.3">
      <c r="M3441" s="35">
        <v>26.6</v>
      </c>
      <c r="N3441">
        <v>305</v>
      </c>
      <c r="O3441" s="34">
        <f t="shared" si="54"/>
        <v>0.39166571786403148</v>
      </c>
    </row>
    <row r="3442" spans="13:15" x14ac:dyDescent="0.3">
      <c r="M3442" s="35">
        <v>26.6</v>
      </c>
      <c r="N3442">
        <v>305</v>
      </c>
      <c r="O3442" s="34">
        <f t="shared" si="54"/>
        <v>0.39177957417736403</v>
      </c>
    </row>
    <row r="3443" spans="13:15" x14ac:dyDescent="0.3">
      <c r="M3443" s="35">
        <v>26.6</v>
      </c>
      <c r="N3443">
        <v>305</v>
      </c>
      <c r="O3443" s="34">
        <f t="shared" si="54"/>
        <v>0.39189343049069658</v>
      </c>
    </row>
    <row r="3444" spans="13:15" x14ac:dyDescent="0.3">
      <c r="M3444" s="35">
        <v>26.6</v>
      </c>
      <c r="N3444">
        <v>305</v>
      </c>
      <c r="O3444" s="34">
        <f t="shared" si="54"/>
        <v>0.39200728680402913</v>
      </c>
    </row>
    <row r="3445" spans="13:15" x14ac:dyDescent="0.3">
      <c r="M3445" s="35">
        <v>26.61</v>
      </c>
      <c r="N3445">
        <v>305</v>
      </c>
      <c r="O3445" s="34">
        <f t="shared" si="54"/>
        <v>0.39212114311736168</v>
      </c>
    </row>
    <row r="3446" spans="13:15" x14ac:dyDescent="0.3">
      <c r="M3446" s="35">
        <v>26.61</v>
      </c>
      <c r="N3446">
        <v>305</v>
      </c>
      <c r="O3446" s="34">
        <f t="shared" si="54"/>
        <v>0.39223499943069423</v>
      </c>
    </row>
    <row r="3447" spans="13:15" x14ac:dyDescent="0.3">
      <c r="M3447" s="35">
        <v>26.61</v>
      </c>
      <c r="N3447">
        <v>305</v>
      </c>
      <c r="O3447" s="34">
        <f t="shared" si="54"/>
        <v>0.39234885574402678</v>
      </c>
    </row>
    <row r="3448" spans="13:15" x14ac:dyDescent="0.3">
      <c r="M3448" s="35">
        <v>26.61</v>
      </c>
      <c r="N3448">
        <v>305</v>
      </c>
      <c r="O3448" s="34">
        <f t="shared" si="54"/>
        <v>0.39246271205735933</v>
      </c>
    </row>
    <row r="3449" spans="13:15" x14ac:dyDescent="0.3">
      <c r="M3449" s="35">
        <v>26.62</v>
      </c>
      <c r="N3449">
        <v>305</v>
      </c>
      <c r="O3449" s="34">
        <f t="shared" si="54"/>
        <v>0.39257656837069188</v>
      </c>
    </row>
    <row r="3450" spans="13:15" x14ac:dyDescent="0.3">
      <c r="M3450" s="35">
        <v>26.63</v>
      </c>
      <c r="N3450">
        <v>305</v>
      </c>
      <c r="O3450" s="34">
        <f t="shared" si="54"/>
        <v>0.39269042468402443</v>
      </c>
    </row>
    <row r="3451" spans="13:15" x14ac:dyDescent="0.3">
      <c r="M3451" s="35">
        <v>26.63</v>
      </c>
      <c r="N3451">
        <v>305</v>
      </c>
      <c r="O3451" s="34">
        <f t="shared" si="54"/>
        <v>0.39280428099735698</v>
      </c>
    </row>
    <row r="3452" spans="13:15" x14ac:dyDescent="0.3">
      <c r="M3452" s="35">
        <v>26.63</v>
      </c>
      <c r="N3452">
        <v>305</v>
      </c>
      <c r="O3452" s="34">
        <f t="shared" si="54"/>
        <v>0.39291813731068953</v>
      </c>
    </row>
    <row r="3453" spans="13:15" x14ac:dyDescent="0.3">
      <c r="M3453" s="35">
        <v>26.63</v>
      </c>
      <c r="N3453">
        <v>305</v>
      </c>
      <c r="O3453" s="34">
        <f t="shared" si="54"/>
        <v>0.39303199362402208</v>
      </c>
    </row>
    <row r="3454" spans="13:15" x14ac:dyDescent="0.3">
      <c r="M3454" s="35">
        <v>26.64</v>
      </c>
      <c r="N3454">
        <v>305</v>
      </c>
      <c r="O3454" s="34">
        <f t="shared" si="54"/>
        <v>0.39314584993735463</v>
      </c>
    </row>
    <row r="3455" spans="13:15" x14ac:dyDescent="0.3">
      <c r="M3455" s="35">
        <v>26.64</v>
      </c>
      <c r="N3455">
        <v>305</v>
      </c>
      <c r="O3455" s="34">
        <f t="shared" si="54"/>
        <v>0.39325970625068718</v>
      </c>
    </row>
    <row r="3456" spans="13:15" x14ac:dyDescent="0.3">
      <c r="M3456" s="35">
        <v>26.64</v>
      </c>
      <c r="N3456">
        <v>305</v>
      </c>
      <c r="O3456" s="34">
        <f t="shared" si="54"/>
        <v>0.39337356256401973</v>
      </c>
    </row>
    <row r="3457" spans="13:15" x14ac:dyDescent="0.3">
      <c r="M3457" s="35">
        <v>26.64</v>
      </c>
      <c r="N3457">
        <v>305</v>
      </c>
      <c r="O3457" s="34">
        <f t="shared" si="54"/>
        <v>0.39348741887735228</v>
      </c>
    </row>
    <row r="3458" spans="13:15" x14ac:dyDescent="0.3">
      <c r="M3458" s="35">
        <v>26.66</v>
      </c>
      <c r="N3458">
        <v>305</v>
      </c>
      <c r="O3458" s="34">
        <f t="shared" si="54"/>
        <v>0.39360127519068483</v>
      </c>
    </row>
    <row r="3459" spans="13:15" x14ac:dyDescent="0.3">
      <c r="M3459" s="35">
        <v>26.66</v>
      </c>
      <c r="N3459">
        <v>305</v>
      </c>
      <c r="O3459" s="34">
        <f t="shared" si="54"/>
        <v>0.39371513150401738</v>
      </c>
    </row>
    <row r="3460" spans="13:15" x14ac:dyDescent="0.3">
      <c r="M3460" s="35">
        <v>26.66</v>
      </c>
      <c r="N3460">
        <v>305</v>
      </c>
      <c r="O3460" s="34">
        <f t="shared" ref="O3460:O3523" si="55">O3459+O$2</f>
        <v>0.39382898781734993</v>
      </c>
    </row>
    <row r="3461" spans="13:15" x14ac:dyDescent="0.3">
      <c r="M3461" s="35">
        <v>26.67</v>
      </c>
      <c r="N3461">
        <v>305</v>
      </c>
      <c r="O3461" s="34">
        <f t="shared" si="55"/>
        <v>0.39394284413068248</v>
      </c>
    </row>
    <row r="3462" spans="13:15" x14ac:dyDescent="0.3">
      <c r="M3462" s="35">
        <v>26.67</v>
      </c>
      <c r="N3462">
        <v>305</v>
      </c>
      <c r="O3462" s="34">
        <f t="shared" si="55"/>
        <v>0.39405670044401503</v>
      </c>
    </row>
    <row r="3463" spans="13:15" x14ac:dyDescent="0.3">
      <c r="M3463" s="35">
        <v>26.67</v>
      </c>
      <c r="N3463">
        <v>305</v>
      </c>
      <c r="O3463" s="34">
        <f t="shared" si="55"/>
        <v>0.39417055675734758</v>
      </c>
    </row>
    <row r="3464" spans="13:15" x14ac:dyDescent="0.3">
      <c r="M3464" s="35">
        <v>26.67</v>
      </c>
      <c r="N3464">
        <v>305</v>
      </c>
      <c r="O3464" s="34">
        <f t="shared" si="55"/>
        <v>0.39428441307068013</v>
      </c>
    </row>
    <row r="3465" spans="13:15" x14ac:dyDescent="0.3">
      <c r="M3465" s="35">
        <v>26.68</v>
      </c>
      <c r="N3465">
        <v>305</v>
      </c>
      <c r="O3465" s="34">
        <f t="shared" si="55"/>
        <v>0.39439826938401268</v>
      </c>
    </row>
    <row r="3466" spans="13:15" x14ac:dyDescent="0.3">
      <c r="M3466" s="35">
        <v>26.69</v>
      </c>
      <c r="N3466">
        <v>305</v>
      </c>
      <c r="O3466" s="34">
        <f t="shared" si="55"/>
        <v>0.39451212569734523</v>
      </c>
    </row>
    <row r="3467" spans="13:15" x14ac:dyDescent="0.3">
      <c r="M3467" s="35">
        <v>26.69</v>
      </c>
      <c r="N3467">
        <v>305</v>
      </c>
      <c r="O3467" s="34">
        <f t="shared" si="55"/>
        <v>0.39462598201067778</v>
      </c>
    </row>
    <row r="3468" spans="13:15" x14ac:dyDescent="0.3">
      <c r="M3468" s="35">
        <v>26.69</v>
      </c>
      <c r="N3468">
        <v>305</v>
      </c>
      <c r="O3468" s="34">
        <f t="shared" si="55"/>
        <v>0.39473983832401033</v>
      </c>
    </row>
    <row r="3469" spans="13:15" x14ac:dyDescent="0.3">
      <c r="M3469" s="35">
        <v>26.7</v>
      </c>
      <c r="N3469">
        <v>305</v>
      </c>
      <c r="O3469" s="34">
        <f t="shared" si="55"/>
        <v>0.39485369463734288</v>
      </c>
    </row>
    <row r="3470" spans="13:15" x14ac:dyDescent="0.3">
      <c r="M3470" s="35">
        <v>26.7</v>
      </c>
      <c r="N3470">
        <v>305</v>
      </c>
      <c r="O3470" s="34">
        <f t="shared" si="55"/>
        <v>0.39496755095067543</v>
      </c>
    </row>
    <row r="3471" spans="13:15" x14ac:dyDescent="0.3">
      <c r="M3471" s="35">
        <v>26.7</v>
      </c>
      <c r="N3471">
        <v>305</v>
      </c>
      <c r="O3471" s="34">
        <f t="shared" si="55"/>
        <v>0.39508140726400798</v>
      </c>
    </row>
    <row r="3472" spans="13:15" x14ac:dyDescent="0.3">
      <c r="M3472" s="35">
        <v>26.7</v>
      </c>
      <c r="N3472">
        <v>305</v>
      </c>
      <c r="O3472" s="34">
        <f t="shared" si="55"/>
        <v>0.39519526357734053</v>
      </c>
    </row>
    <row r="3473" spans="13:15" x14ac:dyDescent="0.3">
      <c r="M3473" s="35">
        <v>26.71</v>
      </c>
      <c r="N3473">
        <v>305</v>
      </c>
      <c r="O3473" s="34">
        <f t="shared" si="55"/>
        <v>0.39530911989067308</v>
      </c>
    </row>
    <row r="3474" spans="13:15" x14ac:dyDescent="0.3">
      <c r="M3474" s="35">
        <v>26.71</v>
      </c>
      <c r="N3474">
        <v>305</v>
      </c>
      <c r="O3474" s="34">
        <f t="shared" si="55"/>
        <v>0.39542297620400563</v>
      </c>
    </row>
    <row r="3475" spans="13:15" x14ac:dyDescent="0.3">
      <c r="M3475" s="35">
        <v>26.71</v>
      </c>
      <c r="N3475">
        <v>305</v>
      </c>
      <c r="O3475" s="34">
        <f t="shared" si="55"/>
        <v>0.39553683251733818</v>
      </c>
    </row>
    <row r="3476" spans="13:15" x14ac:dyDescent="0.3">
      <c r="M3476" s="35">
        <v>26.72</v>
      </c>
      <c r="N3476">
        <v>305</v>
      </c>
      <c r="O3476" s="34">
        <f t="shared" si="55"/>
        <v>0.39565068883067073</v>
      </c>
    </row>
    <row r="3477" spans="13:15" x14ac:dyDescent="0.3">
      <c r="M3477" s="35">
        <v>26.72</v>
      </c>
      <c r="N3477">
        <v>305</v>
      </c>
      <c r="O3477" s="34">
        <f t="shared" si="55"/>
        <v>0.39576454514400328</v>
      </c>
    </row>
    <row r="3478" spans="13:15" x14ac:dyDescent="0.3">
      <c r="M3478" s="35">
        <v>26.72</v>
      </c>
      <c r="N3478">
        <v>305</v>
      </c>
      <c r="O3478" s="34">
        <f t="shared" si="55"/>
        <v>0.39587840145733583</v>
      </c>
    </row>
    <row r="3479" spans="13:15" x14ac:dyDescent="0.3">
      <c r="M3479" s="35">
        <v>26.72</v>
      </c>
      <c r="N3479">
        <v>305</v>
      </c>
      <c r="O3479" s="34">
        <f t="shared" si="55"/>
        <v>0.39599225777066838</v>
      </c>
    </row>
    <row r="3480" spans="13:15" x14ac:dyDescent="0.3">
      <c r="M3480" s="35">
        <v>26.73</v>
      </c>
      <c r="N3480">
        <v>305</v>
      </c>
      <c r="O3480" s="34">
        <f t="shared" si="55"/>
        <v>0.39610611408400093</v>
      </c>
    </row>
    <row r="3481" spans="13:15" x14ac:dyDescent="0.3">
      <c r="M3481" s="35">
        <v>26.73</v>
      </c>
      <c r="N3481">
        <v>305</v>
      </c>
      <c r="O3481" s="34">
        <f t="shared" si="55"/>
        <v>0.39621997039733348</v>
      </c>
    </row>
    <row r="3482" spans="13:15" x14ac:dyDescent="0.3">
      <c r="M3482" s="35">
        <v>26.73</v>
      </c>
      <c r="N3482">
        <v>305</v>
      </c>
      <c r="O3482" s="34">
        <f t="shared" si="55"/>
        <v>0.39633382671066603</v>
      </c>
    </row>
    <row r="3483" spans="13:15" x14ac:dyDescent="0.3">
      <c r="M3483" s="35">
        <v>26.74</v>
      </c>
      <c r="N3483">
        <v>305</v>
      </c>
      <c r="O3483" s="34">
        <f t="shared" si="55"/>
        <v>0.39644768302399858</v>
      </c>
    </row>
    <row r="3484" spans="13:15" x14ac:dyDescent="0.3">
      <c r="M3484" s="35">
        <v>26.74</v>
      </c>
      <c r="N3484">
        <v>305</v>
      </c>
      <c r="O3484" s="34">
        <f t="shared" si="55"/>
        <v>0.39656153933733113</v>
      </c>
    </row>
    <row r="3485" spans="13:15" x14ac:dyDescent="0.3">
      <c r="M3485" s="35">
        <v>26.74</v>
      </c>
      <c r="N3485">
        <v>305</v>
      </c>
      <c r="O3485" s="34">
        <f t="shared" si="55"/>
        <v>0.39667539565066368</v>
      </c>
    </row>
    <row r="3486" spans="13:15" x14ac:dyDescent="0.3">
      <c r="M3486" s="35">
        <v>26.74</v>
      </c>
      <c r="N3486">
        <v>305</v>
      </c>
      <c r="O3486" s="34">
        <f t="shared" si="55"/>
        <v>0.39678925196399623</v>
      </c>
    </row>
    <row r="3487" spans="13:15" x14ac:dyDescent="0.3">
      <c r="M3487" s="35">
        <v>26.74</v>
      </c>
      <c r="N3487">
        <v>305</v>
      </c>
      <c r="O3487" s="34">
        <f t="shared" si="55"/>
        <v>0.39690310827732878</v>
      </c>
    </row>
    <row r="3488" spans="13:15" x14ac:dyDescent="0.3">
      <c r="M3488" s="35">
        <v>26.74</v>
      </c>
      <c r="N3488">
        <v>305</v>
      </c>
      <c r="O3488" s="34">
        <f t="shared" si="55"/>
        <v>0.39701696459066133</v>
      </c>
    </row>
    <row r="3489" spans="13:15" x14ac:dyDescent="0.3">
      <c r="M3489" s="35">
        <v>26.74</v>
      </c>
      <c r="N3489">
        <v>305</v>
      </c>
      <c r="O3489" s="34">
        <f t="shared" si="55"/>
        <v>0.39713082090399388</v>
      </c>
    </row>
    <row r="3490" spans="13:15" x14ac:dyDescent="0.3">
      <c r="M3490" s="35">
        <v>26.75</v>
      </c>
      <c r="N3490">
        <v>305</v>
      </c>
      <c r="O3490" s="34">
        <f t="shared" si="55"/>
        <v>0.39724467721732643</v>
      </c>
    </row>
    <row r="3491" spans="13:15" x14ac:dyDescent="0.3">
      <c r="M3491" s="35">
        <v>26.75</v>
      </c>
      <c r="N3491">
        <v>305</v>
      </c>
      <c r="O3491" s="34">
        <f t="shared" si="55"/>
        <v>0.39735853353065897</v>
      </c>
    </row>
    <row r="3492" spans="13:15" x14ac:dyDescent="0.3">
      <c r="M3492" s="35">
        <v>26.76</v>
      </c>
      <c r="N3492">
        <v>305</v>
      </c>
      <c r="O3492" s="34">
        <f t="shared" si="55"/>
        <v>0.39747238984399152</v>
      </c>
    </row>
    <row r="3493" spans="13:15" x14ac:dyDescent="0.3">
      <c r="M3493" s="35">
        <v>26.76</v>
      </c>
      <c r="N3493">
        <v>305</v>
      </c>
      <c r="O3493" s="34">
        <f t="shared" si="55"/>
        <v>0.39758624615732407</v>
      </c>
    </row>
    <row r="3494" spans="13:15" x14ac:dyDescent="0.3">
      <c r="M3494" s="35">
        <v>26.76</v>
      </c>
      <c r="N3494">
        <v>305</v>
      </c>
      <c r="O3494" s="34">
        <f t="shared" si="55"/>
        <v>0.39770010247065662</v>
      </c>
    </row>
    <row r="3495" spans="13:15" x14ac:dyDescent="0.3">
      <c r="M3495" s="35">
        <v>26.77</v>
      </c>
      <c r="N3495">
        <v>305</v>
      </c>
      <c r="O3495" s="34">
        <f t="shared" si="55"/>
        <v>0.39781395878398917</v>
      </c>
    </row>
    <row r="3496" spans="13:15" x14ac:dyDescent="0.3">
      <c r="M3496" s="35">
        <v>26.78</v>
      </c>
      <c r="N3496">
        <v>305</v>
      </c>
      <c r="O3496" s="34">
        <f t="shared" si="55"/>
        <v>0.39792781509732172</v>
      </c>
    </row>
    <row r="3497" spans="13:15" x14ac:dyDescent="0.3">
      <c r="M3497" s="35">
        <v>26.79</v>
      </c>
      <c r="N3497">
        <v>305</v>
      </c>
      <c r="O3497" s="34">
        <f t="shared" si="55"/>
        <v>0.39804167141065427</v>
      </c>
    </row>
    <row r="3498" spans="13:15" x14ac:dyDescent="0.3">
      <c r="M3498" s="35">
        <v>26.8</v>
      </c>
      <c r="N3498">
        <v>305</v>
      </c>
      <c r="O3498" s="34">
        <f t="shared" si="55"/>
        <v>0.39815552772398682</v>
      </c>
    </row>
    <row r="3499" spans="13:15" x14ac:dyDescent="0.3">
      <c r="M3499" s="35">
        <v>26.8</v>
      </c>
      <c r="N3499">
        <v>305</v>
      </c>
      <c r="O3499" s="34">
        <f t="shared" si="55"/>
        <v>0.39826938403731937</v>
      </c>
    </row>
    <row r="3500" spans="13:15" x14ac:dyDescent="0.3">
      <c r="M3500" s="35">
        <v>26.8</v>
      </c>
      <c r="N3500">
        <v>305</v>
      </c>
      <c r="O3500" s="34">
        <f t="shared" si="55"/>
        <v>0.39838324035065192</v>
      </c>
    </row>
    <row r="3501" spans="13:15" x14ac:dyDescent="0.3">
      <c r="M3501" s="35">
        <v>26.81</v>
      </c>
      <c r="N3501">
        <v>305</v>
      </c>
      <c r="O3501" s="34">
        <f t="shared" si="55"/>
        <v>0.39849709666398447</v>
      </c>
    </row>
    <row r="3502" spans="13:15" x14ac:dyDescent="0.3">
      <c r="M3502" s="35">
        <v>26.81</v>
      </c>
      <c r="N3502">
        <v>305</v>
      </c>
      <c r="O3502" s="34">
        <f t="shared" si="55"/>
        <v>0.39861095297731702</v>
      </c>
    </row>
    <row r="3503" spans="13:15" x14ac:dyDescent="0.3">
      <c r="M3503" s="35">
        <v>26.81</v>
      </c>
      <c r="N3503">
        <v>305</v>
      </c>
      <c r="O3503" s="34">
        <f t="shared" si="55"/>
        <v>0.39872480929064957</v>
      </c>
    </row>
    <row r="3504" spans="13:15" x14ac:dyDescent="0.3">
      <c r="M3504" s="35">
        <v>26.83</v>
      </c>
      <c r="N3504">
        <v>305</v>
      </c>
      <c r="O3504" s="34">
        <f t="shared" si="55"/>
        <v>0.39883866560398212</v>
      </c>
    </row>
    <row r="3505" spans="13:15" x14ac:dyDescent="0.3">
      <c r="M3505" s="35">
        <v>26.83</v>
      </c>
      <c r="N3505">
        <v>305</v>
      </c>
      <c r="O3505" s="34">
        <f t="shared" si="55"/>
        <v>0.39895252191731467</v>
      </c>
    </row>
    <row r="3506" spans="13:15" x14ac:dyDescent="0.3">
      <c r="M3506" s="35">
        <v>26.83</v>
      </c>
      <c r="N3506">
        <v>305</v>
      </c>
      <c r="O3506" s="34">
        <f t="shared" si="55"/>
        <v>0.39906637823064722</v>
      </c>
    </row>
    <row r="3507" spans="13:15" x14ac:dyDescent="0.3">
      <c r="M3507" s="35">
        <v>26.84</v>
      </c>
      <c r="N3507">
        <v>305</v>
      </c>
      <c r="O3507" s="34">
        <f t="shared" si="55"/>
        <v>0.39918023454397977</v>
      </c>
    </row>
    <row r="3508" spans="13:15" x14ac:dyDescent="0.3">
      <c r="M3508" s="35">
        <v>26.84</v>
      </c>
      <c r="N3508">
        <v>305</v>
      </c>
      <c r="O3508" s="34">
        <f t="shared" si="55"/>
        <v>0.39929409085731232</v>
      </c>
    </row>
    <row r="3509" spans="13:15" x14ac:dyDescent="0.3">
      <c r="M3509" s="35">
        <v>26.85</v>
      </c>
      <c r="N3509">
        <v>305</v>
      </c>
      <c r="O3509" s="34">
        <f t="shared" si="55"/>
        <v>0.39940794717064487</v>
      </c>
    </row>
    <row r="3510" spans="13:15" x14ac:dyDescent="0.3">
      <c r="M3510" s="35">
        <v>26.85</v>
      </c>
      <c r="N3510">
        <v>305</v>
      </c>
      <c r="O3510" s="34">
        <f t="shared" si="55"/>
        <v>0.39952180348397742</v>
      </c>
    </row>
    <row r="3511" spans="13:15" x14ac:dyDescent="0.3">
      <c r="M3511" s="35">
        <v>26.85</v>
      </c>
      <c r="N3511">
        <v>305</v>
      </c>
      <c r="O3511" s="34">
        <f t="shared" si="55"/>
        <v>0.39963565979730997</v>
      </c>
    </row>
    <row r="3512" spans="13:15" x14ac:dyDescent="0.3">
      <c r="M3512" s="35">
        <v>26.86</v>
      </c>
      <c r="N3512">
        <v>305</v>
      </c>
      <c r="O3512" s="34">
        <f t="shared" si="55"/>
        <v>0.39974951611064252</v>
      </c>
    </row>
    <row r="3513" spans="13:15" x14ac:dyDescent="0.3">
      <c r="M3513" s="35">
        <v>26.86</v>
      </c>
      <c r="N3513">
        <v>305</v>
      </c>
      <c r="O3513" s="34">
        <f t="shared" si="55"/>
        <v>0.39986337242397507</v>
      </c>
    </row>
    <row r="3514" spans="13:15" x14ac:dyDescent="0.3">
      <c r="M3514" s="35">
        <v>26.86</v>
      </c>
      <c r="N3514">
        <v>305</v>
      </c>
      <c r="O3514" s="34">
        <f t="shared" si="55"/>
        <v>0.39997722873730762</v>
      </c>
    </row>
    <row r="3515" spans="13:15" x14ac:dyDescent="0.3">
      <c r="M3515" s="35">
        <v>26.87</v>
      </c>
      <c r="N3515">
        <v>305</v>
      </c>
      <c r="O3515" s="34">
        <f t="shared" si="55"/>
        <v>0.40009108505064017</v>
      </c>
    </row>
    <row r="3516" spans="13:15" x14ac:dyDescent="0.3">
      <c r="M3516" s="35">
        <v>26.87</v>
      </c>
      <c r="N3516">
        <v>305</v>
      </c>
      <c r="O3516" s="34">
        <f t="shared" si="55"/>
        <v>0.40020494136397272</v>
      </c>
    </row>
    <row r="3517" spans="13:15" x14ac:dyDescent="0.3">
      <c r="M3517" s="35">
        <v>26.87</v>
      </c>
      <c r="N3517">
        <v>305</v>
      </c>
      <c r="O3517" s="34">
        <f t="shared" si="55"/>
        <v>0.40031879767730527</v>
      </c>
    </row>
    <row r="3518" spans="13:15" x14ac:dyDescent="0.3">
      <c r="M3518" s="35">
        <v>26.87</v>
      </c>
      <c r="N3518">
        <v>305</v>
      </c>
      <c r="O3518" s="34">
        <f t="shared" si="55"/>
        <v>0.40043265399063782</v>
      </c>
    </row>
    <row r="3519" spans="13:15" x14ac:dyDescent="0.3">
      <c r="M3519" s="35">
        <v>26.87</v>
      </c>
      <c r="N3519">
        <v>305</v>
      </c>
      <c r="O3519" s="34">
        <f t="shared" si="55"/>
        <v>0.40054651030397037</v>
      </c>
    </row>
    <row r="3520" spans="13:15" x14ac:dyDescent="0.3">
      <c r="M3520" s="35">
        <v>26.87</v>
      </c>
      <c r="N3520">
        <v>305</v>
      </c>
      <c r="O3520" s="34">
        <f t="shared" si="55"/>
        <v>0.40066036661730292</v>
      </c>
    </row>
    <row r="3521" spans="13:15" x14ac:dyDescent="0.3">
      <c r="M3521" s="35">
        <v>26.88</v>
      </c>
      <c r="N3521">
        <v>305</v>
      </c>
      <c r="O3521" s="34">
        <f t="shared" si="55"/>
        <v>0.40077422293063547</v>
      </c>
    </row>
    <row r="3522" spans="13:15" x14ac:dyDescent="0.3">
      <c r="M3522" s="35">
        <v>26.88</v>
      </c>
      <c r="N3522">
        <v>305</v>
      </c>
      <c r="O3522" s="34">
        <f t="shared" si="55"/>
        <v>0.40088807924396802</v>
      </c>
    </row>
    <row r="3523" spans="13:15" x14ac:dyDescent="0.3">
      <c r="M3523" s="35">
        <v>26.89</v>
      </c>
      <c r="N3523">
        <v>305</v>
      </c>
      <c r="O3523" s="34">
        <f t="shared" si="55"/>
        <v>0.40100193555730057</v>
      </c>
    </row>
    <row r="3524" spans="13:15" x14ac:dyDescent="0.3">
      <c r="M3524" s="35">
        <v>26.89</v>
      </c>
      <c r="N3524">
        <v>305</v>
      </c>
      <c r="O3524" s="34">
        <f t="shared" ref="O3524:O3587" si="56">O3523+O$2</f>
        <v>0.40111579187063312</v>
      </c>
    </row>
    <row r="3525" spans="13:15" x14ac:dyDescent="0.3">
      <c r="M3525" s="35">
        <v>26.89</v>
      </c>
      <c r="N3525">
        <v>305</v>
      </c>
      <c r="O3525" s="34">
        <f t="shared" si="56"/>
        <v>0.40122964818396567</v>
      </c>
    </row>
    <row r="3526" spans="13:15" x14ac:dyDescent="0.3">
      <c r="M3526" s="35">
        <v>26.89</v>
      </c>
      <c r="N3526">
        <v>305</v>
      </c>
      <c r="O3526" s="34">
        <f t="shared" si="56"/>
        <v>0.40134350449729822</v>
      </c>
    </row>
    <row r="3527" spans="13:15" x14ac:dyDescent="0.3">
      <c r="M3527" s="35">
        <v>26.91</v>
      </c>
      <c r="N3527">
        <v>305</v>
      </c>
      <c r="O3527" s="34">
        <f t="shared" si="56"/>
        <v>0.40145736081063077</v>
      </c>
    </row>
    <row r="3528" spans="13:15" x14ac:dyDescent="0.3">
      <c r="M3528" s="35">
        <v>26.91</v>
      </c>
      <c r="N3528">
        <v>305</v>
      </c>
      <c r="O3528" s="34">
        <f t="shared" si="56"/>
        <v>0.40157121712396332</v>
      </c>
    </row>
    <row r="3529" spans="13:15" x14ac:dyDescent="0.3">
      <c r="M3529" s="35">
        <v>26.91</v>
      </c>
      <c r="N3529">
        <v>305</v>
      </c>
      <c r="O3529" s="34">
        <f t="shared" si="56"/>
        <v>0.40168507343729587</v>
      </c>
    </row>
    <row r="3530" spans="13:15" x14ac:dyDescent="0.3">
      <c r="M3530" s="35">
        <v>26.91</v>
      </c>
      <c r="N3530">
        <v>305</v>
      </c>
      <c r="O3530" s="34">
        <f t="shared" si="56"/>
        <v>0.40179892975062842</v>
      </c>
    </row>
    <row r="3531" spans="13:15" x14ac:dyDescent="0.3">
      <c r="M3531" s="35">
        <v>26.91</v>
      </c>
      <c r="N3531">
        <v>305</v>
      </c>
      <c r="O3531" s="34">
        <f t="shared" si="56"/>
        <v>0.40191278606396097</v>
      </c>
    </row>
    <row r="3532" spans="13:15" x14ac:dyDescent="0.3">
      <c r="M3532" s="35">
        <v>26.92</v>
      </c>
      <c r="N3532">
        <v>305</v>
      </c>
      <c r="O3532" s="34">
        <f t="shared" si="56"/>
        <v>0.40202664237729352</v>
      </c>
    </row>
    <row r="3533" spans="13:15" x14ac:dyDescent="0.3">
      <c r="M3533" s="35">
        <v>26.93</v>
      </c>
      <c r="N3533">
        <v>305</v>
      </c>
      <c r="O3533" s="34">
        <f t="shared" si="56"/>
        <v>0.40214049869062607</v>
      </c>
    </row>
    <row r="3534" spans="13:15" x14ac:dyDescent="0.3">
      <c r="M3534" s="35">
        <v>26.94</v>
      </c>
      <c r="N3534">
        <v>305</v>
      </c>
      <c r="O3534" s="34">
        <f t="shared" si="56"/>
        <v>0.40225435500395862</v>
      </c>
    </row>
    <row r="3535" spans="13:15" x14ac:dyDescent="0.3">
      <c r="M3535" s="35">
        <v>26.95</v>
      </c>
      <c r="N3535">
        <v>305</v>
      </c>
      <c r="O3535" s="34">
        <f t="shared" si="56"/>
        <v>0.40236821131729117</v>
      </c>
    </row>
    <row r="3536" spans="13:15" x14ac:dyDescent="0.3">
      <c r="M3536" s="35">
        <v>26.96</v>
      </c>
      <c r="N3536">
        <v>305</v>
      </c>
      <c r="O3536" s="34">
        <f t="shared" si="56"/>
        <v>0.40248206763062372</v>
      </c>
    </row>
    <row r="3537" spans="13:15" x14ac:dyDescent="0.3">
      <c r="M3537" s="35">
        <v>26.96</v>
      </c>
      <c r="N3537">
        <v>305</v>
      </c>
      <c r="O3537" s="34">
        <f t="shared" si="56"/>
        <v>0.40259592394395627</v>
      </c>
    </row>
    <row r="3538" spans="13:15" x14ac:dyDescent="0.3">
      <c r="M3538" s="35">
        <v>26.96</v>
      </c>
      <c r="N3538">
        <v>305</v>
      </c>
      <c r="O3538" s="34">
        <f t="shared" si="56"/>
        <v>0.40270978025728882</v>
      </c>
    </row>
    <row r="3539" spans="13:15" x14ac:dyDescent="0.3">
      <c r="M3539" s="35">
        <v>26.97</v>
      </c>
      <c r="N3539">
        <v>305</v>
      </c>
      <c r="O3539" s="34">
        <f t="shared" si="56"/>
        <v>0.40282363657062137</v>
      </c>
    </row>
    <row r="3540" spans="13:15" x14ac:dyDescent="0.3">
      <c r="M3540" s="35">
        <v>26.97</v>
      </c>
      <c r="N3540">
        <v>305</v>
      </c>
      <c r="O3540" s="34">
        <f t="shared" si="56"/>
        <v>0.40293749288395392</v>
      </c>
    </row>
    <row r="3541" spans="13:15" x14ac:dyDescent="0.3">
      <c r="M3541" s="35">
        <v>26.97</v>
      </c>
      <c r="N3541">
        <v>305</v>
      </c>
      <c r="O3541" s="34">
        <f t="shared" si="56"/>
        <v>0.40305134919728647</v>
      </c>
    </row>
    <row r="3542" spans="13:15" x14ac:dyDescent="0.3">
      <c r="M3542" s="35">
        <v>26.98</v>
      </c>
      <c r="N3542">
        <v>305</v>
      </c>
      <c r="O3542" s="34">
        <f t="shared" si="56"/>
        <v>0.40316520551061902</v>
      </c>
    </row>
    <row r="3543" spans="13:15" x14ac:dyDescent="0.3">
      <c r="M3543" s="35">
        <v>26.98</v>
      </c>
      <c r="N3543">
        <v>305</v>
      </c>
      <c r="O3543" s="34">
        <f t="shared" si="56"/>
        <v>0.40327906182395157</v>
      </c>
    </row>
    <row r="3544" spans="13:15" x14ac:dyDescent="0.3">
      <c r="M3544" s="35">
        <v>26.99</v>
      </c>
      <c r="N3544">
        <v>305</v>
      </c>
      <c r="O3544" s="34">
        <f t="shared" si="56"/>
        <v>0.40339291813728412</v>
      </c>
    </row>
    <row r="3545" spans="13:15" x14ac:dyDescent="0.3">
      <c r="M3545" s="35">
        <v>27</v>
      </c>
      <c r="N3545">
        <v>305</v>
      </c>
      <c r="O3545" s="34">
        <f t="shared" si="56"/>
        <v>0.40350677445061667</v>
      </c>
    </row>
    <row r="3546" spans="13:15" x14ac:dyDescent="0.3">
      <c r="M3546" s="35">
        <v>27</v>
      </c>
      <c r="N3546">
        <v>305</v>
      </c>
      <c r="O3546" s="34">
        <f t="shared" si="56"/>
        <v>0.40362063076394922</v>
      </c>
    </row>
    <row r="3547" spans="13:15" x14ac:dyDescent="0.3">
      <c r="M3547" s="35">
        <v>27</v>
      </c>
      <c r="N3547">
        <v>305</v>
      </c>
      <c r="O3547" s="34">
        <f t="shared" si="56"/>
        <v>0.40373448707728177</v>
      </c>
    </row>
    <row r="3548" spans="13:15" x14ac:dyDescent="0.3">
      <c r="M3548" s="35">
        <v>27.01</v>
      </c>
      <c r="N3548">
        <v>305</v>
      </c>
      <c r="O3548" s="34">
        <f t="shared" si="56"/>
        <v>0.40384834339061432</v>
      </c>
    </row>
    <row r="3549" spans="13:15" x14ac:dyDescent="0.3">
      <c r="M3549" s="35">
        <v>27.01</v>
      </c>
      <c r="N3549">
        <v>305</v>
      </c>
      <c r="O3549" s="34">
        <f t="shared" si="56"/>
        <v>0.40396219970394687</v>
      </c>
    </row>
    <row r="3550" spans="13:15" x14ac:dyDescent="0.3">
      <c r="M3550" s="35">
        <v>27.01</v>
      </c>
      <c r="N3550">
        <v>305</v>
      </c>
      <c r="O3550" s="34">
        <f t="shared" si="56"/>
        <v>0.40407605601727942</v>
      </c>
    </row>
    <row r="3551" spans="13:15" x14ac:dyDescent="0.3">
      <c r="M3551" s="35">
        <v>27.01</v>
      </c>
      <c r="N3551">
        <v>305</v>
      </c>
      <c r="O3551" s="34">
        <f t="shared" si="56"/>
        <v>0.40418991233061197</v>
      </c>
    </row>
    <row r="3552" spans="13:15" x14ac:dyDescent="0.3">
      <c r="M3552" s="35">
        <v>27.02</v>
      </c>
      <c r="N3552">
        <v>305</v>
      </c>
      <c r="O3552" s="34">
        <f t="shared" si="56"/>
        <v>0.40430376864394452</v>
      </c>
    </row>
    <row r="3553" spans="13:15" x14ac:dyDescent="0.3">
      <c r="M3553" s="35">
        <v>27.02</v>
      </c>
      <c r="N3553">
        <v>305</v>
      </c>
      <c r="O3553" s="34">
        <f t="shared" si="56"/>
        <v>0.40441762495727707</v>
      </c>
    </row>
    <row r="3554" spans="13:15" x14ac:dyDescent="0.3">
      <c r="M3554" s="35">
        <v>27.02</v>
      </c>
      <c r="N3554">
        <v>305</v>
      </c>
      <c r="O3554" s="34">
        <f t="shared" si="56"/>
        <v>0.40453148127060962</v>
      </c>
    </row>
    <row r="3555" spans="13:15" x14ac:dyDescent="0.3">
      <c r="M3555" s="35">
        <v>27.02</v>
      </c>
      <c r="N3555">
        <v>305</v>
      </c>
      <c r="O3555" s="34">
        <f t="shared" si="56"/>
        <v>0.40464533758394217</v>
      </c>
    </row>
    <row r="3556" spans="13:15" x14ac:dyDescent="0.3">
      <c r="M3556" s="35">
        <v>27.04</v>
      </c>
      <c r="N3556">
        <v>305</v>
      </c>
      <c r="O3556" s="34">
        <f t="shared" si="56"/>
        <v>0.40475919389727472</v>
      </c>
    </row>
    <row r="3557" spans="13:15" x14ac:dyDescent="0.3">
      <c r="M3557" s="35">
        <v>27.04</v>
      </c>
      <c r="N3557">
        <v>305</v>
      </c>
      <c r="O3557" s="34">
        <f t="shared" si="56"/>
        <v>0.40487305021060727</v>
      </c>
    </row>
    <row r="3558" spans="13:15" x14ac:dyDescent="0.3">
      <c r="M3558" s="35">
        <v>27.05</v>
      </c>
      <c r="N3558">
        <v>305</v>
      </c>
      <c r="O3558" s="34">
        <f t="shared" si="56"/>
        <v>0.40498690652393982</v>
      </c>
    </row>
    <row r="3559" spans="13:15" x14ac:dyDescent="0.3">
      <c r="M3559" s="35">
        <v>27.05</v>
      </c>
      <c r="N3559">
        <v>305</v>
      </c>
      <c r="O3559" s="34">
        <f t="shared" si="56"/>
        <v>0.40510076283727237</v>
      </c>
    </row>
    <row r="3560" spans="13:15" x14ac:dyDescent="0.3">
      <c r="M3560" s="35">
        <v>27.05</v>
      </c>
      <c r="N3560">
        <v>305</v>
      </c>
      <c r="O3560" s="34">
        <f t="shared" si="56"/>
        <v>0.40521461915060492</v>
      </c>
    </row>
    <row r="3561" spans="13:15" x14ac:dyDescent="0.3">
      <c r="M3561" s="35">
        <v>27.06</v>
      </c>
      <c r="N3561">
        <v>305</v>
      </c>
      <c r="O3561" s="34">
        <f t="shared" si="56"/>
        <v>0.40532847546393747</v>
      </c>
    </row>
    <row r="3562" spans="13:15" x14ac:dyDescent="0.3">
      <c r="M3562" s="35">
        <v>27.07</v>
      </c>
      <c r="N3562">
        <v>305</v>
      </c>
      <c r="O3562" s="34">
        <f t="shared" si="56"/>
        <v>0.40544233177727002</v>
      </c>
    </row>
    <row r="3563" spans="13:15" x14ac:dyDescent="0.3">
      <c r="M3563" s="35">
        <v>27.07</v>
      </c>
      <c r="N3563">
        <v>305</v>
      </c>
      <c r="O3563" s="34">
        <f t="shared" si="56"/>
        <v>0.40555618809060257</v>
      </c>
    </row>
    <row r="3564" spans="13:15" x14ac:dyDescent="0.3">
      <c r="M3564" s="35">
        <v>27.09</v>
      </c>
      <c r="N3564">
        <v>305</v>
      </c>
      <c r="O3564" s="34">
        <f t="shared" si="56"/>
        <v>0.40567004440393511</v>
      </c>
    </row>
    <row r="3565" spans="13:15" x14ac:dyDescent="0.3">
      <c r="M3565" s="35">
        <v>27.09</v>
      </c>
      <c r="N3565">
        <v>305</v>
      </c>
      <c r="O3565" s="34">
        <f t="shared" si="56"/>
        <v>0.40578390071726766</v>
      </c>
    </row>
    <row r="3566" spans="13:15" x14ac:dyDescent="0.3">
      <c r="M3566" s="35">
        <v>27.1</v>
      </c>
      <c r="N3566">
        <v>305</v>
      </c>
      <c r="O3566" s="34">
        <f t="shared" si="56"/>
        <v>0.40589775703060021</v>
      </c>
    </row>
    <row r="3567" spans="13:15" x14ac:dyDescent="0.3">
      <c r="M3567" s="35">
        <v>27.1</v>
      </c>
      <c r="N3567">
        <v>305</v>
      </c>
      <c r="O3567" s="34">
        <f t="shared" si="56"/>
        <v>0.40601161334393276</v>
      </c>
    </row>
    <row r="3568" spans="13:15" x14ac:dyDescent="0.3">
      <c r="M3568" s="35">
        <v>27.1</v>
      </c>
      <c r="N3568">
        <v>305</v>
      </c>
      <c r="O3568" s="34">
        <f t="shared" si="56"/>
        <v>0.40612546965726531</v>
      </c>
    </row>
    <row r="3569" spans="13:15" x14ac:dyDescent="0.3">
      <c r="M3569" s="35">
        <v>27.11</v>
      </c>
      <c r="N3569">
        <v>305</v>
      </c>
      <c r="O3569" s="34">
        <f t="shared" si="56"/>
        <v>0.40623932597059786</v>
      </c>
    </row>
    <row r="3570" spans="13:15" x14ac:dyDescent="0.3">
      <c r="M3570" s="35">
        <v>27.11</v>
      </c>
      <c r="N3570">
        <v>305</v>
      </c>
      <c r="O3570" s="34">
        <f t="shared" si="56"/>
        <v>0.40635318228393041</v>
      </c>
    </row>
    <row r="3571" spans="13:15" x14ac:dyDescent="0.3">
      <c r="M3571" s="35">
        <v>27.11</v>
      </c>
      <c r="N3571">
        <v>305</v>
      </c>
      <c r="O3571" s="34">
        <f t="shared" si="56"/>
        <v>0.40646703859726296</v>
      </c>
    </row>
    <row r="3572" spans="13:15" x14ac:dyDescent="0.3">
      <c r="M3572" s="35">
        <v>27.12</v>
      </c>
      <c r="N3572">
        <v>305</v>
      </c>
      <c r="O3572" s="34">
        <f t="shared" si="56"/>
        <v>0.40658089491059551</v>
      </c>
    </row>
    <row r="3573" spans="13:15" x14ac:dyDescent="0.3">
      <c r="M3573" s="35">
        <v>27.12</v>
      </c>
      <c r="N3573">
        <v>305</v>
      </c>
      <c r="O3573" s="34">
        <f t="shared" si="56"/>
        <v>0.40669475122392806</v>
      </c>
    </row>
    <row r="3574" spans="13:15" x14ac:dyDescent="0.3">
      <c r="M3574" s="35">
        <v>27.12</v>
      </c>
      <c r="N3574">
        <v>305</v>
      </c>
      <c r="O3574" s="34">
        <f t="shared" si="56"/>
        <v>0.40680860753726061</v>
      </c>
    </row>
    <row r="3575" spans="13:15" x14ac:dyDescent="0.3">
      <c r="M3575" s="35">
        <v>27.12</v>
      </c>
      <c r="N3575">
        <v>305</v>
      </c>
      <c r="O3575" s="34">
        <f t="shared" si="56"/>
        <v>0.40692246385059316</v>
      </c>
    </row>
    <row r="3576" spans="13:15" x14ac:dyDescent="0.3">
      <c r="M3576" s="35">
        <v>27.13</v>
      </c>
      <c r="N3576">
        <v>305</v>
      </c>
      <c r="O3576" s="34">
        <f t="shared" si="56"/>
        <v>0.40703632016392571</v>
      </c>
    </row>
    <row r="3577" spans="13:15" x14ac:dyDescent="0.3">
      <c r="M3577" s="35">
        <v>27.14</v>
      </c>
      <c r="N3577">
        <v>305</v>
      </c>
      <c r="O3577" s="34">
        <f t="shared" si="56"/>
        <v>0.40715017647725826</v>
      </c>
    </row>
    <row r="3578" spans="13:15" x14ac:dyDescent="0.3">
      <c r="M3578" s="35">
        <v>27.14</v>
      </c>
      <c r="N3578">
        <v>305</v>
      </c>
      <c r="O3578" s="34">
        <f t="shared" si="56"/>
        <v>0.40726403279059081</v>
      </c>
    </row>
    <row r="3579" spans="13:15" x14ac:dyDescent="0.3">
      <c r="M3579" s="35">
        <v>27.14</v>
      </c>
      <c r="N3579">
        <v>305</v>
      </c>
      <c r="O3579" s="34">
        <f t="shared" si="56"/>
        <v>0.40737788910392336</v>
      </c>
    </row>
    <row r="3580" spans="13:15" x14ac:dyDescent="0.3">
      <c r="M3580" s="35">
        <v>27.15</v>
      </c>
      <c r="N3580">
        <v>305</v>
      </c>
      <c r="O3580" s="34">
        <f t="shared" si="56"/>
        <v>0.40749174541725591</v>
      </c>
    </row>
    <row r="3581" spans="13:15" x14ac:dyDescent="0.3">
      <c r="M3581" s="35">
        <v>27.15</v>
      </c>
      <c r="N3581">
        <v>305</v>
      </c>
      <c r="O3581" s="34">
        <f t="shared" si="56"/>
        <v>0.40760560173058846</v>
      </c>
    </row>
    <row r="3582" spans="13:15" x14ac:dyDescent="0.3">
      <c r="M3582" s="35">
        <v>27.16</v>
      </c>
      <c r="N3582">
        <v>305</v>
      </c>
      <c r="O3582" s="34">
        <f t="shared" si="56"/>
        <v>0.40771945804392101</v>
      </c>
    </row>
    <row r="3583" spans="13:15" x14ac:dyDescent="0.3">
      <c r="M3583" s="35">
        <v>27.16</v>
      </c>
      <c r="N3583">
        <v>305</v>
      </c>
      <c r="O3583" s="34">
        <f t="shared" si="56"/>
        <v>0.40783331435725356</v>
      </c>
    </row>
    <row r="3584" spans="13:15" x14ac:dyDescent="0.3">
      <c r="M3584" s="35">
        <v>27.16</v>
      </c>
      <c r="N3584">
        <v>305</v>
      </c>
      <c r="O3584" s="34">
        <f t="shared" si="56"/>
        <v>0.40794717067058611</v>
      </c>
    </row>
    <row r="3585" spans="13:15" x14ac:dyDescent="0.3">
      <c r="M3585" s="35">
        <v>27.17</v>
      </c>
      <c r="N3585">
        <v>305</v>
      </c>
      <c r="O3585" s="34">
        <f t="shared" si="56"/>
        <v>0.40806102698391866</v>
      </c>
    </row>
    <row r="3586" spans="13:15" x14ac:dyDescent="0.3">
      <c r="M3586" s="35">
        <v>27.17</v>
      </c>
      <c r="N3586">
        <v>305</v>
      </c>
      <c r="O3586" s="34">
        <f t="shared" si="56"/>
        <v>0.40817488329725121</v>
      </c>
    </row>
    <row r="3587" spans="13:15" x14ac:dyDescent="0.3">
      <c r="M3587" s="35">
        <v>27.17</v>
      </c>
      <c r="N3587">
        <v>305</v>
      </c>
      <c r="O3587" s="34">
        <f t="shared" si="56"/>
        <v>0.40828873961058376</v>
      </c>
    </row>
    <row r="3588" spans="13:15" x14ac:dyDescent="0.3">
      <c r="M3588" s="35">
        <v>27.18</v>
      </c>
      <c r="N3588">
        <v>305</v>
      </c>
      <c r="O3588" s="34">
        <f t="shared" ref="O3588:O3651" si="57">O3587+O$2</f>
        <v>0.40840259592391631</v>
      </c>
    </row>
    <row r="3589" spans="13:15" x14ac:dyDescent="0.3">
      <c r="M3589" s="35">
        <v>27.18</v>
      </c>
      <c r="N3589">
        <v>305</v>
      </c>
      <c r="O3589" s="34">
        <f t="shared" si="57"/>
        <v>0.40851645223724886</v>
      </c>
    </row>
    <row r="3590" spans="13:15" x14ac:dyDescent="0.3">
      <c r="M3590" s="35">
        <v>27.18</v>
      </c>
      <c r="N3590">
        <v>305</v>
      </c>
      <c r="O3590" s="34">
        <f t="shared" si="57"/>
        <v>0.40863030855058141</v>
      </c>
    </row>
    <row r="3591" spans="13:15" x14ac:dyDescent="0.3">
      <c r="M3591" s="35">
        <v>27.18</v>
      </c>
      <c r="N3591">
        <v>305</v>
      </c>
      <c r="O3591" s="34">
        <f t="shared" si="57"/>
        <v>0.40874416486391396</v>
      </c>
    </row>
    <row r="3592" spans="13:15" x14ac:dyDescent="0.3">
      <c r="M3592" s="35">
        <v>27.18</v>
      </c>
      <c r="N3592">
        <v>305</v>
      </c>
      <c r="O3592" s="34">
        <f t="shared" si="57"/>
        <v>0.40885802117724651</v>
      </c>
    </row>
    <row r="3593" spans="13:15" x14ac:dyDescent="0.3">
      <c r="M3593" s="35">
        <v>27.19</v>
      </c>
      <c r="N3593">
        <v>305</v>
      </c>
      <c r="O3593" s="34">
        <f t="shared" si="57"/>
        <v>0.40897187749057906</v>
      </c>
    </row>
    <row r="3594" spans="13:15" x14ac:dyDescent="0.3">
      <c r="M3594" s="35">
        <v>27.19</v>
      </c>
      <c r="N3594">
        <v>305</v>
      </c>
      <c r="O3594" s="34">
        <f t="shared" si="57"/>
        <v>0.40908573380391161</v>
      </c>
    </row>
    <row r="3595" spans="13:15" x14ac:dyDescent="0.3">
      <c r="M3595" s="35">
        <v>27.19</v>
      </c>
      <c r="N3595">
        <v>305</v>
      </c>
      <c r="O3595" s="34">
        <f t="shared" si="57"/>
        <v>0.40919959011724416</v>
      </c>
    </row>
    <row r="3596" spans="13:15" x14ac:dyDescent="0.3">
      <c r="M3596" s="35">
        <v>27.2</v>
      </c>
      <c r="N3596">
        <v>305</v>
      </c>
      <c r="O3596" s="34">
        <f t="shared" si="57"/>
        <v>0.40931344643057671</v>
      </c>
    </row>
    <row r="3597" spans="13:15" x14ac:dyDescent="0.3">
      <c r="M3597" s="35">
        <v>27.2</v>
      </c>
      <c r="N3597">
        <v>305</v>
      </c>
      <c r="O3597" s="34">
        <f t="shared" si="57"/>
        <v>0.40942730274390926</v>
      </c>
    </row>
    <row r="3598" spans="13:15" x14ac:dyDescent="0.3">
      <c r="M3598" s="35">
        <v>27.2</v>
      </c>
      <c r="N3598">
        <v>305</v>
      </c>
      <c r="O3598" s="34">
        <f t="shared" si="57"/>
        <v>0.40954115905724181</v>
      </c>
    </row>
    <row r="3599" spans="13:15" x14ac:dyDescent="0.3">
      <c r="M3599" s="35">
        <v>27.21</v>
      </c>
      <c r="N3599">
        <v>305</v>
      </c>
      <c r="O3599" s="34">
        <f t="shared" si="57"/>
        <v>0.40965501537057436</v>
      </c>
    </row>
    <row r="3600" spans="13:15" x14ac:dyDescent="0.3">
      <c r="M3600" s="35">
        <v>27.21</v>
      </c>
      <c r="N3600">
        <v>305</v>
      </c>
      <c r="O3600" s="34">
        <f t="shared" si="57"/>
        <v>0.40976887168390691</v>
      </c>
    </row>
    <row r="3601" spans="13:15" x14ac:dyDescent="0.3">
      <c r="M3601" s="35">
        <v>27.21</v>
      </c>
      <c r="N3601">
        <v>305</v>
      </c>
      <c r="O3601" s="34">
        <f t="shared" si="57"/>
        <v>0.40988272799723946</v>
      </c>
    </row>
    <row r="3602" spans="13:15" x14ac:dyDescent="0.3">
      <c r="M3602" s="35">
        <v>27.21</v>
      </c>
      <c r="N3602">
        <v>305</v>
      </c>
      <c r="O3602" s="34">
        <f t="shared" si="57"/>
        <v>0.40999658431057201</v>
      </c>
    </row>
    <row r="3603" spans="13:15" x14ac:dyDescent="0.3">
      <c r="M3603" s="35">
        <v>27.21</v>
      </c>
      <c r="N3603">
        <v>305</v>
      </c>
      <c r="O3603" s="34">
        <f t="shared" si="57"/>
        <v>0.41011044062390456</v>
      </c>
    </row>
    <row r="3604" spans="13:15" x14ac:dyDescent="0.3">
      <c r="M3604" s="35">
        <v>27.22</v>
      </c>
      <c r="N3604">
        <v>305</v>
      </c>
      <c r="O3604" s="34">
        <f t="shared" si="57"/>
        <v>0.41022429693723711</v>
      </c>
    </row>
    <row r="3605" spans="13:15" x14ac:dyDescent="0.3">
      <c r="M3605" s="35">
        <v>27.22</v>
      </c>
      <c r="N3605">
        <v>305</v>
      </c>
      <c r="O3605" s="34">
        <f t="shared" si="57"/>
        <v>0.41033815325056966</v>
      </c>
    </row>
    <row r="3606" spans="13:15" x14ac:dyDescent="0.3">
      <c r="M3606" s="35">
        <v>27.23</v>
      </c>
      <c r="N3606">
        <v>305</v>
      </c>
      <c r="O3606" s="34">
        <f t="shared" si="57"/>
        <v>0.41045200956390221</v>
      </c>
    </row>
    <row r="3607" spans="13:15" x14ac:dyDescent="0.3">
      <c r="M3607" s="35">
        <v>27.23</v>
      </c>
      <c r="N3607">
        <v>305</v>
      </c>
      <c r="O3607" s="34">
        <f t="shared" si="57"/>
        <v>0.41056586587723476</v>
      </c>
    </row>
    <row r="3608" spans="13:15" x14ac:dyDescent="0.3">
      <c r="M3608" s="35">
        <v>27.23</v>
      </c>
      <c r="N3608">
        <v>305</v>
      </c>
      <c r="O3608" s="34">
        <f t="shared" si="57"/>
        <v>0.41067972219056731</v>
      </c>
    </row>
    <row r="3609" spans="13:15" x14ac:dyDescent="0.3">
      <c r="M3609" s="35">
        <v>27.23</v>
      </c>
      <c r="N3609">
        <v>305</v>
      </c>
      <c r="O3609" s="34">
        <f t="shared" si="57"/>
        <v>0.41079357850389986</v>
      </c>
    </row>
    <row r="3610" spans="13:15" x14ac:dyDescent="0.3">
      <c r="M3610" s="35">
        <v>27.24</v>
      </c>
      <c r="N3610">
        <v>305</v>
      </c>
      <c r="O3610" s="34">
        <f t="shared" si="57"/>
        <v>0.41090743481723241</v>
      </c>
    </row>
    <row r="3611" spans="13:15" x14ac:dyDescent="0.3">
      <c r="M3611" s="35">
        <v>27.24</v>
      </c>
      <c r="N3611">
        <v>305</v>
      </c>
      <c r="O3611" s="34">
        <f t="shared" si="57"/>
        <v>0.41102129113056496</v>
      </c>
    </row>
    <row r="3612" spans="13:15" x14ac:dyDescent="0.3">
      <c r="M3612" s="35">
        <v>27.24</v>
      </c>
      <c r="N3612">
        <v>305</v>
      </c>
      <c r="O3612" s="34">
        <f t="shared" si="57"/>
        <v>0.41113514744389751</v>
      </c>
    </row>
    <row r="3613" spans="13:15" x14ac:dyDescent="0.3">
      <c r="M3613" s="35">
        <v>27.25</v>
      </c>
      <c r="N3613">
        <v>305</v>
      </c>
      <c r="O3613" s="34">
        <f t="shared" si="57"/>
        <v>0.41124900375723006</v>
      </c>
    </row>
    <row r="3614" spans="13:15" x14ac:dyDescent="0.3">
      <c r="M3614" s="35">
        <v>27.25</v>
      </c>
      <c r="N3614">
        <v>305</v>
      </c>
      <c r="O3614" s="34">
        <f t="shared" si="57"/>
        <v>0.41136286007056261</v>
      </c>
    </row>
    <row r="3615" spans="13:15" x14ac:dyDescent="0.3">
      <c r="M3615" s="35">
        <v>27.25</v>
      </c>
      <c r="N3615">
        <v>305</v>
      </c>
      <c r="O3615" s="34">
        <f t="shared" si="57"/>
        <v>0.41147671638389516</v>
      </c>
    </row>
    <row r="3616" spans="13:15" x14ac:dyDescent="0.3">
      <c r="M3616" s="35">
        <v>27.25</v>
      </c>
      <c r="N3616">
        <v>305</v>
      </c>
      <c r="O3616" s="34">
        <f t="shared" si="57"/>
        <v>0.41159057269722771</v>
      </c>
    </row>
    <row r="3617" spans="13:15" x14ac:dyDescent="0.3">
      <c r="M3617" s="35">
        <v>27.26</v>
      </c>
      <c r="N3617">
        <v>305</v>
      </c>
      <c r="O3617" s="34">
        <f t="shared" si="57"/>
        <v>0.41170442901056026</v>
      </c>
    </row>
    <row r="3618" spans="13:15" x14ac:dyDescent="0.3">
      <c r="M3618" s="35">
        <v>27.26</v>
      </c>
      <c r="N3618">
        <v>305</v>
      </c>
      <c r="O3618" s="34">
        <f t="shared" si="57"/>
        <v>0.41181828532389281</v>
      </c>
    </row>
    <row r="3619" spans="13:15" x14ac:dyDescent="0.3">
      <c r="M3619" s="35">
        <v>27.27</v>
      </c>
      <c r="N3619">
        <v>305</v>
      </c>
      <c r="O3619" s="34">
        <f t="shared" si="57"/>
        <v>0.41193214163722536</v>
      </c>
    </row>
    <row r="3620" spans="13:15" x14ac:dyDescent="0.3">
      <c r="M3620" s="35">
        <v>27.28</v>
      </c>
      <c r="N3620">
        <v>305</v>
      </c>
      <c r="O3620" s="34">
        <f t="shared" si="57"/>
        <v>0.41204599795055791</v>
      </c>
    </row>
    <row r="3621" spans="13:15" x14ac:dyDescent="0.3">
      <c r="M3621" s="35">
        <v>27.28</v>
      </c>
      <c r="N3621">
        <v>305</v>
      </c>
      <c r="O3621" s="34">
        <f t="shared" si="57"/>
        <v>0.41215985426389046</v>
      </c>
    </row>
    <row r="3622" spans="13:15" x14ac:dyDescent="0.3">
      <c r="M3622" s="35">
        <v>27.28</v>
      </c>
      <c r="N3622">
        <v>305</v>
      </c>
      <c r="O3622" s="34">
        <f t="shared" si="57"/>
        <v>0.41227371057722301</v>
      </c>
    </row>
    <row r="3623" spans="13:15" x14ac:dyDescent="0.3">
      <c r="M3623" s="35">
        <v>27.28</v>
      </c>
      <c r="N3623">
        <v>305</v>
      </c>
      <c r="O3623" s="34">
        <f t="shared" si="57"/>
        <v>0.41238756689055556</v>
      </c>
    </row>
    <row r="3624" spans="13:15" x14ac:dyDescent="0.3">
      <c r="M3624" s="35">
        <v>27.29</v>
      </c>
      <c r="N3624">
        <v>305</v>
      </c>
      <c r="O3624" s="34">
        <f t="shared" si="57"/>
        <v>0.41250142320388811</v>
      </c>
    </row>
    <row r="3625" spans="13:15" x14ac:dyDescent="0.3">
      <c r="M3625" s="35">
        <v>27.3</v>
      </c>
      <c r="N3625">
        <v>305</v>
      </c>
      <c r="O3625" s="34">
        <f t="shared" si="57"/>
        <v>0.41261527951722066</v>
      </c>
    </row>
    <row r="3626" spans="13:15" x14ac:dyDescent="0.3">
      <c r="M3626" s="35">
        <v>27.3</v>
      </c>
      <c r="N3626">
        <v>305</v>
      </c>
      <c r="O3626" s="34">
        <f t="shared" si="57"/>
        <v>0.41272913583055321</v>
      </c>
    </row>
    <row r="3627" spans="13:15" x14ac:dyDescent="0.3">
      <c r="M3627" s="35">
        <v>27.3</v>
      </c>
      <c r="N3627">
        <v>305</v>
      </c>
      <c r="O3627" s="34">
        <f t="shared" si="57"/>
        <v>0.41284299214388576</v>
      </c>
    </row>
    <row r="3628" spans="13:15" x14ac:dyDescent="0.3">
      <c r="M3628" s="35">
        <v>27.31</v>
      </c>
      <c r="N3628">
        <v>305</v>
      </c>
      <c r="O3628" s="34">
        <f t="shared" si="57"/>
        <v>0.41295684845721831</v>
      </c>
    </row>
    <row r="3629" spans="13:15" x14ac:dyDescent="0.3">
      <c r="M3629" s="35">
        <v>27.31</v>
      </c>
      <c r="N3629">
        <v>305</v>
      </c>
      <c r="O3629" s="34">
        <f t="shared" si="57"/>
        <v>0.41307070477055086</v>
      </c>
    </row>
    <row r="3630" spans="13:15" x14ac:dyDescent="0.3">
      <c r="M3630" s="35">
        <v>27.31</v>
      </c>
      <c r="N3630">
        <v>305</v>
      </c>
      <c r="O3630" s="34">
        <f t="shared" si="57"/>
        <v>0.41318456108388341</v>
      </c>
    </row>
    <row r="3631" spans="13:15" x14ac:dyDescent="0.3">
      <c r="M3631" s="35">
        <v>27.31</v>
      </c>
      <c r="N3631">
        <v>305</v>
      </c>
      <c r="O3631" s="34">
        <f t="shared" si="57"/>
        <v>0.41329841739721596</v>
      </c>
    </row>
    <row r="3632" spans="13:15" x14ac:dyDescent="0.3">
      <c r="M3632" s="35">
        <v>27.32</v>
      </c>
      <c r="N3632">
        <v>305</v>
      </c>
      <c r="O3632" s="34">
        <f t="shared" si="57"/>
        <v>0.41341227371054851</v>
      </c>
    </row>
    <row r="3633" spans="13:15" x14ac:dyDescent="0.3">
      <c r="M3633" s="35">
        <v>27.32</v>
      </c>
      <c r="N3633">
        <v>305</v>
      </c>
      <c r="O3633" s="34">
        <f t="shared" si="57"/>
        <v>0.41352613002388106</v>
      </c>
    </row>
    <row r="3634" spans="13:15" x14ac:dyDescent="0.3">
      <c r="M3634" s="35">
        <v>27.33</v>
      </c>
      <c r="N3634">
        <v>305</v>
      </c>
      <c r="O3634" s="34">
        <f t="shared" si="57"/>
        <v>0.41363998633721361</v>
      </c>
    </row>
    <row r="3635" spans="13:15" x14ac:dyDescent="0.3">
      <c r="M3635" s="35">
        <v>27.34</v>
      </c>
      <c r="N3635">
        <v>305</v>
      </c>
      <c r="O3635" s="34">
        <f t="shared" si="57"/>
        <v>0.41375384265054616</v>
      </c>
    </row>
    <row r="3636" spans="13:15" x14ac:dyDescent="0.3">
      <c r="M3636" s="35">
        <v>27.34</v>
      </c>
      <c r="N3636">
        <v>305</v>
      </c>
      <c r="O3636" s="34">
        <f t="shared" si="57"/>
        <v>0.41386769896387871</v>
      </c>
    </row>
    <row r="3637" spans="13:15" x14ac:dyDescent="0.3">
      <c r="M3637" s="35">
        <v>27.34</v>
      </c>
      <c r="N3637">
        <v>305</v>
      </c>
      <c r="O3637" s="34">
        <f t="shared" si="57"/>
        <v>0.41398155527721126</v>
      </c>
    </row>
    <row r="3638" spans="13:15" x14ac:dyDescent="0.3">
      <c r="M3638" s="35">
        <v>27.34</v>
      </c>
      <c r="N3638">
        <v>305</v>
      </c>
      <c r="O3638" s="34">
        <f t="shared" si="57"/>
        <v>0.4140954115905438</v>
      </c>
    </row>
    <row r="3639" spans="13:15" x14ac:dyDescent="0.3">
      <c r="M3639" s="35">
        <v>27.35</v>
      </c>
      <c r="N3639">
        <v>305</v>
      </c>
      <c r="O3639" s="34">
        <f t="shared" si="57"/>
        <v>0.41420926790387635</v>
      </c>
    </row>
    <row r="3640" spans="13:15" x14ac:dyDescent="0.3">
      <c r="M3640" s="35">
        <v>27.35</v>
      </c>
      <c r="N3640">
        <v>305</v>
      </c>
      <c r="O3640" s="34">
        <f t="shared" si="57"/>
        <v>0.4143231242172089</v>
      </c>
    </row>
    <row r="3641" spans="13:15" x14ac:dyDescent="0.3">
      <c r="M3641" s="35">
        <v>27.35</v>
      </c>
      <c r="N3641">
        <v>305</v>
      </c>
      <c r="O3641" s="34">
        <f t="shared" si="57"/>
        <v>0.41443698053054145</v>
      </c>
    </row>
    <row r="3642" spans="13:15" x14ac:dyDescent="0.3">
      <c r="M3642" s="35">
        <v>27.36</v>
      </c>
      <c r="N3642">
        <v>305</v>
      </c>
      <c r="O3642" s="34">
        <f t="shared" si="57"/>
        <v>0.414550836843874</v>
      </c>
    </row>
    <row r="3643" spans="13:15" x14ac:dyDescent="0.3">
      <c r="M3643" s="35">
        <v>27.37</v>
      </c>
      <c r="N3643">
        <v>305</v>
      </c>
      <c r="O3643" s="34">
        <f t="shared" si="57"/>
        <v>0.41466469315720655</v>
      </c>
    </row>
    <row r="3644" spans="13:15" x14ac:dyDescent="0.3">
      <c r="M3644" s="35">
        <v>27.37</v>
      </c>
      <c r="N3644">
        <v>305</v>
      </c>
      <c r="O3644" s="34">
        <f t="shared" si="57"/>
        <v>0.4147785494705391</v>
      </c>
    </row>
    <row r="3645" spans="13:15" x14ac:dyDescent="0.3">
      <c r="M3645" s="35">
        <v>27.38</v>
      </c>
      <c r="N3645">
        <v>305</v>
      </c>
      <c r="O3645" s="34">
        <f t="shared" si="57"/>
        <v>0.41489240578387165</v>
      </c>
    </row>
    <row r="3646" spans="13:15" x14ac:dyDescent="0.3">
      <c r="M3646" s="35">
        <v>27.38</v>
      </c>
      <c r="N3646">
        <v>305</v>
      </c>
      <c r="O3646" s="34">
        <f t="shared" si="57"/>
        <v>0.4150062620972042</v>
      </c>
    </row>
    <row r="3647" spans="13:15" x14ac:dyDescent="0.3">
      <c r="M3647" s="35">
        <v>27.38</v>
      </c>
      <c r="N3647">
        <v>305</v>
      </c>
      <c r="O3647" s="34">
        <f t="shared" si="57"/>
        <v>0.41512011841053675</v>
      </c>
    </row>
    <row r="3648" spans="13:15" x14ac:dyDescent="0.3">
      <c r="M3648" s="35">
        <v>27.38</v>
      </c>
      <c r="N3648">
        <v>305</v>
      </c>
      <c r="O3648" s="34">
        <f t="shared" si="57"/>
        <v>0.4152339747238693</v>
      </c>
    </row>
    <row r="3649" spans="13:15" x14ac:dyDescent="0.3">
      <c r="M3649" s="35">
        <v>27.39</v>
      </c>
      <c r="N3649">
        <v>305</v>
      </c>
      <c r="O3649" s="34">
        <f t="shared" si="57"/>
        <v>0.41534783103720185</v>
      </c>
    </row>
    <row r="3650" spans="13:15" x14ac:dyDescent="0.3">
      <c r="M3650" s="35">
        <v>27.4</v>
      </c>
      <c r="N3650">
        <v>305</v>
      </c>
      <c r="O3650" s="34">
        <f t="shared" si="57"/>
        <v>0.4154616873505344</v>
      </c>
    </row>
    <row r="3651" spans="13:15" x14ac:dyDescent="0.3">
      <c r="M3651" s="35">
        <v>27.4</v>
      </c>
      <c r="N3651">
        <v>305</v>
      </c>
      <c r="O3651" s="34">
        <f t="shared" si="57"/>
        <v>0.41557554366386695</v>
      </c>
    </row>
    <row r="3652" spans="13:15" x14ac:dyDescent="0.3">
      <c r="M3652" s="35">
        <v>27.4</v>
      </c>
      <c r="N3652">
        <v>305</v>
      </c>
      <c r="O3652" s="34">
        <f t="shared" ref="O3652:O3715" si="58">O3651+O$2</f>
        <v>0.4156893999771995</v>
      </c>
    </row>
    <row r="3653" spans="13:15" x14ac:dyDescent="0.3">
      <c r="M3653" s="35">
        <v>27.4</v>
      </c>
      <c r="N3653">
        <v>305</v>
      </c>
      <c r="O3653" s="34">
        <f t="shared" si="58"/>
        <v>0.41580325629053205</v>
      </c>
    </row>
    <row r="3654" spans="13:15" x14ac:dyDescent="0.3">
      <c r="M3654" s="35">
        <v>27.4</v>
      </c>
      <c r="N3654">
        <v>305</v>
      </c>
      <c r="O3654" s="34">
        <f t="shared" si="58"/>
        <v>0.4159171126038646</v>
      </c>
    </row>
    <row r="3655" spans="13:15" x14ac:dyDescent="0.3">
      <c r="M3655" s="35">
        <v>27.41</v>
      </c>
      <c r="N3655">
        <v>305</v>
      </c>
      <c r="O3655" s="34">
        <f t="shared" si="58"/>
        <v>0.41603096891719715</v>
      </c>
    </row>
    <row r="3656" spans="13:15" x14ac:dyDescent="0.3">
      <c r="M3656" s="35">
        <v>27.41</v>
      </c>
      <c r="N3656">
        <v>305</v>
      </c>
      <c r="O3656" s="34">
        <f t="shared" si="58"/>
        <v>0.4161448252305297</v>
      </c>
    </row>
    <row r="3657" spans="13:15" x14ac:dyDescent="0.3">
      <c r="M3657" s="35">
        <v>27.42</v>
      </c>
      <c r="N3657">
        <v>305</v>
      </c>
      <c r="O3657" s="34">
        <f t="shared" si="58"/>
        <v>0.41625868154386225</v>
      </c>
    </row>
    <row r="3658" spans="13:15" x14ac:dyDescent="0.3">
      <c r="M3658" s="35">
        <v>27.42</v>
      </c>
      <c r="N3658">
        <v>305</v>
      </c>
      <c r="O3658" s="34">
        <f t="shared" si="58"/>
        <v>0.4163725378571948</v>
      </c>
    </row>
    <row r="3659" spans="13:15" x14ac:dyDescent="0.3">
      <c r="M3659" s="35">
        <v>27.42</v>
      </c>
      <c r="N3659">
        <v>305</v>
      </c>
      <c r="O3659" s="34">
        <f t="shared" si="58"/>
        <v>0.41648639417052735</v>
      </c>
    </row>
    <row r="3660" spans="13:15" x14ac:dyDescent="0.3">
      <c r="M3660" s="35">
        <v>27.42</v>
      </c>
      <c r="N3660">
        <v>305</v>
      </c>
      <c r="O3660" s="34">
        <f t="shared" si="58"/>
        <v>0.4166002504838599</v>
      </c>
    </row>
    <row r="3661" spans="13:15" x14ac:dyDescent="0.3">
      <c r="M3661" s="35">
        <v>27.43</v>
      </c>
      <c r="N3661">
        <v>305</v>
      </c>
      <c r="O3661" s="34">
        <f t="shared" si="58"/>
        <v>0.41671410679719245</v>
      </c>
    </row>
    <row r="3662" spans="13:15" x14ac:dyDescent="0.3">
      <c r="M3662" s="35">
        <v>27.43</v>
      </c>
      <c r="N3662">
        <v>305</v>
      </c>
      <c r="O3662" s="34">
        <f t="shared" si="58"/>
        <v>0.416827963110525</v>
      </c>
    </row>
    <row r="3663" spans="13:15" x14ac:dyDescent="0.3">
      <c r="M3663" s="35">
        <v>27.43</v>
      </c>
      <c r="N3663">
        <v>305</v>
      </c>
      <c r="O3663" s="34">
        <f t="shared" si="58"/>
        <v>0.41694181942385755</v>
      </c>
    </row>
    <row r="3664" spans="13:15" x14ac:dyDescent="0.3">
      <c r="M3664" s="35">
        <v>27.43</v>
      </c>
      <c r="N3664">
        <v>305</v>
      </c>
      <c r="O3664" s="34">
        <f t="shared" si="58"/>
        <v>0.4170556757371901</v>
      </c>
    </row>
    <row r="3665" spans="13:15" x14ac:dyDescent="0.3">
      <c r="M3665" s="35">
        <v>27.43</v>
      </c>
      <c r="N3665">
        <v>305</v>
      </c>
      <c r="O3665" s="34">
        <f t="shared" si="58"/>
        <v>0.41716953205052265</v>
      </c>
    </row>
    <row r="3666" spans="13:15" x14ac:dyDescent="0.3">
      <c r="M3666" s="35">
        <v>27.43</v>
      </c>
      <c r="N3666">
        <v>305</v>
      </c>
      <c r="O3666" s="34">
        <f t="shared" si="58"/>
        <v>0.4172833883638552</v>
      </c>
    </row>
    <row r="3667" spans="13:15" x14ac:dyDescent="0.3">
      <c r="M3667" s="35">
        <v>27.43</v>
      </c>
      <c r="N3667">
        <v>305</v>
      </c>
      <c r="O3667" s="34">
        <f t="shared" si="58"/>
        <v>0.41739724467718775</v>
      </c>
    </row>
    <row r="3668" spans="13:15" x14ac:dyDescent="0.3">
      <c r="M3668" s="35">
        <v>27.45</v>
      </c>
      <c r="N3668">
        <v>305</v>
      </c>
      <c r="O3668" s="34">
        <f t="shared" si="58"/>
        <v>0.4175111009905203</v>
      </c>
    </row>
    <row r="3669" spans="13:15" x14ac:dyDescent="0.3">
      <c r="M3669" s="35">
        <v>27.45</v>
      </c>
      <c r="N3669">
        <v>305</v>
      </c>
      <c r="O3669" s="34">
        <f t="shared" si="58"/>
        <v>0.41762495730385285</v>
      </c>
    </row>
    <row r="3670" spans="13:15" x14ac:dyDescent="0.3">
      <c r="M3670" s="35">
        <v>27.46</v>
      </c>
      <c r="N3670">
        <v>305</v>
      </c>
      <c r="O3670" s="34">
        <f t="shared" si="58"/>
        <v>0.4177388136171854</v>
      </c>
    </row>
    <row r="3671" spans="13:15" x14ac:dyDescent="0.3">
      <c r="M3671" s="35">
        <v>27.47</v>
      </c>
      <c r="N3671">
        <v>305</v>
      </c>
      <c r="O3671" s="34">
        <f t="shared" si="58"/>
        <v>0.41785266993051795</v>
      </c>
    </row>
    <row r="3672" spans="13:15" x14ac:dyDescent="0.3">
      <c r="M3672" s="35">
        <v>27.47</v>
      </c>
      <c r="N3672">
        <v>305</v>
      </c>
      <c r="O3672" s="34">
        <f t="shared" si="58"/>
        <v>0.4179665262438505</v>
      </c>
    </row>
    <row r="3673" spans="13:15" x14ac:dyDescent="0.3">
      <c r="M3673" s="35">
        <v>27.47</v>
      </c>
      <c r="N3673">
        <v>305</v>
      </c>
      <c r="O3673" s="34">
        <f t="shared" si="58"/>
        <v>0.41808038255718305</v>
      </c>
    </row>
    <row r="3674" spans="13:15" x14ac:dyDescent="0.3">
      <c r="M3674" s="35">
        <v>27.47</v>
      </c>
      <c r="N3674">
        <v>305</v>
      </c>
      <c r="O3674" s="34">
        <f t="shared" si="58"/>
        <v>0.4181942388705156</v>
      </c>
    </row>
    <row r="3675" spans="13:15" x14ac:dyDescent="0.3">
      <c r="M3675" s="35">
        <v>27.47</v>
      </c>
      <c r="N3675">
        <v>305</v>
      </c>
      <c r="O3675" s="34">
        <f t="shared" si="58"/>
        <v>0.41830809518384815</v>
      </c>
    </row>
    <row r="3676" spans="13:15" x14ac:dyDescent="0.3">
      <c r="M3676" s="35">
        <v>27.48</v>
      </c>
      <c r="N3676">
        <v>305</v>
      </c>
      <c r="O3676" s="34">
        <f t="shared" si="58"/>
        <v>0.4184219514971807</v>
      </c>
    </row>
    <row r="3677" spans="13:15" x14ac:dyDescent="0.3">
      <c r="M3677" s="35">
        <v>27.48</v>
      </c>
      <c r="N3677">
        <v>305</v>
      </c>
      <c r="O3677" s="34">
        <f t="shared" si="58"/>
        <v>0.41853580781051325</v>
      </c>
    </row>
    <row r="3678" spans="13:15" x14ac:dyDescent="0.3">
      <c r="M3678" s="35">
        <v>27.49</v>
      </c>
      <c r="N3678">
        <v>305</v>
      </c>
      <c r="O3678" s="34">
        <f t="shared" si="58"/>
        <v>0.4186496641238458</v>
      </c>
    </row>
    <row r="3679" spans="13:15" x14ac:dyDescent="0.3">
      <c r="M3679" s="35">
        <v>27.49</v>
      </c>
      <c r="N3679">
        <v>305</v>
      </c>
      <c r="O3679" s="34">
        <f t="shared" si="58"/>
        <v>0.41876352043717835</v>
      </c>
    </row>
    <row r="3680" spans="13:15" x14ac:dyDescent="0.3">
      <c r="M3680" s="35">
        <v>27.49</v>
      </c>
      <c r="N3680">
        <v>305</v>
      </c>
      <c r="O3680" s="34">
        <f t="shared" si="58"/>
        <v>0.4188773767505109</v>
      </c>
    </row>
    <row r="3681" spans="13:15" x14ac:dyDescent="0.3">
      <c r="M3681" s="35">
        <v>27.5</v>
      </c>
      <c r="N3681">
        <v>305</v>
      </c>
      <c r="O3681" s="34">
        <f t="shared" si="58"/>
        <v>0.41899123306384345</v>
      </c>
    </row>
    <row r="3682" spans="13:15" x14ac:dyDescent="0.3">
      <c r="M3682" s="35">
        <v>27.5</v>
      </c>
      <c r="N3682">
        <v>305</v>
      </c>
      <c r="O3682" s="34">
        <f t="shared" si="58"/>
        <v>0.419105089377176</v>
      </c>
    </row>
    <row r="3683" spans="13:15" x14ac:dyDescent="0.3">
      <c r="M3683" s="35">
        <v>27.51</v>
      </c>
      <c r="N3683">
        <v>305</v>
      </c>
      <c r="O3683" s="34">
        <f t="shared" si="58"/>
        <v>0.41921894569050855</v>
      </c>
    </row>
    <row r="3684" spans="13:15" x14ac:dyDescent="0.3">
      <c r="M3684" s="35">
        <v>27.51</v>
      </c>
      <c r="N3684">
        <v>305</v>
      </c>
      <c r="O3684" s="34">
        <f t="shared" si="58"/>
        <v>0.4193328020038411</v>
      </c>
    </row>
    <row r="3685" spans="13:15" x14ac:dyDescent="0.3">
      <c r="M3685" s="35">
        <v>27.51</v>
      </c>
      <c r="N3685">
        <v>305</v>
      </c>
      <c r="O3685" s="34">
        <f t="shared" si="58"/>
        <v>0.41944665831717365</v>
      </c>
    </row>
    <row r="3686" spans="13:15" x14ac:dyDescent="0.3">
      <c r="M3686" s="35">
        <v>27.51</v>
      </c>
      <c r="N3686">
        <v>305</v>
      </c>
      <c r="O3686" s="34">
        <f t="shared" si="58"/>
        <v>0.4195605146305062</v>
      </c>
    </row>
    <row r="3687" spans="13:15" x14ac:dyDescent="0.3">
      <c r="M3687" s="35">
        <v>27.52</v>
      </c>
      <c r="N3687">
        <v>305</v>
      </c>
      <c r="O3687" s="34">
        <f t="shared" si="58"/>
        <v>0.41967437094383875</v>
      </c>
    </row>
    <row r="3688" spans="13:15" x14ac:dyDescent="0.3">
      <c r="M3688" s="35">
        <v>27.53</v>
      </c>
      <c r="N3688">
        <v>305</v>
      </c>
      <c r="O3688" s="34">
        <f t="shared" si="58"/>
        <v>0.4197882272571713</v>
      </c>
    </row>
    <row r="3689" spans="13:15" x14ac:dyDescent="0.3">
      <c r="M3689" s="35">
        <v>27.54</v>
      </c>
      <c r="N3689">
        <v>305</v>
      </c>
      <c r="O3689" s="34">
        <f t="shared" si="58"/>
        <v>0.41990208357050385</v>
      </c>
    </row>
    <row r="3690" spans="13:15" x14ac:dyDescent="0.3">
      <c r="M3690" s="35">
        <v>27.54</v>
      </c>
      <c r="N3690">
        <v>305</v>
      </c>
      <c r="O3690" s="34">
        <f t="shared" si="58"/>
        <v>0.4200159398838364</v>
      </c>
    </row>
    <row r="3691" spans="13:15" x14ac:dyDescent="0.3">
      <c r="M3691" s="35">
        <v>27.54</v>
      </c>
      <c r="N3691">
        <v>305</v>
      </c>
      <c r="O3691" s="34">
        <f t="shared" si="58"/>
        <v>0.42012979619716895</v>
      </c>
    </row>
    <row r="3692" spans="13:15" x14ac:dyDescent="0.3">
      <c r="M3692" s="35">
        <v>27.54</v>
      </c>
      <c r="N3692">
        <v>305</v>
      </c>
      <c r="O3692" s="34">
        <f t="shared" si="58"/>
        <v>0.4202436525105015</v>
      </c>
    </row>
    <row r="3693" spans="13:15" x14ac:dyDescent="0.3">
      <c r="M3693" s="35">
        <v>27.55</v>
      </c>
      <c r="N3693">
        <v>305</v>
      </c>
      <c r="O3693" s="34">
        <f t="shared" si="58"/>
        <v>0.42035750882383405</v>
      </c>
    </row>
    <row r="3694" spans="13:15" x14ac:dyDescent="0.3">
      <c r="M3694" s="35">
        <v>27.56</v>
      </c>
      <c r="N3694">
        <v>305</v>
      </c>
      <c r="O3694" s="34">
        <f t="shared" si="58"/>
        <v>0.4204713651371666</v>
      </c>
    </row>
    <row r="3695" spans="13:15" x14ac:dyDescent="0.3">
      <c r="M3695" s="35">
        <v>27.56</v>
      </c>
      <c r="N3695">
        <v>305</v>
      </c>
      <c r="O3695" s="34">
        <f t="shared" si="58"/>
        <v>0.42058522145049915</v>
      </c>
    </row>
    <row r="3696" spans="13:15" x14ac:dyDescent="0.3">
      <c r="M3696" s="35">
        <v>27.56</v>
      </c>
      <c r="N3696">
        <v>305</v>
      </c>
      <c r="O3696" s="34">
        <f t="shared" si="58"/>
        <v>0.4206990777638317</v>
      </c>
    </row>
    <row r="3697" spans="13:15" x14ac:dyDescent="0.3">
      <c r="M3697" s="35">
        <v>27.56</v>
      </c>
      <c r="N3697">
        <v>305</v>
      </c>
      <c r="O3697" s="34">
        <f t="shared" si="58"/>
        <v>0.42081293407716425</v>
      </c>
    </row>
    <row r="3698" spans="13:15" x14ac:dyDescent="0.3">
      <c r="M3698" s="35">
        <v>27.57</v>
      </c>
      <c r="N3698">
        <v>305</v>
      </c>
      <c r="O3698" s="34">
        <f t="shared" si="58"/>
        <v>0.4209267903904968</v>
      </c>
    </row>
    <row r="3699" spans="13:15" x14ac:dyDescent="0.3">
      <c r="M3699" s="35">
        <v>27.57</v>
      </c>
      <c r="N3699">
        <v>305</v>
      </c>
      <c r="O3699" s="34">
        <f t="shared" si="58"/>
        <v>0.42104064670382935</v>
      </c>
    </row>
    <row r="3700" spans="13:15" x14ac:dyDescent="0.3">
      <c r="M3700" s="35">
        <v>27.58</v>
      </c>
      <c r="N3700">
        <v>305</v>
      </c>
      <c r="O3700" s="34">
        <f t="shared" si="58"/>
        <v>0.4211545030171619</v>
      </c>
    </row>
    <row r="3701" spans="13:15" x14ac:dyDescent="0.3">
      <c r="M3701" s="35">
        <v>27.58</v>
      </c>
      <c r="N3701">
        <v>305</v>
      </c>
      <c r="O3701" s="34">
        <f t="shared" si="58"/>
        <v>0.42126835933049445</v>
      </c>
    </row>
    <row r="3702" spans="13:15" x14ac:dyDescent="0.3">
      <c r="M3702" s="35">
        <v>27.58</v>
      </c>
      <c r="N3702">
        <v>305</v>
      </c>
      <c r="O3702" s="34">
        <f t="shared" si="58"/>
        <v>0.421382215643827</v>
      </c>
    </row>
    <row r="3703" spans="13:15" x14ac:dyDescent="0.3">
      <c r="M3703" s="35">
        <v>27.59</v>
      </c>
      <c r="N3703">
        <v>305</v>
      </c>
      <c r="O3703" s="34">
        <f t="shared" si="58"/>
        <v>0.42149607195715955</v>
      </c>
    </row>
    <row r="3704" spans="13:15" x14ac:dyDescent="0.3">
      <c r="M3704" s="35">
        <v>27.59</v>
      </c>
      <c r="N3704">
        <v>305</v>
      </c>
      <c r="O3704" s="34">
        <f t="shared" si="58"/>
        <v>0.4216099282704921</v>
      </c>
    </row>
    <row r="3705" spans="13:15" x14ac:dyDescent="0.3">
      <c r="M3705" s="35">
        <v>27.59</v>
      </c>
      <c r="N3705">
        <v>305</v>
      </c>
      <c r="O3705" s="34">
        <f t="shared" si="58"/>
        <v>0.42172378458382465</v>
      </c>
    </row>
    <row r="3706" spans="13:15" x14ac:dyDescent="0.3">
      <c r="M3706" s="35">
        <v>27.59</v>
      </c>
      <c r="N3706">
        <v>305</v>
      </c>
      <c r="O3706" s="34">
        <f t="shared" si="58"/>
        <v>0.4218376408971572</v>
      </c>
    </row>
    <row r="3707" spans="13:15" x14ac:dyDescent="0.3">
      <c r="M3707" s="35">
        <v>27.6</v>
      </c>
      <c r="N3707">
        <v>305</v>
      </c>
      <c r="O3707" s="34">
        <f t="shared" si="58"/>
        <v>0.42195149721048975</v>
      </c>
    </row>
    <row r="3708" spans="13:15" x14ac:dyDescent="0.3">
      <c r="M3708" s="35">
        <v>27.6</v>
      </c>
      <c r="N3708">
        <v>305</v>
      </c>
      <c r="O3708" s="34">
        <f t="shared" si="58"/>
        <v>0.4220653535238223</v>
      </c>
    </row>
    <row r="3709" spans="13:15" x14ac:dyDescent="0.3">
      <c r="M3709" s="35">
        <v>27.61</v>
      </c>
      <c r="N3709">
        <v>305</v>
      </c>
      <c r="O3709" s="34">
        <f t="shared" si="58"/>
        <v>0.42217920983715485</v>
      </c>
    </row>
    <row r="3710" spans="13:15" x14ac:dyDescent="0.3">
      <c r="M3710" s="35">
        <v>27.61</v>
      </c>
      <c r="N3710">
        <v>305</v>
      </c>
      <c r="O3710" s="34">
        <f t="shared" si="58"/>
        <v>0.4222930661504874</v>
      </c>
    </row>
    <row r="3711" spans="13:15" x14ac:dyDescent="0.3">
      <c r="M3711" s="35">
        <v>27.61</v>
      </c>
      <c r="N3711">
        <v>305</v>
      </c>
      <c r="O3711" s="34">
        <f t="shared" si="58"/>
        <v>0.42240692246381994</v>
      </c>
    </row>
    <row r="3712" spans="13:15" x14ac:dyDescent="0.3">
      <c r="M3712" s="35">
        <v>27.62</v>
      </c>
      <c r="N3712">
        <v>305</v>
      </c>
      <c r="O3712" s="34">
        <f t="shared" si="58"/>
        <v>0.42252077877715249</v>
      </c>
    </row>
    <row r="3713" spans="13:15" x14ac:dyDescent="0.3">
      <c r="M3713" s="35">
        <v>27.62</v>
      </c>
      <c r="N3713">
        <v>305</v>
      </c>
      <c r="O3713" s="34">
        <f t="shared" si="58"/>
        <v>0.42263463509048504</v>
      </c>
    </row>
    <row r="3714" spans="13:15" x14ac:dyDescent="0.3">
      <c r="M3714" s="35">
        <v>27.63</v>
      </c>
      <c r="N3714">
        <v>305</v>
      </c>
      <c r="O3714" s="34">
        <f t="shared" si="58"/>
        <v>0.42274849140381759</v>
      </c>
    </row>
    <row r="3715" spans="13:15" x14ac:dyDescent="0.3">
      <c r="M3715" s="35">
        <v>27.63</v>
      </c>
      <c r="N3715">
        <v>305</v>
      </c>
      <c r="O3715" s="34">
        <f t="shared" si="58"/>
        <v>0.42286234771715014</v>
      </c>
    </row>
    <row r="3716" spans="13:15" x14ac:dyDescent="0.3">
      <c r="M3716" s="35">
        <v>27.63</v>
      </c>
      <c r="N3716">
        <v>305</v>
      </c>
      <c r="O3716" s="34">
        <f t="shared" ref="O3716:O3779" si="59">O3715+O$2</f>
        <v>0.42297620403048269</v>
      </c>
    </row>
    <row r="3717" spans="13:15" x14ac:dyDescent="0.3">
      <c r="M3717" s="35">
        <v>27.63</v>
      </c>
      <c r="N3717">
        <v>305</v>
      </c>
      <c r="O3717" s="34">
        <f t="shared" si="59"/>
        <v>0.42309006034381524</v>
      </c>
    </row>
    <row r="3718" spans="13:15" x14ac:dyDescent="0.3">
      <c r="M3718" s="35">
        <v>27.63</v>
      </c>
      <c r="N3718">
        <v>305</v>
      </c>
      <c r="O3718" s="34">
        <f t="shared" si="59"/>
        <v>0.42320391665714779</v>
      </c>
    </row>
    <row r="3719" spans="13:15" x14ac:dyDescent="0.3">
      <c r="M3719" s="35">
        <v>27.63</v>
      </c>
      <c r="N3719">
        <v>305</v>
      </c>
      <c r="O3719" s="34">
        <f t="shared" si="59"/>
        <v>0.42331777297048034</v>
      </c>
    </row>
    <row r="3720" spans="13:15" x14ac:dyDescent="0.3">
      <c r="M3720" s="35">
        <v>27.64</v>
      </c>
      <c r="N3720">
        <v>305</v>
      </c>
      <c r="O3720" s="34">
        <f t="shared" si="59"/>
        <v>0.42343162928381289</v>
      </c>
    </row>
    <row r="3721" spans="13:15" x14ac:dyDescent="0.3">
      <c r="M3721" s="35">
        <v>27.64</v>
      </c>
      <c r="N3721">
        <v>305</v>
      </c>
      <c r="O3721" s="34">
        <f t="shared" si="59"/>
        <v>0.42354548559714544</v>
      </c>
    </row>
    <row r="3722" spans="13:15" x14ac:dyDescent="0.3">
      <c r="M3722" s="35">
        <v>27.64</v>
      </c>
      <c r="N3722">
        <v>305</v>
      </c>
      <c r="O3722" s="34">
        <f t="shared" si="59"/>
        <v>0.42365934191047799</v>
      </c>
    </row>
    <row r="3723" spans="13:15" x14ac:dyDescent="0.3">
      <c r="M3723" s="35">
        <v>27.64</v>
      </c>
      <c r="N3723">
        <v>305</v>
      </c>
      <c r="O3723" s="34">
        <f t="shared" si="59"/>
        <v>0.42377319822381054</v>
      </c>
    </row>
    <row r="3724" spans="13:15" x14ac:dyDescent="0.3">
      <c r="M3724" s="35">
        <v>27.65</v>
      </c>
      <c r="N3724">
        <v>305</v>
      </c>
      <c r="O3724" s="34">
        <f t="shared" si="59"/>
        <v>0.42388705453714309</v>
      </c>
    </row>
    <row r="3725" spans="13:15" x14ac:dyDescent="0.3">
      <c r="M3725" s="35">
        <v>27.65</v>
      </c>
      <c r="N3725">
        <v>305</v>
      </c>
      <c r="O3725" s="34">
        <f t="shared" si="59"/>
        <v>0.42400091085047564</v>
      </c>
    </row>
    <row r="3726" spans="13:15" x14ac:dyDescent="0.3">
      <c r="M3726" s="35">
        <v>27.65</v>
      </c>
      <c r="N3726">
        <v>305</v>
      </c>
      <c r="O3726" s="34">
        <f t="shared" si="59"/>
        <v>0.42411476716380819</v>
      </c>
    </row>
    <row r="3727" spans="13:15" x14ac:dyDescent="0.3">
      <c r="M3727" s="35">
        <v>27.66</v>
      </c>
      <c r="N3727">
        <v>305</v>
      </c>
      <c r="O3727" s="34">
        <f t="shared" si="59"/>
        <v>0.42422862347714074</v>
      </c>
    </row>
    <row r="3728" spans="13:15" x14ac:dyDescent="0.3">
      <c r="M3728" s="35">
        <v>27.66</v>
      </c>
      <c r="N3728">
        <v>305</v>
      </c>
      <c r="O3728" s="34">
        <f t="shared" si="59"/>
        <v>0.42434247979047329</v>
      </c>
    </row>
    <row r="3729" spans="13:15" x14ac:dyDescent="0.3">
      <c r="M3729" s="35">
        <v>27.66</v>
      </c>
      <c r="N3729">
        <v>305</v>
      </c>
      <c r="O3729" s="34">
        <f t="shared" si="59"/>
        <v>0.42445633610380584</v>
      </c>
    </row>
    <row r="3730" spans="13:15" x14ac:dyDescent="0.3">
      <c r="M3730" s="35">
        <v>27.66</v>
      </c>
      <c r="N3730">
        <v>305</v>
      </c>
      <c r="O3730" s="34">
        <f t="shared" si="59"/>
        <v>0.42457019241713839</v>
      </c>
    </row>
    <row r="3731" spans="13:15" x14ac:dyDescent="0.3">
      <c r="M3731" s="35">
        <v>27.67</v>
      </c>
      <c r="N3731">
        <v>305</v>
      </c>
      <c r="O3731" s="34">
        <f t="shared" si="59"/>
        <v>0.42468404873047094</v>
      </c>
    </row>
    <row r="3732" spans="13:15" x14ac:dyDescent="0.3">
      <c r="M3732" s="35">
        <v>27.68</v>
      </c>
      <c r="N3732">
        <v>305</v>
      </c>
      <c r="O3732" s="34">
        <f t="shared" si="59"/>
        <v>0.42479790504380349</v>
      </c>
    </row>
    <row r="3733" spans="13:15" x14ac:dyDescent="0.3">
      <c r="M3733" s="35">
        <v>27.68</v>
      </c>
      <c r="N3733">
        <v>305</v>
      </c>
      <c r="O3733" s="34">
        <f t="shared" si="59"/>
        <v>0.42491176135713604</v>
      </c>
    </row>
    <row r="3734" spans="13:15" x14ac:dyDescent="0.3">
      <c r="M3734" s="35">
        <v>27.69</v>
      </c>
      <c r="N3734">
        <v>305</v>
      </c>
      <c r="O3734" s="34">
        <f t="shared" si="59"/>
        <v>0.42502561767046859</v>
      </c>
    </row>
    <row r="3735" spans="13:15" x14ac:dyDescent="0.3">
      <c r="M3735" s="35">
        <v>27.69</v>
      </c>
      <c r="N3735">
        <v>305</v>
      </c>
      <c r="O3735" s="34">
        <f t="shared" si="59"/>
        <v>0.42513947398380114</v>
      </c>
    </row>
    <row r="3736" spans="13:15" x14ac:dyDescent="0.3">
      <c r="M3736" s="35">
        <v>27.69</v>
      </c>
      <c r="N3736">
        <v>305</v>
      </c>
      <c r="O3736" s="34">
        <f t="shared" si="59"/>
        <v>0.42525333029713369</v>
      </c>
    </row>
    <row r="3737" spans="13:15" x14ac:dyDescent="0.3">
      <c r="M3737" s="35">
        <v>27.69</v>
      </c>
      <c r="N3737">
        <v>305</v>
      </c>
      <c r="O3737" s="34">
        <f t="shared" si="59"/>
        <v>0.42536718661046624</v>
      </c>
    </row>
    <row r="3738" spans="13:15" x14ac:dyDescent="0.3">
      <c r="M3738" s="35">
        <v>27.7</v>
      </c>
      <c r="N3738">
        <v>305</v>
      </c>
      <c r="O3738" s="34">
        <f t="shared" si="59"/>
        <v>0.42548104292379879</v>
      </c>
    </row>
    <row r="3739" spans="13:15" x14ac:dyDescent="0.3">
      <c r="M3739" s="35">
        <v>27.71</v>
      </c>
      <c r="N3739">
        <v>305</v>
      </c>
      <c r="O3739" s="34">
        <f t="shared" si="59"/>
        <v>0.42559489923713134</v>
      </c>
    </row>
    <row r="3740" spans="13:15" x14ac:dyDescent="0.3">
      <c r="M3740" s="35">
        <v>27.72</v>
      </c>
      <c r="N3740">
        <v>305</v>
      </c>
      <c r="O3740" s="34">
        <f t="shared" si="59"/>
        <v>0.42570875555046389</v>
      </c>
    </row>
    <row r="3741" spans="13:15" x14ac:dyDescent="0.3">
      <c r="M3741" s="35">
        <v>27.72</v>
      </c>
      <c r="N3741">
        <v>305</v>
      </c>
      <c r="O3741" s="34">
        <f t="shared" si="59"/>
        <v>0.42582261186379644</v>
      </c>
    </row>
    <row r="3742" spans="13:15" x14ac:dyDescent="0.3">
      <c r="M3742" s="35">
        <v>27.73</v>
      </c>
      <c r="N3742">
        <v>305</v>
      </c>
      <c r="O3742" s="34">
        <f t="shared" si="59"/>
        <v>0.42593646817712899</v>
      </c>
    </row>
    <row r="3743" spans="13:15" x14ac:dyDescent="0.3">
      <c r="M3743" s="35">
        <v>27.73</v>
      </c>
      <c r="N3743">
        <v>305</v>
      </c>
      <c r="O3743" s="34">
        <f t="shared" si="59"/>
        <v>0.42605032449046154</v>
      </c>
    </row>
    <row r="3744" spans="13:15" x14ac:dyDescent="0.3">
      <c r="M3744" s="35">
        <v>27.73</v>
      </c>
      <c r="N3744">
        <v>305</v>
      </c>
      <c r="O3744" s="34">
        <f t="shared" si="59"/>
        <v>0.42616418080379409</v>
      </c>
    </row>
    <row r="3745" spans="13:15" x14ac:dyDescent="0.3">
      <c r="M3745" s="35">
        <v>27.74</v>
      </c>
      <c r="N3745">
        <v>305</v>
      </c>
      <c r="O3745" s="34">
        <f t="shared" si="59"/>
        <v>0.42627803711712664</v>
      </c>
    </row>
    <row r="3746" spans="13:15" x14ac:dyDescent="0.3">
      <c r="M3746" s="35">
        <v>27.74</v>
      </c>
      <c r="N3746">
        <v>305</v>
      </c>
      <c r="O3746" s="34">
        <f t="shared" si="59"/>
        <v>0.42639189343045919</v>
      </c>
    </row>
    <row r="3747" spans="13:15" x14ac:dyDescent="0.3">
      <c r="M3747" s="35">
        <v>27.74</v>
      </c>
      <c r="N3747">
        <v>305</v>
      </c>
      <c r="O3747" s="34">
        <f t="shared" si="59"/>
        <v>0.42650574974379174</v>
      </c>
    </row>
    <row r="3748" spans="13:15" x14ac:dyDescent="0.3">
      <c r="M3748" s="35">
        <v>27.74</v>
      </c>
      <c r="N3748">
        <v>305</v>
      </c>
      <c r="O3748" s="34">
        <f t="shared" si="59"/>
        <v>0.42661960605712429</v>
      </c>
    </row>
    <row r="3749" spans="13:15" x14ac:dyDescent="0.3">
      <c r="M3749" s="35">
        <v>27.75</v>
      </c>
      <c r="N3749">
        <v>305</v>
      </c>
      <c r="O3749" s="34">
        <f t="shared" si="59"/>
        <v>0.42673346237045684</v>
      </c>
    </row>
    <row r="3750" spans="13:15" x14ac:dyDescent="0.3">
      <c r="M3750" s="35">
        <v>27.75</v>
      </c>
      <c r="N3750">
        <v>305</v>
      </c>
      <c r="O3750" s="34">
        <f t="shared" si="59"/>
        <v>0.42684731868378939</v>
      </c>
    </row>
    <row r="3751" spans="13:15" x14ac:dyDescent="0.3">
      <c r="M3751" s="35">
        <v>27.75</v>
      </c>
      <c r="N3751">
        <v>305</v>
      </c>
      <c r="O3751" s="34">
        <f t="shared" si="59"/>
        <v>0.42696117499712194</v>
      </c>
    </row>
    <row r="3752" spans="13:15" x14ac:dyDescent="0.3">
      <c r="M3752" s="35">
        <v>27.76</v>
      </c>
      <c r="N3752">
        <v>305</v>
      </c>
      <c r="O3752" s="34">
        <f t="shared" si="59"/>
        <v>0.42707503131045449</v>
      </c>
    </row>
    <row r="3753" spans="13:15" x14ac:dyDescent="0.3">
      <c r="M3753" s="35">
        <v>27.76</v>
      </c>
      <c r="N3753">
        <v>305</v>
      </c>
      <c r="O3753" s="34">
        <f t="shared" si="59"/>
        <v>0.42718888762378704</v>
      </c>
    </row>
    <row r="3754" spans="13:15" x14ac:dyDescent="0.3">
      <c r="M3754" s="35">
        <v>27.76</v>
      </c>
      <c r="N3754">
        <v>305</v>
      </c>
      <c r="O3754" s="34">
        <f t="shared" si="59"/>
        <v>0.42730274393711959</v>
      </c>
    </row>
    <row r="3755" spans="13:15" x14ac:dyDescent="0.3">
      <c r="M3755" s="35">
        <v>27.77</v>
      </c>
      <c r="N3755">
        <v>305</v>
      </c>
      <c r="O3755" s="34">
        <f t="shared" si="59"/>
        <v>0.42741660025045214</v>
      </c>
    </row>
    <row r="3756" spans="13:15" x14ac:dyDescent="0.3">
      <c r="M3756" s="35">
        <v>27.77</v>
      </c>
      <c r="N3756">
        <v>305</v>
      </c>
      <c r="O3756" s="34">
        <f t="shared" si="59"/>
        <v>0.42753045656378469</v>
      </c>
    </row>
    <row r="3757" spans="13:15" x14ac:dyDescent="0.3">
      <c r="M3757" s="35">
        <v>27.77</v>
      </c>
      <c r="N3757">
        <v>305</v>
      </c>
      <c r="O3757" s="34">
        <f t="shared" si="59"/>
        <v>0.42764431287711724</v>
      </c>
    </row>
    <row r="3758" spans="13:15" x14ac:dyDescent="0.3">
      <c r="M3758" s="35">
        <v>27.77</v>
      </c>
      <c r="N3758">
        <v>305</v>
      </c>
      <c r="O3758" s="34">
        <f t="shared" si="59"/>
        <v>0.42775816919044979</v>
      </c>
    </row>
    <row r="3759" spans="13:15" x14ac:dyDescent="0.3">
      <c r="M3759" s="35">
        <v>27.78</v>
      </c>
      <c r="N3759">
        <v>305</v>
      </c>
      <c r="O3759" s="34">
        <f t="shared" si="59"/>
        <v>0.42787202550378234</v>
      </c>
    </row>
    <row r="3760" spans="13:15" x14ac:dyDescent="0.3">
      <c r="M3760" s="35">
        <v>27.78</v>
      </c>
      <c r="N3760">
        <v>305</v>
      </c>
      <c r="O3760" s="34">
        <f t="shared" si="59"/>
        <v>0.42798588181711489</v>
      </c>
    </row>
    <row r="3761" spans="13:15" x14ac:dyDescent="0.3">
      <c r="M3761" s="35">
        <v>27.78</v>
      </c>
      <c r="N3761">
        <v>305</v>
      </c>
      <c r="O3761" s="34">
        <f t="shared" si="59"/>
        <v>0.42809973813044744</v>
      </c>
    </row>
    <row r="3762" spans="13:15" x14ac:dyDescent="0.3">
      <c r="M3762" s="35">
        <v>27.79</v>
      </c>
      <c r="N3762">
        <v>305</v>
      </c>
      <c r="O3762" s="34">
        <f t="shared" si="59"/>
        <v>0.42821359444377999</v>
      </c>
    </row>
    <row r="3763" spans="13:15" x14ac:dyDescent="0.3">
      <c r="M3763" s="35">
        <v>27.79</v>
      </c>
      <c r="N3763">
        <v>305</v>
      </c>
      <c r="O3763" s="34">
        <f t="shared" si="59"/>
        <v>0.42832745075711254</v>
      </c>
    </row>
    <row r="3764" spans="13:15" x14ac:dyDescent="0.3">
      <c r="M3764" s="35">
        <v>27.8</v>
      </c>
      <c r="N3764">
        <v>305</v>
      </c>
      <c r="O3764" s="34">
        <f t="shared" si="59"/>
        <v>0.42844130707044509</v>
      </c>
    </row>
    <row r="3765" spans="13:15" x14ac:dyDescent="0.3">
      <c r="M3765" s="35">
        <v>27.8</v>
      </c>
      <c r="N3765">
        <v>305</v>
      </c>
      <c r="O3765" s="34">
        <f t="shared" si="59"/>
        <v>0.42855516338377764</v>
      </c>
    </row>
    <row r="3766" spans="13:15" x14ac:dyDescent="0.3">
      <c r="M3766" s="35">
        <v>27.8</v>
      </c>
      <c r="N3766">
        <v>305</v>
      </c>
      <c r="O3766" s="34">
        <f t="shared" si="59"/>
        <v>0.42866901969711019</v>
      </c>
    </row>
    <row r="3767" spans="13:15" x14ac:dyDescent="0.3">
      <c r="M3767" s="35">
        <v>27.81</v>
      </c>
      <c r="N3767">
        <v>305</v>
      </c>
      <c r="O3767" s="34">
        <f t="shared" si="59"/>
        <v>0.42878287601044274</v>
      </c>
    </row>
    <row r="3768" spans="13:15" x14ac:dyDescent="0.3">
      <c r="M3768" s="35">
        <v>27.81</v>
      </c>
      <c r="N3768">
        <v>305</v>
      </c>
      <c r="O3768" s="34">
        <f t="shared" si="59"/>
        <v>0.42889673232377529</v>
      </c>
    </row>
    <row r="3769" spans="13:15" x14ac:dyDescent="0.3">
      <c r="M3769" s="35">
        <v>27.81</v>
      </c>
      <c r="N3769">
        <v>305</v>
      </c>
      <c r="O3769" s="34">
        <f t="shared" si="59"/>
        <v>0.42901058863710784</v>
      </c>
    </row>
    <row r="3770" spans="13:15" x14ac:dyDescent="0.3">
      <c r="M3770" s="35">
        <v>27.82</v>
      </c>
      <c r="N3770">
        <v>305</v>
      </c>
      <c r="O3770" s="34">
        <f t="shared" si="59"/>
        <v>0.42912444495044039</v>
      </c>
    </row>
    <row r="3771" spans="13:15" x14ac:dyDescent="0.3">
      <c r="M3771" s="35">
        <v>27.82</v>
      </c>
      <c r="N3771">
        <v>305</v>
      </c>
      <c r="O3771" s="34">
        <f t="shared" si="59"/>
        <v>0.42923830126377294</v>
      </c>
    </row>
    <row r="3772" spans="13:15" x14ac:dyDescent="0.3">
      <c r="M3772" s="35">
        <v>27.82</v>
      </c>
      <c r="N3772">
        <v>305</v>
      </c>
      <c r="O3772" s="34">
        <f t="shared" si="59"/>
        <v>0.42935215757710549</v>
      </c>
    </row>
    <row r="3773" spans="13:15" x14ac:dyDescent="0.3">
      <c r="M3773" s="35">
        <v>27.82</v>
      </c>
      <c r="N3773">
        <v>305</v>
      </c>
      <c r="O3773" s="34">
        <f t="shared" si="59"/>
        <v>0.42946601389043804</v>
      </c>
    </row>
    <row r="3774" spans="13:15" x14ac:dyDescent="0.3">
      <c r="M3774" s="35">
        <v>27.83</v>
      </c>
      <c r="N3774">
        <v>305</v>
      </c>
      <c r="O3774" s="34">
        <f t="shared" si="59"/>
        <v>0.42957987020377059</v>
      </c>
    </row>
    <row r="3775" spans="13:15" x14ac:dyDescent="0.3">
      <c r="M3775" s="35">
        <v>27.83</v>
      </c>
      <c r="N3775">
        <v>305</v>
      </c>
      <c r="O3775" s="34">
        <f t="shared" si="59"/>
        <v>0.42969372651710314</v>
      </c>
    </row>
    <row r="3776" spans="13:15" x14ac:dyDescent="0.3">
      <c r="M3776" s="35">
        <v>27.83</v>
      </c>
      <c r="N3776">
        <v>305</v>
      </c>
      <c r="O3776" s="34">
        <f t="shared" si="59"/>
        <v>0.42980758283043569</v>
      </c>
    </row>
    <row r="3777" spans="13:15" x14ac:dyDescent="0.3">
      <c r="M3777" s="35">
        <v>27.83</v>
      </c>
      <c r="N3777">
        <v>305</v>
      </c>
      <c r="O3777" s="34">
        <f t="shared" si="59"/>
        <v>0.42992143914376824</v>
      </c>
    </row>
    <row r="3778" spans="13:15" x14ac:dyDescent="0.3">
      <c r="M3778" s="35">
        <v>27.83</v>
      </c>
      <c r="N3778">
        <v>305</v>
      </c>
      <c r="O3778" s="34">
        <f t="shared" si="59"/>
        <v>0.43003529545710079</v>
      </c>
    </row>
    <row r="3779" spans="13:15" x14ac:dyDescent="0.3">
      <c r="M3779" s="35">
        <v>27.84</v>
      </c>
      <c r="N3779">
        <v>305</v>
      </c>
      <c r="O3779" s="34">
        <f t="shared" si="59"/>
        <v>0.43014915177043334</v>
      </c>
    </row>
    <row r="3780" spans="13:15" x14ac:dyDescent="0.3">
      <c r="M3780" s="35">
        <v>27.84</v>
      </c>
      <c r="N3780">
        <v>305</v>
      </c>
      <c r="O3780" s="34">
        <f t="shared" ref="O3780:O3843" si="60">O3779+O$2</f>
        <v>0.43026300808376589</v>
      </c>
    </row>
    <row r="3781" spans="13:15" x14ac:dyDescent="0.3">
      <c r="M3781" s="35">
        <v>27.84</v>
      </c>
      <c r="N3781">
        <v>305</v>
      </c>
      <c r="O3781" s="34">
        <f t="shared" si="60"/>
        <v>0.43037686439709844</v>
      </c>
    </row>
    <row r="3782" spans="13:15" x14ac:dyDescent="0.3">
      <c r="M3782" s="35">
        <v>27.85</v>
      </c>
      <c r="N3782">
        <v>305</v>
      </c>
      <c r="O3782" s="34">
        <f t="shared" si="60"/>
        <v>0.43049072071043099</v>
      </c>
    </row>
    <row r="3783" spans="13:15" x14ac:dyDescent="0.3">
      <c r="M3783" s="35">
        <v>27.85</v>
      </c>
      <c r="N3783">
        <v>305</v>
      </c>
      <c r="O3783" s="34">
        <f t="shared" si="60"/>
        <v>0.43060457702376354</v>
      </c>
    </row>
    <row r="3784" spans="13:15" x14ac:dyDescent="0.3">
      <c r="M3784" s="35">
        <v>27.85</v>
      </c>
      <c r="N3784">
        <v>305</v>
      </c>
      <c r="O3784" s="34">
        <f t="shared" si="60"/>
        <v>0.43071843333709608</v>
      </c>
    </row>
    <row r="3785" spans="13:15" x14ac:dyDescent="0.3">
      <c r="M3785" s="35">
        <v>27.87</v>
      </c>
      <c r="N3785">
        <v>305</v>
      </c>
      <c r="O3785" s="34">
        <f t="shared" si="60"/>
        <v>0.43083228965042863</v>
      </c>
    </row>
    <row r="3786" spans="13:15" x14ac:dyDescent="0.3">
      <c r="M3786" s="35">
        <v>27.87</v>
      </c>
      <c r="N3786">
        <v>305</v>
      </c>
      <c r="O3786" s="34">
        <f t="shared" si="60"/>
        <v>0.43094614596376118</v>
      </c>
    </row>
    <row r="3787" spans="13:15" x14ac:dyDescent="0.3">
      <c r="M3787" s="35">
        <v>27.87</v>
      </c>
      <c r="N3787">
        <v>305</v>
      </c>
      <c r="O3787" s="34">
        <f t="shared" si="60"/>
        <v>0.43106000227709373</v>
      </c>
    </row>
    <row r="3788" spans="13:15" x14ac:dyDescent="0.3">
      <c r="M3788" s="35">
        <v>27.87</v>
      </c>
      <c r="N3788">
        <v>305</v>
      </c>
      <c r="O3788" s="34">
        <f t="shared" si="60"/>
        <v>0.43117385859042628</v>
      </c>
    </row>
    <row r="3789" spans="13:15" x14ac:dyDescent="0.3">
      <c r="M3789" s="35">
        <v>27.87</v>
      </c>
      <c r="N3789">
        <v>305</v>
      </c>
      <c r="O3789" s="34">
        <f t="shared" si="60"/>
        <v>0.43128771490375883</v>
      </c>
    </row>
    <row r="3790" spans="13:15" x14ac:dyDescent="0.3">
      <c r="M3790" s="35">
        <v>27.87</v>
      </c>
      <c r="N3790">
        <v>305</v>
      </c>
      <c r="O3790" s="34">
        <f t="shared" si="60"/>
        <v>0.43140157121709138</v>
      </c>
    </row>
    <row r="3791" spans="13:15" x14ac:dyDescent="0.3">
      <c r="M3791" s="35">
        <v>27.88</v>
      </c>
      <c r="N3791">
        <v>305</v>
      </c>
      <c r="O3791" s="34">
        <f t="shared" si="60"/>
        <v>0.43151542753042393</v>
      </c>
    </row>
    <row r="3792" spans="13:15" x14ac:dyDescent="0.3">
      <c r="M3792" s="35">
        <v>27.88</v>
      </c>
      <c r="N3792">
        <v>305</v>
      </c>
      <c r="O3792" s="34">
        <f t="shared" si="60"/>
        <v>0.43162928384375648</v>
      </c>
    </row>
    <row r="3793" spans="13:15" x14ac:dyDescent="0.3">
      <c r="M3793" s="35">
        <v>27.88</v>
      </c>
      <c r="N3793">
        <v>305</v>
      </c>
      <c r="O3793" s="34">
        <f t="shared" si="60"/>
        <v>0.43174314015708903</v>
      </c>
    </row>
    <row r="3794" spans="13:15" x14ac:dyDescent="0.3">
      <c r="M3794" s="35">
        <v>27.89</v>
      </c>
      <c r="N3794">
        <v>305</v>
      </c>
      <c r="O3794" s="34">
        <f t="shared" si="60"/>
        <v>0.43185699647042158</v>
      </c>
    </row>
    <row r="3795" spans="13:15" x14ac:dyDescent="0.3">
      <c r="M3795" s="35">
        <v>27.89</v>
      </c>
      <c r="N3795">
        <v>305</v>
      </c>
      <c r="O3795" s="34">
        <f t="shared" si="60"/>
        <v>0.43197085278375413</v>
      </c>
    </row>
    <row r="3796" spans="13:15" x14ac:dyDescent="0.3">
      <c r="M3796" s="35">
        <v>27.9</v>
      </c>
      <c r="N3796">
        <v>305</v>
      </c>
      <c r="O3796" s="34">
        <f t="shared" si="60"/>
        <v>0.43208470909708668</v>
      </c>
    </row>
    <row r="3797" spans="13:15" x14ac:dyDescent="0.3">
      <c r="M3797" s="35">
        <v>27.9</v>
      </c>
      <c r="N3797">
        <v>305</v>
      </c>
      <c r="O3797" s="34">
        <f t="shared" si="60"/>
        <v>0.43219856541041923</v>
      </c>
    </row>
    <row r="3798" spans="13:15" x14ac:dyDescent="0.3">
      <c r="M3798" s="35">
        <v>27.91</v>
      </c>
      <c r="N3798">
        <v>305</v>
      </c>
      <c r="O3798" s="34">
        <f t="shared" si="60"/>
        <v>0.43231242172375178</v>
      </c>
    </row>
    <row r="3799" spans="13:15" x14ac:dyDescent="0.3">
      <c r="M3799" s="35">
        <v>27.92</v>
      </c>
      <c r="N3799">
        <v>305</v>
      </c>
      <c r="O3799" s="34">
        <f t="shared" si="60"/>
        <v>0.43242627803708433</v>
      </c>
    </row>
    <row r="3800" spans="13:15" x14ac:dyDescent="0.3">
      <c r="M3800" s="35">
        <v>27.93</v>
      </c>
      <c r="N3800">
        <v>305</v>
      </c>
      <c r="O3800" s="34">
        <f t="shared" si="60"/>
        <v>0.43254013435041688</v>
      </c>
    </row>
    <row r="3801" spans="13:15" x14ac:dyDescent="0.3">
      <c r="M3801" s="35">
        <v>27.94</v>
      </c>
      <c r="N3801">
        <v>305</v>
      </c>
      <c r="O3801" s="34">
        <f t="shared" si="60"/>
        <v>0.43265399066374943</v>
      </c>
    </row>
    <row r="3802" spans="13:15" x14ac:dyDescent="0.3">
      <c r="M3802" s="35">
        <v>27.94</v>
      </c>
      <c r="N3802">
        <v>305</v>
      </c>
      <c r="O3802" s="34">
        <f t="shared" si="60"/>
        <v>0.43276784697708198</v>
      </c>
    </row>
    <row r="3803" spans="13:15" x14ac:dyDescent="0.3">
      <c r="M3803" s="35">
        <v>27.94</v>
      </c>
      <c r="N3803">
        <v>305</v>
      </c>
      <c r="O3803" s="34">
        <f t="shared" si="60"/>
        <v>0.43288170329041453</v>
      </c>
    </row>
    <row r="3804" spans="13:15" x14ac:dyDescent="0.3">
      <c r="M3804" s="35">
        <v>27.94</v>
      </c>
      <c r="N3804">
        <v>305</v>
      </c>
      <c r="O3804" s="34">
        <f t="shared" si="60"/>
        <v>0.43299555960374708</v>
      </c>
    </row>
    <row r="3805" spans="13:15" x14ac:dyDescent="0.3">
      <c r="M3805" s="35">
        <v>27.95</v>
      </c>
      <c r="N3805">
        <v>305</v>
      </c>
      <c r="O3805" s="34">
        <f t="shared" si="60"/>
        <v>0.43310941591707963</v>
      </c>
    </row>
    <row r="3806" spans="13:15" x14ac:dyDescent="0.3">
      <c r="M3806" s="35">
        <v>27.95</v>
      </c>
      <c r="N3806">
        <v>305</v>
      </c>
      <c r="O3806" s="34">
        <f t="shared" si="60"/>
        <v>0.43322327223041218</v>
      </c>
    </row>
    <row r="3807" spans="13:15" x14ac:dyDescent="0.3">
      <c r="M3807" s="35">
        <v>27.97</v>
      </c>
      <c r="N3807">
        <v>305</v>
      </c>
      <c r="O3807" s="34">
        <f t="shared" si="60"/>
        <v>0.43333712854374473</v>
      </c>
    </row>
    <row r="3808" spans="13:15" x14ac:dyDescent="0.3">
      <c r="M3808" s="35">
        <v>27.97</v>
      </c>
      <c r="N3808">
        <v>305</v>
      </c>
      <c r="O3808" s="34">
        <f t="shared" si="60"/>
        <v>0.43345098485707728</v>
      </c>
    </row>
    <row r="3809" spans="13:15" x14ac:dyDescent="0.3">
      <c r="M3809" s="35">
        <v>27.97</v>
      </c>
      <c r="N3809">
        <v>305</v>
      </c>
      <c r="O3809" s="34">
        <f t="shared" si="60"/>
        <v>0.43356484117040983</v>
      </c>
    </row>
    <row r="3810" spans="13:15" x14ac:dyDescent="0.3">
      <c r="M3810" s="35">
        <v>27.97</v>
      </c>
      <c r="N3810">
        <v>305</v>
      </c>
      <c r="O3810" s="34">
        <f t="shared" si="60"/>
        <v>0.43367869748374238</v>
      </c>
    </row>
    <row r="3811" spans="13:15" x14ac:dyDescent="0.3">
      <c r="M3811" s="35">
        <v>27.97</v>
      </c>
      <c r="N3811">
        <v>305</v>
      </c>
      <c r="O3811" s="34">
        <f t="shared" si="60"/>
        <v>0.43379255379707493</v>
      </c>
    </row>
    <row r="3812" spans="13:15" x14ac:dyDescent="0.3">
      <c r="M3812" s="35">
        <v>27.97</v>
      </c>
      <c r="N3812">
        <v>305</v>
      </c>
      <c r="O3812" s="34">
        <f t="shared" si="60"/>
        <v>0.43390641011040748</v>
      </c>
    </row>
    <row r="3813" spans="13:15" x14ac:dyDescent="0.3">
      <c r="M3813" s="35">
        <v>27.97</v>
      </c>
      <c r="N3813">
        <v>305</v>
      </c>
      <c r="O3813" s="34">
        <f t="shared" si="60"/>
        <v>0.43402026642374003</v>
      </c>
    </row>
    <row r="3814" spans="13:15" x14ac:dyDescent="0.3">
      <c r="M3814" s="35">
        <v>27.98</v>
      </c>
      <c r="N3814">
        <v>305</v>
      </c>
      <c r="O3814" s="34">
        <f t="shared" si="60"/>
        <v>0.43413412273707258</v>
      </c>
    </row>
    <row r="3815" spans="13:15" x14ac:dyDescent="0.3">
      <c r="M3815" s="35">
        <v>27.99</v>
      </c>
      <c r="N3815">
        <v>305</v>
      </c>
      <c r="O3815" s="34">
        <f t="shared" si="60"/>
        <v>0.43424797905040513</v>
      </c>
    </row>
    <row r="3816" spans="13:15" x14ac:dyDescent="0.3">
      <c r="M3816" s="35">
        <v>28</v>
      </c>
      <c r="N3816">
        <v>305</v>
      </c>
      <c r="O3816" s="34">
        <f t="shared" si="60"/>
        <v>0.43436183536373768</v>
      </c>
    </row>
    <row r="3817" spans="13:15" x14ac:dyDescent="0.3">
      <c r="M3817" s="35">
        <v>28</v>
      </c>
      <c r="N3817">
        <v>305</v>
      </c>
      <c r="O3817" s="34">
        <f t="shared" si="60"/>
        <v>0.43447569167707023</v>
      </c>
    </row>
    <row r="3818" spans="13:15" x14ac:dyDescent="0.3">
      <c r="M3818" s="35">
        <v>28</v>
      </c>
      <c r="N3818">
        <v>305</v>
      </c>
      <c r="O3818" s="34">
        <f t="shared" si="60"/>
        <v>0.43458954799040278</v>
      </c>
    </row>
    <row r="3819" spans="13:15" x14ac:dyDescent="0.3">
      <c r="M3819" s="35">
        <v>28</v>
      </c>
      <c r="N3819">
        <v>305</v>
      </c>
      <c r="O3819" s="34">
        <f t="shared" si="60"/>
        <v>0.43470340430373533</v>
      </c>
    </row>
    <row r="3820" spans="13:15" x14ac:dyDescent="0.3">
      <c r="M3820" s="35">
        <v>28</v>
      </c>
      <c r="N3820">
        <v>305</v>
      </c>
      <c r="O3820" s="34">
        <f t="shared" si="60"/>
        <v>0.43481726061706788</v>
      </c>
    </row>
    <row r="3821" spans="13:15" x14ac:dyDescent="0.3">
      <c r="M3821" s="35">
        <v>28</v>
      </c>
      <c r="N3821">
        <v>305</v>
      </c>
      <c r="O3821" s="34">
        <f t="shared" si="60"/>
        <v>0.43493111693040043</v>
      </c>
    </row>
    <row r="3822" spans="13:15" x14ac:dyDescent="0.3">
      <c r="M3822" s="35">
        <v>28.01</v>
      </c>
      <c r="N3822">
        <v>305</v>
      </c>
      <c r="O3822" s="34">
        <f t="shared" si="60"/>
        <v>0.43504497324373298</v>
      </c>
    </row>
    <row r="3823" spans="13:15" x14ac:dyDescent="0.3">
      <c r="M3823" s="35">
        <v>28.02</v>
      </c>
      <c r="N3823">
        <v>305</v>
      </c>
      <c r="O3823" s="34">
        <f t="shared" si="60"/>
        <v>0.43515882955706553</v>
      </c>
    </row>
    <row r="3824" spans="13:15" x14ac:dyDescent="0.3">
      <c r="M3824" s="35">
        <v>28.02</v>
      </c>
      <c r="N3824">
        <v>305</v>
      </c>
      <c r="O3824" s="34">
        <f t="shared" si="60"/>
        <v>0.43527268587039808</v>
      </c>
    </row>
    <row r="3825" spans="13:15" x14ac:dyDescent="0.3">
      <c r="M3825" s="35">
        <v>28.02</v>
      </c>
      <c r="N3825">
        <v>305</v>
      </c>
      <c r="O3825" s="34">
        <f t="shared" si="60"/>
        <v>0.43538654218373063</v>
      </c>
    </row>
    <row r="3826" spans="13:15" x14ac:dyDescent="0.3">
      <c r="M3826" s="35">
        <v>28.02</v>
      </c>
      <c r="N3826">
        <v>305</v>
      </c>
      <c r="O3826" s="34">
        <f t="shared" si="60"/>
        <v>0.43550039849706318</v>
      </c>
    </row>
    <row r="3827" spans="13:15" x14ac:dyDescent="0.3">
      <c r="M3827" s="35">
        <v>28.03</v>
      </c>
      <c r="N3827">
        <v>305</v>
      </c>
      <c r="O3827" s="34">
        <f t="shared" si="60"/>
        <v>0.43561425481039573</v>
      </c>
    </row>
    <row r="3828" spans="13:15" x14ac:dyDescent="0.3">
      <c r="M3828" s="35">
        <v>28.04</v>
      </c>
      <c r="N3828">
        <v>305</v>
      </c>
      <c r="O3828" s="34">
        <f t="shared" si="60"/>
        <v>0.43572811112372828</v>
      </c>
    </row>
    <row r="3829" spans="13:15" x14ac:dyDescent="0.3">
      <c r="M3829" s="35">
        <v>28.05</v>
      </c>
      <c r="N3829">
        <v>305</v>
      </c>
      <c r="O3829" s="34">
        <f t="shared" si="60"/>
        <v>0.43584196743706083</v>
      </c>
    </row>
    <row r="3830" spans="13:15" x14ac:dyDescent="0.3">
      <c r="M3830" s="35">
        <v>28.05</v>
      </c>
      <c r="N3830">
        <v>305</v>
      </c>
      <c r="O3830" s="34">
        <f t="shared" si="60"/>
        <v>0.43595582375039338</v>
      </c>
    </row>
    <row r="3831" spans="13:15" x14ac:dyDescent="0.3">
      <c r="M3831" s="35">
        <v>28.05</v>
      </c>
      <c r="N3831">
        <v>305</v>
      </c>
      <c r="O3831" s="34">
        <f t="shared" si="60"/>
        <v>0.43606968006372593</v>
      </c>
    </row>
    <row r="3832" spans="13:15" x14ac:dyDescent="0.3">
      <c r="M3832" s="35">
        <v>28.06</v>
      </c>
      <c r="N3832">
        <v>305</v>
      </c>
      <c r="O3832" s="34">
        <f t="shared" si="60"/>
        <v>0.43618353637705848</v>
      </c>
    </row>
    <row r="3833" spans="13:15" x14ac:dyDescent="0.3">
      <c r="M3833" s="35">
        <v>28.07</v>
      </c>
      <c r="N3833">
        <v>305</v>
      </c>
      <c r="O3833" s="34">
        <f t="shared" si="60"/>
        <v>0.43629739269039103</v>
      </c>
    </row>
    <row r="3834" spans="13:15" x14ac:dyDescent="0.3">
      <c r="M3834" s="35">
        <v>28.07</v>
      </c>
      <c r="N3834">
        <v>305</v>
      </c>
      <c r="O3834" s="34">
        <f t="shared" si="60"/>
        <v>0.43641124900372358</v>
      </c>
    </row>
    <row r="3835" spans="13:15" x14ac:dyDescent="0.3">
      <c r="M3835" s="35">
        <v>28.07</v>
      </c>
      <c r="N3835">
        <v>305</v>
      </c>
      <c r="O3835" s="34">
        <f t="shared" si="60"/>
        <v>0.43652510531705613</v>
      </c>
    </row>
    <row r="3836" spans="13:15" x14ac:dyDescent="0.3">
      <c r="M3836" s="35">
        <v>28.08</v>
      </c>
      <c r="N3836">
        <v>305</v>
      </c>
      <c r="O3836" s="34">
        <f t="shared" si="60"/>
        <v>0.43663896163038868</v>
      </c>
    </row>
    <row r="3837" spans="13:15" x14ac:dyDescent="0.3">
      <c r="M3837" s="35">
        <v>28.08</v>
      </c>
      <c r="N3837">
        <v>305</v>
      </c>
      <c r="O3837" s="34">
        <f t="shared" si="60"/>
        <v>0.43675281794372123</v>
      </c>
    </row>
    <row r="3838" spans="13:15" x14ac:dyDescent="0.3">
      <c r="M3838" s="35">
        <v>28.08</v>
      </c>
      <c r="N3838">
        <v>305</v>
      </c>
      <c r="O3838" s="34">
        <f t="shared" si="60"/>
        <v>0.43686667425705378</v>
      </c>
    </row>
    <row r="3839" spans="13:15" x14ac:dyDescent="0.3">
      <c r="M3839" s="35">
        <v>28.09</v>
      </c>
      <c r="N3839">
        <v>305</v>
      </c>
      <c r="O3839" s="34">
        <f t="shared" si="60"/>
        <v>0.43698053057038633</v>
      </c>
    </row>
    <row r="3840" spans="13:15" x14ac:dyDescent="0.3">
      <c r="M3840" s="35">
        <v>28.09</v>
      </c>
      <c r="N3840">
        <v>305</v>
      </c>
      <c r="O3840" s="34">
        <f t="shared" si="60"/>
        <v>0.43709438688371888</v>
      </c>
    </row>
    <row r="3841" spans="13:15" x14ac:dyDescent="0.3">
      <c r="M3841" s="35">
        <v>28.09</v>
      </c>
      <c r="N3841">
        <v>305</v>
      </c>
      <c r="O3841" s="34">
        <f t="shared" si="60"/>
        <v>0.43720824319705143</v>
      </c>
    </row>
    <row r="3842" spans="13:15" x14ac:dyDescent="0.3">
      <c r="M3842" s="35">
        <v>28.09</v>
      </c>
      <c r="N3842">
        <v>305</v>
      </c>
      <c r="O3842" s="34">
        <f t="shared" si="60"/>
        <v>0.43732209951038398</v>
      </c>
    </row>
    <row r="3843" spans="13:15" x14ac:dyDescent="0.3">
      <c r="M3843" s="35">
        <v>28.09</v>
      </c>
      <c r="N3843">
        <v>305</v>
      </c>
      <c r="O3843" s="34">
        <f t="shared" si="60"/>
        <v>0.43743595582371653</v>
      </c>
    </row>
    <row r="3844" spans="13:15" x14ac:dyDescent="0.3">
      <c r="M3844" s="35">
        <v>28.09</v>
      </c>
      <c r="N3844">
        <v>305</v>
      </c>
      <c r="O3844" s="34">
        <f t="shared" ref="O3844:O3907" si="61">O3843+O$2</f>
        <v>0.43754981213704908</v>
      </c>
    </row>
    <row r="3845" spans="13:15" x14ac:dyDescent="0.3">
      <c r="M3845" s="35">
        <v>28.1</v>
      </c>
      <c r="N3845">
        <v>305</v>
      </c>
      <c r="O3845" s="34">
        <f t="shared" si="61"/>
        <v>0.43766366845038163</v>
      </c>
    </row>
    <row r="3846" spans="13:15" x14ac:dyDescent="0.3">
      <c r="M3846" s="35">
        <v>28.1</v>
      </c>
      <c r="N3846">
        <v>305</v>
      </c>
      <c r="O3846" s="34">
        <f t="shared" si="61"/>
        <v>0.43777752476371418</v>
      </c>
    </row>
    <row r="3847" spans="13:15" x14ac:dyDescent="0.3">
      <c r="M3847" s="35">
        <v>28.11</v>
      </c>
      <c r="N3847">
        <v>305</v>
      </c>
      <c r="O3847" s="34">
        <f t="shared" si="61"/>
        <v>0.43789138107704673</v>
      </c>
    </row>
    <row r="3848" spans="13:15" x14ac:dyDescent="0.3">
      <c r="M3848" s="35">
        <v>28.12</v>
      </c>
      <c r="N3848">
        <v>305</v>
      </c>
      <c r="O3848" s="34">
        <f t="shared" si="61"/>
        <v>0.43800523739037928</v>
      </c>
    </row>
    <row r="3849" spans="13:15" x14ac:dyDescent="0.3">
      <c r="M3849" s="35">
        <v>28.12</v>
      </c>
      <c r="N3849">
        <v>305</v>
      </c>
      <c r="O3849" s="34">
        <f t="shared" si="61"/>
        <v>0.43811909370371183</v>
      </c>
    </row>
    <row r="3850" spans="13:15" x14ac:dyDescent="0.3">
      <c r="M3850" s="35">
        <v>28.13</v>
      </c>
      <c r="N3850">
        <v>305</v>
      </c>
      <c r="O3850" s="34">
        <f t="shared" si="61"/>
        <v>0.43823295001704438</v>
      </c>
    </row>
    <row r="3851" spans="13:15" x14ac:dyDescent="0.3">
      <c r="M3851" s="35">
        <v>28.13</v>
      </c>
      <c r="N3851">
        <v>305</v>
      </c>
      <c r="O3851" s="34">
        <f t="shared" si="61"/>
        <v>0.43834680633037693</v>
      </c>
    </row>
    <row r="3852" spans="13:15" x14ac:dyDescent="0.3">
      <c r="M3852" s="35">
        <v>28.14</v>
      </c>
      <c r="N3852">
        <v>305</v>
      </c>
      <c r="O3852" s="34">
        <f t="shared" si="61"/>
        <v>0.43846066264370948</v>
      </c>
    </row>
    <row r="3853" spans="13:15" x14ac:dyDescent="0.3">
      <c r="M3853" s="35">
        <v>28.14</v>
      </c>
      <c r="N3853">
        <v>305</v>
      </c>
      <c r="O3853" s="34">
        <f t="shared" si="61"/>
        <v>0.43857451895704203</v>
      </c>
    </row>
    <row r="3854" spans="13:15" x14ac:dyDescent="0.3">
      <c r="M3854" s="35">
        <v>28.14</v>
      </c>
      <c r="N3854">
        <v>305</v>
      </c>
      <c r="O3854" s="34">
        <f t="shared" si="61"/>
        <v>0.43868837527037458</v>
      </c>
    </row>
    <row r="3855" spans="13:15" x14ac:dyDescent="0.3">
      <c r="M3855" s="35">
        <v>28.14</v>
      </c>
      <c r="N3855">
        <v>305</v>
      </c>
      <c r="O3855" s="34">
        <f t="shared" si="61"/>
        <v>0.43880223158370713</v>
      </c>
    </row>
    <row r="3856" spans="13:15" x14ac:dyDescent="0.3">
      <c r="M3856" s="35">
        <v>28.14</v>
      </c>
      <c r="N3856">
        <v>305</v>
      </c>
      <c r="O3856" s="34">
        <f t="shared" si="61"/>
        <v>0.43891608789703968</v>
      </c>
    </row>
    <row r="3857" spans="13:15" x14ac:dyDescent="0.3">
      <c r="M3857" s="35">
        <v>28.14</v>
      </c>
      <c r="N3857">
        <v>305</v>
      </c>
      <c r="O3857" s="34">
        <f t="shared" si="61"/>
        <v>0.43902994421037222</v>
      </c>
    </row>
    <row r="3858" spans="13:15" x14ac:dyDescent="0.3">
      <c r="M3858" s="35">
        <v>28.14</v>
      </c>
      <c r="N3858">
        <v>305</v>
      </c>
      <c r="O3858" s="34">
        <f t="shared" si="61"/>
        <v>0.43914380052370477</v>
      </c>
    </row>
    <row r="3859" spans="13:15" x14ac:dyDescent="0.3">
      <c r="M3859" s="35">
        <v>28.14</v>
      </c>
      <c r="N3859">
        <v>305</v>
      </c>
      <c r="O3859" s="34">
        <f t="shared" si="61"/>
        <v>0.43925765683703732</v>
      </c>
    </row>
    <row r="3860" spans="13:15" x14ac:dyDescent="0.3">
      <c r="M3860" s="35">
        <v>28.15</v>
      </c>
      <c r="N3860">
        <v>305</v>
      </c>
      <c r="O3860" s="34">
        <f t="shared" si="61"/>
        <v>0.43937151315036987</v>
      </c>
    </row>
    <row r="3861" spans="13:15" x14ac:dyDescent="0.3">
      <c r="M3861" s="35">
        <v>28.15</v>
      </c>
      <c r="N3861">
        <v>305</v>
      </c>
      <c r="O3861" s="34">
        <f t="shared" si="61"/>
        <v>0.43948536946370242</v>
      </c>
    </row>
    <row r="3862" spans="13:15" x14ac:dyDescent="0.3">
      <c r="M3862" s="35">
        <v>28.17</v>
      </c>
      <c r="N3862">
        <v>305</v>
      </c>
      <c r="O3862" s="34">
        <f t="shared" si="61"/>
        <v>0.43959922577703497</v>
      </c>
    </row>
    <row r="3863" spans="13:15" x14ac:dyDescent="0.3">
      <c r="M3863" s="35">
        <v>28.17</v>
      </c>
      <c r="N3863">
        <v>305</v>
      </c>
      <c r="O3863" s="34">
        <f t="shared" si="61"/>
        <v>0.43971308209036752</v>
      </c>
    </row>
    <row r="3864" spans="13:15" x14ac:dyDescent="0.3">
      <c r="M3864" s="35">
        <v>28.17</v>
      </c>
      <c r="N3864">
        <v>305</v>
      </c>
      <c r="O3864" s="34">
        <f t="shared" si="61"/>
        <v>0.43982693840370007</v>
      </c>
    </row>
    <row r="3865" spans="13:15" x14ac:dyDescent="0.3">
      <c r="M3865" s="35">
        <v>28.17</v>
      </c>
      <c r="N3865">
        <v>305</v>
      </c>
      <c r="O3865" s="34">
        <f t="shared" si="61"/>
        <v>0.43994079471703262</v>
      </c>
    </row>
    <row r="3866" spans="13:15" x14ac:dyDescent="0.3">
      <c r="M3866" s="35">
        <v>28.17</v>
      </c>
      <c r="N3866">
        <v>305</v>
      </c>
      <c r="O3866" s="34">
        <f t="shared" si="61"/>
        <v>0.44005465103036517</v>
      </c>
    </row>
    <row r="3867" spans="13:15" x14ac:dyDescent="0.3">
      <c r="M3867" s="35">
        <v>28.17</v>
      </c>
      <c r="N3867">
        <v>305</v>
      </c>
      <c r="O3867" s="34">
        <f t="shared" si="61"/>
        <v>0.44016850734369772</v>
      </c>
    </row>
    <row r="3868" spans="13:15" x14ac:dyDescent="0.3">
      <c r="M3868" s="35">
        <v>28.18</v>
      </c>
      <c r="N3868">
        <v>305</v>
      </c>
      <c r="O3868" s="34">
        <f t="shared" si="61"/>
        <v>0.44028236365703027</v>
      </c>
    </row>
    <row r="3869" spans="13:15" x14ac:dyDescent="0.3">
      <c r="M3869" s="35">
        <v>28.18</v>
      </c>
      <c r="N3869">
        <v>305</v>
      </c>
      <c r="O3869" s="34">
        <f t="shared" si="61"/>
        <v>0.44039621997036282</v>
      </c>
    </row>
    <row r="3870" spans="13:15" x14ac:dyDescent="0.3">
      <c r="M3870" s="35">
        <v>28.18</v>
      </c>
      <c r="N3870">
        <v>305</v>
      </c>
      <c r="O3870" s="34">
        <f t="shared" si="61"/>
        <v>0.44051007628369537</v>
      </c>
    </row>
    <row r="3871" spans="13:15" x14ac:dyDescent="0.3">
      <c r="M3871" s="35">
        <v>28.18</v>
      </c>
      <c r="N3871">
        <v>305</v>
      </c>
      <c r="O3871" s="34">
        <f t="shared" si="61"/>
        <v>0.44062393259702792</v>
      </c>
    </row>
    <row r="3872" spans="13:15" x14ac:dyDescent="0.3">
      <c r="M3872" s="35">
        <v>28.19</v>
      </c>
      <c r="N3872">
        <v>305</v>
      </c>
      <c r="O3872" s="34">
        <f t="shared" si="61"/>
        <v>0.44073778891036047</v>
      </c>
    </row>
    <row r="3873" spans="13:15" x14ac:dyDescent="0.3">
      <c r="M3873" s="35">
        <v>28.19</v>
      </c>
      <c r="N3873">
        <v>305</v>
      </c>
      <c r="O3873" s="34">
        <f t="shared" si="61"/>
        <v>0.44085164522369302</v>
      </c>
    </row>
    <row r="3874" spans="13:15" x14ac:dyDescent="0.3">
      <c r="M3874" s="35">
        <v>28.19</v>
      </c>
      <c r="N3874">
        <v>305</v>
      </c>
      <c r="O3874" s="34">
        <f t="shared" si="61"/>
        <v>0.44096550153702557</v>
      </c>
    </row>
    <row r="3875" spans="13:15" x14ac:dyDescent="0.3">
      <c r="M3875" s="35">
        <v>28.19</v>
      </c>
      <c r="N3875">
        <v>305</v>
      </c>
      <c r="O3875" s="34">
        <f t="shared" si="61"/>
        <v>0.44107935785035812</v>
      </c>
    </row>
    <row r="3876" spans="13:15" x14ac:dyDescent="0.3">
      <c r="M3876" s="35">
        <v>28.2</v>
      </c>
      <c r="N3876">
        <v>305</v>
      </c>
      <c r="O3876" s="34">
        <f t="shared" si="61"/>
        <v>0.44119321416369067</v>
      </c>
    </row>
    <row r="3877" spans="13:15" x14ac:dyDescent="0.3">
      <c r="M3877" s="35">
        <v>28.21</v>
      </c>
      <c r="N3877">
        <v>305</v>
      </c>
      <c r="O3877" s="34">
        <f t="shared" si="61"/>
        <v>0.44130707047702322</v>
      </c>
    </row>
    <row r="3878" spans="13:15" x14ac:dyDescent="0.3">
      <c r="M3878" s="35">
        <v>28.21</v>
      </c>
      <c r="N3878">
        <v>305</v>
      </c>
      <c r="O3878" s="34">
        <f t="shared" si="61"/>
        <v>0.44142092679035577</v>
      </c>
    </row>
    <row r="3879" spans="13:15" x14ac:dyDescent="0.3">
      <c r="M3879" s="35">
        <v>28.21</v>
      </c>
      <c r="N3879">
        <v>305</v>
      </c>
      <c r="O3879" s="34">
        <f t="shared" si="61"/>
        <v>0.44153478310368832</v>
      </c>
    </row>
    <row r="3880" spans="13:15" x14ac:dyDescent="0.3">
      <c r="M3880" s="35">
        <v>28.21</v>
      </c>
      <c r="N3880">
        <v>305</v>
      </c>
      <c r="O3880" s="34">
        <f t="shared" si="61"/>
        <v>0.44164863941702087</v>
      </c>
    </row>
    <row r="3881" spans="13:15" x14ac:dyDescent="0.3">
      <c r="M3881" s="35">
        <v>28.21</v>
      </c>
      <c r="N3881">
        <v>305</v>
      </c>
      <c r="O3881" s="34">
        <f t="shared" si="61"/>
        <v>0.44176249573035342</v>
      </c>
    </row>
    <row r="3882" spans="13:15" x14ac:dyDescent="0.3">
      <c r="M3882" s="35">
        <v>28.21</v>
      </c>
      <c r="N3882">
        <v>305</v>
      </c>
      <c r="O3882" s="34">
        <f t="shared" si="61"/>
        <v>0.44187635204368597</v>
      </c>
    </row>
    <row r="3883" spans="13:15" x14ac:dyDescent="0.3">
      <c r="M3883" s="35">
        <v>28.22</v>
      </c>
      <c r="N3883">
        <v>305</v>
      </c>
      <c r="O3883" s="34">
        <f t="shared" si="61"/>
        <v>0.44199020835701852</v>
      </c>
    </row>
    <row r="3884" spans="13:15" x14ac:dyDescent="0.3">
      <c r="M3884" s="35">
        <v>28.22</v>
      </c>
      <c r="N3884">
        <v>305</v>
      </c>
      <c r="O3884" s="34">
        <f t="shared" si="61"/>
        <v>0.44210406467035107</v>
      </c>
    </row>
    <row r="3885" spans="13:15" x14ac:dyDescent="0.3">
      <c r="M3885" s="35">
        <v>28.22</v>
      </c>
      <c r="N3885">
        <v>305</v>
      </c>
      <c r="O3885" s="34">
        <f t="shared" si="61"/>
        <v>0.44221792098368362</v>
      </c>
    </row>
    <row r="3886" spans="13:15" x14ac:dyDescent="0.3">
      <c r="M3886" s="35">
        <v>28.22</v>
      </c>
      <c r="N3886">
        <v>305</v>
      </c>
      <c r="O3886" s="34">
        <f t="shared" si="61"/>
        <v>0.44233177729701617</v>
      </c>
    </row>
    <row r="3887" spans="13:15" x14ac:dyDescent="0.3">
      <c r="M3887" s="35">
        <v>28.23</v>
      </c>
      <c r="N3887">
        <v>305</v>
      </c>
      <c r="O3887" s="34">
        <f t="shared" si="61"/>
        <v>0.44244563361034872</v>
      </c>
    </row>
    <row r="3888" spans="13:15" x14ac:dyDescent="0.3">
      <c r="M3888" s="35">
        <v>28.24</v>
      </c>
      <c r="N3888">
        <v>305</v>
      </c>
      <c r="O3888" s="34">
        <f t="shared" si="61"/>
        <v>0.44255948992368127</v>
      </c>
    </row>
    <row r="3889" spans="13:15" x14ac:dyDescent="0.3">
      <c r="M3889" s="35">
        <v>28.24</v>
      </c>
      <c r="N3889">
        <v>305</v>
      </c>
      <c r="O3889" s="34">
        <f t="shared" si="61"/>
        <v>0.44267334623701382</v>
      </c>
    </row>
    <row r="3890" spans="13:15" x14ac:dyDescent="0.3">
      <c r="M3890" s="35">
        <v>28.25</v>
      </c>
      <c r="N3890">
        <v>305</v>
      </c>
      <c r="O3890" s="34">
        <f t="shared" si="61"/>
        <v>0.44278720255034637</v>
      </c>
    </row>
    <row r="3891" spans="13:15" x14ac:dyDescent="0.3">
      <c r="M3891" s="35">
        <v>28.25</v>
      </c>
      <c r="N3891">
        <v>305</v>
      </c>
      <c r="O3891" s="34">
        <f t="shared" si="61"/>
        <v>0.44290105886367892</v>
      </c>
    </row>
    <row r="3892" spans="13:15" x14ac:dyDescent="0.3">
      <c r="M3892" s="35">
        <v>28.25</v>
      </c>
      <c r="N3892">
        <v>305</v>
      </c>
      <c r="O3892" s="34">
        <f t="shared" si="61"/>
        <v>0.44301491517701147</v>
      </c>
    </row>
    <row r="3893" spans="13:15" x14ac:dyDescent="0.3">
      <c r="M3893" s="35">
        <v>28.25</v>
      </c>
      <c r="N3893">
        <v>305</v>
      </c>
      <c r="O3893" s="34">
        <f t="shared" si="61"/>
        <v>0.44312877149034402</v>
      </c>
    </row>
    <row r="3894" spans="13:15" x14ac:dyDescent="0.3">
      <c r="M3894" s="35">
        <v>28.26</v>
      </c>
      <c r="N3894">
        <v>305</v>
      </c>
      <c r="O3894" s="34">
        <f t="shared" si="61"/>
        <v>0.44324262780367657</v>
      </c>
    </row>
    <row r="3895" spans="13:15" x14ac:dyDescent="0.3">
      <c r="M3895" s="35">
        <v>28.26</v>
      </c>
      <c r="N3895">
        <v>305</v>
      </c>
      <c r="O3895" s="34">
        <f t="shared" si="61"/>
        <v>0.44335648411700912</v>
      </c>
    </row>
    <row r="3896" spans="13:15" x14ac:dyDescent="0.3">
      <c r="M3896" s="35">
        <v>28.26</v>
      </c>
      <c r="N3896">
        <v>305</v>
      </c>
      <c r="O3896" s="34">
        <f t="shared" si="61"/>
        <v>0.44347034043034167</v>
      </c>
    </row>
    <row r="3897" spans="13:15" x14ac:dyDescent="0.3">
      <c r="M3897" s="35">
        <v>28.26</v>
      </c>
      <c r="N3897">
        <v>305</v>
      </c>
      <c r="O3897" s="34">
        <f t="shared" si="61"/>
        <v>0.44358419674367422</v>
      </c>
    </row>
    <row r="3898" spans="13:15" x14ac:dyDescent="0.3">
      <c r="M3898" s="35">
        <v>28.27</v>
      </c>
      <c r="N3898">
        <v>305</v>
      </c>
      <c r="O3898" s="34">
        <f t="shared" si="61"/>
        <v>0.44369805305700677</v>
      </c>
    </row>
    <row r="3899" spans="13:15" x14ac:dyDescent="0.3">
      <c r="M3899" s="35">
        <v>28.27</v>
      </c>
      <c r="N3899">
        <v>305</v>
      </c>
      <c r="O3899" s="34">
        <f t="shared" si="61"/>
        <v>0.44381190937033932</v>
      </c>
    </row>
    <row r="3900" spans="13:15" x14ac:dyDescent="0.3">
      <c r="M3900" s="35">
        <v>28.28</v>
      </c>
      <c r="N3900">
        <v>305</v>
      </c>
      <c r="O3900" s="34">
        <f t="shared" si="61"/>
        <v>0.44392576568367187</v>
      </c>
    </row>
    <row r="3901" spans="13:15" x14ac:dyDescent="0.3">
      <c r="M3901" s="35">
        <v>28.28</v>
      </c>
      <c r="N3901">
        <v>305</v>
      </c>
      <c r="O3901" s="34">
        <f t="shared" si="61"/>
        <v>0.44403962199700442</v>
      </c>
    </row>
    <row r="3902" spans="13:15" x14ac:dyDescent="0.3">
      <c r="M3902" s="35">
        <v>28.28</v>
      </c>
      <c r="N3902">
        <v>305</v>
      </c>
      <c r="O3902" s="34">
        <f t="shared" si="61"/>
        <v>0.44415347831033697</v>
      </c>
    </row>
    <row r="3903" spans="13:15" x14ac:dyDescent="0.3">
      <c r="M3903" s="35">
        <v>28.28</v>
      </c>
      <c r="N3903">
        <v>305</v>
      </c>
      <c r="O3903" s="34">
        <f t="shared" si="61"/>
        <v>0.44426733462366952</v>
      </c>
    </row>
    <row r="3904" spans="13:15" x14ac:dyDescent="0.3">
      <c r="M3904" s="35">
        <v>28.29</v>
      </c>
      <c r="N3904">
        <v>305</v>
      </c>
      <c r="O3904" s="34">
        <f t="shared" si="61"/>
        <v>0.44438119093700207</v>
      </c>
    </row>
    <row r="3905" spans="13:15" x14ac:dyDescent="0.3">
      <c r="M3905" s="35">
        <v>28.29</v>
      </c>
      <c r="N3905">
        <v>305</v>
      </c>
      <c r="O3905" s="34">
        <f t="shared" si="61"/>
        <v>0.44449504725033462</v>
      </c>
    </row>
    <row r="3906" spans="13:15" x14ac:dyDescent="0.3">
      <c r="M3906" s="35">
        <v>28.3</v>
      </c>
      <c r="N3906">
        <v>305</v>
      </c>
      <c r="O3906" s="34">
        <f t="shared" si="61"/>
        <v>0.44460890356366717</v>
      </c>
    </row>
    <row r="3907" spans="13:15" x14ac:dyDescent="0.3">
      <c r="M3907" s="35">
        <v>28.3</v>
      </c>
      <c r="N3907">
        <v>305</v>
      </c>
      <c r="O3907" s="34">
        <f t="shared" si="61"/>
        <v>0.44472275987699972</v>
      </c>
    </row>
    <row r="3908" spans="13:15" x14ac:dyDescent="0.3">
      <c r="M3908" s="35">
        <v>28.3</v>
      </c>
      <c r="N3908">
        <v>305</v>
      </c>
      <c r="O3908" s="34">
        <f t="shared" ref="O3908:O3971" si="62">O3907+O$2</f>
        <v>0.44483661619033227</v>
      </c>
    </row>
    <row r="3909" spans="13:15" x14ac:dyDescent="0.3">
      <c r="M3909" s="35">
        <v>28.31</v>
      </c>
      <c r="N3909">
        <v>305</v>
      </c>
      <c r="O3909" s="34">
        <f t="shared" si="62"/>
        <v>0.44495047250366482</v>
      </c>
    </row>
    <row r="3910" spans="13:15" x14ac:dyDescent="0.3">
      <c r="M3910" s="35">
        <v>28.31</v>
      </c>
      <c r="N3910">
        <v>305</v>
      </c>
      <c r="O3910" s="34">
        <f t="shared" si="62"/>
        <v>0.44506432881699737</v>
      </c>
    </row>
    <row r="3911" spans="13:15" x14ac:dyDescent="0.3">
      <c r="M3911" s="35">
        <v>28.32</v>
      </c>
      <c r="N3911">
        <v>305</v>
      </c>
      <c r="O3911" s="34">
        <f t="shared" si="62"/>
        <v>0.44517818513032992</v>
      </c>
    </row>
    <row r="3912" spans="13:15" x14ac:dyDescent="0.3">
      <c r="M3912" s="35">
        <v>28.32</v>
      </c>
      <c r="N3912">
        <v>305</v>
      </c>
      <c r="O3912" s="34">
        <f t="shared" si="62"/>
        <v>0.44529204144366247</v>
      </c>
    </row>
    <row r="3913" spans="13:15" x14ac:dyDescent="0.3">
      <c r="M3913" s="35">
        <v>28.32</v>
      </c>
      <c r="N3913">
        <v>305</v>
      </c>
      <c r="O3913" s="34">
        <f t="shared" si="62"/>
        <v>0.44540589775699502</v>
      </c>
    </row>
    <row r="3914" spans="13:15" x14ac:dyDescent="0.3">
      <c r="M3914" s="35">
        <v>28.33</v>
      </c>
      <c r="N3914">
        <v>305</v>
      </c>
      <c r="O3914" s="34">
        <f t="shared" si="62"/>
        <v>0.44551975407032757</v>
      </c>
    </row>
    <row r="3915" spans="13:15" x14ac:dyDescent="0.3">
      <c r="M3915" s="35">
        <v>28.33</v>
      </c>
      <c r="N3915">
        <v>305</v>
      </c>
      <c r="O3915" s="34">
        <f t="shared" si="62"/>
        <v>0.44563361038366012</v>
      </c>
    </row>
    <row r="3916" spans="13:15" x14ac:dyDescent="0.3">
      <c r="M3916" s="35">
        <v>28.36</v>
      </c>
      <c r="N3916">
        <v>305</v>
      </c>
      <c r="O3916" s="34">
        <f t="shared" si="62"/>
        <v>0.44574746669699267</v>
      </c>
    </row>
    <row r="3917" spans="13:15" x14ac:dyDescent="0.3">
      <c r="M3917" s="35">
        <v>28.37</v>
      </c>
      <c r="N3917">
        <v>305</v>
      </c>
      <c r="O3917" s="34">
        <f t="shared" si="62"/>
        <v>0.44586132301032522</v>
      </c>
    </row>
    <row r="3918" spans="13:15" x14ac:dyDescent="0.3">
      <c r="M3918" s="35">
        <v>28.37</v>
      </c>
      <c r="N3918">
        <v>305</v>
      </c>
      <c r="O3918" s="34">
        <f t="shared" si="62"/>
        <v>0.44597517932365777</v>
      </c>
    </row>
    <row r="3919" spans="13:15" x14ac:dyDescent="0.3">
      <c r="M3919" s="35">
        <v>28.37</v>
      </c>
      <c r="N3919">
        <v>305</v>
      </c>
      <c r="O3919" s="34">
        <f t="shared" si="62"/>
        <v>0.44608903563699032</v>
      </c>
    </row>
    <row r="3920" spans="13:15" x14ac:dyDescent="0.3">
      <c r="M3920" s="35">
        <v>28.37</v>
      </c>
      <c r="N3920">
        <v>305</v>
      </c>
      <c r="O3920" s="34">
        <f t="shared" si="62"/>
        <v>0.44620289195032287</v>
      </c>
    </row>
    <row r="3921" spans="13:15" x14ac:dyDescent="0.3">
      <c r="M3921" s="35">
        <v>28.38</v>
      </c>
      <c r="N3921">
        <v>305</v>
      </c>
      <c r="O3921" s="34">
        <f t="shared" si="62"/>
        <v>0.44631674826365542</v>
      </c>
    </row>
    <row r="3922" spans="13:15" x14ac:dyDescent="0.3">
      <c r="M3922" s="35">
        <v>28.38</v>
      </c>
      <c r="N3922">
        <v>305</v>
      </c>
      <c r="O3922" s="34">
        <f t="shared" si="62"/>
        <v>0.44643060457698797</v>
      </c>
    </row>
    <row r="3923" spans="13:15" x14ac:dyDescent="0.3">
      <c r="M3923" s="35">
        <v>28.39</v>
      </c>
      <c r="N3923">
        <v>305</v>
      </c>
      <c r="O3923" s="34">
        <f t="shared" si="62"/>
        <v>0.44654446089032052</v>
      </c>
    </row>
    <row r="3924" spans="13:15" x14ac:dyDescent="0.3">
      <c r="M3924" s="35">
        <v>28.39</v>
      </c>
      <c r="N3924">
        <v>305</v>
      </c>
      <c r="O3924" s="34">
        <f t="shared" si="62"/>
        <v>0.44665831720365307</v>
      </c>
    </row>
    <row r="3925" spans="13:15" x14ac:dyDescent="0.3">
      <c r="M3925" s="35">
        <v>28.39</v>
      </c>
      <c r="N3925">
        <v>305</v>
      </c>
      <c r="O3925" s="34">
        <f t="shared" si="62"/>
        <v>0.44677217351698562</v>
      </c>
    </row>
    <row r="3926" spans="13:15" x14ac:dyDescent="0.3">
      <c r="M3926" s="35">
        <v>28.39</v>
      </c>
      <c r="N3926">
        <v>305</v>
      </c>
      <c r="O3926" s="34">
        <f t="shared" si="62"/>
        <v>0.44688602983031817</v>
      </c>
    </row>
    <row r="3927" spans="13:15" x14ac:dyDescent="0.3">
      <c r="M3927" s="35">
        <v>28.4</v>
      </c>
      <c r="N3927">
        <v>305</v>
      </c>
      <c r="O3927" s="34">
        <f t="shared" si="62"/>
        <v>0.44699988614365072</v>
      </c>
    </row>
    <row r="3928" spans="13:15" x14ac:dyDescent="0.3">
      <c r="M3928" s="35">
        <v>28.4</v>
      </c>
      <c r="N3928">
        <v>305</v>
      </c>
      <c r="O3928" s="34">
        <f t="shared" si="62"/>
        <v>0.44711374245698327</v>
      </c>
    </row>
    <row r="3929" spans="13:15" x14ac:dyDescent="0.3">
      <c r="M3929" s="35">
        <v>28.4</v>
      </c>
      <c r="N3929">
        <v>305</v>
      </c>
      <c r="O3929" s="34">
        <f t="shared" si="62"/>
        <v>0.44722759877031582</v>
      </c>
    </row>
    <row r="3930" spans="13:15" x14ac:dyDescent="0.3">
      <c r="M3930" s="35">
        <v>28.41</v>
      </c>
      <c r="N3930">
        <v>305</v>
      </c>
      <c r="O3930" s="34">
        <f t="shared" si="62"/>
        <v>0.44734145508364836</v>
      </c>
    </row>
    <row r="3931" spans="13:15" x14ac:dyDescent="0.3">
      <c r="M3931" s="35">
        <v>28.41</v>
      </c>
      <c r="N3931">
        <v>305</v>
      </c>
      <c r="O3931" s="34">
        <f t="shared" si="62"/>
        <v>0.44745531139698091</v>
      </c>
    </row>
    <row r="3932" spans="13:15" x14ac:dyDescent="0.3">
      <c r="M3932" s="35">
        <v>28.42</v>
      </c>
      <c r="N3932">
        <v>305</v>
      </c>
      <c r="O3932" s="34">
        <f t="shared" si="62"/>
        <v>0.44756916771031346</v>
      </c>
    </row>
    <row r="3933" spans="13:15" x14ac:dyDescent="0.3">
      <c r="M3933" s="35">
        <v>28.42</v>
      </c>
      <c r="N3933">
        <v>305</v>
      </c>
      <c r="O3933" s="34">
        <f t="shared" si="62"/>
        <v>0.44768302402364601</v>
      </c>
    </row>
    <row r="3934" spans="13:15" x14ac:dyDescent="0.3">
      <c r="M3934" s="35">
        <v>28.42</v>
      </c>
      <c r="N3934">
        <v>305</v>
      </c>
      <c r="O3934" s="34">
        <f t="shared" si="62"/>
        <v>0.44779688033697856</v>
      </c>
    </row>
    <row r="3935" spans="13:15" x14ac:dyDescent="0.3">
      <c r="M3935" s="35">
        <v>28.42</v>
      </c>
      <c r="N3935">
        <v>305</v>
      </c>
      <c r="O3935" s="34">
        <f t="shared" si="62"/>
        <v>0.44791073665031111</v>
      </c>
    </row>
    <row r="3936" spans="13:15" x14ac:dyDescent="0.3">
      <c r="M3936" s="35">
        <v>28.43</v>
      </c>
      <c r="N3936">
        <v>305</v>
      </c>
      <c r="O3936" s="34">
        <f t="shared" si="62"/>
        <v>0.44802459296364366</v>
      </c>
    </row>
    <row r="3937" spans="13:15" x14ac:dyDescent="0.3">
      <c r="M3937" s="35">
        <v>28.43</v>
      </c>
      <c r="N3937">
        <v>305</v>
      </c>
      <c r="O3937" s="34">
        <f t="shared" si="62"/>
        <v>0.44813844927697621</v>
      </c>
    </row>
    <row r="3938" spans="13:15" x14ac:dyDescent="0.3">
      <c r="M3938" s="35">
        <v>28.43</v>
      </c>
      <c r="N3938">
        <v>305</v>
      </c>
      <c r="O3938" s="34">
        <f t="shared" si="62"/>
        <v>0.44825230559030876</v>
      </c>
    </row>
    <row r="3939" spans="13:15" x14ac:dyDescent="0.3">
      <c r="M3939" s="35">
        <v>28.43</v>
      </c>
      <c r="N3939">
        <v>305</v>
      </c>
      <c r="O3939" s="34">
        <f t="shared" si="62"/>
        <v>0.44836616190364131</v>
      </c>
    </row>
    <row r="3940" spans="13:15" x14ac:dyDescent="0.3">
      <c r="M3940" s="35">
        <v>28.45</v>
      </c>
      <c r="N3940">
        <v>305</v>
      </c>
      <c r="O3940" s="34">
        <f t="shared" si="62"/>
        <v>0.44848001821697386</v>
      </c>
    </row>
    <row r="3941" spans="13:15" x14ac:dyDescent="0.3">
      <c r="M3941" s="35">
        <v>28.45</v>
      </c>
      <c r="N3941">
        <v>305</v>
      </c>
      <c r="O3941" s="34">
        <f t="shared" si="62"/>
        <v>0.44859387453030641</v>
      </c>
    </row>
    <row r="3942" spans="13:15" x14ac:dyDescent="0.3">
      <c r="M3942" s="35">
        <v>28.45</v>
      </c>
      <c r="N3942">
        <v>305</v>
      </c>
      <c r="O3942" s="34">
        <f t="shared" si="62"/>
        <v>0.44870773084363896</v>
      </c>
    </row>
    <row r="3943" spans="13:15" x14ac:dyDescent="0.3">
      <c r="M3943" s="35">
        <v>28.46</v>
      </c>
      <c r="N3943">
        <v>305</v>
      </c>
      <c r="O3943" s="34">
        <f t="shared" si="62"/>
        <v>0.44882158715697151</v>
      </c>
    </row>
    <row r="3944" spans="13:15" x14ac:dyDescent="0.3">
      <c r="M3944" s="35">
        <v>28.46</v>
      </c>
      <c r="N3944">
        <v>305</v>
      </c>
      <c r="O3944" s="34">
        <f t="shared" si="62"/>
        <v>0.44893544347030406</v>
      </c>
    </row>
    <row r="3945" spans="13:15" x14ac:dyDescent="0.3">
      <c r="M3945" s="35">
        <v>28.46</v>
      </c>
      <c r="N3945">
        <v>305</v>
      </c>
      <c r="O3945" s="34">
        <f t="shared" si="62"/>
        <v>0.44904929978363661</v>
      </c>
    </row>
    <row r="3946" spans="13:15" x14ac:dyDescent="0.3">
      <c r="M3946" s="35">
        <v>28.46</v>
      </c>
      <c r="N3946">
        <v>305</v>
      </c>
      <c r="O3946" s="34">
        <f t="shared" si="62"/>
        <v>0.44916315609696916</v>
      </c>
    </row>
    <row r="3947" spans="13:15" x14ac:dyDescent="0.3">
      <c r="M3947" s="35">
        <v>28.46</v>
      </c>
      <c r="N3947">
        <v>305</v>
      </c>
      <c r="O3947" s="34">
        <f t="shared" si="62"/>
        <v>0.44927701241030171</v>
      </c>
    </row>
    <row r="3948" spans="13:15" x14ac:dyDescent="0.3">
      <c r="M3948" s="35">
        <v>28.47</v>
      </c>
      <c r="N3948">
        <v>305</v>
      </c>
      <c r="O3948" s="34">
        <f t="shared" si="62"/>
        <v>0.44939086872363426</v>
      </c>
    </row>
    <row r="3949" spans="13:15" x14ac:dyDescent="0.3">
      <c r="M3949" s="35">
        <v>28.47</v>
      </c>
      <c r="N3949">
        <v>305</v>
      </c>
      <c r="O3949" s="34">
        <f t="shared" si="62"/>
        <v>0.44950472503696681</v>
      </c>
    </row>
    <row r="3950" spans="13:15" x14ac:dyDescent="0.3">
      <c r="M3950" s="35">
        <v>28.48</v>
      </c>
      <c r="N3950">
        <v>305</v>
      </c>
      <c r="O3950" s="34">
        <f t="shared" si="62"/>
        <v>0.44961858135029936</v>
      </c>
    </row>
    <row r="3951" spans="13:15" x14ac:dyDescent="0.3">
      <c r="M3951" s="35">
        <v>28.48</v>
      </c>
      <c r="N3951">
        <v>305</v>
      </c>
      <c r="O3951" s="34">
        <f t="shared" si="62"/>
        <v>0.44973243766363191</v>
      </c>
    </row>
    <row r="3952" spans="13:15" x14ac:dyDescent="0.3">
      <c r="M3952" s="35">
        <v>28.49</v>
      </c>
      <c r="N3952">
        <v>305</v>
      </c>
      <c r="O3952" s="34">
        <f t="shared" si="62"/>
        <v>0.44984629397696446</v>
      </c>
    </row>
    <row r="3953" spans="13:15" x14ac:dyDescent="0.3">
      <c r="M3953" s="35">
        <v>28.5</v>
      </c>
      <c r="N3953">
        <v>305</v>
      </c>
      <c r="O3953" s="34">
        <f t="shared" si="62"/>
        <v>0.44996015029029701</v>
      </c>
    </row>
    <row r="3954" spans="13:15" x14ac:dyDescent="0.3">
      <c r="M3954" s="35">
        <v>28.5</v>
      </c>
      <c r="N3954">
        <v>305</v>
      </c>
      <c r="O3954" s="34">
        <f t="shared" si="62"/>
        <v>0.45007400660362956</v>
      </c>
    </row>
    <row r="3955" spans="13:15" x14ac:dyDescent="0.3">
      <c r="M3955" s="35">
        <v>28.5</v>
      </c>
      <c r="N3955">
        <v>305</v>
      </c>
      <c r="O3955" s="34">
        <f t="shared" si="62"/>
        <v>0.45018786291696211</v>
      </c>
    </row>
    <row r="3956" spans="13:15" x14ac:dyDescent="0.3">
      <c r="M3956" s="35">
        <v>28.51</v>
      </c>
      <c r="N3956">
        <v>305</v>
      </c>
      <c r="O3956" s="34">
        <f t="shared" si="62"/>
        <v>0.45030171923029466</v>
      </c>
    </row>
    <row r="3957" spans="13:15" x14ac:dyDescent="0.3">
      <c r="M3957" s="35">
        <v>28.51</v>
      </c>
      <c r="N3957">
        <v>305</v>
      </c>
      <c r="O3957" s="34">
        <f t="shared" si="62"/>
        <v>0.45041557554362721</v>
      </c>
    </row>
    <row r="3958" spans="13:15" x14ac:dyDescent="0.3">
      <c r="M3958" s="35">
        <v>28.52</v>
      </c>
      <c r="N3958">
        <v>305</v>
      </c>
      <c r="O3958" s="34">
        <f t="shared" si="62"/>
        <v>0.45052943185695976</v>
      </c>
    </row>
    <row r="3959" spans="13:15" x14ac:dyDescent="0.3">
      <c r="M3959" s="35">
        <v>28.52</v>
      </c>
      <c r="N3959">
        <v>305</v>
      </c>
      <c r="O3959" s="34">
        <f t="shared" si="62"/>
        <v>0.45064328817029231</v>
      </c>
    </row>
    <row r="3960" spans="13:15" x14ac:dyDescent="0.3">
      <c r="M3960" s="35">
        <v>28.52</v>
      </c>
      <c r="N3960">
        <v>305</v>
      </c>
      <c r="O3960" s="34">
        <f t="shared" si="62"/>
        <v>0.45075714448362486</v>
      </c>
    </row>
    <row r="3961" spans="13:15" x14ac:dyDescent="0.3">
      <c r="M3961" s="35">
        <v>28.53</v>
      </c>
      <c r="N3961">
        <v>305</v>
      </c>
      <c r="O3961" s="34">
        <f t="shared" si="62"/>
        <v>0.45087100079695741</v>
      </c>
    </row>
    <row r="3962" spans="13:15" x14ac:dyDescent="0.3">
      <c r="M3962" s="35">
        <v>28.53</v>
      </c>
      <c r="N3962">
        <v>305</v>
      </c>
      <c r="O3962" s="34">
        <f t="shared" si="62"/>
        <v>0.45098485711028996</v>
      </c>
    </row>
    <row r="3963" spans="13:15" x14ac:dyDescent="0.3">
      <c r="M3963" s="35">
        <v>28.53</v>
      </c>
      <c r="N3963">
        <v>305</v>
      </c>
      <c r="O3963" s="34">
        <f t="shared" si="62"/>
        <v>0.45109871342362251</v>
      </c>
    </row>
    <row r="3964" spans="13:15" x14ac:dyDescent="0.3">
      <c r="M3964" s="35">
        <v>28.54</v>
      </c>
      <c r="N3964">
        <v>305</v>
      </c>
      <c r="O3964" s="34">
        <f t="shared" si="62"/>
        <v>0.45121256973695506</v>
      </c>
    </row>
    <row r="3965" spans="13:15" x14ac:dyDescent="0.3">
      <c r="M3965" s="35">
        <v>28.55</v>
      </c>
      <c r="N3965">
        <v>305</v>
      </c>
      <c r="O3965" s="34">
        <f t="shared" si="62"/>
        <v>0.45132642605028761</v>
      </c>
    </row>
    <row r="3966" spans="13:15" x14ac:dyDescent="0.3">
      <c r="M3966" s="35">
        <v>28.55</v>
      </c>
      <c r="N3966">
        <v>305</v>
      </c>
      <c r="O3966" s="34">
        <f t="shared" si="62"/>
        <v>0.45144028236362016</v>
      </c>
    </row>
    <row r="3967" spans="13:15" x14ac:dyDescent="0.3">
      <c r="M3967" s="35">
        <v>28.55</v>
      </c>
      <c r="N3967">
        <v>305</v>
      </c>
      <c r="O3967" s="34">
        <f t="shared" si="62"/>
        <v>0.45155413867695271</v>
      </c>
    </row>
    <row r="3968" spans="13:15" x14ac:dyDescent="0.3">
      <c r="M3968" s="35">
        <v>28.55</v>
      </c>
      <c r="N3968">
        <v>305</v>
      </c>
      <c r="O3968" s="34">
        <f t="shared" si="62"/>
        <v>0.45166799499028526</v>
      </c>
    </row>
    <row r="3969" spans="13:15" x14ac:dyDescent="0.3">
      <c r="M3969" s="35">
        <v>28.55</v>
      </c>
      <c r="N3969">
        <v>305</v>
      </c>
      <c r="O3969" s="34">
        <f t="shared" si="62"/>
        <v>0.45178185130361781</v>
      </c>
    </row>
    <row r="3970" spans="13:15" x14ac:dyDescent="0.3">
      <c r="M3970" s="35">
        <v>28.55</v>
      </c>
      <c r="N3970">
        <v>305</v>
      </c>
      <c r="O3970" s="34">
        <f t="shared" si="62"/>
        <v>0.45189570761695036</v>
      </c>
    </row>
    <row r="3971" spans="13:15" x14ac:dyDescent="0.3">
      <c r="M3971" s="35">
        <v>28.55</v>
      </c>
      <c r="N3971">
        <v>305</v>
      </c>
      <c r="O3971" s="34">
        <f t="shared" si="62"/>
        <v>0.45200956393028291</v>
      </c>
    </row>
    <row r="3972" spans="13:15" x14ac:dyDescent="0.3">
      <c r="M3972" s="35">
        <v>28.56</v>
      </c>
      <c r="N3972">
        <v>305</v>
      </c>
      <c r="O3972" s="34">
        <f t="shared" ref="O3972:O4035" si="63">O3971+O$2</f>
        <v>0.45212342024361546</v>
      </c>
    </row>
    <row r="3973" spans="13:15" x14ac:dyDescent="0.3">
      <c r="M3973" s="35">
        <v>28.56</v>
      </c>
      <c r="N3973">
        <v>305</v>
      </c>
      <c r="O3973" s="34">
        <f t="shared" si="63"/>
        <v>0.45223727655694801</v>
      </c>
    </row>
    <row r="3974" spans="13:15" x14ac:dyDescent="0.3">
      <c r="M3974" s="35">
        <v>28.56</v>
      </c>
      <c r="N3974">
        <v>305</v>
      </c>
      <c r="O3974" s="34">
        <f t="shared" si="63"/>
        <v>0.45235113287028056</v>
      </c>
    </row>
    <row r="3975" spans="13:15" x14ac:dyDescent="0.3">
      <c r="M3975" s="35">
        <v>28.56</v>
      </c>
      <c r="N3975">
        <v>305</v>
      </c>
      <c r="O3975" s="34">
        <f t="shared" si="63"/>
        <v>0.45246498918361311</v>
      </c>
    </row>
    <row r="3976" spans="13:15" x14ac:dyDescent="0.3">
      <c r="M3976" s="35">
        <v>28.56</v>
      </c>
      <c r="N3976">
        <v>305</v>
      </c>
      <c r="O3976" s="34">
        <f t="shared" si="63"/>
        <v>0.45257884549694566</v>
      </c>
    </row>
    <row r="3977" spans="13:15" x14ac:dyDescent="0.3">
      <c r="M3977" s="35">
        <v>28.56</v>
      </c>
      <c r="N3977">
        <v>305</v>
      </c>
      <c r="O3977" s="34">
        <f t="shared" si="63"/>
        <v>0.45269270181027821</v>
      </c>
    </row>
    <row r="3978" spans="13:15" x14ac:dyDescent="0.3">
      <c r="M3978" s="35">
        <v>28.57</v>
      </c>
      <c r="N3978">
        <v>305</v>
      </c>
      <c r="O3978" s="34">
        <f t="shared" si="63"/>
        <v>0.45280655812361076</v>
      </c>
    </row>
    <row r="3979" spans="13:15" x14ac:dyDescent="0.3">
      <c r="M3979" s="35">
        <v>28.57</v>
      </c>
      <c r="N3979">
        <v>305</v>
      </c>
      <c r="O3979" s="34">
        <f t="shared" si="63"/>
        <v>0.45292041443694331</v>
      </c>
    </row>
    <row r="3980" spans="13:15" x14ac:dyDescent="0.3">
      <c r="M3980" s="35">
        <v>28.57</v>
      </c>
      <c r="N3980">
        <v>305</v>
      </c>
      <c r="O3980" s="34">
        <f t="shared" si="63"/>
        <v>0.45303427075027586</v>
      </c>
    </row>
    <row r="3981" spans="13:15" x14ac:dyDescent="0.3">
      <c r="M3981" s="35">
        <v>28.57</v>
      </c>
      <c r="N3981">
        <v>305</v>
      </c>
      <c r="O3981" s="34">
        <f t="shared" si="63"/>
        <v>0.45314812706360841</v>
      </c>
    </row>
    <row r="3982" spans="13:15" x14ac:dyDescent="0.3">
      <c r="M3982" s="35">
        <v>28.58</v>
      </c>
      <c r="N3982">
        <v>305</v>
      </c>
      <c r="O3982" s="34">
        <f t="shared" si="63"/>
        <v>0.45326198337694096</v>
      </c>
    </row>
    <row r="3983" spans="13:15" x14ac:dyDescent="0.3">
      <c r="M3983" s="35">
        <v>28.58</v>
      </c>
      <c r="N3983">
        <v>305</v>
      </c>
      <c r="O3983" s="34">
        <f t="shared" si="63"/>
        <v>0.45337583969027351</v>
      </c>
    </row>
    <row r="3984" spans="13:15" x14ac:dyDescent="0.3">
      <c r="M3984" s="35">
        <v>28.59</v>
      </c>
      <c r="N3984">
        <v>305</v>
      </c>
      <c r="O3984" s="34">
        <f t="shared" si="63"/>
        <v>0.45348969600360606</v>
      </c>
    </row>
    <row r="3985" spans="13:15" x14ac:dyDescent="0.3">
      <c r="M3985" s="35">
        <v>28.59</v>
      </c>
      <c r="N3985">
        <v>305</v>
      </c>
      <c r="O3985" s="34">
        <f t="shared" si="63"/>
        <v>0.45360355231693861</v>
      </c>
    </row>
    <row r="3986" spans="13:15" x14ac:dyDescent="0.3">
      <c r="M3986" s="35">
        <v>28.59</v>
      </c>
      <c r="N3986">
        <v>305</v>
      </c>
      <c r="O3986" s="34">
        <f t="shared" si="63"/>
        <v>0.45371740863027116</v>
      </c>
    </row>
    <row r="3987" spans="13:15" x14ac:dyDescent="0.3">
      <c r="M3987" s="35">
        <v>28.59</v>
      </c>
      <c r="N3987">
        <v>305</v>
      </c>
      <c r="O3987" s="34">
        <f t="shared" si="63"/>
        <v>0.45383126494360371</v>
      </c>
    </row>
    <row r="3988" spans="13:15" x14ac:dyDescent="0.3">
      <c r="M3988" s="35">
        <v>28.6</v>
      </c>
      <c r="N3988">
        <v>305</v>
      </c>
      <c r="O3988" s="34">
        <f t="shared" si="63"/>
        <v>0.45394512125693626</v>
      </c>
    </row>
    <row r="3989" spans="13:15" x14ac:dyDescent="0.3">
      <c r="M3989" s="35">
        <v>28.6</v>
      </c>
      <c r="N3989">
        <v>305</v>
      </c>
      <c r="O3989" s="34">
        <f t="shared" si="63"/>
        <v>0.45405897757026881</v>
      </c>
    </row>
    <row r="3990" spans="13:15" x14ac:dyDescent="0.3">
      <c r="M3990" s="35">
        <v>28.6</v>
      </c>
      <c r="N3990">
        <v>305</v>
      </c>
      <c r="O3990" s="34">
        <f t="shared" si="63"/>
        <v>0.45417283388360136</v>
      </c>
    </row>
    <row r="3991" spans="13:15" x14ac:dyDescent="0.3">
      <c r="M3991" s="35">
        <v>28.61</v>
      </c>
      <c r="N3991">
        <v>305</v>
      </c>
      <c r="O3991" s="34">
        <f t="shared" si="63"/>
        <v>0.45428669019693391</v>
      </c>
    </row>
    <row r="3992" spans="13:15" x14ac:dyDescent="0.3">
      <c r="M3992" s="35">
        <v>28.61</v>
      </c>
      <c r="N3992">
        <v>305</v>
      </c>
      <c r="O3992" s="34">
        <f t="shared" si="63"/>
        <v>0.45440054651026646</v>
      </c>
    </row>
    <row r="3993" spans="13:15" x14ac:dyDescent="0.3">
      <c r="M3993" s="35">
        <v>28.61</v>
      </c>
      <c r="N3993">
        <v>305</v>
      </c>
      <c r="O3993" s="34">
        <f t="shared" si="63"/>
        <v>0.45451440282359901</v>
      </c>
    </row>
    <row r="3994" spans="13:15" x14ac:dyDescent="0.3">
      <c r="M3994" s="35">
        <v>28.62</v>
      </c>
      <c r="N3994">
        <v>305</v>
      </c>
      <c r="O3994" s="34">
        <f t="shared" si="63"/>
        <v>0.45462825913693156</v>
      </c>
    </row>
    <row r="3995" spans="13:15" x14ac:dyDescent="0.3">
      <c r="M3995" s="35">
        <v>28.63</v>
      </c>
      <c r="N3995">
        <v>305</v>
      </c>
      <c r="O3995" s="34">
        <f t="shared" si="63"/>
        <v>0.45474211545026411</v>
      </c>
    </row>
    <row r="3996" spans="13:15" x14ac:dyDescent="0.3">
      <c r="M3996" s="35">
        <v>28.64</v>
      </c>
      <c r="N3996">
        <v>305</v>
      </c>
      <c r="O3996" s="34">
        <f t="shared" si="63"/>
        <v>0.45485597176359666</v>
      </c>
    </row>
    <row r="3997" spans="13:15" x14ac:dyDescent="0.3">
      <c r="M3997" s="35">
        <v>28.64</v>
      </c>
      <c r="N3997">
        <v>305</v>
      </c>
      <c r="O3997" s="34">
        <f t="shared" si="63"/>
        <v>0.45496982807692921</v>
      </c>
    </row>
    <row r="3998" spans="13:15" x14ac:dyDescent="0.3">
      <c r="M3998" s="35">
        <v>28.64</v>
      </c>
      <c r="N3998">
        <v>305</v>
      </c>
      <c r="O3998" s="34">
        <f t="shared" si="63"/>
        <v>0.45508368439026176</v>
      </c>
    </row>
    <row r="3999" spans="13:15" x14ac:dyDescent="0.3">
      <c r="M3999" s="35">
        <v>28.65</v>
      </c>
      <c r="N3999">
        <v>305</v>
      </c>
      <c r="O3999" s="34">
        <f t="shared" si="63"/>
        <v>0.45519754070359431</v>
      </c>
    </row>
    <row r="4000" spans="13:15" x14ac:dyDescent="0.3">
      <c r="M4000" s="35">
        <v>28.65</v>
      </c>
      <c r="N4000">
        <v>305</v>
      </c>
      <c r="O4000" s="34">
        <f t="shared" si="63"/>
        <v>0.45531139701692686</v>
      </c>
    </row>
    <row r="4001" spans="13:15" x14ac:dyDescent="0.3">
      <c r="M4001" s="35">
        <v>28.66</v>
      </c>
      <c r="N4001">
        <v>305</v>
      </c>
      <c r="O4001" s="34">
        <f t="shared" si="63"/>
        <v>0.45542525333025941</v>
      </c>
    </row>
    <row r="4002" spans="13:15" x14ac:dyDescent="0.3">
      <c r="M4002" s="35">
        <v>28.67</v>
      </c>
      <c r="N4002">
        <v>305</v>
      </c>
      <c r="O4002" s="34">
        <f t="shared" si="63"/>
        <v>0.45553910964359196</v>
      </c>
    </row>
    <row r="4003" spans="13:15" x14ac:dyDescent="0.3">
      <c r="M4003" s="35">
        <v>28.67</v>
      </c>
      <c r="N4003">
        <v>305</v>
      </c>
      <c r="O4003" s="34">
        <f t="shared" si="63"/>
        <v>0.4556529659569245</v>
      </c>
    </row>
    <row r="4004" spans="13:15" x14ac:dyDescent="0.3">
      <c r="M4004" s="35">
        <v>28.68</v>
      </c>
      <c r="N4004">
        <v>305</v>
      </c>
      <c r="O4004" s="34">
        <f t="shared" si="63"/>
        <v>0.45576682227025705</v>
      </c>
    </row>
    <row r="4005" spans="13:15" x14ac:dyDescent="0.3">
      <c r="M4005" s="35">
        <v>28.68</v>
      </c>
      <c r="N4005">
        <v>305</v>
      </c>
      <c r="O4005" s="34">
        <f t="shared" si="63"/>
        <v>0.4558806785835896</v>
      </c>
    </row>
    <row r="4006" spans="13:15" x14ac:dyDescent="0.3">
      <c r="M4006" s="35">
        <v>28.69</v>
      </c>
      <c r="N4006">
        <v>305</v>
      </c>
      <c r="O4006" s="34">
        <f t="shared" si="63"/>
        <v>0.45599453489692215</v>
      </c>
    </row>
    <row r="4007" spans="13:15" x14ac:dyDescent="0.3">
      <c r="M4007" s="35">
        <v>28.69</v>
      </c>
      <c r="N4007">
        <v>305</v>
      </c>
      <c r="O4007" s="34">
        <f t="shared" si="63"/>
        <v>0.4561083912102547</v>
      </c>
    </row>
    <row r="4008" spans="13:15" x14ac:dyDescent="0.3">
      <c r="M4008" s="35">
        <v>28.69</v>
      </c>
      <c r="N4008">
        <v>305</v>
      </c>
      <c r="O4008" s="34">
        <f t="shared" si="63"/>
        <v>0.45622224752358725</v>
      </c>
    </row>
    <row r="4009" spans="13:15" x14ac:dyDescent="0.3">
      <c r="M4009" s="35">
        <v>28.69</v>
      </c>
      <c r="N4009">
        <v>305</v>
      </c>
      <c r="O4009" s="34">
        <f t="shared" si="63"/>
        <v>0.4563361038369198</v>
      </c>
    </row>
    <row r="4010" spans="13:15" x14ac:dyDescent="0.3">
      <c r="M4010" s="35">
        <v>28.69</v>
      </c>
      <c r="N4010">
        <v>305</v>
      </c>
      <c r="O4010" s="34">
        <f t="shared" si="63"/>
        <v>0.45644996015025235</v>
      </c>
    </row>
    <row r="4011" spans="13:15" x14ac:dyDescent="0.3">
      <c r="M4011" s="35">
        <v>28.69</v>
      </c>
      <c r="N4011">
        <v>305</v>
      </c>
      <c r="O4011" s="34">
        <f t="shared" si="63"/>
        <v>0.4565638164635849</v>
      </c>
    </row>
    <row r="4012" spans="13:15" x14ac:dyDescent="0.3">
      <c r="M4012" s="35">
        <v>28.69</v>
      </c>
      <c r="N4012">
        <v>305</v>
      </c>
      <c r="O4012" s="34">
        <f t="shared" si="63"/>
        <v>0.45667767277691745</v>
      </c>
    </row>
    <row r="4013" spans="13:15" x14ac:dyDescent="0.3">
      <c r="M4013" s="35">
        <v>28.7</v>
      </c>
      <c r="N4013">
        <v>305</v>
      </c>
      <c r="O4013" s="34">
        <f t="shared" si="63"/>
        <v>0.45679152909025</v>
      </c>
    </row>
    <row r="4014" spans="13:15" x14ac:dyDescent="0.3">
      <c r="M4014" s="35">
        <v>28.71</v>
      </c>
      <c r="N4014">
        <v>305</v>
      </c>
      <c r="O4014" s="34">
        <f t="shared" si="63"/>
        <v>0.45690538540358255</v>
      </c>
    </row>
    <row r="4015" spans="13:15" x14ac:dyDescent="0.3">
      <c r="M4015" s="35">
        <v>28.71</v>
      </c>
      <c r="N4015">
        <v>305</v>
      </c>
      <c r="O4015" s="34">
        <f t="shared" si="63"/>
        <v>0.4570192417169151</v>
      </c>
    </row>
    <row r="4016" spans="13:15" x14ac:dyDescent="0.3">
      <c r="M4016" s="35">
        <v>28.71</v>
      </c>
      <c r="N4016">
        <v>305</v>
      </c>
      <c r="O4016" s="34">
        <f t="shared" si="63"/>
        <v>0.45713309803024765</v>
      </c>
    </row>
    <row r="4017" spans="13:15" x14ac:dyDescent="0.3">
      <c r="M4017" s="35">
        <v>28.72</v>
      </c>
      <c r="N4017">
        <v>305</v>
      </c>
      <c r="O4017" s="34">
        <f t="shared" si="63"/>
        <v>0.4572469543435802</v>
      </c>
    </row>
    <row r="4018" spans="13:15" x14ac:dyDescent="0.3">
      <c r="M4018" s="35">
        <v>28.73</v>
      </c>
      <c r="N4018">
        <v>305</v>
      </c>
      <c r="O4018" s="34">
        <f t="shared" si="63"/>
        <v>0.45736081065691275</v>
      </c>
    </row>
    <row r="4019" spans="13:15" x14ac:dyDescent="0.3">
      <c r="M4019" s="35">
        <v>28.73</v>
      </c>
      <c r="N4019">
        <v>305</v>
      </c>
      <c r="O4019" s="34">
        <f t="shared" si="63"/>
        <v>0.4574746669702453</v>
      </c>
    </row>
    <row r="4020" spans="13:15" x14ac:dyDescent="0.3">
      <c r="M4020" s="35">
        <v>28.73</v>
      </c>
      <c r="N4020">
        <v>305</v>
      </c>
      <c r="O4020" s="34">
        <f t="shared" si="63"/>
        <v>0.45758852328357785</v>
      </c>
    </row>
    <row r="4021" spans="13:15" x14ac:dyDescent="0.3">
      <c r="M4021" s="35">
        <v>28.73</v>
      </c>
      <c r="N4021">
        <v>305</v>
      </c>
      <c r="O4021" s="34">
        <f t="shared" si="63"/>
        <v>0.4577023795969104</v>
      </c>
    </row>
    <row r="4022" spans="13:15" x14ac:dyDescent="0.3">
      <c r="M4022" s="35">
        <v>28.74</v>
      </c>
      <c r="N4022">
        <v>305</v>
      </c>
      <c r="O4022" s="34">
        <f t="shared" si="63"/>
        <v>0.45781623591024295</v>
      </c>
    </row>
    <row r="4023" spans="13:15" x14ac:dyDescent="0.3">
      <c r="M4023" s="35">
        <v>28.74</v>
      </c>
      <c r="N4023">
        <v>305</v>
      </c>
      <c r="O4023" s="34">
        <f t="shared" si="63"/>
        <v>0.4579300922235755</v>
      </c>
    </row>
    <row r="4024" spans="13:15" x14ac:dyDescent="0.3">
      <c r="M4024" s="35">
        <v>28.75</v>
      </c>
      <c r="N4024">
        <v>305</v>
      </c>
      <c r="O4024" s="34">
        <f t="shared" si="63"/>
        <v>0.45804394853690805</v>
      </c>
    </row>
    <row r="4025" spans="13:15" x14ac:dyDescent="0.3">
      <c r="M4025" s="35">
        <v>28.75</v>
      </c>
      <c r="N4025">
        <v>305</v>
      </c>
      <c r="O4025" s="34">
        <f t="shared" si="63"/>
        <v>0.4581578048502406</v>
      </c>
    </row>
    <row r="4026" spans="13:15" x14ac:dyDescent="0.3">
      <c r="M4026" s="35">
        <v>28.76</v>
      </c>
      <c r="N4026">
        <v>305</v>
      </c>
      <c r="O4026" s="34">
        <f t="shared" si="63"/>
        <v>0.45827166116357315</v>
      </c>
    </row>
    <row r="4027" spans="13:15" x14ac:dyDescent="0.3">
      <c r="M4027" s="35">
        <v>28.76</v>
      </c>
      <c r="N4027">
        <v>305</v>
      </c>
      <c r="O4027" s="34">
        <f t="shared" si="63"/>
        <v>0.4583855174769057</v>
      </c>
    </row>
    <row r="4028" spans="13:15" x14ac:dyDescent="0.3">
      <c r="M4028" s="35">
        <v>28.78</v>
      </c>
      <c r="N4028">
        <v>305</v>
      </c>
      <c r="O4028" s="34">
        <f t="shared" si="63"/>
        <v>0.45849937379023825</v>
      </c>
    </row>
    <row r="4029" spans="13:15" x14ac:dyDescent="0.3">
      <c r="M4029" s="35">
        <v>28.78</v>
      </c>
      <c r="N4029">
        <v>305</v>
      </c>
      <c r="O4029" s="34">
        <f t="shared" si="63"/>
        <v>0.4586132301035708</v>
      </c>
    </row>
    <row r="4030" spans="13:15" x14ac:dyDescent="0.3">
      <c r="M4030" s="35">
        <v>28.78</v>
      </c>
      <c r="N4030">
        <v>305</v>
      </c>
      <c r="O4030" s="34">
        <f t="shared" si="63"/>
        <v>0.45872708641690335</v>
      </c>
    </row>
    <row r="4031" spans="13:15" x14ac:dyDescent="0.3">
      <c r="M4031" s="35">
        <v>28.78</v>
      </c>
      <c r="N4031">
        <v>305</v>
      </c>
      <c r="O4031" s="34">
        <f t="shared" si="63"/>
        <v>0.4588409427302359</v>
      </c>
    </row>
    <row r="4032" spans="13:15" x14ac:dyDescent="0.3">
      <c r="M4032" s="35">
        <v>28.79</v>
      </c>
      <c r="N4032">
        <v>305</v>
      </c>
      <c r="O4032" s="34">
        <f t="shared" si="63"/>
        <v>0.45895479904356845</v>
      </c>
    </row>
    <row r="4033" spans="13:15" x14ac:dyDescent="0.3">
      <c r="M4033" s="35">
        <v>28.8</v>
      </c>
      <c r="N4033">
        <v>305</v>
      </c>
      <c r="O4033" s="34">
        <f t="shared" si="63"/>
        <v>0.459068655356901</v>
      </c>
    </row>
    <row r="4034" spans="13:15" x14ac:dyDescent="0.3">
      <c r="M4034" s="35">
        <v>28.8</v>
      </c>
      <c r="N4034">
        <v>305</v>
      </c>
      <c r="O4034" s="34">
        <f t="shared" si="63"/>
        <v>0.45918251167023355</v>
      </c>
    </row>
    <row r="4035" spans="13:15" x14ac:dyDescent="0.3">
      <c r="M4035" s="35">
        <v>28.8</v>
      </c>
      <c r="N4035">
        <v>305</v>
      </c>
      <c r="O4035" s="34">
        <f t="shared" si="63"/>
        <v>0.4592963679835661</v>
      </c>
    </row>
    <row r="4036" spans="13:15" x14ac:dyDescent="0.3">
      <c r="M4036" s="35">
        <v>28.8</v>
      </c>
      <c r="N4036">
        <v>305</v>
      </c>
      <c r="O4036" s="34">
        <f t="shared" ref="O4036:O4099" si="64">O4035+O$2</f>
        <v>0.45941022429689865</v>
      </c>
    </row>
    <row r="4037" spans="13:15" x14ac:dyDescent="0.3">
      <c r="M4037" s="35">
        <v>28.81</v>
      </c>
      <c r="N4037">
        <v>305</v>
      </c>
      <c r="O4037" s="34">
        <f t="shared" si="64"/>
        <v>0.4595240806102312</v>
      </c>
    </row>
    <row r="4038" spans="13:15" x14ac:dyDescent="0.3">
      <c r="M4038" s="35">
        <v>28.82</v>
      </c>
      <c r="N4038">
        <v>305</v>
      </c>
      <c r="O4038" s="34">
        <f t="shared" si="64"/>
        <v>0.45963793692356375</v>
      </c>
    </row>
    <row r="4039" spans="13:15" x14ac:dyDescent="0.3">
      <c r="M4039" s="35">
        <v>28.82</v>
      </c>
      <c r="N4039">
        <v>305</v>
      </c>
      <c r="O4039" s="34">
        <f t="shared" si="64"/>
        <v>0.4597517932368963</v>
      </c>
    </row>
    <row r="4040" spans="13:15" x14ac:dyDescent="0.3">
      <c r="M4040" s="35">
        <v>28.83</v>
      </c>
      <c r="N4040">
        <v>305</v>
      </c>
      <c r="O4040" s="34">
        <f t="shared" si="64"/>
        <v>0.45986564955022885</v>
      </c>
    </row>
    <row r="4041" spans="13:15" x14ac:dyDescent="0.3">
      <c r="M4041" s="35">
        <v>28.84</v>
      </c>
      <c r="N4041">
        <v>305</v>
      </c>
      <c r="O4041" s="34">
        <f t="shared" si="64"/>
        <v>0.4599795058635614</v>
      </c>
    </row>
    <row r="4042" spans="13:15" x14ac:dyDescent="0.3">
      <c r="M4042" s="35">
        <v>28.84</v>
      </c>
      <c r="N4042">
        <v>305</v>
      </c>
      <c r="O4042" s="34">
        <f t="shared" si="64"/>
        <v>0.46009336217689395</v>
      </c>
    </row>
    <row r="4043" spans="13:15" x14ac:dyDescent="0.3">
      <c r="M4043" s="35">
        <v>28.85</v>
      </c>
      <c r="N4043">
        <v>305</v>
      </c>
      <c r="O4043" s="34">
        <f t="shared" si="64"/>
        <v>0.4602072184902265</v>
      </c>
    </row>
    <row r="4044" spans="13:15" x14ac:dyDescent="0.3">
      <c r="M4044" s="35">
        <v>28.85</v>
      </c>
      <c r="N4044">
        <v>305</v>
      </c>
      <c r="O4044" s="34">
        <f t="shared" si="64"/>
        <v>0.46032107480355905</v>
      </c>
    </row>
    <row r="4045" spans="13:15" x14ac:dyDescent="0.3">
      <c r="M4045" s="35">
        <v>28.85</v>
      </c>
      <c r="N4045">
        <v>305</v>
      </c>
      <c r="O4045" s="34">
        <f t="shared" si="64"/>
        <v>0.4604349311168916</v>
      </c>
    </row>
    <row r="4046" spans="13:15" x14ac:dyDescent="0.3">
      <c r="M4046" s="35">
        <v>28.86</v>
      </c>
      <c r="N4046">
        <v>305</v>
      </c>
      <c r="O4046" s="34">
        <f t="shared" si="64"/>
        <v>0.46054878743022415</v>
      </c>
    </row>
    <row r="4047" spans="13:15" x14ac:dyDescent="0.3">
      <c r="M4047" s="35">
        <v>28.86</v>
      </c>
      <c r="N4047">
        <v>305</v>
      </c>
      <c r="O4047" s="34">
        <f t="shared" si="64"/>
        <v>0.4606626437435567</v>
      </c>
    </row>
    <row r="4048" spans="13:15" x14ac:dyDescent="0.3">
      <c r="M4048" s="35">
        <v>28.87</v>
      </c>
      <c r="N4048">
        <v>305</v>
      </c>
      <c r="O4048" s="34">
        <f t="shared" si="64"/>
        <v>0.46077650005688925</v>
      </c>
    </row>
    <row r="4049" spans="13:15" x14ac:dyDescent="0.3">
      <c r="M4049" s="35">
        <v>28.87</v>
      </c>
      <c r="N4049">
        <v>305</v>
      </c>
      <c r="O4049" s="34">
        <f t="shared" si="64"/>
        <v>0.4608903563702218</v>
      </c>
    </row>
    <row r="4050" spans="13:15" x14ac:dyDescent="0.3">
      <c r="M4050" s="35">
        <v>28.87</v>
      </c>
      <c r="N4050">
        <v>305</v>
      </c>
      <c r="O4050" s="34">
        <f t="shared" si="64"/>
        <v>0.46100421268355435</v>
      </c>
    </row>
    <row r="4051" spans="13:15" x14ac:dyDescent="0.3">
      <c r="M4051" s="35">
        <v>28.87</v>
      </c>
      <c r="N4051">
        <v>305</v>
      </c>
      <c r="O4051" s="34">
        <f t="shared" si="64"/>
        <v>0.4611180689968869</v>
      </c>
    </row>
    <row r="4052" spans="13:15" x14ac:dyDescent="0.3">
      <c r="M4052" s="35">
        <v>28.87</v>
      </c>
      <c r="N4052">
        <v>305</v>
      </c>
      <c r="O4052" s="34">
        <f t="shared" si="64"/>
        <v>0.46123192531021945</v>
      </c>
    </row>
    <row r="4053" spans="13:15" x14ac:dyDescent="0.3">
      <c r="M4053" s="35">
        <v>28.87</v>
      </c>
      <c r="N4053">
        <v>305</v>
      </c>
      <c r="O4053" s="34">
        <f t="shared" si="64"/>
        <v>0.461345781623552</v>
      </c>
    </row>
    <row r="4054" spans="13:15" x14ac:dyDescent="0.3">
      <c r="M4054" s="35">
        <v>28.87</v>
      </c>
      <c r="N4054">
        <v>305</v>
      </c>
      <c r="O4054" s="34">
        <f t="shared" si="64"/>
        <v>0.46145963793688455</v>
      </c>
    </row>
    <row r="4055" spans="13:15" x14ac:dyDescent="0.3">
      <c r="M4055" s="35">
        <v>28.88</v>
      </c>
      <c r="N4055">
        <v>305</v>
      </c>
      <c r="O4055" s="34">
        <f t="shared" si="64"/>
        <v>0.4615734942502171</v>
      </c>
    </row>
    <row r="4056" spans="13:15" x14ac:dyDescent="0.3">
      <c r="M4056" s="35">
        <v>28.88</v>
      </c>
      <c r="N4056">
        <v>305</v>
      </c>
      <c r="O4056" s="34">
        <f t="shared" si="64"/>
        <v>0.46168735056354965</v>
      </c>
    </row>
    <row r="4057" spans="13:15" x14ac:dyDescent="0.3">
      <c r="M4057" s="35">
        <v>28.9</v>
      </c>
      <c r="N4057">
        <v>305</v>
      </c>
      <c r="O4057" s="34">
        <f t="shared" si="64"/>
        <v>0.4618012068768822</v>
      </c>
    </row>
    <row r="4058" spans="13:15" x14ac:dyDescent="0.3">
      <c r="M4058" s="35">
        <v>28.91</v>
      </c>
      <c r="N4058">
        <v>305</v>
      </c>
      <c r="O4058" s="34">
        <f t="shared" si="64"/>
        <v>0.46191506319021475</v>
      </c>
    </row>
    <row r="4059" spans="13:15" x14ac:dyDescent="0.3">
      <c r="M4059" s="35">
        <v>28.92</v>
      </c>
      <c r="N4059">
        <v>305</v>
      </c>
      <c r="O4059" s="34">
        <f t="shared" si="64"/>
        <v>0.4620289195035473</v>
      </c>
    </row>
    <row r="4060" spans="13:15" x14ac:dyDescent="0.3">
      <c r="M4060" s="35">
        <v>28.93</v>
      </c>
      <c r="N4060">
        <v>305</v>
      </c>
      <c r="O4060" s="34">
        <f t="shared" si="64"/>
        <v>0.46214277581687985</v>
      </c>
    </row>
    <row r="4061" spans="13:15" x14ac:dyDescent="0.3">
      <c r="M4061" s="35">
        <v>28.93</v>
      </c>
      <c r="N4061">
        <v>305</v>
      </c>
      <c r="O4061" s="34">
        <f t="shared" si="64"/>
        <v>0.4622566321302124</v>
      </c>
    </row>
    <row r="4062" spans="13:15" x14ac:dyDescent="0.3">
      <c r="M4062" s="35">
        <v>28.94</v>
      </c>
      <c r="N4062">
        <v>305</v>
      </c>
      <c r="O4062" s="34">
        <f t="shared" si="64"/>
        <v>0.46237048844354495</v>
      </c>
    </row>
    <row r="4063" spans="13:15" x14ac:dyDescent="0.3">
      <c r="M4063" s="35">
        <v>28.94</v>
      </c>
      <c r="N4063">
        <v>305</v>
      </c>
      <c r="O4063" s="34">
        <f t="shared" si="64"/>
        <v>0.4624843447568775</v>
      </c>
    </row>
    <row r="4064" spans="13:15" x14ac:dyDescent="0.3">
      <c r="M4064" s="35">
        <v>28.94</v>
      </c>
      <c r="N4064">
        <v>305</v>
      </c>
      <c r="O4064" s="34">
        <f t="shared" si="64"/>
        <v>0.46259820107021005</v>
      </c>
    </row>
    <row r="4065" spans="13:15" x14ac:dyDescent="0.3">
      <c r="M4065" s="35">
        <v>28.95</v>
      </c>
      <c r="N4065">
        <v>305</v>
      </c>
      <c r="O4065" s="34">
        <f t="shared" si="64"/>
        <v>0.4627120573835426</v>
      </c>
    </row>
    <row r="4066" spans="13:15" x14ac:dyDescent="0.3">
      <c r="M4066" s="35">
        <v>28.95</v>
      </c>
      <c r="N4066">
        <v>305</v>
      </c>
      <c r="O4066" s="34">
        <f t="shared" si="64"/>
        <v>0.46282591369687515</v>
      </c>
    </row>
    <row r="4067" spans="13:15" x14ac:dyDescent="0.3">
      <c r="M4067" s="35">
        <v>28.95</v>
      </c>
      <c r="N4067">
        <v>305</v>
      </c>
      <c r="O4067" s="34">
        <f t="shared" si="64"/>
        <v>0.4629397700102077</v>
      </c>
    </row>
    <row r="4068" spans="13:15" x14ac:dyDescent="0.3">
      <c r="M4068" s="35">
        <v>28.96</v>
      </c>
      <c r="N4068">
        <v>305</v>
      </c>
      <c r="O4068" s="34">
        <f t="shared" si="64"/>
        <v>0.46305362632354025</v>
      </c>
    </row>
    <row r="4069" spans="13:15" x14ac:dyDescent="0.3">
      <c r="M4069" s="35">
        <v>28.96</v>
      </c>
      <c r="N4069">
        <v>305</v>
      </c>
      <c r="O4069" s="34">
        <f t="shared" si="64"/>
        <v>0.4631674826368728</v>
      </c>
    </row>
    <row r="4070" spans="13:15" x14ac:dyDescent="0.3">
      <c r="M4070" s="35">
        <v>28.97</v>
      </c>
      <c r="N4070">
        <v>305</v>
      </c>
      <c r="O4070" s="34">
        <f t="shared" si="64"/>
        <v>0.46328133895020535</v>
      </c>
    </row>
    <row r="4071" spans="13:15" x14ac:dyDescent="0.3">
      <c r="M4071" s="35">
        <v>28.97</v>
      </c>
      <c r="N4071">
        <v>305</v>
      </c>
      <c r="O4071" s="34">
        <f t="shared" si="64"/>
        <v>0.4633951952635379</v>
      </c>
    </row>
    <row r="4072" spans="13:15" x14ac:dyDescent="0.3">
      <c r="M4072" s="35">
        <v>28.97</v>
      </c>
      <c r="N4072">
        <v>305</v>
      </c>
      <c r="O4072" s="34">
        <f t="shared" si="64"/>
        <v>0.46350905157687045</v>
      </c>
    </row>
    <row r="4073" spans="13:15" x14ac:dyDescent="0.3">
      <c r="M4073" s="35">
        <v>28.97</v>
      </c>
      <c r="N4073">
        <v>305</v>
      </c>
      <c r="O4073" s="34">
        <f t="shared" si="64"/>
        <v>0.463622907890203</v>
      </c>
    </row>
    <row r="4074" spans="13:15" x14ac:dyDescent="0.3">
      <c r="M4074" s="35">
        <v>28.98</v>
      </c>
      <c r="N4074">
        <v>305</v>
      </c>
      <c r="O4074" s="34">
        <f t="shared" si="64"/>
        <v>0.46373676420353555</v>
      </c>
    </row>
    <row r="4075" spans="13:15" x14ac:dyDescent="0.3">
      <c r="M4075" s="35">
        <v>28.98</v>
      </c>
      <c r="N4075">
        <v>305</v>
      </c>
      <c r="O4075" s="34">
        <f t="shared" si="64"/>
        <v>0.4638506205168681</v>
      </c>
    </row>
    <row r="4076" spans="13:15" x14ac:dyDescent="0.3">
      <c r="M4076" s="35">
        <v>28.98</v>
      </c>
      <c r="N4076">
        <v>305</v>
      </c>
      <c r="O4076" s="34">
        <f t="shared" si="64"/>
        <v>0.46396447683020065</v>
      </c>
    </row>
    <row r="4077" spans="13:15" x14ac:dyDescent="0.3">
      <c r="M4077" s="35">
        <v>28.99</v>
      </c>
      <c r="N4077">
        <v>305</v>
      </c>
      <c r="O4077" s="34">
        <f t="shared" si="64"/>
        <v>0.46407833314353319</v>
      </c>
    </row>
    <row r="4078" spans="13:15" x14ac:dyDescent="0.3">
      <c r="M4078" s="35">
        <v>28.99</v>
      </c>
      <c r="N4078">
        <v>305</v>
      </c>
      <c r="O4078" s="34">
        <f t="shared" si="64"/>
        <v>0.46419218945686574</v>
      </c>
    </row>
    <row r="4079" spans="13:15" x14ac:dyDescent="0.3">
      <c r="M4079" s="35">
        <v>28.99</v>
      </c>
      <c r="N4079">
        <v>305</v>
      </c>
      <c r="O4079" s="34">
        <f t="shared" si="64"/>
        <v>0.46430604577019829</v>
      </c>
    </row>
    <row r="4080" spans="13:15" x14ac:dyDescent="0.3">
      <c r="M4080" s="35">
        <v>28.99</v>
      </c>
      <c r="N4080">
        <v>305</v>
      </c>
      <c r="O4080" s="34">
        <f t="shared" si="64"/>
        <v>0.46441990208353084</v>
      </c>
    </row>
    <row r="4081" spans="13:15" x14ac:dyDescent="0.3">
      <c r="M4081" s="35">
        <v>29</v>
      </c>
      <c r="N4081">
        <v>305</v>
      </c>
      <c r="O4081" s="34">
        <f t="shared" si="64"/>
        <v>0.46453375839686339</v>
      </c>
    </row>
    <row r="4082" spans="13:15" x14ac:dyDescent="0.3">
      <c r="M4082" s="35">
        <v>29</v>
      </c>
      <c r="N4082">
        <v>305</v>
      </c>
      <c r="O4082" s="34">
        <f t="shared" si="64"/>
        <v>0.46464761471019594</v>
      </c>
    </row>
    <row r="4083" spans="13:15" x14ac:dyDescent="0.3">
      <c r="M4083" s="35">
        <v>29</v>
      </c>
      <c r="N4083">
        <v>305</v>
      </c>
      <c r="O4083" s="34">
        <f t="shared" si="64"/>
        <v>0.46476147102352849</v>
      </c>
    </row>
    <row r="4084" spans="13:15" x14ac:dyDescent="0.3">
      <c r="M4084" s="35">
        <v>29</v>
      </c>
      <c r="N4084">
        <v>305</v>
      </c>
      <c r="O4084" s="34">
        <f t="shared" si="64"/>
        <v>0.46487532733686104</v>
      </c>
    </row>
    <row r="4085" spans="13:15" x14ac:dyDescent="0.3">
      <c r="M4085" s="35">
        <v>29</v>
      </c>
      <c r="N4085">
        <v>305</v>
      </c>
      <c r="O4085" s="34">
        <f t="shared" si="64"/>
        <v>0.46498918365019359</v>
      </c>
    </row>
    <row r="4086" spans="13:15" x14ac:dyDescent="0.3">
      <c r="M4086" s="35">
        <v>29.01</v>
      </c>
      <c r="N4086">
        <v>305</v>
      </c>
      <c r="O4086" s="34">
        <f t="shared" si="64"/>
        <v>0.46510303996352614</v>
      </c>
    </row>
    <row r="4087" spans="13:15" x14ac:dyDescent="0.3">
      <c r="M4087" s="35">
        <v>29.01</v>
      </c>
      <c r="N4087">
        <v>305</v>
      </c>
      <c r="O4087" s="34">
        <f t="shared" si="64"/>
        <v>0.46521689627685869</v>
      </c>
    </row>
    <row r="4088" spans="13:15" x14ac:dyDescent="0.3">
      <c r="M4088" s="35">
        <v>29.01</v>
      </c>
      <c r="N4088">
        <v>305</v>
      </c>
      <c r="O4088" s="34">
        <f t="shared" si="64"/>
        <v>0.46533075259019124</v>
      </c>
    </row>
    <row r="4089" spans="13:15" x14ac:dyDescent="0.3">
      <c r="M4089" s="35">
        <v>29.01</v>
      </c>
      <c r="N4089">
        <v>305</v>
      </c>
      <c r="O4089" s="34">
        <f t="shared" si="64"/>
        <v>0.46544460890352379</v>
      </c>
    </row>
    <row r="4090" spans="13:15" x14ac:dyDescent="0.3">
      <c r="M4090" s="35">
        <v>29.02</v>
      </c>
      <c r="N4090">
        <v>305</v>
      </c>
      <c r="O4090" s="34">
        <f t="shared" si="64"/>
        <v>0.46555846521685634</v>
      </c>
    </row>
    <row r="4091" spans="13:15" x14ac:dyDescent="0.3">
      <c r="M4091" s="35">
        <v>29.03</v>
      </c>
      <c r="N4091">
        <v>305</v>
      </c>
      <c r="O4091" s="34">
        <f t="shared" si="64"/>
        <v>0.46567232153018889</v>
      </c>
    </row>
    <row r="4092" spans="13:15" x14ac:dyDescent="0.3">
      <c r="M4092" s="35">
        <v>29.03</v>
      </c>
      <c r="N4092">
        <v>305</v>
      </c>
      <c r="O4092" s="34">
        <f t="shared" si="64"/>
        <v>0.46578617784352144</v>
      </c>
    </row>
    <row r="4093" spans="13:15" x14ac:dyDescent="0.3">
      <c r="M4093" s="35">
        <v>29.05</v>
      </c>
      <c r="N4093">
        <v>305</v>
      </c>
      <c r="O4093" s="34">
        <f t="shared" si="64"/>
        <v>0.46590003415685399</v>
      </c>
    </row>
    <row r="4094" spans="13:15" x14ac:dyDescent="0.3">
      <c r="M4094" s="35">
        <v>29.05</v>
      </c>
      <c r="N4094">
        <v>305</v>
      </c>
      <c r="O4094" s="34">
        <f t="shared" si="64"/>
        <v>0.46601389047018654</v>
      </c>
    </row>
    <row r="4095" spans="13:15" x14ac:dyDescent="0.3">
      <c r="M4095" s="35">
        <v>29.06</v>
      </c>
      <c r="N4095">
        <v>305</v>
      </c>
      <c r="O4095" s="34">
        <f t="shared" si="64"/>
        <v>0.46612774678351909</v>
      </c>
    </row>
    <row r="4096" spans="13:15" x14ac:dyDescent="0.3">
      <c r="M4096" s="35">
        <v>29.06</v>
      </c>
      <c r="N4096">
        <v>305</v>
      </c>
      <c r="O4096" s="34">
        <f t="shared" si="64"/>
        <v>0.46624160309685164</v>
      </c>
    </row>
    <row r="4097" spans="13:15" x14ac:dyDescent="0.3">
      <c r="M4097" s="35">
        <v>29.06</v>
      </c>
      <c r="N4097">
        <v>305</v>
      </c>
      <c r="O4097" s="34">
        <f t="shared" si="64"/>
        <v>0.46635545941018419</v>
      </c>
    </row>
    <row r="4098" spans="13:15" x14ac:dyDescent="0.3">
      <c r="M4098" s="35">
        <v>29.06</v>
      </c>
      <c r="N4098">
        <v>305</v>
      </c>
      <c r="O4098" s="34">
        <f t="shared" si="64"/>
        <v>0.46646931572351674</v>
      </c>
    </row>
    <row r="4099" spans="13:15" x14ac:dyDescent="0.3">
      <c r="M4099" s="35">
        <v>29.07</v>
      </c>
      <c r="N4099">
        <v>305</v>
      </c>
      <c r="O4099" s="34">
        <f t="shared" si="64"/>
        <v>0.46658317203684929</v>
      </c>
    </row>
    <row r="4100" spans="13:15" x14ac:dyDescent="0.3">
      <c r="M4100" s="35">
        <v>29.07</v>
      </c>
      <c r="N4100">
        <v>305</v>
      </c>
      <c r="O4100" s="34">
        <f t="shared" ref="O4100:O4163" si="65">O4099+O$2</f>
        <v>0.46669702835018184</v>
      </c>
    </row>
    <row r="4101" spans="13:15" x14ac:dyDescent="0.3">
      <c r="M4101" s="35">
        <v>29.07</v>
      </c>
      <c r="N4101">
        <v>305</v>
      </c>
      <c r="O4101" s="34">
        <f t="shared" si="65"/>
        <v>0.46681088466351439</v>
      </c>
    </row>
    <row r="4102" spans="13:15" x14ac:dyDescent="0.3">
      <c r="M4102" s="35">
        <v>29.07</v>
      </c>
      <c r="N4102">
        <v>305</v>
      </c>
      <c r="O4102" s="34">
        <f t="shared" si="65"/>
        <v>0.46692474097684694</v>
      </c>
    </row>
    <row r="4103" spans="13:15" x14ac:dyDescent="0.3">
      <c r="M4103" s="35">
        <v>29.07</v>
      </c>
      <c r="N4103">
        <v>305</v>
      </c>
      <c r="O4103" s="34">
        <f t="shared" si="65"/>
        <v>0.46703859729017949</v>
      </c>
    </row>
    <row r="4104" spans="13:15" x14ac:dyDescent="0.3">
      <c r="M4104" s="35">
        <v>29.08</v>
      </c>
      <c r="N4104">
        <v>305</v>
      </c>
      <c r="O4104" s="34">
        <f t="shared" si="65"/>
        <v>0.46715245360351204</v>
      </c>
    </row>
    <row r="4105" spans="13:15" x14ac:dyDescent="0.3">
      <c r="M4105" s="35">
        <v>29.08</v>
      </c>
      <c r="N4105">
        <v>305</v>
      </c>
      <c r="O4105" s="34">
        <f t="shared" si="65"/>
        <v>0.46726630991684459</v>
      </c>
    </row>
    <row r="4106" spans="13:15" x14ac:dyDescent="0.3">
      <c r="M4106" s="35">
        <v>29.08</v>
      </c>
      <c r="N4106">
        <v>305</v>
      </c>
      <c r="O4106" s="34">
        <f t="shared" si="65"/>
        <v>0.46738016623017714</v>
      </c>
    </row>
    <row r="4107" spans="13:15" x14ac:dyDescent="0.3">
      <c r="M4107" s="35">
        <v>29.1</v>
      </c>
      <c r="N4107">
        <v>305</v>
      </c>
      <c r="O4107" s="34">
        <f t="shared" si="65"/>
        <v>0.46749402254350969</v>
      </c>
    </row>
    <row r="4108" spans="13:15" x14ac:dyDescent="0.3">
      <c r="M4108" s="35">
        <v>29.1</v>
      </c>
      <c r="N4108">
        <v>305</v>
      </c>
      <c r="O4108" s="34">
        <f t="shared" si="65"/>
        <v>0.46760787885684224</v>
      </c>
    </row>
    <row r="4109" spans="13:15" x14ac:dyDescent="0.3">
      <c r="M4109" s="35">
        <v>29.11</v>
      </c>
      <c r="N4109">
        <v>305</v>
      </c>
      <c r="O4109" s="34">
        <f t="shared" si="65"/>
        <v>0.46772173517017479</v>
      </c>
    </row>
    <row r="4110" spans="13:15" x14ac:dyDescent="0.3">
      <c r="M4110" s="35">
        <v>29.11</v>
      </c>
      <c r="N4110">
        <v>305</v>
      </c>
      <c r="O4110" s="34">
        <f t="shared" si="65"/>
        <v>0.46783559148350734</v>
      </c>
    </row>
    <row r="4111" spans="13:15" x14ac:dyDescent="0.3">
      <c r="M4111" s="35">
        <v>29.12</v>
      </c>
      <c r="N4111">
        <v>305</v>
      </c>
      <c r="O4111" s="34">
        <f t="shared" si="65"/>
        <v>0.46794944779683989</v>
      </c>
    </row>
    <row r="4112" spans="13:15" x14ac:dyDescent="0.3">
      <c r="M4112" s="35">
        <v>29.12</v>
      </c>
      <c r="N4112">
        <v>305</v>
      </c>
      <c r="O4112" s="34">
        <f t="shared" si="65"/>
        <v>0.46806330411017244</v>
      </c>
    </row>
    <row r="4113" spans="13:15" x14ac:dyDescent="0.3">
      <c r="M4113" s="35">
        <v>29.12</v>
      </c>
      <c r="N4113">
        <v>305</v>
      </c>
      <c r="O4113" s="34">
        <f t="shared" si="65"/>
        <v>0.46817716042350499</v>
      </c>
    </row>
    <row r="4114" spans="13:15" x14ac:dyDescent="0.3">
      <c r="M4114" s="35">
        <v>29.12</v>
      </c>
      <c r="N4114">
        <v>305</v>
      </c>
      <c r="O4114" s="34">
        <f t="shared" si="65"/>
        <v>0.46829101673683754</v>
      </c>
    </row>
    <row r="4115" spans="13:15" x14ac:dyDescent="0.3">
      <c r="M4115" s="35">
        <v>29.14</v>
      </c>
      <c r="N4115">
        <v>305</v>
      </c>
      <c r="O4115" s="34">
        <f t="shared" si="65"/>
        <v>0.46840487305017009</v>
      </c>
    </row>
    <row r="4116" spans="13:15" x14ac:dyDescent="0.3">
      <c r="M4116" s="35">
        <v>29.14</v>
      </c>
      <c r="N4116">
        <v>305</v>
      </c>
      <c r="O4116" s="34">
        <f t="shared" si="65"/>
        <v>0.46851872936350264</v>
      </c>
    </row>
    <row r="4117" spans="13:15" x14ac:dyDescent="0.3">
      <c r="M4117" s="35">
        <v>29.15</v>
      </c>
      <c r="N4117">
        <v>305</v>
      </c>
      <c r="O4117" s="34">
        <f t="shared" si="65"/>
        <v>0.46863258567683519</v>
      </c>
    </row>
    <row r="4118" spans="13:15" x14ac:dyDescent="0.3">
      <c r="M4118" s="35">
        <v>29.15</v>
      </c>
      <c r="N4118">
        <v>305</v>
      </c>
      <c r="O4118" s="34">
        <f t="shared" si="65"/>
        <v>0.46874644199016774</v>
      </c>
    </row>
    <row r="4119" spans="13:15" x14ac:dyDescent="0.3">
      <c r="M4119" s="35">
        <v>29.15</v>
      </c>
      <c r="N4119">
        <v>305</v>
      </c>
      <c r="O4119" s="34">
        <f t="shared" si="65"/>
        <v>0.46886029830350029</v>
      </c>
    </row>
    <row r="4120" spans="13:15" x14ac:dyDescent="0.3">
      <c r="M4120" s="35">
        <v>29.15</v>
      </c>
      <c r="N4120">
        <v>305</v>
      </c>
      <c r="O4120" s="34">
        <f t="shared" si="65"/>
        <v>0.46897415461683284</v>
      </c>
    </row>
    <row r="4121" spans="13:15" x14ac:dyDescent="0.3">
      <c r="M4121" s="35">
        <v>29.16</v>
      </c>
      <c r="N4121">
        <v>305</v>
      </c>
      <c r="O4121" s="34">
        <f t="shared" si="65"/>
        <v>0.46908801093016539</v>
      </c>
    </row>
    <row r="4122" spans="13:15" x14ac:dyDescent="0.3">
      <c r="M4122" s="35">
        <v>29.16</v>
      </c>
      <c r="N4122">
        <v>305</v>
      </c>
      <c r="O4122" s="34">
        <f t="shared" si="65"/>
        <v>0.46920186724349794</v>
      </c>
    </row>
    <row r="4123" spans="13:15" x14ac:dyDescent="0.3">
      <c r="M4123" s="35">
        <v>29.17</v>
      </c>
      <c r="N4123">
        <v>305</v>
      </c>
      <c r="O4123" s="34">
        <f t="shared" si="65"/>
        <v>0.46931572355683049</v>
      </c>
    </row>
    <row r="4124" spans="13:15" x14ac:dyDescent="0.3">
      <c r="M4124" s="35">
        <v>29.17</v>
      </c>
      <c r="N4124">
        <v>305</v>
      </c>
      <c r="O4124" s="34">
        <f t="shared" si="65"/>
        <v>0.46942957987016304</v>
      </c>
    </row>
    <row r="4125" spans="13:15" x14ac:dyDescent="0.3">
      <c r="M4125" s="35">
        <v>29.17</v>
      </c>
      <c r="N4125">
        <v>305</v>
      </c>
      <c r="O4125" s="34">
        <f t="shared" si="65"/>
        <v>0.46954343618349559</v>
      </c>
    </row>
    <row r="4126" spans="13:15" x14ac:dyDescent="0.3">
      <c r="M4126" s="35">
        <v>29.17</v>
      </c>
      <c r="N4126">
        <v>305</v>
      </c>
      <c r="O4126" s="34">
        <f t="shared" si="65"/>
        <v>0.46965729249682814</v>
      </c>
    </row>
    <row r="4127" spans="13:15" x14ac:dyDescent="0.3">
      <c r="M4127" s="35">
        <v>29.18</v>
      </c>
      <c r="N4127">
        <v>305</v>
      </c>
      <c r="O4127" s="34">
        <f t="shared" si="65"/>
        <v>0.46977114881016069</v>
      </c>
    </row>
    <row r="4128" spans="13:15" x14ac:dyDescent="0.3">
      <c r="M4128" s="35">
        <v>29.18</v>
      </c>
      <c r="N4128">
        <v>305</v>
      </c>
      <c r="O4128" s="34">
        <f t="shared" si="65"/>
        <v>0.46988500512349324</v>
      </c>
    </row>
    <row r="4129" spans="13:15" x14ac:dyDescent="0.3">
      <c r="M4129" s="35">
        <v>29.18</v>
      </c>
      <c r="N4129">
        <v>305</v>
      </c>
      <c r="O4129" s="34">
        <f t="shared" si="65"/>
        <v>0.46999886143682579</v>
      </c>
    </row>
    <row r="4130" spans="13:15" x14ac:dyDescent="0.3">
      <c r="M4130" s="35">
        <v>29.18</v>
      </c>
      <c r="N4130">
        <v>305</v>
      </c>
      <c r="O4130" s="34">
        <f t="shared" si="65"/>
        <v>0.47011271775015834</v>
      </c>
    </row>
    <row r="4131" spans="13:15" x14ac:dyDescent="0.3">
      <c r="M4131" s="35">
        <v>29.18</v>
      </c>
      <c r="N4131">
        <v>305</v>
      </c>
      <c r="O4131" s="34">
        <f t="shared" si="65"/>
        <v>0.47022657406349089</v>
      </c>
    </row>
    <row r="4132" spans="13:15" x14ac:dyDescent="0.3">
      <c r="M4132" s="35">
        <v>29.19</v>
      </c>
      <c r="N4132">
        <v>305</v>
      </c>
      <c r="O4132" s="34">
        <f t="shared" si="65"/>
        <v>0.47034043037682344</v>
      </c>
    </row>
    <row r="4133" spans="13:15" x14ac:dyDescent="0.3">
      <c r="M4133" s="35">
        <v>29.19</v>
      </c>
      <c r="N4133">
        <v>305</v>
      </c>
      <c r="O4133" s="34">
        <f t="shared" si="65"/>
        <v>0.47045428669015599</v>
      </c>
    </row>
    <row r="4134" spans="13:15" x14ac:dyDescent="0.3">
      <c r="M4134" s="35">
        <v>29.19</v>
      </c>
      <c r="N4134">
        <v>305</v>
      </c>
      <c r="O4134" s="34">
        <f t="shared" si="65"/>
        <v>0.47056814300348854</v>
      </c>
    </row>
    <row r="4135" spans="13:15" x14ac:dyDescent="0.3">
      <c r="M4135" s="35">
        <v>29.2</v>
      </c>
      <c r="N4135">
        <v>305</v>
      </c>
      <c r="O4135" s="34">
        <f t="shared" si="65"/>
        <v>0.47068199931682109</v>
      </c>
    </row>
    <row r="4136" spans="13:15" x14ac:dyDescent="0.3">
      <c r="M4136" s="35">
        <v>29.2</v>
      </c>
      <c r="N4136">
        <v>305</v>
      </c>
      <c r="O4136" s="34">
        <f t="shared" si="65"/>
        <v>0.47079585563015364</v>
      </c>
    </row>
    <row r="4137" spans="13:15" x14ac:dyDescent="0.3">
      <c r="M4137" s="35">
        <v>29.21</v>
      </c>
      <c r="N4137">
        <v>305</v>
      </c>
      <c r="O4137" s="34">
        <f t="shared" si="65"/>
        <v>0.47090971194348619</v>
      </c>
    </row>
    <row r="4138" spans="13:15" x14ac:dyDescent="0.3">
      <c r="M4138" s="35">
        <v>29.22</v>
      </c>
      <c r="N4138">
        <v>305</v>
      </c>
      <c r="O4138" s="34">
        <f t="shared" si="65"/>
        <v>0.47102356825681874</v>
      </c>
    </row>
    <row r="4139" spans="13:15" x14ac:dyDescent="0.3">
      <c r="M4139" s="35">
        <v>29.22</v>
      </c>
      <c r="N4139">
        <v>305</v>
      </c>
      <c r="O4139" s="34">
        <f t="shared" si="65"/>
        <v>0.47113742457015129</v>
      </c>
    </row>
    <row r="4140" spans="13:15" x14ac:dyDescent="0.3">
      <c r="M4140" s="35">
        <v>29.22</v>
      </c>
      <c r="N4140">
        <v>305</v>
      </c>
      <c r="O4140" s="34">
        <f t="shared" si="65"/>
        <v>0.47125128088348384</v>
      </c>
    </row>
    <row r="4141" spans="13:15" x14ac:dyDescent="0.3">
      <c r="M4141" s="35">
        <v>29.24</v>
      </c>
      <c r="N4141">
        <v>305</v>
      </c>
      <c r="O4141" s="34">
        <f t="shared" si="65"/>
        <v>0.47136513719681639</v>
      </c>
    </row>
    <row r="4142" spans="13:15" x14ac:dyDescent="0.3">
      <c r="M4142" s="35">
        <v>29.24</v>
      </c>
      <c r="N4142">
        <v>305</v>
      </c>
      <c r="O4142" s="34">
        <f t="shared" si="65"/>
        <v>0.47147899351014894</v>
      </c>
    </row>
    <row r="4143" spans="13:15" x14ac:dyDescent="0.3">
      <c r="M4143" s="35">
        <v>29.24</v>
      </c>
      <c r="N4143">
        <v>305</v>
      </c>
      <c r="O4143" s="34">
        <f t="shared" si="65"/>
        <v>0.47159284982348149</v>
      </c>
    </row>
    <row r="4144" spans="13:15" x14ac:dyDescent="0.3">
      <c r="M4144" s="35">
        <v>29.25</v>
      </c>
      <c r="N4144">
        <v>305</v>
      </c>
      <c r="O4144" s="34">
        <f t="shared" si="65"/>
        <v>0.47170670613681404</v>
      </c>
    </row>
    <row r="4145" spans="13:15" x14ac:dyDescent="0.3">
      <c r="M4145" s="35">
        <v>29.25</v>
      </c>
      <c r="N4145">
        <v>305</v>
      </c>
      <c r="O4145" s="34">
        <f t="shared" si="65"/>
        <v>0.47182056245014659</v>
      </c>
    </row>
    <row r="4146" spans="13:15" x14ac:dyDescent="0.3">
      <c r="M4146" s="35">
        <v>29.25</v>
      </c>
      <c r="N4146">
        <v>305</v>
      </c>
      <c r="O4146" s="34">
        <f t="shared" si="65"/>
        <v>0.47193441876347914</v>
      </c>
    </row>
    <row r="4147" spans="13:15" x14ac:dyDescent="0.3">
      <c r="M4147" s="35">
        <v>29.25</v>
      </c>
      <c r="N4147">
        <v>305</v>
      </c>
      <c r="O4147" s="34">
        <f t="shared" si="65"/>
        <v>0.47204827507681169</v>
      </c>
    </row>
    <row r="4148" spans="13:15" x14ac:dyDescent="0.3">
      <c r="M4148" s="35">
        <v>29.25</v>
      </c>
      <c r="N4148">
        <v>305</v>
      </c>
      <c r="O4148" s="34">
        <f t="shared" si="65"/>
        <v>0.47216213139014424</v>
      </c>
    </row>
    <row r="4149" spans="13:15" x14ac:dyDescent="0.3">
      <c r="M4149" s="35">
        <v>29.25</v>
      </c>
      <c r="N4149">
        <v>305</v>
      </c>
      <c r="O4149" s="34">
        <f t="shared" si="65"/>
        <v>0.47227598770347679</v>
      </c>
    </row>
    <row r="4150" spans="13:15" x14ac:dyDescent="0.3">
      <c r="M4150" s="35">
        <v>29.26</v>
      </c>
      <c r="N4150">
        <v>305</v>
      </c>
      <c r="O4150" s="34">
        <f t="shared" si="65"/>
        <v>0.47238984401680933</v>
      </c>
    </row>
    <row r="4151" spans="13:15" x14ac:dyDescent="0.3">
      <c r="M4151" s="35">
        <v>29.26</v>
      </c>
      <c r="N4151">
        <v>305</v>
      </c>
      <c r="O4151" s="34">
        <f t="shared" si="65"/>
        <v>0.47250370033014188</v>
      </c>
    </row>
    <row r="4152" spans="13:15" x14ac:dyDescent="0.3">
      <c r="M4152" s="35">
        <v>29.27</v>
      </c>
      <c r="N4152">
        <v>305</v>
      </c>
      <c r="O4152" s="34">
        <f t="shared" si="65"/>
        <v>0.47261755664347443</v>
      </c>
    </row>
    <row r="4153" spans="13:15" x14ac:dyDescent="0.3">
      <c r="M4153" s="35">
        <v>29.28</v>
      </c>
      <c r="N4153">
        <v>305</v>
      </c>
      <c r="O4153" s="34">
        <f t="shared" si="65"/>
        <v>0.47273141295680698</v>
      </c>
    </row>
    <row r="4154" spans="13:15" x14ac:dyDescent="0.3">
      <c r="M4154" s="35">
        <v>29.29</v>
      </c>
      <c r="N4154">
        <v>305</v>
      </c>
      <c r="O4154" s="34">
        <f t="shared" si="65"/>
        <v>0.47284526927013953</v>
      </c>
    </row>
    <row r="4155" spans="13:15" x14ac:dyDescent="0.3">
      <c r="M4155" s="35">
        <v>29.29</v>
      </c>
      <c r="N4155">
        <v>305</v>
      </c>
      <c r="O4155" s="34">
        <f t="shared" si="65"/>
        <v>0.47295912558347208</v>
      </c>
    </row>
    <row r="4156" spans="13:15" x14ac:dyDescent="0.3">
      <c r="M4156" s="35">
        <v>29.3</v>
      </c>
      <c r="N4156">
        <v>305</v>
      </c>
      <c r="O4156" s="34">
        <f t="shared" si="65"/>
        <v>0.47307298189680463</v>
      </c>
    </row>
    <row r="4157" spans="13:15" x14ac:dyDescent="0.3">
      <c r="M4157" s="35">
        <v>29.3</v>
      </c>
      <c r="N4157">
        <v>305</v>
      </c>
      <c r="O4157" s="34">
        <f t="shared" si="65"/>
        <v>0.47318683821013718</v>
      </c>
    </row>
    <row r="4158" spans="13:15" x14ac:dyDescent="0.3">
      <c r="M4158" s="35">
        <v>29.3</v>
      </c>
      <c r="N4158">
        <v>305</v>
      </c>
      <c r="O4158" s="34">
        <f t="shared" si="65"/>
        <v>0.47330069452346973</v>
      </c>
    </row>
    <row r="4159" spans="13:15" x14ac:dyDescent="0.3">
      <c r="M4159" s="35">
        <v>29.31</v>
      </c>
      <c r="N4159">
        <v>305</v>
      </c>
      <c r="O4159" s="34">
        <f t="shared" si="65"/>
        <v>0.47341455083680228</v>
      </c>
    </row>
    <row r="4160" spans="13:15" x14ac:dyDescent="0.3">
      <c r="M4160" s="35">
        <v>29.32</v>
      </c>
      <c r="N4160">
        <v>305</v>
      </c>
      <c r="O4160" s="34">
        <f t="shared" si="65"/>
        <v>0.47352840715013483</v>
      </c>
    </row>
    <row r="4161" spans="13:15" x14ac:dyDescent="0.3">
      <c r="M4161" s="35">
        <v>29.32</v>
      </c>
      <c r="N4161">
        <v>305</v>
      </c>
      <c r="O4161" s="34">
        <f t="shared" si="65"/>
        <v>0.47364226346346738</v>
      </c>
    </row>
    <row r="4162" spans="13:15" x14ac:dyDescent="0.3">
      <c r="M4162" s="35">
        <v>29.32</v>
      </c>
      <c r="N4162">
        <v>305</v>
      </c>
      <c r="O4162" s="34">
        <f t="shared" si="65"/>
        <v>0.47375611977679993</v>
      </c>
    </row>
    <row r="4163" spans="13:15" x14ac:dyDescent="0.3">
      <c r="M4163" s="35">
        <v>29.33</v>
      </c>
      <c r="N4163">
        <v>305</v>
      </c>
      <c r="O4163" s="34">
        <f t="shared" si="65"/>
        <v>0.47386997609013248</v>
      </c>
    </row>
    <row r="4164" spans="13:15" x14ac:dyDescent="0.3">
      <c r="M4164" s="35">
        <v>29.33</v>
      </c>
      <c r="N4164">
        <v>305</v>
      </c>
      <c r="O4164" s="34">
        <f t="shared" ref="O4164:O4227" si="66">O4163+O$2</f>
        <v>0.47398383240346503</v>
      </c>
    </row>
    <row r="4165" spans="13:15" x14ac:dyDescent="0.3">
      <c r="M4165" s="35">
        <v>29.33</v>
      </c>
      <c r="N4165">
        <v>305</v>
      </c>
      <c r="O4165" s="34">
        <f t="shared" si="66"/>
        <v>0.47409768871679758</v>
      </c>
    </row>
    <row r="4166" spans="13:15" x14ac:dyDescent="0.3">
      <c r="M4166" s="35">
        <v>29.33</v>
      </c>
      <c r="N4166">
        <v>305</v>
      </c>
      <c r="O4166" s="34">
        <f t="shared" si="66"/>
        <v>0.47421154503013013</v>
      </c>
    </row>
    <row r="4167" spans="13:15" x14ac:dyDescent="0.3">
      <c r="M4167" s="35">
        <v>29.34</v>
      </c>
      <c r="N4167">
        <v>305</v>
      </c>
      <c r="O4167" s="34">
        <f t="shared" si="66"/>
        <v>0.47432540134346268</v>
      </c>
    </row>
    <row r="4168" spans="13:15" x14ac:dyDescent="0.3">
      <c r="M4168" s="35">
        <v>29.34</v>
      </c>
      <c r="N4168">
        <v>305</v>
      </c>
      <c r="O4168" s="34">
        <f t="shared" si="66"/>
        <v>0.47443925765679523</v>
      </c>
    </row>
    <row r="4169" spans="13:15" x14ac:dyDescent="0.3">
      <c r="M4169" s="35">
        <v>29.34</v>
      </c>
      <c r="N4169">
        <v>305</v>
      </c>
      <c r="O4169" s="34">
        <f t="shared" si="66"/>
        <v>0.47455311397012778</v>
      </c>
    </row>
    <row r="4170" spans="13:15" x14ac:dyDescent="0.3">
      <c r="M4170" s="35">
        <v>29.35</v>
      </c>
      <c r="N4170">
        <v>305</v>
      </c>
      <c r="O4170" s="34">
        <f t="shared" si="66"/>
        <v>0.47466697028346033</v>
      </c>
    </row>
    <row r="4171" spans="13:15" x14ac:dyDescent="0.3">
      <c r="M4171" s="35">
        <v>29.35</v>
      </c>
      <c r="N4171">
        <v>305</v>
      </c>
      <c r="O4171" s="34">
        <f t="shared" si="66"/>
        <v>0.47478082659679288</v>
      </c>
    </row>
    <row r="4172" spans="13:15" x14ac:dyDescent="0.3">
      <c r="M4172" s="35">
        <v>29.36</v>
      </c>
      <c r="N4172">
        <v>305</v>
      </c>
      <c r="O4172" s="34">
        <f t="shared" si="66"/>
        <v>0.47489468291012543</v>
      </c>
    </row>
    <row r="4173" spans="13:15" x14ac:dyDescent="0.3">
      <c r="M4173" s="35">
        <v>29.36</v>
      </c>
      <c r="N4173">
        <v>305</v>
      </c>
      <c r="O4173" s="34">
        <f t="shared" si="66"/>
        <v>0.47500853922345798</v>
      </c>
    </row>
    <row r="4174" spans="13:15" x14ac:dyDescent="0.3">
      <c r="M4174" s="35">
        <v>29.36</v>
      </c>
      <c r="N4174">
        <v>305</v>
      </c>
      <c r="O4174" s="34">
        <f t="shared" si="66"/>
        <v>0.47512239553679053</v>
      </c>
    </row>
    <row r="4175" spans="13:15" x14ac:dyDescent="0.3">
      <c r="M4175" s="35">
        <v>29.36</v>
      </c>
      <c r="N4175">
        <v>305</v>
      </c>
      <c r="O4175" s="34">
        <f t="shared" si="66"/>
        <v>0.47523625185012308</v>
      </c>
    </row>
    <row r="4176" spans="13:15" x14ac:dyDescent="0.3">
      <c r="M4176" s="35">
        <v>29.37</v>
      </c>
      <c r="N4176">
        <v>305</v>
      </c>
      <c r="O4176" s="34">
        <f t="shared" si="66"/>
        <v>0.47535010816345563</v>
      </c>
    </row>
    <row r="4177" spans="13:15" x14ac:dyDescent="0.3">
      <c r="M4177" s="35">
        <v>29.37</v>
      </c>
      <c r="N4177">
        <v>305</v>
      </c>
      <c r="O4177" s="34">
        <f t="shared" si="66"/>
        <v>0.47546396447678818</v>
      </c>
    </row>
    <row r="4178" spans="13:15" x14ac:dyDescent="0.3">
      <c r="M4178" s="35">
        <v>29.37</v>
      </c>
      <c r="N4178">
        <v>305</v>
      </c>
      <c r="O4178" s="34">
        <f t="shared" si="66"/>
        <v>0.47557782079012073</v>
      </c>
    </row>
    <row r="4179" spans="13:15" x14ac:dyDescent="0.3">
      <c r="M4179" s="35">
        <v>29.38</v>
      </c>
      <c r="N4179">
        <v>305</v>
      </c>
      <c r="O4179" s="34">
        <f t="shared" si="66"/>
        <v>0.47569167710345328</v>
      </c>
    </row>
    <row r="4180" spans="13:15" x14ac:dyDescent="0.3">
      <c r="M4180" s="35">
        <v>29.38</v>
      </c>
      <c r="N4180">
        <v>305</v>
      </c>
      <c r="O4180" s="34">
        <f t="shared" si="66"/>
        <v>0.47580553341678583</v>
      </c>
    </row>
    <row r="4181" spans="13:15" x14ac:dyDescent="0.3">
      <c r="M4181" s="35">
        <v>29.38</v>
      </c>
      <c r="N4181">
        <v>305</v>
      </c>
      <c r="O4181" s="34">
        <f t="shared" si="66"/>
        <v>0.47591938973011838</v>
      </c>
    </row>
    <row r="4182" spans="13:15" x14ac:dyDescent="0.3">
      <c r="M4182" s="35">
        <v>29.38</v>
      </c>
      <c r="N4182">
        <v>305</v>
      </c>
      <c r="O4182" s="34">
        <f t="shared" si="66"/>
        <v>0.47603324604345093</v>
      </c>
    </row>
    <row r="4183" spans="13:15" x14ac:dyDescent="0.3">
      <c r="M4183" s="35">
        <v>29.39</v>
      </c>
      <c r="N4183">
        <v>305</v>
      </c>
      <c r="O4183" s="34">
        <f t="shared" si="66"/>
        <v>0.47614710235678348</v>
      </c>
    </row>
    <row r="4184" spans="13:15" x14ac:dyDescent="0.3">
      <c r="M4184" s="35">
        <v>29.39</v>
      </c>
      <c r="N4184">
        <v>305</v>
      </c>
      <c r="O4184" s="34">
        <f t="shared" si="66"/>
        <v>0.47626095867011603</v>
      </c>
    </row>
    <row r="4185" spans="13:15" x14ac:dyDescent="0.3">
      <c r="M4185" s="35">
        <v>29.4</v>
      </c>
      <c r="N4185">
        <v>305</v>
      </c>
      <c r="O4185" s="34">
        <f t="shared" si="66"/>
        <v>0.47637481498344858</v>
      </c>
    </row>
    <row r="4186" spans="13:15" x14ac:dyDescent="0.3">
      <c r="M4186" s="35">
        <v>29.4</v>
      </c>
      <c r="N4186">
        <v>305</v>
      </c>
      <c r="O4186" s="34">
        <f t="shared" si="66"/>
        <v>0.47648867129678113</v>
      </c>
    </row>
    <row r="4187" spans="13:15" x14ac:dyDescent="0.3">
      <c r="M4187" s="35">
        <v>29.41</v>
      </c>
      <c r="N4187">
        <v>305</v>
      </c>
      <c r="O4187" s="34">
        <f t="shared" si="66"/>
        <v>0.47660252761011368</v>
      </c>
    </row>
    <row r="4188" spans="13:15" x14ac:dyDescent="0.3">
      <c r="M4188" s="35">
        <v>29.41</v>
      </c>
      <c r="N4188">
        <v>305</v>
      </c>
      <c r="O4188" s="34">
        <f t="shared" si="66"/>
        <v>0.47671638392344623</v>
      </c>
    </row>
    <row r="4189" spans="13:15" x14ac:dyDescent="0.3">
      <c r="M4189" s="35">
        <v>29.41</v>
      </c>
      <c r="N4189">
        <v>305</v>
      </c>
      <c r="O4189" s="34">
        <f t="shared" si="66"/>
        <v>0.47683024023677878</v>
      </c>
    </row>
    <row r="4190" spans="13:15" x14ac:dyDescent="0.3">
      <c r="M4190" s="35">
        <v>29.41</v>
      </c>
      <c r="N4190">
        <v>305</v>
      </c>
      <c r="O4190" s="34">
        <f t="shared" si="66"/>
        <v>0.47694409655011133</v>
      </c>
    </row>
    <row r="4191" spans="13:15" x14ac:dyDescent="0.3">
      <c r="M4191" s="35">
        <v>29.42</v>
      </c>
      <c r="N4191">
        <v>305</v>
      </c>
      <c r="O4191" s="34">
        <f t="shared" si="66"/>
        <v>0.47705795286344388</v>
      </c>
    </row>
    <row r="4192" spans="13:15" x14ac:dyDescent="0.3">
      <c r="M4192" s="35">
        <v>29.42</v>
      </c>
      <c r="N4192">
        <v>305</v>
      </c>
      <c r="O4192" s="34">
        <f t="shared" si="66"/>
        <v>0.47717180917677643</v>
      </c>
    </row>
    <row r="4193" spans="13:15" x14ac:dyDescent="0.3">
      <c r="M4193" s="35">
        <v>29.43</v>
      </c>
      <c r="N4193">
        <v>305</v>
      </c>
      <c r="O4193" s="34">
        <f t="shared" si="66"/>
        <v>0.47728566549010898</v>
      </c>
    </row>
    <row r="4194" spans="13:15" x14ac:dyDescent="0.3">
      <c r="M4194" s="35">
        <v>29.43</v>
      </c>
      <c r="N4194">
        <v>305</v>
      </c>
      <c r="O4194" s="34">
        <f t="shared" si="66"/>
        <v>0.47739952180344153</v>
      </c>
    </row>
    <row r="4195" spans="13:15" x14ac:dyDescent="0.3">
      <c r="M4195" s="35">
        <v>29.43</v>
      </c>
      <c r="N4195">
        <v>305</v>
      </c>
      <c r="O4195" s="34">
        <f t="shared" si="66"/>
        <v>0.47751337811677408</v>
      </c>
    </row>
    <row r="4196" spans="13:15" x14ac:dyDescent="0.3">
      <c r="M4196" s="35">
        <v>29.44</v>
      </c>
      <c r="N4196">
        <v>305</v>
      </c>
      <c r="O4196" s="34">
        <f t="shared" si="66"/>
        <v>0.47762723443010663</v>
      </c>
    </row>
    <row r="4197" spans="13:15" x14ac:dyDescent="0.3">
      <c r="M4197" s="35">
        <v>29.44</v>
      </c>
      <c r="N4197">
        <v>305</v>
      </c>
      <c r="O4197" s="34">
        <f t="shared" si="66"/>
        <v>0.47774109074343918</v>
      </c>
    </row>
    <row r="4198" spans="13:15" x14ac:dyDescent="0.3">
      <c r="M4198" s="35">
        <v>29.44</v>
      </c>
      <c r="N4198">
        <v>305</v>
      </c>
      <c r="O4198" s="34">
        <f t="shared" si="66"/>
        <v>0.47785494705677173</v>
      </c>
    </row>
    <row r="4199" spans="13:15" x14ac:dyDescent="0.3">
      <c r="M4199" s="35">
        <v>29.44</v>
      </c>
      <c r="N4199">
        <v>305</v>
      </c>
      <c r="O4199" s="34">
        <f t="shared" si="66"/>
        <v>0.47796880337010428</v>
      </c>
    </row>
    <row r="4200" spans="13:15" x14ac:dyDescent="0.3">
      <c r="M4200" s="35">
        <v>29.45</v>
      </c>
      <c r="N4200">
        <v>305</v>
      </c>
      <c r="O4200" s="34">
        <f t="shared" si="66"/>
        <v>0.47808265968343683</v>
      </c>
    </row>
    <row r="4201" spans="13:15" x14ac:dyDescent="0.3">
      <c r="M4201" s="35">
        <v>29.45</v>
      </c>
      <c r="N4201">
        <v>305</v>
      </c>
      <c r="O4201" s="34">
        <f t="shared" si="66"/>
        <v>0.47819651599676938</v>
      </c>
    </row>
    <row r="4202" spans="13:15" x14ac:dyDescent="0.3">
      <c r="M4202" s="35">
        <v>29.45</v>
      </c>
      <c r="N4202">
        <v>305</v>
      </c>
      <c r="O4202" s="34">
        <f t="shared" si="66"/>
        <v>0.47831037231010193</v>
      </c>
    </row>
    <row r="4203" spans="13:15" x14ac:dyDescent="0.3">
      <c r="M4203" s="35">
        <v>29.45</v>
      </c>
      <c r="N4203">
        <v>305</v>
      </c>
      <c r="O4203" s="34">
        <f t="shared" si="66"/>
        <v>0.47842422862343448</v>
      </c>
    </row>
    <row r="4204" spans="13:15" x14ac:dyDescent="0.3">
      <c r="M4204" s="35">
        <v>29.46</v>
      </c>
      <c r="N4204">
        <v>305</v>
      </c>
      <c r="O4204" s="34">
        <f t="shared" si="66"/>
        <v>0.47853808493676703</v>
      </c>
    </row>
    <row r="4205" spans="13:15" x14ac:dyDescent="0.3">
      <c r="M4205" s="35">
        <v>29.46</v>
      </c>
      <c r="N4205">
        <v>305</v>
      </c>
      <c r="O4205" s="34">
        <f t="shared" si="66"/>
        <v>0.47865194125009958</v>
      </c>
    </row>
    <row r="4206" spans="13:15" x14ac:dyDescent="0.3">
      <c r="M4206" s="35">
        <v>29.46</v>
      </c>
      <c r="N4206">
        <v>305</v>
      </c>
      <c r="O4206" s="34">
        <f t="shared" si="66"/>
        <v>0.47876579756343213</v>
      </c>
    </row>
    <row r="4207" spans="13:15" x14ac:dyDescent="0.3">
      <c r="M4207" s="35">
        <v>29.47</v>
      </c>
      <c r="N4207">
        <v>305</v>
      </c>
      <c r="O4207" s="34">
        <f t="shared" si="66"/>
        <v>0.47887965387676468</v>
      </c>
    </row>
    <row r="4208" spans="13:15" x14ac:dyDescent="0.3">
      <c r="M4208" s="35">
        <v>29.47</v>
      </c>
      <c r="N4208">
        <v>305</v>
      </c>
      <c r="O4208" s="34">
        <f t="shared" si="66"/>
        <v>0.47899351019009723</v>
      </c>
    </row>
    <row r="4209" spans="13:15" x14ac:dyDescent="0.3">
      <c r="M4209" s="35">
        <v>29.48</v>
      </c>
      <c r="N4209">
        <v>305</v>
      </c>
      <c r="O4209" s="34">
        <f t="shared" si="66"/>
        <v>0.47910736650342978</v>
      </c>
    </row>
    <row r="4210" spans="13:15" x14ac:dyDescent="0.3">
      <c r="M4210" s="35">
        <v>29.49</v>
      </c>
      <c r="N4210">
        <v>305</v>
      </c>
      <c r="O4210" s="34">
        <f t="shared" si="66"/>
        <v>0.47922122281676233</v>
      </c>
    </row>
    <row r="4211" spans="13:15" x14ac:dyDescent="0.3">
      <c r="M4211" s="35">
        <v>29.5</v>
      </c>
      <c r="N4211">
        <v>305</v>
      </c>
      <c r="O4211" s="34">
        <f t="shared" si="66"/>
        <v>0.47933507913009488</v>
      </c>
    </row>
    <row r="4212" spans="13:15" x14ac:dyDescent="0.3">
      <c r="M4212" s="35">
        <v>29.51</v>
      </c>
      <c r="N4212">
        <v>305</v>
      </c>
      <c r="O4212" s="34">
        <f t="shared" si="66"/>
        <v>0.47944893544342743</v>
      </c>
    </row>
    <row r="4213" spans="13:15" x14ac:dyDescent="0.3">
      <c r="M4213" s="35">
        <v>29.51</v>
      </c>
      <c r="N4213">
        <v>305</v>
      </c>
      <c r="O4213" s="34">
        <f t="shared" si="66"/>
        <v>0.47956279175675998</v>
      </c>
    </row>
    <row r="4214" spans="13:15" x14ac:dyDescent="0.3">
      <c r="M4214" s="35">
        <v>29.51</v>
      </c>
      <c r="N4214">
        <v>305</v>
      </c>
      <c r="O4214" s="34">
        <f t="shared" si="66"/>
        <v>0.47967664807009253</v>
      </c>
    </row>
    <row r="4215" spans="13:15" x14ac:dyDescent="0.3">
      <c r="M4215" s="35">
        <v>29.51</v>
      </c>
      <c r="N4215">
        <v>305</v>
      </c>
      <c r="O4215" s="34">
        <f t="shared" si="66"/>
        <v>0.47979050438342508</v>
      </c>
    </row>
    <row r="4216" spans="13:15" x14ac:dyDescent="0.3">
      <c r="M4216" s="35">
        <v>29.52</v>
      </c>
      <c r="N4216">
        <v>305</v>
      </c>
      <c r="O4216" s="34">
        <f t="shared" si="66"/>
        <v>0.47990436069675763</v>
      </c>
    </row>
    <row r="4217" spans="13:15" x14ac:dyDescent="0.3">
      <c r="M4217" s="35">
        <v>29.52</v>
      </c>
      <c r="N4217">
        <v>305</v>
      </c>
      <c r="O4217" s="34">
        <f t="shared" si="66"/>
        <v>0.48001821701009018</v>
      </c>
    </row>
    <row r="4218" spans="13:15" x14ac:dyDescent="0.3">
      <c r="M4218" s="35">
        <v>29.53</v>
      </c>
      <c r="N4218">
        <v>305</v>
      </c>
      <c r="O4218" s="34">
        <f t="shared" si="66"/>
        <v>0.48013207332342273</v>
      </c>
    </row>
    <row r="4219" spans="13:15" x14ac:dyDescent="0.3">
      <c r="M4219" s="35">
        <v>29.53</v>
      </c>
      <c r="N4219">
        <v>305</v>
      </c>
      <c r="O4219" s="34">
        <f t="shared" si="66"/>
        <v>0.48024592963675528</v>
      </c>
    </row>
    <row r="4220" spans="13:15" x14ac:dyDescent="0.3">
      <c r="M4220" s="35">
        <v>29.53</v>
      </c>
      <c r="N4220">
        <v>305</v>
      </c>
      <c r="O4220" s="34">
        <f t="shared" si="66"/>
        <v>0.48035978595008783</v>
      </c>
    </row>
    <row r="4221" spans="13:15" x14ac:dyDescent="0.3">
      <c r="M4221" s="35">
        <v>29.53</v>
      </c>
      <c r="N4221">
        <v>305</v>
      </c>
      <c r="O4221" s="34">
        <f t="shared" si="66"/>
        <v>0.48047364226342038</v>
      </c>
    </row>
    <row r="4222" spans="13:15" x14ac:dyDescent="0.3">
      <c r="M4222" s="35">
        <v>29.53</v>
      </c>
      <c r="N4222">
        <v>305</v>
      </c>
      <c r="O4222" s="34">
        <f t="shared" si="66"/>
        <v>0.48058749857675293</v>
      </c>
    </row>
    <row r="4223" spans="13:15" x14ac:dyDescent="0.3">
      <c r="M4223" s="35">
        <v>29.54</v>
      </c>
      <c r="N4223">
        <v>305</v>
      </c>
      <c r="O4223" s="34">
        <f t="shared" si="66"/>
        <v>0.48070135489008547</v>
      </c>
    </row>
    <row r="4224" spans="13:15" x14ac:dyDescent="0.3">
      <c r="M4224" s="35">
        <v>29.54</v>
      </c>
      <c r="N4224">
        <v>305</v>
      </c>
      <c r="O4224" s="34">
        <f t="shared" si="66"/>
        <v>0.48081521120341802</v>
      </c>
    </row>
    <row r="4225" spans="13:15" x14ac:dyDescent="0.3">
      <c r="M4225" s="35">
        <v>29.54</v>
      </c>
      <c r="N4225">
        <v>305</v>
      </c>
      <c r="O4225" s="34">
        <f t="shared" si="66"/>
        <v>0.48092906751675057</v>
      </c>
    </row>
    <row r="4226" spans="13:15" x14ac:dyDescent="0.3">
      <c r="M4226" s="35">
        <v>29.54</v>
      </c>
      <c r="N4226">
        <v>305</v>
      </c>
      <c r="O4226" s="34">
        <f t="shared" si="66"/>
        <v>0.48104292383008312</v>
      </c>
    </row>
    <row r="4227" spans="13:15" x14ac:dyDescent="0.3">
      <c r="M4227" s="35">
        <v>29.55</v>
      </c>
      <c r="N4227">
        <v>305</v>
      </c>
      <c r="O4227" s="34">
        <f t="shared" si="66"/>
        <v>0.48115678014341567</v>
      </c>
    </row>
    <row r="4228" spans="13:15" x14ac:dyDescent="0.3">
      <c r="M4228" s="35">
        <v>29.56</v>
      </c>
      <c r="N4228">
        <v>305</v>
      </c>
      <c r="O4228" s="34">
        <f t="shared" ref="O4228:O4291" si="67">O4227+O$2</f>
        <v>0.48127063645674822</v>
      </c>
    </row>
    <row r="4229" spans="13:15" x14ac:dyDescent="0.3">
      <c r="M4229" s="35">
        <v>29.56</v>
      </c>
      <c r="N4229">
        <v>305</v>
      </c>
      <c r="O4229" s="34">
        <f t="shared" si="67"/>
        <v>0.48138449277008077</v>
      </c>
    </row>
    <row r="4230" spans="13:15" x14ac:dyDescent="0.3">
      <c r="M4230" s="35">
        <v>29.56</v>
      </c>
      <c r="N4230">
        <v>305</v>
      </c>
      <c r="O4230" s="34">
        <f t="shared" si="67"/>
        <v>0.48149834908341332</v>
      </c>
    </row>
    <row r="4231" spans="13:15" x14ac:dyDescent="0.3">
      <c r="M4231" s="35">
        <v>29.56</v>
      </c>
      <c r="N4231">
        <v>305</v>
      </c>
      <c r="O4231" s="34">
        <f t="shared" si="67"/>
        <v>0.48161220539674587</v>
      </c>
    </row>
    <row r="4232" spans="13:15" x14ac:dyDescent="0.3">
      <c r="M4232" s="35">
        <v>29.57</v>
      </c>
      <c r="N4232">
        <v>305</v>
      </c>
      <c r="O4232" s="34">
        <f t="shared" si="67"/>
        <v>0.48172606171007842</v>
      </c>
    </row>
    <row r="4233" spans="13:15" x14ac:dyDescent="0.3">
      <c r="M4233" s="35">
        <v>29.57</v>
      </c>
      <c r="N4233">
        <v>305</v>
      </c>
      <c r="O4233" s="34">
        <f t="shared" si="67"/>
        <v>0.48183991802341097</v>
      </c>
    </row>
    <row r="4234" spans="13:15" x14ac:dyDescent="0.3">
      <c r="M4234" s="35">
        <v>29.58</v>
      </c>
      <c r="N4234">
        <v>305</v>
      </c>
      <c r="O4234" s="34">
        <f t="shared" si="67"/>
        <v>0.48195377433674352</v>
      </c>
    </row>
    <row r="4235" spans="13:15" x14ac:dyDescent="0.3">
      <c r="M4235" s="35">
        <v>29.58</v>
      </c>
      <c r="N4235">
        <v>305</v>
      </c>
      <c r="O4235" s="34">
        <f t="shared" si="67"/>
        <v>0.48206763065007607</v>
      </c>
    </row>
    <row r="4236" spans="13:15" x14ac:dyDescent="0.3">
      <c r="M4236" s="35">
        <v>29.58</v>
      </c>
      <c r="N4236">
        <v>305</v>
      </c>
      <c r="O4236" s="34">
        <f t="shared" si="67"/>
        <v>0.48218148696340862</v>
      </c>
    </row>
    <row r="4237" spans="13:15" x14ac:dyDescent="0.3">
      <c r="M4237" s="35">
        <v>29.58</v>
      </c>
      <c r="N4237">
        <v>305</v>
      </c>
      <c r="O4237" s="34">
        <f t="shared" si="67"/>
        <v>0.48229534327674117</v>
      </c>
    </row>
    <row r="4238" spans="13:15" x14ac:dyDescent="0.3">
      <c r="M4238" s="35">
        <v>29.58</v>
      </c>
      <c r="N4238">
        <v>305</v>
      </c>
      <c r="O4238" s="34">
        <f t="shared" si="67"/>
        <v>0.48240919959007372</v>
      </c>
    </row>
    <row r="4239" spans="13:15" x14ac:dyDescent="0.3">
      <c r="M4239" s="35">
        <v>29.59</v>
      </c>
      <c r="N4239">
        <v>305</v>
      </c>
      <c r="O4239" s="34">
        <f t="shared" si="67"/>
        <v>0.48252305590340627</v>
      </c>
    </row>
    <row r="4240" spans="13:15" x14ac:dyDescent="0.3">
      <c r="M4240" s="35">
        <v>29.59</v>
      </c>
      <c r="N4240">
        <v>305</v>
      </c>
      <c r="O4240" s="34">
        <f t="shared" si="67"/>
        <v>0.48263691221673882</v>
      </c>
    </row>
    <row r="4241" spans="13:15" x14ac:dyDescent="0.3">
      <c r="M4241" s="35">
        <v>29.59</v>
      </c>
      <c r="N4241">
        <v>305</v>
      </c>
      <c r="O4241" s="34">
        <f t="shared" si="67"/>
        <v>0.48275076853007137</v>
      </c>
    </row>
    <row r="4242" spans="13:15" x14ac:dyDescent="0.3">
      <c r="M4242" s="35">
        <v>29.6</v>
      </c>
      <c r="N4242">
        <v>305</v>
      </c>
      <c r="O4242" s="34">
        <f t="shared" si="67"/>
        <v>0.48286462484340392</v>
      </c>
    </row>
    <row r="4243" spans="13:15" x14ac:dyDescent="0.3">
      <c r="M4243" s="35">
        <v>29.61</v>
      </c>
      <c r="N4243">
        <v>305</v>
      </c>
      <c r="O4243" s="34">
        <f t="shared" si="67"/>
        <v>0.48297848115673647</v>
      </c>
    </row>
    <row r="4244" spans="13:15" x14ac:dyDescent="0.3">
      <c r="M4244" s="35">
        <v>29.62</v>
      </c>
      <c r="N4244">
        <v>305</v>
      </c>
      <c r="O4244" s="34">
        <f t="shared" si="67"/>
        <v>0.48309233747006902</v>
      </c>
    </row>
    <row r="4245" spans="13:15" x14ac:dyDescent="0.3">
      <c r="M4245" s="35">
        <v>29.62</v>
      </c>
      <c r="N4245">
        <v>305</v>
      </c>
      <c r="O4245" s="34">
        <f t="shared" si="67"/>
        <v>0.48320619378340157</v>
      </c>
    </row>
    <row r="4246" spans="13:15" x14ac:dyDescent="0.3">
      <c r="M4246" s="35">
        <v>29.63</v>
      </c>
      <c r="N4246">
        <v>305</v>
      </c>
      <c r="O4246" s="34">
        <f t="shared" si="67"/>
        <v>0.48332005009673412</v>
      </c>
    </row>
    <row r="4247" spans="13:15" x14ac:dyDescent="0.3">
      <c r="M4247" s="35">
        <v>29.63</v>
      </c>
      <c r="N4247">
        <v>305</v>
      </c>
      <c r="O4247" s="34">
        <f t="shared" si="67"/>
        <v>0.48343390641006667</v>
      </c>
    </row>
    <row r="4248" spans="13:15" x14ac:dyDescent="0.3">
      <c r="M4248" s="35">
        <v>29.63</v>
      </c>
      <c r="N4248">
        <v>305</v>
      </c>
      <c r="O4248" s="34">
        <f t="shared" si="67"/>
        <v>0.48354776272339922</v>
      </c>
    </row>
    <row r="4249" spans="13:15" x14ac:dyDescent="0.3">
      <c r="M4249" s="35">
        <v>29.64</v>
      </c>
      <c r="N4249">
        <v>305</v>
      </c>
      <c r="O4249" s="34">
        <f t="shared" si="67"/>
        <v>0.48366161903673177</v>
      </c>
    </row>
    <row r="4250" spans="13:15" x14ac:dyDescent="0.3">
      <c r="M4250" s="35">
        <v>29.65</v>
      </c>
      <c r="N4250">
        <v>305</v>
      </c>
      <c r="O4250" s="34">
        <f t="shared" si="67"/>
        <v>0.48377547535006432</v>
      </c>
    </row>
    <row r="4251" spans="13:15" x14ac:dyDescent="0.3">
      <c r="M4251" s="35">
        <v>29.66</v>
      </c>
      <c r="N4251">
        <v>305</v>
      </c>
      <c r="O4251" s="34">
        <f t="shared" si="67"/>
        <v>0.48388933166339687</v>
      </c>
    </row>
    <row r="4252" spans="13:15" x14ac:dyDescent="0.3">
      <c r="M4252" s="35">
        <v>29.68</v>
      </c>
      <c r="N4252">
        <v>305</v>
      </c>
      <c r="O4252" s="34">
        <f t="shared" si="67"/>
        <v>0.48400318797672942</v>
      </c>
    </row>
    <row r="4253" spans="13:15" x14ac:dyDescent="0.3">
      <c r="M4253" s="35">
        <v>29.68</v>
      </c>
      <c r="N4253">
        <v>305</v>
      </c>
      <c r="O4253" s="34">
        <f t="shared" si="67"/>
        <v>0.48411704429006197</v>
      </c>
    </row>
    <row r="4254" spans="13:15" x14ac:dyDescent="0.3">
      <c r="M4254" s="35">
        <v>29.68</v>
      </c>
      <c r="N4254">
        <v>305</v>
      </c>
      <c r="O4254" s="34">
        <f t="shared" si="67"/>
        <v>0.48423090060339452</v>
      </c>
    </row>
    <row r="4255" spans="13:15" x14ac:dyDescent="0.3">
      <c r="M4255" s="35">
        <v>29.68</v>
      </c>
      <c r="N4255">
        <v>305</v>
      </c>
      <c r="O4255" s="34">
        <f t="shared" si="67"/>
        <v>0.48434475691672707</v>
      </c>
    </row>
    <row r="4256" spans="13:15" x14ac:dyDescent="0.3">
      <c r="M4256" s="35">
        <v>29.69</v>
      </c>
      <c r="N4256">
        <v>305</v>
      </c>
      <c r="O4256" s="34">
        <f t="shared" si="67"/>
        <v>0.48445861323005962</v>
      </c>
    </row>
    <row r="4257" spans="13:15" x14ac:dyDescent="0.3">
      <c r="M4257" s="35">
        <v>29.69</v>
      </c>
      <c r="N4257">
        <v>305</v>
      </c>
      <c r="O4257" s="34">
        <f t="shared" si="67"/>
        <v>0.48457246954339217</v>
      </c>
    </row>
    <row r="4258" spans="13:15" x14ac:dyDescent="0.3">
      <c r="M4258" s="35">
        <v>29.69</v>
      </c>
      <c r="N4258">
        <v>305</v>
      </c>
      <c r="O4258" s="34">
        <f t="shared" si="67"/>
        <v>0.48468632585672472</v>
      </c>
    </row>
    <row r="4259" spans="13:15" x14ac:dyDescent="0.3">
      <c r="M4259" s="35">
        <v>29.7</v>
      </c>
      <c r="N4259">
        <v>305</v>
      </c>
      <c r="O4259" s="34">
        <f t="shared" si="67"/>
        <v>0.48480018217005727</v>
      </c>
    </row>
    <row r="4260" spans="13:15" x14ac:dyDescent="0.3">
      <c r="M4260" s="35">
        <v>29.7</v>
      </c>
      <c r="N4260">
        <v>305</v>
      </c>
      <c r="O4260" s="34">
        <f t="shared" si="67"/>
        <v>0.48491403848338982</v>
      </c>
    </row>
    <row r="4261" spans="13:15" x14ac:dyDescent="0.3">
      <c r="M4261" s="35">
        <v>29.7</v>
      </c>
      <c r="N4261">
        <v>305</v>
      </c>
      <c r="O4261" s="34">
        <f t="shared" si="67"/>
        <v>0.48502789479672237</v>
      </c>
    </row>
    <row r="4262" spans="13:15" x14ac:dyDescent="0.3">
      <c r="M4262" s="35">
        <v>29.71</v>
      </c>
      <c r="N4262">
        <v>305</v>
      </c>
      <c r="O4262" s="34">
        <f t="shared" si="67"/>
        <v>0.48514175111005492</v>
      </c>
    </row>
    <row r="4263" spans="13:15" x14ac:dyDescent="0.3">
      <c r="M4263" s="35">
        <v>29.71</v>
      </c>
      <c r="N4263">
        <v>305</v>
      </c>
      <c r="O4263" s="34">
        <f t="shared" si="67"/>
        <v>0.48525560742338747</v>
      </c>
    </row>
    <row r="4264" spans="13:15" x14ac:dyDescent="0.3">
      <c r="M4264" s="35">
        <v>29.72</v>
      </c>
      <c r="N4264">
        <v>305</v>
      </c>
      <c r="O4264" s="34">
        <f t="shared" si="67"/>
        <v>0.48536946373672002</v>
      </c>
    </row>
    <row r="4265" spans="13:15" x14ac:dyDescent="0.3">
      <c r="M4265" s="35">
        <v>29.72</v>
      </c>
      <c r="N4265">
        <v>305</v>
      </c>
      <c r="O4265" s="34">
        <f t="shared" si="67"/>
        <v>0.48548332005005257</v>
      </c>
    </row>
    <row r="4266" spans="13:15" x14ac:dyDescent="0.3">
      <c r="M4266" s="35">
        <v>29.73</v>
      </c>
      <c r="N4266">
        <v>305</v>
      </c>
      <c r="O4266" s="34">
        <f t="shared" si="67"/>
        <v>0.48559717636338512</v>
      </c>
    </row>
    <row r="4267" spans="13:15" x14ac:dyDescent="0.3">
      <c r="M4267" s="35">
        <v>29.73</v>
      </c>
      <c r="N4267">
        <v>305</v>
      </c>
      <c r="O4267" s="34">
        <f t="shared" si="67"/>
        <v>0.48571103267671767</v>
      </c>
    </row>
    <row r="4268" spans="13:15" x14ac:dyDescent="0.3">
      <c r="M4268" s="35">
        <v>29.74</v>
      </c>
      <c r="N4268">
        <v>305</v>
      </c>
      <c r="O4268" s="34">
        <f t="shared" si="67"/>
        <v>0.48582488899005022</v>
      </c>
    </row>
    <row r="4269" spans="13:15" x14ac:dyDescent="0.3">
      <c r="M4269" s="35">
        <v>29.74</v>
      </c>
      <c r="N4269">
        <v>305</v>
      </c>
      <c r="O4269" s="34">
        <f t="shared" si="67"/>
        <v>0.48593874530338277</v>
      </c>
    </row>
    <row r="4270" spans="13:15" x14ac:dyDescent="0.3">
      <c r="M4270" s="35">
        <v>29.74</v>
      </c>
      <c r="N4270">
        <v>305</v>
      </c>
      <c r="O4270" s="34">
        <f t="shared" si="67"/>
        <v>0.48605260161671532</v>
      </c>
    </row>
    <row r="4271" spans="13:15" x14ac:dyDescent="0.3">
      <c r="M4271" s="35">
        <v>29.74</v>
      </c>
      <c r="N4271">
        <v>305</v>
      </c>
      <c r="O4271" s="34">
        <f t="shared" si="67"/>
        <v>0.48616645793004787</v>
      </c>
    </row>
    <row r="4272" spans="13:15" x14ac:dyDescent="0.3">
      <c r="M4272" s="35">
        <v>29.75</v>
      </c>
      <c r="N4272">
        <v>305</v>
      </c>
      <c r="O4272" s="34">
        <f t="shared" si="67"/>
        <v>0.48628031424338042</v>
      </c>
    </row>
    <row r="4273" spans="13:15" x14ac:dyDescent="0.3">
      <c r="M4273" s="35">
        <v>29.75</v>
      </c>
      <c r="N4273">
        <v>305</v>
      </c>
      <c r="O4273" s="34">
        <f t="shared" si="67"/>
        <v>0.48639417055671297</v>
      </c>
    </row>
    <row r="4274" spans="13:15" x14ac:dyDescent="0.3">
      <c r="M4274" s="35">
        <v>29.75</v>
      </c>
      <c r="N4274">
        <v>305</v>
      </c>
      <c r="O4274" s="34">
        <f t="shared" si="67"/>
        <v>0.48650802687004552</v>
      </c>
    </row>
    <row r="4275" spans="13:15" x14ac:dyDescent="0.3">
      <c r="M4275" s="35">
        <v>29.76</v>
      </c>
      <c r="N4275">
        <v>305</v>
      </c>
      <c r="O4275" s="34">
        <f t="shared" si="67"/>
        <v>0.48662188318337807</v>
      </c>
    </row>
    <row r="4276" spans="13:15" x14ac:dyDescent="0.3">
      <c r="M4276" s="35">
        <v>29.76</v>
      </c>
      <c r="N4276">
        <v>305</v>
      </c>
      <c r="O4276" s="34">
        <f t="shared" si="67"/>
        <v>0.48673573949671062</v>
      </c>
    </row>
    <row r="4277" spans="13:15" x14ac:dyDescent="0.3">
      <c r="M4277" s="35">
        <v>29.77</v>
      </c>
      <c r="N4277">
        <v>305</v>
      </c>
      <c r="O4277" s="34">
        <f t="shared" si="67"/>
        <v>0.48684959581004317</v>
      </c>
    </row>
    <row r="4278" spans="13:15" x14ac:dyDescent="0.3">
      <c r="M4278" s="35">
        <v>29.77</v>
      </c>
      <c r="N4278">
        <v>305</v>
      </c>
      <c r="O4278" s="34">
        <f t="shared" si="67"/>
        <v>0.48696345212337572</v>
      </c>
    </row>
    <row r="4279" spans="13:15" x14ac:dyDescent="0.3">
      <c r="M4279" s="35">
        <v>29.77</v>
      </c>
      <c r="N4279">
        <v>305</v>
      </c>
      <c r="O4279" s="34">
        <f t="shared" si="67"/>
        <v>0.48707730843670827</v>
      </c>
    </row>
    <row r="4280" spans="13:15" x14ac:dyDescent="0.3">
      <c r="M4280" s="35">
        <v>29.77</v>
      </c>
      <c r="N4280">
        <v>305</v>
      </c>
      <c r="O4280" s="34">
        <f t="shared" si="67"/>
        <v>0.48719116475004082</v>
      </c>
    </row>
    <row r="4281" spans="13:15" x14ac:dyDescent="0.3">
      <c r="M4281" s="35">
        <v>29.77</v>
      </c>
      <c r="N4281">
        <v>305</v>
      </c>
      <c r="O4281" s="34">
        <f t="shared" si="67"/>
        <v>0.48730502106337337</v>
      </c>
    </row>
    <row r="4282" spans="13:15" x14ac:dyDescent="0.3">
      <c r="M4282" s="35">
        <v>29.78</v>
      </c>
      <c r="N4282">
        <v>305</v>
      </c>
      <c r="O4282" s="34">
        <f t="shared" si="67"/>
        <v>0.48741887737670592</v>
      </c>
    </row>
    <row r="4283" spans="13:15" x14ac:dyDescent="0.3">
      <c r="M4283" s="35">
        <v>29.78</v>
      </c>
      <c r="N4283">
        <v>305</v>
      </c>
      <c r="O4283" s="34">
        <f t="shared" si="67"/>
        <v>0.48753273369003847</v>
      </c>
    </row>
    <row r="4284" spans="13:15" x14ac:dyDescent="0.3">
      <c r="M4284" s="35">
        <v>29.78</v>
      </c>
      <c r="N4284">
        <v>305</v>
      </c>
      <c r="O4284" s="34">
        <f t="shared" si="67"/>
        <v>0.48764659000337102</v>
      </c>
    </row>
    <row r="4285" spans="13:15" x14ac:dyDescent="0.3">
      <c r="M4285" s="35">
        <v>29.78</v>
      </c>
      <c r="N4285">
        <v>305</v>
      </c>
      <c r="O4285" s="34">
        <f t="shared" si="67"/>
        <v>0.48776044631670357</v>
      </c>
    </row>
    <row r="4286" spans="13:15" x14ac:dyDescent="0.3">
      <c r="M4286" s="35">
        <v>29.78</v>
      </c>
      <c r="N4286">
        <v>305</v>
      </c>
      <c r="O4286" s="34">
        <f t="shared" si="67"/>
        <v>0.48787430263003612</v>
      </c>
    </row>
    <row r="4287" spans="13:15" x14ac:dyDescent="0.3">
      <c r="M4287" s="35">
        <v>29.79</v>
      </c>
      <c r="N4287">
        <v>305</v>
      </c>
      <c r="O4287" s="34">
        <f t="shared" si="67"/>
        <v>0.48798815894336867</v>
      </c>
    </row>
    <row r="4288" spans="13:15" x14ac:dyDescent="0.3">
      <c r="M4288" s="35">
        <v>29.81</v>
      </c>
      <c r="N4288">
        <v>305</v>
      </c>
      <c r="O4288" s="34">
        <f t="shared" si="67"/>
        <v>0.48810201525670122</v>
      </c>
    </row>
    <row r="4289" spans="13:15" x14ac:dyDescent="0.3">
      <c r="M4289" s="35">
        <v>29.81</v>
      </c>
      <c r="N4289">
        <v>305</v>
      </c>
      <c r="O4289" s="34">
        <f t="shared" si="67"/>
        <v>0.48821587157003377</v>
      </c>
    </row>
    <row r="4290" spans="13:15" x14ac:dyDescent="0.3">
      <c r="M4290" s="35">
        <v>29.82</v>
      </c>
      <c r="N4290">
        <v>305</v>
      </c>
      <c r="O4290" s="34">
        <f t="shared" si="67"/>
        <v>0.48832972788336632</v>
      </c>
    </row>
    <row r="4291" spans="13:15" x14ac:dyDescent="0.3">
      <c r="M4291" s="35">
        <v>29.83</v>
      </c>
      <c r="N4291">
        <v>305</v>
      </c>
      <c r="O4291" s="34">
        <f t="shared" si="67"/>
        <v>0.48844358419669887</v>
      </c>
    </row>
    <row r="4292" spans="13:15" x14ac:dyDescent="0.3">
      <c r="M4292" s="35">
        <v>29.83</v>
      </c>
      <c r="N4292">
        <v>305</v>
      </c>
      <c r="O4292" s="34">
        <f t="shared" ref="O4292:O4355" si="68">O4291+O$2</f>
        <v>0.48855744051003142</v>
      </c>
    </row>
    <row r="4293" spans="13:15" x14ac:dyDescent="0.3">
      <c r="M4293" s="35">
        <v>29.83</v>
      </c>
      <c r="N4293">
        <v>305</v>
      </c>
      <c r="O4293" s="34">
        <f t="shared" si="68"/>
        <v>0.48867129682336397</v>
      </c>
    </row>
    <row r="4294" spans="13:15" x14ac:dyDescent="0.3">
      <c r="M4294" s="35">
        <v>29.85</v>
      </c>
      <c r="N4294">
        <v>305</v>
      </c>
      <c r="O4294" s="34">
        <f t="shared" si="68"/>
        <v>0.48878515313669652</v>
      </c>
    </row>
    <row r="4295" spans="13:15" x14ac:dyDescent="0.3">
      <c r="M4295" s="35">
        <v>29.85</v>
      </c>
      <c r="N4295">
        <v>305</v>
      </c>
      <c r="O4295" s="34">
        <f t="shared" si="68"/>
        <v>0.48889900945002907</v>
      </c>
    </row>
    <row r="4296" spans="13:15" x14ac:dyDescent="0.3">
      <c r="M4296" s="35">
        <v>29.85</v>
      </c>
      <c r="N4296">
        <v>305</v>
      </c>
      <c r="O4296" s="34">
        <f t="shared" si="68"/>
        <v>0.48901286576336161</v>
      </c>
    </row>
    <row r="4297" spans="13:15" x14ac:dyDescent="0.3">
      <c r="M4297" s="35">
        <v>29.86</v>
      </c>
      <c r="N4297">
        <v>305</v>
      </c>
      <c r="O4297" s="34">
        <f t="shared" si="68"/>
        <v>0.48912672207669416</v>
      </c>
    </row>
    <row r="4298" spans="13:15" x14ac:dyDescent="0.3">
      <c r="M4298" s="35">
        <v>29.86</v>
      </c>
      <c r="N4298">
        <v>305</v>
      </c>
      <c r="O4298" s="34">
        <f t="shared" si="68"/>
        <v>0.48924057839002671</v>
      </c>
    </row>
    <row r="4299" spans="13:15" x14ac:dyDescent="0.3">
      <c r="M4299" s="35">
        <v>29.86</v>
      </c>
      <c r="N4299">
        <v>305</v>
      </c>
      <c r="O4299" s="34">
        <f t="shared" si="68"/>
        <v>0.48935443470335926</v>
      </c>
    </row>
    <row r="4300" spans="13:15" x14ac:dyDescent="0.3">
      <c r="M4300" s="35">
        <v>29.86</v>
      </c>
      <c r="N4300">
        <v>305</v>
      </c>
      <c r="O4300" s="34">
        <f t="shared" si="68"/>
        <v>0.48946829101669181</v>
      </c>
    </row>
    <row r="4301" spans="13:15" x14ac:dyDescent="0.3">
      <c r="M4301" s="35">
        <v>29.87</v>
      </c>
      <c r="N4301">
        <v>305</v>
      </c>
      <c r="O4301" s="34">
        <f t="shared" si="68"/>
        <v>0.48958214733002436</v>
      </c>
    </row>
    <row r="4302" spans="13:15" x14ac:dyDescent="0.3">
      <c r="M4302" s="35">
        <v>29.87</v>
      </c>
      <c r="N4302">
        <v>305</v>
      </c>
      <c r="O4302" s="34">
        <f t="shared" si="68"/>
        <v>0.48969600364335691</v>
      </c>
    </row>
    <row r="4303" spans="13:15" x14ac:dyDescent="0.3">
      <c r="M4303" s="35">
        <v>29.87</v>
      </c>
      <c r="N4303">
        <v>305</v>
      </c>
      <c r="O4303" s="34">
        <f t="shared" si="68"/>
        <v>0.48980985995668946</v>
      </c>
    </row>
    <row r="4304" spans="13:15" x14ac:dyDescent="0.3">
      <c r="M4304" s="35">
        <v>29.88</v>
      </c>
      <c r="N4304">
        <v>305</v>
      </c>
      <c r="O4304" s="34">
        <f t="shared" si="68"/>
        <v>0.48992371627002201</v>
      </c>
    </row>
    <row r="4305" spans="13:15" x14ac:dyDescent="0.3">
      <c r="M4305" s="35">
        <v>29.88</v>
      </c>
      <c r="N4305">
        <v>305</v>
      </c>
      <c r="O4305" s="34">
        <f t="shared" si="68"/>
        <v>0.49003757258335456</v>
      </c>
    </row>
    <row r="4306" spans="13:15" x14ac:dyDescent="0.3">
      <c r="M4306" s="35">
        <v>29.89</v>
      </c>
      <c r="N4306">
        <v>305</v>
      </c>
      <c r="O4306" s="34">
        <f t="shared" si="68"/>
        <v>0.49015142889668711</v>
      </c>
    </row>
    <row r="4307" spans="13:15" x14ac:dyDescent="0.3">
      <c r="M4307" s="35">
        <v>29.89</v>
      </c>
      <c r="N4307">
        <v>305</v>
      </c>
      <c r="O4307" s="34">
        <f t="shared" si="68"/>
        <v>0.49026528521001966</v>
      </c>
    </row>
    <row r="4308" spans="13:15" x14ac:dyDescent="0.3">
      <c r="M4308" s="35">
        <v>29.91</v>
      </c>
      <c r="N4308">
        <v>305</v>
      </c>
      <c r="O4308" s="34">
        <f t="shared" si="68"/>
        <v>0.49037914152335221</v>
      </c>
    </row>
    <row r="4309" spans="13:15" x14ac:dyDescent="0.3">
      <c r="M4309" s="35">
        <v>29.91</v>
      </c>
      <c r="N4309">
        <v>305</v>
      </c>
      <c r="O4309" s="34">
        <f t="shared" si="68"/>
        <v>0.49049299783668476</v>
      </c>
    </row>
    <row r="4310" spans="13:15" x14ac:dyDescent="0.3">
      <c r="M4310" s="35">
        <v>29.91</v>
      </c>
      <c r="N4310">
        <v>305</v>
      </c>
      <c r="O4310" s="34">
        <f t="shared" si="68"/>
        <v>0.49060685415001731</v>
      </c>
    </row>
    <row r="4311" spans="13:15" x14ac:dyDescent="0.3">
      <c r="M4311" s="35">
        <v>29.91</v>
      </c>
      <c r="N4311">
        <v>305</v>
      </c>
      <c r="O4311" s="34">
        <f t="shared" si="68"/>
        <v>0.49072071046334986</v>
      </c>
    </row>
    <row r="4312" spans="13:15" x14ac:dyDescent="0.3">
      <c r="M4312" s="35">
        <v>29.92</v>
      </c>
      <c r="N4312">
        <v>305</v>
      </c>
      <c r="O4312" s="34">
        <f t="shared" si="68"/>
        <v>0.49083456677668241</v>
      </c>
    </row>
    <row r="4313" spans="13:15" x14ac:dyDescent="0.3">
      <c r="M4313" s="35">
        <v>29.93</v>
      </c>
      <c r="N4313">
        <v>305</v>
      </c>
      <c r="O4313" s="34">
        <f t="shared" si="68"/>
        <v>0.49094842309001496</v>
      </c>
    </row>
    <row r="4314" spans="13:15" x14ac:dyDescent="0.3">
      <c r="M4314" s="35">
        <v>29.95</v>
      </c>
      <c r="N4314">
        <v>305</v>
      </c>
      <c r="O4314" s="34">
        <f t="shared" si="68"/>
        <v>0.49106227940334751</v>
      </c>
    </row>
    <row r="4315" spans="13:15" x14ac:dyDescent="0.3">
      <c r="M4315" s="35">
        <v>29.95</v>
      </c>
      <c r="N4315">
        <v>305</v>
      </c>
      <c r="O4315" s="34">
        <f t="shared" si="68"/>
        <v>0.49117613571668006</v>
      </c>
    </row>
    <row r="4316" spans="13:15" x14ac:dyDescent="0.3">
      <c r="M4316" s="35">
        <v>29.96</v>
      </c>
      <c r="N4316">
        <v>305</v>
      </c>
      <c r="O4316" s="34">
        <f t="shared" si="68"/>
        <v>0.49128999203001261</v>
      </c>
    </row>
    <row r="4317" spans="13:15" x14ac:dyDescent="0.3">
      <c r="M4317" s="35">
        <v>29.96</v>
      </c>
      <c r="N4317">
        <v>305</v>
      </c>
      <c r="O4317" s="34">
        <f t="shared" si="68"/>
        <v>0.49140384834334516</v>
      </c>
    </row>
    <row r="4318" spans="13:15" x14ac:dyDescent="0.3">
      <c r="M4318" s="35">
        <v>29.96</v>
      </c>
      <c r="N4318">
        <v>305</v>
      </c>
      <c r="O4318" s="34">
        <f t="shared" si="68"/>
        <v>0.49151770465667771</v>
      </c>
    </row>
    <row r="4319" spans="13:15" x14ac:dyDescent="0.3">
      <c r="M4319" s="35">
        <v>29.96</v>
      </c>
      <c r="N4319">
        <v>305</v>
      </c>
      <c r="O4319" s="34">
        <f t="shared" si="68"/>
        <v>0.49163156097001026</v>
      </c>
    </row>
    <row r="4320" spans="13:15" x14ac:dyDescent="0.3">
      <c r="M4320" s="35">
        <v>29.97</v>
      </c>
      <c r="N4320">
        <v>305</v>
      </c>
      <c r="O4320" s="34">
        <f t="shared" si="68"/>
        <v>0.49174541728334281</v>
      </c>
    </row>
    <row r="4321" spans="13:15" x14ac:dyDescent="0.3">
      <c r="M4321" s="35">
        <v>29.97</v>
      </c>
      <c r="N4321">
        <v>305</v>
      </c>
      <c r="O4321" s="34">
        <f t="shared" si="68"/>
        <v>0.49185927359667536</v>
      </c>
    </row>
    <row r="4322" spans="13:15" x14ac:dyDescent="0.3">
      <c r="M4322" s="35">
        <v>29.98</v>
      </c>
      <c r="N4322">
        <v>305</v>
      </c>
      <c r="O4322" s="34">
        <f t="shared" si="68"/>
        <v>0.49197312991000791</v>
      </c>
    </row>
    <row r="4323" spans="13:15" x14ac:dyDescent="0.3">
      <c r="M4323" s="35">
        <v>29.98</v>
      </c>
      <c r="N4323">
        <v>305</v>
      </c>
      <c r="O4323" s="34">
        <f t="shared" si="68"/>
        <v>0.49208698622334046</v>
      </c>
    </row>
    <row r="4324" spans="13:15" x14ac:dyDescent="0.3">
      <c r="M4324" s="35">
        <v>29.99</v>
      </c>
      <c r="N4324">
        <v>305</v>
      </c>
      <c r="O4324" s="34">
        <f t="shared" si="68"/>
        <v>0.49220084253667301</v>
      </c>
    </row>
    <row r="4325" spans="13:15" x14ac:dyDescent="0.3">
      <c r="M4325" s="35">
        <v>29.99</v>
      </c>
      <c r="N4325">
        <v>305</v>
      </c>
      <c r="O4325" s="34">
        <f t="shared" si="68"/>
        <v>0.49231469885000556</v>
      </c>
    </row>
    <row r="4326" spans="13:15" x14ac:dyDescent="0.3">
      <c r="M4326" s="35">
        <v>29.99</v>
      </c>
      <c r="N4326">
        <v>305</v>
      </c>
      <c r="O4326" s="34">
        <f t="shared" si="68"/>
        <v>0.49242855516333811</v>
      </c>
    </row>
    <row r="4327" spans="13:15" x14ac:dyDescent="0.3">
      <c r="M4327" s="35">
        <v>29.99</v>
      </c>
      <c r="N4327">
        <v>305</v>
      </c>
      <c r="O4327" s="34">
        <f t="shared" si="68"/>
        <v>0.49254241147667066</v>
      </c>
    </row>
    <row r="4328" spans="13:15" x14ac:dyDescent="0.3">
      <c r="M4328" s="35">
        <v>30</v>
      </c>
      <c r="N4328">
        <v>305</v>
      </c>
      <c r="O4328" s="34">
        <f t="shared" si="68"/>
        <v>0.49265626779000321</v>
      </c>
    </row>
    <row r="4329" spans="13:15" x14ac:dyDescent="0.3">
      <c r="M4329" s="35">
        <v>30</v>
      </c>
      <c r="N4329">
        <v>305</v>
      </c>
      <c r="O4329" s="34">
        <f t="shared" si="68"/>
        <v>0.49277012410333576</v>
      </c>
    </row>
    <row r="4330" spans="13:15" x14ac:dyDescent="0.3">
      <c r="M4330" s="35">
        <v>30</v>
      </c>
      <c r="N4330">
        <v>305</v>
      </c>
      <c r="O4330" s="34">
        <f t="shared" si="68"/>
        <v>0.49288398041666831</v>
      </c>
    </row>
    <row r="4331" spans="13:15" x14ac:dyDescent="0.3">
      <c r="M4331" s="35">
        <v>30.01</v>
      </c>
      <c r="N4331">
        <v>305</v>
      </c>
      <c r="O4331" s="34">
        <f t="shared" si="68"/>
        <v>0.49299783673000086</v>
      </c>
    </row>
    <row r="4332" spans="13:15" x14ac:dyDescent="0.3">
      <c r="M4332" s="35">
        <v>30.02</v>
      </c>
      <c r="N4332">
        <v>305</v>
      </c>
      <c r="O4332" s="34">
        <f t="shared" si="68"/>
        <v>0.49311169304333341</v>
      </c>
    </row>
    <row r="4333" spans="13:15" x14ac:dyDescent="0.3">
      <c r="M4333" s="35">
        <v>30.02</v>
      </c>
      <c r="N4333">
        <v>305</v>
      </c>
      <c r="O4333" s="34">
        <f t="shared" si="68"/>
        <v>0.49322554935666596</v>
      </c>
    </row>
    <row r="4334" spans="13:15" x14ac:dyDescent="0.3">
      <c r="M4334" s="35">
        <v>30.03</v>
      </c>
      <c r="N4334">
        <v>305</v>
      </c>
      <c r="O4334" s="34">
        <f t="shared" si="68"/>
        <v>0.49333940566999851</v>
      </c>
    </row>
    <row r="4335" spans="13:15" x14ac:dyDescent="0.3">
      <c r="M4335" s="35">
        <v>30.04</v>
      </c>
      <c r="N4335">
        <v>305</v>
      </c>
      <c r="O4335" s="34">
        <f t="shared" si="68"/>
        <v>0.49345326198333106</v>
      </c>
    </row>
    <row r="4336" spans="13:15" x14ac:dyDescent="0.3">
      <c r="M4336" s="35">
        <v>30.05</v>
      </c>
      <c r="N4336">
        <v>305</v>
      </c>
      <c r="O4336" s="34">
        <f t="shared" si="68"/>
        <v>0.49356711829666361</v>
      </c>
    </row>
    <row r="4337" spans="13:15" x14ac:dyDescent="0.3">
      <c r="M4337" s="35">
        <v>30.05</v>
      </c>
      <c r="N4337">
        <v>305</v>
      </c>
      <c r="O4337" s="34">
        <f t="shared" si="68"/>
        <v>0.49368097460999616</v>
      </c>
    </row>
    <row r="4338" spans="13:15" x14ac:dyDescent="0.3">
      <c r="M4338" s="35">
        <v>30.05</v>
      </c>
      <c r="N4338">
        <v>305</v>
      </c>
      <c r="O4338" s="34">
        <f t="shared" si="68"/>
        <v>0.49379483092332871</v>
      </c>
    </row>
    <row r="4339" spans="13:15" x14ac:dyDescent="0.3">
      <c r="M4339" s="35">
        <v>30.06</v>
      </c>
      <c r="N4339">
        <v>305</v>
      </c>
      <c r="O4339" s="34">
        <f t="shared" si="68"/>
        <v>0.49390868723666126</v>
      </c>
    </row>
    <row r="4340" spans="13:15" x14ac:dyDescent="0.3">
      <c r="M4340" s="35">
        <v>30.06</v>
      </c>
      <c r="N4340">
        <v>305</v>
      </c>
      <c r="O4340" s="34">
        <f t="shared" si="68"/>
        <v>0.49402254354999381</v>
      </c>
    </row>
    <row r="4341" spans="13:15" x14ac:dyDescent="0.3">
      <c r="M4341" s="35">
        <v>30.08</v>
      </c>
      <c r="N4341">
        <v>305</v>
      </c>
      <c r="O4341" s="34">
        <f t="shared" si="68"/>
        <v>0.49413639986332636</v>
      </c>
    </row>
    <row r="4342" spans="13:15" x14ac:dyDescent="0.3">
      <c r="M4342" s="35">
        <v>30.08</v>
      </c>
      <c r="N4342">
        <v>305</v>
      </c>
      <c r="O4342" s="34">
        <f t="shared" si="68"/>
        <v>0.49425025617665891</v>
      </c>
    </row>
    <row r="4343" spans="13:15" x14ac:dyDescent="0.3">
      <c r="M4343" s="35">
        <v>30.08</v>
      </c>
      <c r="N4343">
        <v>305</v>
      </c>
      <c r="O4343" s="34">
        <f t="shared" si="68"/>
        <v>0.49436411248999146</v>
      </c>
    </row>
    <row r="4344" spans="13:15" x14ac:dyDescent="0.3">
      <c r="M4344" s="35">
        <v>30.09</v>
      </c>
      <c r="N4344">
        <v>305</v>
      </c>
      <c r="O4344" s="34">
        <f t="shared" si="68"/>
        <v>0.49447796880332401</v>
      </c>
    </row>
    <row r="4345" spans="13:15" x14ac:dyDescent="0.3">
      <c r="M4345" s="35">
        <v>30.09</v>
      </c>
      <c r="N4345">
        <v>305</v>
      </c>
      <c r="O4345" s="34">
        <f t="shared" si="68"/>
        <v>0.49459182511665656</v>
      </c>
    </row>
    <row r="4346" spans="13:15" x14ac:dyDescent="0.3">
      <c r="M4346" s="35">
        <v>30.1</v>
      </c>
      <c r="N4346">
        <v>305</v>
      </c>
      <c r="O4346" s="34">
        <f t="shared" si="68"/>
        <v>0.49470568142998911</v>
      </c>
    </row>
    <row r="4347" spans="13:15" x14ac:dyDescent="0.3">
      <c r="M4347" s="35">
        <v>30.1</v>
      </c>
      <c r="N4347">
        <v>305</v>
      </c>
      <c r="O4347" s="34">
        <f t="shared" si="68"/>
        <v>0.49481953774332166</v>
      </c>
    </row>
    <row r="4348" spans="13:15" x14ac:dyDescent="0.3">
      <c r="M4348" s="35">
        <v>30.1</v>
      </c>
      <c r="N4348">
        <v>305</v>
      </c>
      <c r="O4348" s="34">
        <f t="shared" si="68"/>
        <v>0.49493339405665421</v>
      </c>
    </row>
    <row r="4349" spans="13:15" x14ac:dyDescent="0.3">
      <c r="M4349" s="35">
        <v>30.11</v>
      </c>
      <c r="N4349">
        <v>305</v>
      </c>
      <c r="O4349" s="34">
        <f t="shared" si="68"/>
        <v>0.49504725036998676</v>
      </c>
    </row>
    <row r="4350" spans="13:15" x14ac:dyDescent="0.3">
      <c r="M4350" s="35">
        <v>30.11</v>
      </c>
      <c r="N4350">
        <v>305</v>
      </c>
      <c r="O4350" s="34">
        <f t="shared" si="68"/>
        <v>0.49516110668331931</v>
      </c>
    </row>
    <row r="4351" spans="13:15" x14ac:dyDescent="0.3">
      <c r="M4351" s="35">
        <v>30.11</v>
      </c>
      <c r="N4351">
        <v>305</v>
      </c>
      <c r="O4351" s="34">
        <f t="shared" si="68"/>
        <v>0.49527496299665186</v>
      </c>
    </row>
    <row r="4352" spans="13:15" x14ac:dyDescent="0.3">
      <c r="M4352" s="35">
        <v>30.12</v>
      </c>
      <c r="N4352">
        <v>305</v>
      </c>
      <c r="O4352" s="34">
        <f t="shared" si="68"/>
        <v>0.49538881930998441</v>
      </c>
    </row>
    <row r="4353" spans="13:15" x14ac:dyDescent="0.3">
      <c r="M4353" s="35">
        <v>30.12</v>
      </c>
      <c r="N4353">
        <v>305</v>
      </c>
      <c r="O4353" s="34">
        <f t="shared" si="68"/>
        <v>0.49550267562331696</v>
      </c>
    </row>
    <row r="4354" spans="13:15" x14ac:dyDescent="0.3">
      <c r="M4354" s="35">
        <v>30.12</v>
      </c>
      <c r="N4354">
        <v>305</v>
      </c>
      <c r="O4354" s="34">
        <f t="shared" si="68"/>
        <v>0.49561653193664951</v>
      </c>
    </row>
    <row r="4355" spans="13:15" x14ac:dyDescent="0.3">
      <c r="M4355" s="35">
        <v>30.12</v>
      </c>
      <c r="N4355">
        <v>305</v>
      </c>
      <c r="O4355" s="34">
        <f t="shared" si="68"/>
        <v>0.49573038824998206</v>
      </c>
    </row>
    <row r="4356" spans="13:15" x14ac:dyDescent="0.3">
      <c r="M4356" s="35">
        <v>30.13</v>
      </c>
      <c r="N4356">
        <v>305</v>
      </c>
      <c r="O4356" s="34">
        <f t="shared" ref="O4356:O4419" si="69">O4355+O$2</f>
        <v>0.49584424456331461</v>
      </c>
    </row>
    <row r="4357" spans="13:15" x14ac:dyDescent="0.3">
      <c r="M4357" s="35">
        <v>30.13</v>
      </c>
      <c r="N4357">
        <v>305</v>
      </c>
      <c r="O4357" s="34">
        <f t="shared" si="69"/>
        <v>0.49595810087664716</v>
      </c>
    </row>
    <row r="4358" spans="13:15" x14ac:dyDescent="0.3">
      <c r="M4358" s="35">
        <v>30.13</v>
      </c>
      <c r="N4358">
        <v>305</v>
      </c>
      <c r="O4358" s="34">
        <f t="shared" si="69"/>
        <v>0.49607195718997971</v>
      </c>
    </row>
    <row r="4359" spans="13:15" x14ac:dyDescent="0.3">
      <c r="M4359" s="35">
        <v>30.13</v>
      </c>
      <c r="N4359">
        <v>305</v>
      </c>
      <c r="O4359" s="34">
        <f t="shared" si="69"/>
        <v>0.49618581350331226</v>
      </c>
    </row>
    <row r="4360" spans="13:15" x14ac:dyDescent="0.3">
      <c r="M4360" s="35">
        <v>30.13</v>
      </c>
      <c r="N4360">
        <v>305</v>
      </c>
      <c r="O4360" s="34">
        <f t="shared" si="69"/>
        <v>0.49629966981664481</v>
      </c>
    </row>
    <row r="4361" spans="13:15" x14ac:dyDescent="0.3">
      <c r="M4361" s="35">
        <v>30.13</v>
      </c>
      <c r="N4361">
        <v>305</v>
      </c>
      <c r="O4361" s="34">
        <f t="shared" si="69"/>
        <v>0.49641352612997736</v>
      </c>
    </row>
    <row r="4362" spans="13:15" x14ac:dyDescent="0.3">
      <c r="M4362" s="35">
        <v>30.14</v>
      </c>
      <c r="N4362">
        <v>305</v>
      </c>
      <c r="O4362" s="34">
        <f t="shared" si="69"/>
        <v>0.49652738244330991</v>
      </c>
    </row>
    <row r="4363" spans="13:15" x14ac:dyDescent="0.3">
      <c r="M4363" s="35">
        <v>30.14</v>
      </c>
      <c r="N4363">
        <v>305</v>
      </c>
      <c r="O4363" s="34">
        <f t="shared" si="69"/>
        <v>0.49664123875664246</v>
      </c>
    </row>
    <row r="4364" spans="13:15" x14ac:dyDescent="0.3">
      <c r="M4364" s="35">
        <v>30.14</v>
      </c>
      <c r="N4364">
        <v>305</v>
      </c>
      <c r="O4364" s="34">
        <f t="shared" si="69"/>
        <v>0.49675509506997501</v>
      </c>
    </row>
    <row r="4365" spans="13:15" x14ac:dyDescent="0.3">
      <c r="M4365" s="35">
        <v>30.16</v>
      </c>
      <c r="N4365">
        <v>305</v>
      </c>
      <c r="O4365" s="34">
        <f t="shared" si="69"/>
        <v>0.49686895138330756</v>
      </c>
    </row>
    <row r="4366" spans="13:15" x14ac:dyDescent="0.3">
      <c r="M4366" s="35">
        <v>30.17</v>
      </c>
      <c r="N4366">
        <v>305</v>
      </c>
      <c r="O4366" s="34">
        <f t="shared" si="69"/>
        <v>0.49698280769664011</v>
      </c>
    </row>
    <row r="4367" spans="13:15" x14ac:dyDescent="0.3">
      <c r="M4367" s="35">
        <v>30.17</v>
      </c>
      <c r="N4367">
        <v>305</v>
      </c>
      <c r="O4367" s="34">
        <f t="shared" si="69"/>
        <v>0.49709666400997266</v>
      </c>
    </row>
    <row r="4368" spans="13:15" x14ac:dyDescent="0.3">
      <c r="M4368" s="35">
        <v>30.17</v>
      </c>
      <c r="N4368">
        <v>305</v>
      </c>
      <c r="O4368" s="34">
        <f t="shared" si="69"/>
        <v>0.49721052032330521</v>
      </c>
    </row>
    <row r="4369" spans="13:15" x14ac:dyDescent="0.3">
      <c r="M4369" s="35">
        <v>30.17</v>
      </c>
      <c r="N4369">
        <v>305</v>
      </c>
      <c r="O4369" s="34">
        <f t="shared" si="69"/>
        <v>0.49732437663663775</v>
      </c>
    </row>
    <row r="4370" spans="13:15" x14ac:dyDescent="0.3">
      <c r="M4370" s="35">
        <v>30.18</v>
      </c>
      <c r="N4370">
        <v>305</v>
      </c>
      <c r="O4370" s="34">
        <f t="shared" si="69"/>
        <v>0.4974382329499703</v>
      </c>
    </row>
    <row r="4371" spans="13:15" x14ac:dyDescent="0.3">
      <c r="M4371" s="35">
        <v>30.18</v>
      </c>
      <c r="N4371">
        <v>305</v>
      </c>
      <c r="O4371" s="34">
        <f t="shared" si="69"/>
        <v>0.49755208926330285</v>
      </c>
    </row>
    <row r="4372" spans="13:15" x14ac:dyDescent="0.3">
      <c r="M4372" s="35">
        <v>30.18</v>
      </c>
      <c r="N4372">
        <v>305</v>
      </c>
      <c r="O4372" s="34">
        <f t="shared" si="69"/>
        <v>0.4976659455766354</v>
      </c>
    </row>
    <row r="4373" spans="13:15" x14ac:dyDescent="0.3">
      <c r="M4373" s="35">
        <v>30.18</v>
      </c>
      <c r="N4373">
        <v>305</v>
      </c>
      <c r="O4373" s="34">
        <f t="shared" si="69"/>
        <v>0.49777980188996795</v>
      </c>
    </row>
    <row r="4374" spans="13:15" x14ac:dyDescent="0.3">
      <c r="M4374" s="35">
        <v>30.18</v>
      </c>
      <c r="N4374">
        <v>305</v>
      </c>
      <c r="O4374" s="34">
        <f t="shared" si="69"/>
        <v>0.4978936582033005</v>
      </c>
    </row>
    <row r="4375" spans="13:15" x14ac:dyDescent="0.3">
      <c r="M4375" s="35">
        <v>30.19</v>
      </c>
      <c r="N4375">
        <v>305</v>
      </c>
      <c r="O4375" s="34">
        <f t="shared" si="69"/>
        <v>0.49800751451663305</v>
      </c>
    </row>
    <row r="4376" spans="13:15" x14ac:dyDescent="0.3">
      <c r="M4376" s="35">
        <v>30.19</v>
      </c>
      <c r="N4376">
        <v>305</v>
      </c>
      <c r="O4376" s="34">
        <f t="shared" si="69"/>
        <v>0.4981213708299656</v>
      </c>
    </row>
    <row r="4377" spans="13:15" x14ac:dyDescent="0.3">
      <c r="M4377" s="35">
        <v>30.19</v>
      </c>
      <c r="N4377">
        <v>305</v>
      </c>
      <c r="O4377" s="34">
        <f t="shared" si="69"/>
        <v>0.49823522714329815</v>
      </c>
    </row>
    <row r="4378" spans="13:15" x14ac:dyDescent="0.3">
      <c r="M4378" s="35">
        <v>30.2</v>
      </c>
      <c r="N4378">
        <v>305</v>
      </c>
      <c r="O4378" s="34">
        <f t="shared" si="69"/>
        <v>0.4983490834566307</v>
      </c>
    </row>
    <row r="4379" spans="13:15" x14ac:dyDescent="0.3">
      <c r="M4379" s="35">
        <v>30.2</v>
      </c>
      <c r="N4379">
        <v>305</v>
      </c>
      <c r="O4379" s="34">
        <f t="shared" si="69"/>
        <v>0.49846293976996325</v>
      </c>
    </row>
    <row r="4380" spans="13:15" x14ac:dyDescent="0.3">
      <c r="M4380" s="35">
        <v>30.2</v>
      </c>
      <c r="N4380">
        <v>305</v>
      </c>
      <c r="O4380" s="34">
        <f t="shared" si="69"/>
        <v>0.4985767960832958</v>
      </c>
    </row>
    <row r="4381" spans="13:15" x14ac:dyDescent="0.3">
      <c r="M4381" s="35">
        <v>30.2</v>
      </c>
      <c r="N4381">
        <v>305</v>
      </c>
      <c r="O4381" s="34">
        <f t="shared" si="69"/>
        <v>0.49869065239662835</v>
      </c>
    </row>
    <row r="4382" spans="13:15" x14ac:dyDescent="0.3">
      <c r="M4382" s="35">
        <v>30.21</v>
      </c>
      <c r="N4382">
        <v>305</v>
      </c>
      <c r="O4382" s="34">
        <f t="shared" si="69"/>
        <v>0.4988045087099609</v>
      </c>
    </row>
    <row r="4383" spans="13:15" x14ac:dyDescent="0.3">
      <c r="M4383" s="35">
        <v>30.22</v>
      </c>
      <c r="N4383">
        <v>305</v>
      </c>
      <c r="O4383" s="34">
        <f t="shared" si="69"/>
        <v>0.49891836502329345</v>
      </c>
    </row>
    <row r="4384" spans="13:15" x14ac:dyDescent="0.3">
      <c r="M4384" s="35">
        <v>30.23</v>
      </c>
      <c r="N4384">
        <v>305</v>
      </c>
      <c r="O4384" s="34">
        <f t="shared" si="69"/>
        <v>0.499032221336626</v>
      </c>
    </row>
    <row r="4385" spans="13:15" x14ac:dyDescent="0.3">
      <c r="M4385" s="35">
        <v>30.23</v>
      </c>
      <c r="N4385">
        <v>305</v>
      </c>
      <c r="O4385" s="34">
        <f t="shared" si="69"/>
        <v>0.49914607764995855</v>
      </c>
    </row>
    <row r="4386" spans="13:15" x14ac:dyDescent="0.3">
      <c r="M4386" s="35">
        <v>30.23</v>
      </c>
      <c r="N4386">
        <v>305</v>
      </c>
      <c r="O4386" s="34">
        <f t="shared" si="69"/>
        <v>0.4992599339632911</v>
      </c>
    </row>
    <row r="4387" spans="13:15" x14ac:dyDescent="0.3">
      <c r="M4387" s="35">
        <v>30.23</v>
      </c>
      <c r="N4387">
        <v>305</v>
      </c>
      <c r="O4387" s="34">
        <f t="shared" si="69"/>
        <v>0.49937379027662365</v>
      </c>
    </row>
    <row r="4388" spans="13:15" x14ac:dyDescent="0.3">
      <c r="M4388" s="35">
        <v>30.24</v>
      </c>
      <c r="N4388">
        <v>305</v>
      </c>
      <c r="O4388" s="34">
        <f t="shared" si="69"/>
        <v>0.4994876465899562</v>
      </c>
    </row>
    <row r="4389" spans="13:15" x14ac:dyDescent="0.3">
      <c r="M4389" s="35">
        <v>30.24</v>
      </c>
      <c r="N4389">
        <v>305</v>
      </c>
      <c r="O4389" s="34">
        <f t="shared" si="69"/>
        <v>0.49960150290328875</v>
      </c>
    </row>
    <row r="4390" spans="13:15" x14ac:dyDescent="0.3">
      <c r="M4390" s="35">
        <v>30.25</v>
      </c>
      <c r="N4390">
        <v>305</v>
      </c>
      <c r="O4390" s="34">
        <f t="shared" si="69"/>
        <v>0.4997153592166213</v>
      </c>
    </row>
    <row r="4391" spans="13:15" x14ac:dyDescent="0.3">
      <c r="M4391" s="35">
        <v>30.26</v>
      </c>
      <c r="N4391">
        <v>305</v>
      </c>
      <c r="O4391" s="34">
        <f t="shared" si="69"/>
        <v>0.49982921552995385</v>
      </c>
    </row>
    <row r="4392" spans="13:15" x14ac:dyDescent="0.3">
      <c r="M4392" s="35">
        <v>30.26</v>
      </c>
      <c r="N4392">
        <v>305</v>
      </c>
      <c r="O4392" s="34">
        <f t="shared" si="69"/>
        <v>0.4999430718432864</v>
      </c>
    </row>
    <row r="4393" spans="13:15" x14ac:dyDescent="0.3">
      <c r="M4393" s="35">
        <v>30.27</v>
      </c>
      <c r="N4393">
        <v>305</v>
      </c>
      <c r="O4393" s="34">
        <f t="shared" si="69"/>
        <v>0.50005692815661895</v>
      </c>
    </row>
    <row r="4394" spans="13:15" x14ac:dyDescent="0.3">
      <c r="M4394" s="35">
        <v>30.27</v>
      </c>
      <c r="N4394">
        <v>305</v>
      </c>
      <c r="O4394" s="34">
        <f t="shared" si="69"/>
        <v>0.50017078446995156</v>
      </c>
    </row>
    <row r="4395" spans="13:15" x14ac:dyDescent="0.3">
      <c r="M4395" s="35">
        <v>30.28</v>
      </c>
      <c r="N4395">
        <v>305</v>
      </c>
      <c r="O4395" s="34">
        <f t="shared" si="69"/>
        <v>0.50028464078328416</v>
      </c>
    </row>
    <row r="4396" spans="13:15" x14ac:dyDescent="0.3">
      <c r="M4396" s="35">
        <v>30.28</v>
      </c>
      <c r="N4396">
        <v>305</v>
      </c>
      <c r="O4396" s="34">
        <f t="shared" si="69"/>
        <v>0.50039849709661677</v>
      </c>
    </row>
    <row r="4397" spans="13:15" x14ac:dyDescent="0.3">
      <c r="M4397" s="35">
        <v>30.28</v>
      </c>
      <c r="N4397">
        <v>305</v>
      </c>
      <c r="O4397" s="34">
        <f t="shared" si="69"/>
        <v>0.50051235340994937</v>
      </c>
    </row>
    <row r="4398" spans="13:15" x14ac:dyDescent="0.3">
      <c r="M4398" s="35">
        <v>30.29</v>
      </c>
      <c r="N4398">
        <v>305</v>
      </c>
      <c r="O4398" s="34">
        <f t="shared" si="69"/>
        <v>0.50062620972328198</v>
      </c>
    </row>
    <row r="4399" spans="13:15" x14ac:dyDescent="0.3">
      <c r="M4399" s="35">
        <v>30.29</v>
      </c>
      <c r="N4399">
        <v>305</v>
      </c>
      <c r="O4399" s="34">
        <f t="shared" si="69"/>
        <v>0.50074006603661458</v>
      </c>
    </row>
    <row r="4400" spans="13:15" x14ac:dyDescent="0.3">
      <c r="M4400" s="35">
        <v>30.3</v>
      </c>
      <c r="N4400">
        <v>305</v>
      </c>
      <c r="O4400" s="34">
        <f t="shared" si="69"/>
        <v>0.50085392234994719</v>
      </c>
    </row>
    <row r="4401" spans="13:15" x14ac:dyDescent="0.3">
      <c r="M4401" s="35">
        <v>30.3</v>
      </c>
      <c r="N4401">
        <v>305</v>
      </c>
      <c r="O4401" s="34">
        <f t="shared" si="69"/>
        <v>0.50096777866327979</v>
      </c>
    </row>
    <row r="4402" spans="13:15" x14ac:dyDescent="0.3">
      <c r="M4402" s="35">
        <v>30.31</v>
      </c>
      <c r="N4402">
        <v>305</v>
      </c>
      <c r="O4402" s="34">
        <f t="shared" si="69"/>
        <v>0.5010816349766124</v>
      </c>
    </row>
    <row r="4403" spans="13:15" x14ac:dyDescent="0.3">
      <c r="M4403" s="35">
        <v>30.31</v>
      </c>
      <c r="N4403">
        <v>305</v>
      </c>
      <c r="O4403" s="34">
        <f t="shared" si="69"/>
        <v>0.50119549128994501</v>
      </c>
    </row>
    <row r="4404" spans="13:15" x14ac:dyDescent="0.3">
      <c r="M4404" s="35">
        <v>30.33</v>
      </c>
      <c r="N4404">
        <v>305</v>
      </c>
      <c r="O4404" s="34">
        <f t="shared" si="69"/>
        <v>0.50130934760327761</v>
      </c>
    </row>
    <row r="4405" spans="13:15" x14ac:dyDescent="0.3">
      <c r="M4405" s="35">
        <v>30.33</v>
      </c>
      <c r="N4405">
        <v>305</v>
      </c>
      <c r="O4405" s="34">
        <f t="shared" si="69"/>
        <v>0.50142320391661022</v>
      </c>
    </row>
    <row r="4406" spans="13:15" x14ac:dyDescent="0.3">
      <c r="M4406" s="35">
        <v>30.33</v>
      </c>
      <c r="N4406">
        <v>305</v>
      </c>
      <c r="O4406" s="34">
        <f t="shared" si="69"/>
        <v>0.50153706022994282</v>
      </c>
    </row>
    <row r="4407" spans="13:15" x14ac:dyDescent="0.3">
      <c r="M4407" s="35">
        <v>30.33</v>
      </c>
      <c r="N4407">
        <v>305</v>
      </c>
      <c r="O4407" s="34">
        <f t="shared" si="69"/>
        <v>0.50165091654327543</v>
      </c>
    </row>
    <row r="4408" spans="13:15" x14ac:dyDescent="0.3">
      <c r="M4408" s="35">
        <v>30.33</v>
      </c>
      <c r="N4408">
        <v>305</v>
      </c>
      <c r="O4408" s="34">
        <f t="shared" si="69"/>
        <v>0.50176477285660803</v>
      </c>
    </row>
    <row r="4409" spans="13:15" x14ac:dyDescent="0.3">
      <c r="M4409" s="35">
        <v>30.35</v>
      </c>
      <c r="N4409">
        <v>305</v>
      </c>
      <c r="O4409" s="34">
        <f t="shared" si="69"/>
        <v>0.50187862916994064</v>
      </c>
    </row>
    <row r="4410" spans="13:15" x14ac:dyDescent="0.3">
      <c r="M4410" s="35">
        <v>30.36</v>
      </c>
      <c r="N4410">
        <v>305</v>
      </c>
      <c r="O4410" s="34">
        <f t="shared" si="69"/>
        <v>0.50199248548327324</v>
      </c>
    </row>
    <row r="4411" spans="13:15" x14ac:dyDescent="0.3">
      <c r="M4411" s="35">
        <v>30.36</v>
      </c>
      <c r="N4411">
        <v>305</v>
      </c>
      <c r="O4411" s="34">
        <f t="shared" si="69"/>
        <v>0.50210634179660585</v>
      </c>
    </row>
    <row r="4412" spans="13:15" x14ac:dyDescent="0.3">
      <c r="M4412" s="35">
        <v>30.37</v>
      </c>
      <c r="N4412">
        <v>305</v>
      </c>
      <c r="O4412" s="34">
        <f t="shared" si="69"/>
        <v>0.50222019810993845</v>
      </c>
    </row>
    <row r="4413" spans="13:15" x14ac:dyDescent="0.3">
      <c r="M4413" s="35">
        <v>30.38</v>
      </c>
      <c r="N4413">
        <v>305</v>
      </c>
      <c r="O4413" s="34">
        <f t="shared" si="69"/>
        <v>0.50233405442327106</v>
      </c>
    </row>
    <row r="4414" spans="13:15" x14ac:dyDescent="0.3">
      <c r="M4414" s="35">
        <v>30.39</v>
      </c>
      <c r="N4414">
        <v>305</v>
      </c>
      <c r="O4414" s="34">
        <f t="shared" si="69"/>
        <v>0.50244791073660366</v>
      </c>
    </row>
    <row r="4415" spans="13:15" x14ac:dyDescent="0.3">
      <c r="M4415" s="35">
        <v>30.4</v>
      </c>
      <c r="N4415">
        <v>305</v>
      </c>
      <c r="O4415" s="34">
        <f t="shared" si="69"/>
        <v>0.50256176704993627</v>
      </c>
    </row>
    <row r="4416" spans="13:15" x14ac:dyDescent="0.3">
      <c r="M4416" s="35">
        <v>30.41</v>
      </c>
      <c r="N4416">
        <v>305</v>
      </c>
      <c r="O4416" s="34">
        <f t="shared" si="69"/>
        <v>0.50267562336326888</v>
      </c>
    </row>
    <row r="4417" spans="13:15" x14ac:dyDescent="0.3">
      <c r="M4417" s="35">
        <v>30.41</v>
      </c>
      <c r="N4417">
        <v>305</v>
      </c>
      <c r="O4417" s="34">
        <f t="shared" si="69"/>
        <v>0.50278947967660148</v>
      </c>
    </row>
    <row r="4418" spans="13:15" x14ac:dyDescent="0.3">
      <c r="M4418" s="35">
        <v>30.41</v>
      </c>
      <c r="N4418">
        <v>305</v>
      </c>
      <c r="O4418" s="34">
        <f t="shared" si="69"/>
        <v>0.50290333598993409</v>
      </c>
    </row>
    <row r="4419" spans="13:15" x14ac:dyDescent="0.3">
      <c r="M4419" s="35">
        <v>30.41</v>
      </c>
      <c r="N4419">
        <v>305</v>
      </c>
      <c r="O4419" s="34">
        <f t="shared" si="69"/>
        <v>0.50301719230326669</v>
      </c>
    </row>
    <row r="4420" spans="13:15" x14ac:dyDescent="0.3">
      <c r="M4420" s="35">
        <v>30.42</v>
      </c>
      <c r="N4420">
        <v>305</v>
      </c>
      <c r="O4420" s="34">
        <f t="shared" ref="O4420:O4483" si="70">O4419+O$2</f>
        <v>0.5031310486165993</v>
      </c>
    </row>
    <row r="4421" spans="13:15" x14ac:dyDescent="0.3">
      <c r="M4421" s="35">
        <v>30.43</v>
      </c>
      <c r="N4421">
        <v>305</v>
      </c>
      <c r="O4421" s="34">
        <f t="shared" si="70"/>
        <v>0.5032449049299319</v>
      </c>
    </row>
    <row r="4422" spans="13:15" x14ac:dyDescent="0.3">
      <c r="M4422" s="35">
        <v>30.44</v>
      </c>
      <c r="N4422">
        <v>305</v>
      </c>
      <c r="O4422" s="34">
        <f t="shared" si="70"/>
        <v>0.50335876124326451</v>
      </c>
    </row>
    <row r="4423" spans="13:15" x14ac:dyDescent="0.3">
      <c r="M4423" s="35">
        <v>30.46</v>
      </c>
      <c r="N4423">
        <v>305</v>
      </c>
      <c r="O4423" s="34">
        <f t="shared" si="70"/>
        <v>0.50347261755659711</v>
      </c>
    </row>
    <row r="4424" spans="13:15" x14ac:dyDescent="0.3">
      <c r="M4424" s="35">
        <v>30.46</v>
      </c>
      <c r="N4424">
        <v>305</v>
      </c>
      <c r="O4424" s="34">
        <f t="shared" si="70"/>
        <v>0.50358647386992972</v>
      </c>
    </row>
    <row r="4425" spans="13:15" x14ac:dyDescent="0.3">
      <c r="M4425" s="35">
        <v>30.46</v>
      </c>
      <c r="N4425">
        <v>305</v>
      </c>
      <c r="O4425" s="34">
        <f t="shared" si="70"/>
        <v>0.50370033018326232</v>
      </c>
    </row>
    <row r="4426" spans="13:15" x14ac:dyDescent="0.3">
      <c r="M4426" s="35">
        <v>30.47</v>
      </c>
      <c r="N4426">
        <v>305</v>
      </c>
      <c r="O4426" s="34">
        <f t="shared" si="70"/>
        <v>0.50381418649659493</v>
      </c>
    </row>
    <row r="4427" spans="13:15" x14ac:dyDescent="0.3">
      <c r="M4427" s="35">
        <v>30.47</v>
      </c>
      <c r="N4427">
        <v>305</v>
      </c>
      <c r="O4427" s="34">
        <f t="shared" si="70"/>
        <v>0.50392804280992753</v>
      </c>
    </row>
    <row r="4428" spans="13:15" x14ac:dyDescent="0.3">
      <c r="M4428" s="35">
        <v>30.48</v>
      </c>
      <c r="N4428">
        <v>305</v>
      </c>
      <c r="O4428" s="34">
        <f t="shared" si="70"/>
        <v>0.50404189912326014</v>
      </c>
    </row>
    <row r="4429" spans="13:15" x14ac:dyDescent="0.3">
      <c r="M4429" s="35">
        <v>30.48</v>
      </c>
      <c r="N4429">
        <v>305</v>
      </c>
      <c r="O4429" s="34">
        <f t="shared" si="70"/>
        <v>0.50415575543659275</v>
      </c>
    </row>
    <row r="4430" spans="13:15" x14ac:dyDescent="0.3">
      <c r="M4430" s="35">
        <v>30.48</v>
      </c>
      <c r="N4430">
        <v>305</v>
      </c>
      <c r="O4430" s="34">
        <f t="shared" si="70"/>
        <v>0.50426961174992535</v>
      </c>
    </row>
    <row r="4431" spans="13:15" x14ac:dyDescent="0.3">
      <c r="M4431" s="35">
        <v>30.5</v>
      </c>
      <c r="N4431">
        <v>305</v>
      </c>
      <c r="O4431" s="34">
        <f t="shared" si="70"/>
        <v>0.50438346806325796</v>
      </c>
    </row>
    <row r="4432" spans="13:15" x14ac:dyDescent="0.3">
      <c r="M4432" s="35">
        <v>30.51</v>
      </c>
      <c r="N4432">
        <v>305</v>
      </c>
      <c r="O4432" s="34">
        <f t="shared" si="70"/>
        <v>0.50449732437659056</v>
      </c>
    </row>
    <row r="4433" spans="13:15" x14ac:dyDescent="0.3">
      <c r="M4433" s="35">
        <v>30.51</v>
      </c>
      <c r="N4433">
        <v>305</v>
      </c>
      <c r="O4433" s="34">
        <f t="shared" si="70"/>
        <v>0.50461118068992317</v>
      </c>
    </row>
    <row r="4434" spans="13:15" x14ac:dyDescent="0.3">
      <c r="M4434" s="35">
        <v>30.51</v>
      </c>
      <c r="N4434">
        <v>305</v>
      </c>
      <c r="O4434" s="34">
        <f t="shared" si="70"/>
        <v>0.50472503700325577</v>
      </c>
    </row>
    <row r="4435" spans="13:15" x14ac:dyDescent="0.3">
      <c r="M4435" s="35">
        <v>30.51</v>
      </c>
      <c r="N4435">
        <v>305</v>
      </c>
      <c r="O4435" s="34">
        <f t="shared" si="70"/>
        <v>0.50483889331658838</v>
      </c>
    </row>
    <row r="4436" spans="13:15" x14ac:dyDescent="0.3">
      <c r="M4436" s="35">
        <v>30.51</v>
      </c>
      <c r="N4436">
        <v>305</v>
      </c>
      <c r="O4436" s="34">
        <f t="shared" si="70"/>
        <v>0.50495274962992098</v>
      </c>
    </row>
    <row r="4437" spans="13:15" x14ac:dyDescent="0.3">
      <c r="M4437" s="35">
        <v>30.52</v>
      </c>
      <c r="N4437">
        <v>305</v>
      </c>
      <c r="O4437" s="34">
        <f t="shared" si="70"/>
        <v>0.50506660594325359</v>
      </c>
    </row>
    <row r="4438" spans="13:15" x14ac:dyDescent="0.3">
      <c r="M4438" s="35">
        <v>30.52</v>
      </c>
      <c r="N4438">
        <v>305</v>
      </c>
      <c r="O4438" s="34">
        <f t="shared" si="70"/>
        <v>0.50518046225658619</v>
      </c>
    </row>
    <row r="4439" spans="13:15" x14ac:dyDescent="0.3">
      <c r="M4439" s="35">
        <v>30.52</v>
      </c>
      <c r="N4439">
        <v>305</v>
      </c>
      <c r="O4439" s="34">
        <f t="shared" si="70"/>
        <v>0.5052943185699188</v>
      </c>
    </row>
    <row r="4440" spans="13:15" x14ac:dyDescent="0.3">
      <c r="M4440" s="35">
        <v>30.53</v>
      </c>
      <c r="N4440">
        <v>305</v>
      </c>
      <c r="O4440" s="34">
        <f t="shared" si="70"/>
        <v>0.5054081748832514</v>
      </c>
    </row>
    <row r="4441" spans="13:15" x14ac:dyDescent="0.3">
      <c r="M4441" s="35">
        <v>30.53</v>
      </c>
      <c r="N4441">
        <v>305</v>
      </c>
      <c r="O4441" s="34">
        <f t="shared" si="70"/>
        <v>0.50552203119658401</v>
      </c>
    </row>
    <row r="4442" spans="13:15" x14ac:dyDescent="0.3">
      <c r="M4442" s="35">
        <v>30.53</v>
      </c>
      <c r="N4442">
        <v>305</v>
      </c>
      <c r="O4442" s="34">
        <f t="shared" si="70"/>
        <v>0.50563588750991662</v>
      </c>
    </row>
    <row r="4443" spans="13:15" x14ac:dyDescent="0.3">
      <c r="M4443" s="35">
        <v>30.53</v>
      </c>
      <c r="N4443">
        <v>305</v>
      </c>
      <c r="O4443" s="34">
        <f t="shared" si="70"/>
        <v>0.50574974382324922</v>
      </c>
    </row>
    <row r="4444" spans="13:15" x14ac:dyDescent="0.3">
      <c r="M4444" s="35">
        <v>30.54</v>
      </c>
      <c r="N4444">
        <v>305</v>
      </c>
      <c r="O4444" s="34">
        <f t="shared" si="70"/>
        <v>0.50586360013658183</v>
      </c>
    </row>
    <row r="4445" spans="13:15" x14ac:dyDescent="0.3">
      <c r="M4445" s="35">
        <v>30.54</v>
      </c>
      <c r="N4445">
        <v>305</v>
      </c>
      <c r="O4445" s="34">
        <f t="shared" si="70"/>
        <v>0.50597745644991443</v>
      </c>
    </row>
    <row r="4446" spans="13:15" x14ac:dyDescent="0.3">
      <c r="M4446" s="35">
        <v>30.55</v>
      </c>
      <c r="N4446">
        <v>305</v>
      </c>
      <c r="O4446" s="34">
        <f t="shared" si="70"/>
        <v>0.50609131276324704</v>
      </c>
    </row>
    <row r="4447" spans="13:15" x14ac:dyDescent="0.3">
      <c r="M4447" s="35">
        <v>30.55</v>
      </c>
      <c r="N4447">
        <v>305</v>
      </c>
      <c r="O4447" s="34">
        <f t="shared" si="70"/>
        <v>0.50620516907657964</v>
      </c>
    </row>
    <row r="4448" spans="13:15" x14ac:dyDescent="0.3">
      <c r="M4448" s="35">
        <v>30.56</v>
      </c>
      <c r="N4448">
        <v>305</v>
      </c>
      <c r="O4448" s="34">
        <f t="shared" si="70"/>
        <v>0.50631902538991225</v>
      </c>
    </row>
    <row r="4449" spans="13:15" x14ac:dyDescent="0.3">
      <c r="M4449" s="35">
        <v>30.56</v>
      </c>
      <c r="N4449">
        <v>305</v>
      </c>
      <c r="O4449" s="34">
        <f t="shared" si="70"/>
        <v>0.50643288170324485</v>
      </c>
    </row>
    <row r="4450" spans="13:15" x14ac:dyDescent="0.3">
      <c r="M4450" s="35">
        <v>30.56</v>
      </c>
      <c r="N4450">
        <v>305</v>
      </c>
      <c r="O4450" s="34">
        <f t="shared" si="70"/>
        <v>0.50654673801657746</v>
      </c>
    </row>
    <row r="4451" spans="13:15" x14ac:dyDescent="0.3">
      <c r="M4451" s="35">
        <v>30.56</v>
      </c>
      <c r="N4451">
        <v>305</v>
      </c>
      <c r="O4451" s="34">
        <f t="shared" si="70"/>
        <v>0.50666059432991006</v>
      </c>
    </row>
    <row r="4452" spans="13:15" x14ac:dyDescent="0.3">
      <c r="M4452" s="35">
        <v>30.56</v>
      </c>
      <c r="N4452">
        <v>305</v>
      </c>
      <c r="O4452" s="34">
        <f t="shared" si="70"/>
        <v>0.50677445064324267</v>
      </c>
    </row>
    <row r="4453" spans="13:15" x14ac:dyDescent="0.3">
      <c r="M4453" s="35">
        <v>30.58</v>
      </c>
      <c r="N4453">
        <v>305</v>
      </c>
      <c r="O4453" s="34">
        <f t="shared" si="70"/>
        <v>0.50688830695657527</v>
      </c>
    </row>
    <row r="4454" spans="13:15" x14ac:dyDescent="0.3">
      <c r="M4454" s="35">
        <v>30.59</v>
      </c>
      <c r="N4454">
        <v>305</v>
      </c>
      <c r="O4454" s="34">
        <f t="shared" si="70"/>
        <v>0.50700216326990788</v>
      </c>
    </row>
    <row r="4455" spans="13:15" x14ac:dyDescent="0.3">
      <c r="M4455" s="35">
        <v>30.59</v>
      </c>
      <c r="N4455">
        <v>305</v>
      </c>
      <c r="O4455" s="34">
        <f t="shared" si="70"/>
        <v>0.50711601958324048</v>
      </c>
    </row>
    <row r="4456" spans="13:15" x14ac:dyDescent="0.3">
      <c r="M4456" s="35">
        <v>30.59</v>
      </c>
      <c r="N4456">
        <v>305</v>
      </c>
      <c r="O4456" s="34">
        <f t="shared" si="70"/>
        <v>0.50722987589657309</v>
      </c>
    </row>
    <row r="4457" spans="13:15" x14ac:dyDescent="0.3">
      <c r="M4457" s="35">
        <v>30.59</v>
      </c>
      <c r="N4457">
        <v>305</v>
      </c>
      <c r="O4457" s="34">
        <f t="shared" si="70"/>
        <v>0.5073437322099057</v>
      </c>
    </row>
    <row r="4458" spans="13:15" x14ac:dyDescent="0.3">
      <c r="M4458" s="35">
        <v>30.59</v>
      </c>
      <c r="N4458">
        <v>305</v>
      </c>
      <c r="O4458" s="34">
        <f t="shared" si="70"/>
        <v>0.5074575885232383</v>
      </c>
    </row>
    <row r="4459" spans="13:15" x14ac:dyDescent="0.3">
      <c r="M4459" s="35">
        <v>30.6</v>
      </c>
      <c r="N4459">
        <v>305</v>
      </c>
      <c r="O4459" s="34">
        <f t="shared" si="70"/>
        <v>0.50757144483657091</v>
      </c>
    </row>
    <row r="4460" spans="13:15" x14ac:dyDescent="0.3">
      <c r="M4460" s="35">
        <v>30.63</v>
      </c>
      <c r="N4460">
        <v>305</v>
      </c>
      <c r="O4460" s="34">
        <f t="shared" si="70"/>
        <v>0.50768530114990351</v>
      </c>
    </row>
    <row r="4461" spans="13:15" x14ac:dyDescent="0.3">
      <c r="M4461" s="35">
        <v>30.64</v>
      </c>
      <c r="N4461">
        <v>305</v>
      </c>
      <c r="O4461" s="34">
        <f t="shared" si="70"/>
        <v>0.50779915746323612</v>
      </c>
    </row>
    <row r="4462" spans="13:15" x14ac:dyDescent="0.3">
      <c r="M4462" s="35">
        <v>30.64</v>
      </c>
      <c r="N4462">
        <v>305</v>
      </c>
      <c r="O4462" s="34">
        <f t="shared" si="70"/>
        <v>0.50791301377656872</v>
      </c>
    </row>
    <row r="4463" spans="13:15" x14ac:dyDescent="0.3">
      <c r="M4463" s="35">
        <v>30.65</v>
      </c>
      <c r="N4463">
        <v>305</v>
      </c>
      <c r="O4463" s="34">
        <f t="shared" si="70"/>
        <v>0.50802687008990133</v>
      </c>
    </row>
    <row r="4464" spans="13:15" x14ac:dyDescent="0.3">
      <c r="M4464" s="35">
        <v>30.65</v>
      </c>
      <c r="N4464">
        <v>305</v>
      </c>
      <c r="O4464" s="34">
        <f t="shared" si="70"/>
        <v>0.50814072640323393</v>
      </c>
    </row>
    <row r="4465" spans="13:15" x14ac:dyDescent="0.3">
      <c r="M4465" s="35">
        <v>30.65</v>
      </c>
      <c r="N4465">
        <v>305</v>
      </c>
      <c r="O4465" s="34">
        <f t="shared" si="70"/>
        <v>0.50825458271656654</v>
      </c>
    </row>
    <row r="4466" spans="13:15" x14ac:dyDescent="0.3">
      <c r="M4466" s="35">
        <v>30.66</v>
      </c>
      <c r="N4466">
        <v>305</v>
      </c>
      <c r="O4466" s="34">
        <f t="shared" si="70"/>
        <v>0.50836843902989914</v>
      </c>
    </row>
    <row r="4467" spans="13:15" x14ac:dyDescent="0.3">
      <c r="M4467" s="35">
        <v>30.66</v>
      </c>
      <c r="N4467">
        <v>305</v>
      </c>
      <c r="O4467" s="34">
        <f t="shared" si="70"/>
        <v>0.50848229534323175</v>
      </c>
    </row>
    <row r="4468" spans="13:15" x14ac:dyDescent="0.3">
      <c r="M4468" s="35">
        <v>30.66</v>
      </c>
      <c r="N4468">
        <v>305</v>
      </c>
      <c r="O4468" s="34">
        <f t="shared" si="70"/>
        <v>0.50859615165656435</v>
      </c>
    </row>
    <row r="4469" spans="13:15" x14ac:dyDescent="0.3">
      <c r="M4469" s="35">
        <v>30.67</v>
      </c>
      <c r="N4469">
        <v>305</v>
      </c>
      <c r="O4469" s="34">
        <f t="shared" si="70"/>
        <v>0.50871000796989696</v>
      </c>
    </row>
    <row r="4470" spans="13:15" x14ac:dyDescent="0.3">
      <c r="M4470" s="35">
        <v>30.67</v>
      </c>
      <c r="N4470">
        <v>305</v>
      </c>
      <c r="O4470" s="34">
        <f t="shared" si="70"/>
        <v>0.50882386428322957</v>
      </c>
    </row>
    <row r="4471" spans="13:15" x14ac:dyDescent="0.3">
      <c r="M4471" s="35">
        <v>30.67</v>
      </c>
      <c r="N4471">
        <v>305</v>
      </c>
      <c r="O4471" s="34">
        <f t="shared" si="70"/>
        <v>0.50893772059656217</v>
      </c>
    </row>
    <row r="4472" spans="13:15" x14ac:dyDescent="0.3">
      <c r="M4472" s="35">
        <v>30.68</v>
      </c>
      <c r="N4472">
        <v>305</v>
      </c>
      <c r="O4472" s="34">
        <f t="shared" si="70"/>
        <v>0.50905157690989478</v>
      </c>
    </row>
    <row r="4473" spans="13:15" x14ac:dyDescent="0.3">
      <c r="M4473" s="35">
        <v>30.68</v>
      </c>
      <c r="N4473">
        <v>305</v>
      </c>
      <c r="O4473" s="34">
        <f t="shared" si="70"/>
        <v>0.50916543322322738</v>
      </c>
    </row>
    <row r="4474" spans="13:15" x14ac:dyDescent="0.3">
      <c r="M4474" s="35">
        <v>30.69</v>
      </c>
      <c r="N4474">
        <v>305</v>
      </c>
      <c r="O4474" s="34">
        <f t="shared" si="70"/>
        <v>0.50927928953655999</v>
      </c>
    </row>
    <row r="4475" spans="13:15" x14ac:dyDescent="0.3">
      <c r="M4475" s="35">
        <v>30.69</v>
      </c>
      <c r="N4475">
        <v>305</v>
      </c>
      <c r="O4475" s="34">
        <f t="shared" si="70"/>
        <v>0.50939314584989259</v>
      </c>
    </row>
    <row r="4476" spans="13:15" x14ac:dyDescent="0.3">
      <c r="M4476" s="35">
        <v>30.69</v>
      </c>
      <c r="N4476">
        <v>305</v>
      </c>
      <c r="O4476" s="34">
        <f t="shared" si="70"/>
        <v>0.5095070021632252</v>
      </c>
    </row>
    <row r="4477" spans="13:15" x14ac:dyDescent="0.3">
      <c r="M4477" s="35">
        <v>30.69</v>
      </c>
      <c r="N4477">
        <v>305</v>
      </c>
      <c r="O4477" s="34">
        <f t="shared" si="70"/>
        <v>0.5096208584765578</v>
      </c>
    </row>
    <row r="4478" spans="13:15" x14ac:dyDescent="0.3">
      <c r="M4478" s="35">
        <v>30.69</v>
      </c>
      <c r="N4478">
        <v>305</v>
      </c>
      <c r="O4478" s="34">
        <f t="shared" si="70"/>
        <v>0.50973471478989041</v>
      </c>
    </row>
    <row r="4479" spans="13:15" x14ac:dyDescent="0.3">
      <c r="M4479" s="35">
        <v>30.69</v>
      </c>
      <c r="N4479">
        <v>305</v>
      </c>
      <c r="O4479" s="34">
        <f t="shared" si="70"/>
        <v>0.50984857110322301</v>
      </c>
    </row>
    <row r="4480" spans="13:15" x14ac:dyDescent="0.3">
      <c r="M4480" s="35">
        <v>30.69</v>
      </c>
      <c r="N4480">
        <v>305</v>
      </c>
      <c r="O4480" s="34">
        <f t="shared" si="70"/>
        <v>0.50996242741655562</v>
      </c>
    </row>
    <row r="4481" spans="13:15" x14ac:dyDescent="0.3">
      <c r="M4481" s="35">
        <v>30.71</v>
      </c>
      <c r="N4481">
        <v>305</v>
      </c>
      <c r="O4481" s="34">
        <f t="shared" si="70"/>
        <v>0.51007628372988822</v>
      </c>
    </row>
    <row r="4482" spans="13:15" x14ac:dyDescent="0.3">
      <c r="M4482" s="35">
        <v>30.71</v>
      </c>
      <c r="N4482">
        <v>305</v>
      </c>
      <c r="O4482" s="34">
        <f t="shared" si="70"/>
        <v>0.51019014004322083</v>
      </c>
    </row>
    <row r="4483" spans="13:15" x14ac:dyDescent="0.3">
      <c r="M4483" s="35">
        <v>30.72</v>
      </c>
      <c r="N4483">
        <v>305</v>
      </c>
      <c r="O4483" s="34">
        <f t="shared" si="70"/>
        <v>0.51030399635655344</v>
      </c>
    </row>
    <row r="4484" spans="13:15" x14ac:dyDescent="0.3">
      <c r="M4484" s="35">
        <v>30.74</v>
      </c>
      <c r="N4484">
        <v>305</v>
      </c>
      <c r="O4484" s="34">
        <f t="shared" ref="O4484:O4547" si="71">O4483+O$2</f>
        <v>0.51041785266988604</v>
      </c>
    </row>
    <row r="4485" spans="13:15" x14ac:dyDescent="0.3">
      <c r="M4485" s="35">
        <v>30.75</v>
      </c>
      <c r="N4485">
        <v>305</v>
      </c>
      <c r="O4485" s="34">
        <f t="shared" si="71"/>
        <v>0.51053170898321865</v>
      </c>
    </row>
    <row r="4486" spans="13:15" x14ac:dyDescent="0.3">
      <c r="M4486" s="35">
        <v>30.75</v>
      </c>
      <c r="N4486">
        <v>305</v>
      </c>
      <c r="O4486" s="34">
        <f t="shared" si="71"/>
        <v>0.51064556529655125</v>
      </c>
    </row>
    <row r="4487" spans="13:15" x14ac:dyDescent="0.3">
      <c r="M4487" s="35">
        <v>30.77</v>
      </c>
      <c r="N4487">
        <v>305</v>
      </c>
      <c r="O4487" s="34">
        <f t="shared" si="71"/>
        <v>0.51075942160988386</v>
      </c>
    </row>
    <row r="4488" spans="13:15" x14ac:dyDescent="0.3">
      <c r="M4488" s="35">
        <v>30.78</v>
      </c>
      <c r="N4488">
        <v>305</v>
      </c>
      <c r="O4488" s="34">
        <f t="shared" si="71"/>
        <v>0.51087327792321646</v>
      </c>
    </row>
    <row r="4489" spans="13:15" x14ac:dyDescent="0.3">
      <c r="M4489" s="35">
        <v>30.78</v>
      </c>
      <c r="N4489">
        <v>305</v>
      </c>
      <c r="O4489" s="34">
        <f t="shared" si="71"/>
        <v>0.51098713423654907</v>
      </c>
    </row>
    <row r="4490" spans="13:15" x14ac:dyDescent="0.3">
      <c r="M4490" s="35">
        <v>30.79</v>
      </c>
      <c r="N4490">
        <v>305</v>
      </c>
      <c r="O4490" s="34">
        <f t="shared" si="71"/>
        <v>0.51110099054988167</v>
      </c>
    </row>
    <row r="4491" spans="13:15" x14ac:dyDescent="0.3">
      <c r="M4491" s="35">
        <v>30.79</v>
      </c>
      <c r="N4491">
        <v>305</v>
      </c>
      <c r="O4491" s="34">
        <f t="shared" si="71"/>
        <v>0.51121484686321428</v>
      </c>
    </row>
    <row r="4492" spans="13:15" x14ac:dyDescent="0.3">
      <c r="M4492" s="35">
        <v>30.79</v>
      </c>
      <c r="N4492">
        <v>305</v>
      </c>
      <c r="O4492" s="34">
        <f t="shared" si="71"/>
        <v>0.51132870317654688</v>
      </c>
    </row>
    <row r="4493" spans="13:15" x14ac:dyDescent="0.3">
      <c r="M4493" s="35">
        <v>30.8</v>
      </c>
      <c r="N4493">
        <v>305</v>
      </c>
      <c r="O4493" s="34">
        <f t="shared" si="71"/>
        <v>0.51144255948987949</v>
      </c>
    </row>
    <row r="4494" spans="13:15" x14ac:dyDescent="0.3">
      <c r="M4494" s="35">
        <v>30.8</v>
      </c>
      <c r="N4494">
        <v>305</v>
      </c>
      <c r="O4494" s="34">
        <f t="shared" si="71"/>
        <v>0.51155641580321209</v>
      </c>
    </row>
    <row r="4495" spans="13:15" x14ac:dyDescent="0.3">
      <c r="M4495" s="35">
        <v>30.8</v>
      </c>
      <c r="N4495">
        <v>305</v>
      </c>
      <c r="O4495" s="34">
        <f t="shared" si="71"/>
        <v>0.5116702721165447</v>
      </c>
    </row>
    <row r="4496" spans="13:15" x14ac:dyDescent="0.3">
      <c r="M4496" s="35">
        <v>30.82</v>
      </c>
      <c r="N4496">
        <v>305</v>
      </c>
      <c r="O4496" s="34">
        <f t="shared" si="71"/>
        <v>0.51178412842987731</v>
      </c>
    </row>
    <row r="4497" spans="13:15" x14ac:dyDescent="0.3">
      <c r="M4497" s="35">
        <v>30.83</v>
      </c>
      <c r="N4497">
        <v>305</v>
      </c>
      <c r="O4497" s="34">
        <f t="shared" si="71"/>
        <v>0.51189798474320991</v>
      </c>
    </row>
    <row r="4498" spans="13:15" x14ac:dyDescent="0.3">
      <c r="M4498" s="35">
        <v>30.83</v>
      </c>
      <c r="N4498">
        <v>305</v>
      </c>
      <c r="O4498" s="34">
        <f t="shared" si="71"/>
        <v>0.51201184105654252</v>
      </c>
    </row>
    <row r="4499" spans="13:15" x14ac:dyDescent="0.3">
      <c r="M4499" s="35">
        <v>30.83</v>
      </c>
      <c r="N4499">
        <v>305</v>
      </c>
      <c r="O4499" s="34">
        <f t="shared" si="71"/>
        <v>0.51212569736987512</v>
      </c>
    </row>
    <row r="4500" spans="13:15" x14ac:dyDescent="0.3">
      <c r="M4500" s="35">
        <v>30.85</v>
      </c>
      <c r="N4500">
        <v>305</v>
      </c>
      <c r="O4500" s="34">
        <f t="shared" si="71"/>
        <v>0.51223955368320773</v>
      </c>
    </row>
    <row r="4501" spans="13:15" x14ac:dyDescent="0.3">
      <c r="M4501" s="35">
        <v>30.85</v>
      </c>
      <c r="N4501">
        <v>305</v>
      </c>
      <c r="O4501" s="34">
        <f t="shared" si="71"/>
        <v>0.51235340999654033</v>
      </c>
    </row>
    <row r="4502" spans="13:15" x14ac:dyDescent="0.3">
      <c r="M4502" s="35">
        <v>30.86</v>
      </c>
      <c r="N4502">
        <v>305</v>
      </c>
      <c r="O4502" s="34">
        <f t="shared" si="71"/>
        <v>0.51246726630987294</v>
      </c>
    </row>
    <row r="4503" spans="13:15" x14ac:dyDescent="0.3">
      <c r="M4503" s="35">
        <v>30.87</v>
      </c>
      <c r="N4503">
        <v>305</v>
      </c>
      <c r="O4503" s="34">
        <f t="shared" si="71"/>
        <v>0.51258112262320554</v>
      </c>
    </row>
    <row r="4504" spans="13:15" x14ac:dyDescent="0.3">
      <c r="M4504" s="35">
        <v>30.87</v>
      </c>
      <c r="N4504">
        <v>305</v>
      </c>
      <c r="O4504" s="34">
        <f t="shared" si="71"/>
        <v>0.51269497893653815</v>
      </c>
    </row>
    <row r="4505" spans="13:15" x14ac:dyDescent="0.3">
      <c r="M4505" s="35">
        <v>30.87</v>
      </c>
      <c r="N4505">
        <v>305</v>
      </c>
      <c r="O4505" s="34">
        <f t="shared" si="71"/>
        <v>0.51280883524987075</v>
      </c>
    </row>
    <row r="4506" spans="13:15" x14ac:dyDescent="0.3">
      <c r="M4506" s="35">
        <v>30.88</v>
      </c>
      <c r="N4506">
        <v>305</v>
      </c>
      <c r="O4506" s="34">
        <f t="shared" si="71"/>
        <v>0.51292269156320336</v>
      </c>
    </row>
    <row r="4507" spans="13:15" x14ac:dyDescent="0.3">
      <c r="M4507" s="35">
        <v>30.88</v>
      </c>
      <c r="N4507">
        <v>305</v>
      </c>
      <c r="O4507" s="34">
        <f t="shared" si="71"/>
        <v>0.51303654787653596</v>
      </c>
    </row>
    <row r="4508" spans="13:15" x14ac:dyDescent="0.3">
      <c r="M4508" s="35">
        <v>30.9</v>
      </c>
      <c r="N4508">
        <v>305</v>
      </c>
      <c r="O4508" s="34">
        <f t="shared" si="71"/>
        <v>0.51315040418986857</v>
      </c>
    </row>
    <row r="4509" spans="13:15" x14ac:dyDescent="0.3">
      <c r="M4509" s="35">
        <v>30.91</v>
      </c>
      <c r="N4509">
        <v>305</v>
      </c>
      <c r="O4509" s="34">
        <f t="shared" si="71"/>
        <v>0.51326426050320118</v>
      </c>
    </row>
    <row r="4510" spans="13:15" x14ac:dyDescent="0.3">
      <c r="M4510" s="35">
        <v>30.93</v>
      </c>
      <c r="N4510">
        <v>305</v>
      </c>
      <c r="O4510" s="34">
        <f t="shared" si="71"/>
        <v>0.51337811681653378</v>
      </c>
    </row>
    <row r="4511" spans="13:15" x14ac:dyDescent="0.3">
      <c r="M4511" s="35">
        <v>30.93</v>
      </c>
      <c r="N4511">
        <v>305</v>
      </c>
      <c r="O4511" s="34">
        <f t="shared" si="71"/>
        <v>0.51349197312986639</v>
      </c>
    </row>
    <row r="4512" spans="13:15" x14ac:dyDescent="0.3">
      <c r="M4512" s="35">
        <v>30.94</v>
      </c>
      <c r="N4512">
        <v>305</v>
      </c>
      <c r="O4512" s="34">
        <f t="shared" si="71"/>
        <v>0.51360582944319899</v>
      </c>
    </row>
    <row r="4513" spans="13:15" x14ac:dyDescent="0.3">
      <c r="M4513" s="35">
        <v>30.95</v>
      </c>
      <c r="N4513">
        <v>305</v>
      </c>
      <c r="O4513" s="34">
        <f t="shared" si="71"/>
        <v>0.5137196857565316</v>
      </c>
    </row>
    <row r="4514" spans="13:15" x14ac:dyDescent="0.3">
      <c r="M4514" s="35">
        <v>30.96</v>
      </c>
      <c r="N4514">
        <v>305</v>
      </c>
      <c r="O4514" s="34">
        <f t="shared" si="71"/>
        <v>0.5138335420698642</v>
      </c>
    </row>
    <row r="4515" spans="13:15" x14ac:dyDescent="0.3">
      <c r="M4515" s="35">
        <v>30.96</v>
      </c>
      <c r="N4515">
        <v>305</v>
      </c>
      <c r="O4515" s="34">
        <f t="shared" si="71"/>
        <v>0.51394739838319681</v>
      </c>
    </row>
    <row r="4516" spans="13:15" x14ac:dyDescent="0.3">
      <c r="M4516" s="35">
        <v>30.96</v>
      </c>
      <c r="N4516">
        <v>305</v>
      </c>
      <c r="O4516" s="34">
        <f t="shared" si="71"/>
        <v>0.51406125469652941</v>
      </c>
    </row>
    <row r="4517" spans="13:15" x14ac:dyDescent="0.3">
      <c r="M4517" s="35">
        <v>30.97</v>
      </c>
      <c r="N4517">
        <v>305</v>
      </c>
      <c r="O4517" s="34">
        <f t="shared" si="71"/>
        <v>0.51417511100986202</v>
      </c>
    </row>
    <row r="4518" spans="13:15" x14ac:dyDescent="0.3">
      <c r="M4518" s="35">
        <v>30.97</v>
      </c>
      <c r="N4518">
        <v>305</v>
      </c>
      <c r="O4518" s="34">
        <f t="shared" si="71"/>
        <v>0.51428896732319462</v>
      </c>
    </row>
    <row r="4519" spans="13:15" x14ac:dyDescent="0.3">
      <c r="M4519" s="35">
        <v>30.97</v>
      </c>
      <c r="N4519">
        <v>305</v>
      </c>
      <c r="O4519" s="34">
        <f t="shared" si="71"/>
        <v>0.51440282363652723</v>
      </c>
    </row>
    <row r="4520" spans="13:15" x14ac:dyDescent="0.3">
      <c r="M4520" s="35">
        <v>30.98</v>
      </c>
      <c r="N4520">
        <v>305</v>
      </c>
      <c r="O4520" s="34">
        <f t="shared" si="71"/>
        <v>0.51451667994985983</v>
      </c>
    </row>
    <row r="4521" spans="13:15" x14ac:dyDescent="0.3">
      <c r="M4521" s="35">
        <v>30.99</v>
      </c>
      <c r="N4521">
        <v>305</v>
      </c>
      <c r="O4521" s="34">
        <f t="shared" si="71"/>
        <v>0.51463053626319244</v>
      </c>
    </row>
    <row r="4522" spans="13:15" x14ac:dyDescent="0.3">
      <c r="M4522" s="35">
        <v>31.01</v>
      </c>
      <c r="N4522">
        <v>305</v>
      </c>
      <c r="O4522" s="34">
        <f t="shared" si="71"/>
        <v>0.51474439257652504</v>
      </c>
    </row>
    <row r="4523" spans="13:15" x14ac:dyDescent="0.3">
      <c r="M4523" s="35">
        <v>31.02</v>
      </c>
      <c r="N4523">
        <v>305</v>
      </c>
      <c r="O4523" s="34">
        <f t="shared" si="71"/>
        <v>0.51485824888985765</v>
      </c>
    </row>
    <row r="4524" spans="13:15" x14ac:dyDescent="0.3">
      <c r="M4524" s="35">
        <v>31.02</v>
      </c>
      <c r="N4524">
        <v>305</v>
      </c>
      <c r="O4524" s="34">
        <f t="shared" si="71"/>
        <v>0.51497210520319026</v>
      </c>
    </row>
    <row r="4525" spans="13:15" x14ac:dyDescent="0.3">
      <c r="M4525" s="35">
        <v>31.02</v>
      </c>
      <c r="N4525">
        <v>305</v>
      </c>
      <c r="O4525" s="34">
        <f t="shared" si="71"/>
        <v>0.51508596151652286</v>
      </c>
    </row>
    <row r="4526" spans="13:15" x14ac:dyDescent="0.3">
      <c r="M4526" s="35">
        <v>31.03</v>
      </c>
      <c r="N4526">
        <v>305</v>
      </c>
      <c r="O4526" s="34">
        <f t="shared" si="71"/>
        <v>0.51519981782985547</v>
      </c>
    </row>
    <row r="4527" spans="13:15" x14ac:dyDescent="0.3">
      <c r="M4527" s="35">
        <v>31.03</v>
      </c>
      <c r="N4527">
        <v>305</v>
      </c>
      <c r="O4527" s="34">
        <f t="shared" si="71"/>
        <v>0.51531367414318807</v>
      </c>
    </row>
    <row r="4528" spans="13:15" x14ac:dyDescent="0.3">
      <c r="M4528" s="35">
        <v>31.04</v>
      </c>
      <c r="N4528">
        <v>305</v>
      </c>
      <c r="O4528" s="34">
        <f t="shared" si="71"/>
        <v>0.51542753045652068</v>
      </c>
    </row>
    <row r="4529" spans="13:15" x14ac:dyDescent="0.3">
      <c r="M4529" s="35">
        <v>31.04</v>
      </c>
      <c r="N4529">
        <v>305</v>
      </c>
      <c r="O4529" s="34">
        <f t="shared" si="71"/>
        <v>0.51554138676985328</v>
      </c>
    </row>
    <row r="4530" spans="13:15" x14ac:dyDescent="0.3">
      <c r="M4530" s="35">
        <v>31.04</v>
      </c>
      <c r="N4530">
        <v>305</v>
      </c>
      <c r="O4530" s="34">
        <f t="shared" si="71"/>
        <v>0.51565524308318589</v>
      </c>
    </row>
    <row r="4531" spans="13:15" x14ac:dyDescent="0.3">
      <c r="M4531" s="35">
        <v>31.06</v>
      </c>
      <c r="N4531">
        <v>305</v>
      </c>
      <c r="O4531" s="34">
        <f t="shared" si="71"/>
        <v>0.51576909939651849</v>
      </c>
    </row>
    <row r="4532" spans="13:15" x14ac:dyDescent="0.3">
      <c r="M4532" s="35">
        <v>31.06</v>
      </c>
      <c r="N4532">
        <v>305</v>
      </c>
      <c r="O4532" s="34">
        <f t="shared" si="71"/>
        <v>0.5158829557098511</v>
      </c>
    </row>
    <row r="4533" spans="13:15" x14ac:dyDescent="0.3">
      <c r="M4533" s="35">
        <v>31.07</v>
      </c>
      <c r="N4533">
        <v>305</v>
      </c>
      <c r="O4533" s="34">
        <f t="shared" si="71"/>
        <v>0.5159968120231837</v>
      </c>
    </row>
    <row r="4534" spans="13:15" x14ac:dyDescent="0.3">
      <c r="M4534" s="35">
        <v>31.07</v>
      </c>
      <c r="N4534">
        <v>305</v>
      </c>
      <c r="O4534" s="34">
        <f t="shared" si="71"/>
        <v>0.51611066833651631</v>
      </c>
    </row>
    <row r="4535" spans="13:15" x14ac:dyDescent="0.3">
      <c r="M4535" s="35">
        <v>31.07</v>
      </c>
      <c r="N4535">
        <v>305</v>
      </c>
      <c r="O4535" s="34">
        <f t="shared" si="71"/>
        <v>0.51622452464984891</v>
      </c>
    </row>
    <row r="4536" spans="13:15" x14ac:dyDescent="0.3">
      <c r="M4536" s="35">
        <v>31.08</v>
      </c>
      <c r="N4536">
        <v>305</v>
      </c>
      <c r="O4536" s="34">
        <f t="shared" si="71"/>
        <v>0.51633838096318152</v>
      </c>
    </row>
    <row r="4537" spans="13:15" x14ac:dyDescent="0.3">
      <c r="M4537" s="35">
        <v>31.08</v>
      </c>
      <c r="N4537">
        <v>305</v>
      </c>
      <c r="O4537" s="34">
        <f t="shared" si="71"/>
        <v>0.51645223727651413</v>
      </c>
    </row>
    <row r="4538" spans="13:15" x14ac:dyDescent="0.3">
      <c r="M4538" s="35">
        <v>31.09</v>
      </c>
      <c r="N4538">
        <v>305</v>
      </c>
      <c r="O4538" s="34">
        <f t="shared" si="71"/>
        <v>0.51656609358984673</v>
      </c>
    </row>
    <row r="4539" spans="13:15" x14ac:dyDescent="0.3">
      <c r="M4539" s="35">
        <v>31.09</v>
      </c>
      <c r="N4539">
        <v>305</v>
      </c>
      <c r="O4539" s="34">
        <f t="shared" si="71"/>
        <v>0.51667994990317934</v>
      </c>
    </row>
    <row r="4540" spans="13:15" x14ac:dyDescent="0.3">
      <c r="M4540" s="35">
        <v>31.09</v>
      </c>
      <c r="N4540">
        <v>305</v>
      </c>
      <c r="O4540" s="34">
        <f t="shared" si="71"/>
        <v>0.51679380621651194</v>
      </c>
    </row>
    <row r="4541" spans="13:15" x14ac:dyDescent="0.3">
      <c r="M4541" s="35">
        <v>31.1</v>
      </c>
      <c r="N4541">
        <v>305</v>
      </c>
      <c r="O4541" s="34">
        <f t="shared" si="71"/>
        <v>0.51690766252984455</v>
      </c>
    </row>
    <row r="4542" spans="13:15" x14ac:dyDescent="0.3">
      <c r="M4542" s="35">
        <v>31.1</v>
      </c>
      <c r="N4542">
        <v>305</v>
      </c>
      <c r="O4542" s="34">
        <f t="shared" si="71"/>
        <v>0.51702151884317715</v>
      </c>
    </row>
    <row r="4543" spans="13:15" x14ac:dyDescent="0.3">
      <c r="M4543" s="35">
        <v>31.12</v>
      </c>
      <c r="N4543">
        <v>305</v>
      </c>
      <c r="O4543" s="34">
        <f t="shared" si="71"/>
        <v>0.51713537515650976</v>
      </c>
    </row>
    <row r="4544" spans="13:15" x14ac:dyDescent="0.3">
      <c r="M4544" s="35">
        <v>31.12</v>
      </c>
      <c r="N4544">
        <v>305</v>
      </c>
      <c r="O4544" s="34">
        <f t="shared" si="71"/>
        <v>0.51724923146984236</v>
      </c>
    </row>
    <row r="4545" spans="13:15" x14ac:dyDescent="0.3">
      <c r="M4545" s="35">
        <v>31.13</v>
      </c>
      <c r="N4545">
        <v>305</v>
      </c>
      <c r="O4545" s="34">
        <f t="shared" si="71"/>
        <v>0.51736308778317497</v>
      </c>
    </row>
    <row r="4546" spans="13:15" x14ac:dyDescent="0.3">
      <c r="M4546" s="35">
        <v>31.13</v>
      </c>
      <c r="N4546">
        <v>305</v>
      </c>
      <c r="O4546" s="34">
        <f t="shared" si="71"/>
        <v>0.51747694409650757</v>
      </c>
    </row>
    <row r="4547" spans="13:15" x14ac:dyDescent="0.3">
      <c r="M4547" s="35">
        <v>31.13</v>
      </c>
      <c r="N4547">
        <v>305</v>
      </c>
      <c r="O4547" s="34">
        <f t="shared" si="71"/>
        <v>0.51759080040984018</v>
      </c>
    </row>
    <row r="4548" spans="13:15" x14ac:dyDescent="0.3">
      <c r="M4548" s="35">
        <v>31.13</v>
      </c>
      <c r="N4548">
        <v>305</v>
      </c>
      <c r="O4548" s="34">
        <f t="shared" ref="O4548:O4611" si="72">O4547+O$2</f>
        <v>0.51770465672317278</v>
      </c>
    </row>
    <row r="4549" spans="13:15" x14ac:dyDescent="0.3">
      <c r="M4549" s="35">
        <v>31.14</v>
      </c>
      <c r="N4549">
        <v>305</v>
      </c>
      <c r="O4549" s="34">
        <f t="shared" si="72"/>
        <v>0.51781851303650539</v>
      </c>
    </row>
    <row r="4550" spans="13:15" x14ac:dyDescent="0.3">
      <c r="M4550" s="35">
        <v>31.15</v>
      </c>
      <c r="N4550">
        <v>305</v>
      </c>
      <c r="O4550" s="34">
        <f t="shared" si="72"/>
        <v>0.517932369349838</v>
      </c>
    </row>
    <row r="4551" spans="13:15" x14ac:dyDescent="0.3">
      <c r="M4551" s="35">
        <v>31.16</v>
      </c>
      <c r="N4551">
        <v>305</v>
      </c>
      <c r="O4551" s="34">
        <f t="shared" si="72"/>
        <v>0.5180462256631706</v>
      </c>
    </row>
    <row r="4552" spans="13:15" x14ac:dyDescent="0.3">
      <c r="M4552" s="35">
        <v>31.16</v>
      </c>
      <c r="N4552">
        <v>305</v>
      </c>
      <c r="O4552" s="34">
        <f t="shared" si="72"/>
        <v>0.51816008197650321</v>
      </c>
    </row>
    <row r="4553" spans="13:15" x14ac:dyDescent="0.3">
      <c r="M4553" s="35">
        <v>31.17</v>
      </c>
      <c r="N4553">
        <v>305</v>
      </c>
      <c r="O4553" s="34">
        <f t="shared" si="72"/>
        <v>0.51827393828983581</v>
      </c>
    </row>
    <row r="4554" spans="13:15" x14ac:dyDescent="0.3">
      <c r="M4554" s="35">
        <v>31.18</v>
      </c>
      <c r="N4554">
        <v>305</v>
      </c>
      <c r="O4554" s="34">
        <f t="shared" si="72"/>
        <v>0.51838779460316842</v>
      </c>
    </row>
    <row r="4555" spans="13:15" x14ac:dyDescent="0.3">
      <c r="M4555" s="35">
        <v>31.19</v>
      </c>
      <c r="N4555">
        <v>305</v>
      </c>
      <c r="O4555" s="34">
        <f t="shared" si="72"/>
        <v>0.51850165091650102</v>
      </c>
    </row>
    <row r="4556" spans="13:15" x14ac:dyDescent="0.3">
      <c r="M4556" s="35">
        <v>31.2</v>
      </c>
      <c r="N4556">
        <v>305</v>
      </c>
      <c r="O4556" s="34">
        <f t="shared" si="72"/>
        <v>0.51861550722983363</v>
      </c>
    </row>
    <row r="4557" spans="13:15" x14ac:dyDescent="0.3">
      <c r="M4557" s="35">
        <v>31.2</v>
      </c>
      <c r="N4557">
        <v>305</v>
      </c>
      <c r="O4557" s="34">
        <f t="shared" si="72"/>
        <v>0.51872936354316623</v>
      </c>
    </row>
    <row r="4558" spans="13:15" x14ac:dyDescent="0.3">
      <c r="M4558" s="35">
        <v>31.2</v>
      </c>
      <c r="N4558">
        <v>305</v>
      </c>
      <c r="O4558" s="34">
        <f t="shared" si="72"/>
        <v>0.51884321985649884</v>
      </c>
    </row>
    <row r="4559" spans="13:15" x14ac:dyDescent="0.3">
      <c r="M4559" s="35">
        <v>31.2</v>
      </c>
      <c r="N4559">
        <v>305</v>
      </c>
      <c r="O4559" s="34">
        <f t="shared" si="72"/>
        <v>0.51895707616983144</v>
      </c>
    </row>
    <row r="4560" spans="13:15" x14ac:dyDescent="0.3">
      <c r="M4560" s="35">
        <v>31.21</v>
      </c>
      <c r="N4560">
        <v>305</v>
      </c>
      <c r="O4560" s="34">
        <f t="shared" si="72"/>
        <v>0.51907093248316405</v>
      </c>
    </row>
    <row r="4561" spans="13:15" x14ac:dyDescent="0.3">
      <c r="M4561" s="35">
        <v>31.21</v>
      </c>
      <c r="N4561">
        <v>305</v>
      </c>
      <c r="O4561" s="34">
        <f t="shared" si="72"/>
        <v>0.51918478879649665</v>
      </c>
    </row>
    <row r="4562" spans="13:15" x14ac:dyDescent="0.3">
      <c r="M4562" s="35">
        <v>31.21</v>
      </c>
      <c r="N4562">
        <v>305</v>
      </c>
      <c r="O4562" s="34">
        <f t="shared" si="72"/>
        <v>0.51929864510982926</v>
      </c>
    </row>
    <row r="4563" spans="13:15" x14ac:dyDescent="0.3">
      <c r="M4563" s="35">
        <v>31.22</v>
      </c>
      <c r="N4563">
        <v>305</v>
      </c>
      <c r="O4563" s="34">
        <f t="shared" si="72"/>
        <v>0.51941250142316187</v>
      </c>
    </row>
    <row r="4564" spans="13:15" x14ac:dyDescent="0.3">
      <c r="M4564" s="35">
        <v>31.23</v>
      </c>
      <c r="N4564">
        <v>305</v>
      </c>
      <c r="O4564" s="34">
        <f t="shared" si="72"/>
        <v>0.51952635773649447</v>
      </c>
    </row>
    <row r="4565" spans="13:15" x14ac:dyDescent="0.3">
      <c r="M4565" s="35">
        <v>31.23</v>
      </c>
      <c r="N4565">
        <v>305</v>
      </c>
      <c r="O4565" s="34">
        <f t="shared" si="72"/>
        <v>0.51964021404982708</v>
      </c>
    </row>
    <row r="4566" spans="13:15" x14ac:dyDescent="0.3">
      <c r="M4566" s="35">
        <v>31.23</v>
      </c>
      <c r="N4566">
        <v>305</v>
      </c>
      <c r="O4566" s="34">
        <f t="shared" si="72"/>
        <v>0.51975407036315968</v>
      </c>
    </row>
    <row r="4567" spans="13:15" x14ac:dyDescent="0.3">
      <c r="M4567" s="35">
        <v>31.23</v>
      </c>
      <c r="N4567">
        <v>305</v>
      </c>
      <c r="O4567" s="34">
        <f t="shared" si="72"/>
        <v>0.51986792667649229</v>
      </c>
    </row>
    <row r="4568" spans="13:15" x14ac:dyDescent="0.3">
      <c r="M4568" s="35">
        <v>31.24</v>
      </c>
      <c r="N4568">
        <v>305</v>
      </c>
      <c r="O4568" s="34">
        <f t="shared" si="72"/>
        <v>0.51998178298982489</v>
      </c>
    </row>
    <row r="4569" spans="13:15" x14ac:dyDescent="0.3">
      <c r="M4569" s="35">
        <v>31.25</v>
      </c>
      <c r="N4569">
        <v>305</v>
      </c>
      <c r="O4569" s="34">
        <f t="shared" si="72"/>
        <v>0.5200956393031575</v>
      </c>
    </row>
    <row r="4570" spans="13:15" x14ac:dyDescent="0.3">
      <c r="M4570" s="35">
        <v>31.25</v>
      </c>
      <c r="N4570">
        <v>305</v>
      </c>
      <c r="O4570" s="34">
        <f t="shared" si="72"/>
        <v>0.5202094956164901</v>
      </c>
    </row>
    <row r="4571" spans="13:15" x14ac:dyDescent="0.3">
      <c r="M4571" s="35">
        <v>31.25</v>
      </c>
      <c r="N4571">
        <v>305</v>
      </c>
      <c r="O4571" s="34">
        <f t="shared" si="72"/>
        <v>0.52032335192982271</v>
      </c>
    </row>
    <row r="4572" spans="13:15" x14ac:dyDescent="0.3">
      <c r="M4572" s="35">
        <v>31.25</v>
      </c>
      <c r="N4572">
        <v>305</v>
      </c>
      <c r="O4572" s="34">
        <f t="shared" si="72"/>
        <v>0.52043720824315531</v>
      </c>
    </row>
    <row r="4573" spans="13:15" x14ac:dyDescent="0.3">
      <c r="M4573" s="35">
        <v>31.25</v>
      </c>
      <c r="N4573">
        <v>305</v>
      </c>
      <c r="O4573" s="34">
        <f t="shared" si="72"/>
        <v>0.52055106455648792</v>
      </c>
    </row>
    <row r="4574" spans="13:15" x14ac:dyDescent="0.3">
      <c r="M4574" s="35">
        <v>31.26</v>
      </c>
      <c r="N4574">
        <v>305</v>
      </c>
      <c r="O4574" s="34">
        <f t="shared" si="72"/>
        <v>0.52066492086982052</v>
      </c>
    </row>
    <row r="4575" spans="13:15" x14ac:dyDescent="0.3">
      <c r="M4575" s="35">
        <v>31.27</v>
      </c>
      <c r="N4575">
        <v>305</v>
      </c>
      <c r="O4575" s="34">
        <f t="shared" si="72"/>
        <v>0.52077877718315313</v>
      </c>
    </row>
    <row r="4576" spans="13:15" x14ac:dyDescent="0.3">
      <c r="M4576" s="35">
        <v>31.27</v>
      </c>
      <c r="N4576">
        <v>305</v>
      </c>
      <c r="O4576" s="34">
        <f t="shared" si="72"/>
        <v>0.52089263349648574</v>
      </c>
    </row>
    <row r="4577" spans="13:15" x14ac:dyDescent="0.3">
      <c r="M4577" s="35">
        <v>31.28</v>
      </c>
      <c r="N4577">
        <v>305</v>
      </c>
      <c r="O4577" s="34">
        <f t="shared" si="72"/>
        <v>0.52100648980981834</v>
      </c>
    </row>
    <row r="4578" spans="13:15" x14ac:dyDescent="0.3">
      <c r="M4578" s="35">
        <v>31.29</v>
      </c>
      <c r="N4578">
        <v>305</v>
      </c>
      <c r="O4578" s="34">
        <f t="shared" si="72"/>
        <v>0.52112034612315095</v>
      </c>
    </row>
    <row r="4579" spans="13:15" x14ac:dyDescent="0.3">
      <c r="M4579" s="35">
        <v>31.29</v>
      </c>
      <c r="N4579">
        <v>305</v>
      </c>
      <c r="O4579" s="34">
        <f t="shared" si="72"/>
        <v>0.52123420243648355</v>
      </c>
    </row>
    <row r="4580" spans="13:15" x14ac:dyDescent="0.3">
      <c r="M4580" s="35">
        <v>31.29</v>
      </c>
      <c r="N4580">
        <v>305</v>
      </c>
      <c r="O4580" s="34">
        <f t="shared" si="72"/>
        <v>0.52134805874981616</v>
      </c>
    </row>
    <row r="4581" spans="13:15" x14ac:dyDescent="0.3">
      <c r="M4581" s="35">
        <v>31.3</v>
      </c>
      <c r="N4581">
        <v>305</v>
      </c>
      <c r="O4581" s="34">
        <f t="shared" si="72"/>
        <v>0.52146191506314876</v>
      </c>
    </row>
    <row r="4582" spans="13:15" x14ac:dyDescent="0.3">
      <c r="M4582" s="35">
        <v>31.3</v>
      </c>
      <c r="N4582">
        <v>305</v>
      </c>
      <c r="O4582" s="34">
        <f t="shared" si="72"/>
        <v>0.52157577137648137</v>
      </c>
    </row>
    <row r="4583" spans="13:15" x14ac:dyDescent="0.3">
      <c r="M4583" s="35">
        <v>31.31</v>
      </c>
      <c r="N4583">
        <v>305</v>
      </c>
      <c r="O4583" s="34">
        <f t="shared" si="72"/>
        <v>0.52168962768981397</v>
      </c>
    </row>
    <row r="4584" spans="13:15" x14ac:dyDescent="0.3">
      <c r="M4584" s="35">
        <v>31.32</v>
      </c>
      <c r="N4584">
        <v>305</v>
      </c>
      <c r="O4584" s="34">
        <f t="shared" si="72"/>
        <v>0.52180348400314658</v>
      </c>
    </row>
    <row r="4585" spans="13:15" x14ac:dyDescent="0.3">
      <c r="M4585" s="35">
        <v>31.32</v>
      </c>
      <c r="N4585">
        <v>305</v>
      </c>
      <c r="O4585" s="34">
        <f t="shared" si="72"/>
        <v>0.52191734031647918</v>
      </c>
    </row>
    <row r="4586" spans="13:15" x14ac:dyDescent="0.3">
      <c r="M4586" s="35">
        <v>31.32</v>
      </c>
      <c r="N4586">
        <v>305</v>
      </c>
      <c r="O4586" s="34">
        <f t="shared" si="72"/>
        <v>0.52203119662981179</v>
      </c>
    </row>
    <row r="4587" spans="13:15" x14ac:dyDescent="0.3">
      <c r="M4587" s="35">
        <v>31.33</v>
      </c>
      <c r="N4587">
        <v>305</v>
      </c>
      <c r="O4587" s="34">
        <f t="shared" si="72"/>
        <v>0.52214505294314439</v>
      </c>
    </row>
    <row r="4588" spans="13:15" x14ac:dyDescent="0.3">
      <c r="M4588" s="35">
        <v>31.33</v>
      </c>
      <c r="N4588">
        <v>305</v>
      </c>
      <c r="O4588" s="34">
        <f t="shared" si="72"/>
        <v>0.522258909256477</v>
      </c>
    </row>
    <row r="4589" spans="13:15" x14ac:dyDescent="0.3">
      <c r="M4589" s="35">
        <v>31.34</v>
      </c>
      <c r="N4589">
        <v>305</v>
      </c>
      <c r="O4589" s="34">
        <f t="shared" si="72"/>
        <v>0.52237276556980961</v>
      </c>
    </row>
    <row r="4590" spans="13:15" x14ac:dyDescent="0.3">
      <c r="M4590" s="35">
        <v>31.34</v>
      </c>
      <c r="N4590">
        <v>305</v>
      </c>
      <c r="O4590" s="34">
        <f t="shared" si="72"/>
        <v>0.52248662188314221</v>
      </c>
    </row>
    <row r="4591" spans="13:15" x14ac:dyDescent="0.3">
      <c r="M4591" s="35">
        <v>31.34</v>
      </c>
      <c r="N4591">
        <v>305</v>
      </c>
      <c r="O4591" s="34">
        <f t="shared" si="72"/>
        <v>0.52260047819647482</v>
      </c>
    </row>
    <row r="4592" spans="13:15" x14ac:dyDescent="0.3">
      <c r="M4592" s="35">
        <v>31.34</v>
      </c>
      <c r="N4592">
        <v>305</v>
      </c>
      <c r="O4592" s="34">
        <f t="shared" si="72"/>
        <v>0.52271433450980742</v>
      </c>
    </row>
    <row r="4593" spans="13:15" x14ac:dyDescent="0.3">
      <c r="M4593" s="35">
        <v>31.35</v>
      </c>
      <c r="N4593">
        <v>305</v>
      </c>
      <c r="O4593" s="34">
        <f t="shared" si="72"/>
        <v>0.52282819082314003</v>
      </c>
    </row>
    <row r="4594" spans="13:15" x14ac:dyDescent="0.3">
      <c r="M4594" s="35">
        <v>31.35</v>
      </c>
      <c r="N4594">
        <v>305</v>
      </c>
      <c r="O4594" s="34">
        <f t="shared" si="72"/>
        <v>0.52294204713647263</v>
      </c>
    </row>
    <row r="4595" spans="13:15" x14ac:dyDescent="0.3">
      <c r="M4595" s="35">
        <v>31.35</v>
      </c>
      <c r="N4595">
        <v>305</v>
      </c>
      <c r="O4595" s="34">
        <f t="shared" si="72"/>
        <v>0.52305590344980524</v>
      </c>
    </row>
    <row r="4596" spans="13:15" x14ac:dyDescent="0.3">
      <c r="M4596" s="35">
        <v>31.36</v>
      </c>
      <c r="N4596">
        <v>305</v>
      </c>
      <c r="O4596" s="34">
        <f t="shared" si="72"/>
        <v>0.52316975976313784</v>
      </c>
    </row>
    <row r="4597" spans="13:15" x14ac:dyDescent="0.3">
      <c r="M4597" s="35">
        <v>31.36</v>
      </c>
      <c r="N4597">
        <v>305</v>
      </c>
      <c r="O4597" s="34">
        <f t="shared" si="72"/>
        <v>0.52328361607647045</v>
      </c>
    </row>
    <row r="4598" spans="13:15" x14ac:dyDescent="0.3">
      <c r="M4598" s="35">
        <v>31.36</v>
      </c>
      <c r="N4598">
        <v>305</v>
      </c>
      <c r="O4598" s="34">
        <f t="shared" si="72"/>
        <v>0.52339747238980305</v>
      </c>
    </row>
    <row r="4599" spans="13:15" x14ac:dyDescent="0.3">
      <c r="M4599" s="35">
        <v>31.37</v>
      </c>
      <c r="N4599">
        <v>305</v>
      </c>
      <c r="O4599" s="34">
        <f t="shared" si="72"/>
        <v>0.52351132870313566</v>
      </c>
    </row>
    <row r="4600" spans="13:15" x14ac:dyDescent="0.3">
      <c r="M4600" s="35">
        <v>31.37</v>
      </c>
      <c r="N4600">
        <v>305</v>
      </c>
      <c r="O4600" s="34">
        <f t="shared" si="72"/>
        <v>0.52362518501646826</v>
      </c>
    </row>
    <row r="4601" spans="13:15" x14ac:dyDescent="0.3">
      <c r="M4601" s="35">
        <v>31.38</v>
      </c>
      <c r="N4601">
        <v>305</v>
      </c>
      <c r="O4601" s="34">
        <f t="shared" si="72"/>
        <v>0.52373904132980087</v>
      </c>
    </row>
    <row r="4602" spans="13:15" x14ac:dyDescent="0.3">
      <c r="M4602" s="35">
        <v>31.38</v>
      </c>
      <c r="N4602">
        <v>305</v>
      </c>
      <c r="O4602" s="34">
        <f t="shared" si="72"/>
        <v>0.52385289764313347</v>
      </c>
    </row>
    <row r="4603" spans="13:15" x14ac:dyDescent="0.3">
      <c r="M4603" s="35">
        <v>31.38</v>
      </c>
      <c r="N4603">
        <v>305</v>
      </c>
      <c r="O4603" s="34">
        <f t="shared" si="72"/>
        <v>0.52396675395646608</v>
      </c>
    </row>
    <row r="4604" spans="13:15" x14ac:dyDescent="0.3">
      <c r="M4604" s="35">
        <v>31.39</v>
      </c>
      <c r="N4604">
        <v>305</v>
      </c>
      <c r="O4604" s="34">
        <f t="shared" si="72"/>
        <v>0.52408061026979869</v>
      </c>
    </row>
    <row r="4605" spans="13:15" x14ac:dyDescent="0.3">
      <c r="M4605" s="35">
        <v>31.39</v>
      </c>
      <c r="N4605">
        <v>305</v>
      </c>
      <c r="O4605" s="34">
        <f t="shared" si="72"/>
        <v>0.52419446658313129</v>
      </c>
    </row>
    <row r="4606" spans="13:15" x14ac:dyDescent="0.3">
      <c r="M4606" s="35">
        <v>31.4</v>
      </c>
      <c r="N4606">
        <v>305</v>
      </c>
      <c r="O4606" s="34">
        <f t="shared" si="72"/>
        <v>0.5243083228964639</v>
      </c>
    </row>
    <row r="4607" spans="13:15" x14ac:dyDescent="0.3">
      <c r="M4607" s="35">
        <v>31.41</v>
      </c>
      <c r="N4607">
        <v>305</v>
      </c>
      <c r="O4607" s="34">
        <f t="shared" si="72"/>
        <v>0.5244221792097965</v>
      </c>
    </row>
    <row r="4608" spans="13:15" x14ac:dyDescent="0.3">
      <c r="M4608" s="35">
        <v>31.41</v>
      </c>
      <c r="N4608">
        <v>305</v>
      </c>
      <c r="O4608" s="34">
        <f t="shared" si="72"/>
        <v>0.52453603552312911</v>
      </c>
    </row>
    <row r="4609" spans="13:15" x14ac:dyDescent="0.3">
      <c r="M4609" s="35">
        <v>31.41</v>
      </c>
      <c r="N4609">
        <v>305</v>
      </c>
      <c r="O4609" s="34">
        <f t="shared" si="72"/>
        <v>0.52464989183646171</v>
      </c>
    </row>
    <row r="4610" spans="13:15" x14ac:dyDescent="0.3">
      <c r="M4610" s="35">
        <v>31.42</v>
      </c>
      <c r="N4610">
        <v>305</v>
      </c>
      <c r="O4610" s="34">
        <f t="shared" si="72"/>
        <v>0.52476374814979432</v>
      </c>
    </row>
    <row r="4611" spans="13:15" x14ac:dyDescent="0.3">
      <c r="M4611" s="35">
        <v>31.42</v>
      </c>
      <c r="N4611">
        <v>305</v>
      </c>
      <c r="O4611" s="34">
        <f t="shared" si="72"/>
        <v>0.52487760446312692</v>
      </c>
    </row>
    <row r="4612" spans="13:15" x14ac:dyDescent="0.3">
      <c r="M4612" s="35">
        <v>31.42</v>
      </c>
      <c r="N4612">
        <v>305</v>
      </c>
      <c r="O4612" s="34">
        <f t="shared" ref="O4612:O4675" si="73">O4611+O$2</f>
        <v>0.52499146077645953</v>
      </c>
    </row>
    <row r="4613" spans="13:15" x14ac:dyDescent="0.3">
      <c r="M4613" s="35">
        <v>31.42</v>
      </c>
      <c r="N4613">
        <v>305</v>
      </c>
      <c r="O4613" s="34">
        <f t="shared" si="73"/>
        <v>0.52510531708979213</v>
      </c>
    </row>
    <row r="4614" spans="13:15" x14ac:dyDescent="0.3">
      <c r="M4614" s="35">
        <v>31.44</v>
      </c>
      <c r="N4614">
        <v>305</v>
      </c>
      <c r="O4614" s="34">
        <f t="shared" si="73"/>
        <v>0.52521917340312474</v>
      </c>
    </row>
    <row r="4615" spans="13:15" x14ac:dyDescent="0.3">
      <c r="M4615" s="35">
        <v>31.44</v>
      </c>
      <c r="N4615">
        <v>305</v>
      </c>
      <c r="O4615" s="34">
        <f t="shared" si="73"/>
        <v>0.52533302971645734</v>
      </c>
    </row>
    <row r="4616" spans="13:15" x14ac:dyDescent="0.3">
      <c r="M4616" s="35">
        <v>31.44</v>
      </c>
      <c r="N4616">
        <v>305</v>
      </c>
      <c r="O4616" s="34">
        <f t="shared" si="73"/>
        <v>0.52544688602978995</v>
      </c>
    </row>
    <row r="4617" spans="13:15" x14ac:dyDescent="0.3">
      <c r="M4617" s="35">
        <v>31.45</v>
      </c>
      <c r="N4617">
        <v>305</v>
      </c>
      <c r="O4617" s="34">
        <f t="shared" si="73"/>
        <v>0.52556074234312256</v>
      </c>
    </row>
    <row r="4618" spans="13:15" x14ac:dyDescent="0.3">
      <c r="M4618" s="35">
        <v>31.46</v>
      </c>
      <c r="N4618">
        <v>305</v>
      </c>
      <c r="O4618" s="34">
        <f t="shared" si="73"/>
        <v>0.52567459865645516</v>
      </c>
    </row>
    <row r="4619" spans="13:15" x14ac:dyDescent="0.3">
      <c r="M4619" s="35">
        <v>31.47</v>
      </c>
      <c r="N4619">
        <v>305</v>
      </c>
      <c r="O4619" s="34">
        <f t="shared" si="73"/>
        <v>0.52578845496978777</v>
      </c>
    </row>
    <row r="4620" spans="13:15" x14ac:dyDescent="0.3">
      <c r="M4620" s="35">
        <v>31.47</v>
      </c>
      <c r="N4620">
        <v>305</v>
      </c>
      <c r="O4620" s="34">
        <f t="shared" si="73"/>
        <v>0.52590231128312037</v>
      </c>
    </row>
    <row r="4621" spans="13:15" x14ac:dyDescent="0.3">
      <c r="M4621" s="35">
        <v>31.47</v>
      </c>
      <c r="N4621">
        <v>305</v>
      </c>
      <c r="O4621" s="34">
        <f t="shared" si="73"/>
        <v>0.52601616759645298</v>
      </c>
    </row>
    <row r="4622" spans="13:15" x14ac:dyDescent="0.3">
      <c r="M4622" s="35">
        <v>31.48</v>
      </c>
      <c r="N4622">
        <v>305</v>
      </c>
      <c r="O4622" s="34">
        <f t="shared" si="73"/>
        <v>0.52613002390978558</v>
      </c>
    </row>
    <row r="4623" spans="13:15" x14ac:dyDescent="0.3">
      <c r="M4623" s="35">
        <v>31.48</v>
      </c>
      <c r="N4623">
        <v>305</v>
      </c>
      <c r="O4623" s="34">
        <f t="shared" si="73"/>
        <v>0.52624388022311819</v>
      </c>
    </row>
    <row r="4624" spans="13:15" x14ac:dyDescent="0.3">
      <c r="M4624" s="35">
        <v>31.48</v>
      </c>
      <c r="N4624">
        <v>305</v>
      </c>
      <c r="O4624" s="34">
        <f t="shared" si="73"/>
        <v>0.52635773653645079</v>
      </c>
    </row>
    <row r="4625" spans="13:15" x14ac:dyDescent="0.3">
      <c r="M4625" s="35">
        <v>31.48</v>
      </c>
      <c r="N4625">
        <v>305</v>
      </c>
      <c r="O4625" s="34">
        <f t="shared" si="73"/>
        <v>0.5264715928497834</v>
      </c>
    </row>
    <row r="4626" spans="13:15" x14ac:dyDescent="0.3">
      <c r="M4626" s="35">
        <v>31.49</v>
      </c>
      <c r="N4626">
        <v>305</v>
      </c>
      <c r="O4626" s="34">
        <f t="shared" si="73"/>
        <v>0.526585449163116</v>
      </c>
    </row>
    <row r="4627" spans="13:15" x14ac:dyDescent="0.3">
      <c r="M4627" s="35">
        <v>31.49</v>
      </c>
      <c r="N4627">
        <v>305</v>
      </c>
      <c r="O4627" s="34">
        <f t="shared" si="73"/>
        <v>0.52669930547644861</v>
      </c>
    </row>
    <row r="4628" spans="13:15" x14ac:dyDescent="0.3">
      <c r="M4628" s="35">
        <v>31.49</v>
      </c>
      <c r="N4628">
        <v>305</v>
      </c>
      <c r="O4628" s="34">
        <f t="shared" si="73"/>
        <v>0.52681316178978121</v>
      </c>
    </row>
    <row r="4629" spans="13:15" x14ac:dyDescent="0.3">
      <c r="M4629" s="35">
        <v>31.5</v>
      </c>
      <c r="N4629">
        <v>305</v>
      </c>
      <c r="O4629" s="34">
        <f t="shared" si="73"/>
        <v>0.52692701810311382</v>
      </c>
    </row>
    <row r="4630" spans="13:15" x14ac:dyDescent="0.3">
      <c r="M4630" s="35">
        <v>31.5</v>
      </c>
      <c r="N4630">
        <v>305</v>
      </c>
      <c r="O4630" s="34">
        <f t="shared" si="73"/>
        <v>0.52704087441644643</v>
      </c>
    </row>
    <row r="4631" spans="13:15" x14ac:dyDescent="0.3">
      <c r="M4631" s="35">
        <v>31.51</v>
      </c>
      <c r="N4631">
        <v>305</v>
      </c>
      <c r="O4631" s="34">
        <f t="shared" si="73"/>
        <v>0.52715473072977903</v>
      </c>
    </row>
    <row r="4632" spans="13:15" x14ac:dyDescent="0.3">
      <c r="M4632" s="35">
        <v>31.51</v>
      </c>
      <c r="N4632">
        <v>305</v>
      </c>
      <c r="O4632" s="34">
        <f t="shared" si="73"/>
        <v>0.52726858704311164</v>
      </c>
    </row>
    <row r="4633" spans="13:15" x14ac:dyDescent="0.3">
      <c r="M4633" s="35">
        <v>31.51</v>
      </c>
      <c r="N4633">
        <v>305</v>
      </c>
      <c r="O4633" s="34">
        <f t="shared" si="73"/>
        <v>0.52738244335644424</v>
      </c>
    </row>
    <row r="4634" spans="13:15" x14ac:dyDescent="0.3">
      <c r="M4634" s="35">
        <v>31.51</v>
      </c>
      <c r="N4634">
        <v>305</v>
      </c>
      <c r="O4634" s="34">
        <f t="shared" si="73"/>
        <v>0.52749629966977685</v>
      </c>
    </row>
    <row r="4635" spans="13:15" x14ac:dyDescent="0.3">
      <c r="M4635" s="35">
        <v>31.51</v>
      </c>
      <c r="N4635">
        <v>305</v>
      </c>
      <c r="O4635" s="34">
        <f t="shared" si="73"/>
        <v>0.52761015598310945</v>
      </c>
    </row>
    <row r="4636" spans="13:15" x14ac:dyDescent="0.3">
      <c r="M4636" s="35">
        <v>31.52</v>
      </c>
      <c r="N4636">
        <v>305</v>
      </c>
      <c r="O4636" s="34">
        <f t="shared" si="73"/>
        <v>0.52772401229644206</v>
      </c>
    </row>
    <row r="4637" spans="13:15" x14ac:dyDescent="0.3">
      <c r="M4637" s="35">
        <v>31.52</v>
      </c>
      <c r="N4637">
        <v>305</v>
      </c>
      <c r="O4637" s="34">
        <f t="shared" si="73"/>
        <v>0.52783786860977466</v>
      </c>
    </row>
    <row r="4638" spans="13:15" x14ac:dyDescent="0.3">
      <c r="M4638" s="35">
        <v>31.53</v>
      </c>
      <c r="N4638">
        <v>305</v>
      </c>
      <c r="O4638" s="34">
        <f t="shared" si="73"/>
        <v>0.52795172492310727</v>
      </c>
    </row>
    <row r="4639" spans="13:15" x14ac:dyDescent="0.3">
      <c r="M4639" s="35">
        <v>31.54</v>
      </c>
      <c r="N4639">
        <v>305</v>
      </c>
      <c r="O4639" s="34">
        <f t="shared" si="73"/>
        <v>0.52806558123643987</v>
      </c>
    </row>
    <row r="4640" spans="13:15" x14ac:dyDescent="0.3">
      <c r="M4640" s="35">
        <v>31.54</v>
      </c>
      <c r="N4640">
        <v>305</v>
      </c>
      <c r="O4640" s="34">
        <f t="shared" si="73"/>
        <v>0.52817943754977248</v>
      </c>
    </row>
    <row r="4641" spans="13:15" x14ac:dyDescent="0.3">
      <c r="M4641" s="35">
        <v>31.54</v>
      </c>
      <c r="N4641">
        <v>305</v>
      </c>
      <c r="O4641" s="34">
        <f t="shared" si="73"/>
        <v>0.52829329386310508</v>
      </c>
    </row>
    <row r="4642" spans="13:15" x14ac:dyDescent="0.3">
      <c r="M4642" s="35">
        <v>31.55</v>
      </c>
      <c r="N4642">
        <v>305</v>
      </c>
      <c r="O4642" s="34">
        <f t="shared" si="73"/>
        <v>0.52840715017643769</v>
      </c>
    </row>
    <row r="4643" spans="13:15" x14ac:dyDescent="0.3">
      <c r="M4643" s="35">
        <v>31.55</v>
      </c>
      <c r="N4643">
        <v>305</v>
      </c>
      <c r="O4643" s="34">
        <f t="shared" si="73"/>
        <v>0.5285210064897703</v>
      </c>
    </row>
    <row r="4644" spans="13:15" x14ac:dyDescent="0.3">
      <c r="M4644" s="35">
        <v>31.55</v>
      </c>
      <c r="N4644">
        <v>305</v>
      </c>
      <c r="O4644" s="34">
        <f t="shared" si="73"/>
        <v>0.5286348628031029</v>
      </c>
    </row>
    <row r="4645" spans="13:15" x14ac:dyDescent="0.3">
      <c r="M4645" s="35">
        <v>31.56</v>
      </c>
      <c r="N4645">
        <v>305</v>
      </c>
      <c r="O4645" s="34">
        <f t="shared" si="73"/>
        <v>0.52874871911643551</v>
      </c>
    </row>
    <row r="4646" spans="13:15" x14ac:dyDescent="0.3">
      <c r="M4646" s="35">
        <v>31.57</v>
      </c>
      <c r="N4646">
        <v>305</v>
      </c>
      <c r="O4646" s="34">
        <f t="shared" si="73"/>
        <v>0.52886257542976811</v>
      </c>
    </row>
    <row r="4647" spans="13:15" x14ac:dyDescent="0.3">
      <c r="M4647" s="35">
        <v>31.57</v>
      </c>
      <c r="N4647">
        <v>305</v>
      </c>
      <c r="O4647" s="34">
        <f t="shared" si="73"/>
        <v>0.52897643174310072</v>
      </c>
    </row>
    <row r="4648" spans="13:15" x14ac:dyDescent="0.3">
      <c r="M4648" s="35">
        <v>31.57</v>
      </c>
      <c r="N4648">
        <v>305</v>
      </c>
      <c r="O4648" s="34">
        <f t="shared" si="73"/>
        <v>0.52909028805643332</v>
      </c>
    </row>
    <row r="4649" spans="13:15" x14ac:dyDescent="0.3">
      <c r="M4649" s="35">
        <v>31.57</v>
      </c>
      <c r="N4649">
        <v>305</v>
      </c>
      <c r="O4649" s="34">
        <f t="shared" si="73"/>
        <v>0.52920414436976593</v>
      </c>
    </row>
    <row r="4650" spans="13:15" x14ac:dyDescent="0.3">
      <c r="M4650" s="35">
        <v>31.58</v>
      </c>
      <c r="N4650">
        <v>305</v>
      </c>
      <c r="O4650" s="34">
        <f t="shared" si="73"/>
        <v>0.52931800068309853</v>
      </c>
    </row>
    <row r="4651" spans="13:15" x14ac:dyDescent="0.3">
      <c r="M4651" s="35">
        <v>31.59</v>
      </c>
      <c r="N4651">
        <v>305</v>
      </c>
      <c r="O4651" s="34">
        <f t="shared" si="73"/>
        <v>0.52943185699643114</v>
      </c>
    </row>
    <row r="4652" spans="13:15" x14ac:dyDescent="0.3">
      <c r="M4652" s="35">
        <v>31.6</v>
      </c>
      <c r="N4652">
        <v>305</v>
      </c>
      <c r="O4652" s="34">
        <f t="shared" si="73"/>
        <v>0.52954571330976374</v>
      </c>
    </row>
    <row r="4653" spans="13:15" x14ac:dyDescent="0.3">
      <c r="M4653" s="35">
        <v>31.6</v>
      </c>
      <c r="N4653">
        <v>305</v>
      </c>
      <c r="O4653" s="34">
        <f t="shared" si="73"/>
        <v>0.52965956962309635</v>
      </c>
    </row>
    <row r="4654" spans="13:15" x14ac:dyDescent="0.3">
      <c r="M4654" s="35">
        <v>31.6</v>
      </c>
      <c r="N4654">
        <v>305</v>
      </c>
      <c r="O4654" s="34">
        <f t="shared" si="73"/>
        <v>0.52977342593642895</v>
      </c>
    </row>
    <row r="4655" spans="13:15" x14ac:dyDescent="0.3">
      <c r="M4655" s="35">
        <v>31.61</v>
      </c>
      <c r="N4655">
        <v>305</v>
      </c>
      <c r="O4655" s="34">
        <f t="shared" si="73"/>
        <v>0.52988728224976156</v>
      </c>
    </row>
    <row r="4656" spans="13:15" x14ac:dyDescent="0.3">
      <c r="M4656" s="35">
        <v>31.61</v>
      </c>
      <c r="N4656">
        <v>305</v>
      </c>
      <c r="O4656" s="34">
        <f t="shared" si="73"/>
        <v>0.53000113856309417</v>
      </c>
    </row>
    <row r="4657" spans="13:15" x14ac:dyDescent="0.3">
      <c r="M4657" s="35">
        <v>31.61</v>
      </c>
      <c r="N4657">
        <v>305</v>
      </c>
      <c r="O4657" s="34">
        <f t="shared" si="73"/>
        <v>0.53011499487642677</v>
      </c>
    </row>
    <row r="4658" spans="13:15" x14ac:dyDescent="0.3">
      <c r="M4658" s="35">
        <v>31.62</v>
      </c>
      <c r="N4658">
        <v>305</v>
      </c>
      <c r="O4658" s="34">
        <f t="shared" si="73"/>
        <v>0.53022885118975938</v>
      </c>
    </row>
    <row r="4659" spans="13:15" x14ac:dyDescent="0.3">
      <c r="M4659" s="35">
        <v>31.62</v>
      </c>
      <c r="N4659">
        <v>305</v>
      </c>
      <c r="O4659" s="34">
        <f t="shared" si="73"/>
        <v>0.53034270750309198</v>
      </c>
    </row>
    <row r="4660" spans="13:15" x14ac:dyDescent="0.3">
      <c r="M4660" s="35">
        <v>31.63</v>
      </c>
      <c r="N4660">
        <v>305</v>
      </c>
      <c r="O4660" s="34">
        <f t="shared" si="73"/>
        <v>0.53045656381642459</v>
      </c>
    </row>
    <row r="4661" spans="13:15" x14ac:dyDescent="0.3">
      <c r="M4661" s="35">
        <v>31.64</v>
      </c>
      <c r="N4661">
        <v>305</v>
      </c>
      <c r="O4661" s="34">
        <f t="shared" si="73"/>
        <v>0.53057042012975719</v>
      </c>
    </row>
    <row r="4662" spans="13:15" x14ac:dyDescent="0.3">
      <c r="M4662" s="35">
        <v>31.64</v>
      </c>
      <c r="N4662">
        <v>305</v>
      </c>
      <c r="O4662" s="34">
        <f t="shared" si="73"/>
        <v>0.5306842764430898</v>
      </c>
    </row>
    <row r="4663" spans="13:15" x14ac:dyDescent="0.3">
      <c r="M4663" s="35">
        <v>31.64</v>
      </c>
      <c r="N4663">
        <v>305</v>
      </c>
      <c r="O4663" s="34">
        <f t="shared" si="73"/>
        <v>0.5307981327564224</v>
      </c>
    </row>
    <row r="4664" spans="13:15" x14ac:dyDescent="0.3">
      <c r="M4664" s="35">
        <v>31.64</v>
      </c>
      <c r="N4664">
        <v>305</v>
      </c>
      <c r="O4664" s="34">
        <f t="shared" si="73"/>
        <v>0.53091198906975501</v>
      </c>
    </row>
    <row r="4665" spans="13:15" x14ac:dyDescent="0.3">
      <c r="M4665" s="35">
        <v>31.65</v>
      </c>
      <c r="N4665">
        <v>305</v>
      </c>
      <c r="O4665" s="34">
        <f t="shared" si="73"/>
        <v>0.53102584538308761</v>
      </c>
    </row>
    <row r="4666" spans="13:15" x14ac:dyDescent="0.3">
      <c r="M4666" s="35">
        <v>31.65</v>
      </c>
      <c r="N4666">
        <v>305</v>
      </c>
      <c r="O4666" s="34">
        <f t="shared" si="73"/>
        <v>0.53113970169642022</v>
      </c>
    </row>
    <row r="4667" spans="13:15" x14ac:dyDescent="0.3">
      <c r="M4667" s="35">
        <v>31.66</v>
      </c>
      <c r="N4667">
        <v>305</v>
      </c>
      <c r="O4667" s="34">
        <f t="shared" si="73"/>
        <v>0.53125355800975282</v>
      </c>
    </row>
    <row r="4668" spans="13:15" x14ac:dyDescent="0.3">
      <c r="M4668" s="35">
        <v>31.66</v>
      </c>
      <c r="N4668">
        <v>305</v>
      </c>
      <c r="O4668" s="34">
        <f t="shared" si="73"/>
        <v>0.53136741432308543</v>
      </c>
    </row>
    <row r="4669" spans="13:15" x14ac:dyDescent="0.3">
      <c r="M4669" s="35">
        <v>31.68</v>
      </c>
      <c r="N4669">
        <v>305</v>
      </c>
      <c r="O4669" s="34">
        <f t="shared" si="73"/>
        <v>0.53148127063641804</v>
      </c>
    </row>
    <row r="4670" spans="13:15" x14ac:dyDescent="0.3">
      <c r="M4670" s="35">
        <v>31.68</v>
      </c>
      <c r="N4670">
        <v>305</v>
      </c>
      <c r="O4670" s="34">
        <f t="shared" si="73"/>
        <v>0.53159512694975064</v>
      </c>
    </row>
    <row r="4671" spans="13:15" x14ac:dyDescent="0.3">
      <c r="M4671" s="35">
        <v>31.7</v>
      </c>
      <c r="N4671">
        <v>305</v>
      </c>
      <c r="O4671" s="34">
        <f t="shared" si="73"/>
        <v>0.53170898326308325</v>
      </c>
    </row>
    <row r="4672" spans="13:15" x14ac:dyDescent="0.3">
      <c r="M4672" s="35">
        <v>31.7</v>
      </c>
      <c r="N4672">
        <v>305</v>
      </c>
      <c r="O4672" s="34">
        <f t="shared" si="73"/>
        <v>0.53182283957641585</v>
      </c>
    </row>
    <row r="4673" spans="13:15" x14ac:dyDescent="0.3">
      <c r="M4673" s="35">
        <v>31.7</v>
      </c>
      <c r="N4673">
        <v>305</v>
      </c>
      <c r="O4673" s="34">
        <f t="shared" si="73"/>
        <v>0.53193669588974846</v>
      </c>
    </row>
    <row r="4674" spans="13:15" x14ac:dyDescent="0.3">
      <c r="M4674" s="35">
        <v>31.7</v>
      </c>
      <c r="N4674">
        <v>305</v>
      </c>
      <c r="O4674" s="34">
        <f t="shared" si="73"/>
        <v>0.53205055220308106</v>
      </c>
    </row>
    <row r="4675" spans="13:15" x14ac:dyDescent="0.3">
      <c r="M4675" s="35">
        <v>31.71</v>
      </c>
      <c r="N4675">
        <v>305</v>
      </c>
      <c r="O4675" s="34">
        <f t="shared" si="73"/>
        <v>0.53216440851641367</v>
      </c>
    </row>
    <row r="4676" spans="13:15" x14ac:dyDescent="0.3">
      <c r="M4676" s="35">
        <v>31.71</v>
      </c>
      <c r="N4676">
        <v>305</v>
      </c>
      <c r="O4676" s="34">
        <f t="shared" ref="O4676:O4739" si="74">O4675+O$2</f>
        <v>0.53227826482974627</v>
      </c>
    </row>
    <row r="4677" spans="13:15" x14ac:dyDescent="0.3">
      <c r="M4677" s="35">
        <v>31.72</v>
      </c>
      <c r="N4677">
        <v>305</v>
      </c>
      <c r="O4677" s="34">
        <f t="shared" si="74"/>
        <v>0.53239212114307888</v>
      </c>
    </row>
    <row r="4678" spans="13:15" x14ac:dyDescent="0.3">
      <c r="M4678" s="35">
        <v>31.72</v>
      </c>
      <c r="N4678">
        <v>305</v>
      </c>
      <c r="O4678" s="34">
        <f t="shared" si="74"/>
        <v>0.53250597745641148</v>
      </c>
    </row>
    <row r="4679" spans="13:15" x14ac:dyDescent="0.3">
      <c r="M4679" s="35">
        <v>31.73</v>
      </c>
      <c r="N4679">
        <v>305</v>
      </c>
      <c r="O4679" s="34">
        <f t="shared" si="74"/>
        <v>0.53261983376974409</v>
      </c>
    </row>
    <row r="4680" spans="13:15" x14ac:dyDescent="0.3">
      <c r="M4680" s="35">
        <v>31.73</v>
      </c>
      <c r="N4680">
        <v>305</v>
      </c>
      <c r="O4680" s="34">
        <f t="shared" si="74"/>
        <v>0.53273369008307669</v>
      </c>
    </row>
    <row r="4681" spans="13:15" x14ac:dyDescent="0.3">
      <c r="M4681" s="35">
        <v>31.75</v>
      </c>
      <c r="N4681">
        <v>305</v>
      </c>
      <c r="O4681" s="34">
        <f t="shared" si="74"/>
        <v>0.5328475463964093</v>
      </c>
    </row>
    <row r="4682" spans="13:15" x14ac:dyDescent="0.3">
      <c r="M4682" s="35">
        <v>31.76</v>
      </c>
      <c r="N4682">
        <v>305</v>
      </c>
      <c r="O4682" s="34">
        <f t="shared" si="74"/>
        <v>0.5329614027097419</v>
      </c>
    </row>
    <row r="4683" spans="13:15" x14ac:dyDescent="0.3">
      <c r="M4683" s="35">
        <v>31.76</v>
      </c>
      <c r="N4683">
        <v>305</v>
      </c>
      <c r="O4683" s="34">
        <f t="shared" si="74"/>
        <v>0.53307525902307451</v>
      </c>
    </row>
    <row r="4684" spans="13:15" x14ac:dyDescent="0.3">
      <c r="M4684" s="35">
        <v>31.77</v>
      </c>
      <c r="N4684">
        <v>305</v>
      </c>
      <c r="O4684" s="34">
        <f t="shared" si="74"/>
        <v>0.53318911533640712</v>
      </c>
    </row>
    <row r="4685" spans="13:15" x14ac:dyDescent="0.3">
      <c r="M4685" s="35">
        <v>31.78</v>
      </c>
      <c r="N4685">
        <v>305</v>
      </c>
      <c r="O4685" s="34">
        <f t="shared" si="74"/>
        <v>0.53330297164973972</v>
      </c>
    </row>
    <row r="4686" spans="13:15" x14ac:dyDescent="0.3">
      <c r="M4686" s="35">
        <v>31.78</v>
      </c>
      <c r="N4686">
        <v>305</v>
      </c>
      <c r="O4686" s="34">
        <f t="shared" si="74"/>
        <v>0.53341682796307233</v>
      </c>
    </row>
    <row r="4687" spans="13:15" x14ac:dyDescent="0.3">
      <c r="M4687" s="35">
        <v>31.79</v>
      </c>
      <c r="N4687">
        <v>305</v>
      </c>
      <c r="O4687" s="34">
        <f t="shared" si="74"/>
        <v>0.53353068427640493</v>
      </c>
    </row>
    <row r="4688" spans="13:15" x14ac:dyDescent="0.3">
      <c r="M4688" s="35">
        <v>31.79</v>
      </c>
      <c r="N4688">
        <v>305</v>
      </c>
      <c r="O4688" s="34">
        <f t="shared" si="74"/>
        <v>0.53364454058973754</v>
      </c>
    </row>
    <row r="4689" spans="13:15" x14ac:dyDescent="0.3">
      <c r="M4689" s="35">
        <v>31.8</v>
      </c>
      <c r="N4689">
        <v>305</v>
      </c>
      <c r="O4689" s="34">
        <f t="shared" si="74"/>
        <v>0.53375839690307014</v>
      </c>
    </row>
    <row r="4690" spans="13:15" x14ac:dyDescent="0.3">
      <c r="M4690" s="35">
        <v>31.8</v>
      </c>
      <c r="N4690">
        <v>305</v>
      </c>
      <c r="O4690" s="34">
        <f t="shared" si="74"/>
        <v>0.53387225321640275</v>
      </c>
    </row>
    <row r="4691" spans="13:15" x14ac:dyDescent="0.3">
      <c r="M4691" s="35">
        <v>31.81</v>
      </c>
      <c r="N4691">
        <v>305</v>
      </c>
      <c r="O4691" s="34">
        <f t="shared" si="74"/>
        <v>0.53398610952973535</v>
      </c>
    </row>
    <row r="4692" spans="13:15" x14ac:dyDescent="0.3">
      <c r="M4692" s="35">
        <v>31.81</v>
      </c>
      <c r="N4692">
        <v>305</v>
      </c>
      <c r="O4692" s="34">
        <f t="shared" si="74"/>
        <v>0.53409996584306796</v>
      </c>
    </row>
    <row r="4693" spans="13:15" x14ac:dyDescent="0.3">
      <c r="M4693" s="35">
        <v>31.82</v>
      </c>
      <c r="N4693">
        <v>305</v>
      </c>
      <c r="O4693" s="34">
        <f t="shared" si="74"/>
        <v>0.53421382215640056</v>
      </c>
    </row>
    <row r="4694" spans="13:15" x14ac:dyDescent="0.3">
      <c r="M4694" s="35">
        <v>31.82</v>
      </c>
      <c r="N4694">
        <v>305</v>
      </c>
      <c r="O4694" s="34">
        <f t="shared" si="74"/>
        <v>0.53432767846973317</v>
      </c>
    </row>
    <row r="4695" spans="13:15" x14ac:dyDescent="0.3">
      <c r="M4695" s="35">
        <v>31.82</v>
      </c>
      <c r="N4695">
        <v>305</v>
      </c>
      <c r="O4695" s="34">
        <f t="shared" si="74"/>
        <v>0.53444153478306577</v>
      </c>
    </row>
    <row r="4696" spans="13:15" x14ac:dyDescent="0.3">
      <c r="M4696" s="35">
        <v>31.83</v>
      </c>
      <c r="N4696">
        <v>305</v>
      </c>
      <c r="O4696" s="34">
        <f t="shared" si="74"/>
        <v>0.53455539109639838</v>
      </c>
    </row>
    <row r="4697" spans="13:15" x14ac:dyDescent="0.3">
      <c r="M4697" s="35">
        <v>31.83</v>
      </c>
      <c r="N4697">
        <v>305</v>
      </c>
      <c r="O4697" s="34">
        <f t="shared" si="74"/>
        <v>0.53466924740973099</v>
      </c>
    </row>
    <row r="4698" spans="13:15" x14ac:dyDescent="0.3">
      <c r="M4698" s="35">
        <v>31.83</v>
      </c>
      <c r="N4698">
        <v>305</v>
      </c>
      <c r="O4698" s="34">
        <f t="shared" si="74"/>
        <v>0.53478310372306359</v>
      </c>
    </row>
    <row r="4699" spans="13:15" x14ac:dyDescent="0.3">
      <c r="M4699" s="35">
        <v>31.83</v>
      </c>
      <c r="N4699">
        <v>305</v>
      </c>
      <c r="O4699" s="34">
        <f t="shared" si="74"/>
        <v>0.5348969600363962</v>
      </c>
    </row>
    <row r="4700" spans="13:15" x14ac:dyDescent="0.3">
      <c r="M4700" s="35">
        <v>31.84</v>
      </c>
      <c r="N4700">
        <v>305</v>
      </c>
      <c r="O4700" s="34">
        <f t="shared" si="74"/>
        <v>0.5350108163497288</v>
      </c>
    </row>
    <row r="4701" spans="13:15" x14ac:dyDescent="0.3">
      <c r="M4701" s="35">
        <v>31.84</v>
      </c>
      <c r="N4701">
        <v>305</v>
      </c>
      <c r="O4701" s="34">
        <f t="shared" si="74"/>
        <v>0.53512467266306141</v>
      </c>
    </row>
    <row r="4702" spans="13:15" x14ac:dyDescent="0.3">
      <c r="M4702" s="35">
        <v>31.84</v>
      </c>
      <c r="N4702">
        <v>305</v>
      </c>
      <c r="O4702" s="34">
        <f t="shared" si="74"/>
        <v>0.53523852897639401</v>
      </c>
    </row>
    <row r="4703" spans="13:15" x14ac:dyDescent="0.3">
      <c r="M4703" s="35">
        <v>31.85</v>
      </c>
      <c r="N4703">
        <v>305</v>
      </c>
      <c r="O4703" s="34">
        <f t="shared" si="74"/>
        <v>0.53535238528972662</v>
      </c>
    </row>
    <row r="4704" spans="13:15" x14ac:dyDescent="0.3">
      <c r="M4704" s="35">
        <v>31.86</v>
      </c>
      <c r="N4704">
        <v>305</v>
      </c>
      <c r="O4704" s="34">
        <f t="shared" si="74"/>
        <v>0.53546624160305922</v>
      </c>
    </row>
    <row r="4705" spans="13:15" x14ac:dyDescent="0.3">
      <c r="M4705" s="35">
        <v>31.87</v>
      </c>
      <c r="N4705">
        <v>305</v>
      </c>
      <c r="O4705" s="34">
        <f t="shared" si="74"/>
        <v>0.53558009791639183</v>
      </c>
    </row>
    <row r="4706" spans="13:15" x14ac:dyDescent="0.3">
      <c r="M4706" s="35">
        <v>31.87</v>
      </c>
      <c r="N4706">
        <v>305</v>
      </c>
      <c r="O4706" s="34">
        <f t="shared" si="74"/>
        <v>0.53569395422972443</v>
      </c>
    </row>
    <row r="4707" spans="13:15" x14ac:dyDescent="0.3">
      <c r="M4707" s="35">
        <v>31.87</v>
      </c>
      <c r="N4707">
        <v>305</v>
      </c>
      <c r="O4707" s="34">
        <f t="shared" si="74"/>
        <v>0.53580781054305704</v>
      </c>
    </row>
    <row r="4708" spans="13:15" x14ac:dyDescent="0.3">
      <c r="M4708" s="35">
        <v>31.87</v>
      </c>
      <c r="N4708">
        <v>305</v>
      </c>
      <c r="O4708" s="34">
        <f t="shared" si="74"/>
        <v>0.53592166685638964</v>
      </c>
    </row>
    <row r="4709" spans="13:15" x14ac:dyDescent="0.3">
      <c r="M4709" s="35">
        <v>31.88</v>
      </c>
      <c r="N4709">
        <v>305</v>
      </c>
      <c r="O4709" s="34">
        <f t="shared" si="74"/>
        <v>0.53603552316972225</v>
      </c>
    </row>
    <row r="4710" spans="13:15" x14ac:dyDescent="0.3">
      <c r="M4710" s="35">
        <v>31.88</v>
      </c>
      <c r="N4710">
        <v>305</v>
      </c>
      <c r="O4710" s="34">
        <f t="shared" si="74"/>
        <v>0.53614937948305486</v>
      </c>
    </row>
    <row r="4711" spans="13:15" x14ac:dyDescent="0.3">
      <c r="M4711" s="35">
        <v>31.88</v>
      </c>
      <c r="N4711">
        <v>305</v>
      </c>
      <c r="O4711" s="34">
        <f t="shared" si="74"/>
        <v>0.53626323579638746</v>
      </c>
    </row>
    <row r="4712" spans="13:15" x14ac:dyDescent="0.3">
      <c r="M4712" s="35">
        <v>31.88</v>
      </c>
      <c r="N4712">
        <v>305</v>
      </c>
      <c r="O4712" s="34">
        <f t="shared" si="74"/>
        <v>0.53637709210972007</v>
      </c>
    </row>
    <row r="4713" spans="13:15" x14ac:dyDescent="0.3">
      <c r="M4713" s="35">
        <v>31.89</v>
      </c>
      <c r="N4713">
        <v>305</v>
      </c>
      <c r="O4713" s="34">
        <f t="shared" si="74"/>
        <v>0.53649094842305267</v>
      </c>
    </row>
    <row r="4714" spans="13:15" x14ac:dyDescent="0.3">
      <c r="M4714" s="35">
        <v>31.89</v>
      </c>
      <c r="N4714">
        <v>305</v>
      </c>
      <c r="O4714" s="34">
        <f t="shared" si="74"/>
        <v>0.53660480473638528</v>
      </c>
    </row>
    <row r="4715" spans="13:15" x14ac:dyDescent="0.3">
      <c r="M4715" s="35">
        <v>31.9</v>
      </c>
      <c r="N4715">
        <v>305</v>
      </c>
      <c r="O4715" s="34">
        <f t="shared" si="74"/>
        <v>0.53671866104971788</v>
      </c>
    </row>
    <row r="4716" spans="13:15" x14ac:dyDescent="0.3">
      <c r="M4716" s="35">
        <v>31.9</v>
      </c>
      <c r="N4716">
        <v>305</v>
      </c>
      <c r="O4716" s="34">
        <f t="shared" si="74"/>
        <v>0.53683251736305049</v>
      </c>
    </row>
    <row r="4717" spans="13:15" x14ac:dyDescent="0.3">
      <c r="M4717" s="35">
        <v>31.91</v>
      </c>
      <c r="N4717">
        <v>305</v>
      </c>
      <c r="O4717" s="34">
        <f t="shared" si="74"/>
        <v>0.53694637367638309</v>
      </c>
    </row>
    <row r="4718" spans="13:15" x14ac:dyDescent="0.3">
      <c r="M4718" s="35">
        <v>31.91</v>
      </c>
      <c r="N4718">
        <v>305</v>
      </c>
      <c r="O4718" s="34">
        <f t="shared" si="74"/>
        <v>0.5370602299897157</v>
      </c>
    </row>
    <row r="4719" spans="13:15" x14ac:dyDescent="0.3">
      <c r="M4719" s="35">
        <v>31.92</v>
      </c>
      <c r="N4719">
        <v>305</v>
      </c>
      <c r="O4719" s="34">
        <f t="shared" si="74"/>
        <v>0.5371740863030483</v>
      </c>
    </row>
    <row r="4720" spans="13:15" x14ac:dyDescent="0.3">
      <c r="M4720" s="35">
        <v>31.92</v>
      </c>
      <c r="N4720">
        <v>305</v>
      </c>
      <c r="O4720" s="34">
        <f t="shared" si="74"/>
        <v>0.53728794261638091</v>
      </c>
    </row>
    <row r="4721" spans="13:15" x14ac:dyDescent="0.3">
      <c r="M4721" s="35">
        <v>31.93</v>
      </c>
      <c r="N4721">
        <v>305</v>
      </c>
      <c r="O4721" s="34">
        <f t="shared" si="74"/>
        <v>0.53740179892971351</v>
      </c>
    </row>
    <row r="4722" spans="13:15" x14ac:dyDescent="0.3">
      <c r="M4722" s="35">
        <v>31.94</v>
      </c>
      <c r="N4722">
        <v>305</v>
      </c>
      <c r="O4722" s="34">
        <f t="shared" si="74"/>
        <v>0.53751565524304612</v>
      </c>
    </row>
    <row r="4723" spans="13:15" x14ac:dyDescent="0.3">
      <c r="M4723" s="35">
        <v>31.94</v>
      </c>
      <c r="N4723">
        <v>305</v>
      </c>
      <c r="O4723" s="34">
        <f t="shared" si="74"/>
        <v>0.53762951155637873</v>
      </c>
    </row>
    <row r="4724" spans="13:15" x14ac:dyDescent="0.3">
      <c r="M4724" s="35">
        <v>31.94</v>
      </c>
      <c r="N4724">
        <v>305</v>
      </c>
      <c r="O4724" s="34">
        <f t="shared" si="74"/>
        <v>0.53774336786971133</v>
      </c>
    </row>
    <row r="4725" spans="13:15" x14ac:dyDescent="0.3">
      <c r="M4725" s="35">
        <v>31.94</v>
      </c>
      <c r="N4725">
        <v>305</v>
      </c>
      <c r="O4725" s="34">
        <f t="shared" si="74"/>
        <v>0.53785722418304394</v>
      </c>
    </row>
    <row r="4726" spans="13:15" x14ac:dyDescent="0.3">
      <c r="M4726" s="35">
        <v>31.95</v>
      </c>
      <c r="N4726">
        <v>305</v>
      </c>
      <c r="O4726" s="34">
        <f t="shared" si="74"/>
        <v>0.53797108049637654</v>
      </c>
    </row>
    <row r="4727" spans="13:15" x14ac:dyDescent="0.3">
      <c r="M4727" s="35">
        <v>31.95</v>
      </c>
      <c r="N4727">
        <v>305</v>
      </c>
      <c r="O4727" s="34">
        <f t="shared" si="74"/>
        <v>0.53808493680970915</v>
      </c>
    </row>
    <row r="4728" spans="13:15" x14ac:dyDescent="0.3">
      <c r="M4728" s="35">
        <v>31.96</v>
      </c>
      <c r="N4728">
        <v>305</v>
      </c>
      <c r="O4728" s="34">
        <f t="shared" si="74"/>
        <v>0.53819879312304175</v>
      </c>
    </row>
    <row r="4729" spans="13:15" x14ac:dyDescent="0.3">
      <c r="M4729" s="35">
        <v>31.96</v>
      </c>
      <c r="N4729">
        <v>305</v>
      </c>
      <c r="O4729" s="34">
        <f t="shared" si="74"/>
        <v>0.53831264943637436</v>
      </c>
    </row>
    <row r="4730" spans="13:15" x14ac:dyDescent="0.3">
      <c r="M4730" s="35">
        <v>31.96</v>
      </c>
      <c r="N4730">
        <v>305</v>
      </c>
      <c r="O4730" s="34">
        <f t="shared" si="74"/>
        <v>0.53842650574970696</v>
      </c>
    </row>
    <row r="4731" spans="13:15" x14ac:dyDescent="0.3">
      <c r="M4731" s="35">
        <v>31.97</v>
      </c>
      <c r="N4731">
        <v>305</v>
      </c>
      <c r="O4731" s="34">
        <f t="shared" si="74"/>
        <v>0.53854036206303957</v>
      </c>
    </row>
    <row r="4732" spans="13:15" x14ac:dyDescent="0.3">
      <c r="M4732" s="35">
        <v>31.97</v>
      </c>
      <c r="N4732">
        <v>305</v>
      </c>
      <c r="O4732" s="34">
        <f t="shared" si="74"/>
        <v>0.53865421837637217</v>
      </c>
    </row>
    <row r="4733" spans="13:15" x14ac:dyDescent="0.3">
      <c r="M4733" s="35">
        <v>31.98</v>
      </c>
      <c r="N4733">
        <v>305</v>
      </c>
      <c r="O4733" s="34">
        <f t="shared" si="74"/>
        <v>0.53876807468970478</v>
      </c>
    </row>
    <row r="4734" spans="13:15" x14ac:dyDescent="0.3">
      <c r="M4734" s="35">
        <v>31.98</v>
      </c>
      <c r="N4734">
        <v>305</v>
      </c>
      <c r="O4734" s="34">
        <f t="shared" si="74"/>
        <v>0.53888193100303738</v>
      </c>
    </row>
    <row r="4735" spans="13:15" x14ac:dyDescent="0.3">
      <c r="M4735" s="35">
        <v>31.98</v>
      </c>
      <c r="N4735">
        <v>305</v>
      </c>
      <c r="O4735" s="34">
        <f t="shared" si="74"/>
        <v>0.53899578731636999</v>
      </c>
    </row>
    <row r="4736" spans="13:15" x14ac:dyDescent="0.3">
      <c r="M4736" s="35">
        <v>31.99</v>
      </c>
      <c r="N4736">
        <v>305</v>
      </c>
      <c r="O4736" s="34">
        <f t="shared" si="74"/>
        <v>0.5391096436297026</v>
      </c>
    </row>
    <row r="4737" spans="13:15" x14ac:dyDescent="0.3">
      <c r="M4737" s="35">
        <v>31.99</v>
      </c>
      <c r="N4737">
        <v>305</v>
      </c>
      <c r="O4737" s="34">
        <f t="shared" si="74"/>
        <v>0.5392234999430352</v>
      </c>
    </row>
    <row r="4738" spans="13:15" x14ac:dyDescent="0.3">
      <c r="M4738" s="35">
        <v>32</v>
      </c>
      <c r="N4738">
        <v>305</v>
      </c>
      <c r="O4738" s="34">
        <f t="shared" si="74"/>
        <v>0.53933735625636781</v>
      </c>
    </row>
    <row r="4739" spans="13:15" x14ac:dyDescent="0.3">
      <c r="M4739" s="35">
        <v>32.01</v>
      </c>
      <c r="N4739">
        <v>305</v>
      </c>
      <c r="O4739" s="34">
        <f t="shared" si="74"/>
        <v>0.53945121256970041</v>
      </c>
    </row>
    <row r="4740" spans="13:15" x14ac:dyDescent="0.3">
      <c r="M4740" s="35">
        <v>32.01</v>
      </c>
      <c r="N4740">
        <v>305</v>
      </c>
      <c r="O4740" s="34">
        <f t="shared" ref="O4740:O4803" si="75">O4739+O$2</f>
        <v>0.53956506888303302</v>
      </c>
    </row>
    <row r="4741" spans="13:15" x14ac:dyDescent="0.3">
      <c r="M4741" s="35">
        <v>32.01</v>
      </c>
      <c r="N4741">
        <v>305</v>
      </c>
      <c r="O4741" s="34">
        <f t="shared" si="75"/>
        <v>0.53967892519636562</v>
      </c>
    </row>
    <row r="4742" spans="13:15" x14ac:dyDescent="0.3">
      <c r="M4742" s="35">
        <v>32.01</v>
      </c>
      <c r="N4742">
        <v>305</v>
      </c>
      <c r="O4742" s="34">
        <f t="shared" si="75"/>
        <v>0.53979278150969823</v>
      </c>
    </row>
    <row r="4743" spans="13:15" x14ac:dyDescent="0.3">
      <c r="M4743" s="35">
        <v>32.020000000000003</v>
      </c>
      <c r="N4743">
        <v>305</v>
      </c>
      <c r="O4743" s="34">
        <f t="shared" si="75"/>
        <v>0.53990663782303083</v>
      </c>
    </row>
    <row r="4744" spans="13:15" x14ac:dyDescent="0.3">
      <c r="M4744" s="35">
        <v>32.020000000000003</v>
      </c>
      <c r="N4744">
        <v>305</v>
      </c>
      <c r="O4744" s="34">
        <f t="shared" si="75"/>
        <v>0.54002049413636344</v>
      </c>
    </row>
    <row r="4745" spans="13:15" x14ac:dyDescent="0.3">
      <c r="M4745" s="35">
        <v>32.020000000000003</v>
      </c>
      <c r="N4745">
        <v>305</v>
      </c>
      <c r="O4745" s="34">
        <f t="shared" si="75"/>
        <v>0.54013435044969604</v>
      </c>
    </row>
    <row r="4746" spans="13:15" x14ac:dyDescent="0.3">
      <c r="M4746" s="35">
        <v>32.03</v>
      </c>
      <c r="N4746">
        <v>305</v>
      </c>
      <c r="O4746" s="34">
        <f t="shared" si="75"/>
        <v>0.54024820676302865</v>
      </c>
    </row>
    <row r="4747" spans="13:15" x14ac:dyDescent="0.3">
      <c r="M4747" s="35">
        <v>32.03</v>
      </c>
      <c r="N4747">
        <v>305</v>
      </c>
      <c r="O4747" s="34">
        <f t="shared" si="75"/>
        <v>0.54036206307636125</v>
      </c>
    </row>
    <row r="4748" spans="13:15" x14ac:dyDescent="0.3">
      <c r="M4748" s="35">
        <v>32.03</v>
      </c>
      <c r="N4748">
        <v>305</v>
      </c>
      <c r="O4748" s="34">
        <f t="shared" si="75"/>
        <v>0.54047591938969386</v>
      </c>
    </row>
    <row r="4749" spans="13:15" x14ac:dyDescent="0.3">
      <c r="M4749" s="35">
        <v>32.03</v>
      </c>
      <c r="N4749">
        <v>305</v>
      </c>
      <c r="O4749" s="34">
        <f t="shared" si="75"/>
        <v>0.54058977570302646</v>
      </c>
    </row>
    <row r="4750" spans="13:15" x14ac:dyDescent="0.3">
      <c r="M4750" s="35">
        <v>32.03</v>
      </c>
      <c r="N4750">
        <v>305</v>
      </c>
      <c r="O4750" s="34">
        <f t="shared" si="75"/>
        <v>0.54070363201635907</v>
      </c>
    </row>
    <row r="4751" spans="13:15" x14ac:dyDescent="0.3">
      <c r="M4751" s="35">
        <v>32.04</v>
      </c>
      <c r="N4751">
        <v>305</v>
      </c>
      <c r="O4751" s="34">
        <f t="shared" si="75"/>
        <v>0.54081748832969168</v>
      </c>
    </row>
    <row r="4752" spans="13:15" x14ac:dyDescent="0.3">
      <c r="M4752" s="35">
        <v>32.049999999999997</v>
      </c>
      <c r="N4752">
        <v>305</v>
      </c>
      <c r="O4752" s="34">
        <f t="shared" si="75"/>
        <v>0.54093134464302428</v>
      </c>
    </row>
    <row r="4753" spans="13:15" x14ac:dyDescent="0.3">
      <c r="M4753" s="35">
        <v>32.049999999999997</v>
      </c>
      <c r="N4753">
        <v>305</v>
      </c>
      <c r="O4753" s="34">
        <f t="shared" si="75"/>
        <v>0.54104520095635689</v>
      </c>
    </row>
    <row r="4754" spans="13:15" x14ac:dyDescent="0.3">
      <c r="M4754" s="35">
        <v>32.06</v>
      </c>
      <c r="N4754">
        <v>305</v>
      </c>
      <c r="O4754" s="34">
        <f t="shared" si="75"/>
        <v>0.54115905726968949</v>
      </c>
    </row>
    <row r="4755" spans="13:15" x14ac:dyDescent="0.3">
      <c r="M4755" s="35">
        <v>32.06</v>
      </c>
      <c r="N4755">
        <v>305</v>
      </c>
      <c r="O4755" s="34">
        <f t="shared" si="75"/>
        <v>0.5412729135830221</v>
      </c>
    </row>
    <row r="4756" spans="13:15" x14ac:dyDescent="0.3">
      <c r="M4756" s="35">
        <v>32.07</v>
      </c>
      <c r="N4756">
        <v>305</v>
      </c>
      <c r="O4756" s="34">
        <f t="shared" si="75"/>
        <v>0.5413867698963547</v>
      </c>
    </row>
    <row r="4757" spans="13:15" x14ac:dyDescent="0.3">
      <c r="M4757" s="35">
        <v>32.1</v>
      </c>
      <c r="N4757">
        <v>305</v>
      </c>
      <c r="O4757" s="34">
        <f t="shared" si="75"/>
        <v>0.54150062620968731</v>
      </c>
    </row>
    <row r="4758" spans="13:15" x14ac:dyDescent="0.3">
      <c r="M4758" s="35">
        <v>32.1</v>
      </c>
      <c r="N4758">
        <v>305</v>
      </c>
      <c r="O4758" s="34">
        <f t="shared" si="75"/>
        <v>0.54161448252301991</v>
      </c>
    </row>
    <row r="4759" spans="13:15" x14ac:dyDescent="0.3">
      <c r="M4759" s="35">
        <v>32.1</v>
      </c>
      <c r="N4759">
        <v>305</v>
      </c>
      <c r="O4759" s="34">
        <f t="shared" si="75"/>
        <v>0.54172833883635252</v>
      </c>
    </row>
    <row r="4760" spans="13:15" x14ac:dyDescent="0.3">
      <c r="M4760" s="35">
        <v>32.119999999999997</v>
      </c>
      <c r="N4760">
        <v>305</v>
      </c>
      <c r="O4760" s="34">
        <f t="shared" si="75"/>
        <v>0.54184219514968512</v>
      </c>
    </row>
    <row r="4761" spans="13:15" x14ac:dyDescent="0.3">
      <c r="M4761" s="35">
        <v>32.119999999999997</v>
      </c>
      <c r="N4761">
        <v>305</v>
      </c>
      <c r="O4761" s="34">
        <f t="shared" si="75"/>
        <v>0.54195605146301773</v>
      </c>
    </row>
    <row r="4762" spans="13:15" x14ac:dyDescent="0.3">
      <c r="M4762" s="35">
        <v>32.130000000000003</v>
      </c>
      <c r="N4762">
        <v>305</v>
      </c>
      <c r="O4762" s="34">
        <f t="shared" si="75"/>
        <v>0.54206990777635033</v>
      </c>
    </row>
    <row r="4763" spans="13:15" x14ac:dyDescent="0.3">
      <c r="M4763" s="35">
        <v>32.130000000000003</v>
      </c>
      <c r="N4763">
        <v>305</v>
      </c>
      <c r="O4763" s="34">
        <f t="shared" si="75"/>
        <v>0.54218376408968294</v>
      </c>
    </row>
    <row r="4764" spans="13:15" x14ac:dyDescent="0.3">
      <c r="M4764" s="35">
        <v>32.14</v>
      </c>
      <c r="N4764">
        <v>305</v>
      </c>
      <c r="O4764" s="34">
        <f t="shared" si="75"/>
        <v>0.54229762040301555</v>
      </c>
    </row>
    <row r="4765" spans="13:15" x14ac:dyDescent="0.3">
      <c r="M4765" s="35">
        <v>32.14</v>
      </c>
      <c r="N4765">
        <v>305</v>
      </c>
      <c r="O4765" s="34">
        <f t="shared" si="75"/>
        <v>0.54241147671634815</v>
      </c>
    </row>
    <row r="4766" spans="13:15" x14ac:dyDescent="0.3">
      <c r="M4766" s="35">
        <v>32.14</v>
      </c>
      <c r="N4766">
        <v>305</v>
      </c>
      <c r="O4766" s="34">
        <f t="shared" si="75"/>
        <v>0.54252533302968076</v>
      </c>
    </row>
    <row r="4767" spans="13:15" x14ac:dyDescent="0.3">
      <c r="M4767" s="35">
        <v>32.14</v>
      </c>
      <c r="N4767">
        <v>305</v>
      </c>
      <c r="O4767" s="34">
        <f t="shared" si="75"/>
        <v>0.54263918934301336</v>
      </c>
    </row>
    <row r="4768" spans="13:15" x14ac:dyDescent="0.3">
      <c r="M4768" s="35">
        <v>32.15</v>
      </c>
      <c r="N4768">
        <v>305</v>
      </c>
      <c r="O4768" s="34">
        <f t="shared" si="75"/>
        <v>0.54275304565634597</v>
      </c>
    </row>
    <row r="4769" spans="13:15" x14ac:dyDescent="0.3">
      <c r="M4769" s="35">
        <v>32.159999999999997</v>
      </c>
      <c r="N4769">
        <v>305</v>
      </c>
      <c r="O4769" s="34">
        <f t="shared" si="75"/>
        <v>0.54286690196967857</v>
      </c>
    </row>
    <row r="4770" spans="13:15" x14ac:dyDescent="0.3">
      <c r="M4770" s="35">
        <v>32.17</v>
      </c>
      <c r="N4770">
        <v>305</v>
      </c>
      <c r="O4770" s="34">
        <f t="shared" si="75"/>
        <v>0.54298075828301118</v>
      </c>
    </row>
    <row r="4771" spans="13:15" x14ac:dyDescent="0.3">
      <c r="M4771" s="35">
        <v>32.17</v>
      </c>
      <c r="N4771">
        <v>305</v>
      </c>
      <c r="O4771" s="34">
        <f t="shared" si="75"/>
        <v>0.54309461459634378</v>
      </c>
    </row>
    <row r="4772" spans="13:15" x14ac:dyDescent="0.3">
      <c r="M4772" s="35">
        <v>32.17</v>
      </c>
      <c r="N4772">
        <v>305</v>
      </c>
      <c r="O4772" s="34">
        <f t="shared" si="75"/>
        <v>0.54320847090967639</v>
      </c>
    </row>
    <row r="4773" spans="13:15" x14ac:dyDescent="0.3">
      <c r="M4773" s="35">
        <v>32.18</v>
      </c>
      <c r="N4773">
        <v>305</v>
      </c>
      <c r="O4773" s="34">
        <f t="shared" si="75"/>
        <v>0.54332232722300899</v>
      </c>
    </row>
    <row r="4774" spans="13:15" x14ac:dyDescent="0.3">
      <c r="M4774" s="35">
        <v>32.18</v>
      </c>
      <c r="N4774">
        <v>305</v>
      </c>
      <c r="O4774" s="34">
        <f t="shared" si="75"/>
        <v>0.5434361835363416</v>
      </c>
    </row>
    <row r="4775" spans="13:15" x14ac:dyDescent="0.3">
      <c r="M4775" s="35">
        <v>32.19</v>
      </c>
      <c r="N4775">
        <v>305</v>
      </c>
      <c r="O4775" s="34">
        <f t="shared" si="75"/>
        <v>0.5435500398496742</v>
      </c>
    </row>
    <row r="4776" spans="13:15" x14ac:dyDescent="0.3">
      <c r="M4776" s="35">
        <v>32.19</v>
      </c>
      <c r="N4776">
        <v>305</v>
      </c>
      <c r="O4776" s="34">
        <f t="shared" si="75"/>
        <v>0.54366389616300681</v>
      </c>
    </row>
    <row r="4777" spans="13:15" x14ac:dyDescent="0.3">
      <c r="M4777" s="35">
        <v>32.200000000000003</v>
      </c>
      <c r="N4777">
        <v>305</v>
      </c>
      <c r="O4777" s="34">
        <f t="shared" si="75"/>
        <v>0.54377775247633942</v>
      </c>
    </row>
    <row r="4778" spans="13:15" x14ac:dyDescent="0.3">
      <c r="M4778" s="35">
        <v>32.200000000000003</v>
      </c>
      <c r="N4778">
        <v>305</v>
      </c>
      <c r="O4778" s="34">
        <f t="shared" si="75"/>
        <v>0.54389160878967202</v>
      </c>
    </row>
    <row r="4779" spans="13:15" x14ac:dyDescent="0.3">
      <c r="M4779" s="35">
        <v>32.21</v>
      </c>
      <c r="N4779">
        <v>305</v>
      </c>
      <c r="O4779" s="34">
        <f t="shared" si="75"/>
        <v>0.54400546510300463</v>
      </c>
    </row>
    <row r="4780" spans="13:15" x14ac:dyDescent="0.3">
      <c r="M4780" s="35">
        <v>32.21</v>
      </c>
      <c r="N4780">
        <v>305</v>
      </c>
      <c r="O4780" s="34">
        <f t="shared" si="75"/>
        <v>0.54411932141633723</v>
      </c>
    </row>
    <row r="4781" spans="13:15" x14ac:dyDescent="0.3">
      <c r="M4781" s="35">
        <v>32.21</v>
      </c>
      <c r="N4781">
        <v>305</v>
      </c>
      <c r="O4781" s="34">
        <f t="shared" si="75"/>
        <v>0.54423317772966984</v>
      </c>
    </row>
    <row r="4782" spans="13:15" x14ac:dyDescent="0.3">
      <c r="M4782" s="35">
        <v>32.21</v>
      </c>
      <c r="N4782">
        <v>305</v>
      </c>
      <c r="O4782" s="34">
        <f t="shared" si="75"/>
        <v>0.54434703404300244</v>
      </c>
    </row>
    <row r="4783" spans="13:15" x14ac:dyDescent="0.3">
      <c r="M4783" s="35">
        <v>32.22</v>
      </c>
      <c r="N4783">
        <v>305</v>
      </c>
      <c r="O4783" s="34">
        <f t="shared" si="75"/>
        <v>0.54446089035633505</v>
      </c>
    </row>
    <row r="4784" spans="13:15" x14ac:dyDescent="0.3">
      <c r="M4784" s="35">
        <v>32.22</v>
      </c>
      <c r="N4784">
        <v>305</v>
      </c>
      <c r="O4784" s="34">
        <f t="shared" si="75"/>
        <v>0.54457474666966765</v>
      </c>
    </row>
    <row r="4785" spans="13:15" x14ac:dyDescent="0.3">
      <c r="M4785" s="35">
        <v>32.22</v>
      </c>
      <c r="N4785">
        <v>305</v>
      </c>
      <c r="O4785" s="34">
        <f t="shared" si="75"/>
        <v>0.54468860298300026</v>
      </c>
    </row>
    <row r="4786" spans="13:15" x14ac:dyDescent="0.3">
      <c r="M4786" s="35">
        <v>32.229999999999997</v>
      </c>
      <c r="N4786">
        <v>305</v>
      </c>
      <c r="O4786" s="34">
        <f t="shared" si="75"/>
        <v>0.54480245929633286</v>
      </c>
    </row>
    <row r="4787" spans="13:15" x14ac:dyDescent="0.3">
      <c r="M4787" s="35">
        <v>32.229999999999997</v>
      </c>
      <c r="N4787">
        <v>305</v>
      </c>
      <c r="O4787" s="34">
        <f t="shared" si="75"/>
        <v>0.54491631560966547</v>
      </c>
    </row>
    <row r="4788" spans="13:15" x14ac:dyDescent="0.3">
      <c r="M4788" s="35">
        <v>32.24</v>
      </c>
      <c r="N4788">
        <v>305</v>
      </c>
      <c r="O4788" s="34">
        <f t="shared" si="75"/>
        <v>0.54503017192299807</v>
      </c>
    </row>
    <row r="4789" spans="13:15" x14ac:dyDescent="0.3">
      <c r="M4789" s="35">
        <v>32.24</v>
      </c>
      <c r="N4789">
        <v>305</v>
      </c>
      <c r="O4789" s="34">
        <f t="shared" si="75"/>
        <v>0.54514402823633068</v>
      </c>
    </row>
    <row r="4790" spans="13:15" x14ac:dyDescent="0.3">
      <c r="M4790" s="35">
        <v>32.24</v>
      </c>
      <c r="N4790">
        <v>305</v>
      </c>
      <c r="O4790" s="34">
        <f t="shared" si="75"/>
        <v>0.54525788454966329</v>
      </c>
    </row>
    <row r="4791" spans="13:15" x14ac:dyDescent="0.3">
      <c r="M4791" s="35">
        <v>32.25</v>
      </c>
      <c r="N4791">
        <v>305</v>
      </c>
      <c r="O4791" s="34">
        <f t="shared" si="75"/>
        <v>0.54537174086299589</v>
      </c>
    </row>
    <row r="4792" spans="13:15" x14ac:dyDescent="0.3">
      <c r="M4792" s="35">
        <v>32.25</v>
      </c>
      <c r="N4792">
        <v>305</v>
      </c>
      <c r="O4792" s="34">
        <f t="shared" si="75"/>
        <v>0.5454855971763285</v>
      </c>
    </row>
    <row r="4793" spans="13:15" x14ac:dyDescent="0.3">
      <c r="M4793" s="35">
        <v>32.25</v>
      </c>
      <c r="N4793">
        <v>305</v>
      </c>
      <c r="O4793" s="34">
        <f t="shared" si="75"/>
        <v>0.5455994534896611</v>
      </c>
    </row>
    <row r="4794" spans="13:15" x14ac:dyDescent="0.3">
      <c r="M4794" s="35">
        <v>32.25</v>
      </c>
      <c r="N4794">
        <v>305</v>
      </c>
      <c r="O4794" s="34">
        <f t="shared" si="75"/>
        <v>0.54571330980299371</v>
      </c>
    </row>
    <row r="4795" spans="13:15" x14ac:dyDescent="0.3">
      <c r="M4795" s="35">
        <v>32.26</v>
      </c>
      <c r="N4795">
        <v>305</v>
      </c>
      <c r="O4795" s="34">
        <f t="shared" si="75"/>
        <v>0.54582716611632631</v>
      </c>
    </row>
    <row r="4796" spans="13:15" x14ac:dyDescent="0.3">
      <c r="M4796" s="35">
        <v>32.26</v>
      </c>
      <c r="N4796">
        <v>305</v>
      </c>
      <c r="O4796" s="34">
        <f t="shared" si="75"/>
        <v>0.54594102242965892</v>
      </c>
    </row>
    <row r="4797" spans="13:15" x14ac:dyDescent="0.3">
      <c r="M4797" s="35">
        <v>32.270000000000003</v>
      </c>
      <c r="N4797">
        <v>305</v>
      </c>
      <c r="O4797" s="34">
        <f t="shared" si="75"/>
        <v>0.54605487874299152</v>
      </c>
    </row>
    <row r="4798" spans="13:15" x14ac:dyDescent="0.3">
      <c r="M4798" s="35">
        <v>32.270000000000003</v>
      </c>
      <c r="N4798">
        <v>305</v>
      </c>
      <c r="O4798" s="34">
        <f t="shared" si="75"/>
        <v>0.54616873505632413</v>
      </c>
    </row>
    <row r="4799" spans="13:15" x14ac:dyDescent="0.3">
      <c r="M4799" s="35">
        <v>32.28</v>
      </c>
      <c r="N4799">
        <v>305</v>
      </c>
      <c r="O4799" s="34">
        <f t="shared" si="75"/>
        <v>0.54628259136965673</v>
      </c>
    </row>
    <row r="4800" spans="13:15" x14ac:dyDescent="0.3">
      <c r="M4800" s="35">
        <v>32.28</v>
      </c>
      <c r="N4800">
        <v>305</v>
      </c>
      <c r="O4800" s="34">
        <f t="shared" si="75"/>
        <v>0.54639644768298934</v>
      </c>
    </row>
    <row r="4801" spans="13:15" x14ac:dyDescent="0.3">
      <c r="M4801" s="35">
        <v>32.29</v>
      </c>
      <c r="N4801">
        <v>305</v>
      </c>
      <c r="O4801" s="34">
        <f t="shared" si="75"/>
        <v>0.54651030399632194</v>
      </c>
    </row>
    <row r="4802" spans="13:15" x14ac:dyDescent="0.3">
      <c r="M4802" s="35">
        <v>32.29</v>
      </c>
      <c r="N4802">
        <v>305</v>
      </c>
      <c r="O4802" s="34">
        <f t="shared" si="75"/>
        <v>0.54662416030965455</v>
      </c>
    </row>
    <row r="4803" spans="13:15" x14ac:dyDescent="0.3">
      <c r="M4803" s="35">
        <v>32.29</v>
      </c>
      <c r="N4803">
        <v>305</v>
      </c>
      <c r="O4803" s="34">
        <f t="shared" si="75"/>
        <v>0.54673801662298716</v>
      </c>
    </row>
    <row r="4804" spans="13:15" x14ac:dyDescent="0.3">
      <c r="M4804" s="35">
        <v>32.299999999999997</v>
      </c>
      <c r="N4804">
        <v>305</v>
      </c>
      <c r="O4804" s="34">
        <f t="shared" ref="O4804:O4867" si="76">O4803+O$2</f>
        <v>0.54685187293631976</v>
      </c>
    </row>
    <row r="4805" spans="13:15" x14ac:dyDescent="0.3">
      <c r="M4805" s="35">
        <v>32.299999999999997</v>
      </c>
      <c r="N4805">
        <v>305</v>
      </c>
      <c r="O4805" s="34">
        <f t="shared" si="76"/>
        <v>0.54696572924965237</v>
      </c>
    </row>
    <row r="4806" spans="13:15" x14ac:dyDescent="0.3">
      <c r="M4806" s="35">
        <v>32.31</v>
      </c>
      <c r="N4806">
        <v>305</v>
      </c>
      <c r="O4806" s="34">
        <f t="shared" si="76"/>
        <v>0.54707958556298497</v>
      </c>
    </row>
    <row r="4807" spans="13:15" x14ac:dyDescent="0.3">
      <c r="M4807" s="35">
        <v>32.32</v>
      </c>
      <c r="N4807">
        <v>305</v>
      </c>
      <c r="O4807" s="34">
        <f t="shared" si="76"/>
        <v>0.54719344187631758</v>
      </c>
    </row>
    <row r="4808" spans="13:15" x14ac:dyDescent="0.3">
      <c r="M4808" s="35">
        <v>32.32</v>
      </c>
      <c r="N4808">
        <v>305</v>
      </c>
      <c r="O4808" s="34">
        <f t="shared" si="76"/>
        <v>0.54730729818965018</v>
      </c>
    </row>
    <row r="4809" spans="13:15" x14ac:dyDescent="0.3">
      <c r="M4809" s="35">
        <v>32.32</v>
      </c>
      <c r="N4809">
        <v>305</v>
      </c>
      <c r="O4809" s="34">
        <f t="shared" si="76"/>
        <v>0.54742115450298279</v>
      </c>
    </row>
    <row r="4810" spans="13:15" x14ac:dyDescent="0.3">
      <c r="M4810" s="35">
        <v>32.32</v>
      </c>
      <c r="N4810">
        <v>305</v>
      </c>
      <c r="O4810" s="34">
        <f t="shared" si="76"/>
        <v>0.54753501081631539</v>
      </c>
    </row>
    <row r="4811" spans="13:15" x14ac:dyDescent="0.3">
      <c r="M4811" s="35">
        <v>32.32</v>
      </c>
      <c r="N4811">
        <v>305</v>
      </c>
      <c r="O4811" s="34">
        <f t="shared" si="76"/>
        <v>0.547648867129648</v>
      </c>
    </row>
    <row r="4812" spans="13:15" x14ac:dyDescent="0.3">
      <c r="M4812" s="35">
        <v>32.340000000000003</v>
      </c>
      <c r="N4812">
        <v>305</v>
      </c>
      <c r="O4812" s="34">
        <f t="shared" si="76"/>
        <v>0.5477627234429806</v>
      </c>
    </row>
    <row r="4813" spans="13:15" x14ac:dyDescent="0.3">
      <c r="M4813" s="35">
        <v>32.340000000000003</v>
      </c>
      <c r="N4813">
        <v>305</v>
      </c>
      <c r="O4813" s="34">
        <f t="shared" si="76"/>
        <v>0.54787657975631321</v>
      </c>
    </row>
    <row r="4814" spans="13:15" x14ac:dyDescent="0.3">
      <c r="M4814" s="35">
        <v>32.340000000000003</v>
      </c>
      <c r="N4814">
        <v>305</v>
      </c>
      <c r="O4814" s="34">
        <f t="shared" si="76"/>
        <v>0.54799043606964581</v>
      </c>
    </row>
    <row r="4815" spans="13:15" x14ac:dyDescent="0.3">
      <c r="M4815" s="35">
        <v>32.35</v>
      </c>
      <c r="N4815">
        <v>305</v>
      </c>
      <c r="O4815" s="34">
        <f t="shared" si="76"/>
        <v>0.54810429238297842</v>
      </c>
    </row>
    <row r="4816" spans="13:15" x14ac:dyDescent="0.3">
      <c r="M4816" s="35">
        <v>32.35</v>
      </c>
      <c r="N4816">
        <v>305</v>
      </c>
      <c r="O4816" s="34">
        <f t="shared" si="76"/>
        <v>0.54821814869631103</v>
      </c>
    </row>
    <row r="4817" spans="13:15" x14ac:dyDescent="0.3">
      <c r="M4817" s="35">
        <v>32.35</v>
      </c>
      <c r="N4817">
        <v>305</v>
      </c>
      <c r="O4817" s="34">
        <f t="shared" si="76"/>
        <v>0.54833200500964363</v>
      </c>
    </row>
    <row r="4818" spans="13:15" x14ac:dyDescent="0.3">
      <c r="M4818" s="35">
        <v>32.35</v>
      </c>
      <c r="N4818">
        <v>305</v>
      </c>
      <c r="O4818" s="34">
        <f t="shared" si="76"/>
        <v>0.54844586132297624</v>
      </c>
    </row>
    <row r="4819" spans="13:15" x14ac:dyDescent="0.3">
      <c r="M4819" s="35">
        <v>32.369999999999997</v>
      </c>
      <c r="N4819">
        <v>305</v>
      </c>
      <c r="O4819" s="34">
        <f t="shared" si="76"/>
        <v>0.54855971763630884</v>
      </c>
    </row>
    <row r="4820" spans="13:15" x14ac:dyDescent="0.3">
      <c r="M4820" s="35">
        <v>32.380000000000003</v>
      </c>
      <c r="N4820">
        <v>305</v>
      </c>
      <c r="O4820" s="34">
        <f t="shared" si="76"/>
        <v>0.54867357394964145</v>
      </c>
    </row>
    <row r="4821" spans="13:15" x14ac:dyDescent="0.3">
      <c r="M4821" s="35">
        <v>32.380000000000003</v>
      </c>
      <c r="N4821">
        <v>305</v>
      </c>
      <c r="O4821" s="34">
        <f t="shared" si="76"/>
        <v>0.54878743026297405</v>
      </c>
    </row>
    <row r="4822" spans="13:15" x14ac:dyDescent="0.3">
      <c r="M4822" s="35">
        <v>32.380000000000003</v>
      </c>
      <c r="N4822">
        <v>305</v>
      </c>
      <c r="O4822" s="34">
        <f t="shared" si="76"/>
        <v>0.54890128657630666</v>
      </c>
    </row>
    <row r="4823" spans="13:15" x14ac:dyDescent="0.3">
      <c r="M4823" s="35">
        <v>32.380000000000003</v>
      </c>
      <c r="N4823">
        <v>305</v>
      </c>
      <c r="O4823" s="34">
        <f t="shared" si="76"/>
        <v>0.54901514288963926</v>
      </c>
    </row>
    <row r="4824" spans="13:15" x14ac:dyDescent="0.3">
      <c r="M4824" s="35">
        <v>32.380000000000003</v>
      </c>
      <c r="N4824">
        <v>305</v>
      </c>
      <c r="O4824" s="34">
        <f t="shared" si="76"/>
        <v>0.54912899920297187</v>
      </c>
    </row>
    <row r="4825" spans="13:15" x14ac:dyDescent="0.3">
      <c r="M4825" s="35">
        <v>32.39</v>
      </c>
      <c r="N4825">
        <v>305</v>
      </c>
      <c r="O4825" s="34">
        <f t="shared" si="76"/>
        <v>0.54924285551630447</v>
      </c>
    </row>
    <row r="4826" spans="13:15" x14ac:dyDescent="0.3">
      <c r="M4826" s="35">
        <v>32.4</v>
      </c>
      <c r="N4826">
        <v>305</v>
      </c>
      <c r="O4826" s="34">
        <f t="shared" si="76"/>
        <v>0.54935671182963708</v>
      </c>
    </row>
    <row r="4827" spans="13:15" x14ac:dyDescent="0.3">
      <c r="M4827" s="35">
        <v>32.4</v>
      </c>
      <c r="N4827">
        <v>305</v>
      </c>
      <c r="O4827" s="34">
        <f t="shared" si="76"/>
        <v>0.54947056814296968</v>
      </c>
    </row>
    <row r="4828" spans="13:15" x14ac:dyDescent="0.3">
      <c r="M4828" s="35">
        <v>32.409999999999997</v>
      </c>
      <c r="N4828">
        <v>305</v>
      </c>
      <c r="O4828" s="34">
        <f t="shared" si="76"/>
        <v>0.54958442445630229</v>
      </c>
    </row>
    <row r="4829" spans="13:15" x14ac:dyDescent="0.3">
      <c r="M4829" s="35">
        <v>32.409999999999997</v>
      </c>
      <c r="N4829">
        <v>305</v>
      </c>
      <c r="O4829" s="34">
        <f t="shared" si="76"/>
        <v>0.54969828076963489</v>
      </c>
    </row>
    <row r="4830" spans="13:15" x14ac:dyDescent="0.3">
      <c r="M4830" s="35">
        <v>32.43</v>
      </c>
      <c r="N4830">
        <v>305</v>
      </c>
      <c r="O4830" s="34">
        <f t="shared" si="76"/>
        <v>0.5498121370829675</v>
      </c>
    </row>
    <row r="4831" spans="13:15" x14ac:dyDescent="0.3">
      <c r="M4831" s="35">
        <v>32.43</v>
      </c>
      <c r="N4831">
        <v>305</v>
      </c>
      <c r="O4831" s="34">
        <f t="shared" si="76"/>
        <v>0.54992599339630011</v>
      </c>
    </row>
    <row r="4832" spans="13:15" x14ac:dyDescent="0.3">
      <c r="M4832" s="35">
        <v>32.43</v>
      </c>
      <c r="N4832">
        <v>305</v>
      </c>
      <c r="O4832" s="34">
        <f t="shared" si="76"/>
        <v>0.55003984970963271</v>
      </c>
    </row>
    <row r="4833" spans="13:15" x14ac:dyDescent="0.3">
      <c r="M4833" s="35">
        <v>32.44</v>
      </c>
      <c r="N4833">
        <v>305</v>
      </c>
      <c r="O4833" s="34">
        <f t="shared" si="76"/>
        <v>0.55015370602296532</v>
      </c>
    </row>
    <row r="4834" spans="13:15" x14ac:dyDescent="0.3">
      <c r="M4834" s="35">
        <v>32.44</v>
      </c>
      <c r="N4834">
        <v>305</v>
      </c>
      <c r="O4834" s="34">
        <f t="shared" si="76"/>
        <v>0.55026756233629792</v>
      </c>
    </row>
    <row r="4835" spans="13:15" x14ac:dyDescent="0.3">
      <c r="M4835" s="35">
        <v>32.44</v>
      </c>
      <c r="N4835">
        <v>305</v>
      </c>
      <c r="O4835" s="34">
        <f t="shared" si="76"/>
        <v>0.55038141864963053</v>
      </c>
    </row>
    <row r="4836" spans="13:15" x14ac:dyDescent="0.3">
      <c r="M4836" s="35">
        <v>32.450000000000003</v>
      </c>
      <c r="N4836">
        <v>305</v>
      </c>
      <c r="O4836" s="34">
        <f t="shared" si="76"/>
        <v>0.55049527496296313</v>
      </c>
    </row>
    <row r="4837" spans="13:15" x14ac:dyDescent="0.3">
      <c r="M4837" s="35">
        <v>32.450000000000003</v>
      </c>
      <c r="N4837">
        <v>305</v>
      </c>
      <c r="O4837" s="34">
        <f t="shared" si="76"/>
        <v>0.55060913127629574</v>
      </c>
    </row>
    <row r="4838" spans="13:15" x14ac:dyDescent="0.3">
      <c r="M4838" s="35">
        <v>32.450000000000003</v>
      </c>
      <c r="N4838">
        <v>305</v>
      </c>
      <c r="O4838" s="34">
        <f t="shared" si="76"/>
        <v>0.55072298758962834</v>
      </c>
    </row>
    <row r="4839" spans="13:15" x14ac:dyDescent="0.3">
      <c r="M4839" s="35">
        <v>32.450000000000003</v>
      </c>
      <c r="N4839">
        <v>305</v>
      </c>
      <c r="O4839" s="34">
        <f t="shared" si="76"/>
        <v>0.55083684390296095</v>
      </c>
    </row>
    <row r="4840" spans="13:15" x14ac:dyDescent="0.3">
      <c r="M4840" s="35">
        <v>32.450000000000003</v>
      </c>
      <c r="N4840">
        <v>305</v>
      </c>
      <c r="O4840" s="34">
        <f t="shared" si="76"/>
        <v>0.55095070021629355</v>
      </c>
    </row>
    <row r="4841" spans="13:15" x14ac:dyDescent="0.3">
      <c r="M4841" s="35">
        <v>32.46</v>
      </c>
      <c r="N4841">
        <v>305</v>
      </c>
      <c r="O4841" s="34">
        <f t="shared" si="76"/>
        <v>0.55106455652962616</v>
      </c>
    </row>
    <row r="4842" spans="13:15" x14ac:dyDescent="0.3">
      <c r="M4842" s="35">
        <v>32.46</v>
      </c>
      <c r="N4842">
        <v>305</v>
      </c>
      <c r="O4842" s="34">
        <f t="shared" si="76"/>
        <v>0.55117841284295876</v>
      </c>
    </row>
    <row r="4843" spans="13:15" x14ac:dyDescent="0.3">
      <c r="M4843" s="35">
        <v>32.46</v>
      </c>
      <c r="N4843">
        <v>305</v>
      </c>
      <c r="O4843" s="34">
        <f t="shared" si="76"/>
        <v>0.55129226915629137</v>
      </c>
    </row>
    <row r="4844" spans="13:15" x14ac:dyDescent="0.3">
      <c r="M4844" s="35">
        <v>32.47</v>
      </c>
      <c r="N4844">
        <v>305</v>
      </c>
      <c r="O4844" s="34">
        <f t="shared" si="76"/>
        <v>0.55140612546962398</v>
      </c>
    </row>
    <row r="4845" spans="13:15" x14ac:dyDescent="0.3">
      <c r="M4845" s="35">
        <v>32.47</v>
      </c>
      <c r="N4845">
        <v>305</v>
      </c>
      <c r="O4845" s="34">
        <f t="shared" si="76"/>
        <v>0.55151998178295658</v>
      </c>
    </row>
    <row r="4846" spans="13:15" x14ac:dyDescent="0.3">
      <c r="M4846" s="35">
        <v>32.479999999999997</v>
      </c>
      <c r="N4846">
        <v>305</v>
      </c>
      <c r="O4846" s="34">
        <f t="shared" si="76"/>
        <v>0.55163383809628919</v>
      </c>
    </row>
    <row r="4847" spans="13:15" x14ac:dyDescent="0.3">
      <c r="M4847" s="35">
        <v>32.479999999999997</v>
      </c>
      <c r="N4847">
        <v>305</v>
      </c>
      <c r="O4847" s="34">
        <f t="shared" si="76"/>
        <v>0.55174769440962179</v>
      </c>
    </row>
    <row r="4848" spans="13:15" x14ac:dyDescent="0.3">
      <c r="M4848" s="35">
        <v>32.479999999999997</v>
      </c>
      <c r="N4848">
        <v>305</v>
      </c>
      <c r="O4848" s="34">
        <f t="shared" si="76"/>
        <v>0.5518615507229544</v>
      </c>
    </row>
    <row r="4849" spans="13:15" x14ac:dyDescent="0.3">
      <c r="M4849" s="35">
        <v>32.49</v>
      </c>
      <c r="N4849">
        <v>305</v>
      </c>
      <c r="O4849" s="34">
        <f t="shared" si="76"/>
        <v>0.551975407036287</v>
      </c>
    </row>
    <row r="4850" spans="13:15" x14ac:dyDescent="0.3">
      <c r="M4850" s="35">
        <v>32.49</v>
      </c>
      <c r="N4850">
        <v>305</v>
      </c>
      <c r="O4850" s="34">
        <f t="shared" si="76"/>
        <v>0.55208926334961961</v>
      </c>
    </row>
    <row r="4851" spans="13:15" x14ac:dyDescent="0.3">
      <c r="M4851" s="35">
        <v>32.5</v>
      </c>
      <c r="N4851">
        <v>305</v>
      </c>
      <c r="O4851" s="34">
        <f t="shared" si="76"/>
        <v>0.55220311966295221</v>
      </c>
    </row>
    <row r="4852" spans="13:15" x14ac:dyDescent="0.3">
      <c r="M4852" s="35">
        <v>32.5</v>
      </c>
      <c r="N4852">
        <v>305</v>
      </c>
      <c r="O4852" s="34">
        <f t="shared" si="76"/>
        <v>0.55231697597628482</v>
      </c>
    </row>
    <row r="4853" spans="13:15" x14ac:dyDescent="0.3">
      <c r="M4853" s="35">
        <v>32.51</v>
      </c>
      <c r="N4853">
        <v>305</v>
      </c>
      <c r="O4853" s="34">
        <f t="shared" si="76"/>
        <v>0.55243083228961742</v>
      </c>
    </row>
    <row r="4854" spans="13:15" x14ac:dyDescent="0.3">
      <c r="M4854" s="35">
        <v>32.51</v>
      </c>
      <c r="N4854">
        <v>305</v>
      </c>
      <c r="O4854" s="34">
        <f t="shared" si="76"/>
        <v>0.55254468860295003</v>
      </c>
    </row>
    <row r="4855" spans="13:15" x14ac:dyDescent="0.3">
      <c r="M4855" s="35">
        <v>32.520000000000003</v>
      </c>
      <c r="N4855">
        <v>305</v>
      </c>
      <c r="O4855" s="34">
        <f t="shared" si="76"/>
        <v>0.55265854491628263</v>
      </c>
    </row>
    <row r="4856" spans="13:15" x14ac:dyDescent="0.3">
      <c r="M4856" s="35">
        <v>32.520000000000003</v>
      </c>
      <c r="N4856">
        <v>305</v>
      </c>
      <c r="O4856" s="34">
        <f t="shared" si="76"/>
        <v>0.55277240122961524</v>
      </c>
    </row>
    <row r="4857" spans="13:15" x14ac:dyDescent="0.3">
      <c r="M4857" s="35">
        <v>32.53</v>
      </c>
      <c r="N4857">
        <v>305</v>
      </c>
      <c r="O4857" s="34">
        <f t="shared" si="76"/>
        <v>0.55288625754294785</v>
      </c>
    </row>
    <row r="4858" spans="13:15" x14ac:dyDescent="0.3">
      <c r="M4858" s="35">
        <v>32.53</v>
      </c>
      <c r="N4858">
        <v>305</v>
      </c>
      <c r="O4858" s="34">
        <f t="shared" si="76"/>
        <v>0.55300011385628045</v>
      </c>
    </row>
    <row r="4859" spans="13:15" x14ac:dyDescent="0.3">
      <c r="M4859" s="35">
        <v>32.54</v>
      </c>
      <c r="N4859">
        <v>305</v>
      </c>
      <c r="O4859" s="34">
        <f t="shared" si="76"/>
        <v>0.55311397016961306</v>
      </c>
    </row>
    <row r="4860" spans="13:15" x14ac:dyDescent="0.3">
      <c r="M4860" s="35">
        <v>32.549999999999997</v>
      </c>
      <c r="N4860">
        <v>305</v>
      </c>
      <c r="O4860" s="34">
        <f t="shared" si="76"/>
        <v>0.55322782648294566</v>
      </c>
    </row>
    <row r="4861" spans="13:15" x14ac:dyDescent="0.3">
      <c r="M4861" s="35">
        <v>32.549999999999997</v>
      </c>
      <c r="N4861">
        <v>305</v>
      </c>
      <c r="O4861" s="34">
        <f t="shared" si="76"/>
        <v>0.55334168279627827</v>
      </c>
    </row>
    <row r="4862" spans="13:15" x14ac:dyDescent="0.3">
      <c r="M4862" s="35">
        <v>32.57</v>
      </c>
      <c r="N4862">
        <v>305</v>
      </c>
      <c r="O4862" s="34">
        <f t="shared" si="76"/>
        <v>0.55345553910961087</v>
      </c>
    </row>
    <row r="4863" spans="13:15" x14ac:dyDescent="0.3">
      <c r="M4863" s="35">
        <v>32.57</v>
      </c>
      <c r="N4863">
        <v>305</v>
      </c>
      <c r="O4863" s="34">
        <f t="shared" si="76"/>
        <v>0.55356939542294348</v>
      </c>
    </row>
    <row r="4864" spans="13:15" x14ac:dyDescent="0.3">
      <c r="M4864" s="35">
        <v>32.58</v>
      </c>
      <c r="N4864">
        <v>305</v>
      </c>
      <c r="O4864" s="34">
        <f t="shared" si="76"/>
        <v>0.55368325173627608</v>
      </c>
    </row>
    <row r="4865" spans="13:15" x14ac:dyDescent="0.3">
      <c r="M4865" s="35">
        <v>32.590000000000003</v>
      </c>
      <c r="N4865">
        <v>305</v>
      </c>
      <c r="O4865" s="34">
        <f t="shared" si="76"/>
        <v>0.55379710804960869</v>
      </c>
    </row>
    <row r="4866" spans="13:15" x14ac:dyDescent="0.3">
      <c r="M4866" s="35">
        <v>32.6</v>
      </c>
      <c r="N4866">
        <v>305</v>
      </c>
      <c r="O4866" s="34">
        <f t="shared" si="76"/>
        <v>0.55391096436294129</v>
      </c>
    </row>
    <row r="4867" spans="13:15" x14ac:dyDescent="0.3">
      <c r="M4867" s="35">
        <v>32.6</v>
      </c>
      <c r="N4867">
        <v>305</v>
      </c>
      <c r="O4867" s="34">
        <f t="shared" si="76"/>
        <v>0.5540248206762739</v>
      </c>
    </row>
    <row r="4868" spans="13:15" x14ac:dyDescent="0.3">
      <c r="M4868" s="35">
        <v>32.6</v>
      </c>
      <c r="N4868">
        <v>305</v>
      </c>
      <c r="O4868" s="34">
        <f t="shared" ref="O4868:O4931" si="77">O4867+O$2</f>
        <v>0.5541386769896065</v>
      </c>
    </row>
    <row r="4869" spans="13:15" x14ac:dyDescent="0.3">
      <c r="M4869" s="35">
        <v>32.61</v>
      </c>
      <c r="N4869">
        <v>305</v>
      </c>
      <c r="O4869" s="34">
        <f t="shared" si="77"/>
        <v>0.55425253330293911</v>
      </c>
    </row>
    <row r="4870" spans="13:15" x14ac:dyDescent="0.3">
      <c r="M4870" s="35">
        <v>32.61</v>
      </c>
      <c r="N4870">
        <v>305</v>
      </c>
      <c r="O4870" s="34">
        <f t="shared" si="77"/>
        <v>0.55436638961627172</v>
      </c>
    </row>
    <row r="4871" spans="13:15" x14ac:dyDescent="0.3">
      <c r="M4871" s="35">
        <v>32.61</v>
      </c>
      <c r="N4871">
        <v>305</v>
      </c>
      <c r="O4871" s="34">
        <f t="shared" si="77"/>
        <v>0.55448024592960432</v>
      </c>
    </row>
    <row r="4872" spans="13:15" x14ac:dyDescent="0.3">
      <c r="M4872" s="35">
        <v>32.61</v>
      </c>
      <c r="N4872">
        <v>305</v>
      </c>
      <c r="O4872" s="34">
        <f t="shared" si="77"/>
        <v>0.55459410224293693</v>
      </c>
    </row>
    <row r="4873" spans="13:15" x14ac:dyDescent="0.3">
      <c r="M4873" s="35">
        <v>32.619999999999997</v>
      </c>
      <c r="N4873">
        <v>305</v>
      </c>
      <c r="O4873" s="34">
        <f t="shared" si="77"/>
        <v>0.55470795855626953</v>
      </c>
    </row>
    <row r="4874" spans="13:15" x14ac:dyDescent="0.3">
      <c r="M4874" s="35">
        <v>32.619999999999997</v>
      </c>
      <c r="N4874">
        <v>305</v>
      </c>
      <c r="O4874" s="34">
        <f t="shared" si="77"/>
        <v>0.55482181486960214</v>
      </c>
    </row>
    <row r="4875" spans="13:15" x14ac:dyDescent="0.3">
      <c r="M4875" s="35">
        <v>32.630000000000003</v>
      </c>
      <c r="N4875">
        <v>305</v>
      </c>
      <c r="O4875" s="34">
        <f t="shared" si="77"/>
        <v>0.55493567118293474</v>
      </c>
    </row>
    <row r="4876" spans="13:15" x14ac:dyDescent="0.3">
      <c r="M4876" s="35">
        <v>32.630000000000003</v>
      </c>
      <c r="N4876">
        <v>305</v>
      </c>
      <c r="O4876" s="34">
        <f t="shared" si="77"/>
        <v>0.55504952749626735</v>
      </c>
    </row>
    <row r="4877" spans="13:15" x14ac:dyDescent="0.3">
      <c r="M4877" s="35">
        <v>32.64</v>
      </c>
      <c r="N4877">
        <v>305</v>
      </c>
      <c r="O4877" s="34">
        <f t="shared" si="77"/>
        <v>0.55516338380959995</v>
      </c>
    </row>
    <row r="4878" spans="13:15" x14ac:dyDescent="0.3">
      <c r="M4878" s="35">
        <v>32.65</v>
      </c>
      <c r="N4878">
        <v>305</v>
      </c>
      <c r="O4878" s="34">
        <f t="shared" si="77"/>
        <v>0.55527724012293256</v>
      </c>
    </row>
    <row r="4879" spans="13:15" x14ac:dyDescent="0.3">
      <c r="M4879" s="35">
        <v>32.65</v>
      </c>
      <c r="N4879">
        <v>305</v>
      </c>
      <c r="O4879" s="34">
        <f t="shared" si="77"/>
        <v>0.55539109643626516</v>
      </c>
    </row>
    <row r="4880" spans="13:15" x14ac:dyDescent="0.3">
      <c r="M4880" s="35">
        <v>32.659999999999997</v>
      </c>
      <c r="N4880">
        <v>305</v>
      </c>
      <c r="O4880" s="34">
        <f t="shared" si="77"/>
        <v>0.55550495274959777</v>
      </c>
    </row>
    <row r="4881" spans="13:15" x14ac:dyDescent="0.3">
      <c r="M4881" s="35">
        <v>32.659999999999997</v>
      </c>
      <c r="N4881">
        <v>305</v>
      </c>
      <c r="O4881" s="34">
        <f t="shared" si="77"/>
        <v>0.55561880906293037</v>
      </c>
    </row>
    <row r="4882" spans="13:15" x14ac:dyDescent="0.3">
      <c r="M4882" s="35">
        <v>32.68</v>
      </c>
      <c r="N4882">
        <v>305</v>
      </c>
      <c r="O4882" s="34">
        <f t="shared" si="77"/>
        <v>0.55573266537626298</v>
      </c>
    </row>
    <row r="4883" spans="13:15" x14ac:dyDescent="0.3">
      <c r="M4883" s="35">
        <v>32.68</v>
      </c>
      <c r="N4883">
        <v>305</v>
      </c>
      <c r="O4883" s="34">
        <f t="shared" si="77"/>
        <v>0.55584652168959559</v>
      </c>
    </row>
    <row r="4884" spans="13:15" x14ac:dyDescent="0.3">
      <c r="M4884" s="35">
        <v>32.69</v>
      </c>
      <c r="N4884">
        <v>305</v>
      </c>
      <c r="O4884" s="34">
        <f t="shared" si="77"/>
        <v>0.55596037800292819</v>
      </c>
    </row>
    <row r="4885" spans="13:15" x14ac:dyDescent="0.3">
      <c r="M4885" s="35">
        <v>32.69</v>
      </c>
      <c r="N4885">
        <v>305</v>
      </c>
      <c r="O4885" s="34">
        <f t="shared" si="77"/>
        <v>0.5560742343162608</v>
      </c>
    </row>
    <row r="4886" spans="13:15" x14ac:dyDescent="0.3">
      <c r="M4886" s="35">
        <v>32.69</v>
      </c>
      <c r="N4886">
        <v>305</v>
      </c>
      <c r="O4886" s="34">
        <f t="shared" si="77"/>
        <v>0.5561880906295934</v>
      </c>
    </row>
    <row r="4887" spans="13:15" x14ac:dyDescent="0.3">
      <c r="M4887" s="35">
        <v>32.71</v>
      </c>
      <c r="N4887">
        <v>305</v>
      </c>
      <c r="O4887" s="34">
        <f t="shared" si="77"/>
        <v>0.55630194694292601</v>
      </c>
    </row>
    <row r="4888" spans="13:15" x14ac:dyDescent="0.3">
      <c r="M4888" s="35">
        <v>32.71</v>
      </c>
      <c r="N4888">
        <v>305</v>
      </c>
      <c r="O4888" s="34">
        <f t="shared" si="77"/>
        <v>0.55641580325625861</v>
      </c>
    </row>
    <row r="4889" spans="13:15" x14ac:dyDescent="0.3">
      <c r="M4889" s="35">
        <v>32.71</v>
      </c>
      <c r="N4889">
        <v>305</v>
      </c>
      <c r="O4889" s="34">
        <f t="shared" si="77"/>
        <v>0.55652965956959122</v>
      </c>
    </row>
    <row r="4890" spans="13:15" x14ac:dyDescent="0.3">
      <c r="M4890" s="35">
        <v>32.72</v>
      </c>
      <c r="N4890">
        <v>305</v>
      </c>
      <c r="O4890" s="34">
        <f t="shared" si="77"/>
        <v>0.55664351588292382</v>
      </c>
    </row>
    <row r="4891" spans="13:15" x14ac:dyDescent="0.3">
      <c r="M4891" s="35">
        <v>32.72</v>
      </c>
      <c r="N4891">
        <v>305</v>
      </c>
      <c r="O4891" s="34">
        <f t="shared" si="77"/>
        <v>0.55675737219625643</v>
      </c>
    </row>
    <row r="4892" spans="13:15" x14ac:dyDescent="0.3">
      <c r="M4892" s="35">
        <v>32.729999999999997</v>
      </c>
      <c r="N4892">
        <v>305</v>
      </c>
      <c r="O4892" s="34">
        <f t="shared" si="77"/>
        <v>0.55687122850958903</v>
      </c>
    </row>
    <row r="4893" spans="13:15" x14ac:dyDescent="0.3">
      <c r="M4893" s="35">
        <v>32.729999999999997</v>
      </c>
      <c r="N4893">
        <v>305</v>
      </c>
      <c r="O4893" s="34">
        <f t="shared" si="77"/>
        <v>0.55698508482292164</v>
      </c>
    </row>
    <row r="4894" spans="13:15" x14ac:dyDescent="0.3">
      <c r="M4894" s="35">
        <v>32.75</v>
      </c>
      <c r="N4894">
        <v>305</v>
      </c>
      <c r="O4894" s="34">
        <f t="shared" si="77"/>
        <v>0.55709894113625424</v>
      </c>
    </row>
    <row r="4895" spans="13:15" x14ac:dyDescent="0.3">
      <c r="M4895" s="35">
        <v>32.76</v>
      </c>
      <c r="N4895">
        <v>305</v>
      </c>
      <c r="O4895" s="34">
        <f t="shared" si="77"/>
        <v>0.55721279744958685</v>
      </c>
    </row>
    <row r="4896" spans="13:15" x14ac:dyDescent="0.3">
      <c r="M4896" s="35">
        <v>32.76</v>
      </c>
      <c r="N4896">
        <v>305</v>
      </c>
      <c r="O4896" s="34">
        <f t="shared" si="77"/>
        <v>0.55732665376291946</v>
      </c>
    </row>
    <row r="4897" spans="13:15" x14ac:dyDescent="0.3">
      <c r="M4897" s="35">
        <v>32.76</v>
      </c>
      <c r="N4897">
        <v>305</v>
      </c>
      <c r="O4897" s="34">
        <f t="shared" si="77"/>
        <v>0.55744051007625206</v>
      </c>
    </row>
    <row r="4898" spans="13:15" x14ac:dyDescent="0.3">
      <c r="M4898" s="35">
        <v>32.76</v>
      </c>
      <c r="N4898">
        <v>305</v>
      </c>
      <c r="O4898" s="34">
        <f t="shared" si="77"/>
        <v>0.55755436638958467</v>
      </c>
    </row>
    <row r="4899" spans="13:15" x14ac:dyDescent="0.3">
      <c r="M4899" s="35">
        <v>32.770000000000003</v>
      </c>
      <c r="N4899">
        <v>305</v>
      </c>
      <c r="O4899" s="34">
        <f t="shared" si="77"/>
        <v>0.55766822270291727</v>
      </c>
    </row>
    <row r="4900" spans="13:15" x14ac:dyDescent="0.3">
      <c r="M4900" s="35">
        <v>32.770000000000003</v>
      </c>
      <c r="N4900">
        <v>305</v>
      </c>
      <c r="O4900" s="34">
        <f t="shared" si="77"/>
        <v>0.55778207901624988</v>
      </c>
    </row>
    <row r="4901" spans="13:15" x14ac:dyDescent="0.3">
      <c r="M4901" s="35">
        <v>32.78</v>
      </c>
      <c r="N4901">
        <v>305</v>
      </c>
      <c r="O4901" s="34">
        <f t="shared" si="77"/>
        <v>0.55789593532958248</v>
      </c>
    </row>
    <row r="4902" spans="13:15" x14ac:dyDescent="0.3">
      <c r="M4902" s="35">
        <v>32.78</v>
      </c>
      <c r="N4902">
        <v>305</v>
      </c>
      <c r="O4902" s="34">
        <f t="shared" si="77"/>
        <v>0.55800979164291509</v>
      </c>
    </row>
    <row r="4903" spans="13:15" x14ac:dyDescent="0.3">
      <c r="M4903" s="35">
        <v>32.78</v>
      </c>
      <c r="N4903">
        <v>305</v>
      </c>
      <c r="O4903" s="34">
        <f t="shared" si="77"/>
        <v>0.55812364795624769</v>
      </c>
    </row>
    <row r="4904" spans="13:15" x14ac:dyDescent="0.3">
      <c r="M4904" s="35">
        <v>32.79</v>
      </c>
      <c r="N4904">
        <v>305</v>
      </c>
      <c r="O4904" s="34">
        <f t="shared" si="77"/>
        <v>0.5582375042695803</v>
      </c>
    </row>
    <row r="4905" spans="13:15" x14ac:dyDescent="0.3">
      <c r="M4905" s="35">
        <v>32.79</v>
      </c>
      <c r="N4905">
        <v>305</v>
      </c>
      <c r="O4905" s="34">
        <f t="shared" si="77"/>
        <v>0.5583513605829129</v>
      </c>
    </row>
    <row r="4906" spans="13:15" x14ac:dyDescent="0.3">
      <c r="M4906" s="35">
        <v>32.79</v>
      </c>
      <c r="N4906">
        <v>305</v>
      </c>
      <c r="O4906" s="34">
        <f t="shared" si="77"/>
        <v>0.55846521689624551</v>
      </c>
    </row>
    <row r="4907" spans="13:15" x14ac:dyDescent="0.3">
      <c r="M4907" s="35">
        <v>32.79</v>
      </c>
      <c r="N4907">
        <v>305</v>
      </c>
      <c r="O4907" s="34">
        <f t="shared" si="77"/>
        <v>0.55857907320957811</v>
      </c>
    </row>
    <row r="4908" spans="13:15" x14ac:dyDescent="0.3">
      <c r="M4908" s="35">
        <v>32.79</v>
      </c>
      <c r="N4908">
        <v>305</v>
      </c>
      <c r="O4908" s="34">
        <f t="shared" si="77"/>
        <v>0.55869292952291072</v>
      </c>
    </row>
    <row r="4909" spans="13:15" x14ac:dyDescent="0.3">
      <c r="M4909" s="35">
        <v>32.799999999999997</v>
      </c>
      <c r="N4909">
        <v>305</v>
      </c>
      <c r="O4909" s="34">
        <f t="shared" si="77"/>
        <v>0.55880678583624332</v>
      </c>
    </row>
    <row r="4910" spans="13:15" x14ac:dyDescent="0.3">
      <c r="M4910" s="35">
        <v>32.799999999999997</v>
      </c>
      <c r="N4910">
        <v>305</v>
      </c>
      <c r="O4910" s="34">
        <f t="shared" si="77"/>
        <v>0.55892064214957593</v>
      </c>
    </row>
    <row r="4911" spans="13:15" x14ac:dyDescent="0.3">
      <c r="M4911" s="35">
        <v>32.799999999999997</v>
      </c>
      <c r="N4911">
        <v>305</v>
      </c>
      <c r="O4911" s="34">
        <f t="shared" si="77"/>
        <v>0.55903449846290854</v>
      </c>
    </row>
    <row r="4912" spans="13:15" x14ac:dyDescent="0.3">
      <c r="M4912" s="35">
        <v>32.799999999999997</v>
      </c>
      <c r="N4912">
        <v>305</v>
      </c>
      <c r="O4912" s="34">
        <f t="shared" si="77"/>
        <v>0.55914835477624114</v>
      </c>
    </row>
    <row r="4913" spans="13:15" x14ac:dyDescent="0.3">
      <c r="M4913" s="35">
        <v>32.799999999999997</v>
      </c>
      <c r="N4913">
        <v>305</v>
      </c>
      <c r="O4913" s="34">
        <f t="shared" si="77"/>
        <v>0.55926221108957375</v>
      </c>
    </row>
    <row r="4914" spans="13:15" x14ac:dyDescent="0.3">
      <c r="M4914" s="35">
        <v>32.799999999999997</v>
      </c>
      <c r="N4914">
        <v>305</v>
      </c>
      <c r="O4914" s="34">
        <f t="shared" si="77"/>
        <v>0.55937606740290635</v>
      </c>
    </row>
    <row r="4915" spans="13:15" x14ac:dyDescent="0.3">
      <c r="M4915" s="35">
        <v>32.81</v>
      </c>
      <c r="N4915">
        <v>305</v>
      </c>
      <c r="O4915" s="34">
        <f t="shared" si="77"/>
        <v>0.55948992371623896</v>
      </c>
    </row>
    <row r="4916" spans="13:15" x14ac:dyDescent="0.3">
      <c r="M4916" s="35">
        <v>32.82</v>
      </c>
      <c r="N4916">
        <v>305</v>
      </c>
      <c r="O4916" s="34">
        <f t="shared" si="77"/>
        <v>0.55960378002957156</v>
      </c>
    </row>
    <row r="4917" spans="13:15" x14ac:dyDescent="0.3">
      <c r="M4917" s="35">
        <v>32.82</v>
      </c>
      <c r="N4917">
        <v>305</v>
      </c>
      <c r="O4917" s="34">
        <f t="shared" si="77"/>
        <v>0.55971763634290417</v>
      </c>
    </row>
    <row r="4918" spans="13:15" x14ac:dyDescent="0.3">
      <c r="M4918" s="35">
        <v>32.82</v>
      </c>
      <c r="N4918">
        <v>305</v>
      </c>
      <c r="O4918" s="34">
        <f t="shared" si="77"/>
        <v>0.55983149265623677</v>
      </c>
    </row>
    <row r="4919" spans="13:15" x14ac:dyDescent="0.3">
      <c r="M4919" s="35">
        <v>32.82</v>
      </c>
      <c r="N4919">
        <v>305</v>
      </c>
      <c r="O4919" s="34">
        <f t="shared" si="77"/>
        <v>0.55994534896956938</v>
      </c>
    </row>
    <row r="4920" spans="13:15" x14ac:dyDescent="0.3">
      <c r="M4920" s="35">
        <v>32.82</v>
      </c>
      <c r="N4920">
        <v>305</v>
      </c>
      <c r="O4920" s="34">
        <f t="shared" si="77"/>
        <v>0.56005920528290198</v>
      </c>
    </row>
    <row r="4921" spans="13:15" x14ac:dyDescent="0.3">
      <c r="M4921" s="35">
        <v>32.83</v>
      </c>
      <c r="N4921">
        <v>305</v>
      </c>
      <c r="O4921" s="34">
        <f t="shared" si="77"/>
        <v>0.56017306159623459</v>
      </c>
    </row>
    <row r="4922" spans="13:15" x14ac:dyDescent="0.3">
      <c r="M4922" s="35">
        <v>32.840000000000003</v>
      </c>
      <c r="N4922">
        <v>305</v>
      </c>
      <c r="O4922" s="34">
        <f t="shared" si="77"/>
        <v>0.56028691790956719</v>
      </c>
    </row>
    <row r="4923" spans="13:15" x14ac:dyDescent="0.3">
      <c r="M4923" s="35">
        <v>32.840000000000003</v>
      </c>
      <c r="N4923">
        <v>305</v>
      </c>
      <c r="O4923" s="34">
        <f t="shared" si="77"/>
        <v>0.5604007742228998</v>
      </c>
    </row>
    <row r="4924" spans="13:15" x14ac:dyDescent="0.3">
      <c r="M4924" s="35">
        <v>32.840000000000003</v>
      </c>
      <c r="N4924">
        <v>305</v>
      </c>
      <c r="O4924" s="34">
        <f t="shared" si="77"/>
        <v>0.56051463053623241</v>
      </c>
    </row>
    <row r="4925" spans="13:15" x14ac:dyDescent="0.3">
      <c r="M4925" s="35">
        <v>32.85</v>
      </c>
      <c r="N4925">
        <v>305</v>
      </c>
      <c r="O4925" s="34">
        <f t="shared" si="77"/>
        <v>0.56062848684956501</v>
      </c>
    </row>
    <row r="4926" spans="13:15" x14ac:dyDescent="0.3">
      <c r="M4926" s="35">
        <v>32.85</v>
      </c>
      <c r="N4926">
        <v>305</v>
      </c>
      <c r="O4926" s="34">
        <f t="shared" si="77"/>
        <v>0.56074234316289762</v>
      </c>
    </row>
    <row r="4927" spans="13:15" x14ac:dyDescent="0.3">
      <c r="M4927" s="35">
        <v>32.86</v>
      </c>
      <c r="N4927">
        <v>305</v>
      </c>
      <c r="O4927" s="34">
        <f t="shared" si="77"/>
        <v>0.56085619947623022</v>
      </c>
    </row>
    <row r="4928" spans="13:15" x14ac:dyDescent="0.3">
      <c r="M4928" s="35">
        <v>32.86</v>
      </c>
      <c r="N4928">
        <v>305</v>
      </c>
      <c r="O4928" s="34">
        <f t="shared" si="77"/>
        <v>0.56097005578956283</v>
      </c>
    </row>
    <row r="4929" spans="13:15" x14ac:dyDescent="0.3">
      <c r="M4929" s="35">
        <v>32.86</v>
      </c>
      <c r="N4929">
        <v>305</v>
      </c>
      <c r="O4929" s="34">
        <f t="shared" si="77"/>
        <v>0.56108391210289543</v>
      </c>
    </row>
    <row r="4930" spans="13:15" x14ac:dyDescent="0.3">
      <c r="M4930" s="35">
        <v>32.86</v>
      </c>
      <c r="N4930">
        <v>305</v>
      </c>
      <c r="O4930" s="34">
        <f t="shared" si="77"/>
        <v>0.56119776841622804</v>
      </c>
    </row>
    <row r="4931" spans="13:15" x14ac:dyDescent="0.3">
      <c r="M4931" s="35">
        <v>32.880000000000003</v>
      </c>
      <c r="N4931">
        <v>305</v>
      </c>
      <c r="O4931" s="34">
        <f t="shared" si="77"/>
        <v>0.56131162472956064</v>
      </c>
    </row>
    <row r="4932" spans="13:15" x14ac:dyDescent="0.3">
      <c r="M4932" s="35">
        <v>32.880000000000003</v>
      </c>
      <c r="N4932">
        <v>305</v>
      </c>
      <c r="O4932" s="34">
        <f t="shared" ref="O4932:O4995" si="78">O4931+O$2</f>
        <v>0.56142548104289325</v>
      </c>
    </row>
    <row r="4933" spans="13:15" x14ac:dyDescent="0.3">
      <c r="M4933" s="35">
        <v>32.880000000000003</v>
      </c>
      <c r="N4933">
        <v>305</v>
      </c>
      <c r="O4933" s="34">
        <f t="shared" si="78"/>
        <v>0.56153933735622585</v>
      </c>
    </row>
    <row r="4934" spans="13:15" x14ac:dyDescent="0.3">
      <c r="M4934" s="35">
        <v>32.880000000000003</v>
      </c>
      <c r="N4934">
        <v>305</v>
      </c>
      <c r="O4934" s="34">
        <f t="shared" si="78"/>
        <v>0.56165319366955846</v>
      </c>
    </row>
    <row r="4935" spans="13:15" x14ac:dyDescent="0.3">
      <c r="M4935" s="35">
        <v>32.880000000000003</v>
      </c>
      <c r="N4935">
        <v>305</v>
      </c>
      <c r="O4935" s="34">
        <f t="shared" si="78"/>
        <v>0.56176704998289106</v>
      </c>
    </row>
    <row r="4936" spans="13:15" x14ac:dyDescent="0.3">
      <c r="M4936" s="35">
        <v>32.880000000000003</v>
      </c>
      <c r="N4936">
        <v>305</v>
      </c>
      <c r="O4936" s="34">
        <f t="shared" si="78"/>
        <v>0.56188090629622367</v>
      </c>
    </row>
    <row r="4937" spans="13:15" x14ac:dyDescent="0.3">
      <c r="M4937" s="35">
        <v>32.9</v>
      </c>
      <c r="N4937">
        <v>305</v>
      </c>
      <c r="O4937" s="34">
        <f t="shared" si="78"/>
        <v>0.56199476260955628</v>
      </c>
    </row>
    <row r="4938" spans="13:15" x14ac:dyDescent="0.3">
      <c r="M4938" s="35">
        <v>32.909999999999997</v>
      </c>
      <c r="N4938">
        <v>305</v>
      </c>
      <c r="O4938" s="34">
        <f t="shared" si="78"/>
        <v>0.56210861892288888</v>
      </c>
    </row>
    <row r="4939" spans="13:15" x14ac:dyDescent="0.3">
      <c r="M4939" s="35">
        <v>32.92</v>
      </c>
      <c r="N4939">
        <v>305</v>
      </c>
      <c r="O4939" s="34">
        <f t="shared" si="78"/>
        <v>0.56222247523622149</v>
      </c>
    </row>
    <row r="4940" spans="13:15" x14ac:dyDescent="0.3">
      <c r="M4940" s="35">
        <v>32.92</v>
      </c>
      <c r="N4940">
        <v>305</v>
      </c>
      <c r="O4940" s="34">
        <f t="shared" si="78"/>
        <v>0.56233633154955409</v>
      </c>
    </row>
    <row r="4941" spans="13:15" x14ac:dyDescent="0.3">
      <c r="M4941" s="35">
        <v>32.950000000000003</v>
      </c>
      <c r="N4941">
        <v>305</v>
      </c>
      <c r="O4941" s="34">
        <f t="shared" si="78"/>
        <v>0.5624501878628867</v>
      </c>
    </row>
    <row r="4942" spans="13:15" x14ac:dyDescent="0.3">
      <c r="M4942" s="35">
        <v>32.950000000000003</v>
      </c>
      <c r="N4942">
        <v>305</v>
      </c>
      <c r="O4942" s="34">
        <f t="shared" si="78"/>
        <v>0.5625640441762193</v>
      </c>
    </row>
    <row r="4943" spans="13:15" x14ac:dyDescent="0.3">
      <c r="M4943" s="35">
        <v>32.950000000000003</v>
      </c>
      <c r="N4943">
        <v>305</v>
      </c>
      <c r="O4943" s="34">
        <f t="shared" si="78"/>
        <v>0.56267790048955191</v>
      </c>
    </row>
    <row r="4944" spans="13:15" x14ac:dyDescent="0.3">
      <c r="M4944" s="35">
        <v>32.96</v>
      </c>
      <c r="N4944">
        <v>305</v>
      </c>
      <c r="O4944" s="34">
        <f t="shared" si="78"/>
        <v>0.56279175680288451</v>
      </c>
    </row>
    <row r="4945" spans="13:15" x14ac:dyDescent="0.3">
      <c r="M4945" s="35">
        <v>32.96</v>
      </c>
      <c r="N4945">
        <v>305</v>
      </c>
      <c r="O4945" s="34">
        <f t="shared" si="78"/>
        <v>0.56290561311621712</v>
      </c>
    </row>
    <row r="4946" spans="13:15" x14ac:dyDescent="0.3">
      <c r="M4946" s="35">
        <v>32.96</v>
      </c>
      <c r="N4946">
        <v>305</v>
      </c>
      <c r="O4946" s="34">
        <f t="shared" si="78"/>
        <v>0.56301946942954972</v>
      </c>
    </row>
    <row r="4947" spans="13:15" x14ac:dyDescent="0.3">
      <c r="M4947" s="35">
        <v>32.97</v>
      </c>
      <c r="N4947">
        <v>305</v>
      </c>
      <c r="O4947" s="34">
        <f t="shared" si="78"/>
        <v>0.56313332574288233</v>
      </c>
    </row>
    <row r="4948" spans="13:15" x14ac:dyDescent="0.3">
      <c r="M4948" s="35">
        <v>32.97</v>
      </c>
      <c r="N4948">
        <v>305</v>
      </c>
      <c r="O4948" s="34">
        <f t="shared" si="78"/>
        <v>0.56324718205621493</v>
      </c>
    </row>
    <row r="4949" spans="13:15" x14ac:dyDescent="0.3">
      <c r="M4949" s="35">
        <v>32.979999999999997</v>
      </c>
      <c r="N4949">
        <v>305</v>
      </c>
      <c r="O4949" s="34">
        <f t="shared" si="78"/>
        <v>0.56336103836954754</v>
      </c>
    </row>
    <row r="4950" spans="13:15" x14ac:dyDescent="0.3">
      <c r="M4950" s="35">
        <v>32.979999999999997</v>
      </c>
      <c r="N4950">
        <v>305</v>
      </c>
      <c r="O4950" s="34">
        <f t="shared" si="78"/>
        <v>0.56347489468288015</v>
      </c>
    </row>
    <row r="4951" spans="13:15" x14ac:dyDescent="0.3">
      <c r="M4951" s="35">
        <v>32.979999999999997</v>
      </c>
      <c r="N4951">
        <v>305</v>
      </c>
      <c r="O4951" s="34">
        <f t="shared" si="78"/>
        <v>0.56358875099621275</v>
      </c>
    </row>
    <row r="4952" spans="13:15" x14ac:dyDescent="0.3">
      <c r="M4952" s="35">
        <v>33</v>
      </c>
      <c r="N4952">
        <v>305</v>
      </c>
      <c r="O4952" s="34">
        <f t="shared" si="78"/>
        <v>0.56370260730954536</v>
      </c>
    </row>
    <row r="4953" spans="13:15" x14ac:dyDescent="0.3">
      <c r="M4953" s="35">
        <v>33.01</v>
      </c>
      <c r="N4953">
        <v>305</v>
      </c>
      <c r="O4953" s="34">
        <f t="shared" si="78"/>
        <v>0.56381646362287796</v>
      </c>
    </row>
    <row r="4954" spans="13:15" x14ac:dyDescent="0.3">
      <c r="M4954" s="35">
        <v>33.01</v>
      </c>
      <c r="N4954">
        <v>305</v>
      </c>
      <c r="O4954" s="34">
        <f t="shared" si="78"/>
        <v>0.56393031993621057</v>
      </c>
    </row>
    <row r="4955" spans="13:15" x14ac:dyDescent="0.3">
      <c r="M4955" s="35">
        <v>33.03</v>
      </c>
      <c r="N4955">
        <v>305</v>
      </c>
      <c r="O4955" s="34">
        <f t="shared" si="78"/>
        <v>0.56404417624954317</v>
      </c>
    </row>
    <row r="4956" spans="13:15" x14ac:dyDescent="0.3">
      <c r="M4956" s="35">
        <v>33.03</v>
      </c>
      <c r="N4956">
        <v>305</v>
      </c>
      <c r="O4956" s="34">
        <f t="shared" si="78"/>
        <v>0.56415803256287578</v>
      </c>
    </row>
    <row r="4957" spans="13:15" x14ac:dyDescent="0.3">
      <c r="M4957" s="35">
        <v>33.04</v>
      </c>
      <c r="N4957">
        <v>305</v>
      </c>
      <c r="O4957" s="34">
        <f t="shared" si="78"/>
        <v>0.56427188887620838</v>
      </c>
    </row>
    <row r="4958" spans="13:15" x14ac:dyDescent="0.3">
      <c r="M4958" s="35">
        <v>33.04</v>
      </c>
      <c r="N4958">
        <v>305</v>
      </c>
      <c r="O4958" s="34">
        <f t="shared" si="78"/>
        <v>0.56438574518954099</v>
      </c>
    </row>
    <row r="4959" spans="13:15" x14ac:dyDescent="0.3">
      <c r="M4959" s="35">
        <v>33.049999999999997</v>
      </c>
      <c r="N4959">
        <v>305</v>
      </c>
      <c r="O4959" s="34">
        <f t="shared" si="78"/>
        <v>0.56449960150287359</v>
      </c>
    </row>
    <row r="4960" spans="13:15" x14ac:dyDescent="0.3">
      <c r="M4960" s="35">
        <v>33.049999999999997</v>
      </c>
      <c r="N4960">
        <v>305</v>
      </c>
      <c r="O4960" s="34">
        <f t="shared" si="78"/>
        <v>0.5646134578162062</v>
      </c>
    </row>
    <row r="4961" spans="13:15" x14ac:dyDescent="0.3">
      <c r="M4961" s="35">
        <v>33.049999999999997</v>
      </c>
      <c r="N4961">
        <v>305</v>
      </c>
      <c r="O4961" s="34">
        <f t="shared" si="78"/>
        <v>0.5647273141295388</v>
      </c>
    </row>
    <row r="4962" spans="13:15" x14ac:dyDescent="0.3">
      <c r="M4962" s="35">
        <v>33.06</v>
      </c>
      <c r="N4962">
        <v>305</v>
      </c>
      <c r="O4962" s="34">
        <f t="shared" si="78"/>
        <v>0.56484117044287141</v>
      </c>
    </row>
    <row r="4963" spans="13:15" x14ac:dyDescent="0.3">
      <c r="M4963" s="35">
        <v>33.08</v>
      </c>
      <c r="N4963">
        <v>305</v>
      </c>
      <c r="O4963" s="34">
        <f t="shared" si="78"/>
        <v>0.56495502675620402</v>
      </c>
    </row>
    <row r="4964" spans="13:15" x14ac:dyDescent="0.3">
      <c r="M4964" s="35">
        <v>33.090000000000003</v>
      </c>
      <c r="N4964">
        <v>305</v>
      </c>
      <c r="O4964" s="34">
        <f t="shared" si="78"/>
        <v>0.56506888306953662</v>
      </c>
    </row>
    <row r="4965" spans="13:15" x14ac:dyDescent="0.3">
      <c r="M4965" s="35">
        <v>33.1</v>
      </c>
      <c r="N4965">
        <v>305</v>
      </c>
      <c r="O4965" s="34">
        <f t="shared" si="78"/>
        <v>0.56518273938286923</v>
      </c>
    </row>
    <row r="4966" spans="13:15" x14ac:dyDescent="0.3">
      <c r="M4966" s="35">
        <v>33.1</v>
      </c>
      <c r="N4966">
        <v>305</v>
      </c>
      <c r="O4966" s="34">
        <f t="shared" si="78"/>
        <v>0.56529659569620183</v>
      </c>
    </row>
    <row r="4967" spans="13:15" x14ac:dyDescent="0.3">
      <c r="M4967" s="35">
        <v>33.1</v>
      </c>
      <c r="N4967">
        <v>305</v>
      </c>
      <c r="O4967" s="34">
        <f t="shared" si="78"/>
        <v>0.56541045200953444</v>
      </c>
    </row>
    <row r="4968" spans="13:15" x14ac:dyDescent="0.3">
      <c r="M4968" s="35">
        <v>33.11</v>
      </c>
      <c r="N4968">
        <v>305</v>
      </c>
      <c r="O4968" s="34">
        <f t="shared" si="78"/>
        <v>0.56552430832286704</v>
      </c>
    </row>
    <row r="4969" spans="13:15" x14ac:dyDescent="0.3">
      <c r="M4969" s="35">
        <v>33.11</v>
      </c>
      <c r="N4969">
        <v>305</v>
      </c>
      <c r="O4969" s="34">
        <f t="shared" si="78"/>
        <v>0.56563816463619965</v>
      </c>
    </row>
    <row r="4970" spans="13:15" x14ac:dyDescent="0.3">
      <c r="M4970" s="35">
        <v>33.119999999999997</v>
      </c>
      <c r="N4970">
        <v>305</v>
      </c>
      <c r="O4970" s="34">
        <f t="shared" si="78"/>
        <v>0.56575202094953225</v>
      </c>
    </row>
    <row r="4971" spans="13:15" x14ac:dyDescent="0.3">
      <c r="M4971" s="35">
        <v>33.119999999999997</v>
      </c>
      <c r="N4971">
        <v>305</v>
      </c>
      <c r="O4971" s="34">
        <f t="shared" si="78"/>
        <v>0.56586587726286486</v>
      </c>
    </row>
    <row r="4972" spans="13:15" x14ac:dyDescent="0.3">
      <c r="M4972" s="35">
        <v>33.14</v>
      </c>
      <c r="N4972">
        <v>305</v>
      </c>
      <c r="O4972" s="34">
        <f t="shared" si="78"/>
        <v>0.56597973357619746</v>
      </c>
    </row>
    <row r="4973" spans="13:15" x14ac:dyDescent="0.3">
      <c r="M4973" s="35">
        <v>33.14</v>
      </c>
      <c r="N4973">
        <v>305</v>
      </c>
      <c r="O4973" s="34">
        <f t="shared" si="78"/>
        <v>0.56609358988953007</v>
      </c>
    </row>
    <row r="4974" spans="13:15" x14ac:dyDescent="0.3">
      <c r="M4974" s="35">
        <v>33.15</v>
      </c>
      <c r="N4974">
        <v>305</v>
      </c>
      <c r="O4974" s="34">
        <f t="shared" si="78"/>
        <v>0.56620744620286267</v>
      </c>
    </row>
    <row r="4975" spans="13:15" x14ac:dyDescent="0.3">
      <c r="M4975" s="35">
        <v>33.15</v>
      </c>
      <c r="N4975">
        <v>305</v>
      </c>
      <c r="O4975" s="34">
        <f t="shared" si="78"/>
        <v>0.56632130251619528</v>
      </c>
    </row>
    <row r="4976" spans="13:15" x14ac:dyDescent="0.3">
      <c r="M4976" s="35">
        <v>33.159999999999997</v>
      </c>
      <c r="N4976">
        <v>305</v>
      </c>
      <c r="O4976" s="34">
        <f t="shared" si="78"/>
        <v>0.56643515882952788</v>
      </c>
    </row>
    <row r="4977" spans="13:15" x14ac:dyDescent="0.3">
      <c r="M4977" s="35">
        <v>33.159999999999997</v>
      </c>
      <c r="N4977">
        <v>305</v>
      </c>
      <c r="O4977" s="34">
        <f t="shared" si="78"/>
        <v>0.56654901514286049</v>
      </c>
    </row>
    <row r="4978" spans="13:15" x14ac:dyDescent="0.3">
      <c r="M4978" s="35">
        <v>33.159999999999997</v>
      </c>
      <c r="N4978">
        <v>305</v>
      </c>
      <c r="O4978" s="34">
        <f t="shared" si="78"/>
        <v>0.5666628714561931</v>
      </c>
    </row>
    <row r="4979" spans="13:15" x14ac:dyDescent="0.3">
      <c r="M4979" s="35">
        <v>33.159999999999997</v>
      </c>
      <c r="N4979">
        <v>305</v>
      </c>
      <c r="O4979" s="34">
        <f t="shared" si="78"/>
        <v>0.5667767277695257</v>
      </c>
    </row>
    <row r="4980" spans="13:15" x14ac:dyDescent="0.3">
      <c r="M4980" s="35">
        <v>33.159999999999997</v>
      </c>
      <c r="N4980">
        <v>305</v>
      </c>
      <c r="O4980" s="34">
        <f t="shared" si="78"/>
        <v>0.56689058408285831</v>
      </c>
    </row>
    <row r="4981" spans="13:15" x14ac:dyDescent="0.3">
      <c r="M4981" s="35">
        <v>33.159999999999997</v>
      </c>
      <c r="N4981">
        <v>305</v>
      </c>
      <c r="O4981" s="34">
        <f t="shared" si="78"/>
        <v>0.56700444039619091</v>
      </c>
    </row>
    <row r="4982" spans="13:15" x14ac:dyDescent="0.3">
      <c r="M4982" s="35">
        <v>33.17</v>
      </c>
      <c r="N4982">
        <v>305</v>
      </c>
      <c r="O4982" s="34">
        <f t="shared" si="78"/>
        <v>0.56711829670952352</v>
      </c>
    </row>
    <row r="4983" spans="13:15" x14ac:dyDescent="0.3">
      <c r="M4983" s="35">
        <v>33.17</v>
      </c>
      <c r="N4983">
        <v>305</v>
      </c>
      <c r="O4983" s="34">
        <f t="shared" si="78"/>
        <v>0.56723215302285612</v>
      </c>
    </row>
    <row r="4984" spans="13:15" x14ac:dyDescent="0.3">
      <c r="M4984" s="35">
        <v>33.18</v>
      </c>
      <c r="N4984">
        <v>305</v>
      </c>
      <c r="O4984" s="34">
        <f t="shared" si="78"/>
        <v>0.56734600933618873</v>
      </c>
    </row>
    <row r="4985" spans="13:15" x14ac:dyDescent="0.3">
      <c r="M4985" s="35">
        <v>33.18</v>
      </c>
      <c r="N4985">
        <v>305</v>
      </c>
      <c r="O4985" s="34">
        <f t="shared" si="78"/>
        <v>0.56745986564952133</v>
      </c>
    </row>
    <row r="4986" spans="13:15" x14ac:dyDescent="0.3">
      <c r="M4986" s="35">
        <v>33.200000000000003</v>
      </c>
      <c r="N4986">
        <v>305</v>
      </c>
      <c r="O4986" s="34">
        <f t="shared" si="78"/>
        <v>0.56757372196285394</v>
      </c>
    </row>
    <row r="4987" spans="13:15" x14ac:dyDescent="0.3">
      <c r="M4987" s="35">
        <v>33.200000000000003</v>
      </c>
      <c r="N4987">
        <v>305</v>
      </c>
      <c r="O4987" s="34">
        <f t="shared" si="78"/>
        <v>0.56768757827618654</v>
      </c>
    </row>
    <row r="4988" spans="13:15" x14ac:dyDescent="0.3">
      <c r="M4988" s="35">
        <v>33.21</v>
      </c>
      <c r="N4988">
        <v>305</v>
      </c>
      <c r="O4988" s="34">
        <f t="shared" si="78"/>
        <v>0.56780143458951915</v>
      </c>
    </row>
    <row r="4989" spans="13:15" x14ac:dyDescent="0.3">
      <c r="M4989" s="35">
        <v>33.21</v>
      </c>
      <c r="N4989">
        <v>305</v>
      </c>
      <c r="O4989" s="34">
        <f t="shared" si="78"/>
        <v>0.56791529090285175</v>
      </c>
    </row>
    <row r="4990" spans="13:15" x14ac:dyDescent="0.3">
      <c r="M4990" s="35">
        <v>33.22</v>
      </c>
      <c r="N4990">
        <v>305</v>
      </c>
      <c r="O4990" s="34">
        <f t="shared" si="78"/>
        <v>0.56802914721618436</v>
      </c>
    </row>
    <row r="4991" spans="13:15" x14ac:dyDescent="0.3">
      <c r="M4991" s="35">
        <v>33.22</v>
      </c>
      <c r="N4991">
        <v>305</v>
      </c>
      <c r="O4991" s="34">
        <f t="shared" si="78"/>
        <v>0.56814300352951697</v>
      </c>
    </row>
    <row r="4992" spans="13:15" x14ac:dyDescent="0.3">
      <c r="M4992" s="35">
        <v>33.22</v>
      </c>
      <c r="N4992">
        <v>305</v>
      </c>
      <c r="O4992" s="34">
        <f t="shared" si="78"/>
        <v>0.56825685984284957</v>
      </c>
    </row>
    <row r="4993" spans="13:15" x14ac:dyDescent="0.3">
      <c r="M4993" s="35">
        <v>33.229999999999997</v>
      </c>
      <c r="N4993">
        <v>305</v>
      </c>
      <c r="O4993" s="34">
        <f t="shared" si="78"/>
        <v>0.56837071615618218</v>
      </c>
    </row>
    <row r="4994" spans="13:15" x14ac:dyDescent="0.3">
      <c r="M4994" s="35">
        <v>33.229999999999997</v>
      </c>
      <c r="N4994">
        <v>305</v>
      </c>
      <c r="O4994" s="34">
        <f t="shared" si="78"/>
        <v>0.56848457246951478</v>
      </c>
    </row>
    <row r="4995" spans="13:15" x14ac:dyDescent="0.3">
      <c r="M4995" s="35">
        <v>33.229999999999997</v>
      </c>
      <c r="N4995">
        <v>305</v>
      </c>
      <c r="O4995" s="34">
        <f t="shared" si="78"/>
        <v>0.56859842878284739</v>
      </c>
    </row>
    <row r="4996" spans="13:15" x14ac:dyDescent="0.3">
      <c r="M4996" s="35">
        <v>33.25</v>
      </c>
      <c r="N4996">
        <v>305</v>
      </c>
      <c r="O4996" s="34">
        <f t="shared" ref="O4996:O5059" si="79">O4995+O$2</f>
        <v>0.56871228509617999</v>
      </c>
    </row>
    <row r="4997" spans="13:15" x14ac:dyDescent="0.3">
      <c r="M4997" s="35">
        <v>33.25</v>
      </c>
      <c r="N4997">
        <v>305</v>
      </c>
      <c r="O4997" s="34">
        <f t="shared" si="79"/>
        <v>0.5688261414095126</v>
      </c>
    </row>
    <row r="4998" spans="13:15" x14ac:dyDescent="0.3">
      <c r="M4998" s="35">
        <v>33.26</v>
      </c>
      <c r="N4998">
        <v>305</v>
      </c>
      <c r="O4998" s="34">
        <f t="shared" si="79"/>
        <v>0.5689399977228452</v>
      </c>
    </row>
    <row r="4999" spans="13:15" x14ac:dyDescent="0.3">
      <c r="M4999" s="35">
        <v>33.270000000000003</v>
      </c>
      <c r="N4999">
        <v>305</v>
      </c>
      <c r="O4999" s="34">
        <f t="shared" si="79"/>
        <v>0.56905385403617781</v>
      </c>
    </row>
    <row r="5000" spans="13:15" x14ac:dyDescent="0.3">
      <c r="M5000" s="35">
        <v>33.28</v>
      </c>
      <c r="N5000">
        <v>305</v>
      </c>
      <c r="O5000" s="34">
        <f t="shared" si="79"/>
        <v>0.56916771034951041</v>
      </c>
    </row>
    <row r="5001" spans="13:15" x14ac:dyDescent="0.3">
      <c r="M5001" s="35">
        <v>33.29</v>
      </c>
      <c r="N5001">
        <v>305</v>
      </c>
      <c r="O5001" s="34">
        <f t="shared" si="79"/>
        <v>0.56928156666284302</v>
      </c>
    </row>
    <row r="5002" spans="13:15" x14ac:dyDescent="0.3">
      <c r="M5002" s="35">
        <v>33.29</v>
      </c>
      <c r="N5002">
        <v>305</v>
      </c>
      <c r="O5002" s="34">
        <f t="shared" si="79"/>
        <v>0.56939542297617562</v>
      </c>
    </row>
    <row r="5003" spans="13:15" x14ac:dyDescent="0.3">
      <c r="M5003" s="35">
        <v>33.29</v>
      </c>
      <c r="N5003">
        <v>305</v>
      </c>
      <c r="O5003" s="34">
        <f t="shared" si="79"/>
        <v>0.56950927928950823</v>
      </c>
    </row>
    <row r="5004" spans="13:15" x14ac:dyDescent="0.3">
      <c r="M5004" s="35">
        <v>33.32</v>
      </c>
      <c r="N5004">
        <v>305</v>
      </c>
      <c r="O5004" s="34">
        <f t="shared" si="79"/>
        <v>0.56962313560284084</v>
      </c>
    </row>
    <row r="5005" spans="13:15" x14ac:dyDescent="0.3">
      <c r="M5005" s="35">
        <v>33.32</v>
      </c>
      <c r="N5005">
        <v>305</v>
      </c>
      <c r="O5005" s="34">
        <f t="shared" si="79"/>
        <v>0.56973699191617344</v>
      </c>
    </row>
    <row r="5006" spans="13:15" x14ac:dyDescent="0.3">
      <c r="M5006" s="35">
        <v>33.32</v>
      </c>
      <c r="N5006">
        <v>305</v>
      </c>
      <c r="O5006" s="34">
        <f t="shared" si="79"/>
        <v>0.56985084822950605</v>
      </c>
    </row>
    <row r="5007" spans="13:15" x14ac:dyDescent="0.3">
      <c r="M5007" s="35">
        <v>33.32</v>
      </c>
      <c r="N5007">
        <v>305</v>
      </c>
      <c r="O5007" s="34">
        <f t="shared" si="79"/>
        <v>0.56996470454283865</v>
      </c>
    </row>
    <row r="5008" spans="13:15" x14ac:dyDescent="0.3">
      <c r="M5008" s="35">
        <v>33.33</v>
      </c>
      <c r="N5008">
        <v>305</v>
      </c>
      <c r="O5008" s="34">
        <f t="shared" si="79"/>
        <v>0.57007856085617126</v>
      </c>
    </row>
    <row r="5009" spans="13:15" x14ac:dyDescent="0.3">
      <c r="M5009" s="35">
        <v>33.33</v>
      </c>
      <c r="N5009">
        <v>305</v>
      </c>
      <c r="O5009" s="34">
        <f t="shared" si="79"/>
        <v>0.57019241716950386</v>
      </c>
    </row>
    <row r="5010" spans="13:15" x14ac:dyDescent="0.3">
      <c r="M5010" s="35">
        <v>33.340000000000003</v>
      </c>
      <c r="N5010">
        <v>305</v>
      </c>
      <c r="O5010" s="34">
        <f t="shared" si="79"/>
        <v>0.57030627348283647</v>
      </c>
    </row>
    <row r="5011" spans="13:15" x14ac:dyDescent="0.3">
      <c r="M5011" s="35">
        <v>33.35</v>
      </c>
      <c r="N5011">
        <v>305</v>
      </c>
      <c r="O5011" s="34">
        <f t="shared" si="79"/>
        <v>0.57042012979616907</v>
      </c>
    </row>
    <row r="5012" spans="13:15" x14ac:dyDescent="0.3">
      <c r="M5012" s="35">
        <v>33.36</v>
      </c>
      <c r="N5012">
        <v>305</v>
      </c>
      <c r="O5012" s="34">
        <f t="shared" si="79"/>
        <v>0.57053398610950168</v>
      </c>
    </row>
    <row r="5013" spans="13:15" x14ac:dyDescent="0.3">
      <c r="M5013" s="35">
        <v>33.369999999999997</v>
      </c>
      <c r="N5013">
        <v>305</v>
      </c>
      <c r="O5013" s="34">
        <f t="shared" si="79"/>
        <v>0.57064784242283428</v>
      </c>
    </row>
    <row r="5014" spans="13:15" x14ac:dyDescent="0.3">
      <c r="M5014" s="35">
        <v>33.369999999999997</v>
      </c>
      <c r="N5014">
        <v>305</v>
      </c>
      <c r="O5014" s="34">
        <f t="shared" si="79"/>
        <v>0.57076169873616689</v>
      </c>
    </row>
    <row r="5015" spans="13:15" x14ac:dyDescent="0.3">
      <c r="M5015" s="35">
        <v>33.369999999999997</v>
      </c>
      <c r="N5015">
        <v>305</v>
      </c>
      <c r="O5015" s="34">
        <f t="shared" si="79"/>
        <v>0.57087555504949949</v>
      </c>
    </row>
    <row r="5016" spans="13:15" x14ac:dyDescent="0.3">
      <c r="M5016" s="35">
        <v>33.380000000000003</v>
      </c>
      <c r="N5016">
        <v>305</v>
      </c>
      <c r="O5016" s="34">
        <f t="shared" si="79"/>
        <v>0.5709894113628321</v>
      </c>
    </row>
    <row r="5017" spans="13:15" x14ac:dyDescent="0.3">
      <c r="M5017" s="35">
        <v>33.380000000000003</v>
      </c>
      <c r="N5017">
        <v>305</v>
      </c>
      <c r="O5017" s="34">
        <f t="shared" si="79"/>
        <v>0.57110326767616471</v>
      </c>
    </row>
    <row r="5018" spans="13:15" x14ac:dyDescent="0.3">
      <c r="M5018" s="35">
        <v>33.39</v>
      </c>
      <c r="N5018">
        <v>305</v>
      </c>
      <c r="O5018" s="34">
        <f t="shared" si="79"/>
        <v>0.57121712398949731</v>
      </c>
    </row>
    <row r="5019" spans="13:15" x14ac:dyDescent="0.3">
      <c r="M5019" s="35">
        <v>33.409999999999997</v>
      </c>
      <c r="N5019">
        <v>305</v>
      </c>
      <c r="O5019" s="34">
        <f t="shared" si="79"/>
        <v>0.57133098030282992</v>
      </c>
    </row>
    <row r="5020" spans="13:15" x14ac:dyDescent="0.3">
      <c r="M5020" s="35">
        <v>33.42</v>
      </c>
      <c r="N5020">
        <v>305</v>
      </c>
      <c r="O5020" s="34">
        <f t="shared" si="79"/>
        <v>0.57144483661616252</v>
      </c>
    </row>
    <row r="5021" spans="13:15" x14ac:dyDescent="0.3">
      <c r="M5021" s="35">
        <v>33.43</v>
      </c>
      <c r="N5021">
        <v>305</v>
      </c>
      <c r="O5021" s="34">
        <f t="shared" si="79"/>
        <v>0.57155869292949513</v>
      </c>
    </row>
    <row r="5022" spans="13:15" x14ac:dyDescent="0.3">
      <c r="M5022" s="35">
        <v>33.43</v>
      </c>
      <c r="N5022">
        <v>305</v>
      </c>
      <c r="O5022" s="34">
        <f t="shared" si="79"/>
        <v>0.57167254924282773</v>
      </c>
    </row>
    <row r="5023" spans="13:15" x14ac:dyDescent="0.3">
      <c r="M5023" s="35">
        <v>33.43</v>
      </c>
      <c r="N5023">
        <v>305</v>
      </c>
      <c r="O5023" s="34">
        <f t="shared" si="79"/>
        <v>0.57178640555616034</v>
      </c>
    </row>
    <row r="5024" spans="13:15" x14ac:dyDescent="0.3">
      <c r="M5024" s="35">
        <v>33.43</v>
      </c>
      <c r="N5024">
        <v>305</v>
      </c>
      <c r="O5024" s="34">
        <f t="shared" si="79"/>
        <v>0.57190026186949294</v>
      </c>
    </row>
    <row r="5025" spans="13:15" x14ac:dyDescent="0.3">
      <c r="M5025" s="35">
        <v>33.450000000000003</v>
      </c>
      <c r="N5025">
        <v>305</v>
      </c>
      <c r="O5025" s="34">
        <f t="shared" si="79"/>
        <v>0.57201411818282555</v>
      </c>
    </row>
    <row r="5026" spans="13:15" x14ac:dyDescent="0.3">
      <c r="M5026" s="35">
        <v>33.46</v>
      </c>
      <c r="N5026">
        <v>305</v>
      </c>
      <c r="O5026" s="34">
        <f t="shared" si="79"/>
        <v>0.57212797449615815</v>
      </c>
    </row>
    <row r="5027" spans="13:15" x14ac:dyDescent="0.3">
      <c r="M5027" s="35">
        <v>33.46</v>
      </c>
      <c r="N5027">
        <v>305</v>
      </c>
      <c r="O5027" s="34">
        <f t="shared" si="79"/>
        <v>0.57224183080949076</v>
      </c>
    </row>
    <row r="5028" spans="13:15" x14ac:dyDescent="0.3">
      <c r="M5028" s="35">
        <v>33.49</v>
      </c>
      <c r="N5028">
        <v>305</v>
      </c>
      <c r="O5028" s="34">
        <f t="shared" si="79"/>
        <v>0.57235568712282336</v>
      </c>
    </row>
    <row r="5029" spans="13:15" x14ac:dyDescent="0.3">
      <c r="M5029" s="35">
        <v>33.49</v>
      </c>
      <c r="N5029">
        <v>305</v>
      </c>
      <c r="O5029" s="34">
        <f t="shared" si="79"/>
        <v>0.57246954343615597</v>
      </c>
    </row>
    <row r="5030" spans="13:15" x14ac:dyDescent="0.3">
      <c r="M5030" s="35">
        <v>33.49</v>
      </c>
      <c r="N5030">
        <v>305</v>
      </c>
      <c r="O5030" s="34">
        <f t="shared" si="79"/>
        <v>0.57258339974948858</v>
      </c>
    </row>
    <row r="5031" spans="13:15" x14ac:dyDescent="0.3">
      <c r="M5031" s="35">
        <v>33.49</v>
      </c>
      <c r="N5031">
        <v>305</v>
      </c>
      <c r="O5031" s="34">
        <f t="shared" si="79"/>
        <v>0.57269725606282118</v>
      </c>
    </row>
    <row r="5032" spans="13:15" x14ac:dyDescent="0.3">
      <c r="M5032" s="35">
        <v>33.5</v>
      </c>
      <c r="N5032">
        <v>305</v>
      </c>
      <c r="O5032" s="34">
        <f t="shared" si="79"/>
        <v>0.57281111237615379</v>
      </c>
    </row>
    <row r="5033" spans="13:15" x14ac:dyDescent="0.3">
      <c r="M5033" s="35">
        <v>33.51</v>
      </c>
      <c r="N5033">
        <v>305</v>
      </c>
      <c r="O5033" s="34">
        <f t="shared" si="79"/>
        <v>0.57292496868948639</v>
      </c>
    </row>
    <row r="5034" spans="13:15" x14ac:dyDescent="0.3">
      <c r="M5034" s="35">
        <v>33.51</v>
      </c>
      <c r="N5034">
        <v>305</v>
      </c>
      <c r="O5034" s="34">
        <f t="shared" si="79"/>
        <v>0.573038825002819</v>
      </c>
    </row>
    <row r="5035" spans="13:15" x14ac:dyDescent="0.3">
      <c r="M5035" s="35">
        <v>33.51</v>
      </c>
      <c r="N5035">
        <v>305</v>
      </c>
      <c r="O5035" s="34">
        <f t="shared" si="79"/>
        <v>0.5731526813161516</v>
      </c>
    </row>
    <row r="5036" spans="13:15" x14ac:dyDescent="0.3">
      <c r="M5036" s="35">
        <v>33.53</v>
      </c>
      <c r="N5036">
        <v>305</v>
      </c>
      <c r="O5036" s="34">
        <f t="shared" si="79"/>
        <v>0.57326653762948421</v>
      </c>
    </row>
    <row r="5037" spans="13:15" x14ac:dyDescent="0.3">
      <c r="M5037" s="35">
        <v>33.549999999999997</v>
      </c>
      <c r="N5037">
        <v>305</v>
      </c>
      <c r="O5037" s="34">
        <f t="shared" si="79"/>
        <v>0.57338039394281681</v>
      </c>
    </row>
    <row r="5038" spans="13:15" x14ac:dyDescent="0.3">
      <c r="M5038" s="35">
        <v>33.549999999999997</v>
      </c>
      <c r="N5038">
        <v>305</v>
      </c>
      <c r="O5038" s="34">
        <f t="shared" si="79"/>
        <v>0.57349425025614942</v>
      </c>
    </row>
    <row r="5039" spans="13:15" x14ac:dyDescent="0.3">
      <c r="M5039" s="35">
        <v>33.549999999999997</v>
      </c>
      <c r="N5039">
        <v>305</v>
      </c>
      <c r="O5039" s="34">
        <f t="shared" si="79"/>
        <v>0.57360810656948202</v>
      </c>
    </row>
    <row r="5040" spans="13:15" x14ac:dyDescent="0.3">
      <c r="M5040" s="35">
        <v>33.549999999999997</v>
      </c>
      <c r="N5040">
        <v>305</v>
      </c>
      <c r="O5040" s="34">
        <f t="shared" si="79"/>
        <v>0.57372196288281463</v>
      </c>
    </row>
    <row r="5041" spans="13:15" x14ac:dyDescent="0.3">
      <c r="M5041" s="35">
        <v>33.56</v>
      </c>
      <c r="N5041">
        <v>305</v>
      </c>
      <c r="O5041" s="34">
        <f t="shared" si="79"/>
        <v>0.57383581919614723</v>
      </c>
    </row>
    <row r="5042" spans="13:15" x14ac:dyDescent="0.3">
      <c r="M5042" s="35">
        <v>33.57</v>
      </c>
      <c r="N5042">
        <v>305</v>
      </c>
      <c r="O5042" s="34">
        <f t="shared" si="79"/>
        <v>0.57394967550947984</v>
      </c>
    </row>
    <row r="5043" spans="13:15" x14ac:dyDescent="0.3">
      <c r="M5043" s="35">
        <v>33.57</v>
      </c>
      <c r="N5043">
        <v>305</v>
      </c>
      <c r="O5043" s="34">
        <f t="shared" si="79"/>
        <v>0.57406353182281245</v>
      </c>
    </row>
    <row r="5044" spans="13:15" x14ac:dyDescent="0.3">
      <c r="M5044" s="35">
        <v>33.57</v>
      </c>
      <c r="N5044">
        <v>305</v>
      </c>
      <c r="O5044" s="34">
        <f t="shared" si="79"/>
        <v>0.57417738813614505</v>
      </c>
    </row>
    <row r="5045" spans="13:15" x14ac:dyDescent="0.3">
      <c r="M5045" s="35">
        <v>33.58</v>
      </c>
      <c r="N5045">
        <v>305</v>
      </c>
      <c r="O5045" s="34">
        <f t="shared" si="79"/>
        <v>0.57429124444947766</v>
      </c>
    </row>
    <row r="5046" spans="13:15" x14ac:dyDescent="0.3">
      <c r="M5046" s="35">
        <v>33.58</v>
      </c>
      <c r="N5046">
        <v>305</v>
      </c>
      <c r="O5046" s="34">
        <f t="shared" si="79"/>
        <v>0.57440510076281026</v>
      </c>
    </row>
    <row r="5047" spans="13:15" x14ac:dyDescent="0.3">
      <c r="M5047" s="35">
        <v>33.590000000000003</v>
      </c>
      <c r="N5047">
        <v>305</v>
      </c>
      <c r="O5047" s="34">
        <f t="shared" si="79"/>
        <v>0.57451895707614287</v>
      </c>
    </row>
    <row r="5048" spans="13:15" x14ac:dyDescent="0.3">
      <c r="M5048" s="35">
        <v>33.6</v>
      </c>
      <c r="N5048">
        <v>305</v>
      </c>
      <c r="O5048" s="34">
        <f t="shared" si="79"/>
        <v>0.57463281338947547</v>
      </c>
    </row>
    <row r="5049" spans="13:15" x14ac:dyDescent="0.3">
      <c r="M5049" s="35">
        <v>33.6</v>
      </c>
      <c r="N5049">
        <v>305</v>
      </c>
      <c r="O5049" s="34">
        <f t="shared" si="79"/>
        <v>0.57474666970280808</v>
      </c>
    </row>
    <row r="5050" spans="13:15" x14ac:dyDescent="0.3">
      <c r="M5050" s="35">
        <v>33.6</v>
      </c>
      <c r="N5050">
        <v>305</v>
      </c>
      <c r="O5050" s="34">
        <f t="shared" si="79"/>
        <v>0.57486052601614068</v>
      </c>
    </row>
    <row r="5051" spans="13:15" x14ac:dyDescent="0.3">
      <c r="M5051" s="35">
        <v>33.61</v>
      </c>
      <c r="N5051">
        <v>305</v>
      </c>
      <c r="O5051" s="34">
        <f t="shared" si="79"/>
        <v>0.57497438232947329</v>
      </c>
    </row>
    <row r="5052" spans="13:15" x14ac:dyDescent="0.3">
      <c r="M5052" s="35">
        <v>33.61</v>
      </c>
      <c r="N5052">
        <v>305</v>
      </c>
      <c r="O5052" s="34">
        <f t="shared" si="79"/>
        <v>0.57508823864280589</v>
      </c>
    </row>
    <row r="5053" spans="13:15" x14ac:dyDescent="0.3">
      <c r="M5053" s="35">
        <v>33.61</v>
      </c>
      <c r="N5053">
        <v>305</v>
      </c>
      <c r="O5053" s="34">
        <f t="shared" si="79"/>
        <v>0.5752020949561385</v>
      </c>
    </row>
    <row r="5054" spans="13:15" x14ac:dyDescent="0.3">
      <c r="M5054" s="35">
        <v>33.61</v>
      </c>
      <c r="N5054">
        <v>305</v>
      </c>
      <c r="O5054" s="34">
        <f t="shared" si="79"/>
        <v>0.5753159512694711</v>
      </c>
    </row>
    <row r="5055" spans="13:15" x14ac:dyDescent="0.3">
      <c r="M5055" s="35">
        <v>33.619999999999997</v>
      </c>
      <c r="N5055">
        <v>305</v>
      </c>
      <c r="O5055" s="34">
        <f t="shared" si="79"/>
        <v>0.57542980758280371</v>
      </c>
    </row>
    <row r="5056" spans="13:15" x14ac:dyDescent="0.3">
      <c r="M5056" s="35">
        <v>33.619999999999997</v>
      </c>
      <c r="N5056">
        <v>305</v>
      </c>
      <c r="O5056" s="34">
        <f t="shared" si="79"/>
        <v>0.57554366389613631</v>
      </c>
    </row>
    <row r="5057" spans="13:15" x14ac:dyDescent="0.3">
      <c r="M5057" s="35">
        <v>33.619999999999997</v>
      </c>
      <c r="N5057">
        <v>305</v>
      </c>
      <c r="O5057" s="34">
        <f t="shared" si="79"/>
        <v>0.57565752020946892</v>
      </c>
    </row>
    <row r="5058" spans="13:15" x14ac:dyDescent="0.3">
      <c r="M5058" s="35">
        <v>33.630000000000003</v>
      </c>
      <c r="N5058">
        <v>305</v>
      </c>
      <c r="O5058" s="34">
        <f t="shared" si="79"/>
        <v>0.57577137652280153</v>
      </c>
    </row>
    <row r="5059" spans="13:15" x14ac:dyDescent="0.3">
      <c r="M5059" s="35">
        <v>33.64</v>
      </c>
      <c r="N5059">
        <v>305</v>
      </c>
      <c r="O5059" s="34">
        <f t="shared" si="79"/>
        <v>0.57588523283613413</v>
      </c>
    </row>
    <row r="5060" spans="13:15" x14ac:dyDescent="0.3">
      <c r="M5060" s="35">
        <v>33.64</v>
      </c>
      <c r="N5060">
        <v>305</v>
      </c>
      <c r="O5060" s="34">
        <f t="shared" ref="O5060:O5123" si="80">O5059+O$2</f>
        <v>0.57599908914946674</v>
      </c>
    </row>
    <row r="5061" spans="13:15" x14ac:dyDescent="0.3">
      <c r="M5061" s="35">
        <v>33.65</v>
      </c>
      <c r="N5061">
        <v>305</v>
      </c>
      <c r="O5061" s="34">
        <f t="shared" si="80"/>
        <v>0.57611294546279934</v>
      </c>
    </row>
    <row r="5062" spans="13:15" x14ac:dyDescent="0.3">
      <c r="M5062" s="35">
        <v>33.659999999999997</v>
      </c>
      <c r="N5062">
        <v>305</v>
      </c>
      <c r="O5062" s="34">
        <f t="shared" si="80"/>
        <v>0.57622680177613195</v>
      </c>
    </row>
    <row r="5063" spans="13:15" x14ac:dyDescent="0.3">
      <c r="M5063" s="35">
        <v>33.659999999999997</v>
      </c>
      <c r="N5063">
        <v>305</v>
      </c>
      <c r="O5063" s="34">
        <f t="shared" si="80"/>
        <v>0.57634065808946455</v>
      </c>
    </row>
    <row r="5064" spans="13:15" x14ac:dyDescent="0.3">
      <c r="M5064" s="35">
        <v>33.659999999999997</v>
      </c>
      <c r="N5064">
        <v>305</v>
      </c>
      <c r="O5064" s="34">
        <f t="shared" si="80"/>
        <v>0.57645451440279716</v>
      </c>
    </row>
    <row r="5065" spans="13:15" x14ac:dyDescent="0.3">
      <c r="M5065" s="35">
        <v>33.67</v>
      </c>
      <c r="N5065">
        <v>305</v>
      </c>
      <c r="O5065" s="34">
        <f t="shared" si="80"/>
        <v>0.57656837071612976</v>
      </c>
    </row>
    <row r="5066" spans="13:15" x14ac:dyDescent="0.3">
      <c r="M5066" s="35">
        <v>33.67</v>
      </c>
      <c r="N5066">
        <v>305</v>
      </c>
      <c r="O5066" s="34">
        <f t="shared" si="80"/>
        <v>0.57668222702946237</v>
      </c>
    </row>
    <row r="5067" spans="13:15" x14ac:dyDescent="0.3">
      <c r="M5067" s="35">
        <v>33.67</v>
      </c>
      <c r="N5067">
        <v>305</v>
      </c>
      <c r="O5067" s="34">
        <f t="shared" si="80"/>
        <v>0.57679608334279497</v>
      </c>
    </row>
    <row r="5068" spans="13:15" x14ac:dyDescent="0.3">
      <c r="M5068" s="35">
        <v>33.67</v>
      </c>
      <c r="N5068">
        <v>305</v>
      </c>
      <c r="O5068" s="34">
        <f t="shared" si="80"/>
        <v>0.57690993965612758</v>
      </c>
    </row>
    <row r="5069" spans="13:15" x14ac:dyDescent="0.3">
      <c r="M5069" s="35">
        <v>33.69</v>
      </c>
      <c r="N5069">
        <v>305</v>
      </c>
      <c r="O5069" s="34">
        <f t="shared" si="80"/>
        <v>0.57702379596946018</v>
      </c>
    </row>
    <row r="5070" spans="13:15" x14ac:dyDescent="0.3">
      <c r="M5070" s="35">
        <v>33.69</v>
      </c>
      <c r="N5070">
        <v>305</v>
      </c>
      <c r="O5070" s="34">
        <f t="shared" si="80"/>
        <v>0.57713765228279279</v>
      </c>
    </row>
    <row r="5071" spans="13:15" x14ac:dyDescent="0.3">
      <c r="M5071" s="35">
        <v>33.69</v>
      </c>
      <c r="N5071">
        <v>305</v>
      </c>
      <c r="O5071" s="34">
        <f t="shared" si="80"/>
        <v>0.5772515085961254</v>
      </c>
    </row>
    <row r="5072" spans="13:15" x14ac:dyDescent="0.3">
      <c r="M5072" s="35">
        <v>33.71</v>
      </c>
      <c r="N5072">
        <v>305</v>
      </c>
      <c r="O5072" s="34">
        <f t="shared" si="80"/>
        <v>0.577365364909458</v>
      </c>
    </row>
    <row r="5073" spans="13:15" x14ac:dyDescent="0.3">
      <c r="M5073" s="35">
        <v>33.72</v>
      </c>
      <c r="N5073">
        <v>305</v>
      </c>
      <c r="O5073" s="34">
        <f t="shared" si="80"/>
        <v>0.57747922122279061</v>
      </c>
    </row>
    <row r="5074" spans="13:15" x14ac:dyDescent="0.3">
      <c r="M5074" s="35">
        <v>33.72</v>
      </c>
      <c r="N5074">
        <v>305</v>
      </c>
      <c r="O5074" s="34">
        <f t="shared" si="80"/>
        <v>0.57759307753612321</v>
      </c>
    </row>
    <row r="5075" spans="13:15" x14ac:dyDescent="0.3">
      <c r="M5075" s="35">
        <v>33.72</v>
      </c>
      <c r="N5075">
        <v>305</v>
      </c>
      <c r="O5075" s="34">
        <f t="shared" si="80"/>
        <v>0.57770693384945582</v>
      </c>
    </row>
    <row r="5076" spans="13:15" x14ac:dyDescent="0.3">
      <c r="M5076" s="35">
        <v>33.729999999999997</v>
      </c>
      <c r="N5076">
        <v>305</v>
      </c>
      <c r="O5076" s="34">
        <f t="shared" si="80"/>
        <v>0.57782079016278842</v>
      </c>
    </row>
    <row r="5077" spans="13:15" x14ac:dyDescent="0.3">
      <c r="M5077" s="35">
        <v>33.729999999999997</v>
      </c>
      <c r="N5077">
        <v>305</v>
      </c>
      <c r="O5077" s="34">
        <f t="shared" si="80"/>
        <v>0.57793464647612103</v>
      </c>
    </row>
    <row r="5078" spans="13:15" x14ac:dyDescent="0.3">
      <c r="M5078" s="35">
        <v>33.74</v>
      </c>
      <c r="N5078">
        <v>305</v>
      </c>
      <c r="O5078" s="34">
        <f t="shared" si="80"/>
        <v>0.57804850278945363</v>
      </c>
    </row>
    <row r="5079" spans="13:15" x14ac:dyDescent="0.3">
      <c r="M5079" s="35">
        <v>33.74</v>
      </c>
      <c r="N5079">
        <v>305</v>
      </c>
      <c r="O5079" s="34">
        <f t="shared" si="80"/>
        <v>0.57816235910278624</v>
      </c>
    </row>
    <row r="5080" spans="13:15" x14ac:dyDescent="0.3">
      <c r="M5080" s="35">
        <v>33.75</v>
      </c>
      <c r="N5080">
        <v>305</v>
      </c>
      <c r="O5080" s="34">
        <f t="shared" si="80"/>
        <v>0.57827621541611884</v>
      </c>
    </row>
    <row r="5081" spans="13:15" x14ac:dyDescent="0.3">
      <c r="M5081" s="35">
        <v>33.75</v>
      </c>
      <c r="N5081">
        <v>305</v>
      </c>
      <c r="O5081" s="34">
        <f t="shared" si="80"/>
        <v>0.57839007172945145</v>
      </c>
    </row>
    <row r="5082" spans="13:15" x14ac:dyDescent="0.3">
      <c r="M5082" s="35">
        <v>33.75</v>
      </c>
      <c r="N5082">
        <v>305</v>
      </c>
      <c r="O5082" s="34">
        <f t="shared" si="80"/>
        <v>0.57850392804278405</v>
      </c>
    </row>
    <row r="5083" spans="13:15" x14ac:dyDescent="0.3">
      <c r="M5083" s="35">
        <v>33.75</v>
      </c>
      <c r="N5083">
        <v>305</v>
      </c>
      <c r="O5083" s="34">
        <f t="shared" si="80"/>
        <v>0.57861778435611666</v>
      </c>
    </row>
    <row r="5084" spans="13:15" x14ac:dyDescent="0.3">
      <c r="M5084" s="35">
        <v>33.76</v>
      </c>
      <c r="N5084">
        <v>305</v>
      </c>
      <c r="O5084" s="34">
        <f t="shared" si="80"/>
        <v>0.57873164066944927</v>
      </c>
    </row>
    <row r="5085" spans="13:15" x14ac:dyDescent="0.3">
      <c r="M5085" s="35">
        <v>33.770000000000003</v>
      </c>
      <c r="N5085">
        <v>305</v>
      </c>
      <c r="O5085" s="34">
        <f t="shared" si="80"/>
        <v>0.57884549698278187</v>
      </c>
    </row>
    <row r="5086" spans="13:15" x14ac:dyDescent="0.3">
      <c r="M5086" s="35">
        <v>33.78</v>
      </c>
      <c r="N5086">
        <v>305</v>
      </c>
      <c r="O5086" s="34">
        <f t="shared" si="80"/>
        <v>0.57895935329611448</v>
      </c>
    </row>
    <row r="5087" spans="13:15" x14ac:dyDescent="0.3">
      <c r="M5087" s="35">
        <v>33.78</v>
      </c>
      <c r="N5087">
        <v>305</v>
      </c>
      <c r="O5087" s="34">
        <f t="shared" si="80"/>
        <v>0.57907320960944708</v>
      </c>
    </row>
    <row r="5088" spans="13:15" x14ac:dyDescent="0.3">
      <c r="M5088" s="35">
        <v>33.79</v>
      </c>
      <c r="N5088">
        <v>305</v>
      </c>
      <c r="O5088" s="34">
        <f t="shared" si="80"/>
        <v>0.57918706592277969</v>
      </c>
    </row>
    <row r="5089" spans="13:15" x14ac:dyDescent="0.3">
      <c r="M5089" s="35">
        <v>33.79</v>
      </c>
      <c r="N5089">
        <v>305</v>
      </c>
      <c r="O5089" s="34">
        <f t="shared" si="80"/>
        <v>0.57930092223611229</v>
      </c>
    </row>
    <row r="5090" spans="13:15" x14ac:dyDescent="0.3">
      <c r="M5090" s="35">
        <v>33.799999999999997</v>
      </c>
      <c r="N5090">
        <v>305</v>
      </c>
      <c r="O5090" s="34">
        <f t="shared" si="80"/>
        <v>0.5794147785494449</v>
      </c>
    </row>
    <row r="5091" spans="13:15" x14ac:dyDescent="0.3">
      <c r="M5091" s="35">
        <v>33.81</v>
      </c>
      <c r="N5091">
        <v>305</v>
      </c>
      <c r="O5091" s="34">
        <f t="shared" si="80"/>
        <v>0.5795286348627775</v>
      </c>
    </row>
    <row r="5092" spans="13:15" x14ac:dyDescent="0.3">
      <c r="M5092" s="35">
        <v>33.81</v>
      </c>
      <c r="N5092">
        <v>305</v>
      </c>
      <c r="O5092" s="34">
        <f t="shared" si="80"/>
        <v>0.57964249117611011</v>
      </c>
    </row>
    <row r="5093" spans="13:15" x14ac:dyDescent="0.3">
      <c r="M5093" s="35">
        <v>33.82</v>
      </c>
      <c r="N5093">
        <v>305</v>
      </c>
      <c r="O5093" s="34">
        <f t="shared" si="80"/>
        <v>0.57975634748944271</v>
      </c>
    </row>
    <row r="5094" spans="13:15" x14ac:dyDescent="0.3">
      <c r="M5094" s="35">
        <v>33.83</v>
      </c>
      <c r="N5094">
        <v>305</v>
      </c>
      <c r="O5094" s="34">
        <f t="shared" si="80"/>
        <v>0.57987020380277532</v>
      </c>
    </row>
    <row r="5095" spans="13:15" x14ac:dyDescent="0.3">
      <c r="M5095" s="35">
        <v>33.83</v>
      </c>
      <c r="N5095">
        <v>305</v>
      </c>
      <c r="O5095" s="34">
        <f t="shared" si="80"/>
        <v>0.57998406011610792</v>
      </c>
    </row>
    <row r="5096" spans="13:15" x14ac:dyDescent="0.3">
      <c r="M5096" s="35">
        <v>33.840000000000003</v>
      </c>
      <c r="N5096">
        <v>305</v>
      </c>
      <c r="O5096" s="34">
        <f t="shared" si="80"/>
        <v>0.58009791642944053</v>
      </c>
    </row>
    <row r="5097" spans="13:15" x14ac:dyDescent="0.3">
      <c r="M5097" s="35">
        <v>33.85</v>
      </c>
      <c r="N5097">
        <v>305</v>
      </c>
      <c r="O5097" s="34">
        <f t="shared" si="80"/>
        <v>0.58021177274277314</v>
      </c>
    </row>
    <row r="5098" spans="13:15" x14ac:dyDescent="0.3">
      <c r="M5098" s="35">
        <v>33.86</v>
      </c>
      <c r="N5098">
        <v>305</v>
      </c>
      <c r="O5098" s="34">
        <f t="shared" si="80"/>
        <v>0.58032562905610574</v>
      </c>
    </row>
    <row r="5099" spans="13:15" x14ac:dyDescent="0.3">
      <c r="M5099" s="35">
        <v>33.86</v>
      </c>
      <c r="N5099">
        <v>305</v>
      </c>
      <c r="O5099" s="34">
        <f t="shared" si="80"/>
        <v>0.58043948536943835</v>
      </c>
    </row>
    <row r="5100" spans="13:15" x14ac:dyDescent="0.3">
      <c r="M5100" s="35">
        <v>33.869999999999997</v>
      </c>
      <c r="N5100">
        <v>305</v>
      </c>
      <c r="O5100" s="34">
        <f t="shared" si="80"/>
        <v>0.58055334168277095</v>
      </c>
    </row>
    <row r="5101" spans="13:15" x14ac:dyDescent="0.3">
      <c r="M5101" s="35">
        <v>33.869999999999997</v>
      </c>
      <c r="N5101">
        <v>305</v>
      </c>
      <c r="O5101" s="34">
        <f t="shared" si="80"/>
        <v>0.58066719799610356</v>
      </c>
    </row>
    <row r="5102" spans="13:15" x14ac:dyDescent="0.3">
      <c r="M5102" s="35">
        <v>33.869999999999997</v>
      </c>
      <c r="N5102">
        <v>305</v>
      </c>
      <c r="O5102" s="34">
        <f t="shared" si="80"/>
        <v>0.58078105430943616</v>
      </c>
    </row>
    <row r="5103" spans="13:15" x14ac:dyDescent="0.3">
      <c r="M5103" s="35">
        <v>33.880000000000003</v>
      </c>
      <c r="N5103">
        <v>305</v>
      </c>
      <c r="O5103" s="34">
        <f t="shared" si="80"/>
        <v>0.58089491062276877</v>
      </c>
    </row>
    <row r="5104" spans="13:15" x14ac:dyDescent="0.3">
      <c r="M5104" s="35">
        <v>33.880000000000003</v>
      </c>
      <c r="N5104">
        <v>305</v>
      </c>
      <c r="O5104" s="34">
        <f t="shared" si="80"/>
        <v>0.58100876693610137</v>
      </c>
    </row>
    <row r="5105" spans="13:15" x14ac:dyDescent="0.3">
      <c r="M5105" s="35">
        <v>33.880000000000003</v>
      </c>
      <c r="N5105">
        <v>305</v>
      </c>
      <c r="O5105" s="34">
        <f t="shared" si="80"/>
        <v>0.58112262324943398</v>
      </c>
    </row>
    <row r="5106" spans="13:15" x14ac:dyDescent="0.3">
      <c r="M5106" s="35">
        <v>33.880000000000003</v>
      </c>
      <c r="N5106">
        <v>305</v>
      </c>
      <c r="O5106" s="34">
        <f t="shared" si="80"/>
        <v>0.58123647956276658</v>
      </c>
    </row>
    <row r="5107" spans="13:15" x14ac:dyDescent="0.3">
      <c r="M5107" s="35">
        <v>33.89</v>
      </c>
      <c r="N5107">
        <v>305</v>
      </c>
      <c r="O5107" s="34">
        <f t="shared" si="80"/>
        <v>0.58135033587609919</v>
      </c>
    </row>
    <row r="5108" spans="13:15" x14ac:dyDescent="0.3">
      <c r="M5108" s="35">
        <v>33.909999999999997</v>
      </c>
      <c r="N5108">
        <v>305</v>
      </c>
      <c r="O5108" s="34">
        <f t="shared" si="80"/>
        <v>0.58146419218943179</v>
      </c>
    </row>
    <row r="5109" spans="13:15" x14ac:dyDescent="0.3">
      <c r="M5109" s="35">
        <v>33.909999999999997</v>
      </c>
      <c r="N5109">
        <v>305</v>
      </c>
      <c r="O5109" s="34">
        <f t="shared" si="80"/>
        <v>0.5815780485027644</v>
      </c>
    </row>
    <row r="5110" spans="13:15" x14ac:dyDescent="0.3">
      <c r="M5110" s="35">
        <v>33.909999999999997</v>
      </c>
      <c r="N5110">
        <v>305</v>
      </c>
      <c r="O5110" s="34">
        <f t="shared" si="80"/>
        <v>0.58169190481609701</v>
      </c>
    </row>
    <row r="5111" spans="13:15" x14ac:dyDescent="0.3">
      <c r="M5111" s="35">
        <v>33.92</v>
      </c>
      <c r="N5111">
        <v>305</v>
      </c>
      <c r="O5111" s="34">
        <f t="shared" si="80"/>
        <v>0.58180576112942961</v>
      </c>
    </row>
    <row r="5112" spans="13:15" x14ac:dyDescent="0.3">
      <c r="M5112" s="35">
        <v>33.93</v>
      </c>
      <c r="N5112">
        <v>305</v>
      </c>
      <c r="O5112" s="34">
        <f t="shared" si="80"/>
        <v>0.58191961744276222</v>
      </c>
    </row>
    <row r="5113" spans="13:15" x14ac:dyDescent="0.3">
      <c r="M5113" s="35">
        <v>33.93</v>
      </c>
      <c r="N5113">
        <v>305</v>
      </c>
      <c r="O5113" s="34">
        <f t="shared" si="80"/>
        <v>0.58203347375609482</v>
      </c>
    </row>
    <row r="5114" spans="13:15" x14ac:dyDescent="0.3">
      <c r="M5114" s="35">
        <v>33.93</v>
      </c>
      <c r="N5114">
        <v>305</v>
      </c>
      <c r="O5114" s="34">
        <f t="shared" si="80"/>
        <v>0.58214733006942743</v>
      </c>
    </row>
    <row r="5115" spans="13:15" x14ac:dyDescent="0.3">
      <c r="M5115" s="35">
        <v>33.94</v>
      </c>
      <c r="N5115">
        <v>305</v>
      </c>
      <c r="O5115" s="34">
        <f t="shared" si="80"/>
        <v>0.58226118638276003</v>
      </c>
    </row>
    <row r="5116" spans="13:15" x14ac:dyDescent="0.3">
      <c r="M5116" s="35">
        <v>33.94</v>
      </c>
      <c r="N5116">
        <v>305</v>
      </c>
      <c r="O5116" s="34">
        <f t="shared" si="80"/>
        <v>0.58237504269609264</v>
      </c>
    </row>
    <row r="5117" spans="13:15" x14ac:dyDescent="0.3">
      <c r="M5117" s="35">
        <v>33.950000000000003</v>
      </c>
      <c r="N5117">
        <v>305</v>
      </c>
      <c r="O5117" s="34">
        <f t="shared" si="80"/>
        <v>0.58248889900942524</v>
      </c>
    </row>
    <row r="5118" spans="13:15" x14ac:dyDescent="0.3">
      <c r="M5118" s="35">
        <v>33.950000000000003</v>
      </c>
      <c r="N5118">
        <v>305</v>
      </c>
      <c r="O5118" s="34">
        <f t="shared" si="80"/>
        <v>0.58260275532275785</v>
      </c>
    </row>
    <row r="5119" spans="13:15" x14ac:dyDescent="0.3">
      <c r="M5119" s="35">
        <v>33.950000000000003</v>
      </c>
      <c r="N5119">
        <v>305</v>
      </c>
      <c r="O5119" s="34">
        <f t="shared" si="80"/>
        <v>0.58271661163609045</v>
      </c>
    </row>
    <row r="5120" spans="13:15" x14ac:dyDescent="0.3">
      <c r="M5120" s="35">
        <v>33.950000000000003</v>
      </c>
      <c r="N5120">
        <v>305</v>
      </c>
      <c r="O5120" s="34">
        <f t="shared" si="80"/>
        <v>0.58283046794942306</v>
      </c>
    </row>
    <row r="5121" spans="13:15" x14ac:dyDescent="0.3">
      <c r="M5121" s="35">
        <v>33.950000000000003</v>
      </c>
      <c r="N5121">
        <v>305</v>
      </c>
      <c r="O5121" s="34">
        <f t="shared" si="80"/>
        <v>0.58294432426275566</v>
      </c>
    </row>
    <row r="5122" spans="13:15" x14ac:dyDescent="0.3">
      <c r="M5122" s="35">
        <v>33.950000000000003</v>
      </c>
      <c r="N5122">
        <v>305</v>
      </c>
      <c r="O5122" s="34">
        <f t="shared" si="80"/>
        <v>0.58305818057608827</v>
      </c>
    </row>
    <row r="5123" spans="13:15" x14ac:dyDescent="0.3">
      <c r="M5123" s="35">
        <v>33.97</v>
      </c>
      <c r="N5123">
        <v>305</v>
      </c>
      <c r="O5123" s="34">
        <f t="shared" si="80"/>
        <v>0.58317203688942088</v>
      </c>
    </row>
    <row r="5124" spans="13:15" x14ac:dyDescent="0.3">
      <c r="M5124" s="35">
        <v>33.97</v>
      </c>
      <c r="N5124">
        <v>305</v>
      </c>
      <c r="O5124" s="34">
        <f t="shared" ref="O5124:O5187" si="81">O5123+O$2</f>
        <v>0.58328589320275348</v>
      </c>
    </row>
    <row r="5125" spans="13:15" x14ac:dyDescent="0.3">
      <c r="M5125" s="35">
        <v>33.97</v>
      </c>
      <c r="N5125">
        <v>305</v>
      </c>
      <c r="O5125" s="34">
        <f t="shared" si="81"/>
        <v>0.58339974951608609</v>
      </c>
    </row>
    <row r="5126" spans="13:15" x14ac:dyDescent="0.3">
      <c r="M5126" s="35">
        <v>34</v>
      </c>
      <c r="N5126">
        <v>305</v>
      </c>
      <c r="O5126" s="34">
        <f t="shared" si="81"/>
        <v>0.58351360582941869</v>
      </c>
    </row>
    <row r="5127" spans="13:15" x14ac:dyDescent="0.3">
      <c r="M5127" s="35">
        <v>34</v>
      </c>
      <c r="N5127">
        <v>305</v>
      </c>
      <c r="O5127" s="34">
        <f t="shared" si="81"/>
        <v>0.5836274621427513</v>
      </c>
    </row>
    <row r="5128" spans="13:15" x14ac:dyDescent="0.3">
      <c r="M5128" s="35">
        <v>34.01</v>
      </c>
      <c r="N5128">
        <v>305</v>
      </c>
      <c r="O5128" s="34">
        <f t="shared" si="81"/>
        <v>0.5837413184560839</v>
      </c>
    </row>
    <row r="5129" spans="13:15" x14ac:dyDescent="0.3">
      <c r="M5129" s="35">
        <v>34.049999999999997</v>
      </c>
      <c r="N5129">
        <v>305</v>
      </c>
      <c r="O5129" s="34">
        <f t="shared" si="81"/>
        <v>0.58385517476941651</v>
      </c>
    </row>
    <row r="5130" spans="13:15" x14ac:dyDescent="0.3">
      <c r="M5130" s="35">
        <v>34.06</v>
      </c>
      <c r="N5130">
        <v>305</v>
      </c>
      <c r="O5130" s="34">
        <f t="shared" si="81"/>
        <v>0.58396903108274911</v>
      </c>
    </row>
    <row r="5131" spans="13:15" x14ac:dyDescent="0.3">
      <c r="M5131" s="35">
        <v>34.07</v>
      </c>
      <c r="N5131">
        <v>305</v>
      </c>
      <c r="O5131" s="34">
        <f t="shared" si="81"/>
        <v>0.58408288739608172</v>
      </c>
    </row>
    <row r="5132" spans="13:15" x14ac:dyDescent="0.3">
      <c r="M5132" s="35">
        <v>34.08</v>
      </c>
      <c r="N5132">
        <v>305</v>
      </c>
      <c r="O5132" s="34">
        <f t="shared" si="81"/>
        <v>0.58419674370941432</v>
      </c>
    </row>
    <row r="5133" spans="13:15" x14ac:dyDescent="0.3">
      <c r="M5133" s="35">
        <v>34.08</v>
      </c>
      <c r="N5133">
        <v>305</v>
      </c>
      <c r="O5133" s="34">
        <f t="shared" si="81"/>
        <v>0.58431060002274693</v>
      </c>
    </row>
    <row r="5134" spans="13:15" x14ac:dyDescent="0.3">
      <c r="M5134" s="35">
        <v>34.08</v>
      </c>
      <c r="N5134">
        <v>305</v>
      </c>
      <c r="O5134" s="34">
        <f t="shared" si="81"/>
        <v>0.58442445633607953</v>
      </c>
    </row>
    <row r="5135" spans="13:15" x14ac:dyDescent="0.3">
      <c r="M5135" s="35">
        <v>34.08</v>
      </c>
      <c r="N5135">
        <v>305</v>
      </c>
      <c r="O5135" s="34">
        <f t="shared" si="81"/>
        <v>0.58453831264941214</v>
      </c>
    </row>
    <row r="5136" spans="13:15" x14ac:dyDescent="0.3">
      <c r="M5136" s="35">
        <v>34.08</v>
      </c>
      <c r="N5136">
        <v>305</v>
      </c>
      <c r="O5136" s="34">
        <f t="shared" si="81"/>
        <v>0.58465216896274474</v>
      </c>
    </row>
    <row r="5137" spans="13:15" x14ac:dyDescent="0.3">
      <c r="M5137" s="35">
        <v>34.090000000000003</v>
      </c>
      <c r="N5137">
        <v>305</v>
      </c>
      <c r="O5137" s="34">
        <f t="shared" si="81"/>
        <v>0.58476602527607735</v>
      </c>
    </row>
    <row r="5138" spans="13:15" x14ac:dyDescent="0.3">
      <c r="M5138" s="35">
        <v>34.090000000000003</v>
      </c>
      <c r="N5138">
        <v>305</v>
      </c>
      <c r="O5138" s="34">
        <f t="shared" si="81"/>
        <v>0.58487988158940996</v>
      </c>
    </row>
    <row r="5139" spans="13:15" x14ac:dyDescent="0.3">
      <c r="M5139" s="35">
        <v>34.090000000000003</v>
      </c>
      <c r="N5139">
        <v>305</v>
      </c>
      <c r="O5139" s="34">
        <f t="shared" si="81"/>
        <v>0.58499373790274256</v>
      </c>
    </row>
    <row r="5140" spans="13:15" x14ac:dyDescent="0.3">
      <c r="M5140" s="35">
        <v>34.1</v>
      </c>
      <c r="N5140">
        <v>305</v>
      </c>
      <c r="O5140" s="34">
        <f t="shared" si="81"/>
        <v>0.58510759421607517</v>
      </c>
    </row>
    <row r="5141" spans="13:15" x14ac:dyDescent="0.3">
      <c r="M5141" s="35">
        <v>34.11</v>
      </c>
      <c r="N5141">
        <v>305</v>
      </c>
      <c r="O5141" s="34">
        <f t="shared" si="81"/>
        <v>0.58522145052940777</v>
      </c>
    </row>
    <row r="5142" spans="13:15" x14ac:dyDescent="0.3">
      <c r="M5142" s="35">
        <v>34.130000000000003</v>
      </c>
      <c r="N5142">
        <v>305</v>
      </c>
      <c r="O5142" s="34">
        <f t="shared" si="81"/>
        <v>0.58533530684274038</v>
      </c>
    </row>
    <row r="5143" spans="13:15" x14ac:dyDescent="0.3">
      <c r="M5143" s="35">
        <v>34.14</v>
      </c>
      <c r="N5143">
        <v>305</v>
      </c>
      <c r="O5143" s="34">
        <f t="shared" si="81"/>
        <v>0.58544916315607298</v>
      </c>
    </row>
    <row r="5144" spans="13:15" x14ac:dyDescent="0.3">
      <c r="M5144" s="35">
        <v>34.15</v>
      </c>
      <c r="N5144">
        <v>305</v>
      </c>
      <c r="O5144" s="34">
        <f t="shared" si="81"/>
        <v>0.58556301946940559</v>
      </c>
    </row>
    <row r="5145" spans="13:15" x14ac:dyDescent="0.3">
      <c r="M5145" s="35">
        <v>34.15</v>
      </c>
      <c r="N5145">
        <v>305</v>
      </c>
      <c r="O5145" s="34">
        <f t="shared" si="81"/>
        <v>0.58567687578273819</v>
      </c>
    </row>
    <row r="5146" spans="13:15" x14ac:dyDescent="0.3">
      <c r="M5146" s="35">
        <v>34.159999999999997</v>
      </c>
      <c r="N5146">
        <v>305</v>
      </c>
      <c r="O5146" s="34">
        <f t="shared" si="81"/>
        <v>0.5857907320960708</v>
      </c>
    </row>
    <row r="5147" spans="13:15" x14ac:dyDescent="0.3">
      <c r="M5147" s="35">
        <v>34.17</v>
      </c>
      <c r="N5147">
        <v>305</v>
      </c>
      <c r="O5147" s="34">
        <f t="shared" si="81"/>
        <v>0.5859045884094034</v>
      </c>
    </row>
    <row r="5148" spans="13:15" x14ac:dyDescent="0.3">
      <c r="M5148" s="35">
        <v>34.18</v>
      </c>
      <c r="N5148">
        <v>305</v>
      </c>
      <c r="O5148" s="34">
        <f t="shared" si="81"/>
        <v>0.58601844472273601</v>
      </c>
    </row>
    <row r="5149" spans="13:15" x14ac:dyDescent="0.3">
      <c r="M5149" s="35">
        <v>34.18</v>
      </c>
      <c r="N5149">
        <v>305</v>
      </c>
      <c r="O5149" s="34">
        <f t="shared" si="81"/>
        <v>0.58613230103606861</v>
      </c>
    </row>
    <row r="5150" spans="13:15" x14ac:dyDescent="0.3">
      <c r="M5150" s="35">
        <v>34.19</v>
      </c>
      <c r="N5150">
        <v>305</v>
      </c>
      <c r="O5150" s="34">
        <f t="shared" si="81"/>
        <v>0.58624615734940122</v>
      </c>
    </row>
    <row r="5151" spans="13:15" x14ac:dyDescent="0.3">
      <c r="M5151" s="35">
        <v>34.19</v>
      </c>
      <c r="N5151">
        <v>305</v>
      </c>
      <c r="O5151" s="34">
        <f t="shared" si="81"/>
        <v>0.58636001366273383</v>
      </c>
    </row>
    <row r="5152" spans="13:15" x14ac:dyDescent="0.3">
      <c r="M5152" s="35">
        <v>34.19</v>
      </c>
      <c r="N5152">
        <v>305</v>
      </c>
      <c r="O5152" s="34">
        <f t="shared" si="81"/>
        <v>0.58647386997606643</v>
      </c>
    </row>
    <row r="5153" spans="13:15" x14ac:dyDescent="0.3">
      <c r="M5153" s="35">
        <v>34.19</v>
      </c>
      <c r="N5153">
        <v>305</v>
      </c>
      <c r="O5153" s="34">
        <f t="shared" si="81"/>
        <v>0.58658772628939904</v>
      </c>
    </row>
    <row r="5154" spans="13:15" x14ac:dyDescent="0.3">
      <c r="M5154" s="35">
        <v>34.19</v>
      </c>
      <c r="N5154">
        <v>305</v>
      </c>
      <c r="O5154" s="34">
        <f t="shared" si="81"/>
        <v>0.58670158260273164</v>
      </c>
    </row>
    <row r="5155" spans="13:15" x14ac:dyDescent="0.3">
      <c r="M5155" s="35">
        <v>34.200000000000003</v>
      </c>
      <c r="N5155">
        <v>305</v>
      </c>
      <c r="O5155" s="34">
        <f t="shared" si="81"/>
        <v>0.58681543891606425</v>
      </c>
    </row>
    <row r="5156" spans="13:15" x14ac:dyDescent="0.3">
      <c r="M5156" s="35">
        <v>34.22</v>
      </c>
      <c r="N5156">
        <v>305</v>
      </c>
      <c r="O5156" s="34">
        <f t="shared" si="81"/>
        <v>0.58692929522939685</v>
      </c>
    </row>
    <row r="5157" spans="13:15" x14ac:dyDescent="0.3">
      <c r="M5157" s="35">
        <v>34.22</v>
      </c>
      <c r="N5157">
        <v>305</v>
      </c>
      <c r="O5157" s="34">
        <f t="shared" si="81"/>
        <v>0.58704315154272946</v>
      </c>
    </row>
    <row r="5158" spans="13:15" x14ac:dyDescent="0.3">
      <c r="M5158" s="35">
        <v>34.22</v>
      </c>
      <c r="N5158">
        <v>305</v>
      </c>
      <c r="O5158" s="34">
        <f t="shared" si="81"/>
        <v>0.58715700785606206</v>
      </c>
    </row>
    <row r="5159" spans="13:15" x14ac:dyDescent="0.3">
      <c r="M5159" s="35">
        <v>34.229999999999997</v>
      </c>
      <c r="N5159">
        <v>305</v>
      </c>
      <c r="O5159" s="34">
        <f t="shared" si="81"/>
        <v>0.58727086416939467</v>
      </c>
    </row>
    <row r="5160" spans="13:15" x14ac:dyDescent="0.3">
      <c r="M5160" s="35">
        <v>34.229999999999997</v>
      </c>
      <c r="N5160">
        <v>305</v>
      </c>
      <c r="O5160" s="34">
        <f t="shared" si="81"/>
        <v>0.58738472048272727</v>
      </c>
    </row>
    <row r="5161" spans="13:15" x14ac:dyDescent="0.3">
      <c r="M5161" s="35">
        <v>34.229999999999997</v>
      </c>
      <c r="N5161">
        <v>305</v>
      </c>
      <c r="O5161" s="34">
        <f t="shared" si="81"/>
        <v>0.58749857679605988</v>
      </c>
    </row>
    <row r="5162" spans="13:15" x14ac:dyDescent="0.3">
      <c r="M5162" s="35">
        <v>34.229999999999997</v>
      </c>
      <c r="N5162">
        <v>305</v>
      </c>
      <c r="O5162" s="34">
        <f t="shared" si="81"/>
        <v>0.58761243310939248</v>
      </c>
    </row>
    <row r="5163" spans="13:15" x14ac:dyDescent="0.3">
      <c r="M5163" s="35">
        <v>34.24</v>
      </c>
      <c r="N5163">
        <v>305</v>
      </c>
      <c r="O5163" s="34">
        <f t="shared" si="81"/>
        <v>0.58772628942272509</v>
      </c>
    </row>
    <row r="5164" spans="13:15" x14ac:dyDescent="0.3">
      <c r="M5164" s="35">
        <v>34.24</v>
      </c>
      <c r="N5164">
        <v>305</v>
      </c>
      <c r="O5164" s="34">
        <f t="shared" si="81"/>
        <v>0.5878401457360577</v>
      </c>
    </row>
    <row r="5165" spans="13:15" x14ac:dyDescent="0.3">
      <c r="M5165" s="35">
        <v>34.24</v>
      </c>
      <c r="N5165">
        <v>305</v>
      </c>
      <c r="O5165" s="34">
        <f t="shared" si="81"/>
        <v>0.5879540020493903</v>
      </c>
    </row>
    <row r="5166" spans="13:15" x14ac:dyDescent="0.3">
      <c r="M5166" s="35">
        <v>34.25</v>
      </c>
      <c r="N5166">
        <v>305</v>
      </c>
      <c r="O5166" s="34">
        <f t="shared" si="81"/>
        <v>0.58806785836272291</v>
      </c>
    </row>
    <row r="5167" spans="13:15" x14ac:dyDescent="0.3">
      <c r="M5167" s="35">
        <v>34.25</v>
      </c>
      <c r="N5167">
        <v>305</v>
      </c>
      <c r="O5167" s="34">
        <f t="shared" si="81"/>
        <v>0.58818171467605551</v>
      </c>
    </row>
    <row r="5168" spans="13:15" x14ac:dyDescent="0.3">
      <c r="M5168" s="35">
        <v>34.26</v>
      </c>
      <c r="N5168">
        <v>305</v>
      </c>
      <c r="O5168" s="34">
        <f t="shared" si="81"/>
        <v>0.58829557098938812</v>
      </c>
    </row>
    <row r="5169" spans="13:15" x14ac:dyDescent="0.3">
      <c r="M5169" s="35">
        <v>34.26</v>
      </c>
      <c r="N5169">
        <v>305</v>
      </c>
      <c r="O5169" s="34">
        <f t="shared" si="81"/>
        <v>0.58840942730272072</v>
      </c>
    </row>
    <row r="5170" spans="13:15" x14ac:dyDescent="0.3">
      <c r="M5170" s="35">
        <v>34.270000000000003</v>
      </c>
      <c r="N5170">
        <v>305</v>
      </c>
      <c r="O5170" s="34">
        <f t="shared" si="81"/>
        <v>0.58852328361605333</v>
      </c>
    </row>
    <row r="5171" spans="13:15" x14ac:dyDescent="0.3">
      <c r="M5171" s="35">
        <v>34.270000000000003</v>
      </c>
      <c r="N5171">
        <v>305</v>
      </c>
      <c r="O5171" s="34">
        <f t="shared" si="81"/>
        <v>0.58863713992938593</v>
      </c>
    </row>
    <row r="5172" spans="13:15" x14ac:dyDescent="0.3">
      <c r="M5172" s="35">
        <v>34.270000000000003</v>
      </c>
      <c r="N5172">
        <v>305</v>
      </c>
      <c r="O5172" s="34">
        <f t="shared" si="81"/>
        <v>0.58875099624271854</v>
      </c>
    </row>
    <row r="5173" spans="13:15" x14ac:dyDescent="0.3">
      <c r="M5173" s="35">
        <v>34.28</v>
      </c>
      <c r="N5173">
        <v>305</v>
      </c>
      <c r="O5173" s="34">
        <f t="shared" si="81"/>
        <v>0.58886485255605114</v>
      </c>
    </row>
    <row r="5174" spans="13:15" x14ac:dyDescent="0.3">
      <c r="M5174" s="35">
        <v>34.28</v>
      </c>
      <c r="N5174">
        <v>305</v>
      </c>
      <c r="O5174" s="34">
        <f t="shared" si="81"/>
        <v>0.58897870886938375</v>
      </c>
    </row>
    <row r="5175" spans="13:15" x14ac:dyDescent="0.3">
      <c r="M5175" s="35">
        <v>34.28</v>
      </c>
      <c r="N5175">
        <v>305</v>
      </c>
      <c r="O5175" s="34">
        <f t="shared" si="81"/>
        <v>0.58909256518271635</v>
      </c>
    </row>
    <row r="5176" spans="13:15" x14ac:dyDescent="0.3">
      <c r="M5176" s="35">
        <v>34.28</v>
      </c>
      <c r="N5176">
        <v>305</v>
      </c>
      <c r="O5176" s="34">
        <f t="shared" si="81"/>
        <v>0.58920642149604896</v>
      </c>
    </row>
    <row r="5177" spans="13:15" x14ac:dyDescent="0.3">
      <c r="M5177" s="35">
        <v>34.28</v>
      </c>
      <c r="N5177">
        <v>305</v>
      </c>
      <c r="O5177" s="34">
        <f t="shared" si="81"/>
        <v>0.58932027780938157</v>
      </c>
    </row>
    <row r="5178" spans="13:15" x14ac:dyDescent="0.3">
      <c r="M5178" s="35">
        <v>34.29</v>
      </c>
      <c r="N5178">
        <v>305</v>
      </c>
      <c r="O5178" s="34">
        <f t="shared" si="81"/>
        <v>0.58943413412271417</v>
      </c>
    </row>
    <row r="5179" spans="13:15" x14ac:dyDescent="0.3">
      <c r="M5179" s="35">
        <v>34.29</v>
      </c>
      <c r="N5179">
        <v>305</v>
      </c>
      <c r="O5179" s="34">
        <f t="shared" si="81"/>
        <v>0.58954799043604678</v>
      </c>
    </row>
    <row r="5180" spans="13:15" x14ac:dyDescent="0.3">
      <c r="M5180" s="35">
        <v>34.31</v>
      </c>
      <c r="N5180">
        <v>305</v>
      </c>
      <c r="O5180" s="34">
        <f t="shared" si="81"/>
        <v>0.58966184674937938</v>
      </c>
    </row>
    <row r="5181" spans="13:15" x14ac:dyDescent="0.3">
      <c r="M5181" s="35">
        <v>34.32</v>
      </c>
      <c r="N5181">
        <v>305</v>
      </c>
      <c r="O5181" s="34">
        <f t="shared" si="81"/>
        <v>0.58977570306271199</v>
      </c>
    </row>
    <row r="5182" spans="13:15" x14ac:dyDescent="0.3">
      <c r="M5182" s="35">
        <v>34.32</v>
      </c>
      <c r="N5182">
        <v>305</v>
      </c>
      <c r="O5182" s="34">
        <f t="shared" si="81"/>
        <v>0.58988955937604459</v>
      </c>
    </row>
    <row r="5183" spans="13:15" x14ac:dyDescent="0.3">
      <c r="M5183" s="35">
        <v>34.33</v>
      </c>
      <c r="N5183">
        <v>305</v>
      </c>
      <c r="O5183" s="34">
        <f t="shared" si="81"/>
        <v>0.5900034156893772</v>
      </c>
    </row>
    <row r="5184" spans="13:15" x14ac:dyDescent="0.3">
      <c r="M5184" s="35">
        <v>34.33</v>
      </c>
      <c r="N5184">
        <v>305</v>
      </c>
      <c r="O5184" s="34">
        <f t="shared" si="81"/>
        <v>0.5901172720027098</v>
      </c>
    </row>
    <row r="5185" spans="13:15" x14ac:dyDescent="0.3">
      <c r="M5185" s="35">
        <v>34.33</v>
      </c>
      <c r="N5185">
        <v>305</v>
      </c>
      <c r="O5185" s="34">
        <f t="shared" si="81"/>
        <v>0.59023112831604241</v>
      </c>
    </row>
    <row r="5186" spans="13:15" x14ac:dyDescent="0.3">
      <c r="M5186" s="35">
        <v>34.340000000000003</v>
      </c>
      <c r="N5186">
        <v>305</v>
      </c>
      <c r="O5186" s="34">
        <f t="shared" si="81"/>
        <v>0.59034498462937501</v>
      </c>
    </row>
    <row r="5187" spans="13:15" x14ac:dyDescent="0.3">
      <c r="M5187" s="35">
        <v>34.35</v>
      </c>
      <c r="N5187">
        <v>305</v>
      </c>
      <c r="O5187" s="34">
        <f t="shared" si="81"/>
        <v>0.59045884094270762</v>
      </c>
    </row>
    <row r="5188" spans="13:15" x14ac:dyDescent="0.3">
      <c r="M5188" s="35">
        <v>34.36</v>
      </c>
      <c r="N5188">
        <v>305</v>
      </c>
      <c r="O5188" s="34">
        <f t="shared" ref="O5188:O5251" si="82">O5187+O$2</f>
        <v>0.59057269725604022</v>
      </c>
    </row>
    <row r="5189" spans="13:15" x14ac:dyDescent="0.3">
      <c r="M5189" s="35">
        <v>34.369999999999997</v>
      </c>
      <c r="N5189">
        <v>305</v>
      </c>
      <c r="O5189" s="34">
        <f t="shared" si="82"/>
        <v>0.59068655356937283</v>
      </c>
    </row>
    <row r="5190" spans="13:15" x14ac:dyDescent="0.3">
      <c r="M5190" s="35">
        <v>34.380000000000003</v>
      </c>
      <c r="N5190">
        <v>305</v>
      </c>
      <c r="O5190" s="34">
        <f t="shared" si="82"/>
        <v>0.59080040988270544</v>
      </c>
    </row>
    <row r="5191" spans="13:15" x14ac:dyDescent="0.3">
      <c r="M5191" s="35">
        <v>34.380000000000003</v>
      </c>
      <c r="N5191">
        <v>305</v>
      </c>
      <c r="O5191" s="34">
        <f t="shared" si="82"/>
        <v>0.59091426619603804</v>
      </c>
    </row>
    <row r="5192" spans="13:15" x14ac:dyDescent="0.3">
      <c r="M5192" s="35">
        <v>34.39</v>
      </c>
      <c r="N5192">
        <v>305</v>
      </c>
      <c r="O5192" s="34">
        <f t="shared" si="82"/>
        <v>0.59102812250937065</v>
      </c>
    </row>
    <row r="5193" spans="13:15" x14ac:dyDescent="0.3">
      <c r="M5193" s="35">
        <v>34.39</v>
      </c>
      <c r="N5193">
        <v>305</v>
      </c>
      <c r="O5193" s="34">
        <f t="shared" si="82"/>
        <v>0.59114197882270325</v>
      </c>
    </row>
    <row r="5194" spans="13:15" x14ac:dyDescent="0.3">
      <c r="M5194" s="35">
        <v>34.4</v>
      </c>
      <c r="N5194">
        <v>305</v>
      </c>
      <c r="O5194" s="34">
        <f t="shared" si="82"/>
        <v>0.59125583513603586</v>
      </c>
    </row>
    <row r="5195" spans="13:15" x14ac:dyDescent="0.3">
      <c r="M5195" s="35">
        <v>34.4</v>
      </c>
      <c r="N5195">
        <v>305</v>
      </c>
      <c r="O5195" s="34">
        <f t="shared" si="82"/>
        <v>0.59136969144936846</v>
      </c>
    </row>
    <row r="5196" spans="13:15" x14ac:dyDescent="0.3">
      <c r="M5196" s="35">
        <v>34.4</v>
      </c>
      <c r="N5196">
        <v>305</v>
      </c>
      <c r="O5196" s="34">
        <f t="shared" si="82"/>
        <v>0.59148354776270107</v>
      </c>
    </row>
    <row r="5197" spans="13:15" x14ac:dyDescent="0.3">
      <c r="M5197" s="35">
        <v>34.409999999999997</v>
      </c>
      <c r="N5197">
        <v>305</v>
      </c>
      <c r="O5197" s="34">
        <f t="shared" si="82"/>
        <v>0.59159740407603367</v>
      </c>
    </row>
    <row r="5198" spans="13:15" x14ac:dyDescent="0.3">
      <c r="M5198" s="35">
        <v>34.409999999999997</v>
      </c>
      <c r="N5198">
        <v>305</v>
      </c>
      <c r="O5198" s="34">
        <f t="shared" si="82"/>
        <v>0.59171126038936628</v>
      </c>
    </row>
    <row r="5199" spans="13:15" x14ac:dyDescent="0.3">
      <c r="M5199" s="35">
        <v>34.42</v>
      </c>
      <c r="N5199">
        <v>305</v>
      </c>
      <c r="O5199" s="34">
        <f t="shared" si="82"/>
        <v>0.59182511670269888</v>
      </c>
    </row>
    <row r="5200" spans="13:15" x14ac:dyDescent="0.3">
      <c r="M5200" s="35">
        <v>34.42</v>
      </c>
      <c r="N5200">
        <v>305</v>
      </c>
      <c r="O5200" s="34">
        <f t="shared" si="82"/>
        <v>0.59193897301603149</v>
      </c>
    </row>
    <row r="5201" spans="13:15" x14ac:dyDescent="0.3">
      <c r="M5201" s="35">
        <v>34.42</v>
      </c>
      <c r="N5201">
        <v>305</v>
      </c>
      <c r="O5201" s="34">
        <f t="shared" si="82"/>
        <v>0.59205282932936409</v>
      </c>
    </row>
    <row r="5202" spans="13:15" x14ac:dyDescent="0.3">
      <c r="M5202" s="35">
        <v>34.43</v>
      </c>
      <c r="N5202">
        <v>305</v>
      </c>
      <c r="O5202" s="34">
        <f t="shared" si="82"/>
        <v>0.5921666856426967</v>
      </c>
    </row>
    <row r="5203" spans="13:15" x14ac:dyDescent="0.3">
      <c r="M5203" s="35">
        <v>34.43</v>
      </c>
      <c r="N5203">
        <v>305</v>
      </c>
      <c r="O5203" s="34">
        <f t="shared" si="82"/>
        <v>0.5922805419560293</v>
      </c>
    </row>
    <row r="5204" spans="13:15" x14ac:dyDescent="0.3">
      <c r="M5204" s="35">
        <v>34.44</v>
      </c>
      <c r="N5204">
        <v>305</v>
      </c>
      <c r="O5204" s="34">
        <f t="shared" si="82"/>
        <v>0.59239439826936191</v>
      </c>
    </row>
    <row r="5205" spans="13:15" x14ac:dyDescent="0.3">
      <c r="M5205" s="35">
        <v>34.450000000000003</v>
      </c>
      <c r="N5205">
        <v>305</v>
      </c>
      <c r="O5205" s="34">
        <f t="shared" si="82"/>
        <v>0.59250825458269452</v>
      </c>
    </row>
    <row r="5206" spans="13:15" x14ac:dyDescent="0.3">
      <c r="M5206" s="35">
        <v>34.450000000000003</v>
      </c>
      <c r="N5206">
        <v>305</v>
      </c>
      <c r="O5206" s="34">
        <f t="shared" si="82"/>
        <v>0.59262211089602712</v>
      </c>
    </row>
    <row r="5207" spans="13:15" x14ac:dyDescent="0.3">
      <c r="M5207" s="35">
        <v>34.450000000000003</v>
      </c>
      <c r="N5207">
        <v>305</v>
      </c>
      <c r="O5207" s="34">
        <f t="shared" si="82"/>
        <v>0.59273596720935973</v>
      </c>
    </row>
    <row r="5208" spans="13:15" x14ac:dyDescent="0.3">
      <c r="M5208" s="35">
        <v>34.46</v>
      </c>
      <c r="N5208">
        <v>305</v>
      </c>
      <c r="O5208" s="34">
        <f t="shared" si="82"/>
        <v>0.59284982352269233</v>
      </c>
    </row>
    <row r="5209" spans="13:15" x14ac:dyDescent="0.3">
      <c r="M5209" s="35">
        <v>34.46</v>
      </c>
      <c r="N5209">
        <v>305</v>
      </c>
      <c r="O5209" s="34">
        <f t="shared" si="82"/>
        <v>0.59296367983602494</v>
      </c>
    </row>
    <row r="5210" spans="13:15" x14ac:dyDescent="0.3">
      <c r="M5210" s="35">
        <v>34.47</v>
      </c>
      <c r="N5210">
        <v>305</v>
      </c>
      <c r="O5210" s="34">
        <f t="shared" si="82"/>
        <v>0.59307753614935754</v>
      </c>
    </row>
    <row r="5211" spans="13:15" x14ac:dyDescent="0.3">
      <c r="M5211" s="35">
        <v>34.47</v>
      </c>
      <c r="N5211">
        <v>305</v>
      </c>
      <c r="O5211" s="34">
        <f t="shared" si="82"/>
        <v>0.59319139246269015</v>
      </c>
    </row>
    <row r="5212" spans="13:15" x14ac:dyDescent="0.3">
      <c r="M5212" s="35">
        <v>34.479999999999997</v>
      </c>
      <c r="N5212">
        <v>305</v>
      </c>
      <c r="O5212" s="34">
        <f t="shared" si="82"/>
        <v>0.59330524877602275</v>
      </c>
    </row>
    <row r="5213" spans="13:15" x14ac:dyDescent="0.3">
      <c r="M5213" s="35">
        <v>34.479999999999997</v>
      </c>
      <c r="N5213">
        <v>305</v>
      </c>
      <c r="O5213" s="34">
        <f t="shared" si="82"/>
        <v>0.59341910508935536</v>
      </c>
    </row>
    <row r="5214" spans="13:15" x14ac:dyDescent="0.3">
      <c r="M5214" s="35">
        <v>34.49</v>
      </c>
      <c r="N5214">
        <v>305</v>
      </c>
      <c r="O5214" s="34">
        <f t="shared" si="82"/>
        <v>0.59353296140268796</v>
      </c>
    </row>
    <row r="5215" spans="13:15" x14ac:dyDescent="0.3">
      <c r="M5215" s="35">
        <v>34.49</v>
      </c>
      <c r="N5215">
        <v>305</v>
      </c>
      <c r="O5215" s="34">
        <f t="shared" si="82"/>
        <v>0.59364681771602057</v>
      </c>
    </row>
    <row r="5216" spans="13:15" x14ac:dyDescent="0.3">
      <c r="M5216" s="35">
        <v>34.5</v>
      </c>
      <c r="N5216">
        <v>305</v>
      </c>
      <c r="O5216" s="34">
        <f t="shared" si="82"/>
        <v>0.59376067402935317</v>
      </c>
    </row>
    <row r="5217" spans="13:15" x14ac:dyDescent="0.3">
      <c r="M5217" s="35">
        <v>34.5</v>
      </c>
      <c r="N5217">
        <v>305</v>
      </c>
      <c r="O5217" s="34">
        <f t="shared" si="82"/>
        <v>0.59387453034268578</v>
      </c>
    </row>
    <row r="5218" spans="13:15" x14ac:dyDescent="0.3">
      <c r="M5218" s="35">
        <v>34.5</v>
      </c>
      <c r="N5218">
        <v>305</v>
      </c>
      <c r="O5218" s="34">
        <f t="shared" si="82"/>
        <v>0.59398838665601839</v>
      </c>
    </row>
    <row r="5219" spans="13:15" x14ac:dyDescent="0.3">
      <c r="M5219" s="35">
        <v>34.51</v>
      </c>
      <c r="N5219">
        <v>305</v>
      </c>
      <c r="O5219" s="34">
        <f t="shared" si="82"/>
        <v>0.59410224296935099</v>
      </c>
    </row>
    <row r="5220" spans="13:15" x14ac:dyDescent="0.3">
      <c r="M5220" s="35">
        <v>34.520000000000003</v>
      </c>
      <c r="N5220">
        <v>305</v>
      </c>
      <c r="O5220" s="34">
        <f t="shared" si="82"/>
        <v>0.5942160992826836</v>
      </c>
    </row>
    <row r="5221" spans="13:15" x14ac:dyDescent="0.3">
      <c r="M5221" s="35">
        <v>34.53</v>
      </c>
      <c r="N5221">
        <v>305</v>
      </c>
      <c r="O5221" s="34">
        <f t="shared" si="82"/>
        <v>0.5943299555960162</v>
      </c>
    </row>
    <row r="5222" spans="13:15" x14ac:dyDescent="0.3">
      <c r="M5222" s="35">
        <v>34.53</v>
      </c>
      <c r="N5222">
        <v>305</v>
      </c>
      <c r="O5222" s="34">
        <f t="shared" si="82"/>
        <v>0.59444381190934881</v>
      </c>
    </row>
    <row r="5223" spans="13:15" x14ac:dyDescent="0.3">
      <c r="M5223" s="35">
        <v>34.53</v>
      </c>
      <c r="N5223">
        <v>305</v>
      </c>
      <c r="O5223" s="34">
        <f t="shared" si="82"/>
        <v>0.59455766822268141</v>
      </c>
    </row>
    <row r="5224" spans="13:15" x14ac:dyDescent="0.3">
      <c r="M5224" s="35">
        <v>34.54</v>
      </c>
      <c r="N5224">
        <v>305</v>
      </c>
      <c r="O5224" s="34">
        <f t="shared" si="82"/>
        <v>0.59467152453601402</v>
      </c>
    </row>
    <row r="5225" spans="13:15" x14ac:dyDescent="0.3">
      <c r="M5225" s="35">
        <v>34.54</v>
      </c>
      <c r="N5225">
        <v>305</v>
      </c>
      <c r="O5225" s="34">
        <f t="shared" si="82"/>
        <v>0.59478538084934662</v>
      </c>
    </row>
    <row r="5226" spans="13:15" x14ac:dyDescent="0.3">
      <c r="M5226" s="35">
        <v>34.549999999999997</v>
      </c>
      <c r="N5226">
        <v>305</v>
      </c>
      <c r="O5226" s="34">
        <f t="shared" si="82"/>
        <v>0.59489923716267923</v>
      </c>
    </row>
    <row r="5227" spans="13:15" x14ac:dyDescent="0.3">
      <c r="M5227" s="35">
        <v>34.549999999999997</v>
      </c>
      <c r="N5227">
        <v>305</v>
      </c>
      <c r="O5227" s="34">
        <f t="shared" si="82"/>
        <v>0.59501309347601183</v>
      </c>
    </row>
    <row r="5228" spans="13:15" x14ac:dyDescent="0.3">
      <c r="M5228" s="35">
        <v>34.549999999999997</v>
      </c>
      <c r="N5228">
        <v>305</v>
      </c>
      <c r="O5228" s="34">
        <f t="shared" si="82"/>
        <v>0.59512694978934444</v>
      </c>
    </row>
    <row r="5229" spans="13:15" x14ac:dyDescent="0.3">
      <c r="M5229" s="35">
        <v>34.56</v>
      </c>
      <c r="N5229">
        <v>305</v>
      </c>
      <c r="O5229" s="34">
        <f t="shared" si="82"/>
        <v>0.59524080610267704</v>
      </c>
    </row>
    <row r="5230" spans="13:15" x14ac:dyDescent="0.3">
      <c r="M5230" s="35">
        <v>34.56</v>
      </c>
      <c r="N5230">
        <v>305</v>
      </c>
      <c r="O5230" s="34">
        <f t="shared" si="82"/>
        <v>0.59535466241600965</v>
      </c>
    </row>
    <row r="5231" spans="13:15" x14ac:dyDescent="0.3">
      <c r="M5231" s="35">
        <v>34.56</v>
      </c>
      <c r="N5231">
        <v>305</v>
      </c>
      <c r="O5231" s="34">
        <f t="shared" si="82"/>
        <v>0.59546851872934226</v>
      </c>
    </row>
    <row r="5232" spans="13:15" x14ac:dyDescent="0.3">
      <c r="M5232" s="35">
        <v>34.56</v>
      </c>
      <c r="N5232">
        <v>305</v>
      </c>
      <c r="O5232" s="34">
        <f t="shared" si="82"/>
        <v>0.59558237504267486</v>
      </c>
    </row>
    <row r="5233" spans="13:15" x14ac:dyDescent="0.3">
      <c r="M5233" s="35">
        <v>34.57</v>
      </c>
      <c r="N5233">
        <v>305</v>
      </c>
      <c r="O5233" s="34">
        <f t="shared" si="82"/>
        <v>0.59569623135600747</v>
      </c>
    </row>
    <row r="5234" spans="13:15" x14ac:dyDescent="0.3">
      <c r="M5234" s="35">
        <v>34.57</v>
      </c>
      <c r="N5234">
        <v>305</v>
      </c>
      <c r="O5234" s="34">
        <f t="shared" si="82"/>
        <v>0.59581008766934007</v>
      </c>
    </row>
    <row r="5235" spans="13:15" x14ac:dyDescent="0.3">
      <c r="M5235" s="35">
        <v>34.58</v>
      </c>
      <c r="N5235">
        <v>305</v>
      </c>
      <c r="O5235" s="34">
        <f t="shared" si="82"/>
        <v>0.59592394398267268</v>
      </c>
    </row>
    <row r="5236" spans="13:15" x14ac:dyDescent="0.3">
      <c r="M5236" s="35">
        <v>34.58</v>
      </c>
      <c r="N5236">
        <v>305</v>
      </c>
      <c r="O5236" s="34">
        <f t="shared" si="82"/>
        <v>0.59603780029600528</v>
      </c>
    </row>
    <row r="5237" spans="13:15" x14ac:dyDescent="0.3">
      <c r="M5237" s="35">
        <v>34.590000000000003</v>
      </c>
      <c r="N5237">
        <v>305</v>
      </c>
      <c r="O5237" s="34">
        <f t="shared" si="82"/>
        <v>0.59615165660933789</v>
      </c>
    </row>
    <row r="5238" spans="13:15" x14ac:dyDescent="0.3">
      <c r="M5238" s="35">
        <v>34.590000000000003</v>
      </c>
      <c r="N5238">
        <v>305</v>
      </c>
      <c r="O5238" s="34">
        <f t="shared" si="82"/>
        <v>0.59626551292267049</v>
      </c>
    </row>
    <row r="5239" spans="13:15" x14ac:dyDescent="0.3">
      <c r="M5239" s="35">
        <v>34.6</v>
      </c>
      <c r="N5239">
        <v>305</v>
      </c>
      <c r="O5239" s="34">
        <f t="shared" si="82"/>
        <v>0.5963793692360031</v>
      </c>
    </row>
    <row r="5240" spans="13:15" x14ac:dyDescent="0.3">
      <c r="M5240" s="35">
        <v>34.61</v>
      </c>
      <c r="N5240">
        <v>305</v>
      </c>
      <c r="O5240" s="34">
        <f t="shared" si="82"/>
        <v>0.5964932255493357</v>
      </c>
    </row>
    <row r="5241" spans="13:15" x14ac:dyDescent="0.3">
      <c r="M5241" s="35">
        <v>34.61</v>
      </c>
      <c r="N5241">
        <v>305</v>
      </c>
      <c r="O5241" s="34">
        <f t="shared" si="82"/>
        <v>0.59660708186266831</v>
      </c>
    </row>
    <row r="5242" spans="13:15" x14ac:dyDescent="0.3">
      <c r="M5242" s="35">
        <v>34.619999999999997</v>
      </c>
      <c r="N5242">
        <v>305</v>
      </c>
      <c r="O5242" s="34">
        <f t="shared" si="82"/>
        <v>0.59672093817600091</v>
      </c>
    </row>
    <row r="5243" spans="13:15" x14ac:dyDescent="0.3">
      <c r="M5243" s="35">
        <v>34.619999999999997</v>
      </c>
      <c r="N5243">
        <v>305</v>
      </c>
      <c r="O5243" s="34">
        <f t="shared" si="82"/>
        <v>0.59683479448933352</v>
      </c>
    </row>
    <row r="5244" spans="13:15" x14ac:dyDescent="0.3">
      <c r="M5244" s="35">
        <v>34.619999999999997</v>
      </c>
      <c r="N5244">
        <v>305</v>
      </c>
      <c r="O5244" s="34">
        <f t="shared" si="82"/>
        <v>0.59694865080266613</v>
      </c>
    </row>
    <row r="5245" spans="13:15" x14ac:dyDescent="0.3">
      <c r="M5245" s="35">
        <v>34.619999999999997</v>
      </c>
      <c r="N5245">
        <v>305</v>
      </c>
      <c r="O5245" s="34">
        <f t="shared" si="82"/>
        <v>0.59706250711599873</v>
      </c>
    </row>
    <row r="5246" spans="13:15" x14ac:dyDescent="0.3">
      <c r="M5246" s="35">
        <v>34.619999999999997</v>
      </c>
      <c r="N5246">
        <v>305</v>
      </c>
      <c r="O5246" s="34">
        <f t="shared" si="82"/>
        <v>0.59717636342933134</v>
      </c>
    </row>
    <row r="5247" spans="13:15" x14ac:dyDescent="0.3">
      <c r="M5247" s="35">
        <v>34.630000000000003</v>
      </c>
      <c r="N5247">
        <v>305</v>
      </c>
      <c r="O5247" s="34">
        <f t="shared" si="82"/>
        <v>0.59729021974266394</v>
      </c>
    </row>
    <row r="5248" spans="13:15" x14ac:dyDescent="0.3">
      <c r="M5248" s="35">
        <v>34.630000000000003</v>
      </c>
      <c r="N5248">
        <v>305</v>
      </c>
      <c r="O5248" s="34">
        <f t="shared" si="82"/>
        <v>0.59740407605599655</v>
      </c>
    </row>
    <row r="5249" spans="13:15" x14ac:dyDescent="0.3">
      <c r="M5249" s="35">
        <v>34.64</v>
      </c>
      <c r="N5249">
        <v>305</v>
      </c>
      <c r="O5249" s="34">
        <f t="shared" si="82"/>
        <v>0.59751793236932915</v>
      </c>
    </row>
    <row r="5250" spans="13:15" x14ac:dyDescent="0.3">
      <c r="M5250" s="35">
        <v>34.64</v>
      </c>
      <c r="N5250">
        <v>305</v>
      </c>
      <c r="O5250" s="34">
        <f t="shared" si="82"/>
        <v>0.59763178868266176</v>
      </c>
    </row>
    <row r="5251" spans="13:15" x14ac:dyDescent="0.3">
      <c r="M5251" s="35">
        <v>34.64</v>
      </c>
      <c r="N5251">
        <v>305</v>
      </c>
      <c r="O5251" s="34">
        <f t="shared" si="82"/>
        <v>0.59774564499599436</v>
      </c>
    </row>
    <row r="5252" spans="13:15" x14ac:dyDescent="0.3">
      <c r="M5252" s="35">
        <v>34.65</v>
      </c>
      <c r="N5252">
        <v>305</v>
      </c>
      <c r="O5252" s="34">
        <f t="shared" ref="O5252:O5315" si="83">O5251+O$2</f>
        <v>0.59785950130932697</v>
      </c>
    </row>
    <row r="5253" spans="13:15" x14ac:dyDescent="0.3">
      <c r="M5253" s="35">
        <v>34.65</v>
      </c>
      <c r="N5253">
        <v>305</v>
      </c>
      <c r="O5253" s="34">
        <f t="shared" si="83"/>
        <v>0.59797335762265957</v>
      </c>
    </row>
    <row r="5254" spans="13:15" x14ac:dyDescent="0.3">
      <c r="M5254" s="35">
        <v>34.659999999999997</v>
      </c>
      <c r="N5254">
        <v>305</v>
      </c>
      <c r="O5254" s="34">
        <f t="shared" si="83"/>
        <v>0.59808721393599218</v>
      </c>
    </row>
    <row r="5255" spans="13:15" x14ac:dyDescent="0.3">
      <c r="M5255" s="35">
        <v>34.67</v>
      </c>
      <c r="N5255">
        <v>305</v>
      </c>
      <c r="O5255" s="34">
        <f t="shared" si="83"/>
        <v>0.59820107024932478</v>
      </c>
    </row>
    <row r="5256" spans="13:15" x14ac:dyDescent="0.3">
      <c r="M5256" s="35">
        <v>34.68</v>
      </c>
      <c r="N5256">
        <v>305</v>
      </c>
      <c r="O5256" s="34">
        <f t="shared" si="83"/>
        <v>0.59831492656265739</v>
      </c>
    </row>
    <row r="5257" spans="13:15" x14ac:dyDescent="0.3">
      <c r="M5257" s="35">
        <v>34.68</v>
      </c>
      <c r="N5257">
        <v>305</v>
      </c>
      <c r="O5257" s="34">
        <f t="shared" si="83"/>
        <v>0.59842878287599</v>
      </c>
    </row>
    <row r="5258" spans="13:15" x14ac:dyDescent="0.3">
      <c r="M5258" s="35">
        <v>34.700000000000003</v>
      </c>
      <c r="N5258">
        <v>305</v>
      </c>
      <c r="O5258" s="34">
        <f t="shared" si="83"/>
        <v>0.5985426391893226</v>
      </c>
    </row>
    <row r="5259" spans="13:15" x14ac:dyDescent="0.3">
      <c r="M5259" s="35">
        <v>34.700000000000003</v>
      </c>
      <c r="N5259">
        <v>305</v>
      </c>
      <c r="O5259" s="34">
        <f t="shared" si="83"/>
        <v>0.59865649550265521</v>
      </c>
    </row>
    <row r="5260" spans="13:15" x14ac:dyDescent="0.3">
      <c r="M5260" s="35">
        <v>34.72</v>
      </c>
      <c r="N5260">
        <v>305</v>
      </c>
      <c r="O5260" s="34">
        <f t="shared" si="83"/>
        <v>0.59877035181598781</v>
      </c>
    </row>
    <row r="5261" spans="13:15" x14ac:dyDescent="0.3">
      <c r="M5261" s="35">
        <v>34.72</v>
      </c>
      <c r="N5261">
        <v>305</v>
      </c>
      <c r="O5261" s="34">
        <f t="shared" si="83"/>
        <v>0.59888420812932042</v>
      </c>
    </row>
    <row r="5262" spans="13:15" x14ac:dyDescent="0.3">
      <c r="M5262" s="35">
        <v>34.72</v>
      </c>
      <c r="N5262">
        <v>305</v>
      </c>
      <c r="O5262" s="34">
        <f t="shared" si="83"/>
        <v>0.59899806444265302</v>
      </c>
    </row>
    <row r="5263" spans="13:15" x14ac:dyDescent="0.3">
      <c r="M5263" s="35">
        <v>34.72</v>
      </c>
      <c r="N5263">
        <v>305</v>
      </c>
      <c r="O5263" s="34">
        <f t="shared" si="83"/>
        <v>0.59911192075598563</v>
      </c>
    </row>
    <row r="5264" spans="13:15" x14ac:dyDescent="0.3">
      <c r="M5264" s="35">
        <v>34.729999999999997</v>
      </c>
      <c r="N5264">
        <v>305</v>
      </c>
      <c r="O5264" s="34">
        <f t="shared" si="83"/>
        <v>0.59922577706931823</v>
      </c>
    </row>
    <row r="5265" spans="13:15" x14ac:dyDescent="0.3">
      <c r="M5265" s="35">
        <v>34.729999999999997</v>
      </c>
      <c r="N5265">
        <v>305</v>
      </c>
      <c r="O5265" s="34">
        <f t="shared" si="83"/>
        <v>0.59933963338265084</v>
      </c>
    </row>
    <row r="5266" spans="13:15" x14ac:dyDescent="0.3">
      <c r="M5266" s="35">
        <v>34.729999999999997</v>
      </c>
      <c r="N5266">
        <v>305</v>
      </c>
      <c r="O5266" s="34">
        <f t="shared" si="83"/>
        <v>0.59945348969598344</v>
      </c>
    </row>
    <row r="5267" spans="13:15" x14ac:dyDescent="0.3">
      <c r="M5267" s="35">
        <v>34.729999999999997</v>
      </c>
      <c r="N5267">
        <v>305</v>
      </c>
      <c r="O5267" s="34">
        <f t="shared" si="83"/>
        <v>0.59956734600931605</v>
      </c>
    </row>
    <row r="5268" spans="13:15" x14ac:dyDescent="0.3">
      <c r="M5268" s="35">
        <v>34.74</v>
      </c>
      <c r="N5268">
        <v>305</v>
      </c>
      <c r="O5268" s="34">
        <f t="shared" si="83"/>
        <v>0.59968120232264865</v>
      </c>
    </row>
    <row r="5269" spans="13:15" x14ac:dyDescent="0.3">
      <c r="M5269" s="35">
        <v>34.74</v>
      </c>
      <c r="N5269">
        <v>305</v>
      </c>
      <c r="O5269" s="34">
        <f t="shared" si="83"/>
        <v>0.59979505863598126</v>
      </c>
    </row>
    <row r="5270" spans="13:15" x14ac:dyDescent="0.3">
      <c r="M5270" s="35">
        <v>34.75</v>
      </c>
      <c r="N5270">
        <v>305</v>
      </c>
      <c r="O5270" s="34">
        <f t="shared" si="83"/>
        <v>0.59990891494931387</v>
      </c>
    </row>
    <row r="5271" spans="13:15" x14ac:dyDescent="0.3">
      <c r="M5271" s="35">
        <v>34.75</v>
      </c>
      <c r="N5271">
        <v>305</v>
      </c>
      <c r="O5271" s="34">
        <f t="shared" si="83"/>
        <v>0.60002277126264647</v>
      </c>
    </row>
    <row r="5272" spans="13:15" x14ac:dyDescent="0.3">
      <c r="M5272" s="35">
        <v>34.76</v>
      </c>
      <c r="N5272">
        <v>305</v>
      </c>
      <c r="O5272" s="34">
        <f t="shared" si="83"/>
        <v>0.60013662757597908</v>
      </c>
    </row>
    <row r="5273" spans="13:15" x14ac:dyDescent="0.3">
      <c r="M5273" s="35">
        <v>34.770000000000003</v>
      </c>
      <c r="N5273">
        <v>305</v>
      </c>
      <c r="O5273" s="34">
        <f t="shared" si="83"/>
        <v>0.60025048388931168</v>
      </c>
    </row>
    <row r="5274" spans="13:15" x14ac:dyDescent="0.3">
      <c r="M5274" s="35">
        <v>34.770000000000003</v>
      </c>
      <c r="N5274">
        <v>305</v>
      </c>
      <c r="O5274" s="34">
        <f t="shared" si="83"/>
        <v>0.60036434020264429</v>
      </c>
    </row>
    <row r="5275" spans="13:15" x14ac:dyDescent="0.3">
      <c r="M5275" s="35">
        <v>34.770000000000003</v>
      </c>
      <c r="N5275">
        <v>305</v>
      </c>
      <c r="O5275" s="34">
        <f t="shared" si="83"/>
        <v>0.60047819651597689</v>
      </c>
    </row>
    <row r="5276" spans="13:15" x14ac:dyDescent="0.3">
      <c r="M5276" s="35">
        <v>34.770000000000003</v>
      </c>
      <c r="N5276">
        <v>305</v>
      </c>
      <c r="O5276" s="34">
        <f t="shared" si="83"/>
        <v>0.6005920528293095</v>
      </c>
    </row>
    <row r="5277" spans="13:15" x14ac:dyDescent="0.3">
      <c r="M5277" s="35">
        <v>34.78</v>
      </c>
      <c r="N5277">
        <v>305</v>
      </c>
      <c r="O5277" s="34">
        <f t="shared" si="83"/>
        <v>0.6007059091426421</v>
      </c>
    </row>
    <row r="5278" spans="13:15" x14ac:dyDescent="0.3">
      <c r="M5278" s="35">
        <v>34.79</v>
      </c>
      <c r="N5278">
        <v>305</v>
      </c>
      <c r="O5278" s="34">
        <f t="shared" si="83"/>
        <v>0.60081976545597471</v>
      </c>
    </row>
    <row r="5279" spans="13:15" x14ac:dyDescent="0.3">
      <c r="M5279" s="35">
        <v>34.79</v>
      </c>
      <c r="N5279">
        <v>305</v>
      </c>
      <c r="O5279" s="34">
        <f t="shared" si="83"/>
        <v>0.60093362176930731</v>
      </c>
    </row>
    <row r="5280" spans="13:15" x14ac:dyDescent="0.3">
      <c r="M5280" s="35">
        <v>34.799999999999997</v>
      </c>
      <c r="N5280">
        <v>305</v>
      </c>
      <c r="O5280" s="34">
        <f t="shared" si="83"/>
        <v>0.60104747808263992</v>
      </c>
    </row>
    <row r="5281" spans="13:15" x14ac:dyDescent="0.3">
      <c r="M5281" s="35">
        <v>34.799999999999997</v>
      </c>
      <c r="N5281">
        <v>305</v>
      </c>
      <c r="O5281" s="34">
        <f t="shared" si="83"/>
        <v>0.60116133439597252</v>
      </c>
    </row>
    <row r="5282" spans="13:15" x14ac:dyDescent="0.3">
      <c r="M5282" s="35">
        <v>34.799999999999997</v>
      </c>
      <c r="N5282">
        <v>305</v>
      </c>
      <c r="O5282" s="34">
        <f t="shared" si="83"/>
        <v>0.60127519070930513</v>
      </c>
    </row>
    <row r="5283" spans="13:15" x14ac:dyDescent="0.3">
      <c r="M5283" s="35">
        <v>34.81</v>
      </c>
      <c r="N5283">
        <v>305</v>
      </c>
      <c r="O5283" s="34">
        <f t="shared" si="83"/>
        <v>0.60138904702263773</v>
      </c>
    </row>
    <row r="5284" spans="13:15" x14ac:dyDescent="0.3">
      <c r="M5284" s="35">
        <v>34.81</v>
      </c>
      <c r="N5284">
        <v>305</v>
      </c>
      <c r="O5284" s="34">
        <f t="shared" si="83"/>
        <v>0.60150290333597034</v>
      </c>
    </row>
    <row r="5285" spans="13:15" x14ac:dyDescent="0.3">
      <c r="M5285" s="35">
        <v>34.81</v>
      </c>
      <c r="N5285">
        <v>305</v>
      </c>
      <c r="O5285" s="34">
        <f t="shared" si="83"/>
        <v>0.60161675964930295</v>
      </c>
    </row>
    <row r="5286" spans="13:15" x14ac:dyDescent="0.3">
      <c r="M5286" s="35">
        <v>34.81</v>
      </c>
      <c r="N5286">
        <v>305</v>
      </c>
      <c r="O5286" s="34">
        <f t="shared" si="83"/>
        <v>0.60173061596263555</v>
      </c>
    </row>
    <row r="5287" spans="13:15" x14ac:dyDescent="0.3">
      <c r="M5287" s="35">
        <v>34.82</v>
      </c>
      <c r="N5287">
        <v>305</v>
      </c>
      <c r="O5287" s="34">
        <f t="shared" si="83"/>
        <v>0.60184447227596816</v>
      </c>
    </row>
    <row r="5288" spans="13:15" x14ac:dyDescent="0.3">
      <c r="M5288" s="35">
        <v>34.82</v>
      </c>
      <c r="N5288">
        <v>305</v>
      </c>
      <c r="O5288" s="34">
        <f t="shared" si="83"/>
        <v>0.60195832858930076</v>
      </c>
    </row>
    <row r="5289" spans="13:15" x14ac:dyDescent="0.3">
      <c r="M5289" s="35">
        <v>34.82</v>
      </c>
      <c r="N5289">
        <v>305</v>
      </c>
      <c r="O5289" s="34">
        <f t="shared" si="83"/>
        <v>0.60207218490263337</v>
      </c>
    </row>
    <row r="5290" spans="13:15" x14ac:dyDescent="0.3">
      <c r="M5290" s="35">
        <v>34.83</v>
      </c>
      <c r="N5290">
        <v>305</v>
      </c>
      <c r="O5290" s="34">
        <f t="shared" si="83"/>
        <v>0.60218604121596597</v>
      </c>
    </row>
    <row r="5291" spans="13:15" x14ac:dyDescent="0.3">
      <c r="M5291" s="35">
        <v>34.840000000000003</v>
      </c>
      <c r="N5291">
        <v>305</v>
      </c>
      <c r="O5291" s="34">
        <f t="shared" si="83"/>
        <v>0.60229989752929858</v>
      </c>
    </row>
    <row r="5292" spans="13:15" x14ac:dyDescent="0.3">
      <c r="M5292" s="35">
        <v>34.840000000000003</v>
      </c>
      <c r="N5292">
        <v>305</v>
      </c>
      <c r="O5292" s="34">
        <f t="shared" si="83"/>
        <v>0.60241375384263118</v>
      </c>
    </row>
    <row r="5293" spans="13:15" x14ac:dyDescent="0.3">
      <c r="M5293" s="35">
        <v>34.840000000000003</v>
      </c>
      <c r="N5293">
        <v>305</v>
      </c>
      <c r="O5293" s="34">
        <f t="shared" si="83"/>
        <v>0.60252761015596379</v>
      </c>
    </row>
    <row r="5294" spans="13:15" x14ac:dyDescent="0.3">
      <c r="M5294" s="35">
        <v>34.85</v>
      </c>
      <c r="N5294">
        <v>305</v>
      </c>
      <c r="O5294" s="34">
        <f t="shared" si="83"/>
        <v>0.60264146646929639</v>
      </c>
    </row>
    <row r="5295" spans="13:15" x14ac:dyDescent="0.3">
      <c r="M5295" s="35">
        <v>34.86</v>
      </c>
      <c r="N5295">
        <v>305</v>
      </c>
      <c r="O5295" s="34">
        <f t="shared" si="83"/>
        <v>0.602755322782629</v>
      </c>
    </row>
    <row r="5296" spans="13:15" x14ac:dyDescent="0.3">
      <c r="M5296" s="35">
        <v>34.869999999999997</v>
      </c>
      <c r="N5296">
        <v>305</v>
      </c>
      <c r="O5296" s="34">
        <f t="shared" si="83"/>
        <v>0.6028691790959616</v>
      </c>
    </row>
    <row r="5297" spans="13:15" x14ac:dyDescent="0.3">
      <c r="M5297" s="35">
        <v>34.880000000000003</v>
      </c>
      <c r="N5297">
        <v>305</v>
      </c>
      <c r="O5297" s="34">
        <f t="shared" si="83"/>
        <v>0.60298303540929421</v>
      </c>
    </row>
    <row r="5298" spans="13:15" x14ac:dyDescent="0.3">
      <c r="M5298" s="35">
        <v>34.89</v>
      </c>
      <c r="N5298">
        <v>305</v>
      </c>
      <c r="O5298" s="34">
        <f t="shared" si="83"/>
        <v>0.60309689172262682</v>
      </c>
    </row>
    <row r="5299" spans="13:15" x14ac:dyDescent="0.3">
      <c r="M5299" s="35">
        <v>34.9</v>
      </c>
      <c r="N5299">
        <v>305</v>
      </c>
      <c r="O5299" s="34">
        <f t="shared" si="83"/>
        <v>0.60321074803595942</v>
      </c>
    </row>
    <row r="5300" spans="13:15" x14ac:dyDescent="0.3">
      <c r="M5300" s="35">
        <v>34.9</v>
      </c>
      <c r="N5300">
        <v>305</v>
      </c>
      <c r="O5300" s="34">
        <f t="shared" si="83"/>
        <v>0.60332460434929203</v>
      </c>
    </row>
    <row r="5301" spans="13:15" x14ac:dyDescent="0.3">
      <c r="M5301" s="35">
        <v>34.909999999999997</v>
      </c>
      <c r="N5301">
        <v>305</v>
      </c>
      <c r="O5301" s="34">
        <f t="shared" si="83"/>
        <v>0.60343846066262463</v>
      </c>
    </row>
    <row r="5302" spans="13:15" x14ac:dyDescent="0.3">
      <c r="M5302" s="35">
        <v>34.909999999999997</v>
      </c>
      <c r="N5302">
        <v>305</v>
      </c>
      <c r="O5302" s="34">
        <f t="shared" si="83"/>
        <v>0.60355231697595724</v>
      </c>
    </row>
    <row r="5303" spans="13:15" x14ac:dyDescent="0.3">
      <c r="M5303" s="35">
        <v>34.92</v>
      </c>
      <c r="N5303">
        <v>305</v>
      </c>
      <c r="O5303" s="34">
        <f t="shared" si="83"/>
        <v>0.60366617328928984</v>
      </c>
    </row>
    <row r="5304" spans="13:15" x14ac:dyDescent="0.3">
      <c r="M5304" s="35">
        <v>34.93</v>
      </c>
      <c r="N5304">
        <v>305</v>
      </c>
      <c r="O5304" s="34">
        <f t="shared" si="83"/>
        <v>0.60378002960262245</v>
      </c>
    </row>
    <row r="5305" spans="13:15" x14ac:dyDescent="0.3">
      <c r="M5305" s="35">
        <v>34.93</v>
      </c>
      <c r="N5305">
        <v>305</v>
      </c>
      <c r="O5305" s="34">
        <f t="shared" si="83"/>
        <v>0.60389388591595505</v>
      </c>
    </row>
    <row r="5306" spans="13:15" x14ac:dyDescent="0.3">
      <c r="M5306" s="35">
        <v>34.94</v>
      </c>
      <c r="N5306">
        <v>305</v>
      </c>
      <c r="O5306" s="34">
        <f t="shared" si="83"/>
        <v>0.60400774222928766</v>
      </c>
    </row>
    <row r="5307" spans="13:15" x14ac:dyDescent="0.3">
      <c r="M5307" s="35">
        <v>34.96</v>
      </c>
      <c r="N5307">
        <v>305</v>
      </c>
      <c r="O5307" s="34">
        <f t="shared" si="83"/>
        <v>0.60412159854262026</v>
      </c>
    </row>
    <row r="5308" spans="13:15" x14ac:dyDescent="0.3">
      <c r="M5308" s="35">
        <v>34.97</v>
      </c>
      <c r="N5308">
        <v>305</v>
      </c>
      <c r="O5308" s="34">
        <f t="shared" si="83"/>
        <v>0.60423545485595287</v>
      </c>
    </row>
    <row r="5309" spans="13:15" x14ac:dyDescent="0.3">
      <c r="M5309" s="35">
        <v>34.979999999999997</v>
      </c>
      <c r="N5309">
        <v>305</v>
      </c>
      <c r="O5309" s="34">
        <f t="shared" si="83"/>
        <v>0.60434931116928547</v>
      </c>
    </row>
    <row r="5310" spans="13:15" x14ac:dyDescent="0.3">
      <c r="M5310" s="35">
        <v>34.979999999999997</v>
      </c>
      <c r="N5310">
        <v>305</v>
      </c>
      <c r="O5310" s="34">
        <f t="shared" si="83"/>
        <v>0.60446316748261808</v>
      </c>
    </row>
    <row r="5311" spans="13:15" x14ac:dyDescent="0.3">
      <c r="M5311" s="35">
        <v>34.99</v>
      </c>
      <c r="N5311">
        <v>305</v>
      </c>
      <c r="O5311" s="34">
        <f t="shared" si="83"/>
        <v>0.60457702379595069</v>
      </c>
    </row>
    <row r="5312" spans="13:15" x14ac:dyDescent="0.3">
      <c r="M5312" s="35">
        <v>34.99</v>
      </c>
      <c r="N5312">
        <v>305</v>
      </c>
      <c r="O5312" s="34">
        <f t="shared" si="83"/>
        <v>0.60469088010928329</v>
      </c>
    </row>
    <row r="5313" spans="13:15" x14ac:dyDescent="0.3">
      <c r="M5313" s="35">
        <v>34.99</v>
      </c>
      <c r="N5313">
        <v>305</v>
      </c>
      <c r="O5313" s="34">
        <f t="shared" si="83"/>
        <v>0.6048047364226159</v>
      </c>
    </row>
    <row r="5314" spans="13:15" x14ac:dyDescent="0.3">
      <c r="M5314" s="35">
        <v>35.020000000000003</v>
      </c>
      <c r="N5314">
        <v>305</v>
      </c>
      <c r="O5314" s="34">
        <f t="shared" si="83"/>
        <v>0.6049185927359485</v>
      </c>
    </row>
    <row r="5315" spans="13:15" x14ac:dyDescent="0.3">
      <c r="M5315" s="35">
        <v>35.020000000000003</v>
      </c>
      <c r="N5315">
        <v>305</v>
      </c>
      <c r="O5315" s="34">
        <f t="shared" si="83"/>
        <v>0.60503244904928111</v>
      </c>
    </row>
    <row r="5316" spans="13:15" x14ac:dyDescent="0.3">
      <c r="M5316" s="35">
        <v>35.03</v>
      </c>
      <c r="N5316">
        <v>305</v>
      </c>
      <c r="O5316" s="34">
        <f t="shared" ref="O5316:O5379" si="84">O5315+O$2</f>
        <v>0.60514630536261371</v>
      </c>
    </row>
    <row r="5317" spans="13:15" x14ac:dyDescent="0.3">
      <c r="M5317" s="35">
        <v>35.04</v>
      </c>
      <c r="N5317">
        <v>305</v>
      </c>
      <c r="O5317" s="34">
        <f t="shared" si="84"/>
        <v>0.60526016167594632</v>
      </c>
    </row>
    <row r="5318" spans="13:15" x14ac:dyDescent="0.3">
      <c r="M5318" s="35">
        <v>35.049999999999997</v>
      </c>
      <c r="N5318">
        <v>305</v>
      </c>
      <c r="O5318" s="34">
        <f t="shared" si="84"/>
        <v>0.60537401798927892</v>
      </c>
    </row>
    <row r="5319" spans="13:15" x14ac:dyDescent="0.3">
      <c r="M5319" s="35">
        <v>35.049999999999997</v>
      </c>
      <c r="N5319">
        <v>305</v>
      </c>
      <c r="O5319" s="34">
        <f t="shared" si="84"/>
        <v>0.60548787430261153</v>
      </c>
    </row>
    <row r="5320" spans="13:15" x14ac:dyDescent="0.3">
      <c r="M5320" s="35">
        <v>35.06</v>
      </c>
      <c r="N5320">
        <v>305</v>
      </c>
      <c r="O5320" s="34">
        <f t="shared" si="84"/>
        <v>0.60560173061594413</v>
      </c>
    </row>
    <row r="5321" spans="13:15" x14ac:dyDescent="0.3">
      <c r="M5321" s="35">
        <v>35.06</v>
      </c>
      <c r="N5321">
        <v>305</v>
      </c>
      <c r="O5321" s="34">
        <f t="shared" si="84"/>
        <v>0.60571558692927674</v>
      </c>
    </row>
    <row r="5322" spans="13:15" x14ac:dyDescent="0.3">
      <c r="M5322" s="35">
        <v>35.06</v>
      </c>
      <c r="N5322">
        <v>305</v>
      </c>
      <c r="O5322" s="34">
        <f t="shared" si="84"/>
        <v>0.60582944324260934</v>
      </c>
    </row>
    <row r="5323" spans="13:15" x14ac:dyDescent="0.3">
      <c r="M5323" s="35">
        <v>35.06</v>
      </c>
      <c r="N5323">
        <v>305</v>
      </c>
      <c r="O5323" s="34">
        <f t="shared" si="84"/>
        <v>0.60594329955594195</v>
      </c>
    </row>
    <row r="5324" spans="13:15" x14ac:dyDescent="0.3">
      <c r="M5324" s="35">
        <v>35.06</v>
      </c>
      <c r="N5324">
        <v>305</v>
      </c>
      <c r="O5324" s="34">
        <f t="shared" si="84"/>
        <v>0.60605715586927456</v>
      </c>
    </row>
    <row r="5325" spans="13:15" x14ac:dyDescent="0.3">
      <c r="M5325" s="35">
        <v>35.07</v>
      </c>
      <c r="N5325">
        <v>305</v>
      </c>
      <c r="O5325" s="34">
        <f t="shared" si="84"/>
        <v>0.60617101218260716</v>
      </c>
    </row>
    <row r="5326" spans="13:15" x14ac:dyDescent="0.3">
      <c r="M5326" s="35">
        <v>35.07</v>
      </c>
      <c r="N5326">
        <v>305</v>
      </c>
      <c r="O5326" s="34">
        <f t="shared" si="84"/>
        <v>0.60628486849593977</v>
      </c>
    </row>
    <row r="5327" spans="13:15" x14ac:dyDescent="0.3">
      <c r="M5327" s="35">
        <v>35.090000000000003</v>
      </c>
      <c r="N5327">
        <v>305</v>
      </c>
      <c r="O5327" s="34">
        <f t="shared" si="84"/>
        <v>0.60639872480927237</v>
      </c>
    </row>
    <row r="5328" spans="13:15" x14ac:dyDescent="0.3">
      <c r="M5328" s="35">
        <v>35.090000000000003</v>
      </c>
      <c r="N5328">
        <v>305</v>
      </c>
      <c r="O5328" s="34">
        <f t="shared" si="84"/>
        <v>0.60651258112260498</v>
      </c>
    </row>
    <row r="5329" spans="13:15" x14ac:dyDescent="0.3">
      <c r="M5329" s="35">
        <v>35.1</v>
      </c>
      <c r="N5329">
        <v>305</v>
      </c>
      <c r="O5329" s="34">
        <f t="shared" si="84"/>
        <v>0.60662643743593758</v>
      </c>
    </row>
    <row r="5330" spans="13:15" x14ac:dyDescent="0.3">
      <c r="M5330" s="35">
        <v>35.11</v>
      </c>
      <c r="N5330">
        <v>305</v>
      </c>
      <c r="O5330" s="34">
        <f t="shared" si="84"/>
        <v>0.60674029374927019</v>
      </c>
    </row>
    <row r="5331" spans="13:15" x14ac:dyDescent="0.3">
      <c r="M5331" s="35">
        <v>35.119999999999997</v>
      </c>
      <c r="N5331">
        <v>305</v>
      </c>
      <c r="O5331" s="34">
        <f t="shared" si="84"/>
        <v>0.60685415006260279</v>
      </c>
    </row>
    <row r="5332" spans="13:15" x14ac:dyDescent="0.3">
      <c r="M5332" s="35">
        <v>35.130000000000003</v>
      </c>
      <c r="N5332">
        <v>305</v>
      </c>
      <c r="O5332" s="34">
        <f t="shared" si="84"/>
        <v>0.6069680063759354</v>
      </c>
    </row>
    <row r="5333" spans="13:15" x14ac:dyDescent="0.3">
      <c r="M5333" s="35">
        <v>35.130000000000003</v>
      </c>
      <c r="N5333">
        <v>305</v>
      </c>
      <c r="O5333" s="34">
        <f t="shared" si="84"/>
        <v>0.607081862689268</v>
      </c>
    </row>
    <row r="5334" spans="13:15" x14ac:dyDescent="0.3">
      <c r="M5334" s="35">
        <v>35.130000000000003</v>
      </c>
      <c r="N5334">
        <v>305</v>
      </c>
      <c r="O5334" s="34">
        <f t="shared" si="84"/>
        <v>0.60719571900260061</v>
      </c>
    </row>
    <row r="5335" spans="13:15" x14ac:dyDescent="0.3">
      <c r="M5335" s="35">
        <v>35.14</v>
      </c>
      <c r="N5335">
        <v>305</v>
      </c>
      <c r="O5335" s="34">
        <f t="shared" si="84"/>
        <v>0.60730957531593321</v>
      </c>
    </row>
    <row r="5336" spans="13:15" x14ac:dyDescent="0.3">
      <c r="M5336" s="35">
        <v>35.15</v>
      </c>
      <c r="N5336">
        <v>305</v>
      </c>
      <c r="O5336" s="34">
        <f t="shared" si="84"/>
        <v>0.60742343162926582</v>
      </c>
    </row>
    <row r="5337" spans="13:15" x14ac:dyDescent="0.3">
      <c r="M5337" s="35">
        <v>35.15</v>
      </c>
      <c r="N5337">
        <v>305</v>
      </c>
      <c r="O5337" s="34">
        <f t="shared" si="84"/>
        <v>0.60753728794259843</v>
      </c>
    </row>
    <row r="5338" spans="13:15" x14ac:dyDescent="0.3">
      <c r="M5338" s="35">
        <v>35.15</v>
      </c>
      <c r="N5338">
        <v>305</v>
      </c>
      <c r="O5338" s="34">
        <f t="shared" si="84"/>
        <v>0.60765114425593103</v>
      </c>
    </row>
    <row r="5339" spans="13:15" x14ac:dyDescent="0.3">
      <c r="M5339" s="35">
        <v>35.159999999999997</v>
      </c>
      <c r="N5339">
        <v>305</v>
      </c>
      <c r="O5339" s="34">
        <f t="shared" si="84"/>
        <v>0.60776500056926364</v>
      </c>
    </row>
    <row r="5340" spans="13:15" x14ac:dyDescent="0.3">
      <c r="M5340" s="35">
        <v>35.159999999999997</v>
      </c>
      <c r="N5340">
        <v>305</v>
      </c>
      <c r="O5340" s="34">
        <f t="shared" si="84"/>
        <v>0.60787885688259624</v>
      </c>
    </row>
    <row r="5341" spans="13:15" x14ac:dyDescent="0.3">
      <c r="M5341" s="35">
        <v>35.159999999999997</v>
      </c>
      <c r="N5341">
        <v>305</v>
      </c>
      <c r="O5341" s="34">
        <f t="shared" si="84"/>
        <v>0.60799271319592885</v>
      </c>
    </row>
    <row r="5342" spans="13:15" x14ac:dyDescent="0.3">
      <c r="M5342" s="35">
        <v>35.159999999999997</v>
      </c>
      <c r="N5342">
        <v>305</v>
      </c>
      <c r="O5342" s="34">
        <f t="shared" si="84"/>
        <v>0.60810656950926145</v>
      </c>
    </row>
    <row r="5343" spans="13:15" x14ac:dyDescent="0.3">
      <c r="M5343" s="35">
        <v>35.17</v>
      </c>
      <c r="N5343">
        <v>305</v>
      </c>
      <c r="O5343" s="34">
        <f t="shared" si="84"/>
        <v>0.60822042582259406</v>
      </c>
    </row>
    <row r="5344" spans="13:15" x14ac:dyDescent="0.3">
      <c r="M5344" s="35">
        <v>35.17</v>
      </c>
      <c r="N5344">
        <v>305</v>
      </c>
      <c r="O5344" s="34">
        <f t="shared" si="84"/>
        <v>0.60833428213592666</v>
      </c>
    </row>
    <row r="5345" spans="13:15" x14ac:dyDescent="0.3">
      <c r="M5345" s="35">
        <v>35.19</v>
      </c>
      <c r="N5345">
        <v>305</v>
      </c>
      <c r="O5345" s="34">
        <f t="shared" si="84"/>
        <v>0.60844813844925927</v>
      </c>
    </row>
    <row r="5346" spans="13:15" x14ac:dyDescent="0.3">
      <c r="M5346" s="35">
        <v>35.19</v>
      </c>
      <c r="N5346">
        <v>305</v>
      </c>
      <c r="O5346" s="34">
        <f t="shared" si="84"/>
        <v>0.60856199476259187</v>
      </c>
    </row>
    <row r="5347" spans="13:15" x14ac:dyDescent="0.3">
      <c r="M5347" s="35">
        <v>35.200000000000003</v>
      </c>
      <c r="N5347">
        <v>305</v>
      </c>
      <c r="O5347" s="34">
        <f t="shared" si="84"/>
        <v>0.60867585107592448</v>
      </c>
    </row>
    <row r="5348" spans="13:15" x14ac:dyDescent="0.3">
      <c r="M5348" s="35">
        <v>35.200000000000003</v>
      </c>
      <c r="N5348">
        <v>305</v>
      </c>
      <c r="O5348" s="34">
        <f t="shared" si="84"/>
        <v>0.60878970738925708</v>
      </c>
    </row>
    <row r="5349" spans="13:15" x14ac:dyDescent="0.3">
      <c r="M5349" s="35">
        <v>35.200000000000003</v>
      </c>
      <c r="N5349">
        <v>305</v>
      </c>
      <c r="O5349" s="34">
        <f t="shared" si="84"/>
        <v>0.60890356370258969</v>
      </c>
    </row>
    <row r="5350" spans="13:15" x14ac:dyDescent="0.3">
      <c r="M5350" s="35">
        <v>35.22</v>
      </c>
      <c r="N5350">
        <v>305</v>
      </c>
      <c r="O5350" s="34">
        <f t="shared" si="84"/>
        <v>0.6090174200159223</v>
      </c>
    </row>
    <row r="5351" spans="13:15" x14ac:dyDescent="0.3">
      <c r="M5351" s="35">
        <v>35.229999999999997</v>
      </c>
      <c r="N5351">
        <v>305</v>
      </c>
      <c r="O5351" s="34">
        <f t="shared" si="84"/>
        <v>0.6091312763292549</v>
      </c>
    </row>
    <row r="5352" spans="13:15" x14ac:dyDescent="0.3">
      <c r="M5352" s="35">
        <v>35.24</v>
      </c>
      <c r="N5352">
        <v>305</v>
      </c>
      <c r="O5352" s="34">
        <f t="shared" si="84"/>
        <v>0.60924513264258751</v>
      </c>
    </row>
    <row r="5353" spans="13:15" x14ac:dyDescent="0.3">
      <c r="M5353" s="35">
        <v>35.25</v>
      </c>
      <c r="N5353">
        <v>305</v>
      </c>
      <c r="O5353" s="34">
        <f t="shared" si="84"/>
        <v>0.60935898895592011</v>
      </c>
    </row>
    <row r="5354" spans="13:15" x14ac:dyDescent="0.3">
      <c r="M5354" s="35">
        <v>35.270000000000003</v>
      </c>
      <c r="N5354">
        <v>305</v>
      </c>
      <c r="O5354" s="34">
        <f t="shared" si="84"/>
        <v>0.60947284526925272</v>
      </c>
    </row>
    <row r="5355" spans="13:15" x14ac:dyDescent="0.3">
      <c r="M5355" s="35">
        <v>35.270000000000003</v>
      </c>
      <c r="N5355">
        <v>305</v>
      </c>
      <c r="O5355" s="34">
        <f t="shared" si="84"/>
        <v>0.60958670158258532</v>
      </c>
    </row>
    <row r="5356" spans="13:15" x14ac:dyDescent="0.3">
      <c r="M5356" s="35">
        <v>35.28</v>
      </c>
      <c r="N5356">
        <v>305</v>
      </c>
      <c r="O5356" s="34">
        <f t="shared" si="84"/>
        <v>0.60970055789591793</v>
      </c>
    </row>
    <row r="5357" spans="13:15" x14ac:dyDescent="0.3">
      <c r="M5357" s="35">
        <v>35.28</v>
      </c>
      <c r="N5357">
        <v>305</v>
      </c>
      <c r="O5357" s="34">
        <f t="shared" si="84"/>
        <v>0.60981441420925053</v>
      </c>
    </row>
    <row r="5358" spans="13:15" x14ac:dyDescent="0.3">
      <c r="M5358" s="35">
        <v>35.29</v>
      </c>
      <c r="N5358">
        <v>305</v>
      </c>
      <c r="O5358" s="34">
        <f t="shared" si="84"/>
        <v>0.60992827052258314</v>
      </c>
    </row>
    <row r="5359" spans="13:15" x14ac:dyDescent="0.3">
      <c r="M5359" s="35">
        <v>35.299999999999997</v>
      </c>
      <c r="N5359">
        <v>305</v>
      </c>
      <c r="O5359" s="34">
        <f t="shared" si="84"/>
        <v>0.61004212683591574</v>
      </c>
    </row>
    <row r="5360" spans="13:15" x14ac:dyDescent="0.3">
      <c r="M5360" s="35">
        <v>35.299999999999997</v>
      </c>
      <c r="N5360">
        <v>305</v>
      </c>
      <c r="O5360" s="34">
        <f t="shared" si="84"/>
        <v>0.61015598314924835</v>
      </c>
    </row>
    <row r="5361" spans="13:15" x14ac:dyDescent="0.3">
      <c r="M5361" s="35">
        <v>35.31</v>
      </c>
      <c r="N5361">
        <v>305</v>
      </c>
      <c r="O5361" s="34">
        <f t="shared" si="84"/>
        <v>0.61026983946258095</v>
      </c>
    </row>
    <row r="5362" spans="13:15" x14ac:dyDescent="0.3">
      <c r="M5362" s="35">
        <v>35.32</v>
      </c>
      <c r="N5362">
        <v>305</v>
      </c>
      <c r="O5362" s="34">
        <f t="shared" si="84"/>
        <v>0.61038369577591356</v>
      </c>
    </row>
    <row r="5363" spans="13:15" x14ac:dyDescent="0.3">
      <c r="M5363" s="35">
        <v>35.32</v>
      </c>
      <c r="N5363">
        <v>305</v>
      </c>
      <c r="O5363" s="34">
        <f t="shared" si="84"/>
        <v>0.61049755208924616</v>
      </c>
    </row>
    <row r="5364" spans="13:15" x14ac:dyDescent="0.3">
      <c r="M5364" s="35">
        <v>35.32</v>
      </c>
      <c r="N5364">
        <v>305</v>
      </c>
      <c r="O5364" s="34">
        <f t="shared" si="84"/>
        <v>0.61061140840257877</v>
      </c>
    </row>
    <row r="5365" spans="13:15" x14ac:dyDescent="0.3">
      <c r="M5365" s="35">
        <v>35.32</v>
      </c>
      <c r="N5365">
        <v>305</v>
      </c>
      <c r="O5365" s="34">
        <f t="shared" si="84"/>
        <v>0.61072526471591138</v>
      </c>
    </row>
    <row r="5366" spans="13:15" x14ac:dyDescent="0.3">
      <c r="M5366" s="35">
        <v>35.33</v>
      </c>
      <c r="N5366">
        <v>305</v>
      </c>
      <c r="O5366" s="34">
        <f t="shared" si="84"/>
        <v>0.61083912102924398</v>
      </c>
    </row>
    <row r="5367" spans="13:15" x14ac:dyDescent="0.3">
      <c r="M5367" s="35">
        <v>35.340000000000003</v>
      </c>
      <c r="N5367">
        <v>305</v>
      </c>
      <c r="O5367" s="34">
        <f t="shared" si="84"/>
        <v>0.61095297734257659</v>
      </c>
    </row>
    <row r="5368" spans="13:15" x14ac:dyDescent="0.3">
      <c r="M5368" s="35">
        <v>35.340000000000003</v>
      </c>
      <c r="N5368">
        <v>305</v>
      </c>
      <c r="O5368" s="34">
        <f t="shared" si="84"/>
        <v>0.61106683365590919</v>
      </c>
    </row>
    <row r="5369" spans="13:15" x14ac:dyDescent="0.3">
      <c r="M5369" s="35">
        <v>35.369999999999997</v>
      </c>
      <c r="N5369">
        <v>305</v>
      </c>
      <c r="O5369" s="34">
        <f t="shared" si="84"/>
        <v>0.6111806899692418</v>
      </c>
    </row>
    <row r="5370" spans="13:15" x14ac:dyDescent="0.3">
      <c r="M5370" s="35">
        <v>35.369999999999997</v>
      </c>
      <c r="N5370">
        <v>305</v>
      </c>
      <c r="O5370" s="34">
        <f t="shared" si="84"/>
        <v>0.6112945462825744</v>
      </c>
    </row>
    <row r="5371" spans="13:15" x14ac:dyDescent="0.3">
      <c r="M5371" s="35">
        <v>35.380000000000003</v>
      </c>
      <c r="N5371">
        <v>305</v>
      </c>
      <c r="O5371" s="34">
        <f t="shared" si="84"/>
        <v>0.61140840259590701</v>
      </c>
    </row>
    <row r="5372" spans="13:15" x14ac:dyDescent="0.3">
      <c r="M5372" s="35">
        <v>35.39</v>
      </c>
      <c r="N5372">
        <v>305</v>
      </c>
      <c r="O5372" s="34">
        <f t="shared" si="84"/>
        <v>0.61152225890923961</v>
      </c>
    </row>
    <row r="5373" spans="13:15" x14ac:dyDescent="0.3">
      <c r="M5373" s="35">
        <v>35.4</v>
      </c>
      <c r="N5373">
        <v>305</v>
      </c>
      <c r="O5373" s="34">
        <f t="shared" si="84"/>
        <v>0.61163611522257222</v>
      </c>
    </row>
    <row r="5374" spans="13:15" x14ac:dyDescent="0.3">
      <c r="M5374" s="35">
        <v>35.4</v>
      </c>
      <c r="N5374">
        <v>305</v>
      </c>
      <c r="O5374" s="34">
        <f t="shared" si="84"/>
        <v>0.61174997153590482</v>
      </c>
    </row>
    <row r="5375" spans="13:15" x14ac:dyDescent="0.3">
      <c r="M5375" s="35">
        <v>35.409999999999997</v>
      </c>
      <c r="N5375">
        <v>305</v>
      </c>
      <c r="O5375" s="34">
        <f t="shared" si="84"/>
        <v>0.61186382784923743</v>
      </c>
    </row>
    <row r="5376" spans="13:15" x14ac:dyDescent="0.3">
      <c r="M5376" s="35">
        <v>35.409999999999997</v>
      </c>
      <c r="N5376">
        <v>305</v>
      </c>
      <c r="O5376" s="34">
        <f t="shared" si="84"/>
        <v>0.61197768416257003</v>
      </c>
    </row>
    <row r="5377" spans="13:15" x14ac:dyDescent="0.3">
      <c r="M5377" s="35">
        <v>35.409999999999997</v>
      </c>
      <c r="N5377">
        <v>305</v>
      </c>
      <c r="O5377" s="34">
        <f t="shared" si="84"/>
        <v>0.61209154047590264</v>
      </c>
    </row>
    <row r="5378" spans="13:15" x14ac:dyDescent="0.3">
      <c r="M5378" s="35">
        <v>35.409999999999997</v>
      </c>
      <c r="N5378">
        <v>305</v>
      </c>
      <c r="O5378" s="34">
        <f t="shared" si="84"/>
        <v>0.61220539678923525</v>
      </c>
    </row>
    <row r="5379" spans="13:15" x14ac:dyDescent="0.3">
      <c r="M5379" s="35">
        <v>35.409999999999997</v>
      </c>
      <c r="N5379">
        <v>305</v>
      </c>
      <c r="O5379" s="34">
        <f t="shared" si="84"/>
        <v>0.61231925310256785</v>
      </c>
    </row>
    <row r="5380" spans="13:15" x14ac:dyDescent="0.3">
      <c r="M5380" s="35">
        <v>35.43</v>
      </c>
      <c r="N5380">
        <v>305</v>
      </c>
      <c r="O5380" s="34">
        <f t="shared" ref="O5380:O5443" si="85">O5379+O$2</f>
        <v>0.61243310941590046</v>
      </c>
    </row>
    <row r="5381" spans="13:15" x14ac:dyDescent="0.3">
      <c r="M5381" s="35">
        <v>35.43</v>
      </c>
      <c r="N5381">
        <v>305</v>
      </c>
      <c r="O5381" s="34">
        <f t="shared" si="85"/>
        <v>0.61254696572923306</v>
      </c>
    </row>
    <row r="5382" spans="13:15" x14ac:dyDescent="0.3">
      <c r="M5382" s="35">
        <v>35.450000000000003</v>
      </c>
      <c r="N5382">
        <v>305</v>
      </c>
      <c r="O5382" s="34">
        <f t="shared" si="85"/>
        <v>0.61266082204256567</v>
      </c>
    </row>
    <row r="5383" spans="13:15" x14ac:dyDescent="0.3">
      <c r="M5383" s="35">
        <v>35.450000000000003</v>
      </c>
      <c r="N5383">
        <v>305</v>
      </c>
      <c r="O5383" s="34">
        <f t="shared" si="85"/>
        <v>0.61277467835589827</v>
      </c>
    </row>
    <row r="5384" spans="13:15" x14ac:dyDescent="0.3">
      <c r="M5384" s="35">
        <v>35.450000000000003</v>
      </c>
      <c r="N5384">
        <v>305</v>
      </c>
      <c r="O5384" s="34">
        <f t="shared" si="85"/>
        <v>0.61288853466923088</v>
      </c>
    </row>
    <row r="5385" spans="13:15" x14ac:dyDescent="0.3">
      <c r="M5385" s="35">
        <v>35.46</v>
      </c>
      <c r="N5385">
        <v>305</v>
      </c>
      <c r="O5385" s="34">
        <f t="shared" si="85"/>
        <v>0.61300239098256348</v>
      </c>
    </row>
    <row r="5386" spans="13:15" x14ac:dyDescent="0.3">
      <c r="M5386" s="35">
        <v>35.47</v>
      </c>
      <c r="N5386">
        <v>305</v>
      </c>
      <c r="O5386" s="34">
        <f t="shared" si="85"/>
        <v>0.61311624729589609</v>
      </c>
    </row>
    <row r="5387" spans="13:15" x14ac:dyDescent="0.3">
      <c r="M5387" s="35">
        <v>35.47</v>
      </c>
      <c r="N5387">
        <v>305</v>
      </c>
      <c r="O5387" s="34">
        <f t="shared" si="85"/>
        <v>0.61323010360922869</v>
      </c>
    </row>
    <row r="5388" spans="13:15" x14ac:dyDescent="0.3">
      <c r="M5388" s="35">
        <v>35.479999999999997</v>
      </c>
      <c r="N5388">
        <v>305</v>
      </c>
      <c r="O5388" s="34">
        <f t="shared" si="85"/>
        <v>0.6133439599225613</v>
      </c>
    </row>
    <row r="5389" spans="13:15" x14ac:dyDescent="0.3">
      <c r="M5389" s="35">
        <v>35.479999999999997</v>
      </c>
      <c r="N5389">
        <v>305</v>
      </c>
      <c r="O5389" s="34">
        <f t="shared" si="85"/>
        <v>0.6134578162358939</v>
      </c>
    </row>
    <row r="5390" spans="13:15" x14ac:dyDescent="0.3">
      <c r="M5390" s="35">
        <v>35.479999999999997</v>
      </c>
      <c r="N5390">
        <v>305</v>
      </c>
      <c r="O5390" s="34">
        <f t="shared" si="85"/>
        <v>0.61357167254922651</v>
      </c>
    </row>
    <row r="5391" spans="13:15" x14ac:dyDescent="0.3">
      <c r="M5391" s="35">
        <v>35.49</v>
      </c>
      <c r="N5391">
        <v>305</v>
      </c>
      <c r="O5391" s="34">
        <f t="shared" si="85"/>
        <v>0.61368552886255912</v>
      </c>
    </row>
    <row r="5392" spans="13:15" x14ac:dyDescent="0.3">
      <c r="M5392" s="35">
        <v>35.49</v>
      </c>
      <c r="N5392">
        <v>305</v>
      </c>
      <c r="O5392" s="34">
        <f t="shared" si="85"/>
        <v>0.61379938517589172</v>
      </c>
    </row>
    <row r="5393" spans="13:15" x14ac:dyDescent="0.3">
      <c r="M5393" s="35">
        <v>35.49</v>
      </c>
      <c r="N5393">
        <v>305</v>
      </c>
      <c r="O5393" s="34">
        <f t="shared" si="85"/>
        <v>0.61391324148922433</v>
      </c>
    </row>
    <row r="5394" spans="13:15" x14ac:dyDescent="0.3">
      <c r="M5394" s="35">
        <v>35.5</v>
      </c>
      <c r="N5394">
        <v>305</v>
      </c>
      <c r="O5394" s="34">
        <f t="shared" si="85"/>
        <v>0.61402709780255693</v>
      </c>
    </row>
    <row r="5395" spans="13:15" x14ac:dyDescent="0.3">
      <c r="M5395" s="35">
        <v>35.5</v>
      </c>
      <c r="N5395">
        <v>305</v>
      </c>
      <c r="O5395" s="34">
        <f t="shared" si="85"/>
        <v>0.61414095411588954</v>
      </c>
    </row>
    <row r="5396" spans="13:15" x14ac:dyDescent="0.3">
      <c r="M5396" s="35">
        <v>35.51</v>
      </c>
      <c r="N5396">
        <v>305</v>
      </c>
      <c r="O5396" s="34">
        <f t="shared" si="85"/>
        <v>0.61425481042922214</v>
      </c>
    </row>
    <row r="5397" spans="13:15" x14ac:dyDescent="0.3">
      <c r="M5397" s="35">
        <v>35.520000000000003</v>
      </c>
      <c r="N5397">
        <v>305</v>
      </c>
      <c r="O5397" s="34">
        <f t="shared" si="85"/>
        <v>0.61436866674255475</v>
      </c>
    </row>
    <row r="5398" spans="13:15" x14ac:dyDescent="0.3">
      <c r="M5398" s="35">
        <v>35.520000000000003</v>
      </c>
      <c r="N5398">
        <v>305</v>
      </c>
      <c r="O5398" s="34">
        <f t="shared" si="85"/>
        <v>0.61448252305588735</v>
      </c>
    </row>
    <row r="5399" spans="13:15" x14ac:dyDescent="0.3">
      <c r="M5399" s="35">
        <v>35.520000000000003</v>
      </c>
      <c r="N5399">
        <v>305</v>
      </c>
      <c r="O5399" s="34">
        <f t="shared" si="85"/>
        <v>0.61459637936921996</v>
      </c>
    </row>
    <row r="5400" spans="13:15" x14ac:dyDescent="0.3">
      <c r="M5400" s="35">
        <v>35.53</v>
      </c>
      <c r="N5400">
        <v>305</v>
      </c>
      <c r="O5400" s="34">
        <f t="shared" si="85"/>
        <v>0.61471023568255256</v>
      </c>
    </row>
    <row r="5401" spans="13:15" x14ac:dyDescent="0.3">
      <c r="M5401" s="35">
        <v>35.53</v>
      </c>
      <c r="N5401">
        <v>305</v>
      </c>
      <c r="O5401" s="34">
        <f t="shared" si="85"/>
        <v>0.61482409199588517</v>
      </c>
    </row>
    <row r="5402" spans="13:15" x14ac:dyDescent="0.3">
      <c r="M5402" s="35">
        <v>35.54</v>
      </c>
      <c r="N5402">
        <v>305</v>
      </c>
      <c r="O5402" s="34">
        <f t="shared" si="85"/>
        <v>0.61493794830921777</v>
      </c>
    </row>
    <row r="5403" spans="13:15" x14ac:dyDescent="0.3">
      <c r="M5403" s="35">
        <v>35.54</v>
      </c>
      <c r="N5403">
        <v>305</v>
      </c>
      <c r="O5403" s="34">
        <f t="shared" si="85"/>
        <v>0.61505180462255038</v>
      </c>
    </row>
    <row r="5404" spans="13:15" x14ac:dyDescent="0.3">
      <c r="M5404" s="35">
        <v>35.549999999999997</v>
      </c>
      <c r="N5404">
        <v>305</v>
      </c>
      <c r="O5404" s="34">
        <f t="shared" si="85"/>
        <v>0.61516566093588299</v>
      </c>
    </row>
    <row r="5405" spans="13:15" x14ac:dyDescent="0.3">
      <c r="M5405" s="35">
        <v>35.56</v>
      </c>
      <c r="N5405">
        <v>305</v>
      </c>
      <c r="O5405" s="34">
        <f t="shared" si="85"/>
        <v>0.61527951724921559</v>
      </c>
    </row>
    <row r="5406" spans="13:15" x14ac:dyDescent="0.3">
      <c r="M5406" s="35">
        <v>35.56</v>
      </c>
      <c r="N5406">
        <v>305</v>
      </c>
      <c r="O5406" s="34">
        <f t="shared" si="85"/>
        <v>0.6153933735625482</v>
      </c>
    </row>
    <row r="5407" spans="13:15" x14ac:dyDescent="0.3">
      <c r="M5407" s="35">
        <v>35.57</v>
      </c>
      <c r="N5407">
        <v>305</v>
      </c>
      <c r="O5407" s="34">
        <f t="shared" si="85"/>
        <v>0.6155072298758808</v>
      </c>
    </row>
    <row r="5408" spans="13:15" x14ac:dyDescent="0.3">
      <c r="M5408" s="35">
        <v>35.58</v>
      </c>
      <c r="N5408">
        <v>305</v>
      </c>
      <c r="O5408" s="34">
        <f t="shared" si="85"/>
        <v>0.61562108618921341</v>
      </c>
    </row>
    <row r="5409" spans="13:15" x14ac:dyDescent="0.3">
      <c r="M5409" s="35">
        <v>35.590000000000003</v>
      </c>
      <c r="N5409">
        <v>305</v>
      </c>
      <c r="O5409" s="34">
        <f t="shared" si="85"/>
        <v>0.61573494250254601</v>
      </c>
    </row>
    <row r="5410" spans="13:15" x14ac:dyDescent="0.3">
      <c r="M5410" s="35">
        <v>35.590000000000003</v>
      </c>
      <c r="N5410">
        <v>305</v>
      </c>
      <c r="O5410" s="34">
        <f t="shared" si="85"/>
        <v>0.61584879881587862</v>
      </c>
    </row>
    <row r="5411" spans="13:15" x14ac:dyDescent="0.3">
      <c r="M5411" s="35">
        <v>35.6</v>
      </c>
      <c r="N5411">
        <v>305</v>
      </c>
      <c r="O5411" s="34">
        <f t="shared" si="85"/>
        <v>0.61596265512921122</v>
      </c>
    </row>
    <row r="5412" spans="13:15" x14ac:dyDescent="0.3">
      <c r="M5412" s="35">
        <v>35.6</v>
      </c>
      <c r="N5412">
        <v>305</v>
      </c>
      <c r="O5412" s="34">
        <f t="shared" si="85"/>
        <v>0.61607651144254383</v>
      </c>
    </row>
    <row r="5413" spans="13:15" x14ac:dyDescent="0.3">
      <c r="M5413" s="35">
        <v>35.61</v>
      </c>
      <c r="N5413">
        <v>305</v>
      </c>
      <c r="O5413" s="34">
        <f t="shared" si="85"/>
        <v>0.61619036775587643</v>
      </c>
    </row>
    <row r="5414" spans="13:15" x14ac:dyDescent="0.3">
      <c r="M5414" s="35">
        <v>35.61</v>
      </c>
      <c r="N5414">
        <v>305</v>
      </c>
      <c r="O5414" s="34">
        <f t="shared" si="85"/>
        <v>0.61630422406920904</v>
      </c>
    </row>
    <row r="5415" spans="13:15" x14ac:dyDescent="0.3">
      <c r="M5415" s="35">
        <v>35.619999999999997</v>
      </c>
      <c r="N5415">
        <v>305</v>
      </c>
      <c r="O5415" s="34">
        <f t="shared" si="85"/>
        <v>0.61641808038254164</v>
      </c>
    </row>
    <row r="5416" spans="13:15" x14ac:dyDescent="0.3">
      <c r="M5416" s="35">
        <v>35.619999999999997</v>
      </c>
      <c r="N5416">
        <v>305</v>
      </c>
      <c r="O5416" s="34">
        <f t="shared" si="85"/>
        <v>0.61653193669587425</v>
      </c>
    </row>
    <row r="5417" spans="13:15" x14ac:dyDescent="0.3">
      <c r="M5417" s="35">
        <v>35.630000000000003</v>
      </c>
      <c r="N5417">
        <v>305</v>
      </c>
      <c r="O5417" s="34">
        <f t="shared" si="85"/>
        <v>0.61664579300920686</v>
      </c>
    </row>
    <row r="5418" spans="13:15" x14ac:dyDescent="0.3">
      <c r="M5418" s="35">
        <v>35.630000000000003</v>
      </c>
      <c r="N5418">
        <v>305</v>
      </c>
      <c r="O5418" s="34">
        <f t="shared" si="85"/>
        <v>0.61675964932253946</v>
      </c>
    </row>
    <row r="5419" spans="13:15" x14ac:dyDescent="0.3">
      <c r="M5419" s="35">
        <v>35.630000000000003</v>
      </c>
      <c r="N5419">
        <v>305</v>
      </c>
      <c r="O5419" s="34">
        <f t="shared" si="85"/>
        <v>0.61687350563587207</v>
      </c>
    </row>
    <row r="5420" spans="13:15" x14ac:dyDescent="0.3">
      <c r="M5420" s="35">
        <v>35.64</v>
      </c>
      <c r="N5420">
        <v>305</v>
      </c>
      <c r="O5420" s="34">
        <f t="shared" si="85"/>
        <v>0.61698736194920467</v>
      </c>
    </row>
    <row r="5421" spans="13:15" x14ac:dyDescent="0.3">
      <c r="M5421" s="35">
        <v>35.64</v>
      </c>
      <c r="N5421">
        <v>305</v>
      </c>
      <c r="O5421" s="34">
        <f t="shared" si="85"/>
        <v>0.61710121826253728</v>
      </c>
    </row>
    <row r="5422" spans="13:15" x14ac:dyDescent="0.3">
      <c r="M5422" s="35">
        <v>35.64</v>
      </c>
      <c r="N5422">
        <v>305</v>
      </c>
      <c r="O5422" s="34">
        <f t="shared" si="85"/>
        <v>0.61721507457586988</v>
      </c>
    </row>
    <row r="5423" spans="13:15" x14ac:dyDescent="0.3">
      <c r="M5423" s="35">
        <v>35.64</v>
      </c>
      <c r="N5423">
        <v>305</v>
      </c>
      <c r="O5423" s="34">
        <f t="shared" si="85"/>
        <v>0.61732893088920249</v>
      </c>
    </row>
    <row r="5424" spans="13:15" x14ac:dyDescent="0.3">
      <c r="M5424" s="35">
        <v>35.64</v>
      </c>
      <c r="N5424">
        <v>305</v>
      </c>
      <c r="O5424" s="34">
        <f t="shared" si="85"/>
        <v>0.61744278720253509</v>
      </c>
    </row>
    <row r="5425" spans="13:15" x14ac:dyDescent="0.3">
      <c r="M5425" s="35">
        <v>35.64</v>
      </c>
      <c r="N5425">
        <v>305</v>
      </c>
      <c r="O5425" s="34">
        <f t="shared" si="85"/>
        <v>0.6175566435158677</v>
      </c>
    </row>
    <row r="5426" spans="13:15" x14ac:dyDescent="0.3">
      <c r="M5426" s="35">
        <v>35.64</v>
      </c>
      <c r="N5426">
        <v>305</v>
      </c>
      <c r="O5426" s="34">
        <f t="shared" si="85"/>
        <v>0.6176704998292003</v>
      </c>
    </row>
    <row r="5427" spans="13:15" x14ac:dyDescent="0.3">
      <c r="M5427" s="35">
        <v>35.65</v>
      </c>
      <c r="N5427">
        <v>305</v>
      </c>
      <c r="O5427" s="34">
        <f t="shared" si="85"/>
        <v>0.61778435614253291</v>
      </c>
    </row>
    <row r="5428" spans="13:15" x14ac:dyDescent="0.3">
      <c r="M5428" s="35">
        <v>35.65</v>
      </c>
      <c r="N5428">
        <v>305</v>
      </c>
      <c r="O5428" s="34">
        <f t="shared" si="85"/>
        <v>0.61789821245586551</v>
      </c>
    </row>
    <row r="5429" spans="13:15" x14ac:dyDescent="0.3">
      <c r="M5429" s="35">
        <v>35.659999999999997</v>
      </c>
      <c r="N5429">
        <v>305</v>
      </c>
      <c r="O5429" s="34">
        <f t="shared" si="85"/>
        <v>0.61801206876919812</v>
      </c>
    </row>
    <row r="5430" spans="13:15" x14ac:dyDescent="0.3">
      <c r="M5430" s="35">
        <v>35.659999999999997</v>
      </c>
      <c r="N5430">
        <v>305</v>
      </c>
      <c r="O5430" s="34">
        <f t="shared" si="85"/>
        <v>0.61812592508253072</v>
      </c>
    </row>
    <row r="5431" spans="13:15" x14ac:dyDescent="0.3">
      <c r="M5431" s="35">
        <v>35.659999999999997</v>
      </c>
      <c r="N5431">
        <v>305</v>
      </c>
      <c r="O5431" s="34">
        <f t="shared" si="85"/>
        <v>0.61823978139586333</v>
      </c>
    </row>
    <row r="5432" spans="13:15" x14ac:dyDescent="0.3">
      <c r="M5432" s="35">
        <v>35.67</v>
      </c>
      <c r="N5432">
        <v>305</v>
      </c>
      <c r="O5432" s="34">
        <f t="shared" si="85"/>
        <v>0.61835363770919594</v>
      </c>
    </row>
    <row r="5433" spans="13:15" x14ac:dyDescent="0.3">
      <c r="M5433" s="35">
        <v>35.67</v>
      </c>
      <c r="N5433">
        <v>305</v>
      </c>
      <c r="O5433" s="34">
        <f t="shared" si="85"/>
        <v>0.61846749402252854</v>
      </c>
    </row>
    <row r="5434" spans="13:15" x14ac:dyDescent="0.3">
      <c r="M5434" s="35">
        <v>35.67</v>
      </c>
      <c r="N5434">
        <v>305</v>
      </c>
      <c r="O5434" s="34">
        <f t="shared" si="85"/>
        <v>0.61858135033586115</v>
      </c>
    </row>
    <row r="5435" spans="13:15" x14ac:dyDescent="0.3">
      <c r="M5435" s="35">
        <v>35.67</v>
      </c>
      <c r="N5435">
        <v>305</v>
      </c>
      <c r="O5435" s="34">
        <f t="shared" si="85"/>
        <v>0.61869520664919375</v>
      </c>
    </row>
    <row r="5436" spans="13:15" x14ac:dyDescent="0.3">
      <c r="M5436" s="35">
        <v>35.68</v>
      </c>
      <c r="N5436">
        <v>305</v>
      </c>
      <c r="O5436" s="34">
        <f t="shared" si="85"/>
        <v>0.61880906296252636</v>
      </c>
    </row>
    <row r="5437" spans="13:15" x14ac:dyDescent="0.3">
      <c r="M5437" s="35">
        <v>35.68</v>
      </c>
      <c r="N5437">
        <v>305</v>
      </c>
      <c r="O5437" s="34">
        <f t="shared" si="85"/>
        <v>0.61892291927585896</v>
      </c>
    </row>
    <row r="5438" spans="13:15" x14ac:dyDescent="0.3">
      <c r="M5438" s="35">
        <v>35.69</v>
      </c>
      <c r="N5438">
        <v>305</v>
      </c>
      <c r="O5438" s="34">
        <f t="shared" si="85"/>
        <v>0.61903677558919157</v>
      </c>
    </row>
    <row r="5439" spans="13:15" x14ac:dyDescent="0.3">
      <c r="M5439" s="35">
        <v>35.69</v>
      </c>
      <c r="N5439">
        <v>305</v>
      </c>
      <c r="O5439" s="34">
        <f t="shared" si="85"/>
        <v>0.61915063190252417</v>
      </c>
    </row>
    <row r="5440" spans="13:15" x14ac:dyDescent="0.3">
      <c r="M5440" s="35">
        <v>35.71</v>
      </c>
      <c r="N5440">
        <v>305</v>
      </c>
      <c r="O5440" s="34">
        <f t="shared" si="85"/>
        <v>0.61926448821585678</v>
      </c>
    </row>
    <row r="5441" spans="13:15" x14ac:dyDescent="0.3">
      <c r="M5441" s="35">
        <v>35.71</v>
      </c>
      <c r="N5441">
        <v>305</v>
      </c>
      <c r="O5441" s="34">
        <f t="shared" si="85"/>
        <v>0.61937834452918938</v>
      </c>
    </row>
    <row r="5442" spans="13:15" x14ac:dyDescent="0.3">
      <c r="M5442" s="35">
        <v>35.72</v>
      </c>
      <c r="N5442">
        <v>305</v>
      </c>
      <c r="O5442" s="34">
        <f t="shared" si="85"/>
        <v>0.61949220084252199</v>
      </c>
    </row>
    <row r="5443" spans="13:15" x14ac:dyDescent="0.3">
      <c r="M5443" s="35">
        <v>35.729999999999997</v>
      </c>
      <c r="N5443">
        <v>305</v>
      </c>
      <c r="O5443" s="34">
        <f t="shared" si="85"/>
        <v>0.61960605715585459</v>
      </c>
    </row>
    <row r="5444" spans="13:15" x14ac:dyDescent="0.3">
      <c r="M5444" s="35">
        <v>35.729999999999997</v>
      </c>
      <c r="N5444">
        <v>305</v>
      </c>
      <c r="O5444" s="34">
        <f t="shared" ref="O5444:O5507" si="86">O5443+O$2</f>
        <v>0.6197199134691872</v>
      </c>
    </row>
    <row r="5445" spans="13:15" x14ac:dyDescent="0.3">
      <c r="M5445" s="35">
        <v>35.74</v>
      </c>
      <c r="N5445">
        <v>305</v>
      </c>
      <c r="O5445" s="34">
        <f t="shared" si="86"/>
        <v>0.61983376978251981</v>
      </c>
    </row>
    <row r="5446" spans="13:15" x14ac:dyDescent="0.3">
      <c r="M5446" s="35">
        <v>35.75</v>
      </c>
      <c r="N5446">
        <v>305</v>
      </c>
      <c r="O5446" s="34">
        <f t="shared" si="86"/>
        <v>0.61994762609585241</v>
      </c>
    </row>
    <row r="5447" spans="13:15" x14ac:dyDescent="0.3">
      <c r="M5447" s="35">
        <v>35.75</v>
      </c>
      <c r="N5447">
        <v>305</v>
      </c>
      <c r="O5447" s="34">
        <f t="shared" si="86"/>
        <v>0.62006148240918502</v>
      </c>
    </row>
    <row r="5448" spans="13:15" x14ac:dyDescent="0.3">
      <c r="M5448" s="35">
        <v>35.76</v>
      </c>
      <c r="N5448">
        <v>305</v>
      </c>
      <c r="O5448" s="34">
        <f t="shared" si="86"/>
        <v>0.62017533872251762</v>
      </c>
    </row>
    <row r="5449" spans="13:15" x14ac:dyDescent="0.3">
      <c r="M5449" s="35">
        <v>35.76</v>
      </c>
      <c r="N5449">
        <v>305</v>
      </c>
      <c r="O5449" s="34">
        <f t="shared" si="86"/>
        <v>0.62028919503585023</v>
      </c>
    </row>
    <row r="5450" spans="13:15" x14ac:dyDescent="0.3">
      <c r="M5450" s="35">
        <v>35.770000000000003</v>
      </c>
      <c r="N5450">
        <v>305</v>
      </c>
      <c r="O5450" s="34">
        <f t="shared" si="86"/>
        <v>0.62040305134918283</v>
      </c>
    </row>
    <row r="5451" spans="13:15" x14ac:dyDescent="0.3">
      <c r="M5451" s="35">
        <v>35.770000000000003</v>
      </c>
      <c r="N5451">
        <v>305</v>
      </c>
      <c r="O5451" s="34">
        <f t="shared" si="86"/>
        <v>0.62051690766251544</v>
      </c>
    </row>
    <row r="5452" spans="13:15" x14ac:dyDescent="0.3">
      <c r="M5452" s="35">
        <v>35.770000000000003</v>
      </c>
      <c r="N5452">
        <v>305</v>
      </c>
      <c r="O5452" s="34">
        <f t="shared" si="86"/>
        <v>0.62063076397584804</v>
      </c>
    </row>
    <row r="5453" spans="13:15" x14ac:dyDescent="0.3">
      <c r="M5453" s="35">
        <v>35.78</v>
      </c>
      <c r="N5453">
        <v>305</v>
      </c>
      <c r="O5453" s="34">
        <f t="shared" si="86"/>
        <v>0.62074462028918065</v>
      </c>
    </row>
    <row r="5454" spans="13:15" x14ac:dyDescent="0.3">
      <c r="M5454" s="35">
        <v>35.78</v>
      </c>
      <c r="N5454">
        <v>305</v>
      </c>
      <c r="O5454" s="34">
        <f t="shared" si="86"/>
        <v>0.62085847660251325</v>
      </c>
    </row>
    <row r="5455" spans="13:15" x14ac:dyDescent="0.3">
      <c r="M5455" s="35">
        <v>35.78</v>
      </c>
      <c r="N5455">
        <v>305</v>
      </c>
      <c r="O5455" s="34">
        <f t="shared" si="86"/>
        <v>0.62097233291584586</v>
      </c>
    </row>
    <row r="5456" spans="13:15" x14ac:dyDescent="0.3">
      <c r="M5456" s="35">
        <v>35.78</v>
      </c>
      <c r="N5456">
        <v>305</v>
      </c>
      <c r="O5456" s="34">
        <f t="shared" si="86"/>
        <v>0.62108618922917846</v>
      </c>
    </row>
    <row r="5457" spans="13:15" x14ac:dyDescent="0.3">
      <c r="M5457" s="35">
        <v>35.78</v>
      </c>
      <c r="N5457">
        <v>305</v>
      </c>
      <c r="O5457" s="34">
        <f t="shared" si="86"/>
        <v>0.62120004554251107</v>
      </c>
    </row>
    <row r="5458" spans="13:15" x14ac:dyDescent="0.3">
      <c r="M5458" s="35">
        <v>35.78</v>
      </c>
      <c r="N5458">
        <v>305</v>
      </c>
      <c r="O5458" s="34">
        <f t="shared" si="86"/>
        <v>0.62131390185584368</v>
      </c>
    </row>
    <row r="5459" spans="13:15" x14ac:dyDescent="0.3">
      <c r="M5459" s="35">
        <v>35.79</v>
      </c>
      <c r="N5459">
        <v>305</v>
      </c>
      <c r="O5459" s="34">
        <f t="shared" si="86"/>
        <v>0.62142775816917628</v>
      </c>
    </row>
    <row r="5460" spans="13:15" x14ac:dyDescent="0.3">
      <c r="M5460" s="35">
        <v>35.79</v>
      </c>
      <c r="N5460">
        <v>305</v>
      </c>
      <c r="O5460" s="34">
        <f t="shared" si="86"/>
        <v>0.62154161448250889</v>
      </c>
    </row>
    <row r="5461" spans="13:15" x14ac:dyDescent="0.3">
      <c r="M5461" s="35">
        <v>35.79</v>
      </c>
      <c r="N5461">
        <v>305</v>
      </c>
      <c r="O5461" s="34">
        <f t="shared" si="86"/>
        <v>0.62165547079584149</v>
      </c>
    </row>
    <row r="5462" spans="13:15" x14ac:dyDescent="0.3">
      <c r="M5462" s="35">
        <v>35.799999999999997</v>
      </c>
      <c r="N5462">
        <v>305</v>
      </c>
      <c r="O5462" s="34">
        <f t="shared" si="86"/>
        <v>0.6217693271091741</v>
      </c>
    </row>
    <row r="5463" spans="13:15" x14ac:dyDescent="0.3">
      <c r="M5463" s="35">
        <v>35.81</v>
      </c>
      <c r="N5463">
        <v>305</v>
      </c>
      <c r="O5463" s="34">
        <f t="shared" si="86"/>
        <v>0.6218831834225067</v>
      </c>
    </row>
    <row r="5464" spans="13:15" x14ac:dyDescent="0.3">
      <c r="M5464" s="35">
        <v>35.81</v>
      </c>
      <c r="N5464">
        <v>305</v>
      </c>
      <c r="O5464" s="34">
        <f t="shared" si="86"/>
        <v>0.62199703973583931</v>
      </c>
    </row>
    <row r="5465" spans="13:15" x14ac:dyDescent="0.3">
      <c r="M5465" s="35">
        <v>35.81</v>
      </c>
      <c r="N5465">
        <v>305</v>
      </c>
      <c r="O5465" s="34">
        <f t="shared" si="86"/>
        <v>0.62211089604917191</v>
      </c>
    </row>
    <row r="5466" spans="13:15" x14ac:dyDescent="0.3">
      <c r="M5466" s="35">
        <v>35.81</v>
      </c>
      <c r="N5466">
        <v>305</v>
      </c>
      <c r="O5466" s="34">
        <f t="shared" si="86"/>
        <v>0.62222475236250452</v>
      </c>
    </row>
    <row r="5467" spans="13:15" x14ac:dyDescent="0.3">
      <c r="M5467" s="35">
        <v>35.82</v>
      </c>
      <c r="N5467">
        <v>305</v>
      </c>
      <c r="O5467" s="34">
        <f t="shared" si="86"/>
        <v>0.62233860867583712</v>
      </c>
    </row>
    <row r="5468" spans="13:15" x14ac:dyDescent="0.3">
      <c r="M5468" s="35">
        <v>35.83</v>
      </c>
      <c r="N5468">
        <v>305</v>
      </c>
      <c r="O5468" s="34">
        <f t="shared" si="86"/>
        <v>0.62245246498916973</v>
      </c>
    </row>
    <row r="5469" spans="13:15" x14ac:dyDescent="0.3">
      <c r="M5469" s="35">
        <v>35.83</v>
      </c>
      <c r="N5469">
        <v>305</v>
      </c>
      <c r="O5469" s="34">
        <f t="shared" si="86"/>
        <v>0.62256632130250233</v>
      </c>
    </row>
    <row r="5470" spans="13:15" x14ac:dyDescent="0.3">
      <c r="M5470" s="35">
        <v>35.83</v>
      </c>
      <c r="N5470">
        <v>305</v>
      </c>
      <c r="O5470" s="34">
        <f t="shared" si="86"/>
        <v>0.62268017761583494</v>
      </c>
    </row>
    <row r="5471" spans="13:15" x14ac:dyDescent="0.3">
      <c r="M5471" s="35">
        <v>35.840000000000003</v>
      </c>
      <c r="N5471">
        <v>305</v>
      </c>
      <c r="O5471" s="34">
        <f t="shared" si="86"/>
        <v>0.62279403392916755</v>
      </c>
    </row>
    <row r="5472" spans="13:15" x14ac:dyDescent="0.3">
      <c r="M5472" s="35">
        <v>35.840000000000003</v>
      </c>
      <c r="N5472">
        <v>305</v>
      </c>
      <c r="O5472" s="34">
        <f t="shared" si="86"/>
        <v>0.62290789024250015</v>
      </c>
    </row>
    <row r="5473" spans="13:15" x14ac:dyDescent="0.3">
      <c r="M5473" s="35">
        <v>35.840000000000003</v>
      </c>
      <c r="N5473">
        <v>305</v>
      </c>
      <c r="O5473" s="34">
        <f t="shared" si="86"/>
        <v>0.62302174655583276</v>
      </c>
    </row>
    <row r="5474" spans="13:15" x14ac:dyDescent="0.3">
      <c r="M5474" s="35">
        <v>35.85</v>
      </c>
      <c r="N5474">
        <v>305</v>
      </c>
      <c r="O5474" s="34">
        <f t="shared" si="86"/>
        <v>0.62313560286916536</v>
      </c>
    </row>
    <row r="5475" spans="13:15" x14ac:dyDescent="0.3">
      <c r="M5475" s="35">
        <v>35.85</v>
      </c>
      <c r="N5475">
        <v>305</v>
      </c>
      <c r="O5475" s="34">
        <f t="shared" si="86"/>
        <v>0.62324945918249797</v>
      </c>
    </row>
    <row r="5476" spans="13:15" x14ac:dyDescent="0.3">
      <c r="M5476" s="35">
        <v>35.85</v>
      </c>
      <c r="N5476">
        <v>305</v>
      </c>
      <c r="O5476" s="34">
        <f t="shared" si="86"/>
        <v>0.62336331549583057</v>
      </c>
    </row>
    <row r="5477" spans="13:15" x14ac:dyDescent="0.3">
      <c r="M5477" s="35">
        <v>35.85</v>
      </c>
      <c r="N5477">
        <v>305</v>
      </c>
      <c r="O5477" s="34">
        <f t="shared" si="86"/>
        <v>0.62347717180916318</v>
      </c>
    </row>
    <row r="5478" spans="13:15" x14ac:dyDescent="0.3">
      <c r="M5478" s="35">
        <v>35.86</v>
      </c>
      <c r="N5478">
        <v>305</v>
      </c>
      <c r="O5478" s="34">
        <f t="shared" si="86"/>
        <v>0.62359102812249578</v>
      </c>
    </row>
    <row r="5479" spans="13:15" x14ac:dyDescent="0.3">
      <c r="M5479" s="35">
        <v>35.86</v>
      </c>
      <c r="N5479">
        <v>305</v>
      </c>
      <c r="O5479" s="34">
        <f t="shared" si="86"/>
        <v>0.62370488443582839</v>
      </c>
    </row>
    <row r="5480" spans="13:15" x14ac:dyDescent="0.3">
      <c r="M5480" s="35">
        <v>35.869999999999997</v>
      </c>
      <c r="N5480">
        <v>305</v>
      </c>
      <c r="O5480" s="34">
        <f t="shared" si="86"/>
        <v>0.62381874074916099</v>
      </c>
    </row>
    <row r="5481" spans="13:15" x14ac:dyDescent="0.3">
      <c r="M5481" s="35">
        <v>35.869999999999997</v>
      </c>
      <c r="N5481">
        <v>305</v>
      </c>
      <c r="O5481" s="34">
        <f t="shared" si="86"/>
        <v>0.6239325970624936</v>
      </c>
    </row>
    <row r="5482" spans="13:15" x14ac:dyDescent="0.3">
      <c r="M5482" s="35">
        <v>35.880000000000003</v>
      </c>
      <c r="N5482">
        <v>305</v>
      </c>
      <c r="O5482" s="34">
        <f t="shared" si="86"/>
        <v>0.6240464533758262</v>
      </c>
    </row>
    <row r="5483" spans="13:15" x14ac:dyDescent="0.3">
      <c r="M5483" s="35">
        <v>35.89</v>
      </c>
      <c r="N5483">
        <v>305</v>
      </c>
      <c r="O5483" s="34">
        <f t="shared" si="86"/>
        <v>0.62416030968915881</v>
      </c>
    </row>
    <row r="5484" spans="13:15" x14ac:dyDescent="0.3">
      <c r="M5484" s="35">
        <v>35.89</v>
      </c>
      <c r="N5484">
        <v>305</v>
      </c>
      <c r="O5484" s="34">
        <f t="shared" si="86"/>
        <v>0.62427416600249142</v>
      </c>
    </row>
    <row r="5485" spans="13:15" x14ac:dyDescent="0.3">
      <c r="M5485" s="35">
        <v>35.9</v>
      </c>
      <c r="N5485">
        <v>305</v>
      </c>
      <c r="O5485" s="34">
        <f t="shared" si="86"/>
        <v>0.62438802231582402</v>
      </c>
    </row>
    <row r="5486" spans="13:15" x14ac:dyDescent="0.3">
      <c r="M5486" s="35">
        <v>35.9</v>
      </c>
      <c r="N5486">
        <v>305</v>
      </c>
      <c r="O5486" s="34">
        <f t="shared" si="86"/>
        <v>0.62450187862915663</v>
      </c>
    </row>
    <row r="5487" spans="13:15" x14ac:dyDescent="0.3">
      <c r="M5487" s="35">
        <v>35.909999999999997</v>
      </c>
      <c r="N5487">
        <v>305</v>
      </c>
      <c r="O5487" s="34">
        <f t="shared" si="86"/>
        <v>0.62461573494248923</v>
      </c>
    </row>
    <row r="5488" spans="13:15" x14ac:dyDescent="0.3">
      <c r="M5488" s="35">
        <v>35.909999999999997</v>
      </c>
      <c r="N5488">
        <v>305</v>
      </c>
      <c r="O5488" s="34">
        <f t="shared" si="86"/>
        <v>0.62472959125582184</v>
      </c>
    </row>
    <row r="5489" spans="13:15" x14ac:dyDescent="0.3">
      <c r="M5489" s="35">
        <v>35.92</v>
      </c>
      <c r="N5489">
        <v>305</v>
      </c>
      <c r="O5489" s="34">
        <f t="shared" si="86"/>
        <v>0.62484344756915444</v>
      </c>
    </row>
    <row r="5490" spans="13:15" x14ac:dyDescent="0.3">
      <c r="M5490" s="35">
        <v>35.92</v>
      </c>
      <c r="N5490">
        <v>305</v>
      </c>
      <c r="O5490" s="34">
        <f t="shared" si="86"/>
        <v>0.62495730388248705</v>
      </c>
    </row>
    <row r="5491" spans="13:15" x14ac:dyDescent="0.3">
      <c r="M5491" s="35">
        <v>35.92</v>
      </c>
      <c r="N5491">
        <v>305</v>
      </c>
      <c r="O5491" s="34">
        <f t="shared" si="86"/>
        <v>0.62507116019581965</v>
      </c>
    </row>
    <row r="5492" spans="13:15" x14ac:dyDescent="0.3">
      <c r="M5492" s="35">
        <v>35.93</v>
      </c>
      <c r="N5492">
        <v>305</v>
      </c>
      <c r="O5492" s="34">
        <f t="shared" si="86"/>
        <v>0.62518501650915226</v>
      </c>
    </row>
    <row r="5493" spans="13:15" x14ac:dyDescent="0.3">
      <c r="M5493" s="35">
        <v>35.94</v>
      </c>
      <c r="N5493">
        <v>305</v>
      </c>
      <c r="O5493" s="34">
        <f t="shared" si="86"/>
        <v>0.62529887282248486</v>
      </c>
    </row>
    <row r="5494" spans="13:15" x14ac:dyDescent="0.3">
      <c r="M5494" s="35">
        <v>35.94</v>
      </c>
      <c r="N5494">
        <v>305</v>
      </c>
      <c r="O5494" s="34">
        <f t="shared" si="86"/>
        <v>0.62541272913581747</v>
      </c>
    </row>
    <row r="5495" spans="13:15" x14ac:dyDescent="0.3">
      <c r="M5495" s="35">
        <v>35.94</v>
      </c>
      <c r="N5495">
        <v>305</v>
      </c>
      <c r="O5495" s="34">
        <f t="shared" si="86"/>
        <v>0.62552658544915007</v>
      </c>
    </row>
    <row r="5496" spans="13:15" x14ac:dyDescent="0.3">
      <c r="M5496" s="35">
        <v>35.94</v>
      </c>
      <c r="N5496">
        <v>305</v>
      </c>
      <c r="O5496" s="34">
        <f t="shared" si="86"/>
        <v>0.62564044176248268</v>
      </c>
    </row>
    <row r="5497" spans="13:15" x14ac:dyDescent="0.3">
      <c r="M5497" s="35">
        <v>35.950000000000003</v>
      </c>
      <c r="N5497">
        <v>305</v>
      </c>
      <c r="O5497" s="34">
        <f t="shared" si="86"/>
        <v>0.62575429807581529</v>
      </c>
    </row>
    <row r="5498" spans="13:15" x14ac:dyDescent="0.3">
      <c r="M5498" s="35">
        <v>35.96</v>
      </c>
      <c r="N5498">
        <v>305</v>
      </c>
      <c r="O5498" s="34">
        <f t="shared" si="86"/>
        <v>0.62586815438914789</v>
      </c>
    </row>
    <row r="5499" spans="13:15" x14ac:dyDescent="0.3">
      <c r="M5499" s="35">
        <v>35.96</v>
      </c>
      <c r="N5499">
        <v>305</v>
      </c>
      <c r="O5499" s="34">
        <f t="shared" si="86"/>
        <v>0.6259820107024805</v>
      </c>
    </row>
    <row r="5500" spans="13:15" x14ac:dyDescent="0.3">
      <c r="M5500" s="35">
        <v>35.96</v>
      </c>
      <c r="N5500">
        <v>305</v>
      </c>
      <c r="O5500" s="34">
        <f t="shared" si="86"/>
        <v>0.6260958670158131</v>
      </c>
    </row>
    <row r="5501" spans="13:15" x14ac:dyDescent="0.3">
      <c r="M5501" s="35">
        <v>35.96</v>
      </c>
      <c r="N5501">
        <v>305</v>
      </c>
      <c r="O5501" s="34">
        <f t="shared" si="86"/>
        <v>0.62620972332914571</v>
      </c>
    </row>
    <row r="5502" spans="13:15" x14ac:dyDescent="0.3">
      <c r="M5502" s="35">
        <v>35.979999999999997</v>
      </c>
      <c r="N5502">
        <v>305</v>
      </c>
      <c r="O5502" s="34">
        <f t="shared" si="86"/>
        <v>0.62632357964247831</v>
      </c>
    </row>
    <row r="5503" spans="13:15" x14ac:dyDescent="0.3">
      <c r="M5503" s="35">
        <v>35.99</v>
      </c>
      <c r="N5503">
        <v>305</v>
      </c>
      <c r="O5503" s="34">
        <f t="shared" si="86"/>
        <v>0.62643743595581092</v>
      </c>
    </row>
    <row r="5504" spans="13:15" x14ac:dyDescent="0.3">
      <c r="M5504" s="35">
        <v>36.01</v>
      </c>
      <c r="N5504">
        <v>305</v>
      </c>
      <c r="O5504" s="34">
        <f t="shared" si="86"/>
        <v>0.62655129226914352</v>
      </c>
    </row>
    <row r="5505" spans="13:15" x14ac:dyDescent="0.3">
      <c r="M5505" s="35">
        <v>36.020000000000003</v>
      </c>
      <c r="N5505">
        <v>305</v>
      </c>
      <c r="O5505" s="34">
        <f t="shared" si="86"/>
        <v>0.62666514858247613</v>
      </c>
    </row>
    <row r="5506" spans="13:15" x14ac:dyDescent="0.3">
      <c r="M5506" s="35">
        <v>36.020000000000003</v>
      </c>
      <c r="N5506">
        <v>305</v>
      </c>
      <c r="O5506" s="34">
        <f t="shared" si="86"/>
        <v>0.62677900489580873</v>
      </c>
    </row>
    <row r="5507" spans="13:15" x14ac:dyDescent="0.3">
      <c r="M5507" s="35">
        <v>36.020000000000003</v>
      </c>
      <c r="N5507">
        <v>305</v>
      </c>
      <c r="O5507" s="34">
        <f t="shared" si="86"/>
        <v>0.62689286120914134</v>
      </c>
    </row>
    <row r="5508" spans="13:15" x14ac:dyDescent="0.3">
      <c r="M5508" s="35">
        <v>36.03</v>
      </c>
      <c r="N5508">
        <v>305</v>
      </c>
      <c r="O5508" s="34">
        <f t="shared" ref="O5508:O5571" si="87">O5507+O$2</f>
        <v>0.62700671752247394</v>
      </c>
    </row>
    <row r="5509" spans="13:15" x14ac:dyDescent="0.3">
      <c r="M5509" s="35">
        <v>36.03</v>
      </c>
      <c r="N5509">
        <v>305</v>
      </c>
      <c r="O5509" s="34">
        <f t="shared" si="87"/>
        <v>0.62712057383580655</v>
      </c>
    </row>
    <row r="5510" spans="13:15" x14ac:dyDescent="0.3">
      <c r="M5510" s="35">
        <v>36.03</v>
      </c>
      <c r="N5510">
        <v>305</v>
      </c>
      <c r="O5510" s="34">
        <f t="shared" si="87"/>
        <v>0.62723443014913915</v>
      </c>
    </row>
    <row r="5511" spans="13:15" x14ac:dyDescent="0.3">
      <c r="M5511" s="35">
        <v>36.03</v>
      </c>
      <c r="N5511">
        <v>305</v>
      </c>
      <c r="O5511" s="34">
        <f t="shared" si="87"/>
        <v>0.62734828646247176</v>
      </c>
    </row>
    <row r="5512" spans="13:15" x14ac:dyDescent="0.3">
      <c r="M5512" s="35">
        <v>36.03</v>
      </c>
      <c r="N5512">
        <v>305</v>
      </c>
      <c r="O5512" s="34">
        <f t="shared" si="87"/>
        <v>0.62746214277580437</v>
      </c>
    </row>
    <row r="5513" spans="13:15" x14ac:dyDescent="0.3">
      <c r="M5513" s="35">
        <v>36.04</v>
      </c>
      <c r="N5513">
        <v>305</v>
      </c>
      <c r="O5513" s="34">
        <f t="shared" si="87"/>
        <v>0.62757599908913697</v>
      </c>
    </row>
    <row r="5514" spans="13:15" x14ac:dyDescent="0.3">
      <c r="M5514" s="35">
        <v>36.049999999999997</v>
      </c>
      <c r="N5514">
        <v>305</v>
      </c>
      <c r="O5514" s="34">
        <f t="shared" si="87"/>
        <v>0.62768985540246958</v>
      </c>
    </row>
    <row r="5515" spans="13:15" x14ac:dyDescent="0.3">
      <c r="M5515" s="35">
        <v>36.06</v>
      </c>
      <c r="N5515">
        <v>305</v>
      </c>
      <c r="O5515" s="34">
        <f t="shared" si="87"/>
        <v>0.62780371171580218</v>
      </c>
    </row>
    <row r="5516" spans="13:15" x14ac:dyDescent="0.3">
      <c r="M5516" s="35">
        <v>36.06</v>
      </c>
      <c r="N5516">
        <v>305</v>
      </c>
      <c r="O5516" s="34">
        <f t="shared" si="87"/>
        <v>0.62791756802913479</v>
      </c>
    </row>
    <row r="5517" spans="13:15" x14ac:dyDescent="0.3">
      <c r="M5517" s="35">
        <v>36.06</v>
      </c>
      <c r="N5517">
        <v>305</v>
      </c>
      <c r="O5517" s="34">
        <f t="shared" si="87"/>
        <v>0.62803142434246739</v>
      </c>
    </row>
    <row r="5518" spans="13:15" x14ac:dyDescent="0.3">
      <c r="M5518" s="35">
        <v>36.06</v>
      </c>
      <c r="N5518">
        <v>305</v>
      </c>
      <c r="O5518" s="34">
        <f t="shared" si="87"/>
        <v>0.6281452806558</v>
      </c>
    </row>
    <row r="5519" spans="13:15" x14ac:dyDescent="0.3">
      <c r="M5519" s="35">
        <v>36.08</v>
      </c>
      <c r="N5519">
        <v>305</v>
      </c>
      <c r="O5519" s="34">
        <f t="shared" si="87"/>
        <v>0.6282591369691326</v>
      </c>
    </row>
    <row r="5520" spans="13:15" x14ac:dyDescent="0.3">
      <c r="M5520" s="35">
        <v>36.090000000000003</v>
      </c>
      <c r="N5520">
        <v>305</v>
      </c>
      <c r="O5520" s="34">
        <f t="shared" si="87"/>
        <v>0.62837299328246521</v>
      </c>
    </row>
    <row r="5521" spans="13:15" x14ac:dyDescent="0.3">
      <c r="M5521" s="35">
        <v>36.1</v>
      </c>
      <c r="N5521">
        <v>305</v>
      </c>
      <c r="O5521" s="34">
        <f t="shared" si="87"/>
        <v>0.62848684959579781</v>
      </c>
    </row>
    <row r="5522" spans="13:15" x14ac:dyDescent="0.3">
      <c r="M5522" s="35">
        <v>36.1</v>
      </c>
      <c r="N5522">
        <v>305</v>
      </c>
      <c r="O5522" s="34">
        <f t="shared" si="87"/>
        <v>0.62860070590913042</v>
      </c>
    </row>
    <row r="5523" spans="13:15" x14ac:dyDescent="0.3">
      <c r="M5523" s="35">
        <v>36.11</v>
      </c>
      <c r="N5523">
        <v>305</v>
      </c>
      <c r="O5523" s="34">
        <f t="shared" si="87"/>
        <v>0.62871456222246302</v>
      </c>
    </row>
    <row r="5524" spans="13:15" x14ac:dyDescent="0.3">
      <c r="M5524" s="35">
        <v>36.119999999999997</v>
      </c>
      <c r="N5524">
        <v>305</v>
      </c>
      <c r="O5524" s="34">
        <f t="shared" si="87"/>
        <v>0.62882841853579563</v>
      </c>
    </row>
    <row r="5525" spans="13:15" x14ac:dyDescent="0.3">
      <c r="M5525" s="35">
        <v>36.130000000000003</v>
      </c>
      <c r="N5525">
        <v>305</v>
      </c>
      <c r="O5525" s="34">
        <f t="shared" si="87"/>
        <v>0.62894227484912824</v>
      </c>
    </row>
    <row r="5526" spans="13:15" x14ac:dyDescent="0.3">
      <c r="M5526" s="35">
        <v>36.130000000000003</v>
      </c>
      <c r="N5526">
        <v>305</v>
      </c>
      <c r="O5526" s="34">
        <f t="shared" si="87"/>
        <v>0.62905613116246084</v>
      </c>
    </row>
    <row r="5527" spans="13:15" x14ac:dyDescent="0.3">
      <c r="M5527" s="35">
        <v>36.15</v>
      </c>
      <c r="N5527">
        <v>305</v>
      </c>
      <c r="O5527" s="34">
        <f t="shared" si="87"/>
        <v>0.62916998747579345</v>
      </c>
    </row>
    <row r="5528" spans="13:15" x14ac:dyDescent="0.3">
      <c r="M5528" s="35">
        <v>36.159999999999997</v>
      </c>
      <c r="N5528">
        <v>305</v>
      </c>
      <c r="O5528" s="34">
        <f t="shared" si="87"/>
        <v>0.62928384378912605</v>
      </c>
    </row>
    <row r="5529" spans="13:15" x14ac:dyDescent="0.3">
      <c r="M5529" s="35">
        <v>36.17</v>
      </c>
      <c r="N5529">
        <v>305</v>
      </c>
      <c r="O5529" s="34">
        <f t="shared" si="87"/>
        <v>0.62939770010245866</v>
      </c>
    </row>
    <row r="5530" spans="13:15" x14ac:dyDescent="0.3">
      <c r="M5530" s="35">
        <v>36.17</v>
      </c>
      <c r="N5530">
        <v>305</v>
      </c>
      <c r="O5530" s="34">
        <f t="shared" si="87"/>
        <v>0.62951155641579126</v>
      </c>
    </row>
    <row r="5531" spans="13:15" x14ac:dyDescent="0.3">
      <c r="M5531" s="35">
        <v>36.17</v>
      </c>
      <c r="N5531">
        <v>305</v>
      </c>
      <c r="O5531" s="34">
        <f t="shared" si="87"/>
        <v>0.62962541272912387</v>
      </c>
    </row>
    <row r="5532" spans="13:15" x14ac:dyDescent="0.3">
      <c r="M5532" s="35">
        <v>36.18</v>
      </c>
      <c r="N5532">
        <v>305</v>
      </c>
      <c r="O5532" s="34">
        <f t="shared" si="87"/>
        <v>0.62973926904245647</v>
      </c>
    </row>
    <row r="5533" spans="13:15" x14ac:dyDescent="0.3">
      <c r="M5533" s="35">
        <v>36.19</v>
      </c>
      <c r="N5533">
        <v>305</v>
      </c>
      <c r="O5533" s="34">
        <f t="shared" si="87"/>
        <v>0.62985312535578908</v>
      </c>
    </row>
    <row r="5534" spans="13:15" x14ac:dyDescent="0.3">
      <c r="M5534" s="35">
        <v>36.200000000000003</v>
      </c>
      <c r="N5534">
        <v>305</v>
      </c>
      <c r="O5534" s="34">
        <f t="shared" si="87"/>
        <v>0.62996698166912168</v>
      </c>
    </row>
    <row r="5535" spans="13:15" x14ac:dyDescent="0.3">
      <c r="M5535" s="35">
        <v>36.22</v>
      </c>
      <c r="N5535">
        <v>305</v>
      </c>
      <c r="O5535" s="34">
        <f t="shared" si="87"/>
        <v>0.63008083798245429</v>
      </c>
    </row>
    <row r="5536" spans="13:15" x14ac:dyDescent="0.3">
      <c r="M5536" s="35">
        <v>36.22</v>
      </c>
      <c r="N5536">
        <v>305</v>
      </c>
      <c r="O5536" s="34">
        <f t="shared" si="87"/>
        <v>0.63019469429578689</v>
      </c>
    </row>
    <row r="5537" spans="13:15" x14ac:dyDescent="0.3">
      <c r="M5537" s="35">
        <v>36.229999999999997</v>
      </c>
      <c r="N5537">
        <v>305</v>
      </c>
      <c r="O5537" s="34">
        <f t="shared" si="87"/>
        <v>0.6303085506091195</v>
      </c>
    </row>
    <row r="5538" spans="13:15" x14ac:dyDescent="0.3">
      <c r="M5538" s="35">
        <v>36.229999999999997</v>
      </c>
      <c r="N5538">
        <v>305</v>
      </c>
      <c r="O5538" s="34">
        <f t="shared" si="87"/>
        <v>0.63042240692245211</v>
      </c>
    </row>
    <row r="5539" spans="13:15" x14ac:dyDescent="0.3">
      <c r="M5539" s="35">
        <v>36.24</v>
      </c>
      <c r="N5539">
        <v>305</v>
      </c>
      <c r="O5539" s="34">
        <f t="shared" si="87"/>
        <v>0.63053626323578471</v>
      </c>
    </row>
    <row r="5540" spans="13:15" x14ac:dyDescent="0.3">
      <c r="M5540" s="35">
        <v>36.25</v>
      </c>
      <c r="N5540">
        <v>305</v>
      </c>
      <c r="O5540" s="34">
        <f t="shared" si="87"/>
        <v>0.63065011954911732</v>
      </c>
    </row>
    <row r="5541" spans="13:15" x14ac:dyDescent="0.3">
      <c r="M5541" s="35">
        <v>36.26</v>
      </c>
      <c r="N5541">
        <v>305</v>
      </c>
      <c r="O5541" s="34">
        <f t="shared" si="87"/>
        <v>0.63076397586244992</v>
      </c>
    </row>
    <row r="5542" spans="13:15" x14ac:dyDescent="0.3">
      <c r="M5542" s="35">
        <v>36.270000000000003</v>
      </c>
      <c r="N5542">
        <v>305</v>
      </c>
      <c r="O5542" s="34">
        <f t="shared" si="87"/>
        <v>0.63087783217578253</v>
      </c>
    </row>
    <row r="5543" spans="13:15" x14ac:dyDescent="0.3">
      <c r="M5543" s="35">
        <v>36.270000000000003</v>
      </c>
      <c r="N5543">
        <v>305</v>
      </c>
      <c r="O5543" s="34">
        <f t="shared" si="87"/>
        <v>0.63099168848911513</v>
      </c>
    </row>
    <row r="5544" spans="13:15" x14ac:dyDescent="0.3">
      <c r="M5544" s="35">
        <v>36.28</v>
      </c>
      <c r="N5544">
        <v>305</v>
      </c>
      <c r="O5544" s="34">
        <f t="shared" si="87"/>
        <v>0.63110554480244774</v>
      </c>
    </row>
    <row r="5545" spans="13:15" x14ac:dyDescent="0.3">
      <c r="M5545" s="35">
        <v>36.28</v>
      </c>
      <c r="N5545">
        <v>305</v>
      </c>
      <c r="O5545" s="34">
        <f t="shared" si="87"/>
        <v>0.63121940111578034</v>
      </c>
    </row>
    <row r="5546" spans="13:15" x14ac:dyDescent="0.3">
      <c r="M5546" s="35">
        <v>36.29</v>
      </c>
      <c r="N5546">
        <v>305</v>
      </c>
      <c r="O5546" s="34">
        <f t="shared" si="87"/>
        <v>0.63133325742911295</v>
      </c>
    </row>
    <row r="5547" spans="13:15" x14ac:dyDescent="0.3">
      <c r="M5547" s="35">
        <v>36.299999999999997</v>
      </c>
      <c r="N5547">
        <v>305</v>
      </c>
      <c r="O5547" s="34">
        <f t="shared" si="87"/>
        <v>0.63144711374244555</v>
      </c>
    </row>
    <row r="5548" spans="13:15" x14ac:dyDescent="0.3">
      <c r="M5548" s="35">
        <v>36.31</v>
      </c>
      <c r="N5548">
        <v>305</v>
      </c>
      <c r="O5548" s="34">
        <f t="shared" si="87"/>
        <v>0.63156097005577816</v>
      </c>
    </row>
    <row r="5549" spans="13:15" x14ac:dyDescent="0.3">
      <c r="M5549" s="35">
        <v>36.31</v>
      </c>
      <c r="N5549">
        <v>305</v>
      </c>
      <c r="O5549" s="34">
        <f t="shared" si="87"/>
        <v>0.63167482636911076</v>
      </c>
    </row>
    <row r="5550" spans="13:15" x14ac:dyDescent="0.3">
      <c r="M5550" s="35">
        <v>36.31</v>
      </c>
      <c r="N5550">
        <v>305</v>
      </c>
      <c r="O5550" s="34">
        <f t="shared" si="87"/>
        <v>0.63178868268244337</v>
      </c>
    </row>
    <row r="5551" spans="13:15" x14ac:dyDescent="0.3">
      <c r="M5551" s="35">
        <v>36.33</v>
      </c>
      <c r="N5551">
        <v>305</v>
      </c>
      <c r="O5551" s="34">
        <f t="shared" si="87"/>
        <v>0.63190253899577598</v>
      </c>
    </row>
    <row r="5552" spans="13:15" x14ac:dyDescent="0.3">
      <c r="M5552" s="35">
        <v>36.340000000000003</v>
      </c>
      <c r="N5552">
        <v>305</v>
      </c>
      <c r="O5552" s="34">
        <f t="shared" si="87"/>
        <v>0.63201639530910858</v>
      </c>
    </row>
    <row r="5553" spans="13:15" x14ac:dyDescent="0.3">
      <c r="M5553" s="35">
        <v>36.340000000000003</v>
      </c>
      <c r="N5553">
        <v>305</v>
      </c>
      <c r="O5553" s="34">
        <f t="shared" si="87"/>
        <v>0.63213025162244119</v>
      </c>
    </row>
    <row r="5554" spans="13:15" x14ac:dyDescent="0.3">
      <c r="M5554" s="35">
        <v>36.35</v>
      </c>
      <c r="N5554">
        <v>305</v>
      </c>
      <c r="O5554" s="34">
        <f t="shared" si="87"/>
        <v>0.63224410793577379</v>
      </c>
    </row>
    <row r="5555" spans="13:15" x14ac:dyDescent="0.3">
      <c r="M5555" s="35">
        <v>36.35</v>
      </c>
      <c r="N5555">
        <v>305</v>
      </c>
      <c r="O5555" s="34">
        <f t="shared" si="87"/>
        <v>0.6323579642491064</v>
      </c>
    </row>
    <row r="5556" spans="13:15" x14ac:dyDescent="0.3">
      <c r="M5556" s="35">
        <v>36.369999999999997</v>
      </c>
      <c r="N5556">
        <v>305</v>
      </c>
      <c r="O5556" s="34">
        <f t="shared" si="87"/>
        <v>0.632471820562439</v>
      </c>
    </row>
    <row r="5557" spans="13:15" x14ac:dyDescent="0.3">
      <c r="M5557" s="35">
        <v>36.369999999999997</v>
      </c>
      <c r="N5557">
        <v>305</v>
      </c>
      <c r="O5557" s="34">
        <f t="shared" si="87"/>
        <v>0.63258567687577161</v>
      </c>
    </row>
    <row r="5558" spans="13:15" x14ac:dyDescent="0.3">
      <c r="M5558" s="35">
        <v>36.369999999999997</v>
      </c>
      <c r="N5558">
        <v>305</v>
      </c>
      <c r="O5558" s="34">
        <f t="shared" si="87"/>
        <v>0.63269953318910421</v>
      </c>
    </row>
    <row r="5559" spans="13:15" x14ac:dyDescent="0.3">
      <c r="M5559" s="35">
        <v>36.4</v>
      </c>
      <c r="N5559">
        <v>305</v>
      </c>
      <c r="O5559" s="34">
        <f t="shared" si="87"/>
        <v>0.63281338950243682</v>
      </c>
    </row>
    <row r="5560" spans="13:15" x14ac:dyDescent="0.3">
      <c r="M5560" s="35">
        <v>36.4</v>
      </c>
      <c r="N5560">
        <v>305</v>
      </c>
      <c r="O5560" s="34">
        <f t="shared" si="87"/>
        <v>0.63292724581576942</v>
      </c>
    </row>
    <row r="5561" spans="13:15" x14ac:dyDescent="0.3">
      <c r="M5561" s="35">
        <v>36.409999999999997</v>
      </c>
      <c r="N5561">
        <v>305</v>
      </c>
      <c r="O5561" s="34">
        <f t="shared" si="87"/>
        <v>0.63304110212910203</v>
      </c>
    </row>
    <row r="5562" spans="13:15" x14ac:dyDescent="0.3">
      <c r="M5562" s="35">
        <v>36.409999999999997</v>
      </c>
      <c r="N5562">
        <v>305</v>
      </c>
      <c r="O5562" s="34">
        <f t="shared" si="87"/>
        <v>0.63315495844243463</v>
      </c>
    </row>
    <row r="5563" spans="13:15" x14ac:dyDescent="0.3">
      <c r="M5563" s="35">
        <v>36.43</v>
      </c>
      <c r="N5563">
        <v>305</v>
      </c>
      <c r="O5563" s="34">
        <f t="shared" si="87"/>
        <v>0.63326881475576724</v>
      </c>
    </row>
    <row r="5564" spans="13:15" x14ac:dyDescent="0.3">
      <c r="M5564" s="35">
        <v>36.43</v>
      </c>
      <c r="N5564">
        <v>305</v>
      </c>
      <c r="O5564" s="34">
        <f t="shared" si="87"/>
        <v>0.63338267106909985</v>
      </c>
    </row>
    <row r="5565" spans="13:15" x14ac:dyDescent="0.3">
      <c r="M5565" s="35">
        <v>36.450000000000003</v>
      </c>
      <c r="N5565">
        <v>305</v>
      </c>
      <c r="O5565" s="34">
        <f t="shared" si="87"/>
        <v>0.63349652738243245</v>
      </c>
    </row>
    <row r="5566" spans="13:15" x14ac:dyDescent="0.3">
      <c r="M5566" s="35">
        <v>36.46</v>
      </c>
      <c r="N5566">
        <v>305</v>
      </c>
      <c r="O5566" s="34">
        <f t="shared" si="87"/>
        <v>0.63361038369576506</v>
      </c>
    </row>
    <row r="5567" spans="13:15" x14ac:dyDescent="0.3">
      <c r="M5567" s="35">
        <v>36.47</v>
      </c>
      <c r="N5567">
        <v>305</v>
      </c>
      <c r="O5567" s="34">
        <f t="shared" si="87"/>
        <v>0.63372424000909766</v>
      </c>
    </row>
    <row r="5568" spans="13:15" x14ac:dyDescent="0.3">
      <c r="M5568" s="35">
        <v>36.47</v>
      </c>
      <c r="N5568">
        <v>305</v>
      </c>
      <c r="O5568" s="34">
        <f t="shared" si="87"/>
        <v>0.63383809632243027</v>
      </c>
    </row>
    <row r="5569" spans="13:15" x14ac:dyDescent="0.3">
      <c r="M5569" s="35">
        <v>36.479999999999997</v>
      </c>
      <c r="N5569">
        <v>305</v>
      </c>
      <c r="O5569" s="34">
        <f t="shared" si="87"/>
        <v>0.63395195263576287</v>
      </c>
    </row>
    <row r="5570" spans="13:15" x14ac:dyDescent="0.3">
      <c r="M5570" s="35">
        <v>36.49</v>
      </c>
      <c r="N5570">
        <v>305</v>
      </c>
      <c r="O5570" s="34">
        <f t="shared" si="87"/>
        <v>0.63406580894909548</v>
      </c>
    </row>
    <row r="5571" spans="13:15" x14ac:dyDescent="0.3">
      <c r="M5571" s="35">
        <v>36.49</v>
      </c>
      <c r="N5571">
        <v>305</v>
      </c>
      <c r="O5571" s="34">
        <f t="shared" si="87"/>
        <v>0.63417966526242808</v>
      </c>
    </row>
    <row r="5572" spans="13:15" x14ac:dyDescent="0.3">
      <c r="M5572" s="35">
        <v>36.5</v>
      </c>
      <c r="N5572">
        <v>305</v>
      </c>
      <c r="O5572" s="34">
        <f t="shared" ref="O5572:O5635" si="88">O5571+O$2</f>
        <v>0.63429352157576069</v>
      </c>
    </row>
    <row r="5573" spans="13:15" x14ac:dyDescent="0.3">
      <c r="M5573" s="35">
        <v>36.5</v>
      </c>
      <c r="N5573">
        <v>305</v>
      </c>
      <c r="O5573" s="34">
        <f t="shared" si="88"/>
        <v>0.63440737788909329</v>
      </c>
    </row>
    <row r="5574" spans="13:15" x14ac:dyDescent="0.3">
      <c r="M5574" s="35">
        <v>36.51</v>
      </c>
      <c r="N5574">
        <v>305</v>
      </c>
      <c r="O5574" s="34">
        <f t="shared" si="88"/>
        <v>0.6345212342024259</v>
      </c>
    </row>
    <row r="5575" spans="13:15" x14ac:dyDescent="0.3">
      <c r="M5575" s="35">
        <v>36.53</v>
      </c>
      <c r="N5575">
        <v>305</v>
      </c>
      <c r="O5575" s="34">
        <f t="shared" si="88"/>
        <v>0.6346350905157585</v>
      </c>
    </row>
    <row r="5576" spans="13:15" x14ac:dyDescent="0.3">
      <c r="M5576" s="35">
        <v>36.54</v>
      </c>
      <c r="N5576">
        <v>305</v>
      </c>
      <c r="O5576" s="34">
        <f t="shared" si="88"/>
        <v>0.63474894682909111</v>
      </c>
    </row>
    <row r="5577" spans="13:15" x14ac:dyDescent="0.3">
      <c r="M5577" s="35">
        <v>36.54</v>
      </c>
      <c r="N5577">
        <v>305</v>
      </c>
      <c r="O5577" s="34">
        <f t="shared" si="88"/>
        <v>0.63486280314242372</v>
      </c>
    </row>
    <row r="5578" spans="13:15" x14ac:dyDescent="0.3">
      <c r="M5578" s="35">
        <v>36.549999999999997</v>
      </c>
      <c r="N5578">
        <v>305</v>
      </c>
      <c r="O5578" s="34">
        <f t="shared" si="88"/>
        <v>0.63497665945575632</v>
      </c>
    </row>
    <row r="5579" spans="13:15" x14ac:dyDescent="0.3">
      <c r="M5579" s="35">
        <v>36.549999999999997</v>
      </c>
      <c r="N5579">
        <v>305</v>
      </c>
      <c r="O5579" s="34">
        <f t="shared" si="88"/>
        <v>0.63509051576908893</v>
      </c>
    </row>
    <row r="5580" spans="13:15" x14ac:dyDescent="0.3">
      <c r="M5580" s="35">
        <v>36.549999999999997</v>
      </c>
      <c r="N5580">
        <v>305</v>
      </c>
      <c r="O5580" s="34">
        <f t="shared" si="88"/>
        <v>0.63520437208242153</v>
      </c>
    </row>
    <row r="5581" spans="13:15" x14ac:dyDescent="0.3">
      <c r="M5581" s="35">
        <v>36.56</v>
      </c>
      <c r="N5581">
        <v>305</v>
      </c>
      <c r="O5581" s="34">
        <f t="shared" si="88"/>
        <v>0.63531822839575414</v>
      </c>
    </row>
    <row r="5582" spans="13:15" x14ac:dyDescent="0.3">
      <c r="M5582" s="35">
        <v>36.56</v>
      </c>
      <c r="N5582">
        <v>305</v>
      </c>
      <c r="O5582" s="34">
        <f t="shared" si="88"/>
        <v>0.63543208470908674</v>
      </c>
    </row>
    <row r="5583" spans="13:15" x14ac:dyDescent="0.3">
      <c r="M5583" s="35">
        <v>36.56</v>
      </c>
      <c r="N5583">
        <v>305</v>
      </c>
      <c r="O5583" s="34">
        <f t="shared" si="88"/>
        <v>0.63554594102241935</v>
      </c>
    </row>
    <row r="5584" spans="13:15" x14ac:dyDescent="0.3">
      <c r="M5584" s="35">
        <v>36.56</v>
      </c>
      <c r="N5584">
        <v>305</v>
      </c>
      <c r="O5584" s="34">
        <f t="shared" si="88"/>
        <v>0.63565979733575195</v>
      </c>
    </row>
    <row r="5585" spans="13:15" x14ac:dyDescent="0.3">
      <c r="M5585" s="35">
        <v>36.57</v>
      </c>
      <c r="N5585">
        <v>305</v>
      </c>
      <c r="O5585" s="34">
        <f t="shared" si="88"/>
        <v>0.63577365364908456</v>
      </c>
    </row>
    <row r="5586" spans="13:15" x14ac:dyDescent="0.3">
      <c r="M5586" s="35">
        <v>36.57</v>
      </c>
      <c r="N5586">
        <v>305</v>
      </c>
      <c r="O5586" s="34">
        <f t="shared" si="88"/>
        <v>0.63588750996241716</v>
      </c>
    </row>
    <row r="5587" spans="13:15" x14ac:dyDescent="0.3">
      <c r="M5587" s="35">
        <v>36.58</v>
      </c>
      <c r="N5587">
        <v>305</v>
      </c>
      <c r="O5587" s="34">
        <f t="shared" si="88"/>
        <v>0.63600136627574977</v>
      </c>
    </row>
    <row r="5588" spans="13:15" x14ac:dyDescent="0.3">
      <c r="M5588" s="35">
        <v>36.58</v>
      </c>
      <c r="N5588">
        <v>305</v>
      </c>
      <c r="O5588" s="34">
        <f t="shared" si="88"/>
        <v>0.63611522258908237</v>
      </c>
    </row>
    <row r="5589" spans="13:15" x14ac:dyDescent="0.3">
      <c r="M5589" s="35">
        <v>36.6</v>
      </c>
      <c r="N5589">
        <v>305</v>
      </c>
      <c r="O5589" s="34">
        <f t="shared" si="88"/>
        <v>0.63622907890241498</v>
      </c>
    </row>
    <row r="5590" spans="13:15" x14ac:dyDescent="0.3">
      <c r="M5590" s="35">
        <v>36.630000000000003</v>
      </c>
      <c r="N5590">
        <v>305</v>
      </c>
      <c r="O5590" s="34">
        <f t="shared" si="88"/>
        <v>0.63634293521574758</v>
      </c>
    </row>
    <row r="5591" spans="13:15" x14ac:dyDescent="0.3">
      <c r="M5591" s="35">
        <v>36.630000000000003</v>
      </c>
      <c r="N5591">
        <v>305</v>
      </c>
      <c r="O5591" s="34">
        <f t="shared" si="88"/>
        <v>0.63645679152908019</v>
      </c>
    </row>
    <row r="5592" spans="13:15" x14ac:dyDescent="0.3">
      <c r="M5592" s="35">
        <v>36.630000000000003</v>
      </c>
      <c r="N5592">
        <v>305</v>
      </c>
      <c r="O5592" s="34">
        <f t="shared" si="88"/>
        <v>0.6365706478424128</v>
      </c>
    </row>
    <row r="5593" spans="13:15" x14ac:dyDescent="0.3">
      <c r="M5593" s="35">
        <v>36.65</v>
      </c>
      <c r="N5593">
        <v>305</v>
      </c>
      <c r="O5593" s="34">
        <f t="shared" si="88"/>
        <v>0.6366845041557454</v>
      </c>
    </row>
    <row r="5594" spans="13:15" x14ac:dyDescent="0.3">
      <c r="M5594" s="35">
        <v>36.65</v>
      </c>
      <c r="N5594">
        <v>305</v>
      </c>
      <c r="O5594" s="34">
        <f t="shared" si="88"/>
        <v>0.63679836046907801</v>
      </c>
    </row>
    <row r="5595" spans="13:15" x14ac:dyDescent="0.3">
      <c r="M5595" s="35">
        <v>36.659999999999997</v>
      </c>
      <c r="N5595">
        <v>305</v>
      </c>
      <c r="O5595" s="34">
        <f t="shared" si="88"/>
        <v>0.63691221678241061</v>
      </c>
    </row>
    <row r="5596" spans="13:15" x14ac:dyDescent="0.3">
      <c r="M5596" s="35">
        <v>36.659999999999997</v>
      </c>
      <c r="N5596">
        <v>305</v>
      </c>
      <c r="O5596" s="34">
        <f t="shared" si="88"/>
        <v>0.63702607309574322</v>
      </c>
    </row>
    <row r="5597" spans="13:15" x14ac:dyDescent="0.3">
      <c r="M5597" s="35">
        <v>36.67</v>
      </c>
      <c r="N5597">
        <v>305</v>
      </c>
      <c r="O5597" s="34">
        <f t="shared" si="88"/>
        <v>0.63713992940907582</v>
      </c>
    </row>
    <row r="5598" spans="13:15" x14ac:dyDescent="0.3">
      <c r="M5598" s="35">
        <v>36.67</v>
      </c>
      <c r="N5598">
        <v>305</v>
      </c>
      <c r="O5598" s="34">
        <f t="shared" si="88"/>
        <v>0.63725378572240843</v>
      </c>
    </row>
    <row r="5599" spans="13:15" x14ac:dyDescent="0.3">
      <c r="M5599" s="35">
        <v>36.67</v>
      </c>
      <c r="N5599">
        <v>305</v>
      </c>
      <c r="O5599" s="34">
        <f t="shared" si="88"/>
        <v>0.63736764203574103</v>
      </c>
    </row>
    <row r="5600" spans="13:15" x14ac:dyDescent="0.3">
      <c r="M5600" s="35">
        <v>36.68</v>
      </c>
      <c r="N5600">
        <v>305</v>
      </c>
      <c r="O5600" s="34">
        <f t="shared" si="88"/>
        <v>0.63748149834907364</v>
      </c>
    </row>
    <row r="5601" spans="13:15" x14ac:dyDescent="0.3">
      <c r="M5601" s="35">
        <v>36.68</v>
      </c>
      <c r="N5601">
        <v>305</v>
      </c>
      <c r="O5601" s="34">
        <f t="shared" si="88"/>
        <v>0.63759535466240624</v>
      </c>
    </row>
    <row r="5602" spans="13:15" x14ac:dyDescent="0.3">
      <c r="M5602" s="35">
        <v>36.69</v>
      </c>
      <c r="N5602">
        <v>305</v>
      </c>
      <c r="O5602" s="34">
        <f t="shared" si="88"/>
        <v>0.63770921097573885</v>
      </c>
    </row>
    <row r="5603" spans="13:15" x14ac:dyDescent="0.3">
      <c r="M5603" s="35">
        <v>36.69</v>
      </c>
      <c r="N5603">
        <v>305</v>
      </c>
      <c r="O5603" s="34">
        <f t="shared" si="88"/>
        <v>0.63782306728907145</v>
      </c>
    </row>
    <row r="5604" spans="13:15" x14ac:dyDescent="0.3">
      <c r="M5604" s="35">
        <v>36.700000000000003</v>
      </c>
      <c r="N5604">
        <v>305</v>
      </c>
      <c r="O5604" s="34">
        <f t="shared" si="88"/>
        <v>0.63793692360240406</v>
      </c>
    </row>
    <row r="5605" spans="13:15" x14ac:dyDescent="0.3">
      <c r="M5605" s="35">
        <v>36.700000000000003</v>
      </c>
      <c r="N5605">
        <v>305</v>
      </c>
      <c r="O5605" s="34">
        <f t="shared" si="88"/>
        <v>0.63805077991573667</v>
      </c>
    </row>
    <row r="5606" spans="13:15" x14ac:dyDescent="0.3">
      <c r="M5606" s="35">
        <v>36.72</v>
      </c>
      <c r="N5606">
        <v>305</v>
      </c>
      <c r="O5606" s="34">
        <f t="shared" si="88"/>
        <v>0.63816463622906927</v>
      </c>
    </row>
    <row r="5607" spans="13:15" x14ac:dyDescent="0.3">
      <c r="M5607" s="35">
        <v>36.72</v>
      </c>
      <c r="N5607">
        <v>305</v>
      </c>
      <c r="O5607" s="34">
        <f t="shared" si="88"/>
        <v>0.63827849254240188</v>
      </c>
    </row>
    <row r="5608" spans="13:15" x14ac:dyDescent="0.3">
      <c r="M5608" s="35">
        <v>36.729999999999997</v>
      </c>
      <c r="N5608">
        <v>305</v>
      </c>
      <c r="O5608" s="34">
        <f t="shared" si="88"/>
        <v>0.63839234885573448</v>
      </c>
    </row>
    <row r="5609" spans="13:15" x14ac:dyDescent="0.3">
      <c r="M5609" s="35">
        <v>36.729999999999997</v>
      </c>
      <c r="N5609">
        <v>305</v>
      </c>
      <c r="O5609" s="34">
        <f t="shared" si="88"/>
        <v>0.63850620516906709</v>
      </c>
    </row>
    <row r="5610" spans="13:15" x14ac:dyDescent="0.3">
      <c r="M5610" s="35">
        <v>36.729999999999997</v>
      </c>
      <c r="N5610">
        <v>305</v>
      </c>
      <c r="O5610" s="34">
        <f t="shared" si="88"/>
        <v>0.63862006148239969</v>
      </c>
    </row>
    <row r="5611" spans="13:15" x14ac:dyDescent="0.3">
      <c r="M5611" s="35">
        <v>36.729999999999997</v>
      </c>
      <c r="N5611">
        <v>305</v>
      </c>
      <c r="O5611" s="34">
        <f t="shared" si="88"/>
        <v>0.6387339177957323</v>
      </c>
    </row>
    <row r="5612" spans="13:15" x14ac:dyDescent="0.3">
      <c r="M5612" s="35">
        <v>36.74</v>
      </c>
      <c r="N5612">
        <v>305</v>
      </c>
      <c r="O5612" s="34">
        <f t="shared" si="88"/>
        <v>0.6388477741090649</v>
      </c>
    </row>
    <row r="5613" spans="13:15" x14ac:dyDescent="0.3">
      <c r="M5613" s="35">
        <v>36.74</v>
      </c>
      <c r="N5613">
        <v>305</v>
      </c>
      <c r="O5613" s="34">
        <f t="shared" si="88"/>
        <v>0.63896163042239751</v>
      </c>
    </row>
    <row r="5614" spans="13:15" x14ac:dyDescent="0.3">
      <c r="M5614" s="35">
        <v>36.74</v>
      </c>
      <c r="N5614">
        <v>305</v>
      </c>
      <c r="O5614" s="34">
        <f t="shared" si="88"/>
        <v>0.63907548673573011</v>
      </c>
    </row>
    <row r="5615" spans="13:15" x14ac:dyDescent="0.3">
      <c r="M5615" s="35">
        <v>36.75</v>
      </c>
      <c r="N5615">
        <v>305</v>
      </c>
      <c r="O5615" s="34">
        <f t="shared" si="88"/>
        <v>0.63918934304906272</v>
      </c>
    </row>
    <row r="5616" spans="13:15" x14ac:dyDescent="0.3">
      <c r="M5616" s="35">
        <v>36.76</v>
      </c>
      <c r="N5616">
        <v>305</v>
      </c>
      <c r="O5616" s="34">
        <f t="shared" si="88"/>
        <v>0.63930319936239532</v>
      </c>
    </row>
    <row r="5617" spans="13:15" x14ac:dyDescent="0.3">
      <c r="M5617" s="35">
        <v>36.770000000000003</v>
      </c>
      <c r="N5617">
        <v>305</v>
      </c>
      <c r="O5617" s="34">
        <f t="shared" si="88"/>
        <v>0.63941705567572793</v>
      </c>
    </row>
    <row r="5618" spans="13:15" x14ac:dyDescent="0.3">
      <c r="M5618" s="35">
        <v>36.770000000000003</v>
      </c>
      <c r="N5618">
        <v>305</v>
      </c>
      <c r="O5618" s="34">
        <f t="shared" si="88"/>
        <v>0.63953091198906054</v>
      </c>
    </row>
    <row r="5619" spans="13:15" x14ac:dyDescent="0.3">
      <c r="M5619" s="35">
        <v>36.770000000000003</v>
      </c>
      <c r="N5619">
        <v>305</v>
      </c>
      <c r="O5619" s="34">
        <f t="shared" si="88"/>
        <v>0.63964476830239314</v>
      </c>
    </row>
    <row r="5620" spans="13:15" x14ac:dyDescent="0.3">
      <c r="M5620" s="35">
        <v>36.78</v>
      </c>
      <c r="N5620">
        <v>305</v>
      </c>
      <c r="O5620" s="34">
        <f t="shared" si="88"/>
        <v>0.63975862461572575</v>
      </c>
    </row>
    <row r="5621" spans="13:15" x14ac:dyDescent="0.3">
      <c r="M5621" s="35">
        <v>36.799999999999997</v>
      </c>
      <c r="N5621">
        <v>305</v>
      </c>
      <c r="O5621" s="34">
        <f t="shared" si="88"/>
        <v>0.63987248092905835</v>
      </c>
    </row>
    <row r="5622" spans="13:15" x14ac:dyDescent="0.3">
      <c r="M5622" s="35">
        <v>36.81</v>
      </c>
      <c r="N5622">
        <v>305</v>
      </c>
      <c r="O5622" s="34">
        <f t="shared" si="88"/>
        <v>0.63998633724239096</v>
      </c>
    </row>
    <row r="5623" spans="13:15" x14ac:dyDescent="0.3">
      <c r="M5623" s="35">
        <v>36.82</v>
      </c>
      <c r="N5623">
        <v>305</v>
      </c>
      <c r="O5623" s="34">
        <f t="shared" si="88"/>
        <v>0.64010019355572356</v>
      </c>
    </row>
    <row r="5624" spans="13:15" x14ac:dyDescent="0.3">
      <c r="M5624" s="35">
        <v>36.83</v>
      </c>
      <c r="N5624">
        <v>305</v>
      </c>
      <c r="O5624" s="34">
        <f t="shared" si="88"/>
        <v>0.64021404986905617</v>
      </c>
    </row>
    <row r="5625" spans="13:15" x14ac:dyDescent="0.3">
      <c r="M5625" s="35">
        <v>36.840000000000003</v>
      </c>
      <c r="N5625">
        <v>305</v>
      </c>
      <c r="O5625" s="34">
        <f t="shared" si="88"/>
        <v>0.64032790618238877</v>
      </c>
    </row>
    <row r="5626" spans="13:15" x14ac:dyDescent="0.3">
      <c r="M5626" s="35">
        <v>36.840000000000003</v>
      </c>
      <c r="N5626">
        <v>305</v>
      </c>
      <c r="O5626" s="34">
        <f t="shared" si="88"/>
        <v>0.64044176249572138</v>
      </c>
    </row>
    <row r="5627" spans="13:15" x14ac:dyDescent="0.3">
      <c r="M5627" s="35">
        <v>36.840000000000003</v>
      </c>
      <c r="N5627">
        <v>305</v>
      </c>
      <c r="O5627" s="34">
        <f t="shared" si="88"/>
        <v>0.64055561880905398</v>
      </c>
    </row>
    <row r="5628" spans="13:15" x14ac:dyDescent="0.3">
      <c r="M5628" s="35">
        <v>36.85</v>
      </c>
      <c r="N5628">
        <v>305</v>
      </c>
      <c r="O5628" s="34">
        <f t="shared" si="88"/>
        <v>0.64066947512238659</v>
      </c>
    </row>
    <row r="5629" spans="13:15" x14ac:dyDescent="0.3">
      <c r="M5629" s="35">
        <v>36.869999999999997</v>
      </c>
      <c r="N5629">
        <v>305</v>
      </c>
      <c r="O5629" s="34">
        <f t="shared" si="88"/>
        <v>0.64078333143571919</v>
      </c>
    </row>
    <row r="5630" spans="13:15" x14ac:dyDescent="0.3">
      <c r="M5630" s="35">
        <v>36.869999999999997</v>
      </c>
      <c r="N5630">
        <v>305</v>
      </c>
      <c r="O5630" s="34">
        <f t="shared" si="88"/>
        <v>0.6408971877490518</v>
      </c>
    </row>
    <row r="5631" spans="13:15" x14ac:dyDescent="0.3">
      <c r="M5631" s="35">
        <v>36.880000000000003</v>
      </c>
      <c r="N5631">
        <v>305</v>
      </c>
      <c r="O5631" s="34">
        <f t="shared" si="88"/>
        <v>0.64101104406238441</v>
      </c>
    </row>
    <row r="5632" spans="13:15" x14ac:dyDescent="0.3">
      <c r="M5632" s="35">
        <v>36.880000000000003</v>
      </c>
      <c r="N5632">
        <v>305</v>
      </c>
      <c r="O5632" s="34">
        <f t="shared" si="88"/>
        <v>0.64112490037571701</v>
      </c>
    </row>
    <row r="5633" spans="13:15" x14ac:dyDescent="0.3">
      <c r="M5633" s="35">
        <v>36.89</v>
      </c>
      <c r="N5633">
        <v>305</v>
      </c>
      <c r="O5633" s="34">
        <f t="shared" si="88"/>
        <v>0.64123875668904962</v>
      </c>
    </row>
    <row r="5634" spans="13:15" x14ac:dyDescent="0.3">
      <c r="M5634" s="35">
        <v>36.89</v>
      </c>
      <c r="N5634">
        <v>305</v>
      </c>
      <c r="O5634" s="34">
        <f t="shared" si="88"/>
        <v>0.64135261300238222</v>
      </c>
    </row>
    <row r="5635" spans="13:15" x14ac:dyDescent="0.3">
      <c r="M5635" s="35">
        <v>36.89</v>
      </c>
      <c r="N5635">
        <v>305</v>
      </c>
      <c r="O5635" s="34">
        <f t="shared" si="88"/>
        <v>0.64146646931571483</v>
      </c>
    </row>
    <row r="5636" spans="13:15" x14ac:dyDescent="0.3">
      <c r="M5636" s="35">
        <v>36.909999999999997</v>
      </c>
      <c r="N5636">
        <v>305</v>
      </c>
      <c r="O5636" s="34">
        <f t="shared" ref="O5636:O5699" si="89">O5635+O$2</f>
        <v>0.64158032562904743</v>
      </c>
    </row>
    <row r="5637" spans="13:15" x14ac:dyDescent="0.3">
      <c r="M5637" s="35">
        <v>36.93</v>
      </c>
      <c r="N5637">
        <v>305</v>
      </c>
      <c r="O5637" s="34">
        <f t="shared" si="89"/>
        <v>0.64169418194238004</v>
      </c>
    </row>
    <row r="5638" spans="13:15" x14ac:dyDescent="0.3">
      <c r="M5638" s="35">
        <v>36.93</v>
      </c>
      <c r="N5638">
        <v>305</v>
      </c>
      <c r="O5638" s="34">
        <f t="shared" si="89"/>
        <v>0.64180803825571264</v>
      </c>
    </row>
    <row r="5639" spans="13:15" x14ac:dyDescent="0.3">
      <c r="M5639" s="35">
        <v>36.94</v>
      </c>
      <c r="N5639">
        <v>305</v>
      </c>
      <c r="O5639" s="34">
        <f t="shared" si="89"/>
        <v>0.64192189456904525</v>
      </c>
    </row>
    <row r="5640" spans="13:15" x14ac:dyDescent="0.3">
      <c r="M5640" s="35">
        <v>36.94</v>
      </c>
      <c r="N5640">
        <v>305</v>
      </c>
      <c r="O5640" s="34">
        <f t="shared" si="89"/>
        <v>0.64203575088237785</v>
      </c>
    </row>
    <row r="5641" spans="13:15" x14ac:dyDescent="0.3">
      <c r="M5641" s="35">
        <v>36.94</v>
      </c>
      <c r="N5641">
        <v>305</v>
      </c>
      <c r="O5641" s="34">
        <f t="shared" si="89"/>
        <v>0.64214960719571046</v>
      </c>
    </row>
    <row r="5642" spans="13:15" x14ac:dyDescent="0.3">
      <c r="M5642" s="35">
        <v>36.94</v>
      </c>
      <c r="N5642">
        <v>305</v>
      </c>
      <c r="O5642" s="34">
        <f t="shared" si="89"/>
        <v>0.64226346350904306</v>
      </c>
    </row>
    <row r="5643" spans="13:15" x14ac:dyDescent="0.3">
      <c r="M5643" s="35">
        <v>36.950000000000003</v>
      </c>
      <c r="N5643">
        <v>305</v>
      </c>
      <c r="O5643" s="34">
        <f t="shared" si="89"/>
        <v>0.64237731982237567</v>
      </c>
    </row>
    <row r="5644" spans="13:15" x14ac:dyDescent="0.3">
      <c r="M5644" s="35">
        <v>36.97</v>
      </c>
      <c r="N5644">
        <v>305</v>
      </c>
      <c r="O5644" s="34">
        <f t="shared" si="89"/>
        <v>0.64249117613570828</v>
      </c>
    </row>
    <row r="5645" spans="13:15" x14ac:dyDescent="0.3">
      <c r="M5645" s="35">
        <v>36.979999999999997</v>
      </c>
      <c r="N5645">
        <v>305</v>
      </c>
      <c r="O5645" s="34">
        <f t="shared" si="89"/>
        <v>0.64260503244904088</v>
      </c>
    </row>
    <row r="5646" spans="13:15" x14ac:dyDescent="0.3">
      <c r="M5646" s="35">
        <v>36.979999999999997</v>
      </c>
      <c r="N5646">
        <v>305</v>
      </c>
      <c r="O5646" s="34">
        <f t="shared" si="89"/>
        <v>0.64271888876237349</v>
      </c>
    </row>
    <row r="5647" spans="13:15" x14ac:dyDescent="0.3">
      <c r="M5647" s="35">
        <v>36.99</v>
      </c>
      <c r="N5647">
        <v>305</v>
      </c>
      <c r="O5647" s="34">
        <f t="shared" si="89"/>
        <v>0.64283274507570609</v>
      </c>
    </row>
    <row r="5648" spans="13:15" x14ac:dyDescent="0.3">
      <c r="M5648" s="35">
        <v>37</v>
      </c>
      <c r="N5648">
        <v>305</v>
      </c>
      <c r="O5648" s="34">
        <f t="shared" si="89"/>
        <v>0.6429466013890387</v>
      </c>
    </row>
    <row r="5649" spans="13:15" x14ac:dyDescent="0.3">
      <c r="M5649" s="35">
        <v>37</v>
      </c>
      <c r="N5649">
        <v>305</v>
      </c>
      <c r="O5649" s="34">
        <f t="shared" si="89"/>
        <v>0.6430604577023713</v>
      </c>
    </row>
    <row r="5650" spans="13:15" x14ac:dyDescent="0.3">
      <c r="M5650" s="35">
        <v>37.01</v>
      </c>
      <c r="N5650">
        <v>305</v>
      </c>
      <c r="O5650" s="34">
        <f t="shared" si="89"/>
        <v>0.64317431401570391</v>
      </c>
    </row>
    <row r="5651" spans="13:15" x14ac:dyDescent="0.3">
      <c r="M5651" s="35">
        <v>37.020000000000003</v>
      </c>
      <c r="N5651">
        <v>305</v>
      </c>
      <c r="O5651" s="34">
        <f t="shared" si="89"/>
        <v>0.64328817032903651</v>
      </c>
    </row>
    <row r="5652" spans="13:15" x14ac:dyDescent="0.3">
      <c r="M5652" s="35">
        <v>37.020000000000003</v>
      </c>
      <c r="N5652">
        <v>305</v>
      </c>
      <c r="O5652" s="34">
        <f t="shared" si="89"/>
        <v>0.64340202664236912</v>
      </c>
    </row>
    <row r="5653" spans="13:15" x14ac:dyDescent="0.3">
      <c r="M5653" s="35">
        <v>37.03</v>
      </c>
      <c r="N5653">
        <v>305</v>
      </c>
      <c r="O5653" s="34">
        <f t="shared" si="89"/>
        <v>0.64351588295570172</v>
      </c>
    </row>
    <row r="5654" spans="13:15" x14ac:dyDescent="0.3">
      <c r="M5654" s="35">
        <v>37.03</v>
      </c>
      <c r="N5654">
        <v>305</v>
      </c>
      <c r="O5654" s="34">
        <f t="shared" si="89"/>
        <v>0.64362973926903433</v>
      </c>
    </row>
    <row r="5655" spans="13:15" x14ac:dyDescent="0.3">
      <c r="M5655" s="35">
        <v>37.03</v>
      </c>
      <c r="N5655">
        <v>305</v>
      </c>
      <c r="O5655" s="34">
        <f t="shared" si="89"/>
        <v>0.64374359558236693</v>
      </c>
    </row>
    <row r="5656" spans="13:15" x14ac:dyDescent="0.3">
      <c r="M5656" s="35">
        <v>37.03</v>
      </c>
      <c r="N5656">
        <v>305</v>
      </c>
      <c r="O5656" s="34">
        <f t="shared" si="89"/>
        <v>0.64385745189569954</v>
      </c>
    </row>
    <row r="5657" spans="13:15" x14ac:dyDescent="0.3">
      <c r="M5657" s="35">
        <v>37.04</v>
      </c>
      <c r="N5657">
        <v>305</v>
      </c>
      <c r="O5657" s="34">
        <f t="shared" si="89"/>
        <v>0.64397130820903214</v>
      </c>
    </row>
    <row r="5658" spans="13:15" x14ac:dyDescent="0.3">
      <c r="M5658" s="35">
        <v>37.04</v>
      </c>
      <c r="N5658">
        <v>305</v>
      </c>
      <c r="O5658" s="34">
        <f t="shared" si="89"/>
        <v>0.64408516452236475</v>
      </c>
    </row>
    <row r="5659" spans="13:15" x14ac:dyDescent="0.3">
      <c r="M5659" s="35">
        <v>37.049999999999997</v>
      </c>
      <c r="N5659">
        <v>305</v>
      </c>
      <c r="O5659" s="34">
        <f t="shared" si="89"/>
        <v>0.64419902083569736</v>
      </c>
    </row>
    <row r="5660" spans="13:15" x14ac:dyDescent="0.3">
      <c r="M5660" s="35">
        <v>37.06</v>
      </c>
      <c r="N5660">
        <v>305</v>
      </c>
      <c r="O5660" s="34">
        <f t="shared" si="89"/>
        <v>0.64431287714902996</v>
      </c>
    </row>
    <row r="5661" spans="13:15" x14ac:dyDescent="0.3">
      <c r="M5661" s="35">
        <v>37.08</v>
      </c>
      <c r="N5661">
        <v>305</v>
      </c>
      <c r="O5661" s="34">
        <f t="shared" si="89"/>
        <v>0.64442673346236257</v>
      </c>
    </row>
    <row r="5662" spans="13:15" x14ac:dyDescent="0.3">
      <c r="M5662" s="35">
        <v>37.1</v>
      </c>
      <c r="N5662">
        <v>305</v>
      </c>
      <c r="O5662" s="34">
        <f t="shared" si="89"/>
        <v>0.64454058977569517</v>
      </c>
    </row>
    <row r="5663" spans="13:15" x14ac:dyDescent="0.3">
      <c r="M5663" s="35">
        <v>37.1</v>
      </c>
      <c r="N5663">
        <v>305</v>
      </c>
      <c r="O5663" s="34">
        <f t="shared" si="89"/>
        <v>0.64465444608902778</v>
      </c>
    </row>
    <row r="5664" spans="13:15" x14ac:dyDescent="0.3">
      <c r="M5664" s="35">
        <v>37.119999999999997</v>
      </c>
      <c r="N5664">
        <v>305</v>
      </c>
      <c r="O5664" s="34">
        <f t="shared" si="89"/>
        <v>0.64476830240236038</v>
      </c>
    </row>
    <row r="5665" spans="13:15" x14ac:dyDescent="0.3">
      <c r="M5665" s="35">
        <v>37.15</v>
      </c>
      <c r="N5665">
        <v>305</v>
      </c>
      <c r="O5665" s="34">
        <f t="shared" si="89"/>
        <v>0.64488215871569299</v>
      </c>
    </row>
    <row r="5666" spans="13:15" x14ac:dyDescent="0.3">
      <c r="M5666" s="35">
        <v>37.159999999999997</v>
      </c>
      <c r="N5666">
        <v>305</v>
      </c>
      <c r="O5666" s="34">
        <f t="shared" si="89"/>
        <v>0.64499601502902559</v>
      </c>
    </row>
    <row r="5667" spans="13:15" x14ac:dyDescent="0.3">
      <c r="M5667" s="35">
        <v>37.17</v>
      </c>
      <c r="N5667">
        <v>305</v>
      </c>
      <c r="O5667" s="34">
        <f t="shared" si="89"/>
        <v>0.6451098713423582</v>
      </c>
    </row>
    <row r="5668" spans="13:15" x14ac:dyDescent="0.3">
      <c r="M5668" s="35">
        <v>37.17</v>
      </c>
      <c r="N5668">
        <v>305</v>
      </c>
      <c r="O5668" s="34">
        <f t="shared" si="89"/>
        <v>0.6452237276556908</v>
      </c>
    </row>
    <row r="5669" spans="13:15" x14ac:dyDescent="0.3">
      <c r="M5669" s="35">
        <v>37.17</v>
      </c>
      <c r="N5669">
        <v>305</v>
      </c>
      <c r="O5669" s="34">
        <f t="shared" si="89"/>
        <v>0.64533758396902341</v>
      </c>
    </row>
    <row r="5670" spans="13:15" x14ac:dyDescent="0.3">
      <c r="M5670" s="35">
        <v>37.18</v>
      </c>
      <c r="N5670">
        <v>305</v>
      </c>
      <c r="O5670" s="34">
        <f t="shared" si="89"/>
        <v>0.64545144028235601</v>
      </c>
    </row>
    <row r="5671" spans="13:15" x14ac:dyDescent="0.3">
      <c r="M5671" s="35">
        <v>37.19</v>
      </c>
      <c r="N5671">
        <v>305</v>
      </c>
      <c r="O5671" s="34">
        <f t="shared" si="89"/>
        <v>0.64556529659568862</v>
      </c>
    </row>
    <row r="5672" spans="13:15" x14ac:dyDescent="0.3">
      <c r="M5672" s="35">
        <v>37.19</v>
      </c>
      <c r="N5672">
        <v>305</v>
      </c>
      <c r="O5672" s="34">
        <f t="shared" si="89"/>
        <v>0.64567915290902123</v>
      </c>
    </row>
    <row r="5673" spans="13:15" x14ac:dyDescent="0.3">
      <c r="M5673" s="35">
        <v>37.200000000000003</v>
      </c>
      <c r="N5673">
        <v>305</v>
      </c>
      <c r="O5673" s="34">
        <f t="shared" si="89"/>
        <v>0.64579300922235383</v>
      </c>
    </row>
    <row r="5674" spans="13:15" x14ac:dyDescent="0.3">
      <c r="M5674" s="35">
        <v>37.200000000000003</v>
      </c>
      <c r="N5674">
        <v>305</v>
      </c>
      <c r="O5674" s="34">
        <f t="shared" si="89"/>
        <v>0.64590686553568644</v>
      </c>
    </row>
    <row r="5675" spans="13:15" x14ac:dyDescent="0.3">
      <c r="M5675" s="35">
        <v>37.21</v>
      </c>
      <c r="N5675">
        <v>305</v>
      </c>
      <c r="O5675" s="34">
        <f t="shared" si="89"/>
        <v>0.64602072184901904</v>
      </c>
    </row>
    <row r="5676" spans="13:15" x14ac:dyDescent="0.3">
      <c r="M5676" s="35">
        <v>37.21</v>
      </c>
      <c r="N5676">
        <v>305</v>
      </c>
      <c r="O5676" s="34">
        <f t="shared" si="89"/>
        <v>0.64613457816235165</v>
      </c>
    </row>
    <row r="5677" spans="13:15" x14ac:dyDescent="0.3">
      <c r="M5677" s="35">
        <v>37.21</v>
      </c>
      <c r="N5677">
        <v>305</v>
      </c>
      <c r="O5677" s="34">
        <f t="shared" si="89"/>
        <v>0.64624843447568425</v>
      </c>
    </row>
    <row r="5678" spans="13:15" x14ac:dyDescent="0.3">
      <c r="M5678" s="35">
        <v>37.22</v>
      </c>
      <c r="N5678">
        <v>305</v>
      </c>
      <c r="O5678" s="34">
        <f t="shared" si="89"/>
        <v>0.64636229078901686</v>
      </c>
    </row>
    <row r="5679" spans="13:15" x14ac:dyDescent="0.3">
      <c r="M5679" s="35">
        <v>37.22</v>
      </c>
      <c r="N5679">
        <v>305</v>
      </c>
      <c r="O5679" s="34">
        <f t="shared" si="89"/>
        <v>0.64647614710234946</v>
      </c>
    </row>
    <row r="5680" spans="13:15" x14ac:dyDescent="0.3">
      <c r="M5680" s="35">
        <v>37.229999999999997</v>
      </c>
      <c r="N5680">
        <v>305</v>
      </c>
      <c r="O5680" s="34">
        <f t="shared" si="89"/>
        <v>0.64659000341568207</v>
      </c>
    </row>
    <row r="5681" spans="13:15" x14ac:dyDescent="0.3">
      <c r="M5681" s="35">
        <v>37.24</v>
      </c>
      <c r="N5681">
        <v>305</v>
      </c>
      <c r="O5681" s="34">
        <f t="shared" si="89"/>
        <v>0.64670385972901467</v>
      </c>
    </row>
    <row r="5682" spans="13:15" x14ac:dyDescent="0.3">
      <c r="M5682" s="35">
        <v>37.24</v>
      </c>
      <c r="N5682">
        <v>305</v>
      </c>
      <c r="O5682" s="34">
        <f t="shared" si="89"/>
        <v>0.64681771604234728</v>
      </c>
    </row>
    <row r="5683" spans="13:15" x14ac:dyDescent="0.3">
      <c r="M5683" s="35">
        <v>37.24</v>
      </c>
      <c r="N5683">
        <v>305</v>
      </c>
      <c r="O5683" s="34">
        <f t="shared" si="89"/>
        <v>0.64693157235567988</v>
      </c>
    </row>
    <row r="5684" spans="13:15" x14ac:dyDescent="0.3">
      <c r="M5684" s="35">
        <v>37.25</v>
      </c>
      <c r="N5684">
        <v>305</v>
      </c>
      <c r="O5684" s="34">
        <f t="shared" si="89"/>
        <v>0.64704542866901249</v>
      </c>
    </row>
    <row r="5685" spans="13:15" x14ac:dyDescent="0.3">
      <c r="M5685" s="35">
        <v>37.26</v>
      </c>
      <c r="N5685">
        <v>305</v>
      </c>
      <c r="O5685" s="34">
        <f t="shared" si="89"/>
        <v>0.6471592849823451</v>
      </c>
    </row>
    <row r="5686" spans="13:15" x14ac:dyDescent="0.3">
      <c r="M5686" s="35">
        <v>37.26</v>
      </c>
      <c r="N5686">
        <v>305</v>
      </c>
      <c r="O5686" s="34">
        <f t="shared" si="89"/>
        <v>0.6472731412956777</v>
      </c>
    </row>
    <row r="5687" spans="13:15" x14ac:dyDescent="0.3">
      <c r="M5687" s="35">
        <v>37.270000000000003</v>
      </c>
      <c r="N5687">
        <v>305</v>
      </c>
      <c r="O5687" s="34">
        <f t="shared" si="89"/>
        <v>0.64738699760901031</v>
      </c>
    </row>
    <row r="5688" spans="13:15" x14ac:dyDescent="0.3">
      <c r="M5688" s="35">
        <v>37.29</v>
      </c>
      <c r="N5688">
        <v>305</v>
      </c>
      <c r="O5688" s="34">
        <f t="shared" si="89"/>
        <v>0.64750085392234291</v>
      </c>
    </row>
    <row r="5689" spans="13:15" x14ac:dyDescent="0.3">
      <c r="M5689" s="35">
        <v>37.299999999999997</v>
      </c>
      <c r="N5689">
        <v>305</v>
      </c>
      <c r="O5689" s="34">
        <f t="shared" si="89"/>
        <v>0.64761471023567552</v>
      </c>
    </row>
    <row r="5690" spans="13:15" x14ac:dyDescent="0.3">
      <c r="M5690" s="35">
        <v>37.299999999999997</v>
      </c>
      <c r="N5690">
        <v>305</v>
      </c>
      <c r="O5690" s="34">
        <f t="shared" si="89"/>
        <v>0.64772856654900812</v>
      </c>
    </row>
    <row r="5691" spans="13:15" x14ac:dyDescent="0.3">
      <c r="M5691" s="35">
        <v>37.32</v>
      </c>
      <c r="N5691">
        <v>305</v>
      </c>
      <c r="O5691" s="34">
        <f t="shared" si="89"/>
        <v>0.64784242286234073</v>
      </c>
    </row>
    <row r="5692" spans="13:15" x14ac:dyDescent="0.3">
      <c r="M5692" s="35">
        <v>37.32</v>
      </c>
      <c r="N5692">
        <v>305</v>
      </c>
      <c r="O5692" s="34">
        <f t="shared" si="89"/>
        <v>0.64795627917567333</v>
      </c>
    </row>
    <row r="5693" spans="13:15" x14ac:dyDescent="0.3">
      <c r="M5693" s="35">
        <v>37.33</v>
      </c>
      <c r="N5693">
        <v>305</v>
      </c>
      <c r="O5693" s="34">
        <f t="shared" si="89"/>
        <v>0.64807013548900594</v>
      </c>
    </row>
    <row r="5694" spans="13:15" x14ac:dyDescent="0.3">
      <c r="M5694" s="35">
        <v>37.33</v>
      </c>
      <c r="N5694">
        <v>305</v>
      </c>
      <c r="O5694" s="34">
        <f t="shared" si="89"/>
        <v>0.64818399180233854</v>
      </c>
    </row>
    <row r="5695" spans="13:15" x14ac:dyDescent="0.3">
      <c r="M5695" s="35">
        <v>37.33</v>
      </c>
      <c r="N5695">
        <v>305</v>
      </c>
      <c r="O5695" s="34">
        <f t="shared" si="89"/>
        <v>0.64829784811567115</v>
      </c>
    </row>
    <row r="5696" spans="13:15" x14ac:dyDescent="0.3">
      <c r="M5696" s="35">
        <v>37.33</v>
      </c>
      <c r="N5696">
        <v>305</v>
      </c>
      <c r="O5696" s="34">
        <f t="shared" si="89"/>
        <v>0.64841170442900375</v>
      </c>
    </row>
    <row r="5697" spans="13:15" x14ac:dyDescent="0.3">
      <c r="M5697" s="35">
        <v>37.340000000000003</v>
      </c>
      <c r="N5697">
        <v>305</v>
      </c>
      <c r="O5697" s="34">
        <f t="shared" si="89"/>
        <v>0.64852556074233636</v>
      </c>
    </row>
    <row r="5698" spans="13:15" x14ac:dyDescent="0.3">
      <c r="M5698" s="35">
        <v>37.35</v>
      </c>
      <c r="N5698">
        <v>305</v>
      </c>
      <c r="O5698" s="34">
        <f t="shared" si="89"/>
        <v>0.64863941705566897</v>
      </c>
    </row>
    <row r="5699" spans="13:15" x14ac:dyDescent="0.3">
      <c r="M5699" s="35">
        <v>37.35</v>
      </c>
      <c r="N5699">
        <v>305</v>
      </c>
      <c r="O5699" s="34">
        <f t="shared" si="89"/>
        <v>0.64875327336900157</v>
      </c>
    </row>
    <row r="5700" spans="13:15" x14ac:dyDescent="0.3">
      <c r="M5700" s="35">
        <v>37.369999999999997</v>
      </c>
      <c r="N5700">
        <v>305</v>
      </c>
      <c r="O5700" s="34">
        <f t="shared" ref="O5700:O5763" si="90">O5699+O$2</f>
        <v>0.64886712968233418</v>
      </c>
    </row>
    <row r="5701" spans="13:15" x14ac:dyDescent="0.3">
      <c r="M5701" s="35">
        <v>37.380000000000003</v>
      </c>
      <c r="N5701">
        <v>305</v>
      </c>
      <c r="O5701" s="34">
        <f t="shared" si="90"/>
        <v>0.64898098599566678</v>
      </c>
    </row>
    <row r="5702" spans="13:15" x14ac:dyDescent="0.3">
      <c r="M5702" s="35">
        <v>37.380000000000003</v>
      </c>
      <c r="N5702">
        <v>305</v>
      </c>
      <c r="O5702" s="34">
        <f t="shared" si="90"/>
        <v>0.64909484230899939</v>
      </c>
    </row>
    <row r="5703" spans="13:15" x14ac:dyDescent="0.3">
      <c r="M5703" s="35">
        <v>37.39</v>
      </c>
      <c r="N5703">
        <v>305</v>
      </c>
      <c r="O5703" s="34">
        <f t="shared" si="90"/>
        <v>0.64920869862233199</v>
      </c>
    </row>
    <row r="5704" spans="13:15" x14ac:dyDescent="0.3">
      <c r="M5704" s="35">
        <v>37.4</v>
      </c>
      <c r="N5704">
        <v>305</v>
      </c>
      <c r="O5704" s="34">
        <f t="shared" si="90"/>
        <v>0.6493225549356646</v>
      </c>
    </row>
    <row r="5705" spans="13:15" x14ac:dyDescent="0.3">
      <c r="M5705" s="35">
        <v>37.4</v>
      </c>
      <c r="N5705">
        <v>305</v>
      </c>
      <c r="O5705" s="34">
        <f t="shared" si="90"/>
        <v>0.6494364112489972</v>
      </c>
    </row>
    <row r="5706" spans="13:15" x14ac:dyDescent="0.3">
      <c r="M5706" s="35">
        <v>37.409999999999997</v>
      </c>
      <c r="N5706">
        <v>305</v>
      </c>
      <c r="O5706" s="34">
        <f t="shared" si="90"/>
        <v>0.64955026756232981</v>
      </c>
    </row>
    <row r="5707" spans="13:15" x14ac:dyDescent="0.3">
      <c r="M5707" s="35">
        <v>37.409999999999997</v>
      </c>
      <c r="N5707">
        <v>305</v>
      </c>
      <c r="O5707" s="34">
        <f t="shared" si="90"/>
        <v>0.64966412387566241</v>
      </c>
    </row>
    <row r="5708" spans="13:15" x14ac:dyDescent="0.3">
      <c r="M5708" s="35">
        <v>37.42</v>
      </c>
      <c r="N5708">
        <v>305</v>
      </c>
      <c r="O5708" s="34">
        <f t="shared" si="90"/>
        <v>0.64977798018899502</v>
      </c>
    </row>
    <row r="5709" spans="13:15" x14ac:dyDescent="0.3">
      <c r="M5709" s="35">
        <v>37.43</v>
      </c>
      <c r="N5709">
        <v>305</v>
      </c>
      <c r="O5709" s="34">
        <f t="shared" si="90"/>
        <v>0.64989183650232762</v>
      </c>
    </row>
    <row r="5710" spans="13:15" x14ac:dyDescent="0.3">
      <c r="M5710" s="35">
        <v>37.43</v>
      </c>
      <c r="N5710">
        <v>305</v>
      </c>
      <c r="O5710" s="34">
        <f t="shared" si="90"/>
        <v>0.65000569281566023</v>
      </c>
    </row>
    <row r="5711" spans="13:15" x14ac:dyDescent="0.3">
      <c r="M5711" s="35">
        <v>37.43</v>
      </c>
      <c r="N5711">
        <v>305</v>
      </c>
      <c r="O5711" s="34">
        <f t="shared" si="90"/>
        <v>0.65011954912899284</v>
      </c>
    </row>
    <row r="5712" spans="13:15" x14ac:dyDescent="0.3">
      <c r="M5712" s="35">
        <v>37.450000000000003</v>
      </c>
      <c r="N5712">
        <v>305</v>
      </c>
      <c r="O5712" s="34">
        <f t="shared" si="90"/>
        <v>0.65023340544232544</v>
      </c>
    </row>
    <row r="5713" spans="13:15" x14ac:dyDescent="0.3">
      <c r="M5713" s="35">
        <v>37.450000000000003</v>
      </c>
      <c r="N5713">
        <v>305</v>
      </c>
      <c r="O5713" s="34">
        <f t="shared" si="90"/>
        <v>0.65034726175565805</v>
      </c>
    </row>
    <row r="5714" spans="13:15" x14ac:dyDescent="0.3">
      <c r="M5714" s="35">
        <v>37.46</v>
      </c>
      <c r="N5714">
        <v>305</v>
      </c>
      <c r="O5714" s="34">
        <f t="shared" si="90"/>
        <v>0.65046111806899065</v>
      </c>
    </row>
    <row r="5715" spans="13:15" x14ac:dyDescent="0.3">
      <c r="M5715" s="35">
        <v>37.46</v>
      </c>
      <c r="N5715">
        <v>305</v>
      </c>
      <c r="O5715" s="34">
        <f t="shared" si="90"/>
        <v>0.65057497438232326</v>
      </c>
    </row>
    <row r="5716" spans="13:15" x14ac:dyDescent="0.3">
      <c r="M5716" s="35">
        <v>37.46</v>
      </c>
      <c r="N5716">
        <v>305</v>
      </c>
      <c r="O5716" s="34">
        <f t="shared" si="90"/>
        <v>0.65068883069565586</v>
      </c>
    </row>
    <row r="5717" spans="13:15" x14ac:dyDescent="0.3">
      <c r="M5717" s="35">
        <v>37.47</v>
      </c>
      <c r="N5717">
        <v>305</v>
      </c>
      <c r="O5717" s="34">
        <f t="shared" si="90"/>
        <v>0.65080268700898847</v>
      </c>
    </row>
    <row r="5718" spans="13:15" x14ac:dyDescent="0.3">
      <c r="M5718" s="35">
        <v>37.47</v>
      </c>
      <c r="N5718">
        <v>305</v>
      </c>
      <c r="O5718" s="34">
        <f t="shared" si="90"/>
        <v>0.65091654332232107</v>
      </c>
    </row>
    <row r="5719" spans="13:15" x14ac:dyDescent="0.3">
      <c r="M5719" s="35">
        <v>37.49</v>
      </c>
      <c r="N5719">
        <v>305</v>
      </c>
      <c r="O5719" s="34">
        <f t="shared" si="90"/>
        <v>0.65103039963565368</v>
      </c>
    </row>
    <row r="5720" spans="13:15" x14ac:dyDescent="0.3">
      <c r="M5720" s="35">
        <v>37.49</v>
      </c>
      <c r="N5720">
        <v>305</v>
      </c>
      <c r="O5720" s="34">
        <f t="shared" si="90"/>
        <v>0.65114425594898628</v>
      </c>
    </row>
    <row r="5721" spans="13:15" x14ac:dyDescent="0.3">
      <c r="M5721" s="35">
        <v>37.5</v>
      </c>
      <c r="N5721">
        <v>305</v>
      </c>
      <c r="O5721" s="34">
        <f t="shared" si="90"/>
        <v>0.65125811226231889</v>
      </c>
    </row>
    <row r="5722" spans="13:15" x14ac:dyDescent="0.3">
      <c r="M5722" s="35">
        <v>37.51</v>
      </c>
      <c r="N5722">
        <v>305</v>
      </c>
      <c r="O5722" s="34">
        <f t="shared" si="90"/>
        <v>0.65137196857565149</v>
      </c>
    </row>
    <row r="5723" spans="13:15" x14ac:dyDescent="0.3">
      <c r="M5723" s="35">
        <v>37.51</v>
      </c>
      <c r="N5723">
        <v>305</v>
      </c>
      <c r="O5723" s="34">
        <f t="shared" si="90"/>
        <v>0.6514858248889841</v>
      </c>
    </row>
    <row r="5724" spans="13:15" x14ac:dyDescent="0.3">
      <c r="M5724" s="35">
        <v>37.51</v>
      </c>
      <c r="N5724">
        <v>305</v>
      </c>
      <c r="O5724" s="34">
        <f t="shared" si="90"/>
        <v>0.65159968120231671</v>
      </c>
    </row>
    <row r="5725" spans="13:15" x14ac:dyDescent="0.3">
      <c r="M5725" s="35">
        <v>37.520000000000003</v>
      </c>
      <c r="N5725">
        <v>305</v>
      </c>
      <c r="O5725" s="34">
        <f t="shared" si="90"/>
        <v>0.65171353751564931</v>
      </c>
    </row>
    <row r="5726" spans="13:15" x14ac:dyDescent="0.3">
      <c r="M5726" s="35">
        <v>37.520000000000003</v>
      </c>
      <c r="N5726">
        <v>305</v>
      </c>
      <c r="O5726" s="34">
        <f t="shared" si="90"/>
        <v>0.65182739382898192</v>
      </c>
    </row>
    <row r="5727" spans="13:15" x14ac:dyDescent="0.3">
      <c r="M5727" s="35">
        <v>37.57</v>
      </c>
      <c r="N5727">
        <v>305</v>
      </c>
      <c r="O5727" s="34">
        <f t="shared" si="90"/>
        <v>0.65194125014231452</v>
      </c>
    </row>
    <row r="5728" spans="13:15" x14ac:dyDescent="0.3">
      <c r="M5728" s="35">
        <v>37.57</v>
      </c>
      <c r="N5728">
        <v>305</v>
      </c>
      <c r="O5728" s="34">
        <f t="shared" si="90"/>
        <v>0.65205510645564713</v>
      </c>
    </row>
    <row r="5729" spans="13:15" x14ac:dyDescent="0.3">
      <c r="M5729" s="35">
        <v>37.57</v>
      </c>
      <c r="N5729">
        <v>305</v>
      </c>
      <c r="O5729" s="34">
        <f t="shared" si="90"/>
        <v>0.65216896276897973</v>
      </c>
    </row>
    <row r="5730" spans="13:15" x14ac:dyDescent="0.3">
      <c r="M5730" s="35">
        <v>37.590000000000003</v>
      </c>
      <c r="N5730">
        <v>305</v>
      </c>
      <c r="O5730" s="34">
        <f t="shared" si="90"/>
        <v>0.65228281908231234</v>
      </c>
    </row>
    <row r="5731" spans="13:15" x14ac:dyDescent="0.3">
      <c r="M5731" s="35">
        <v>37.619999999999997</v>
      </c>
      <c r="N5731">
        <v>305</v>
      </c>
      <c r="O5731" s="34">
        <f t="shared" si="90"/>
        <v>0.65239667539564494</v>
      </c>
    </row>
    <row r="5732" spans="13:15" x14ac:dyDescent="0.3">
      <c r="M5732" s="35">
        <v>37.619999999999997</v>
      </c>
      <c r="N5732">
        <v>305</v>
      </c>
      <c r="O5732" s="34">
        <f t="shared" si="90"/>
        <v>0.65251053170897755</v>
      </c>
    </row>
    <row r="5733" spans="13:15" x14ac:dyDescent="0.3">
      <c r="M5733" s="35">
        <v>37.619999999999997</v>
      </c>
      <c r="N5733">
        <v>305</v>
      </c>
      <c r="O5733" s="34">
        <f t="shared" si="90"/>
        <v>0.65262438802231015</v>
      </c>
    </row>
    <row r="5734" spans="13:15" x14ac:dyDescent="0.3">
      <c r="M5734" s="35">
        <v>37.630000000000003</v>
      </c>
      <c r="N5734">
        <v>305</v>
      </c>
      <c r="O5734" s="34">
        <f t="shared" si="90"/>
        <v>0.65273824433564276</v>
      </c>
    </row>
    <row r="5735" spans="13:15" x14ac:dyDescent="0.3">
      <c r="M5735" s="35">
        <v>37.630000000000003</v>
      </c>
      <c r="N5735">
        <v>305</v>
      </c>
      <c r="O5735" s="34">
        <f t="shared" si="90"/>
        <v>0.65285210064897536</v>
      </c>
    </row>
    <row r="5736" spans="13:15" x14ac:dyDescent="0.3">
      <c r="M5736" s="35">
        <v>37.64</v>
      </c>
      <c r="N5736">
        <v>305</v>
      </c>
      <c r="O5736" s="34">
        <f t="shared" si="90"/>
        <v>0.65296595696230797</v>
      </c>
    </row>
    <row r="5737" spans="13:15" x14ac:dyDescent="0.3">
      <c r="M5737" s="35">
        <v>37.64</v>
      </c>
      <c r="N5737">
        <v>305</v>
      </c>
      <c r="O5737" s="34">
        <f t="shared" si="90"/>
        <v>0.65307981327564057</v>
      </c>
    </row>
    <row r="5738" spans="13:15" x14ac:dyDescent="0.3">
      <c r="M5738" s="35">
        <v>37.64</v>
      </c>
      <c r="N5738">
        <v>305</v>
      </c>
      <c r="O5738" s="34">
        <f t="shared" si="90"/>
        <v>0.65319366958897318</v>
      </c>
    </row>
    <row r="5739" spans="13:15" x14ac:dyDescent="0.3">
      <c r="M5739" s="35">
        <v>37.67</v>
      </c>
      <c r="N5739">
        <v>305</v>
      </c>
      <c r="O5739" s="34">
        <f t="shared" si="90"/>
        <v>0.65330752590230579</v>
      </c>
    </row>
    <row r="5740" spans="13:15" x14ac:dyDescent="0.3">
      <c r="M5740" s="35">
        <v>37.68</v>
      </c>
      <c r="N5740">
        <v>305</v>
      </c>
      <c r="O5740" s="34">
        <f t="shared" si="90"/>
        <v>0.65342138221563839</v>
      </c>
    </row>
    <row r="5741" spans="13:15" x14ac:dyDescent="0.3">
      <c r="M5741" s="35">
        <v>37.68</v>
      </c>
      <c r="N5741">
        <v>305</v>
      </c>
      <c r="O5741" s="34">
        <f t="shared" si="90"/>
        <v>0.653535238528971</v>
      </c>
    </row>
    <row r="5742" spans="13:15" x14ac:dyDescent="0.3">
      <c r="M5742" s="35">
        <v>37.68</v>
      </c>
      <c r="N5742">
        <v>305</v>
      </c>
      <c r="O5742" s="34">
        <f t="shared" si="90"/>
        <v>0.6536490948423036</v>
      </c>
    </row>
    <row r="5743" spans="13:15" x14ac:dyDescent="0.3">
      <c r="M5743" s="35">
        <v>37.69</v>
      </c>
      <c r="N5743">
        <v>305</v>
      </c>
      <c r="O5743" s="34">
        <f t="shared" si="90"/>
        <v>0.65376295115563621</v>
      </c>
    </row>
    <row r="5744" spans="13:15" x14ac:dyDescent="0.3">
      <c r="M5744" s="35">
        <v>37.700000000000003</v>
      </c>
      <c r="N5744">
        <v>305</v>
      </c>
      <c r="O5744" s="34">
        <f t="shared" si="90"/>
        <v>0.65387680746896881</v>
      </c>
    </row>
    <row r="5745" spans="13:15" x14ac:dyDescent="0.3">
      <c r="M5745" s="35">
        <v>37.700000000000003</v>
      </c>
      <c r="N5745">
        <v>305</v>
      </c>
      <c r="O5745" s="34">
        <f t="shared" si="90"/>
        <v>0.65399066378230142</v>
      </c>
    </row>
    <row r="5746" spans="13:15" x14ac:dyDescent="0.3">
      <c r="M5746" s="35">
        <v>37.71</v>
      </c>
      <c r="N5746">
        <v>305</v>
      </c>
      <c r="O5746" s="34">
        <f t="shared" si="90"/>
        <v>0.65410452009563402</v>
      </c>
    </row>
    <row r="5747" spans="13:15" x14ac:dyDescent="0.3">
      <c r="M5747" s="35">
        <v>37.72</v>
      </c>
      <c r="N5747">
        <v>305</v>
      </c>
      <c r="O5747" s="34">
        <f t="shared" si="90"/>
        <v>0.65421837640896663</v>
      </c>
    </row>
    <row r="5748" spans="13:15" x14ac:dyDescent="0.3">
      <c r="M5748" s="35">
        <v>37.72</v>
      </c>
      <c r="N5748">
        <v>305</v>
      </c>
      <c r="O5748" s="34">
        <f t="shared" si="90"/>
        <v>0.65433223272229923</v>
      </c>
    </row>
    <row r="5749" spans="13:15" x14ac:dyDescent="0.3">
      <c r="M5749" s="35">
        <v>37.729999999999997</v>
      </c>
      <c r="N5749">
        <v>305</v>
      </c>
      <c r="O5749" s="34">
        <f t="shared" si="90"/>
        <v>0.65444608903563184</v>
      </c>
    </row>
    <row r="5750" spans="13:15" x14ac:dyDescent="0.3">
      <c r="M5750" s="35">
        <v>37.729999999999997</v>
      </c>
      <c r="N5750">
        <v>305</v>
      </c>
      <c r="O5750" s="34">
        <f t="shared" si="90"/>
        <v>0.65455994534896444</v>
      </c>
    </row>
    <row r="5751" spans="13:15" x14ac:dyDescent="0.3">
      <c r="M5751" s="35">
        <v>37.74</v>
      </c>
      <c r="N5751">
        <v>305</v>
      </c>
      <c r="O5751" s="34">
        <f t="shared" si="90"/>
        <v>0.65467380166229705</v>
      </c>
    </row>
    <row r="5752" spans="13:15" x14ac:dyDescent="0.3">
      <c r="M5752" s="35">
        <v>37.75</v>
      </c>
      <c r="N5752">
        <v>305</v>
      </c>
      <c r="O5752" s="34">
        <f t="shared" si="90"/>
        <v>0.65478765797562966</v>
      </c>
    </row>
    <row r="5753" spans="13:15" x14ac:dyDescent="0.3">
      <c r="M5753" s="35">
        <v>37.75</v>
      </c>
      <c r="N5753">
        <v>305</v>
      </c>
      <c r="O5753" s="34">
        <f t="shared" si="90"/>
        <v>0.65490151428896226</v>
      </c>
    </row>
    <row r="5754" spans="13:15" x14ac:dyDescent="0.3">
      <c r="M5754" s="35">
        <v>37.75</v>
      </c>
      <c r="N5754">
        <v>305</v>
      </c>
      <c r="O5754" s="34">
        <f t="shared" si="90"/>
        <v>0.65501537060229487</v>
      </c>
    </row>
    <row r="5755" spans="13:15" x14ac:dyDescent="0.3">
      <c r="M5755" s="35">
        <v>37.76</v>
      </c>
      <c r="N5755">
        <v>305</v>
      </c>
      <c r="O5755" s="34">
        <f t="shared" si="90"/>
        <v>0.65512922691562747</v>
      </c>
    </row>
    <row r="5756" spans="13:15" x14ac:dyDescent="0.3">
      <c r="M5756" s="35">
        <v>37.76</v>
      </c>
      <c r="N5756">
        <v>305</v>
      </c>
      <c r="O5756" s="34">
        <f t="shared" si="90"/>
        <v>0.65524308322896008</v>
      </c>
    </row>
    <row r="5757" spans="13:15" x14ac:dyDescent="0.3">
      <c r="M5757" s="35">
        <v>37.76</v>
      </c>
      <c r="N5757">
        <v>305</v>
      </c>
      <c r="O5757" s="34">
        <f t="shared" si="90"/>
        <v>0.65535693954229268</v>
      </c>
    </row>
    <row r="5758" spans="13:15" x14ac:dyDescent="0.3">
      <c r="M5758" s="35">
        <v>37.770000000000003</v>
      </c>
      <c r="N5758">
        <v>305</v>
      </c>
      <c r="O5758" s="34">
        <f t="shared" si="90"/>
        <v>0.65547079585562529</v>
      </c>
    </row>
    <row r="5759" spans="13:15" x14ac:dyDescent="0.3">
      <c r="M5759" s="35">
        <v>37.78</v>
      </c>
      <c r="N5759">
        <v>305</v>
      </c>
      <c r="O5759" s="34">
        <f t="shared" si="90"/>
        <v>0.65558465216895789</v>
      </c>
    </row>
    <row r="5760" spans="13:15" x14ac:dyDescent="0.3">
      <c r="M5760" s="35">
        <v>37.78</v>
      </c>
      <c r="N5760">
        <v>305</v>
      </c>
      <c r="O5760" s="34">
        <f t="shared" si="90"/>
        <v>0.6556985084822905</v>
      </c>
    </row>
    <row r="5761" spans="13:15" x14ac:dyDescent="0.3">
      <c r="M5761" s="35">
        <v>37.78</v>
      </c>
      <c r="N5761">
        <v>305</v>
      </c>
      <c r="O5761" s="34">
        <f t="shared" si="90"/>
        <v>0.6558123647956231</v>
      </c>
    </row>
    <row r="5762" spans="13:15" x14ac:dyDescent="0.3">
      <c r="M5762" s="35">
        <v>37.78</v>
      </c>
      <c r="N5762">
        <v>305</v>
      </c>
      <c r="O5762" s="34">
        <f t="shared" si="90"/>
        <v>0.65592622110895571</v>
      </c>
    </row>
    <row r="5763" spans="13:15" x14ac:dyDescent="0.3">
      <c r="M5763" s="35">
        <v>37.78</v>
      </c>
      <c r="N5763">
        <v>305</v>
      </c>
      <c r="O5763" s="34">
        <f t="shared" si="90"/>
        <v>0.65604007742228831</v>
      </c>
    </row>
    <row r="5764" spans="13:15" x14ac:dyDescent="0.3">
      <c r="M5764" s="35">
        <v>37.79</v>
      </c>
      <c r="N5764">
        <v>305</v>
      </c>
      <c r="O5764" s="34">
        <f t="shared" ref="O5764:O5827" si="91">O5763+O$2</f>
        <v>0.65615393373562092</v>
      </c>
    </row>
    <row r="5765" spans="13:15" x14ac:dyDescent="0.3">
      <c r="M5765" s="35">
        <v>37.81</v>
      </c>
      <c r="N5765">
        <v>305</v>
      </c>
      <c r="O5765" s="34">
        <f t="shared" si="91"/>
        <v>0.65626779004895353</v>
      </c>
    </row>
    <row r="5766" spans="13:15" x14ac:dyDescent="0.3">
      <c r="M5766" s="35">
        <v>37.81</v>
      </c>
      <c r="N5766">
        <v>305</v>
      </c>
      <c r="O5766" s="34">
        <f t="shared" si="91"/>
        <v>0.65638164636228613</v>
      </c>
    </row>
    <row r="5767" spans="13:15" x14ac:dyDescent="0.3">
      <c r="M5767" s="35">
        <v>37.82</v>
      </c>
      <c r="N5767">
        <v>305</v>
      </c>
      <c r="O5767" s="34">
        <f t="shared" si="91"/>
        <v>0.65649550267561874</v>
      </c>
    </row>
    <row r="5768" spans="13:15" x14ac:dyDescent="0.3">
      <c r="M5768" s="35">
        <v>37.83</v>
      </c>
      <c r="N5768">
        <v>305</v>
      </c>
      <c r="O5768" s="34">
        <f t="shared" si="91"/>
        <v>0.65660935898895134</v>
      </c>
    </row>
    <row r="5769" spans="13:15" x14ac:dyDescent="0.3">
      <c r="M5769" s="35">
        <v>37.83</v>
      </c>
      <c r="N5769">
        <v>305</v>
      </c>
      <c r="O5769" s="34">
        <f t="shared" si="91"/>
        <v>0.65672321530228395</v>
      </c>
    </row>
    <row r="5770" spans="13:15" x14ac:dyDescent="0.3">
      <c r="M5770" s="35">
        <v>37.83</v>
      </c>
      <c r="N5770">
        <v>305</v>
      </c>
      <c r="O5770" s="34">
        <f t="shared" si="91"/>
        <v>0.65683707161561655</v>
      </c>
    </row>
    <row r="5771" spans="13:15" x14ac:dyDescent="0.3">
      <c r="M5771" s="35">
        <v>37.85</v>
      </c>
      <c r="N5771">
        <v>305</v>
      </c>
      <c r="O5771" s="34">
        <f t="shared" si="91"/>
        <v>0.65695092792894916</v>
      </c>
    </row>
    <row r="5772" spans="13:15" x14ac:dyDescent="0.3">
      <c r="M5772" s="35">
        <v>37.86</v>
      </c>
      <c r="N5772">
        <v>305</v>
      </c>
      <c r="O5772" s="34">
        <f t="shared" si="91"/>
        <v>0.65706478424228176</v>
      </c>
    </row>
    <row r="5773" spans="13:15" x14ac:dyDescent="0.3">
      <c r="M5773" s="35">
        <v>37.86</v>
      </c>
      <c r="N5773">
        <v>305</v>
      </c>
      <c r="O5773" s="34">
        <f t="shared" si="91"/>
        <v>0.65717864055561437</v>
      </c>
    </row>
    <row r="5774" spans="13:15" x14ac:dyDescent="0.3">
      <c r="M5774" s="35">
        <v>37.86</v>
      </c>
      <c r="N5774">
        <v>305</v>
      </c>
      <c r="O5774" s="34">
        <f t="shared" si="91"/>
        <v>0.65729249686894697</v>
      </c>
    </row>
    <row r="5775" spans="13:15" x14ac:dyDescent="0.3">
      <c r="M5775" s="35">
        <v>37.86</v>
      </c>
      <c r="N5775">
        <v>305</v>
      </c>
      <c r="O5775" s="34">
        <f t="shared" si="91"/>
        <v>0.65740635318227958</v>
      </c>
    </row>
    <row r="5776" spans="13:15" x14ac:dyDescent="0.3">
      <c r="M5776" s="35">
        <v>37.86</v>
      </c>
      <c r="N5776">
        <v>305</v>
      </c>
      <c r="O5776" s="34">
        <f t="shared" si="91"/>
        <v>0.65752020949561218</v>
      </c>
    </row>
    <row r="5777" spans="13:15" x14ac:dyDescent="0.3">
      <c r="M5777" s="35">
        <v>37.869999999999997</v>
      </c>
      <c r="N5777">
        <v>305</v>
      </c>
      <c r="O5777" s="34">
        <f t="shared" si="91"/>
        <v>0.65763406580894479</v>
      </c>
    </row>
    <row r="5778" spans="13:15" x14ac:dyDescent="0.3">
      <c r="M5778" s="35">
        <v>37.869999999999997</v>
      </c>
      <c r="N5778">
        <v>305</v>
      </c>
      <c r="O5778" s="34">
        <f t="shared" si="91"/>
        <v>0.6577479221222774</v>
      </c>
    </row>
    <row r="5779" spans="13:15" x14ac:dyDescent="0.3">
      <c r="M5779" s="35">
        <v>37.880000000000003</v>
      </c>
      <c r="N5779">
        <v>305</v>
      </c>
      <c r="O5779" s="34">
        <f t="shared" si="91"/>
        <v>0.65786177843561</v>
      </c>
    </row>
    <row r="5780" spans="13:15" x14ac:dyDescent="0.3">
      <c r="M5780" s="35">
        <v>37.880000000000003</v>
      </c>
      <c r="N5780">
        <v>305</v>
      </c>
      <c r="O5780" s="34">
        <f t="shared" si="91"/>
        <v>0.65797563474894261</v>
      </c>
    </row>
    <row r="5781" spans="13:15" x14ac:dyDescent="0.3">
      <c r="M5781" s="35">
        <v>37.89</v>
      </c>
      <c r="N5781">
        <v>305</v>
      </c>
      <c r="O5781" s="34">
        <f t="shared" si="91"/>
        <v>0.65808949106227521</v>
      </c>
    </row>
    <row r="5782" spans="13:15" x14ac:dyDescent="0.3">
      <c r="M5782" s="35">
        <v>37.89</v>
      </c>
      <c r="N5782">
        <v>305</v>
      </c>
      <c r="O5782" s="34">
        <f t="shared" si="91"/>
        <v>0.65820334737560782</v>
      </c>
    </row>
    <row r="5783" spans="13:15" x14ac:dyDescent="0.3">
      <c r="M5783" s="35">
        <v>37.909999999999997</v>
      </c>
      <c r="N5783">
        <v>305</v>
      </c>
      <c r="O5783" s="34">
        <f t="shared" si="91"/>
        <v>0.65831720368894042</v>
      </c>
    </row>
    <row r="5784" spans="13:15" x14ac:dyDescent="0.3">
      <c r="M5784" s="35">
        <v>37.92</v>
      </c>
      <c r="N5784">
        <v>305</v>
      </c>
      <c r="O5784" s="34">
        <f t="shared" si="91"/>
        <v>0.65843106000227303</v>
      </c>
    </row>
    <row r="5785" spans="13:15" x14ac:dyDescent="0.3">
      <c r="M5785" s="35">
        <v>37.92</v>
      </c>
      <c r="N5785">
        <v>305</v>
      </c>
      <c r="O5785" s="34">
        <f t="shared" si="91"/>
        <v>0.65854491631560563</v>
      </c>
    </row>
    <row r="5786" spans="13:15" x14ac:dyDescent="0.3">
      <c r="M5786" s="35">
        <v>37.93</v>
      </c>
      <c r="N5786">
        <v>305</v>
      </c>
      <c r="O5786" s="34">
        <f t="shared" si="91"/>
        <v>0.65865877262893824</v>
      </c>
    </row>
    <row r="5787" spans="13:15" x14ac:dyDescent="0.3">
      <c r="M5787" s="35">
        <v>37.94</v>
      </c>
      <c r="N5787">
        <v>305</v>
      </c>
      <c r="O5787" s="34">
        <f t="shared" si="91"/>
        <v>0.65877262894227084</v>
      </c>
    </row>
    <row r="5788" spans="13:15" x14ac:dyDescent="0.3">
      <c r="M5788" s="35">
        <v>37.950000000000003</v>
      </c>
      <c r="N5788">
        <v>305</v>
      </c>
      <c r="O5788" s="34">
        <f t="shared" si="91"/>
        <v>0.65888648525560345</v>
      </c>
    </row>
    <row r="5789" spans="13:15" x14ac:dyDescent="0.3">
      <c r="M5789" s="35">
        <v>37.950000000000003</v>
      </c>
      <c r="N5789">
        <v>305</v>
      </c>
      <c r="O5789" s="34">
        <f t="shared" si="91"/>
        <v>0.65900034156893605</v>
      </c>
    </row>
    <row r="5790" spans="13:15" x14ac:dyDescent="0.3">
      <c r="M5790" s="35">
        <v>37.96</v>
      </c>
      <c r="N5790">
        <v>305</v>
      </c>
      <c r="O5790" s="34">
        <f t="shared" si="91"/>
        <v>0.65911419788226866</v>
      </c>
    </row>
    <row r="5791" spans="13:15" x14ac:dyDescent="0.3">
      <c r="M5791" s="35">
        <v>37.96</v>
      </c>
      <c r="N5791">
        <v>305</v>
      </c>
      <c r="O5791" s="34">
        <f t="shared" si="91"/>
        <v>0.65922805419560127</v>
      </c>
    </row>
    <row r="5792" spans="13:15" x14ac:dyDescent="0.3">
      <c r="M5792" s="35">
        <v>37.97</v>
      </c>
      <c r="N5792">
        <v>305</v>
      </c>
      <c r="O5792" s="34">
        <f t="shared" si="91"/>
        <v>0.65934191050893387</v>
      </c>
    </row>
    <row r="5793" spans="13:15" x14ac:dyDescent="0.3">
      <c r="M5793" s="35">
        <v>37.979999999999997</v>
      </c>
      <c r="N5793">
        <v>305</v>
      </c>
      <c r="O5793" s="34">
        <f t="shared" si="91"/>
        <v>0.65945576682226648</v>
      </c>
    </row>
    <row r="5794" spans="13:15" x14ac:dyDescent="0.3">
      <c r="M5794" s="35">
        <v>37.979999999999997</v>
      </c>
      <c r="N5794">
        <v>305</v>
      </c>
      <c r="O5794" s="34">
        <f t="shared" si="91"/>
        <v>0.65956962313559908</v>
      </c>
    </row>
    <row r="5795" spans="13:15" x14ac:dyDescent="0.3">
      <c r="M5795" s="35">
        <v>37.99</v>
      </c>
      <c r="N5795">
        <v>305</v>
      </c>
      <c r="O5795" s="34">
        <f t="shared" si="91"/>
        <v>0.65968347944893169</v>
      </c>
    </row>
    <row r="5796" spans="13:15" x14ac:dyDescent="0.3">
      <c r="M5796" s="35">
        <v>37.99</v>
      </c>
      <c r="N5796">
        <v>305</v>
      </c>
      <c r="O5796" s="34">
        <f t="shared" si="91"/>
        <v>0.65979733576226429</v>
      </c>
    </row>
    <row r="5797" spans="13:15" x14ac:dyDescent="0.3">
      <c r="M5797" s="35">
        <v>38.01</v>
      </c>
      <c r="N5797">
        <v>305</v>
      </c>
      <c r="O5797" s="34">
        <f t="shared" si="91"/>
        <v>0.6599111920755969</v>
      </c>
    </row>
    <row r="5798" spans="13:15" x14ac:dyDescent="0.3">
      <c r="M5798" s="35">
        <v>38.01</v>
      </c>
      <c r="N5798">
        <v>305</v>
      </c>
      <c r="O5798" s="34">
        <f t="shared" si="91"/>
        <v>0.6600250483889295</v>
      </c>
    </row>
    <row r="5799" spans="13:15" x14ac:dyDescent="0.3">
      <c r="M5799" s="35">
        <v>38.020000000000003</v>
      </c>
      <c r="N5799">
        <v>305</v>
      </c>
      <c r="O5799" s="34">
        <f t="shared" si="91"/>
        <v>0.66013890470226211</v>
      </c>
    </row>
    <row r="5800" spans="13:15" x14ac:dyDescent="0.3">
      <c r="M5800" s="35">
        <v>38.04</v>
      </c>
      <c r="N5800">
        <v>305</v>
      </c>
      <c r="O5800" s="34">
        <f t="shared" si="91"/>
        <v>0.66025276101559471</v>
      </c>
    </row>
    <row r="5801" spans="13:15" x14ac:dyDescent="0.3">
      <c r="M5801" s="35">
        <v>38.049999999999997</v>
      </c>
      <c r="N5801">
        <v>305</v>
      </c>
      <c r="O5801" s="34">
        <f t="shared" si="91"/>
        <v>0.66036661732892732</v>
      </c>
    </row>
    <row r="5802" spans="13:15" x14ac:dyDescent="0.3">
      <c r="M5802" s="35">
        <v>38.049999999999997</v>
      </c>
      <c r="N5802">
        <v>305</v>
      </c>
      <c r="O5802" s="34">
        <f t="shared" si="91"/>
        <v>0.66048047364225992</v>
      </c>
    </row>
    <row r="5803" spans="13:15" x14ac:dyDescent="0.3">
      <c r="M5803" s="35">
        <v>38.06</v>
      </c>
      <c r="N5803">
        <v>305</v>
      </c>
      <c r="O5803" s="34">
        <f t="shared" si="91"/>
        <v>0.66059432995559253</v>
      </c>
    </row>
    <row r="5804" spans="13:15" x14ac:dyDescent="0.3">
      <c r="M5804" s="35">
        <v>38.07</v>
      </c>
      <c r="N5804">
        <v>305</v>
      </c>
      <c r="O5804" s="34">
        <f t="shared" si="91"/>
        <v>0.66070818626892514</v>
      </c>
    </row>
    <row r="5805" spans="13:15" x14ac:dyDescent="0.3">
      <c r="M5805" s="35">
        <v>38.07</v>
      </c>
      <c r="N5805">
        <v>305</v>
      </c>
      <c r="O5805" s="34">
        <f t="shared" si="91"/>
        <v>0.66082204258225774</v>
      </c>
    </row>
    <row r="5806" spans="13:15" x14ac:dyDescent="0.3">
      <c r="M5806" s="35">
        <v>38.08</v>
      </c>
      <c r="N5806">
        <v>305</v>
      </c>
      <c r="O5806" s="34">
        <f t="shared" si="91"/>
        <v>0.66093589889559035</v>
      </c>
    </row>
    <row r="5807" spans="13:15" x14ac:dyDescent="0.3">
      <c r="M5807" s="35">
        <v>38.08</v>
      </c>
      <c r="N5807">
        <v>305</v>
      </c>
      <c r="O5807" s="34">
        <f t="shared" si="91"/>
        <v>0.66104975520892295</v>
      </c>
    </row>
    <row r="5808" spans="13:15" x14ac:dyDescent="0.3">
      <c r="M5808" s="35">
        <v>38.090000000000003</v>
      </c>
      <c r="N5808">
        <v>305</v>
      </c>
      <c r="O5808" s="34">
        <f t="shared" si="91"/>
        <v>0.66116361152225556</v>
      </c>
    </row>
    <row r="5809" spans="13:15" x14ac:dyDescent="0.3">
      <c r="M5809" s="35">
        <v>38.1</v>
      </c>
      <c r="N5809">
        <v>305</v>
      </c>
      <c r="O5809" s="34">
        <f t="shared" si="91"/>
        <v>0.66127746783558816</v>
      </c>
    </row>
    <row r="5810" spans="13:15" x14ac:dyDescent="0.3">
      <c r="M5810" s="35">
        <v>38.1</v>
      </c>
      <c r="N5810">
        <v>305</v>
      </c>
      <c r="O5810" s="34">
        <f t="shared" si="91"/>
        <v>0.66139132414892077</v>
      </c>
    </row>
    <row r="5811" spans="13:15" x14ac:dyDescent="0.3">
      <c r="M5811" s="35">
        <v>38.11</v>
      </c>
      <c r="N5811">
        <v>305</v>
      </c>
      <c r="O5811" s="34">
        <f t="shared" si="91"/>
        <v>0.66150518046225337</v>
      </c>
    </row>
    <row r="5812" spans="13:15" x14ac:dyDescent="0.3">
      <c r="M5812" s="35">
        <v>38.119999999999997</v>
      </c>
      <c r="N5812">
        <v>305</v>
      </c>
      <c r="O5812" s="34">
        <f t="shared" si="91"/>
        <v>0.66161903677558598</v>
      </c>
    </row>
    <row r="5813" spans="13:15" x14ac:dyDescent="0.3">
      <c r="M5813" s="35">
        <v>38.130000000000003</v>
      </c>
      <c r="N5813">
        <v>305</v>
      </c>
      <c r="O5813" s="34">
        <f t="shared" si="91"/>
        <v>0.66173289308891858</v>
      </c>
    </row>
    <row r="5814" spans="13:15" x14ac:dyDescent="0.3">
      <c r="M5814" s="35">
        <v>38.130000000000003</v>
      </c>
      <c r="N5814">
        <v>305</v>
      </c>
      <c r="O5814" s="34">
        <f t="shared" si="91"/>
        <v>0.66184674940225119</v>
      </c>
    </row>
    <row r="5815" spans="13:15" x14ac:dyDescent="0.3">
      <c r="M5815" s="35">
        <v>38.130000000000003</v>
      </c>
      <c r="N5815">
        <v>305</v>
      </c>
      <c r="O5815" s="34">
        <f t="shared" si="91"/>
        <v>0.66196060571558379</v>
      </c>
    </row>
    <row r="5816" spans="13:15" x14ac:dyDescent="0.3">
      <c r="M5816" s="35">
        <v>38.130000000000003</v>
      </c>
      <c r="N5816">
        <v>305</v>
      </c>
      <c r="O5816" s="34">
        <f t="shared" si="91"/>
        <v>0.6620744620289164</v>
      </c>
    </row>
    <row r="5817" spans="13:15" x14ac:dyDescent="0.3">
      <c r="M5817" s="35">
        <v>38.130000000000003</v>
      </c>
      <c r="N5817">
        <v>305</v>
      </c>
      <c r="O5817" s="34">
        <f t="shared" si="91"/>
        <v>0.662188318342249</v>
      </c>
    </row>
    <row r="5818" spans="13:15" x14ac:dyDescent="0.3">
      <c r="M5818" s="35">
        <v>38.130000000000003</v>
      </c>
      <c r="N5818">
        <v>305</v>
      </c>
      <c r="O5818" s="34">
        <f t="shared" si="91"/>
        <v>0.66230217465558161</v>
      </c>
    </row>
    <row r="5819" spans="13:15" x14ac:dyDescent="0.3">
      <c r="M5819" s="35">
        <v>38.14</v>
      </c>
      <c r="N5819">
        <v>305</v>
      </c>
      <c r="O5819" s="34">
        <f t="shared" si="91"/>
        <v>0.66241603096891422</v>
      </c>
    </row>
    <row r="5820" spans="13:15" x14ac:dyDescent="0.3">
      <c r="M5820" s="35">
        <v>38.14</v>
      </c>
      <c r="N5820">
        <v>305</v>
      </c>
      <c r="O5820" s="34">
        <f t="shared" si="91"/>
        <v>0.66252988728224682</v>
      </c>
    </row>
    <row r="5821" spans="13:15" x14ac:dyDescent="0.3">
      <c r="M5821" s="35">
        <v>38.14</v>
      </c>
      <c r="N5821">
        <v>305</v>
      </c>
      <c r="O5821" s="34">
        <f t="shared" si="91"/>
        <v>0.66264374359557943</v>
      </c>
    </row>
    <row r="5822" spans="13:15" x14ac:dyDescent="0.3">
      <c r="M5822" s="35">
        <v>38.15</v>
      </c>
      <c r="N5822">
        <v>305</v>
      </c>
      <c r="O5822" s="34">
        <f t="shared" si="91"/>
        <v>0.66275759990891203</v>
      </c>
    </row>
    <row r="5823" spans="13:15" x14ac:dyDescent="0.3">
      <c r="M5823" s="35">
        <v>38.15</v>
      </c>
      <c r="N5823">
        <v>305</v>
      </c>
      <c r="O5823" s="34">
        <f t="shared" si="91"/>
        <v>0.66287145622224464</v>
      </c>
    </row>
    <row r="5824" spans="13:15" x14ac:dyDescent="0.3">
      <c r="M5824" s="35">
        <v>38.159999999999997</v>
      </c>
      <c r="N5824">
        <v>305</v>
      </c>
      <c r="O5824" s="34">
        <f t="shared" si="91"/>
        <v>0.66298531253557724</v>
      </c>
    </row>
    <row r="5825" spans="13:15" x14ac:dyDescent="0.3">
      <c r="M5825" s="35">
        <v>38.159999999999997</v>
      </c>
      <c r="N5825">
        <v>305</v>
      </c>
      <c r="O5825" s="34">
        <f t="shared" si="91"/>
        <v>0.66309916884890985</v>
      </c>
    </row>
    <row r="5826" spans="13:15" x14ac:dyDescent="0.3">
      <c r="M5826" s="35">
        <v>38.159999999999997</v>
      </c>
      <c r="N5826">
        <v>305</v>
      </c>
      <c r="O5826" s="34">
        <f t="shared" si="91"/>
        <v>0.66321302516224245</v>
      </c>
    </row>
    <row r="5827" spans="13:15" x14ac:dyDescent="0.3">
      <c r="M5827" s="35">
        <v>38.17</v>
      </c>
      <c r="N5827">
        <v>305</v>
      </c>
      <c r="O5827" s="34">
        <f t="shared" si="91"/>
        <v>0.66332688147557506</v>
      </c>
    </row>
    <row r="5828" spans="13:15" x14ac:dyDescent="0.3">
      <c r="M5828" s="35">
        <v>38.17</v>
      </c>
      <c r="N5828">
        <v>305</v>
      </c>
      <c r="O5828" s="34">
        <f t="shared" ref="O5828:O5891" si="92">O5827+O$2</f>
        <v>0.66344073778890766</v>
      </c>
    </row>
    <row r="5829" spans="13:15" x14ac:dyDescent="0.3">
      <c r="M5829" s="35">
        <v>38.18</v>
      </c>
      <c r="N5829">
        <v>305</v>
      </c>
      <c r="O5829" s="34">
        <f t="shared" si="92"/>
        <v>0.66355459410224027</v>
      </c>
    </row>
    <row r="5830" spans="13:15" x14ac:dyDescent="0.3">
      <c r="M5830" s="35">
        <v>38.19</v>
      </c>
      <c r="N5830">
        <v>305</v>
      </c>
      <c r="O5830" s="34">
        <f t="shared" si="92"/>
        <v>0.66366845041557287</v>
      </c>
    </row>
    <row r="5831" spans="13:15" x14ac:dyDescent="0.3">
      <c r="M5831" s="35">
        <v>38.19</v>
      </c>
      <c r="N5831">
        <v>305</v>
      </c>
      <c r="O5831" s="34">
        <f t="shared" si="92"/>
        <v>0.66378230672890548</v>
      </c>
    </row>
    <row r="5832" spans="13:15" x14ac:dyDescent="0.3">
      <c r="M5832" s="35">
        <v>38.200000000000003</v>
      </c>
      <c r="N5832">
        <v>305</v>
      </c>
      <c r="O5832" s="34">
        <f t="shared" si="92"/>
        <v>0.66389616304223809</v>
      </c>
    </row>
    <row r="5833" spans="13:15" x14ac:dyDescent="0.3">
      <c r="M5833" s="35">
        <v>38.21</v>
      </c>
      <c r="N5833">
        <v>305</v>
      </c>
      <c r="O5833" s="34">
        <f t="shared" si="92"/>
        <v>0.66401001935557069</v>
      </c>
    </row>
    <row r="5834" spans="13:15" x14ac:dyDescent="0.3">
      <c r="M5834" s="35">
        <v>38.21</v>
      </c>
      <c r="N5834">
        <v>305</v>
      </c>
      <c r="O5834" s="34">
        <f t="shared" si="92"/>
        <v>0.6641238756689033</v>
      </c>
    </row>
    <row r="5835" spans="13:15" x14ac:dyDescent="0.3">
      <c r="M5835" s="35">
        <v>38.22</v>
      </c>
      <c r="N5835">
        <v>305</v>
      </c>
      <c r="O5835" s="34">
        <f t="shared" si="92"/>
        <v>0.6642377319822359</v>
      </c>
    </row>
    <row r="5836" spans="13:15" x14ac:dyDescent="0.3">
      <c r="M5836" s="35">
        <v>38.229999999999997</v>
      </c>
      <c r="N5836">
        <v>305</v>
      </c>
      <c r="O5836" s="34">
        <f t="shared" si="92"/>
        <v>0.66435158829556851</v>
      </c>
    </row>
    <row r="5837" spans="13:15" x14ac:dyDescent="0.3">
      <c r="M5837" s="35">
        <v>38.24</v>
      </c>
      <c r="N5837">
        <v>305</v>
      </c>
      <c r="O5837" s="34">
        <f t="shared" si="92"/>
        <v>0.66446544460890111</v>
      </c>
    </row>
    <row r="5838" spans="13:15" x14ac:dyDescent="0.3">
      <c r="M5838" s="35">
        <v>38.25</v>
      </c>
      <c r="N5838">
        <v>305</v>
      </c>
      <c r="O5838" s="34">
        <f t="shared" si="92"/>
        <v>0.66457930092223372</v>
      </c>
    </row>
    <row r="5839" spans="13:15" x14ac:dyDescent="0.3">
      <c r="M5839" s="35">
        <v>38.26</v>
      </c>
      <c r="N5839">
        <v>305</v>
      </c>
      <c r="O5839" s="34">
        <f t="shared" si="92"/>
        <v>0.66469315723556632</v>
      </c>
    </row>
    <row r="5840" spans="13:15" x14ac:dyDescent="0.3">
      <c r="M5840" s="35">
        <v>38.26</v>
      </c>
      <c r="N5840">
        <v>305</v>
      </c>
      <c r="O5840" s="34">
        <f t="shared" si="92"/>
        <v>0.66480701354889893</v>
      </c>
    </row>
    <row r="5841" spans="13:15" x14ac:dyDescent="0.3">
      <c r="M5841" s="35">
        <v>38.28</v>
      </c>
      <c r="N5841">
        <v>305</v>
      </c>
      <c r="O5841" s="34">
        <f t="shared" si="92"/>
        <v>0.66492086986223153</v>
      </c>
    </row>
    <row r="5842" spans="13:15" x14ac:dyDescent="0.3">
      <c r="M5842" s="35">
        <v>38.29</v>
      </c>
      <c r="N5842">
        <v>305</v>
      </c>
      <c r="O5842" s="34">
        <f t="shared" si="92"/>
        <v>0.66503472617556414</v>
      </c>
    </row>
    <row r="5843" spans="13:15" x14ac:dyDescent="0.3">
      <c r="M5843" s="35">
        <v>38.299999999999997</v>
      </c>
      <c r="N5843">
        <v>305</v>
      </c>
      <c r="O5843" s="34">
        <f t="shared" si="92"/>
        <v>0.66514858248889674</v>
      </c>
    </row>
    <row r="5844" spans="13:15" x14ac:dyDescent="0.3">
      <c r="M5844" s="35">
        <v>38.299999999999997</v>
      </c>
      <c r="N5844">
        <v>305</v>
      </c>
      <c r="O5844" s="34">
        <f t="shared" si="92"/>
        <v>0.66526243880222935</v>
      </c>
    </row>
    <row r="5845" spans="13:15" x14ac:dyDescent="0.3">
      <c r="M5845" s="35">
        <v>38.31</v>
      </c>
      <c r="N5845">
        <v>305</v>
      </c>
      <c r="O5845" s="34">
        <f t="shared" si="92"/>
        <v>0.66537629511556196</v>
      </c>
    </row>
    <row r="5846" spans="13:15" x14ac:dyDescent="0.3">
      <c r="M5846" s="35">
        <v>38.31</v>
      </c>
      <c r="N5846">
        <v>305</v>
      </c>
      <c r="O5846" s="34">
        <f t="shared" si="92"/>
        <v>0.66549015142889456</v>
      </c>
    </row>
    <row r="5847" spans="13:15" x14ac:dyDescent="0.3">
      <c r="M5847" s="35">
        <v>38.31</v>
      </c>
      <c r="N5847">
        <v>305</v>
      </c>
      <c r="O5847" s="34">
        <f t="shared" si="92"/>
        <v>0.66560400774222717</v>
      </c>
    </row>
    <row r="5848" spans="13:15" x14ac:dyDescent="0.3">
      <c r="M5848" s="35">
        <v>38.32</v>
      </c>
      <c r="N5848">
        <v>305</v>
      </c>
      <c r="O5848" s="34">
        <f t="shared" si="92"/>
        <v>0.66571786405555977</v>
      </c>
    </row>
    <row r="5849" spans="13:15" x14ac:dyDescent="0.3">
      <c r="M5849" s="35">
        <v>38.33</v>
      </c>
      <c r="N5849">
        <v>305</v>
      </c>
      <c r="O5849" s="34">
        <f t="shared" si="92"/>
        <v>0.66583172036889238</v>
      </c>
    </row>
    <row r="5850" spans="13:15" x14ac:dyDescent="0.3">
      <c r="M5850" s="35">
        <v>38.340000000000003</v>
      </c>
      <c r="N5850">
        <v>305</v>
      </c>
      <c r="O5850" s="34">
        <f t="shared" si="92"/>
        <v>0.66594557668222498</v>
      </c>
    </row>
    <row r="5851" spans="13:15" x14ac:dyDescent="0.3">
      <c r="M5851" s="35">
        <v>38.340000000000003</v>
      </c>
      <c r="N5851">
        <v>305</v>
      </c>
      <c r="O5851" s="34">
        <f t="shared" si="92"/>
        <v>0.66605943299555759</v>
      </c>
    </row>
    <row r="5852" spans="13:15" x14ac:dyDescent="0.3">
      <c r="M5852" s="35">
        <v>38.35</v>
      </c>
      <c r="N5852">
        <v>305</v>
      </c>
      <c r="O5852" s="34">
        <f t="shared" si="92"/>
        <v>0.66617328930889019</v>
      </c>
    </row>
    <row r="5853" spans="13:15" x14ac:dyDescent="0.3">
      <c r="M5853" s="35">
        <v>38.35</v>
      </c>
      <c r="N5853">
        <v>305</v>
      </c>
      <c r="O5853" s="34">
        <f t="shared" si="92"/>
        <v>0.6662871456222228</v>
      </c>
    </row>
    <row r="5854" spans="13:15" x14ac:dyDescent="0.3">
      <c r="M5854" s="35">
        <v>38.36</v>
      </c>
      <c r="N5854">
        <v>305</v>
      </c>
      <c r="O5854" s="34">
        <f t="shared" si="92"/>
        <v>0.6664010019355554</v>
      </c>
    </row>
    <row r="5855" spans="13:15" x14ac:dyDescent="0.3">
      <c r="M5855" s="35">
        <v>38.369999999999997</v>
      </c>
      <c r="N5855">
        <v>305</v>
      </c>
      <c r="O5855" s="34">
        <f t="shared" si="92"/>
        <v>0.66651485824888801</v>
      </c>
    </row>
    <row r="5856" spans="13:15" x14ac:dyDescent="0.3">
      <c r="M5856" s="35">
        <v>38.369999999999997</v>
      </c>
      <c r="N5856">
        <v>305</v>
      </c>
      <c r="O5856" s="34">
        <f t="shared" si="92"/>
        <v>0.66662871456222061</v>
      </c>
    </row>
    <row r="5857" spans="13:15" x14ac:dyDescent="0.3">
      <c r="M5857" s="35">
        <v>38.369999999999997</v>
      </c>
      <c r="N5857">
        <v>305</v>
      </c>
      <c r="O5857" s="34">
        <f t="shared" si="92"/>
        <v>0.66674257087555322</v>
      </c>
    </row>
    <row r="5858" spans="13:15" x14ac:dyDescent="0.3">
      <c r="M5858" s="35">
        <v>38.380000000000003</v>
      </c>
      <c r="N5858">
        <v>305</v>
      </c>
      <c r="O5858" s="34">
        <f t="shared" si="92"/>
        <v>0.66685642718888583</v>
      </c>
    </row>
    <row r="5859" spans="13:15" x14ac:dyDescent="0.3">
      <c r="M5859" s="35">
        <v>38.39</v>
      </c>
      <c r="N5859">
        <v>305</v>
      </c>
      <c r="O5859" s="34">
        <f t="shared" si="92"/>
        <v>0.66697028350221843</v>
      </c>
    </row>
    <row r="5860" spans="13:15" x14ac:dyDescent="0.3">
      <c r="M5860" s="35">
        <v>38.39</v>
      </c>
      <c r="N5860">
        <v>305</v>
      </c>
      <c r="O5860" s="34">
        <f t="shared" si="92"/>
        <v>0.66708413981555104</v>
      </c>
    </row>
    <row r="5861" spans="13:15" x14ac:dyDescent="0.3">
      <c r="M5861" s="35">
        <v>38.39</v>
      </c>
      <c r="N5861">
        <v>305</v>
      </c>
      <c r="O5861" s="34">
        <f t="shared" si="92"/>
        <v>0.66719799612888364</v>
      </c>
    </row>
    <row r="5862" spans="13:15" x14ac:dyDescent="0.3">
      <c r="M5862" s="35">
        <v>38.4</v>
      </c>
      <c r="N5862">
        <v>305</v>
      </c>
      <c r="O5862" s="34">
        <f t="shared" si="92"/>
        <v>0.66731185244221625</v>
      </c>
    </row>
    <row r="5863" spans="13:15" x14ac:dyDescent="0.3">
      <c r="M5863" s="35">
        <v>38.4</v>
      </c>
      <c r="N5863">
        <v>305</v>
      </c>
      <c r="O5863" s="34">
        <f t="shared" si="92"/>
        <v>0.66742570875554885</v>
      </c>
    </row>
    <row r="5864" spans="13:15" x14ac:dyDescent="0.3">
      <c r="M5864" s="35">
        <v>38.4</v>
      </c>
      <c r="N5864">
        <v>305</v>
      </c>
      <c r="O5864" s="34">
        <f t="shared" si="92"/>
        <v>0.66753956506888146</v>
      </c>
    </row>
    <row r="5865" spans="13:15" x14ac:dyDescent="0.3">
      <c r="M5865" s="35">
        <v>38.4</v>
      </c>
      <c r="N5865">
        <v>305</v>
      </c>
      <c r="O5865" s="34">
        <f t="shared" si="92"/>
        <v>0.66765342138221406</v>
      </c>
    </row>
    <row r="5866" spans="13:15" x14ac:dyDescent="0.3">
      <c r="M5866" s="35">
        <v>38.409999999999997</v>
      </c>
      <c r="N5866">
        <v>305</v>
      </c>
      <c r="O5866" s="34">
        <f t="shared" si="92"/>
        <v>0.66776727769554667</v>
      </c>
    </row>
    <row r="5867" spans="13:15" x14ac:dyDescent="0.3">
      <c r="M5867" s="35">
        <v>38.43</v>
      </c>
      <c r="N5867">
        <v>305</v>
      </c>
      <c r="O5867" s="34">
        <f t="shared" si="92"/>
        <v>0.66788113400887927</v>
      </c>
    </row>
    <row r="5868" spans="13:15" x14ac:dyDescent="0.3">
      <c r="M5868" s="35">
        <v>38.43</v>
      </c>
      <c r="N5868">
        <v>305</v>
      </c>
      <c r="O5868" s="34">
        <f t="shared" si="92"/>
        <v>0.66799499032221188</v>
      </c>
    </row>
    <row r="5869" spans="13:15" x14ac:dyDescent="0.3">
      <c r="M5869" s="35">
        <v>38.450000000000003</v>
      </c>
      <c r="N5869">
        <v>305</v>
      </c>
      <c r="O5869" s="34">
        <f t="shared" si="92"/>
        <v>0.66810884663554448</v>
      </c>
    </row>
    <row r="5870" spans="13:15" x14ac:dyDescent="0.3">
      <c r="M5870" s="35">
        <v>38.46</v>
      </c>
      <c r="N5870">
        <v>305</v>
      </c>
      <c r="O5870" s="34">
        <f t="shared" si="92"/>
        <v>0.66822270294887709</v>
      </c>
    </row>
    <row r="5871" spans="13:15" x14ac:dyDescent="0.3">
      <c r="M5871" s="35">
        <v>38.47</v>
      </c>
      <c r="N5871">
        <v>305</v>
      </c>
      <c r="O5871" s="34">
        <f t="shared" si="92"/>
        <v>0.6683365592622097</v>
      </c>
    </row>
    <row r="5872" spans="13:15" x14ac:dyDescent="0.3">
      <c r="M5872" s="35">
        <v>38.479999999999997</v>
      </c>
      <c r="N5872">
        <v>305</v>
      </c>
      <c r="O5872" s="34">
        <f t="shared" si="92"/>
        <v>0.6684504155755423</v>
      </c>
    </row>
    <row r="5873" spans="13:15" x14ac:dyDescent="0.3">
      <c r="M5873" s="35">
        <v>38.479999999999997</v>
      </c>
      <c r="N5873">
        <v>305</v>
      </c>
      <c r="O5873" s="34">
        <f t="shared" si="92"/>
        <v>0.66856427188887491</v>
      </c>
    </row>
    <row r="5874" spans="13:15" x14ac:dyDescent="0.3">
      <c r="M5874" s="35">
        <v>38.49</v>
      </c>
      <c r="N5874">
        <v>305</v>
      </c>
      <c r="O5874" s="34">
        <f t="shared" si="92"/>
        <v>0.66867812820220751</v>
      </c>
    </row>
    <row r="5875" spans="13:15" x14ac:dyDescent="0.3">
      <c r="M5875" s="35">
        <v>38.5</v>
      </c>
      <c r="N5875">
        <v>305</v>
      </c>
      <c r="O5875" s="34">
        <f t="shared" si="92"/>
        <v>0.66879198451554012</v>
      </c>
    </row>
    <row r="5876" spans="13:15" x14ac:dyDescent="0.3">
      <c r="M5876" s="35">
        <v>38.5</v>
      </c>
      <c r="N5876">
        <v>305</v>
      </c>
      <c r="O5876" s="34">
        <f t="shared" si="92"/>
        <v>0.66890584082887272</v>
      </c>
    </row>
    <row r="5877" spans="13:15" x14ac:dyDescent="0.3">
      <c r="M5877" s="35">
        <v>38.51</v>
      </c>
      <c r="N5877">
        <v>305</v>
      </c>
      <c r="O5877" s="34">
        <f t="shared" si="92"/>
        <v>0.66901969714220533</v>
      </c>
    </row>
    <row r="5878" spans="13:15" x14ac:dyDescent="0.3">
      <c r="M5878" s="35">
        <v>38.520000000000003</v>
      </c>
      <c r="N5878">
        <v>305</v>
      </c>
      <c r="O5878" s="34">
        <f t="shared" si="92"/>
        <v>0.66913355345553793</v>
      </c>
    </row>
    <row r="5879" spans="13:15" x14ac:dyDescent="0.3">
      <c r="M5879" s="35">
        <v>38.520000000000003</v>
      </c>
      <c r="N5879">
        <v>305</v>
      </c>
      <c r="O5879" s="34">
        <f t="shared" si="92"/>
        <v>0.66924740976887054</v>
      </c>
    </row>
    <row r="5880" spans="13:15" x14ac:dyDescent="0.3">
      <c r="M5880" s="35">
        <v>38.53</v>
      </c>
      <c r="N5880">
        <v>305</v>
      </c>
      <c r="O5880" s="34">
        <f t="shared" si="92"/>
        <v>0.66936126608220314</v>
      </c>
    </row>
    <row r="5881" spans="13:15" x14ac:dyDescent="0.3">
      <c r="M5881" s="35">
        <v>38.549999999999997</v>
      </c>
      <c r="N5881">
        <v>305</v>
      </c>
      <c r="O5881" s="34">
        <f t="shared" si="92"/>
        <v>0.66947512239553575</v>
      </c>
    </row>
    <row r="5882" spans="13:15" x14ac:dyDescent="0.3">
      <c r="M5882" s="35">
        <v>38.549999999999997</v>
      </c>
      <c r="N5882">
        <v>305</v>
      </c>
      <c r="O5882" s="34">
        <f t="shared" si="92"/>
        <v>0.66958897870886835</v>
      </c>
    </row>
    <row r="5883" spans="13:15" x14ac:dyDescent="0.3">
      <c r="M5883" s="35">
        <v>38.549999999999997</v>
      </c>
      <c r="N5883">
        <v>305</v>
      </c>
      <c r="O5883" s="34">
        <f t="shared" si="92"/>
        <v>0.66970283502220096</v>
      </c>
    </row>
    <row r="5884" spans="13:15" x14ac:dyDescent="0.3">
      <c r="M5884" s="35">
        <v>38.549999999999997</v>
      </c>
      <c r="N5884">
        <v>305</v>
      </c>
      <c r="O5884" s="34">
        <f t="shared" si="92"/>
        <v>0.66981669133553356</v>
      </c>
    </row>
    <row r="5885" spans="13:15" x14ac:dyDescent="0.3">
      <c r="M5885" s="35">
        <v>38.549999999999997</v>
      </c>
      <c r="N5885">
        <v>305</v>
      </c>
      <c r="O5885" s="34">
        <f t="shared" si="92"/>
        <v>0.66993054764886617</v>
      </c>
    </row>
    <row r="5886" spans="13:15" x14ac:dyDescent="0.3">
      <c r="M5886" s="35">
        <v>38.56</v>
      </c>
      <c r="N5886">
        <v>305</v>
      </c>
      <c r="O5886" s="34">
        <f t="shared" si="92"/>
        <v>0.67004440396219878</v>
      </c>
    </row>
    <row r="5887" spans="13:15" x14ac:dyDescent="0.3">
      <c r="M5887" s="35">
        <v>38.56</v>
      </c>
      <c r="N5887">
        <v>305</v>
      </c>
      <c r="O5887" s="34">
        <f t="shared" si="92"/>
        <v>0.67015826027553138</v>
      </c>
    </row>
    <row r="5888" spans="13:15" x14ac:dyDescent="0.3">
      <c r="M5888" s="35">
        <v>38.57</v>
      </c>
      <c r="N5888">
        <v>305</v>
      </c>
      <c r="O5888" s="34">
        <f t="shared" si="92"/>
        <v>0.67027211658886399</v>
      </c>
    </row>
    <row r="5889" spans="13:15" x14ac:dyDescent="0.3">
      <c r="M5889" s="35">
        <v>38.57</v>
      </c>
      <c r="N5889">
        <v>305</v>
      </c>
      <c r="O5889" s="34">
        <f t="shared" si="92"/>
        <v>0.67038597290219659</v>
      </c>
    </row>
    <row r="5890" spans="13:15" x14ac:dyDescent="0.3">
      <c r="M5890" s="35">
        <v>38.590000000000003</v>
      </c>
      <c r="N5890">
        <v>305</v>
      </c>
      <c r="O5890" s="34">
        <f t="shared" si="92"/>
        <v>0.6704998292155292</v>
      </c>
    </row>
    <row r="5891" spans="13:15" x14ac:dyDescent="0.3">
      <c r="M5891" s="35">
        <v>38.590000000000003</v>
      </c>
      <c r="N5891">
        <v>305</v>
      </c>
      <c r="O5891" s="34">
        <f t="shared" si="92"/>
        <v>0.6706136855288618</v>
      </c>
    </row>
    <row r="5892" spans="13:15" x14ac:dyDescent="0.3">
      <c r="M5892" s="35">
        <v>38.590000000000003</v>
      </c>
      <c r="N5892">
        <v>305</v>
      </c>
      <c r="O5892" s="34">
        <f t="shared" ref="O5892:O5955" si="93">O5891+O$2</f>
        <v>0.67072754184219441</v>
      </c>
    </row>
    <row r="5893" spans="13:15" x14ac:dyDescent="0.3">
      <c r="M5893" s="35">
        <v>38.6</v>
      </c>
      <c r="N5893">
        <v>305</v>
      </c>
      <c r="O5893" s="34">
        <f t="shared" si="93"/>
        <v>0.67084139815552701</v>
      </c>
    </row>
    <row r="5894" spans="13:15" x14ac:dyDescent="0.3">
      <c r="M5894" s="35">
        <v>38.619999999999997</v>
      </c>
      <c r="N5894">
        <v>305</v>
      </c>
      <c r="O5894" s="34">
        <f t="shared" si="93"/>
        <v>0.67095525446885962</v>
      </c>
    </row>
    <row r="5895" spans="13:15" x14ac:dyDescent="0.3">
      <c r="M5895" s="35">
        <v>38.619999999999997</v>
      </c>
      <c r="N5895">
        <v>305</v>
      </c>
      <c r="O5895" s="34">
        <f t="shared" si="93"/>
        <v>0.67106911078219222</v>
      </c>
    </row>
    <row r="5896" spans="13:15" x14ac:dyDescent="0.3">
      <c r="M5896" s="35">
        <v>38.64</v>
      </c>
      <c r="N5896">
        <v>305</v>
      </c>
      <c r="O5896" s="34">
        <f t="shared" si="93"/>
        <v>0.67118296709552483</v>
      </c>
    </row>
    <row r="5897" spans="13:15" x14ac:dyDescent="0.3">
      <c r="M5897" s="35">
        <v>38.64</v>
      </c>
      <c r="N5897">
        <v>305</v>
      </c>
      <c r="O5897" s="34">
        <f t="shared" si="93"/>
        <v>0.67129682340885743</v>
      </c>
    </row>
    <row r="5898" spans="13:15" x14ac:dyDescent="0.3">
      <c r="M5898" s="35">
        <v>38.64</v>
      </c>
      <c r="N5898">
        <v>305</v>
      </c>
      <c r="O5898" s="34">
        <f t="shared" si="93"/>
        <v>0.67141067972219004</v>
      </c>
    </row>
    <row r="5899" spans="13:15" x14ac:dyDescent="0.3">
      <c r="M5899" s="35">
        <v>38.64</v>
      </c>
      <c r="N5899">
        <v>305</v>
      </c>
      <c r="O5899" s="34">
        <f t="shared" si="93"/>
        <v>0.67152453603552265</v>
      </c>
    </row>
    <row r="5900" spans="13:15" x14ac:dyDescent="0.3">
      <c r="M5900" s="35">
        <v>38.65</v>
      </c>
      <c r="N5900">
        <v>305</v>
      </c>
      <c r="O5900" s="34">
        <f t="shared" si="93"/>
        <v>0.67163839234885525</v>
      </c>
    </row>
    <row r="5901" spans="13:15" x14ac:dyDescent="0.3">
      <c r="M5901" s="35">
        <v>38.65</v>
      </c>
      <c r="N5901">
        <v>305</v>
      </c>
      <c r="O5901" s="34">
        <f t="shared" si="93"/>
        <v>0.67175224866218786</v>
      </c>
    </row>
    <row r="5902" spans="13:15" x14ac:dyDescent="0.3">
      <c r="M5902" s="35">
        <v>38.65</v>
      </c>
      <c r="N5902">
        <v>305</v>
      </c>
      <c r="O5902" s="34">
        <f t="shared" si="93"/>
        <v>0.67186610497552046</v>
      </c>
    </row>
    <row r="5903" spans="13:15" x14ac:dyDescent="0.3">
      <c r="M5903" s="35">
        <v>38.65</v>
      </c>
      <c r="N5903">
        <v>305</v>
      </c>
      <c r="O5903" s="34">
        <f t="shared" si="93"/>
        <v>0.67197996128885307</v>
      </c>
    </row>
    <row r="5904" spans="13:15" x14ac:dyDescent="0.3">
      <c r="M5904" s="35">
        <v>38.659999999999997</v>
      </c>
      <c r="N5904">
        <v>305</v>
      </c>
      <c r="O5904" s="34">
        <f t="shared" si="93"/>
        <v>0.67209381760218567</v>
      </c>
    </row>
    <row r="5905" spans="13:15" x14ac:dyDescent="0.3">
      <c r="M5905" s="35">
        <v>38.67</v>
      </c>
      <c r="N5905">
        <v>305</v>
      </c>
      <c r="O5905" s="34">
        <f t="shared" si="93"/>
        <v>0.67220767391551828</v>
      </c>
    </row>
    <row r="5906" spans="13:15" x14ac:dyDescent="0.3">
      <c r="M5906" s="35">
        <v>38.68</v>
      </c>
      <c r="N5906">
        <v>305</v>
      </c>
      <c r="O5906" s="34">
        <f t="shared" si="93"/>
        <v>0.67232153022885088</v>
      </c>
    </row>
    <row r="5907" spans="13:15" x14ac:dyDescent="0.3">
      <c r="M5907" s="35">
        <v>38.68</v>
      </c>
      <c r="N5907">
        <v>305</v>
      </c>
      <c r="O5907" s="34">
        <f t="shared" si="93"/>
        <v>0.67243538654218349</v>
      </c>
    </row>
    <row r="5908" spans="13:15" x14ac:dyDescent="0.3">
      <c r="M5908" s="35">
        <v>38.700000000000003</v>
      </c>
      <c r="N5908">
        <v>305</v>
      </c>
      <c r="O5908" s="34">
        <f t="shared" si="93"/>
        <v>0.67254924285551609</v>
      </c>
    </row>
    <row r="5909" spans="13:15" x14ac:dyDescent="0.3">
      <c r="M5909" s="35">
        <v>38.700000000000003</v>
      </c>
      <c r="N5909">
        <v>305</v>
      </c>
      <c r="O5909" s="34">
        <f t="shared" si="93"/>
        <v>0.6726630991688487</v>
      </c>
    </row>
    <row r="5910" spans="13:15" x14ac:dyDescent="0.3">
      <c r="M5910" s="35">
        <v>38.71</v>
      </c>
      <c r="N5910">
        <v>305</v>
      </c>
      <c r="O5910" s="34">
        <f t="shared" si="93"/>
        <v>0.6727769554821813</v>
      </c>
    </row>
    <row r="5911" spans="13:15" x14ac:dyDescent="0.3">
      <c r="M5911" s="35">
        <v>38.71</v>
      </c>
      <c r="N5911">
        <v>305</v>
      </c>
      <c r="O5911" s="34">
        <f t="shared" si="93"/>
        <v>0.67289081179551391</v>
      </c>
    </row>
    <row r="5912" spans="13:15" x14ac:dyDescent="0.3">
      <c r="M5912" s="35">
        <v>38.72</v>
      </c>
      <c r="N5912">
        <v>305</v>
      </c>
      <c r="O5912" s="34">
        <f t="shared" si="93"/>
        <v>0.67300466810884652</v>
      </c>
    </row>
    <row r="5913" spans="13:15" x14ac:dyDescent="0.3">
      <c r="M5913" s="35">
        <v>38.72</v>
      </c>
      <c r="N5913">
        <v>305</v>
      </c>
      <c r="O5913" s="34">
        <f t="shared" si="93"/>
        <v>0.67311852442217912</v>
      </c>
    </row>
    <row r="5914" spans="13:15" x14ac:dyDescent="0.3">
      <c r="M5914" s="35">
        <v>38.72</v>
      </c>
      <c r="N5914">
        <v>305</v>
      </c>
      <c r="O5914" s="34">
        <f t="shared" si="93"/>
        <v>0.67323238073551173</v>
      </c>
    </row>
    <row r="5915" spans="13:15" x14ac:dyDescent="0.3">
      <c r="M5915" s="35">
        <v>38.729999999999997</v>
      </c>
      <c r="N5915">
        <v>305</v>
      </c>
      <c r="O5915" s="34">
        <f t="shared" si="93"/>
        <v>0.67334623704884433</v>
      </c>
    </row>
    <row r="5916" spans="13:15" x14ac:dyDescent="0.3">
      <c r="M5916" s="35">
        <v>38.729999999999997</v>
      </c>
      <c r="N5916">
        <v>305</v>
      </c>
      <c r="O5916" s="34">
        <f t="shared" si="93"/>
        <v>0.67346009336217694</v>
      </c>
    </row>
    <row r="5917" spans="13:15" x14ac:dyDescent="0.3">
      <c r="M5917" s="35">
        <v>38.74</v>
      </c>
      <c r="N5917">
        <v>305</v>
      </c>
      <c r="O5917" s="34">
        <f t="shared" si="93"/>
        <v>0.67357394967550954</v>
      </c>
    </row>
    <row r="5918" spans="13:15" x14ac:dyDescent="0.3">
      <c r="M5918" s="35">
        <v>38.75</v>
      </c>
      <c r="N5918">
        <v>305</v>
      </c>
      <c r="O5918" s="34">
        <f t="shared" si="93"/>
        <v>0.67368780598884215</v>
      </c>
    </row>
    <row r="5919" spans="13:15" x14ac:dyDescent="0.3">
      <c r="M5919" s="35">
        <v>38.75</v>
      </c>
      <c r="N5919">
        <v>305</v>
      </c>
      <c r="O5919" s="34">
        <f t="shared" si="93"/>
        <v>0.67380166230217475</v>
      </c>
    </row>
    <row r="5920" spans="13:15" x14ac:dyDescent="0.3">
      <c r="M5920" s="35">
        <v>38.75</v>
      </c>
      <c r="N5920">
        <v>305</v>
      </c>
      <c r="O5920" s="34">
        <f t="shared" si="93"/>
        <v>0.67391551861550736</v>
      </c>
    </row>
    <row r="5921" spans="13:15" x14ac:dyDescent="0.3">
      <c r="M5921" s="35">
        <v>38.770000000000003</v>
      </c>
      <c r="N5921">
        <v>305</v>
      </c>
      <c r="O5921" s="34">
        <f t="shared" si="93"/>
        <v>0.67402937492883996</v>
      </c>
    </row>
    <row r="5922" spans="13:15" x14ac:dyDescent="0.3">
      <c r="M5922" s="35">
        <v>38.78</v>
      </c>
      <c r="N5922">
        <v>305</v>
      </c>
      <c r="O5922" s="34">
        <f t="shared" si="93"/>
        <v>0.67414323124217257</v>
      </c>
    </row>
    <row r="5923" spans="13:15" x14ac:dyDescent="0.3">
      <c r="M5923" s="35">
        <v>38.79</v>
      </c>
      <c r="N5923">
        <v>305</v>
      </c>
      <c r="O5923" s="34">
        <f t="shared" si="93"/>
        <v>0.67425708755550517</v>
      </c>
    </row>
    <row r="5924" spans="13:15" x14ac:dyDescent="0.3">
      <c r="M5924" s="35">
        <v>38.799999999999997</v>
      </c>
      <c r="N5924">
        <v>305</v>
      </c>
      <c r="O5924" s="34">
        <f t="shared" si="93"/>
        <v>0.67437094386883778</v>
      </c>
    </row>
    <row r="5925" spans="13:15" x14ac:dyDescent="0.3">
      <c r="M5925" s="35">
        <v>38.82</v>
      </c>
      <c r="N5925">
        <v>305</v>
      </c>
      <c r="O5925" s="34">
        <f t="shared" si="93"/>
        <v>0.67448480018217039</v>
      </c>
    </row>
    <row r="5926" spans="13:15" x14ac:dyDescent="0.3">
      <c r="M5926" s="35">
        <v>38.83</v>
      </c>
      <c r="N5926">
        <v>305</v>
      </c>
      <c r="O5926" s="34">
        <f t="shared" si="93"/>
        <v>0.67459865649550299</v>
      </c>
    </row>
    <row r="5927" spans="13:15" x14ac:dyDescent="0.3">
      <c r="M5927" s="35">
        <v>38.840000000000003</v>
      </c>
      <c r="N5927">
        <v>305</v>
      </c>
      <c r="O5927" s="34">
        <f t="shared" si="93"/>
        <v>0.6747125128088356</v>
      </c>
    </row>
    <row r="5928" spans="13:15" x14ac:dyDescent="0.3">
      <c r="M5928" s="35">
        <v>38.840000000000003</v>
      </c>
      <c r="N5928">
        <v>305</v>
      </c>
      <c r="O5928" s="34">
        <f t="shared" si="93"/>
        <v>0.6748263691221682</v>
      </c>
    </row>
    <row r="5929" spans="13:15" x14ac:dyDescent="0.3">
      <c r="M5929" s="35">
        <v>38.85</v>
      </c>
      <c r="N5929">
        <v>305</v>
      </c>
      <c r="O5929" s="34">
        <f t="shared" si="93"/>
        <v>0.67494022543550081</v>
      </c>
    </row>
    <row r="5930" spans="13:15" x14ac:dyDescent="0.3">
      <c r="M5930" s="35">
        <v>38.86</v>
      </c>
      <c r="N5930">
        <v>305</v>
      </c>
      <c r="O5930" s="34">
        <f t="shared" si="93"/>
        <v>0.67505408174883341</v>
      </c>
    </row>
    <row r="5931" spans="13:15" x14ac:dyDescent="0.3">
      <c r="M5931" s="35">
        <v>38.869999999999997</v>
      </c>
      <c r="N5931">
        <v>305</v>
      </c>
      <c r="O5931" s="34">
        <f t="shared" si="93"/>
        <v>0.67516793806216602</v>
      </c>
    </row>
    <row r="5932" spans="13:15" x14ac:dyDescent="0.3">
      <c r="M5932" s="35">
        <v>38.880000000000003</v>
      </c>
      <c r="N5932">
        <v>305</v>
      </c>
      <c r="O5932" s="34">
        <f t="shared" si="93"/>
        <v>0.67528179437549862</v>
      </c>
    </row>
    <row r="5933" spans="13:15" x14ac:dyDescent="0.3">
      <c r="M5933" s="35">
        <v>38.880000000000003</v>
      </c>
      <c r="N5933">
        <v>305</v>
      </c>
      <c r="O5933" s="34">
        <f t="shared" si="93"/>
        <v>0.67539565068883123</v>
      </c>
    </row>
    <row r="5934" spans="13:15" x14ac:dyDescent="0.3">
      <c r="M5934" s="35">
        <v>38.880000000000003</v>
      </c>
      <c r="N5934">
        <v>305</v>
      </c>
      <c r="O5934" s="34">
        <f t="shared" si="93"/>
        <v>0.67550950700216383</v>
      </c>
    </row>
    <row r="5935" spans="13:15" x14ac:dyDescent="0.3">
      <c r="M5935" s="35">
        <v>38.89</v>
      </c>
      <c r="N5935">
        <v>305</v>
      </c>
      <c r="O5935" s="34">
        <f t="shared" si="93"/>
        <v>0.67562336331549644</v>
      </c>
    </row>
    <row r="5936" spans="13:15" x14ac:dyDescent="0.3">
      <c r="M5936" s="35">
        <v>38.89</v>
      </c>
      <c r="N5936">
        <v>305</v>
      </c>
      <c r="O5936" s="34">
        <f t="shared" si="93"/>
        <v>0.67573721962882904</v>
      </c>
    </row>
    <row r="5937" spans="13:15" x14ac:dyDescent="0.3">
      <c r="M5937" s="35">
        <v>38.89</v>
      </c>
      <c r="N5937">
        <v>305</v>
      </c>
      <c r="O5937" s="34">
        <f t="shared" si="93"/>
        <v>0.67585107594216165</v>
      </c>
    </row>
    <row r="5938" spans="13:15" x14ac:dyDescent="0.3">
      <c r="M5938" s="35">
        <v>38.9</v>
      </c>
      <c r="N5938">
        <v>305</v>
      </c>
      <c r="O5938" s="34">
        <f t="shared" si="93"/>
        <v>0.67596493225549426</v>
      </c>
    </row>
    <row r="5939" spans="13:15" x14ac:dyDescent="0.3">
      <c r="M5939" s="35">
        <v>38.92</v>
      </c>
      <c r="N5939">
        <v>305</v>
      </c>
      <c r="O5939" s="34">
        <f t="shared" si="93"/>
        <v>0.67607878856882686</v>
      </c>
    </row>
    <row r="5940" spans="13:15" x14ac:dyDescent="0.3">
      <c r="M5940" s="35">
        <v>38.93</v>
      </c>
      <c r="N5940">
        <v>305</v>
      </c>
      <c r="O5940" s="34">
        <f t="shared" si="93"/>
        <v>0.67619264488215947</v>
      </c>
    </row>
    <row r="5941" spans="13:15" x14ac:dyDescent="0.3">
      <c r="M5941" s="35">
        <v>38.93</v>
      </c>
      <c r="N5941">
        <v>305</v>
      </c>
      <c r="O5941" s="34">
        <f t="shared" si="93"/>
        <v>0.67630650119549207</v>
      </c>
    </row>
    <row r="5942" spans="13:15" x14ac:dyDescent="0.3">
      <c r="M5942" s="35">
        <v>38.93</v>
      </c>
      <c r="N5942">
        <v>305</v>
      </c>
      <c r="O5942" s="34">
        <f t="shared" si="93"/>
        <v>0.67642035750882468</v>
      </c>
    </row>
    <row r="5943" spans="13:15" x14ac:dyDescent="0.3">
      <c r="M5943" s="35">
        <v>38.94</v>
      </c>
      <c r="N5943">
        <v>305</v>
      </c>
      <c r="O5943" s="34">
        <f t="shared" si="93"/>
        <v>0.67653421382215728</v>
      </c>
    </row>
    <row r="5944" spans="13:15" x14ac:dyDescent="0.3">
      <c r="M5944" s="35">
        <v>38.950000000000003</v>
      </c>
      <c r="N5944">
        <v>305</v>
      </c>
      <c r="O5944" s="34">
        <f t="shared" si="93"/>
        <v>0.67664807013548989</v>
      </c>
    </row>
    <row r="5945" spans="13:15" x14ac:dyDescent="0.3">
      <c r="M5945" s="35">
        <v>38.96</v>
      </c>
      <c r="N5945">
        <v>305</v>
      </c>
      <c r="O5945" s="34">
        <f t="shared" si="93"/>
        <v>0.67676192644882249</v>
      </c>
    </row>
    <row r="5946" spans="13:15" x14ac:dyDescent="0.3">
      <c r="M5946" s="35">
        <v>38.96</v>
      </c>
      <c r="N5946">
        <v>305</v>
      </c>
      <c r="O5946" s="34">
        <f t="shared" si="93"/>
        <v>0.6768757827621551</v>
      </c>
    </row>
    <row r="5947" spans="13:15" x14ac:dyDescent="0.3">
      <c r="M5947" s="35">
        <v>38.97</v>
      </c>
      <c r="N5947">
        <v>305</v>
      </c>
      <c r="O5947" s="34">
        <f t="shared" si="93"/>
        <v>0.6769896390754877</v>
      </c>
    </row>
    <row r="5948" spans="13:15" x14ac:dyDescent="0.3">
      <c r="M5948" s="35">
        <v>38.97</v>
      </c>
      <c r="N5948">
        <v>305</v>
      </c>
      <c r="O5948" s="34">
        <f t="shared" si="93"/>
        <v>0.67710349538882031</v>
      </c>
    </row>
    <row r="5949" spans="13:15" x14ac:dyDescent="0.3">
      <c r="M5949" s="35">
        <v>38.97</v>
      </c>
      <c r="N5949">
        <v>305</v>
      </c>
      <c r="O5949" s="34">
        <f t="shared" si="93"/>
        <v>0.67721735170215291</v>
      </c>
    </row>
    <row r="5950" spans="13:15" x14ac:dyDescent="0.3">
      <c r="M5950" s="35">
        <v>39</v>
      </c>
      <c r="N5950">
        <v>305</v>
      </c>
      <c r="O5950" s="34">
        <f t="shared" si="93"/>
        <v>0.67733120801548552</v>
      </c>
    </row>
    <row r="5951" spans="13:15" x14ac:dyDescent="0.3">
      <c r="M5951" s="35">
        <v>39.01</v>
      </c>
      <c r="N5951">
        <v>305</v>
      </c>
      <c r="O5951" s="34">
        <f t="shared" si="93"/>
        <v>0.67744506432881813</v>
      </c>
    </row>
    <row r="5952" spans="13:15" x14ac:dyDescent="0.3">
      <c r="M5952" s="35">
        <v>39.01</v>
      </c>
      <c r="N5952">
        <v>305</v>
      </c>
      <c r="O5952" s="34">
        <f t="shared" si="93"/>
        <v>0.67755892064215073</v>
      </c>
    </row>
    <row r="5953" spans="13:15" x14ac:dyDescent="0.3">
      <c r="M5953" s="35">
        <v>39.03</v>
      </c>
      <c r="N5953">
        <v>305</v>
      </c>
      <c r="O5953" s="34">
        <f t="shared" si="93"/>
        <v>0.67767277695548334</v>
      </c>
    </row>
    <row r="5954" spans="13:15" x14ac:dyDescent="0.3">
      <c r="M5954" s="35">
        <v>39.049999999999997</v>
      </c>
      <c r="N5954">
        <v>305</v>
      </c>
      <c r="O5954" s="34">
        <f t="shared" si="93"/>
        <v>0.67778663326881594</v>
      </c>
    </row>
    <row r="5955" spans="13:15" x14ac:dyDescent="0.3">
      <c r="M5955" s="35">
        <v>39.049999999999997</v>
      </c>
      <c r="N5955">
        <v>305</v>
      </c>
      <c r="O5955" s="34">
        <f t="shared" si="93"/>
        <v>0.67790048958214855</v>
      </c>
    </row>
    <row r="5956" spans="13:15" x14ac:dyDescent="0.3">
      <c r="M5956" s="35">
        <v>39.06</v>
      </c>
      <c r="N5956">
        <v>305</v>
      </c>
      <c r="O5956" s="34">
        <f t="shared" ref="O5956:O6019" si="94">O5955+O$2</f>
        <v>0.67801434589548115</v>
      </c>
    </row>
    <row r="5957" spans="13:15" x14ac:dyDescent="0.3">
      <c r="M5957" s="35">
        <v>39.07</v>
      </c>
      <c r="N5957">
        <v>305</v>
      </c>
      <c r="O5957" s="34">
        <f t="shared" si="94"/>
        <v>0.67812820220881376</v>
      </c>
    </row>
    <row r="5958" spans="13:15" x14ac:dyDescent="0.3">
      <c r="M5958" s="35">
        <v>39.08</v>
      </c>
      <c r="N5958">
        <v>305</v>
      </c>
      <c r="O5958" s="34">
        <f t="shared" si="94"/>
        <v>0.67824205852214636</v>
      </c>
    </row>
    <row r="5959" spans="13:15" x14ac:dyDescent="0.3">
      <c r="M5959" s="35">
        <v>39.08</v>
      </c>
      <c r="N5959">
        <v>305</v>
      </c>
      <c r="O5959" s="34">
        <f t="shared" si="94"/>
        <v>0.67835591483547897</v>
      </c>
    </row>
    <row r="5960" spans="13:15" x14ac:dyDescent="0.3">
      <c r="M5960" s="35">
        <v>39.08</v>
      </c>
      <c r="N5960">
        <v>305</v>
      </c>
      <c r="O5960" s="34">
        <f t="shared" si="94"/>
        <v>0.67846977114881157</v>
      </c>
    </row>
    <row r="5961" spans="13:15" x14ac:dyDescent="0.3">
      <c r="M5961" s="35">
        <v>39.090000000000003</v>
      </c>
      <c r="N5961">
        <v>305</v>
      </c>
      <c r="O5961" s="34">
        <f t="shared" si="94"/>
        <v>0.67858362746214418</v>
      </c>
    </row>
    <row r="5962" spans="13:15" x14ac:dyDescent="0.3">
      <c r="M5962" s="35">
        <v>39.090000000000003</v>
      </c>
      <c r="N5962">
        <v>305</v>
      </c>
      <c r="O5962" s="34">
        <f t="shared" si="94"/>
        <v>0.67869748377547678</v>
      </c>
    </row>
    <row r="5963" spans="13:15" x14ac:dyDescent="0.3">
      <c r="M5963" s="35">
        <v>39.090000000000003</v>
      </c>
      <c r="N5963">
        <v>305</v>
      </c>
      <c r="O5963" s="34">
        <f t="shared" si="94"/>
        <v>0.67881134008880939</v>
      </c>
    </row>
    <row r="5964" spans="13:15" x14ac:dyDescent="0.3">
      <c r="M5964" s="35">
        <v>39.11</v>
      </c>
      <c r="N5964">
        <v>305</v>
      </c>
      <c r="O5964" s="34">
        <f t="shared" si="94"/>
        <v>0.67892519640214199</v>
      </c>
    </row>
    <row r="5965" spans="13:15" x14ac:dyDescent="0.3">
      <c r="M5965" s="35">
        <v>39.119999999999997</v>
      </c>
      <c r="N5965">
        <v>305</v>
      </c>
      <c r="O5965" s="34">
        <f t="shared" si="94"/>
        <v>0.6790390527154746</v>
      </c>
    </row>
    <row r="5966" spans="13:15" x14ac:dyDescent="0.3">
      <c r="M5966" s="35">
        <v>39.14</v>
      </c>
      <c r="N5966">
        <v>305</v>
      </c>
      <c r="O5966" s="34">
        <f t="shared" si="94"/>
        <v>0.67915290902880721</v>
      </c>
    </row>
    <row r="5967" spans="13:15" x14ac:dyDescent="0.3">
      <c r="M5967" s="35">
        <v>39.15</v>
      </c>
      <c r="N5967">
        <v>305</v>
      </c>
      <c r="O5967" s="34">
        <f t="shared" si="94"/>
        <v>0.67926676534213981</v>
      </c>
    </row>
    <row r="5968" spans="13:15" x14ac:dyDescent="0.3">
      <c r="M5968" s="35">
        <v>39.15</v>
      </c>
      <c r="N5968">
        <v>305</v>
      </c>
      <c r="O5968" s="34">
        <f t="shared" si="94"/>
        <v>0.67938062165547242</v>
      </c>
    </row>
    <row r="5969" spans="13:15" x14ac:dyDescent="0.3">
      <c r="M5969" s="35">
        <v>39.15</v>
      </c>
      <c r="N5969">
        <v>305</v>
      </c>
      <c r="O5969" s="34">
        <f t="shared" si="94"/>
        <v>0.67949447796880502</v>
      </c>
    </row>
    <row r="5970" spans="13:15" x14ac:dyDescent="0.3">
      <c r="M5970" s="35">
        <v>39.159999999999997</v>
      </c>
      <c r="N5970">
        <v>305</v>
      </c>
      <c r="O5970" s="34">
        <f t="shared" si="94"/>
        <v>0.67960833428213763</v>
      </c>
    </row>
    <row r="5971" spans="13:15" x14ac:dyDescent="0.3">
      <c r="M5971" s="35">
        <v>39.17</v>
      </c>
      <c r="N5971">
        <v>305</v>
      </c>
      <c r="O5971" s="34">
        <f t="shared" si="94"/>
        <v>0.67972219059547023</v>
      </c>
    </row>
    <row r="5972" spans="13:15" x14ac:dyDescent="0.3">
      <c r="M5972" s="35">
        <v>39.17</v>
      </c>
      <c r="N5972">
        <v>305</v>
      </c>
      <c r="O5972" s="34">
        <f t="shared" si="94"/>
        <v>0.67983604690880284</v>
      </c>
    </row>
    <row r="5973" spans="13:15" x14ac:dyDescent="0.3">
      <c r="M5973" s="35">
        <v>39.17</v>
      </c>
      <c r="N5973">
        <v>305</v>
      </c>
      <c r="O5973" s="34">
        <f t="shared" si="94"/>
        <v>0.67994990322213544</v>
      </c>
    </row>
    <row r="5974" spans="13:15" x14ac:dyDescent="0.3">
      <c r="M5974" s="35">
        <v>39.17</v>
      </c>
      <c r="N5974">
        <v>305</v>
      </c>
      <c r="O5974" s="34">
        <f t="shared" si="94"/>
        <v>0.68006375953546805</v>
      </c>
    </row>
    <row r="5975" spans="13:15" x14ac:dyDescent="0.3">
      <c r="M5975" s="35">
        <v>39.17</v>
      </c>
      <c r="N5975">
        <v>305</v>
      </c>
      <c r="O5975" s="34">
        <f t="shared" si="94"/>
        <v>0.68017761584880065</v>
      </c>
    </row>
    <row r="5976" spans="13:15" x14ac:dyDescent="0.3">
      <c r="M5976" s="35">
        <v>39.18</v>
      </c>
      <c r="N5976">
        <v>305</v>
      </c>
      <c r="O5976" s="34">
        <f t="shared" si="94"/>
        <v>0.68029147216213326</v>
      </c>
    </row>
    <row r="5977" spans="13:15" x14ac:dyDescent="0.3">
      <c r="M5977" s="35">
        <v>39.18</v>
      </c>
      <c r="N5977">
        <v>305</v>
      </c>
      <c r="O5977" s="34">
        <f t="shared" si="94"/>
        <v>0.68040532847546586</v>
      </c>
    </row>
    <row r="5978" spans="13:15" x14ac:dyDescent="0.3">
      <c r="M5978" s="35">
        <v>39.19</v>
      </c>
      <c r="N5978">
        <v>305</v>
      </c>
      <c r="O5978" s="34">
        <f t="shared" si="94"/>
        <v>0.68051918478879847</v>
      </c>
    </row>
    <row r="5979" spans="13:15" x14ac:dyDescent="0.3">
      <c r="M5979" s="35">
        <v>39.200000000000003</v>
      </c>
      <c r="N5979">
        <v>305</v>
      </c>
      <c r="O5979" s="34">
        <f t="shared" si="94"/>
        <v>0.68063304110213108</v>
      </c>
    </row>
    <row r="5980" spans="13:15" x14ac:dyDescent="0.3">
      <c r="M5980" s="35">
        <v>39.200000000000003</v>
      </c>
      <c r="N5980">
        <v>305</v>
      </c>
      <c r="O5980" s="34">
        <f t="shared" si="94"/>
        <v>0.68074689741546368</v>
      </c>
    </row>
    <row r="5981" spans="13:15" x14ac:dyDescent="0.3">
      <c r="M5981" s="35">
        <v>39.21</v>
      </c>
      <c r="N5981">
        <v>305</v>
      </c>
      <c r="O5981" s="34">
        <f t="shared" si="94"/>
        <v>0.68086075372879629</v>
      </c>
    </row>
    <row r="5982" spans="13:15" x14ac:dyDescent="0.3">
      <c r="M5982" s="35">
        <v>39.22</v>
      </c>
      <c r="N5982">
        <v>305</v>
      </c>
      <c r="O5982" s="34">
        <f t="shared" si="94"/>
        <v>0.68097461004212889</v>
      </c>
    </row>
    <row r="5983" spans="13:15" x14ac:dyDescent="0.3">
      <c r="M5983" s="35">
        <v>39.22</v>
      </c>
      <c r="N5983">
        <v>305</v>
      </c>
      <c r="O5983" s="34">
        <f t="shared" si="94"/>
        <v>0.6810884663554615</v>
      </c>
    </row>
    <row r="5984" spans="13:15" x14ac:dyDescent="0.3">
      <c r="M5984" s="35">
        <v>39.229999999999997</v>
      </c>
      <c r="N5984">
        <v>305</v>
      </c>
      <c r="O5984" s="34">
        <f t="shared" si="94"/>
        <v>0.6812023226687941</v>
      </c>
    </row>
    <row r="5985" spans="13:15" x14ac:dyDescent="0.3">
      <c r="M5985" s="35">
        <v>39.24</v>
      </c>
      <c r="N5985">
        <v>305</v>
      </c>
      <c r="O5985" s="34">
        <f t="shared" si="94"/>
        <v>0.68131617898212671</v>
      </c>
    </row>
    <row r="5986" spans="13:15" x14ac:dyDescent="0.3">
      <c r="M5986" s="35">
        <v>39.24</v>
      </c>
      <c r="N5986">
        <v>305</v>
      </c>
      <c r="O5986" s="34">
        <f t="shared" si="94"/>
        <v>0.68143003529545931</v>
      </c>
    </row>
    <row r="5987" spans="13:15" x14ac:dyDescent="0.3">
      <c r="M5987" s="35">
        <v>39.25</v>
      </c>
      <c r="N5987">
        <v>305</v>
      </c>
      <c r="O5987" s="34">
        <f t="shared" si="94"/>
        <v>0.68154389160879192</v>
      </c>
    </row>
    <row r="5988" spans="13:15" x14ac:dyDescent="0.3">
      <c r="M5988" s="35">
        <v>39.26</v>
      </c>
      <c r="N5988">
        <v>305</v>
      </c>
      <c r="O5988" s="34">
        <f t="shared" si="94"/>
        <v>0.68165774792212452</v>
      </c>
    </row>
    <row r="5989" spans="13:15" x14ac:dyDescent="0.3">
      <c r="M5989" s="35">
        <v>39.26</v>
      </c>
      <c r="N5989">
        <v>305</v>
      </c>
      <c r="O5989" s="34">
        <f t="shared" si="94"/>
        <v>0.68177160423545713</v>
      </c>
    </row>
    <row r="5990" spans="13:15" x14ac:dyDescent="0.3">
      <c r="M5990" s="35">
        <v>39.270000000000003</v>
      </c>
      <c r="N5990">
        <v>305</v>
      </c>
      <c r="O5990" s="34">
        <f t="shared" si="94"/>
        <v>0.68188546054878973</v>
      </c>
    </row>
    <row r="5991" spans="13:15" x14ac:dyDescent="0.3">
      <c r="M5991" s="35">
        <v>39.270000000000003</v>
      </c>
      <c r="N5991">
        <v>305</v>
      </c>
      <c r="O5991" s="34">
        <f t="shared" si="94"/>
        <v>0.68199931686212234</v>
      </c>
    </row>
    <row r="5992" spans="13:15" x14ac:dyDescent="0.3">
      <c r="M5992" s="35">
        <v>39.270000000000003</v>
      </c>
      <c r="N5992">
        <v>305</v>
      </c>
      <c r="O5992" s="34">
        <f t="shared" si="94"/>
        <v>0.68211317317545495</v>
      </c>
    </row>
    <row r="5993" spans="13:15" x14ac:dyDescent="0.3">
      <c r="M5993" s="35">
        <v>39.28</v>
      </c>
      <c r="N5993">
        <v>305</v>
      </c>
      <c r="O5993" s="34">
        <f t="shared" si="94"/>
        <v>0.68222702948878755</v>
      </c>
    </row>
    <row r="5994" spans="13:15" x14ac:dyDescent="0.3">
      <c r="M5994" s="35">
        <v>39.29</v>
      </c>
      <c r="N5994">
        <v>305</v>
      </c>
      <c r="O5994" s="34">
        <f t="shared" si="94"/>
        <v>0.68234088580212016</v>
      </c>
    </row>
    <row r="5995" spans="13:15" x14ac:dyDescent="0.3">
      <c r="M5995" s="35">
        <v>39.299999999999997</v>
      </c>
      <c r="N5995">
        <v>305</v>
      </c>
      <c r="O5995" s="34">
        <f t="shared" si="94"/>
        <v>0.68245474211545276</v>
      </c>
    </row>
    <row r="5996" spans="13:15" x14ac:dyDescent="0.3">
      <c r="M5996" s="35">
        <v>39.299999999999997</v>
      </c>
      <c r="N5996">
        <v>305</v>
      </c>
      <c r="O5996" s="34">
        <f t="shared" si="94"/>
        <v>0.68256859842878537</v>
      </c>
    </row>
    <row r="5997" spans="13:15" x14ac:dyDescent="0.3">
      <c r="M5997" s="35">
        <v>39.299999999999997</v>
      </c>
      <c r="N5997">
        <v>305</v>
      </c>
      <c r="O5997" s="34">
        <f t="shared" si="94"/>
        <v>0.68268245474211797</v>
      </c>
    </row>
    <row r="5998" spans="13:15" x14ac:dyDescent="0.3">
      <c r="M5998" s="35">
        <v>39.299999999999997</v>
      </c>
      <c r="N5998">
        <v>305</v>
      </c>
      <c r="O5998" s="34">
        <f t="shared" si="94"/>
        <v>0.68279631105545058</v>
      </c>
    </row>
    <row r="5999" spans="13:15" x14ac:dyDescent="0.3">
      <c r="M5999" s="35">
        <v>39.31</v>
      </c>
      <c r="N5999">
        <v>305</v>
      </c>
      <c r="O5999" s="34">
        <f t="shared" si="94"/>
        <v>0.68291016736878318</v>
      </c>
    </row>
    <row r="6000" spans="13:15" x14ac:dyDescent="0.3">
      <c r="M6000" s="35">
        <v>39.32</v>
      </c>
      <c r="N6000">
        <v>305</v>
      </c>
      <c r="O6000" s="34">
        <f t="shared" si="94"/>
        <v>0.68302402368211579</v>
      </c>
    </row>
    <row r="6001" spans="13:15" x14ac:dyDescent="0.3">
      <c r="M6001" s="35">
        <v>39.32</v>
      </c>
      <c r="N6001">
        <v>305</v>
      </c>
      <c r="O6001" s="34">
        <f t="shared" si="94"/>
        <v>0.68313787999544839</v>
      </c>
    </row>
    <row r="6002" spans="13:15" x14ac:dyDescent="0.3">
      <c r="M6002" s="35">
        <v>39.33</v>
      </c>
      <c r="N6002">
        <v>305</v>
      </c>
      <c r="O6002" s="34">
        <f t="shared" si="94"/>
        <v>0.683251736308781</v>
      </c>
    </row>
    <row r="6003" spans="13:15" x14ac:dyDescent="0.3">
      <c r="M6003" s="35">
        <v>39.33</v>
      </c>
      <c r="N6003">
        <v>305</v>
      </c>
      <c r="O6003" s="34">
        <f t="shared" si="94"/>
        <v>0.6833655926221136</v>
      </c>
    </row>
    <row r="6004" spans="13:15" x14ac:dyDescent="0.3">
      <c r="M6004" s="35">
        <v>39.340000000000003</v>
      </c>
      <c r="N6004">
        <v>305</v>
      </c>
      <c r="O6004" s="34">
        <f t="shared" si="94"/>
        <v>0.68347944893544621</v>
      </c>
    </row>
    <row r="6005" spans="13:15" x14ac:dyDescent="0.3">
      <c r="M6005" s="35">
        <v>39.340000000000003</v>
      </c>
      <c r="N6005">
        <v>305</v>
      </c>
      <c r="O6005" s="34">
        <f t="shared" si="94"/>
        <v>0.68359330524877882</v>
      </c>
    </row>
    <row r="6006" spans="13:15" x14ac:dyDescent="0.3">
      <c r="M6006" s="35">
        <v>39.35</v>
      </c>
      <c r="N6006">
        <v>305</v>
      </c>
      <c r="O6006" s="34">
        <f t="shared" si="94"/>
        <v>0.68370716156211142</v>
      </c>
    </row>
    <row r="6007" spans="13:15" x14ac:dyDescent="0.3">
      <c r="M6007" s="35">
        <v>39.35</v>
      </c>
      <c r="N6007">
        <v>305</v>
      </c>
      <c r="O6007" s="34">
        <f t="shared" si="94"/>
        <v>0.68382101787544403</v>
      </c>
    </row>
    <row r="6008" spans="13:15" x14ac:dyDescent="0.3">
      <c r="M6008" s="35">
        <v>39.35</v>
      </c>
      <c r="N6008">
        <v>305</v>
      </c>
      <c r="O6008" s="34">
        <f t="shared" si="94"/>
        <v>0.68393487418877663</v>
      </c>
    </row>
    <row r="6009" spans="13:15" x14ac:dyDescent="0.3">
      <c r="M6009" s="35">
        <v>39.35</v>
      </c>
      <c r="N6009">
        <v>305</v>
      </c>
      <c r="O6009" s="34">
        <f t="shared" si="94"/>
        <v>0.68404873050210924</v>
      </c>
    </row>
    <row r="6010" spans="13:15" x14ac:dyDescent="0.3">
      <c r="M6010" s="35">
        <v>39.36</v>
      </c>
      <c r="N6010">
        <v>305</v>
      </c>
      <c r="O6010" s="34">
        <f t="shared" si="94"/>
        <v>0.68416258681544184</v>
      </c>
    </row>
    <row r="6011" spans="13:15" x14ac:dyDescent="0.3">
      <c r="M6011" s="35">
        <v>39.36</v>
      </c>
      <c r="N6011">
        <v>305</v>
      </c>
      <c r="O6011" s="34">
        <f t="shared" si="94"/>
        <v>0.68427644312877445</v>
      </c>
    </row>
    <row r="6012" spans="13:15" x14ac:dyDescent="0.3">
      <c r="M6012" s="35">
        <v>39.36</v>
      </c>
      <c r="N6012">
        <v>305</v>
      </c>
      <c r="O6012" s="34">
        <f t="shared" si="94"/>
        <v>0.68439029944210705</v>
      </c>
    </row>
    <row r="6013" spans="13:15" x14ac:dyDescent="0.3">
      <c r="M6013" s="35">
        <v>39.36</v>
      </c>
      <c r="N6013">
        <v>305</v>
      </c>
      <c r="O6013" s="34">
        <f t="shared" si="94"/>
        <v>0.68450415575543966</v>
      </c>
    </row>
    <row r="6014" spans="13:15" x14ac:dyDescent="0.3">
      <c r="M6014" s="35">
        <v>39.369999999999997</v>
      </c>
      <c r="N6014">
        <v>305</v>
      </c>
      <c r="O6014" s="34">
        <f t="shared" si="94"/>
        <v>0.68461801206877226</v>
      </c>
    </row>
    <row r="6015" spans="13:15" x14ac:dyDescent="0.3">
      <c r="M6015" s="35">
        <v>39.380000000000003</v>
      </c>
      <c r="N6015">
        <v>305</v>
      </c>
      <c r="O6015" s="34">
        <f t="shared" si="94"/>
        <v>0.68473186838210487</v>
      </c>
    </row>
    <row r="6016" spans="13:15" x14ac:dyDescent="0.3">
      <c r="M6016" s="35">
        <v>39.380000000000003</v>
      </c>
      <c r="N6016">
        <v>305</v>
      </c>
      <c r="O6016" s="34">
        <f t="shared" si="94"/>
        <v>0.68484572469543747</v>
      </c>
    </row>
    <row r="6017" spans="13:15" x14ac:dyDescent="0.3">
      <c r="M6017" s="35">
        <v>39.380000000000003</v>
      </c>
      <c r="N6017">
        <v>305</v>
      </c>
      <c r="O6017" s="34">
        <f t="shared" si="94"/>
        <v>0.68495958100877008</v>
      </c>
    </row>
    <row r="6018" spans="13:15" x14ac:dyDescent="0.3">
      <c r="M6018" s="35">
        <v>39.39</v>
      </c>
      <c r="N6018">
        <v>305</v>
      </c>
      <c r="O6018" s="34">
        <f t="shared" si="94"/>
        <v>0.68507343732210269</v>
      </c>
    </row>
    <row r="6019" spans="13:15" x14ac:dyDescent="0.3">
      <c r="M6019" s="35">
        <v>39.4</v>
      </c>
      <c r="N6019">
        <v>305</v>
      </c>
      <c r="O6019" s="34">
        <f t="shared" si="94"/>
        <v>0.68518729363543529</v>
      </c>
    </row>
    <row r="6020" spans="13:15" x14ac:dyDescent="0.3">
      <c r="M6020" s="35">
        <v>39.4</v>
      </c>
      <c r="N6020">
        <v>305</v>
      </c>
      <c r="O6020" s="34">
        <f t="shared" ref="O6020:O6083" si="95">O6019+O$2</f>
        <v>0.6853011499487679</v>
      </c>
    </row>
    <row r="6021" spans="13:15" x14ac:dyDescent="0.3">
      <c r="M6021" s="35">
        <v>39.4</v>
      </c>
      <c r="N6021">
        <v>305</v>
      </c>
      <c r="O6021" s="34">
        <f t="shared" si="95"/>
        <v>0.6854150062621005</v>
      </c>
    </row>
    <row r="6022" spans="13:15" x14ac:dyDescent="0.3">
      <c r="M6022" s="35">
        <v>39.409999999999997</v>
      </c>
      <c r="N6022">
        <v>305</v>
      </c>
      <c r="O6022" s="34">
        <f t="shared" si="95"/>
        <v>0.68552886257543311</v>
      </c>
    </row>
    <row r="6023" spans="13:15" x14ac:dyDescent="0.3">
      <c r="M6023" s="35">
        <v>39.409999999999997</v>
      </c>
      <c r="N6023">
        <v>305</v>
      </c>
      <c r="O6023" s="34">
        <f t="shared" si="95"/>
        <v>0.68564271888876571</v>
      </c>
    </row>
    <row r="6024" spans="13:15" x14ac:dyDescent="0.3">
      <c r="M6024" s="35">
        <v>39.42</v>
      </c>
      <c r="N6024">
        <v>305</v>
      </c>
      <c r="O6024" s="34">
        <f t="shared" si="95"/>
        <v>0.68575657520209832</v>
      </c>
    </row>
    <row r="6025" spans="13:15" x14ac:dyDescent="0.3">
      <c r="M6025" s="35">
        <v>39.42</v>
      </c>
      <c r="N6025">
        <v>305</v>
      </c>
      <c r="O6025" s="34">
        <f t="shared" si="95"/>
        <v>0.68587043151543092</v>
      </c>
    </row>
    <row r="6026" spans="13:15" x14ac:dyDescent="0.3">
      <c r="M6026" s="35">
        <v>39.43</v>
      </c>
      <c r="N6026">
        <v>305</v>
      </c>
      <c r="O6026" s="34">
        <f t="shared" si="95"/>
        <v>0.68598428782876353</v>
      </c>
    </row>
    <row r="6027" spans="13:15" x14ac:dyDescent="0.3">
      <c r="M6027" s="35">
        <v>39.43</v>
      </c>
      <c r="N6027">
        <v>305</v>
      </c>
      <c r="O6027" s="34">
        <f t="shared" si="95"/>
        <v>0.68609814414209613</v>
      </c>
    </row>
    <row r="6028" spans="13:15" x14ac:dyDescent="0.3">
      <c r="M6028" s="35">
        <v>39.43</v>
      </c>
      <c r="N6028">
        <v>305</v>
      </c>
      <c r="O6028" s="34">
        <f t="shared" si="95"/>
        <v>0.68621200045542874</v>
      </c>
    </row>
    <row r="6029" spans="13:15" x14ac:dyDescent="0.3">
      <c r="M6029" s="35">
        <v>39.43</v>
      </c>
      <c r="N6029">
        <v>305</v>
      </c>
      <c r="O6029" s="34">
        <f t="shared" si="95"/>
        <v>0.68632585676876134</v>
      </c>
    </row>
    <row r="6030" spans="13:15" x14ac:dyDescent="0.3">
      <c r="M6030" s="35">
        <v>39.450000000000003</v>
      </c>
      <c r="N6030">
        <v>305</v>
      </c>
      <c r="O6030" s="34">
        <f t="shared" si="95"/>
        <v>0.68643971308209395</v>
      </c>
    </row>
    <row r="6031" spans="13:15" x14ac:dyDescent="0.3">
      <c r="M6031" s="35">
        <v>39.450000000000003</v>
      </c>
      <c r="N6031">
        <v>305</v>
      </c>
      <c r="O6031" s="34">
        <f t="shared" si="95"/>
        <v>0.68655356939542656</v>
      </c>
    </row>
    <row r="6032" spans="13:15" x14ac:dyDescent="0.3">
      <c r="M6032" s="35">
        <v>39.46</v>
      </c>
      <c r="N6032">
        <v>305</v>
      </c>
      <c r="O6032" s="34">
        <f t="shared" si="95"/>
        <v>0.68666742570875916</v>
      </c>
    </row>
    <row r="6033" spans="13:15" x14ac:dyDescent="0.3">
      <c r="M6033" s="35">
        <v>39.47</v>
      </c>
      <c r="N6033">
        <v>305</v>
      </c>
      <c r="O6033" s="34">
        <f t="shared" si="95"/>
        <v>0.68678128202209177</v>
      </c>
    </row>
    <row r="6034" spans="13:15" x14ac:dyDescent="0.3">
      <c r="M6034" s="35">
        <v>39.47</v>
      </c>
      <c r="N6034">
        <v>305</v>
      </c>
      <c r="O6034" s="34">
        <f t="shared" si="95"/>
        <v>0.68689513833542437</v>
      </c>
    </row>
    <row r="6035" spans="13:15" x14ac:dyDescent="0.3">
      <c r="M6035" s="35">
        <v>39.479999999999997</v>
      </c>
      <c r="N6035">
        <v>305</v>
      </c>
      <c r="O6035" s="34">
        <f t="shared" si="95"/>
        <v>0.68700899464875698</v>
      </c>
    </row>
    <row r="6036" spans="13:15" x14ac:dyDescent="0.3">
      <c r="M6036" s="35">
        <v>39.479999999999997</v>
      </c>
      <c r="N6036">
        <v>305</v>
      </c>
      <c r="O6036" s="34">
        <f t="shared" si="95"/>
        <v>0.68712285096208958</v>
      </c>
    </row>
    <row r="6037" spans="13:15" x14ac:dyDescent="0.3">
      <c r="M6037" s="35">
        <v>39.5</v>
      </c>
      <c r="N6037">
        <v>305</v>
      </c>
      <c r="O6037" s="34">
        <f t="shared" si="95"/>
        <v>0.68723670727542219</v>
      </c>
    </row>
    <row r="6038" spans="13:15" x14ac:dyDescent="0.3">
      <c r="M6038" s="35">
        <v>39.51</v>
      </c>
      <c r="N6038">
        <v>305</v>
      </c>
      <c r="O6038" s="34">
        <f t="shared" si="95"/>
        <v>0.68735056358875479</v>
      </c>
    </row>
    <row r="6039" spans="13:15" x14ac:dyDescent="0.3">
      <c r="M6039" s="35">
        <v>39.51</v>
      </c>
      <c r="N6039">
        <v>305</v>
      </c>
      <c r="O6039" s="34">
        <f t="shared" si="95"/>
        <v>0.6874644199020874</v>
      </c>
    </row>
    <row r="6040" spans="13:15" x14ac:dyDescent="0.3">
      <c r="M6040" s="35">
        <v>39.51</v>
      </c>
      <c r="N6040">
        <v>305</v>
      </c>
      <c r="O6040" s="34">
        <f t="shared" si="95"/>
        <v>0.68757827621542</v>
      </c>
    </row>
    <row r="6041" spans="13:15" x14ac:dyDescent="0.3">
      <c r="M6041" s="35">
        <v>39.51</v>
      </c>
      <c r="N6041">
        <v>305</v>
      </c>
      <c r="O6041" s="34">
        <f t="shared" si="95"/>
        <v>0.68769213252875261</v>
      </c>
    </row>
    <row r="6042" spans="13:15" x14ac:dyDescent="0.3">
      <c r="M6042" s="35">
        <v>39.53</v>
      </c>
      <c r="N6042">
        <v>305</v>
      </c>
      <c r="O6042" s="34">
        <f t="shared" si="95"/>
        <v>0.68780598884208521</v>
      </c>
    </row>
    <row r="6043" spans="13:15" x14ac:dyDescent="0.3">
      <c r="M6043" s="35">
        <v>39.54</v>
      </c>
      <c r="N6043">
        <v>305</v>
      </c>
      <c r="O6043" s="34">
        <f t="shared" si="95"/>
        <v>0.68791984515541782</v>
      </c>
    </row>
    <row r="6044" spans="13:15" x14ac:dyDescent="0.3">
      <c r="M6044" s="35">
        <v>39.54</v>
      </c>
      <c r="N6044">
        <v>305</v>
      </c>
      <c r="O6044" s="34">
        <f t="shared" si="95"/>
        <v>0.68803370146875042</v>
      </c>
    </row>
    <row r="6045" spans="13:15" x14ac:dyDescent="0.3">
      <c r="M6045" s="35">
        <v>39.54</v>
      </c>
      <c r="N6045">
        <v>305</v>
      </c>
      <c r="O6045" s="34">
        <f t="shared" si="95"/>
        <v>0.68814755778208303</v>
      </c>
    </row>
    <row r="6046" spans="13:15" x14ac:dyDescent="0.3">
      <c r="M6046" s="35">
        <v>39.549999999999997</v>
      </c>
      <c r="N6046">
        <v>305</v>
      </c>
      <c r="O6046" s="34">
        <f t="shared" si="95"/>
        <v>0.68826141409541564</v>
      </c>
    </row>
    <row r="6047" spans="13:15" x14ac:dyDescent="0.3">
      <c r="M6047" s="35">
        <v>39.549999999999997</v>
      </c>
      <c r="N6047">
        <v>305</v>
      </c>
      <c r="O6047" s="34">
        <f t="shared" si="95"/>
        <v>0.68837527040874824</v>
      </c>
    </row>
    <row r="6048" spans="13:15" x14ac:dyDescent="0.3">
      <c r="M6048" s="35">
        <v>39.56</v>
      </c>
      <c r="N6048">
        <v>305</v>
      </c>
      <c r="O6048" s="34">
        <f t="shared" si="95"/>
        <v>0.68848912672208085</v>
      </c>
    </row>
    <row r="6049" spans="13:15" x14ac:dyDescent="0.3">
      <c r="M6049" s="35">
        <v>39.57</v>
      </c>
      <c r="N6049">
        <v>305</v>
      </c>
      <c r="O6049" s="34">
        <f t="shared" si="95"/>
        <v>0.68860298303541345</v>
      </c>
    </row>
    <row r="6050" spans="13:15" x14ac:dyDescent="0.3">
      <c r="M6050" s="35">
        <v>39.58</v>
      </c>
      <c r="N6050">
        <v>305</v>
      </c>
      <c r="O6050" s="34">
        <f t="shared" si="95"/>
        <v>0.68871683934874606</v>
      </c>
    </row>
    <row r="6051" spans="13:15" x14ac:dyDescent="0.3">
      <c r="M6051" s="35">
        <v>39.590000000000003</v>
      </c>
      <c r="N6051">
        <v>305</v>
      </c>
      <c r="O6051" s="34">
        <f t="shared" si="95"/>
        <v>0.68883069566207866</v>
      </c>
    </row>
    <row r="6052" spans="13:15" x14ac:dyDescent="0.3">
      <c r="M6052" s="35">
        <v>39.6</v>
      </c>
      <c r="N6052">
        <v>305</v>
      </c>
      <c r="O6052" s="34">
        <f t="shared" si="95"/>
        <v>0.68894455197541127</v>
      </c>
    </row>
    <row r="6053" spans="13:15" x14ac:dyDescent="0.3">
      <c r="M6053" s="35">
        <v>39.6</v>
      </c>
      <c r="N6053">
        <v>305</v>
      </c>
      <c r="O6053" s="34">
        <f t="shared" si="95"/>
        <v>0.68905840828874387</v>
      </c>
    </row>
    <row r="6054" spans="13:15" x14ac:dyDescent="0.3">
      <c r="M6054" s="35">
        <v>39.6</v>
      </c>
      <c r="N6054">
        <v>305</v>
      </c>
      <c r="O6054" s="34">
        <f t="shared" si="95"/>
        <v>0.68917226460207648</v>
      </c>
    </row>
    <row r="6055" spans="13:15" x14ac:dyDescent="0.3">
      <c r="M6055" s="35">
        <v>39.61</v>
      </c>
      <c r="N6055">
        <v>305</v>
      </c>
      <c r="O6055" s="34">
        <f t="shared" si="95"/>
        <v>0.68928612091540908</v>
      </c>
    </row>
    <row r="6056" spans="13:15" x14ac:dyDescent="0.3">
      <c r="M6056" s="35">
        <v>39.64</v>
      </c>
      <c r="N6056">
        <v>305</v>
      </c>
      <c r="O6056" s="34">
        <f t="shared" si="95"/>
        <v>0.68939997722874169</v>
      </c>
    </row>
    <row r="6057" spans="13:15" x14ac:dyDescent="0.3">
      <c r="M6057" s="35">
        <v>39.64</v>
      </c>
      <c r="N6057">
        <v>305</v>
      </c>
      <c r="O6057" s="34">
        <f t="shared" si="95"/>
        <v>0.68951383354207429</v>
      </c>
    </row>
    <row r="6058" spans="13:15" x14ac:dyDescent="0.3">
      <c r="M6058" s="35">
        <v>39.65</v>
      </c>
      <c r="N6058">
        <v>305</v>
      </c>
      <c r="O6058" s="34">
        <f t="shared" si="95"/>
        <v>0.6896276898554069</v>
      </c>
    </row>
    <row r="6059" spans="13:15" x14ac:dyDescent="0.3">
      <c r="M6059" s="35">
        <v>39.65</v>
      </c>
      <c r="N6059">
        <v>305</v>
      </c>
      <c r="O6059" s="34">
        <f t="shared" si="95"/>
        <v>0.68974154616873951</v>
      </c>
    </row>
    <row r="6060" spans="13:15" x14ac:dyDescent="0.3">
      <c r="M6060" s="35">
        <v>39.659999999999997</v>
      </c>
      <c r="N6060">
        <v>305</v>
      </c>
      <c r="O6060" s="34">
        <f t="shared" si="95"/>
        <v>0.68985540248207211</v>
      </c>
    </row>
    <row r="6061" spans="13:15" x14ac:dyDescent="0.3">
      <c r="M6061" s="35">
        <v>39.659999999999997</v>
      </c>
      <c r="N6061">
        <v>305</v>
      </c>
      <c r="O6061" s="34">
        <f t="shared" si="95"/>
        <v>0.68996925879540472</v>
      </c>
    </row>
    <row r="6062" spans="13:15" x14ac:dyDescent="0.3">
      <c r="M6062" s="35">
        <v>39.69</v>
      </c>
      <c r="N6062">
        <v>305</v>
      </c>
      <c r="O6062" s="34">
        <f t="shared" si="95"/>
        <v>0.69008311510873732</v>
      </c>
    </row>
    <row r="6063" spans="13:15" x14ac:dyDescent="0.3">
      <c r="M6063" s="35">
        <v>39.69</v>
      </c>
      <c r="N6063">
        <v>305</v>
      </c>
      <c r="O6063" s="34">
        <f t="shared" si="95"/>
        <v>0.69019697142206993</v>
      </c>
    </row>
    <row r="6064" spans="13:15" x14ac:dyDescent="0.3">
      <c r="M6064" s="35">
        <v>39.69</v>
      </c>
      <c r="N6064">
        <v>305</v>
      </c>
      <c r="O6064" s="34">
        <f t="shared" si="95"/>
        <v>0.69031082773540253</v>
      </c>
    </row>
    <row r="6065" spans="13:15" x14ac:dyDescent="0.3">
      <c r="M6065" s="35">
        <v>39.700000000000003</v>
      </c>
      <c r="N6065">
        <v>305</v>
      </c>
      <c r="O6065" s="34">
        <f t="shared" si="95"/>
        <v>0.69042468404873514</v>
      </c>
    </row>
    <row r="6066" spans="13:15" x14ac:dyDescent="0.3">
      <c r="M6066" s="35">
        <v>39.700000000000003</v>
      </c>
      <c r="N6066">
        <v>305</v>
      </c>
      <c r="O6066" s="34">
        <f t="shared" si="95"/>
        <v>0.69053854036206774</v>
      </c>
    </row>
    <row r="6067" spans="13:15" x14ac:dyDescent="0.3">
      <c r="M6067" s="35">
        <v>39.71</v>
      </c>
      <c r="N6067">
        <v>305</v>
      </c>
      <c r="O6067" s="34">
        <f t="shared" si="95"/>
        <v>0.69065239667540035</v>
      </c>
    </row>
    <row r="6068" spans="13:15" x14ac:dyDescent="0.3">
      <c r="M6068" s="35">
        <v>39.71</v>
      </c>
      <c r="N6068">
        <v>305</v>
      </c>
      <c r="O6068" s="34">
        <f t="shared" si="95"/>
        <v>0.69076625298873295</v>
      </c>
    </row>
    <row r="6069" spans="13:15" x14ac:dyDescent="0.3">
      <c r="M6069" s="35">
        <v>39.729999999999997</v>
      </c>
      <c r="N6069">
        <v>305</v>
      </c>
      <c r="O6069" s="34">
        <f t="shared" si="95"/>
        <v>0.69088010930206556</v>
      </c>
    </row>
    <row r="6070" spans="13:15" x14ac:dyDescent="0.3">
      <c r="M6070" s="35">
        <v>39.74</v>
      </c>
      <c r="N6070">
        <v>305</v>
      </c>
      <c r="O6070" s="34">
        <f t="shared" si="95"/>
        <v>0.69099396561539816</v>
      </c>
    </row>
    <row r="6071" spans="13:15" x14ac:dyDescent="0.3">
      <c r="M6071" s="35">
        <v>39.76</v>
      </c>
      <c r="N6071">
        <v>305</v>
      </c>
      <c r="O6071" s="34">
        <f t="shared" si="95"/>
        <v>0.69110782192873077</v>
      </c>
    </row>
    <row r="6072" spans="13:15" x14ac:dyDescent="0.3">
      <c r="M6072" s="35">
        <v>39.78</v>
      </c>
      <c r="N6072">
        <v>305</v>
      </c>
      <c r="O6072" s="34">
        <f t="shared" si="95"/>
        <v>0.69122167824206338</v>
      </c>
    </row>
    <row r="6073" spans="13:15" x14ac:dyDescent="0.3">
      <c r="M6073" s="35">
        <v>39.79</v>
      </c>
      <c r="N6073">
        <v>305</v>
      </c>
      <c r="O6073" s="34">
        <f t="shared" si="95"/>
        <v>0.69133553455539598</v>
      </c>
    </row>
    <row r="6074" spans="13:15" x14ac:dyDescent="0.3">
      <c r="M6074" s="35">
        <v>39.79</v>
      </c>
      <c r="N6074">
        <v>305</v>
      </c>
      <c r="O6074" s="34">
        <f t="shared" si="95"/>
        <v>0.69144939086872859</v>
      </c>
    </row>
    <row r="6075" spans="13:15" x14ac:dyDescent="0.3">
      <c r="M6075" s="35">
        <v>39.799999999999997</v>
      </c>
      <c r="N6075">
        <v>305</v>
      </c>
      <c r="O6075" s="34">
        <f t="shared" si="95"/>
        <v>0.69156324718206119</v>
      </c>
    </row>
    <row r="6076" spans="13:15" x14ac:dyDescent="0.3">
      <c r="M6076" s="35">
        <v>39.799999999999997</v>
      </c>
      <c r="N6076">
        <v>305</v>
      </c>
      <c r="O6076" s="34">
        <f t="shared" si="95"/>
        <v>0.6916771034953938</v>
      </c>
    </row>
    <row r="6077" spans="13:15" x14ac:dyDescent="0.3">
      <c r="M6077" s="35">
        <v>39.799999999999997</v>
      </c>
      <c r="N6077">
        <v>305</v>
      </c>
      <c r="O6077" s="34">
        <f t="shared" si="95"/>
        <v>0.6917909598087264</v>
      </c>
    </row>
    <row r="6078" spans="13:15" x14ac:dyDescent="0.3">
      <c r="M6078" s="35">
        <v>39.81</v>
      </c>
      <c r="N6078">
        <v>305</v>
      </c>
      <c r="O6078" s="34">
        <f t="shared" si="95"/>
        <v>0.69190481612205901</v>
      </c>
    </row>
    <row r="6079" spans="13:15" x14ac:dyDescent="0.3">
      <c r="M6079" s="35">
        <v>39.81</v>
      </c>
      <c r="N6079">
        <v>305</v>
      </c>
      <c r="O6079" s="34">
        <f t="shared" si="95"/>
        <v>0.69201867243539161</v>
      </c>
    </row>
    <row r="6080" spans="13:15" x14ac:dyDescent="0.3">
      <c r="M6080" s="35">
        <v>39.83</v>
      </c>
      <c r="N6080">
        <v>305</v>
      </c>
      <c r="O6080" s="34">
        <f t="shared" si="95"/>
        <v>0.69213252874872422</v>
      </c>
    </row>
    <row r="6081" spans="13:15" x14ac:dyDescent="0.3">
      <c r="M6081" s="35">
        <v>39.83</v>
      </c>
      <c r="N6081">
        <v>305</v>
      </c>
      <c r="O6081" s="34">
        <f t="shared" si="95"/>
        <v>0.69224638506205682</v>
      </c>
    </row>
    <row r="6082" spans="13:15" x14ac:dyDescent="0.3">
      <c r="M6082" s="35">
        <v>39.840000000000003</v>
      </c>
      <c r="N6082">
        <v>305</v>
      </c>
      <c r="O6082" s="34">
        <f t="shared" si="95"/>
        <v>0.69236024137538943</v>
      </c>
    </row>
    <row r="6083" spans="13:15" x14ac:dyDescent="0.3">
      <c r="M6083" s="35">
        <v>39.86</v>
      </c>
      <c r="N6083">
        <v>305</v>
      </c>
      <c r="O6083" s="34">
        <f t="shared" si="95"/>
        <v>0.69247409768872203</v>
      </c>
    </row>
    <row r="6084" spans="13:15" x14ac:dyDescent="0.3">
      <c r="M6084" s="35">
        <v>39.869999999999997</v>
      </c>
      <c r="N6084">
        <v>305</v>
      </c>
      <c r="O6084" s="34">
        <f t="shared" ref="O6084:O6147" si="96">O6083+O$2</f>
        <v>0.69258795400205464</v>
      </c>
    </row>
    <row r="6085" spans="13:15" x14ac:dyDescent="0.3">
      <c r="M6085" s="35">
        <v>39.880000000000003</v>
      </c>
      <c r="N6085">
        <v>305</v>
      </c>
      <c r="O6085" s="34">
        <f t="shared" si="96"/>
        <v>0.69270181031538725</v>
      </c>
    </row>
    <row r="6086" spans="13:15" x14ac:dyDescent="0.3">
      <c r="M6086" s="35">
        <v>39.880000000000003</v>
      </c>
      <c r="N6086">
        <v>305</v>
      </c>
      <c r="O6086" s="34">
        <f t="shared" si="96"/>
        <v>0.69281566662871985</v>
      </c>
    </row>
    <row r="6087" spans="13:15" x14ac:dyDescent="0.3">
      <c r="M6087" s="35">
        <v>39.89</v>
      </c>
      <c r="N6087">
        <v>305</v>
      </c>
      <c r="O6087" s="34">
        <f t="shared" si="96"/>
        <v>0.69292952294205246</v>
      </c>
    </row>
    <row r="6088" spans="13:15" x14ac:dyDescent="0.3">
      <c r="M6088" s="35">
        <v>39.9</v>
      </c>
      <c r="N6088">
        <v>305</v>
      </c>
      <c r="O6088" s="34">
        <f t="shared" si="96"/>
        <v>0.69304337925538506</v>
      </c>
    </row>
    <row r="6089" spans="13:15" x14ac:dyDescent="0.3">
      <c r="M6089" s="35">
        <v>39.9</v>
      </c>
      <c r="N6089">
        <v>305</v>
      </c>
      <c r="O6089" s="34">
        <f t="shared" si="96"/>
        <v>0.69315723556871767</v>
      </c>
    </row>
    <row r="6090" spans="13:15" x14ac:dyDescent="0.3">
      <c r="M6090" s="35">
        <v>39.9</v>
      </c>
      <c r="N6090">
        <v>305</v>
      </c>
      <c r="O6090" s="34">
        <f t="shared" si="96"/>
        <v>0.69327109188205027</v>
      </c>
    </row>
    <row r="6091" spans="13:15" x14ac:dyDescent="0.3">
      <c r="M6091" s="35">
        <v>39.909999999999997</v>
      </c>
      <c r="N6091">
        <v>305</v>
      </c>
      <c r="O6091" s="34">
        <f t="shared" si="96"/>
        <v>0.69338494819538288</v>
      </c>
    </row>
    <row r="6092" spans="13:15" x14ac:dyDescent="0.3">
      <c r="M6092" s="35">
        <v>39.909999999999997</v>
      </c>
      <c r="N6092">
        <v>305</v>
      </c>
      <c r="O6092" s="34">
        <f t="shared" si="96"/>
        <v>0.69349880450871548</v>
      </c>
    </row>
    <row r="6093" spans="13:15" x14ac:dyDescent="0.3">
      <c r="M6093" s="35">
        <v>39.92</v>
      </c>
      <c r="N6093">
        <v>305</v>
      </c>
      <c r="O6093" s="34">
        <f t="shared" si="96"/>
        <v>0.69361266082204809</v>
      </c>
    </row>
    <row r="6094" spans="13:15" x14ac:dyDescent="0.3">
      <c r="M6094" s="35">
        <v>39.92</v>
      </c>
      <c r="N6094">
        <v>305</v>
      </c>
      <c r="O6094" s="34">
        <f t="shared" si="96"/>
        <v>0.69372651713538069</v>
      </c>
    </row>
    <row r="6095" spans="13:15" x14ac:dyDescent="0.3">
      <c r="M6095" s="35">
        <v>39.92</v>
      </c>
      <c r="N6095">
        <v>305</v>
      </c>
      <c r="O6095" s="34">
        <f t="shared" si="96"/>
        <v>0.6938403734487133</v>
      </c>
    </row>
    <row r="6096" spans="13:15" x14ac:dyDescent="0.3">
      <c r="M6096" s="35">
        <v>39.92</v>
      </c>
      <c r="N6096">
        <v>305</v>
      </c>
      <c r="O6096" s="34">
        <f t="shared" si="96"/>
        <v>0.6939542297620459</v>
      </c>
    </row>
    <row r="6097" spans="13:15" x14ac:dyDescent="0.3">
      <c r="M6097" s="35">
        <v>39.93</v>
      </c>
      <c r="N6097">
        <v>305</v>
      </c>
      <c r="O6097" s="34">
        <f t="shared" si="96"/>
        <v>0.69406808607537851</v>
      </c>
    </row>
    <row r="6098" spans="13:15" x14ac:dyDescent="0.3">
      <c r="M6098" s="35">
        <v>39.94</v>
      </c>
      <c r="N6098">
        <v>305</v>
      </c>
      <c r="O6098" s="34">
        <f t="shared" si="96"/>
        <v>0.69418194238871112</v>
      </c>
    </row>
    <row r="6099" spans="13:15" x14ac:dyDescent="0.3">
      <c r="M6099" s="35">
        <v>39.94</v>
      </c>
      <c r="N6099">
        <v>305</v>
      </c>
      <c r="O6099" s="34">
        <f t="shared" si="96"/>
        <v>0.69429579870204372</v>
      </c>
    </row>
    <row r="6100" spans="13:15" x14ac:dyDescent="0.3">
      <c r="M6100" s="35">
        <v>39.950000000000003</v>
      </c>
      <c r="N6100">
        <v>305</v>
      </c>
      <c r="O6100" s="34">
        <f t="shared" si="96"/>
        <v>0.69440965501537633</v>
      </c>
    </row>
    <row r="6101" spans="13:15" x14ac:dyDescent="0.3">
      <c r="M6101" s="35">
        <v>39.950000000000003</v>
      </c>
      <c r="N6101">
        <v>305</v>
      </c>
      <c r="O6101" s="34">
        <f t="shared" si="96"/>
        <v>0.69452351132870893</v>
      </c>
    </row>
    <row r="6102" spans="13:15" x14ac:dyDescent="0.3">
      <c r="M6102" s="35">
        <v>39.96</v>
      </c>
      <c r="N6102">
        <v>305</v>
      </c>
      <c r="O6102" s="34">
        <f t="shared" si="96"/>
        <v>0.69463736764204154</v>
      </c>
    </row>
    <row r="6103" spans="13:15" x14ac:dyDescent="0.3">
      <c r="M6103" s="35">
        <v>39.97</v>
      </c>
      <c r="N6103">
        <v>305</v>
      </c>
      <c r="O6103" s="34">
        <f t="shared" si="96"/>
        <v>0.69475122395537414</v>
      </c>
    </row>
    <row r="6104" spans="13:15" x14ac:dyDescent="0.3">
      <c r="M6104" s="35">
        <v>39.97</v>
      </c>
      <c r="N6104">
        <v>305</v>
      </c>
      <c r="O6104" s="34">
        <f t="shared" si="96"/>
        <v>0.69486508026870675</v>
      </c>
    </row>
    <row r="6105" spans="13:15" x14ac:dyDescent="0.3">
      <c r="M6105" s="35">
        <v>40</v>
      </c>
      <c r="N6105">
        <v>305</v>
      </c>
      <c r="O6105" s="34">
        <f t="shared" si="96"/>
        <v>0.69497893658203935</v>
      </c>
    </row>
    <row r="6106" spans="13:15" x14ac:dyDescent="0.3">
      <c r="M6106" s="35">
        <v>40.03</v>
      </c>
      <c r="N6106">
        <v>305</v>
      </c>
      <c r="O6106" s="34">
        <f t="shared" si="96"/>
        <v>0.69509279289537196</v>
      </c>
    </row>
    <row r="6107" spans="13:15" x14ac:dyDescent="0.3">
      <c r="M6107" s="35">
        <v>40.03</v>
      </c>
      <c r="N6107">
        <v>305</v>
      </c>
      <c r="O6107" s="34">
        <f t="shared" si="96"/>
        <v>0.69520664920870456</v>
      </c>
    </row>
    <row r="6108" spans="13:15" x14ac:dyDescent="0.3">
      <c r="M6108" s="35">
        <v>40.03</v>
      </c>
      <c r="N6108">
        <v>305</v>
      </c>
      <c r="O6108" s="34">
        <f t="shared" si="96"/>
        <v>0.69532050552203717</v>
      </c>
    </row>
    <row r="6109" spans="13:15" x14ac:dyDescent="0.3">
      <c r="M6109" s="35">
        <v>40.049999999999997</v>
      </c>
      <c r="N6109">
        <v>305</v>
      </c>
      <c r="O6109" s="34">
        <f t="shared" si="96"/>
        <v>0.69543436183536977</v>
      </c>
    </row>
    <row r="6110" spans="13:15" x14ac:dyDescent="0.3">
      <c r="M6110" s="35">
        <v>40.049999999999997</v>
      </c>
      <c r="N6110">
        <v>305</v>
      </c>
      <c r="O6110" s="34">
        <f t="shared" si="96"/>
        <v>0.69554821814870238</v>
      </c>
    </row>
    <row r="6111" spans="13:15" x14ac:dyDescent="0.3">
      <c r="M6111" s="35">
        <v>40.049999999999997</v>
      </c>
      <c r="N6111">
        <v>305</v>
      </c>
      <c r="O6111" s="34">
        <f t="shared" si="96"/>
        <v>0.69566207446203498</v>
      </c>
    </row>
    <row r="6112" spans="13:15" x14ac:dyDescent="0.3">
      <c r="M6112" s="35">
        <v>40.049999999999997</v>
      </c>
      <c r="N6112">
        <v>305</v>
      </c>
      <c r="O6112" s="34">
        <f t="shared" si="96"/>
        <v>0.69577593077536759</v>
      </c>
    </row>
    <row r="6113" spans="13:15" x14ac:dyDescent="0.3">
      <c r="M6113" s="35">
        <v>40.06</v>
      </c>
      <c r="N6113">
        <v>305</v>
      </c>
      <c r="O6113" s="34">
        <f t="shared" si="96"/>
        <v>0.6958897870887002</v>
      </c>
    </row>
    <row r="6114" spans="13:15" x14ac:dyDescent="0.3">
      <c r="M6114" s="35">
        <v>40.06</v>
      </c>
      <c r="N6114">
        <v>305</v>
      </c>
      <c r="O6114" s="34">
        <f t="shared" si="96"/>
        <v>0.6960036434020328</v>
      </c>
    </row>
    <row r="6115" spans="13:15" x14ac:dyDescent="0.3">
      <c r="M6115" s="35">
        <v>40.06</v>
      </c>
      <c r="N6115">
        <v>305</v>
      </c>
      <c r="O6115" s="34">
        <f t="shared" si="96"/>
        <v>0.69611749971536541</v>
      </c>
    </row>
    <row r="6116" spans="13:15" x14ac:dyDescent="0.3">
      <c r="M6116" s="35">
        <v>40.07</v>
      </c>
      <c r="N6116">
        <v>305</v>
      </c>
      <c r="O6116" s="34">
        <f t="shared" si="96"/>
        <v>0.69623135602869801</v>
      </c>
    </row>
    <row r="6117" spans="13:15" x14ac:dyDescent="0.3">
      <c r="M6117" s="35">
        <v>40.08</v>
      </c>
      <c r="N6117">
        <v>305</v>
      </c>
      <c r="O6117" s="34">
        <f t="shared" si="96"/>
        <v>0.69634521234203062</v>
      </c>
    </row>
    <row r="6118" spans="13:15" x14ac:dyDescent="0.3">
      <c r="M6118" s="35">
        <v>40.090000000000003</v>
      </c>
      <c r="N6118">
        <v>305</v>
      </c>
      <c r="O6118" s="34">
        <f t="shared" si="96"/>
        <v>0.69645906865536322</v>
      </c>
    </row>
    <row r="6119" spans="13:15" x14ac:dyDescent="0.3">
      <c r="M6119" s="35">
        <v>40.090000000000003</v>
      </c>
      <c r="N6119">
        <v>305</v>
      </c>
      <c r="O6119" s="34">
        <f t="shared" si="96"/>
        <v>0.69657292496869583</v>
      </c>
    </row>
    <row r="6120" spans="13:15" x14ac:dyDescent="0.3">
      <c r="M6120" s="35">
        <v>40.11</v>
      </c>
      <c r="N6120">
        <v>305</v>
      </c>
      <c r="O6120" s="34">
        <f t="shared" si="96"/>
        <v>0.69668678128202843</v>
      </c>
    </row>
    <row r="6121" spans="13:15" x14ac:dyDescent="0.3">
      <c r="M6121" s="35">
        <v>40.11</v>
      </c>
      <c r="N6121">
        <v>305</v>
      </c>
      <c r="O6121" s="34">
        <f t="shared" si="96"/>
        <v>0.69680063759536104</v>
      </c>
    </row>
    <row r="6122" spans="13:15" x14ac:dyDescent="0.3">
      <c r="M6122" s="35">
        <v>40.119999999999997</v>
      </c>
      <c r="N6122">
        <v>305</v>
      </c>
      <c r="O6122" s="34">
        <f t="shared" si="96"/>
        <v>0.69691449390869364</v>
      </c>
    </row>
    <row r="6123" spans="13:15" x14ac:dyDescent="0.3">
      <c r="M6123" s="35">
        <v>40.14</v>
      </c>
      <c r="N6123">
        <v>305</v>
      </c>
      <c r="O6123" s="34">
        <f t="shared" si="96"/>
        <v>0.69702835022202625</v>
      </c>
    </row>
    <row r="6124" spans="13:15" x14ac:dyDescent="0.3">
      <c r="M6124" s="35">
        <v>40.15</v>
      </c>
      <c r="N6124">
        <v>305</v>
      </c>
      <c r="O6124" s="34">
        <f t="shared" si="96"/>
        <v>0.69714220653535885</v>
      </c>
    </row>
    <row r="6125" spans="13:15" x14ac:dyDescent="0.3">
      <c r="M6125" s="35">
        <v>40.15</v>
      </c>
      <c r="N6125">
        <v>305</v>
      </c>
      <c r="O6125" s="34">
        <f t="shared" si="96"/>
        <v>0.69725606284869146</v>
      </c>
    </row>
    <row r="6126" spans="13:15" x14ac:dyDescent="0.3">
      <c r="M6126" s="35">
        <v>40.15</v>
      </c>
      <c r="N6126">
        <v>305</v>
      </c>
      <c r="O6126" s="34">
        <f t="shared" si="96"/>
        <v>0.69736991916202407</v>
      </c>
    </row>
    <row r="6127" spans="13:15" x14ac:dyDescent="0.3">
      <c r="M6127" s="35">
        <v>40.159999999999997</v>
      </c>
      <c r="N6127">
        <v>305</v>
      </c>
      <c r="O6127" s="34">
        <f t="shared" si="96"/>
        <v>0.69748377547535667</v>
      </c>
    </row>
    <row r="6128" spans="13:15" x14ac:dyDescent="0.3">
      <c r="M6128" s="35">
        <v>40.159999999999997</v>
      </c>
      <c r="N6128">
        <v>305</v>
      </c>
      <c r="O6128" s="34">
        <f t="shared" si="96"/>
        <v>0.69759763178868928</v>
      </c>
    </row>
    <row r="6129" spans="13:15" x14ac:dyDescent="0.3">
      <c r="M6129" s="35">
        <v>40.159999999999997</v>
      </c>
      <c r="N6129">
        <v>305</v>
      </c>
      <c r="O6129" s="34">
        <f t="shared" si="96"/>
        <v>0.69771148810202188</v>
      </c>
    </row>
    <row r="6130" spans="13:15" x14ac:dyDescent="0.3">
      <c r="M6130" s="35">
        <v>40.17</v>
      </c>
      <c r="N6130">
        <v>305</v>
      </c>
      <c r="O6130" s="34">
        <f t="shared" si="96"/>
        <v>0.69782534441535449</v>
      </c>
    </row>
    <row r="6131" spans="13:15" x14ac:dyDescent="0.3">
      <c r="M6131" s="35">
        <v>40.17</v>
      </c>
      <c r="N6131">
        <v>305</v>
      </c>
      <c r="O6131" s="34">
        <f t="shared" si="96"/>
        <v>0.69793920072868709</v>
      </c>
    </row>
    <row r="6132" spans="13:15" x14ac:dyDescent="0.3">
      <c r="M6132" s="35">
        <v>40.17</v>
      </c>
      <c r="N6132">
        <v>305</v>
      </c>
      <c r="O6132" s="34">
        <f t="shared" si="96"/>
        <v>0.6980530570420197</v>
      </c>
    </row>
    <row r="6133" spans="13:15" x14ac:dyDescent="0.3">
      <c r="M6133" s="35">
        <v>40.18</v>
      </c>
      <c r="N6133">
        <v>305</v>
      </c>
      <c r="O6133" s="34">
        <f t="shared" si="96"/>
        <v>0.6981669133553523</v>
      </c>
    </row>
    <row r="6134" spans="13:15" x14ac:dyDescent="0.3">
      <c r="M6134" s="35">
        <v>40.18</v>
      </c>
      <c r="N6134">
        <v>305</v>
      </c>
      <c r="O6134" s="34">
        <f t="shared" si="96"/>
        <v>0.69828076966868491</v>
      </c>
    </row>
    <row r="6135" spans="13:15" x14ac:dyDescent="0.3">
      <c r="M6135" s="35">
        <v>40.18</v>
      </c>
      <c r="N6135">
        <v>305</v>
      </c>
      <c r="O6135" s="34">
        <f t="shared" si="96"/>
        <v>0.69839462598201751</v>
      </c>
    </row>
    <row r="6136" spans="13:15" x14ac:dyDescent="0.3">
      <c r="M6136" s="35">
        <v>40.19</v>
      </c>
      <c r="N6136">
        <v>305</v>
      </c>
      <c r="O6136" s="34">
        <f t="shared" si="96"/>
        <v>0.69850848229535012</v>
      </c>
    </row>
    <row r="6137" spans="13:15" x14ac:dyDescent="0.3">
      <c r="M6137" s="35">
        <v>40.19</v>
      </c>
      <c r="N6137">
        <v>305</v>
      </c>
      <c r="O6137" s="34">
        <f t="shared" si="96"/>
        <v>0.69862233860868272</v>
      </c>
    </row>
    <row r="6138" spans="13:15" x14ac:dyDescent="0.3">
      <c r="M6138" s="35">
        <v>40.19</v>
      </c>
      <c r="N6138">
        <v>305</v>
      </c>
      <c r="O6138" s="34">
        <f t="shared" si="96"/>
        <v>0.69873619492201533</v>
      </c>
    </row>
    <row r="6139" spans="13:15" x14ac:dyDescent="0.3">
      <c r="M6139" s="35">
        <v>40.200000000000003</v>
      </c>
      <c r="N6139">
        <v>305</v>
      </c>
      <c r="O6139" s="34">
        <f t="shared" si="96"/>
        <v>0.69885005123534794</v>
      </c>
    </row>
    <row r="6140" spans="13:15" x14ac:dyDescent="0.3">
      <c r="M6140" s="35">
        <v>40.21</v>
      </c>
      <c r="N6140">
        <v>305</v>
      </c>
      <c r="O6140" s="34">
        <f t="shared" si="96"/>
        <v>0.69896390754868054</v>
      </c>
    </row>
    <row r="6141" spans="13:15" x14ac:dyDescent="0.3">
      <c r="M6141" s="35">
        <v>40.21</v>
      </c>
      <c r="N6141">
        <v>305</v>
      </c>
      <c r="O6141" s="34">
        <f t="shared" si="96"/>
        <v>0.69907776386201315</v>
      </c>
    </row>
    <row r="6142" spans="13:15" x14ac:dyDescent="0.3">
      <c r="M6142" s="35">
        <v>40.21</v>
      </c>
      <c r="N6142">
        <v>305</v>
      </c>
      <c r="O6142" s="34">
        <f t="shared" si="96"/>
        <v>0.69919162017534575</v>
      </c>
    </row>
    <row r="6143" spans="13:15" x14ac:dyDescent="0.3">
      <c r="M6143" s="35">
        <v>40.22</v>
      </c>
      <c r="N6143">
        <v>305</v>
      </c>
      <c r="O6143" s="34">
        <f t="shared" si="96"/>
        <v>0.69930547648867836</v>
      </c>
    </row>
    <row r="6144" spans="13:15" x14ac:dyDescent="0.3">
      <c r="M6144" s="35">
        <v>40.24</v>
      </c>
      <c r="N6144">
        <v>305</v>
      </c>
      <c r="O6144" s="34">
        <f t="shared" si="96"/>
        <v>0.69941933280201096</v>
      </c>
    </row>
    <row r="6145" spans="13:15" x14ac:dyDescent="0.3">
      <c r="M6145" s="35">
        <v>40.24</v>
      </c>
      <c r="N6145">
        <v>305</v>
      </c>
      <c r="O6145" s="34">
        <f t="shared" si="96"/>
        <v>0.69953318911534357</v>
      </c>
    </row>
    <row r="6146" spans="13:15" x14ac:dyDescent="0.3">
      <c r="M6146" s="35">
        <v>40.25</v>
      </c>
      <c r="N6146">
        <v>305</v>
      </c>
      <c r="O6146" s="34">
        <f t="shared" si="96"/>
        <v>0.69964704542867617</v>
      </c>
    </row>
    <row r="6147" spans="13:15" x14ac:dyDescent="0.3">
      <c r="M6147" s="35">
        <v>40.25</v>
      </c>
      <c r="N6147">
        <v>305</v>
      </c>
      <c r="O6147" s="34">
        <f t="shared" si="96"/>
        <v>0.69976090174200878</v>
      </c>
    </row>
    <row r="6148" spans="13:15" x14ac:dyDescent="0.3">
      <c r="M6148" s="35">
        <v>40.26</v>
      </c>
      <c r="N6148">
        <v>305</v>
      </c>
      <c r="O6148" s="34">
        <f t="shared" ref="O6148:O6211" si="97">O6147+O$2</f>
        <v>0.69987475805534138</v>
      </c>
    </row>
    <row r="6149" spans="13:15" x14ac:dyDescent="0.3">
      <c r="M6149" s="35">
        <v>40.26</v>
      </c>
      <c r="N6149">
        <v>305</v>
      </c>
      <c r="O6149" s="34">
        <f t="shared" si="97"/>
        <v>0.69998861436867399</v>
      </c>
    </row>
    <row r="6150" spans="13:15" x14ac:dyDescent="0.3">
      <c r="M6150" s="35">
        <v>40.270000000000003</v>
      </c>
      <c r="N6150">
        <v>305</v>
      </c>
      <c r="O6150" s="34">
        <f t="shared" si="97"/>
        <v>0.70010247068200659</v>
      </c>
    </row>
    <row r="6151" spans="13:15" x14ac:dyDescent="0.3">
      <c r="M6151" s="35">
        <v>40.270000000000003</v>
      </c>
      <c r="N6151">
        <v>305</v>
      </c>
      <c r="O6151" s="34">
        <f t="shared" si="97"/>
        <v>0.7002163269953392</v>
      </c>
    </row>
    <row r="6152" spans="13:15" x14ac:dyDescent="0.3">
      <c r="M6152" s="35">
        <v>40.28</v>
      </c>
      <c r="N6152">
        <v>305</v>
      </c>
      <c r="O6152" s="34">
        <f t="shared" si="97"/>
        <v>0.70033018330867181</v>
      </c>
    </row>
    <row r="6153" spans="13:15" x14ac:dyDescent="0.3">
      <c r="M6153" s="35">
        <v>40.29</v>
      </c>
      <c r="N6153">
        <v>305</v>
      </c>
      <c r="O6153" s="34">
        <f t="shared" si="97"/>
        <v>0.70044403962200441</v>
      </c>
    </row>
    <row r="6154" spans="13:15" x14ac:dyDescent="0.3">
      <c r="M6154" s="35">
        <v>40.32</v>
      </c>
      <c r="N6154">
        <v>305</v>
      </c>
      <c r="O6154" s="34">
        <f t="shared" si="97"/>
        <v>0.70055789593533702</v>
      </c>
    </row>
    <row r="6155" spans="13:15" x14ac:dyDescent="0.3">
      <c r="M6155" s="35">
        <v>40.33</v>
      </c>
      <c r="N6155">
        <v>305</v>
      </c>
      <c r="O6155" s="34">
        <f t="shared" si="97"/>
        <v>0.70067175224866962</v>
      </c>
    </row>
    <row r="6156" spans="13:15" x14ac:dyDescent="0.3">
      <c r="M6156" s="35">
        <v>40.340000000000003</v>
      </c>
      <c r="N6156">
        <v>305</v>
      </c>
      <c r="O6156" s="34">
        <f t="shared" si="97"/>
        <v>0.70078560856200223</v>
      </c>
    </row>
    <row r="6157" spans="13:15" x14ac:dyDescent="0.3">
      <c r="M6157" s="35">
        <v>40.35</v>
      </c>
      <c r="N6157">
        <v>305</v>
      </c>
      <c r="O6157" s="34">
        <f t="shared" si="97"/>
        <v>0.70089946487533483</v>
      </c>
    </row>
    <row r="6158" spans="13:15" x14ac:dyDescent="0.3">
      <c r="M6158" s="35">
        <v>40.35</v>
      </c>
      <c r="N6158">
        <v>305</v>
      </c>
      <c r="O6158" s="34">
        <f t="shared" si="97"/>
        <v>0.70101332118866744</v>
      </c>
    </row>
    <row r="6159" spans="13:15" x14ac:dyDescent="0.3">
      <c r="M6159" s="35">
        <v>40.35</v>
      </c>
      <c r="N6159">
        <v>305</v>
      </c>
      <c r="O6159" s="34">
        <f t="shared" si="97"/>
        <v>0.70112717750200004</v>
      </c>
    </row>
    <row r="6160" spans="13:15" x14ac:dyDescent="0.3">
      <c r="M6160" s="35">
        <v>40.36</v>
      </c>
      <c r="N6160">
        <v>305</v>
      </c>
      <c r="O6160" s="34">
        <f t="shared" si="97"/>
        <v>0.70124103381533265</v>
      </c>
    </row>
    <row r="6161" spans="13:15" x14ac:dyDescent="0.3">
      <c r="M6161" s="35">
        <v>40.36</v>
      </c>
      <c r="N6161">
        <v>305</v>
      </c>
      <c r="O6161" s="34">
        <f t="shared" si="97"/>
        <v>0.70135489012866525</v>
      </c>
    </row>
    <row r="6162" spans="13:15" x14ac:dyDescent="0.3">
      <c r="M6162" s="35">
        <v>40.36</v>
      </c>
      <c r="N6162">
        <v>305</v>
      </c>
      <c r="O6162" s="34">
        <f t="shared" si="97"/>
        <v>0.70146874644199786</v>
      </c>
    </row>
    <row r="6163" spans="13:15" x14ac:dyDescent="0.3">
      <c r="M6163" s="35">
        <v>40.369999999999997</v>
      </c>
      <c r="N6163">
        <v>305</v>
      </c>
      <c r="O6163" s="34">
        <f t="shared" si="97"/>
        <v>0.70158260275533046</v>
      </c>
    </row>
    <row r="6164" spans="13:15" x14ac:dyDescent="0.3">
      <c r="M6164" s="35">
        <v>40.380000000000003</v>
      </c>
      <c r="N6164">
        <v>305</v>
      </c>
      <c r="O6164" s="34">
        <f t="shared" si="97"/>
        <v>0.70169645906866307</v>
      </c>
    </row>
    <row r="6165" spans="13:15" x14ac:dyDescent="0.3">
      <c r="M6165" s="35">
        <v>40.380000000000003</v>
      </c>
      <c r="N6165">
        <v>305</v>
      </c>
      <c r="O6165" s="34">
        <f t="shared" si="97"/>
        <v>0.70181031538199568</v>
      </c>
    </row>
    <row r="6166" spans="13:15" x14ac:dyDescent="0.3">
      <c r="M6166" s="35">
        <v>40.409999999999997</v>
      </c>
      <c r="N6166">
        <v>305</v>
      </c>
      <c r="O6166" s="34">
        <f t="shared" si="97"/>
        <v>0.70192417169532828</v>
      </c>
    </row>
    <row r="6167" spans="13:15" x14ac:dyDescent="0.3">
      <c r="M6167" s="35">
        <v>40.42</v>
      </c>
      <c r="N6167">
        <v>305</v>
      </c>
      <c r="O6167" s="34">
        <f t="shared" si="97"/>
        <v>0.70203802800866089</v>
      </c>
    </row>
    <row r="6168" spans="13:15" x14ac:dyDescent="0.3">
      <c r="M6168" s="35">
        <v>40.42</v>
      </c>
      <c r="N6168">
        <v>305</v>
      </c>
      <c r="O6168" s="34">
        <f t="shared" si="97"/>
        <v>0.70215188432199349</v>
      </c>
    </row>
    <row r="6169" spans="13:15" x14ac:dyDescent="0.3">
      <c r="M6169" s="35">
        <v>40.43</v>
      </c>
      <c r="N6169">
        <v>305</v>
      </c>
      <c r="O6169" s="34">
        <f t="shared" si="97"/>
        <v>0.7022657406353261</v>
      </c>
    </row>
    <row r="6170" spans="13:15" x14ac:dyDescent="0.3">
      <c r="M6170" s="35">
        <v>40.43</v>
      </c>
      <c r="N6170">
        <v>305</v>
      </c>
      <c r="O6170" s="34">
        <f t="shared" si="97"/>
        <v>0.7023795969486587</v>
      </c>
    </row>
    <row r="6171" spans="13:15" x14ac:dyDescent="0.3">
      <c r="M6171" s="35">
        <v>40.44</v>
      </c>
      <c r="N6171">
        <v>305</v>
      </c>
      <c r="O6171" s="34">
        <f t="shared" si="97"/>
        <v>0.70249345326199131</v>
      </c>
    </row>
    <row r="6172" spans="13:15" x14ac:dyDescent="0.3">
      <c r="M6172" s="35">
        <v>40.450000000000003</v>
      </c>
      <c r="N6172">
        <v>305</v>
      </c>
      <c r="O6172" s="34">
        <f t="shared" si="97"/>
        <v>0.70260730957532391</v>
      </c>
    </row>
    <row r="6173" spans="13:15" x14ac:dyDescent="0.3">
      <c r="M6173" s="35">
        <v>40.450000000000003</v>
      </c>
      <c r="N6173">
        <v>305</v>
      </c>
      <c r="O6173" s="34">
        <f t="shared" si="97"/>
        <v>0.70272116588865652</v>
      </c>
    </row>
    <row r="6174" spans="13:15" x14ac:dyDescent="0.3">
      <c r="M6174" s="35">
        <v>40.47</v>
      </c>
      <c r="N6174">
        <v>305</v>
      </c>
      <c r="O6174" s="34">
        <f t="shared" si="97"/>
        <v>0.70283502220198912</v>
      </c>
    </row>
    <row r="6175" spans="13:15" x14ac:dyDescent="0.3">
      <c r="M6175" s="35">
        <v>40.47</v>
      </c>
      <c r="N6175">
        <v>305</v>
      </c>
      <c r="O6175" s="34">
        <f t="shared" si="97"/>
        <v>0.70294887851532173</v>
      </c>
    </row>
    <row r="6176" spans="13:15" x14ac:dyDescent="0.3">
      <c r="M6176" s="35">
        <v>40.49</v>
      </c>
      <c r="N6176">
        <v>305</v>
      </c>
      <c r="O6176" s="34">
        <f t="shared" si="97"/>
        <v>0.70306273482865433</v>
      </c>
    </row>
    <row r="6177" spans="13:15" x14ac:dyDescent="0.3">
      <c r="M6177" s="35">
        <v>40.49</v>
      </c>
      <c r="N6177">
        <v>305</v>
      </c>
      <c r="O6177" s="34">
        <f t="shared" si="97"/>
        <v>0.70317659114198694</v>
      </c>
    </row>
    <row r="6178" spans="13:15" x14ac:dyDescent="0.3">
      <c r="M6178" s="35">
        <v>40.5</v>
      </c>
      <c r="N6178">
        <v>305</v>
      </c>
      <c r="O6178" s="34">
        <f t="shared" si="97"/>
        <v>0.70329044745531955</v>
      </c>
    </row>
    <row r="6179" spans="13:15" x14ac:dyDescent="0.3">
      <c r="M6179" s="35">
        <v>40.51</v>
      </c>
      <c r="N6179">
        <v>305</v>
      </c>
      <c r="O6179" s="34">
        <f t="shared" si="97"/>
        <v>0.70340430376865215</v>
      </c>
    </row>
    <row r="6180" spans="13:15" x14ac:dyDescent="0.3">
      <c r="M6180" s="35">
        <v>40.53</v>
      </c>
      <c r="N6180">
        <v>305</v>
      </c>
      <c r="O6180" s="34">
        <f t="shared" si="97"/>
        <v>0.70351816008198476</v>
      </c>
    </row>
    <row r="6181" spans="13:15" x14ac:dyDescent="0.3">
      <c r="M6181" s="35">
        <v>40.58</v>
      </c>
      <c r="N6181">
        <v>305</v>
      </c>
      <c r="O6181" s="34">
        <f t="shared" si="97"/>
        <v>0.70363201639531736</v>
      </c>
    </row>
    <row r="6182" spans="13:15" x14ac:dyDescent="0.3">
      <c r="M6182" s="35">
        <v>40.58</v>
      </c>
      <c r="N6182">
        <v>305</v>
      </c>
      <c r="O6182" s="34">
        <f t="shared" si="97"/>
        <v>0.70374587270864997</v>
      </c>
    </row>
    <row r="6183" spans="13:15" x14ac:dyDescent="0.3">
      <c r="M6183" s="35">
        <v>40.6</v>
      </c>
      <c r="N6183">
        <v>305</v>
      </c>
      <c r="O6183" s="34">
        <f t="shared" si="97"/>
        <v>0.70385972902198257</v>
      </c>
    </row>
    <row r="6184" spans="13:15" x14ac:dyDescent="0.3">
      <c r="M6184" s="35">
        <v>40.61</v>
      </c>
      <c r="N6184">
        <v>305</v>
      </c>
      <c r="O6184" s="34">
        <f t="shared" si="97"/>
        <v>0.70397358533531518</v>
      </c>
    </row>
    <row r="6185" spans="13:15" x14ac:dyDescent="0.3">
      <c r="M6185" s="35">
        <v>40.630000000000003</v>
      </c>
      <c r="N6185">
        <v>305</v>
      </c>
      <c r="O6185" s="34">
        <f t="shared" si="97"/>
        <v>0.70408744164864778</v>
      </c>
    </row>
    <row r="6186" spans="13:15" x14ac:dyDescent="0.3">
      <c r="M6186" s="35">
        <v>40.64</v>
      </c>
      <c r="N6186">
        <v>305</v>
      </c>
      <c r="O6186" s="34">
        <f t="shared" si="97"/>
        <v>0.70420129796198039</v>
      </c>
    </row>
    <row r="6187" spans="13:15" x14ac:dyDescent="0.3">
      <c r="M6187" s="35">
        <v>40.65</v>
      </c>
      <c r="N6187">
        <v>305</v>
      </c>
      <c r="O6187" s="34">
        <f t="shared" si="97"/>
        <v>0.70431515427531299</v>
      </c>
    </row>
    <row r="6188" spans="13:15" x14ac:dyDescent="0.3">
      <c r="M6188" s="35">
        <v>40.659999999999997</v>
      </c>
      <c r="N6188">
        <v>305</v>
      </c>
      <c r="O6188" s="34">
        <f t="shared" si="97"/>
        <v>0.7044290105886456</v>
      </c>
    </row>
    <row r="6189" spans="13:15" x14ac:dyDescent="0.3">
      <c r="M6189" s="35">
        <v>40.67</v>
      </c>
      <c r="N6189">
        <v>305</v>
      </c>
      <c r="O6189" s="34">
        <f t="shared" si="97"/>
        <v>0.7045428669019782</v>
      </c>
    </row>
    <row r="6190" spans="13:15" x14ac:dyDescent="0.3">
      <c r="M6190" s="35">
        <v>40.69</v>
      </c>
      <c r="N6190">
        <v>305</v>
      </c>
      <c r="O6190" s="34">
        <f t="shared" si="97"/>
        <v>0.70465672321531081</v>
      </c>
    </row>
    <row r="6191" spans="13:15" x14ac:dyDescent="0.3">
      <c r="M6191" s="35">
        <v>40.69</v>
      </c>
      <c r="N6191">
        <v>305</v>
      </c>
      <c r="O6191" s="34">
        <f t="shared" si="97"/>
        <v>0.70477057952864341</v>
      </c>
    </row>
    <row r="6192" spans="13:15" x14ac:dyDescent="0.3">
      <c r="M6192" s="35">
        <v>40.700000000000003</v>
      </c>
      <c r="N6192">
        <v>305</v>
      </c>
      <c r="O6192" s="34">
        <f t="shared" si="97"/>
        <v>0.70488443584197602</v>
      </c>
    </row>
    <row r="6193" spans="13:15" x14ac:dyDescent="0.3">
      <c r="M6193" s="35">
        <v>40.700000000000003</v>
      </c>
      <c r="N6193">
        <v>305</v>
      </c>
      <c r="O6193" s="34">
        <f t="shared" si="97"/>
        <v>0.70499829215530863</v>
      </c>
    </row>
    <row r="6194" spans="13:15" x14ac:dyDescent="0.3">
      <c r="M6194" s="35">
        <v>40.71</v>
      </c>
      <c r="N6194">
        <v>305</v>
      </c>
      <c r="O6194" s="34">
        <f t="shared" si="97"/>
        <v>0.70511214846864123</v>
      </c>
    </row>
    <row r="6195" spans="13:15" x14ac:dyDescent="0.3">
      <c r="M6195" s="35">
        <v>40.71</v>
      </c>
      <c r="N6195">
        <v>305</v>
      </c>
      <c r="O6195" s="34">
        <f t="shared" si="97"/>
        <v>0.70522600478197384</v>
      </c>
    </row>
    <row r="6196" spans="13:15" x14ac:dyDescent="0.3">
      <c r="M6196" s="35">
        <v>40.71</v>
      </c>
      <c r="N6196">
        <v>305</v>
      </c>
      <c r="O6196" s="34">
        <f t="shared" si="97"/>
        <v>0.70533986109530644</v>
      </c>
    </row>
    <row r="6197" spans="13:15" x14ac:dyDescent="0.3">
      <c r="M6197" s="35">
        <v>40.72</v>
      </c>
      <c r="N6197">
        <v>305</v>
      </c>
      <c r="O6197" s="34">
        <f t="shared" si="97"/>
        <v>0.70545371740863905</v>
      </c>
    </row>
    <row r="6198" spans="13:15" x14ac:dyDescent="0.3">
      <c r="M6198" s="35">
        <v>40.72</v>
      </c>
      <c r="N6198">
        <v>305</v>
      </c>
      <c r="O6198" s="34">
        <f t="shared" si="97"/>
        <v>0.70556757372197165</v>
      </c>
    </row>
    <row r="6199" spans="13:15" x14ac:dyDescent="0.3">
      <c r="M6199" s="35">
        <v>40.72</v>
      </c>
      <c r="N6199">
        <v>305</v>
      </c>
      <c r="O6199" s="34">
        <f t="shared" si="97"/>
        <v>0.70568143003530426</v>
      </c>
    </row>
    <row r="6200" spans="13:15" x14ac:dyDescent="0.3">
      <c r="M6200" s="35">
        <v>40.729999999999997</v>
      </c>
      <c r="N6200">
        <v>305</v>
      </c>
      <c r="O6200" s="34">
        <f t="shared" si="97"/>
        <v>0.70579528634863686</v>
      </c>
    </row>
    <row r="6201" spans="13:15" x14ac:dyDescent="0.3">
      <c r="M6201" s="35">
        <v>40.729999999999997</v>
      </c>
      <c r="N6201">
        <v>305</v>
      </c>
      <c r="O6201" s="34">
        <f t="shared" si="97"/>
        <v>0.70590914266196947</v>
      </c>
    </row>
    <row r="6202" spans="13:15" x14ac:dyDescent="0.3">
      <c r="M6202" s="35">
        <v>40.729999999999997</v>
      </c>
      <c r="N6202">
        <v>305</v>
      </c>
      <c r="O6202" s="34">
        <f t="shared" si="97"/>
        <v>0.70602299897530207</v>
      </c>
    </row>
    <row r="6203" spans="13:15" x14ac:dyDescent="0.3">
      <c r="M6203" s="35">
        <v>40.74</v>
      </c>
      <c r="N6203">
        <v>305</v>
      </c>
      <c r="O6203" s="34">
        <f t="shared" si="97"/>
        <v>0.70613685528863468</v>
      </c>
    </row>
    <row r="6204" spans="13:15" x14ac:dyDescent="0.3">
      <c r="M6204" s="35">
        <v>40.75</v>
      </c>
      <c r="N6204">
        <v>305</v>
      </c>
      <c r="O6204" s="34">
        <f t="shared" si="97"/>
        <v>0.70625071160196728</v>
      </c>
    </row>
    <row r="6205" spans="13:15" x14ac:dyDescent="0.3">
      <c r="M6205" s="35">
        <v>40.76</v>
      </c>
      <c r="N6205">
        <v>305</v>
      </c>
      <c r="O6205" s="34">
        <f t="shared" si="97"/>
        <v>0.70636456791529989</v>
      </c>
    </row>
    <row r="6206" spans="13:15" x14ac:dyDescent="0.3">
      <c r="M6206" s="35">
        <v>40.76</v>
      </c>
      <c r="N6206">
        <v>305</v>
      </c>
      <c r="O6206" s="34">
        <f t="shared" si="97"/>
        <v>0.7064784242286325</v>
      </c>
    </row>
    <row r="6207" spans="13:15" x14ac:dyDescent="0.3">
      <c r="M6207" s="35">
        <v>40.770000000000003</v>
      </c>
      <c r="N6207">
        <v>305</v>
      </c>
      <c r="O6207" s="34">
        <f t="shared" si="97"/>
        <v>0.7065922805419651</v>
      </c>
    </row>
    <row r="6208" spans="13:15" x14ac:dyDescent="0.3">
      <c r="M6208" s="35">
        <v>40.770000000000003</v>
      </c>
      <c r="N6208">
        <v>305</v>
      </c>
      <c r="O6208" s="34">
        <f t="shared" si="97"/>
        <v>0.70670613685529771</v>
      </c>
    </row>
    <row r="6209" spans="13:15" x14ac:dyDescent="0.3">
      <c r="M6209" s="35">
        <v>40.770000000000003</v>
      </c>
      <c r="N6209">
        <v>305</v>
      </c>
      <c r="O6209" s="34">
        <f t="shared" si="97"/>
        <v>0.70681999316863031</v>
      </c>
    </row>
    <row r="6210" spans="13:15" x14ac:dyDescent="0.3">
      <c r="M6210" s="35">
        <v>40.770000000000003</v>
      </c>
      <c r="N6210">
        <v>305</v>
      </c>
      <c r="O6210" s="34">
        <f t="shared" si="97"/>
        <v>0.70693384948196292</v>
      </c>
    </row>
    <row r="6211" spans="13:15" x14ac:dyDescent="0.3">
      <c r="M6211" s="35">
        <v>40.79</v>
      </c>
      <c r="N6211">
        <v>305</v>
      </c>
      <c r="O6211" s="34">
        <f t="shared" si="97"/>
        <v>0.70704770579529552</v>
      </c>
    </row>
    <row r="6212" spans="13:15" x14ac:dyDescent="0.3">
      <c r="M6212" s="35">
        <v>40.799999999999997</v>
      </c>
      <c r="N6212">
        <v>305</v>
      </c>
      <c r="O6212" s="34">
        <f t="shared" ref="O6212:O6275" si="98">O6211+O$2</f>
        <v>0.70716156210862813</v>
      </c>
    </row>
    <row r="6213" spans="13:15" x14ac:dyDescent="0.3">
      <c r="M6213" s="35">
        <v>40.81</v>
      </c>
      <c r="N6213">
        <v>305</v>
      </c>
      <c r="O6213" s="34">
        <f t="shared" si="98"/>
        <v>0.70727541842196073</v>
      </c>
    </row>
    <row r="6214" spans="13:15" x14ac:dyDescent="0.3">
      <c r="M6214" s="35">
        <v>40.83</v>
      </c>
      <c r="N6214">
        <v>305</v>
      </c>
      <c r="O6214" s="34">
        <f t="shared" si="98"/>
        <v>0.70738927473529334</v>
      </c>
    </row>
    <row r="6215" spans="13:15" x14ac:dyDescent="0.3">
      <c r="M6215" s="35">
        <v>40.83</v>
      </c>
      <c r="N6215">
        <v>305</v>
      </c>
      <c r="O6215" s="34">
        <f t="shared" si="98"/>
        <v>0.70750313104862594</v>
      </c>
    </row>
    <row r="6216" spans="13:15" x14ac:dyDescent="0.3">
      <c r="M6216" s="35">
        <v>40.840000000000003</v>
      </c>
      <c r="N6216">
        <v>305</v>
      </c>
      <c r="O6216" s="34">
        <f t="shared" si="98"/>
        <v>0.70761698736195855</v>
      </c>
    </row>
    <row r="6217" spans="13:15" x14ac:dyDescent="0.3">
      <c r="M6217" s="35">
        <v>40.840000000000003</v>
      </c>
      <c r="N6217">
        <v>305</v>
      </c>
      <c r="O6217" s="34">
        <f t="shared" si="98"/>
        <v>0.70773084367529115</v>
      </c>
    </row>
    <row r="6218" spans="13:15" x14ac:dyDescent="0.3">
      <c r="M6218" s="35">
        <v>40.840000000000003</v>
      </c>
      <c r="N6218">
        <v>305</v>
      </c>
      <c r="O6218" s="34">
        <f t="shared" si="98"/>
        <v>0.70784469998862376</v>
      </c>
    </row>
    <row r="6219" spans="13:15" x14ac:dyDescent="0.3">
      <c r="M6219" s="35">
        <v>40.869999999999997</v>
      </c>
      <c r="N6219">
        <v>305</v>
      </c>
      <c r="O6219" s="34">
        <f t="shared" si="98"/>
        <v>0.70795855630195637</v>
      </c>
    </row>
    <row r="6220" spans="13:15" x14ac:dyDescent="0.3">
      <c r="M6220" s="35">
        <v>40.869999999999997</v>
      </c>
      <c r="N6220">
        <v>305</v>
      </c>
      <c r="O6220" s="34">
        <f t="shared" si="98"/>
        <v>0.70807241261528897</v>
      </c>
    </row>
    <row r="6221" spans="13:15" x14ac:dyDescent="0.3">
      <c r="M6221" s="35">
        <v>40.89</v>
      </c>
      <c r="N6221">
        <v>305</v>
      </c>
      <c r="O6221" s="34">
        <f t="shared" si="98"/>
        <v>0.70818626892862158</v>
      </c>
    </row>
    <row r="6222" spans="13:15" x14ac:dyDescent="0.3">
      <c r="M6222" s="35">
        <v>40.89</v>
      </c>
      <c r="N6222">
        <v>305</v>
      </c>
      <c r="O6222" s="34">
        <f t="shared" si="98"/>
        <v>0.70830012524195418</v>
      </c>
    </row>
    <row r="6223" spans="13:15" x14ac:dyDescent="0.3">
      <c r="M6223" s="35">
        <v>40.92</v>
      </c>
      <c r="N6223">
        <v>305</v>
      </c>
      <c r="O6223" s="34">
        <f t="shared" si="98"/>
        <v>0.70841398155528679</v>
      </c>
    </row>
    <row r="6224" spans="13:15" x14ac:dyDescent="0.3">
      <c r="M6224" s="35">
        <v>40.92</v>
      </c>
      <c r="N6224">
        <v>305</v>
      </c>
      <c r="O6224" s="34">
        <f t="shared" si="98"/>
        <v>0.70852783786861939</v>
      </c>
    </row>
    <row r="6225" spans="13:15" x14ac:dyDescent="0.3">
      <c r="M6225" s="35">
        <v>40.93</v>
      </c>
      <c r="N6225">
        <v>305</v>
      </c>
      <c r="O6225" s="34">
        <f t="shared" si="98"/>
        <v>0.708641694181952</v>
      </c>
    </row>
    <row r="6226" spans="13:15" x14ac:dyDescent="0.3">
      <c r="M6226" s="35">
        <v>40.93</v>
      </c>
      <c r="N6226">
        <v>305</v>
      </c>
      <c r="O6226" s="34">
        <f t="shared" si="98"/>
        <v>0.7087555504952846</v>
      </c>
    </row>
    <row r="6227" spans="13:15" x14ac:dyDescent="0.3">
      <c r="M6227" s="35">
        <v>40.94</v>
      </c>
      <c r="N6227">
        <v>305</v>
      </c>
      <c r="O6227" s="34">
        <f t="shared" si="98"/>
        <v>0.70886940680861721</v>
      </c>
    </row>
    <row r="6228" spans="13:15" x14ac:dyDescent="0.3">
      <c r="M6228" s="35">
        <v>40.950000000000003</v>
      </c>
      <c r="N6228">
        <v>305</v>
      </c>
      <c r="O6228" s="34">
        <f t="shared" si="98"/>
        <v>0.70898326312194981</v>
      </c>
    </row>
    <row r="6229" spans="13:15" x14ac:dyDescent="0.3">
      <c r="M6229" s="35">
        <v>40.950000000000003</v>
      </c>
      <c r="N6229">
        <v>305</v>
      </c>
      <c r="O6229" s="34">
        <f t="shared" si="98"/>
        <v>0.70909711943528242</v>
      </c>
    </row>
    <row r="6230" spans="13:15" x14ac:dyDescent="0.3">
      <c r="M6230" s="35">
        <v>40.96</v>
      </c>
      <c r="N6230">
        <v>305</v>
      </c>
      <c r="O6230" s="34">
        <f t="shared" si="98"/>
        <v>0.70921097574861502</v>
      </c>
    </row>
    <row r="6231" spans="13:15" x14ac:dyDescent="0.3">
      <c r="M6231" s="35">
        <v>40.96</v>
      </c>
      <c r="N6231">
        <v>305</v>
      </c>
      <c r="O6231" s="34">
        <f t="shared" si="98"/>
        <v>0.70932483206194763</v>
      </c>
    </row>
    <row r="6232" spans="13:15" x14ac:dyDescent="0.3">
      <c r="M6232" s="35">
        <v>40.97</v>
      </c>
      <c r="N6232">
        <v>305</v>
      </c>
      <c r="O6232" s="34">
        <f t="shared" si="98"/>
        <v>0.70943868837528024</v>
      </c>
    </row>
    <row r="6233" spans="13:15" x14ac:dyDescent="0.3">
      <c r="M6233" s="35">
        <v>40.97</v>
      </c>
      <c r="N6233">
        <v>305</v>
      </c>
      <c r="O6233" s="34">
        <f t="shared" si="98"/>
        <v>0.70955254468861284</v>
      </c>
    </row>
    <row r="6234" spans="13:15" x14ac:dyDescent="0.3">
      <c r="M6234" s="35">
        <v>40.98</v>
      </c>
      <c r="N6234">
        <v>305</v>
      </c>
      <c r="O6234" s="34">
        <f t="shared" si="98"/>
        <v>0.70966640100194545</v>
      </c>
    </row>
    <row r="6235" spans="13:15" x14ac:dyDescent="0.3">
      <c r="M6235" s="35">
        <v>40.98</v>
      </c>
      <c r="N6235">
        <v>305</v>
      </c>
      <c r="O6235" s="34">
        <f t="shared" si="98"/>
        <v>0.70978025731527805</v>
      </c>
    </row>
    <row r="6236" spans="13:15" x14ac:dyDescent="0.3">
      <c r="M6236" s="35">
        <v>40.99</v>
      </c>
      <c r="N6236">
        <v>305</v>
      </c>
      <c r="O6236" s="34">
        <f t="shared" si="98"/>
        <v>0.70989411362861066</v>
      </c>
    </row>
    <row r="6237" spans="13:15" x14ac:dyDescent="0.3">
      <c r="M6237" s="35">
        <v>40.99</v>
      </c>
      <c r="N6237">
        <v>305</v>
      </c>
      <c r="O6237" s="34">
        <f t="shared" si="98"/>
        <v>0.71000796994194326</v>
      </c>
    </row>
    <row r="6238" spans="13:15" x14ac:dyDescent="0.3">
      <c r="M6238" s="35">
        <v>41</v>
      </c>
      <c r="N6238">
        <v>305</v>
      </c>
      <c r="O6238" s="34">
        <f t="shared" si="98"/>
        <v>0.71012182625527587</v>
      </c>
    </row>
    <row r="6239" spans="13:15" x14ac:dyDescent="0.3">
      <c r="M6239" s="35">
        <v>41.01</v>
      </c>
      <c r="N6239">
        <v>305</v>
      </c>
      <c r="O6239" s="34">
        <f t="shared" si="98"/>
        <v>0.71023568256860847</v>
      </c>
    </row>
    <row r="6240" spans="13:15" x14ac:dyDescent="0.3">
      <c r="M6240" s="35">
        <v>41.02</v>
      </c>
      <c r="N6240">
        <v>305</v>
      </c>
      <c r="O6240" s="34">
        <f t="shared" si="98"/>
        <v>0.71034953888194108</v>
      </c>
    </row>
    <row r="6241" spans="13:15" x14ac:dyDescent="0.3">
      <c r="M6241" s="35">
        <v>41.02</v>
      </c>
      <c r="N6241">
        <v>305</v>
      </c>
      <c r="O6241" s="34">
        <f t="shared" si="98"/>
        <v>0.71046339519527368</v>
      </c>
    </row>
    <row r="6242" spans="13:15" x14ac:dyDescent="0.3">
      <c r="M6242" s="35">
        <v>41.02</v>
      </c>
      <c r="N6242">
        <v>305</v>
      </c>
      <c r="O6242" s="34">
        <f t="shared" si="98"/>
        <v>0.71057725150860629</v>
      </c>
    </row>
    <row r="6243" spans="13:15" x14ac:dyDescent="0.3">
      <c r="M6243" s="35">
        <v>41.03</v>
      </c>
      <c r="N6243">
        <v>305</v>
      </c>
      <c r="O6243" s="34">
        <f t="shared" si="98"/>
        <v>0.71069110782193889</v>
      </c>
    </row>
    <row r="6244" spans="13:15" x14ac:dyDescent="0.3">
      <c r="M6244" s="35">
        <v>41.03</v>
      </c>
      <c r="N6244">
        <v>305</v>
      </c>
      <c r="O6244" s="34">
        <f t="shared" si="98"/>
        <v>0.7108049641352715</v>
      </c>
    </row>
    <row r="6245" spans="13:15" x14ac:dyDescent="0.3">
      <c r="M6245" s="35">
        <v>41.03</v>
      </c>
      <c r="N6245">
        <v>305</v>
      </c>
      <c r="O6245" s="34">
        <f t="shared" si="98"/>
        <v>0.71091882044860411</v>
      </c>
    </row>
    <row r="6246" spans="13:15" x14ac:dyDescent="0.3">
      <c r="M6246" s="35">
        <v>41.03</v>
      </c>
      <c r="N6246">
        <v>305</v>
      </c>
      <c r="O6246" s="34">
        <f t="shared" si="98"/>
        <v>0.71103267676193671</v>
      </c>
    </row>
    <row r="6247" spans="13:15" x14ac:dyDescent="0.3">
      <c r="M6247" s="35">
        <v>41.04</v>
      </c>
      <c r="N6247">
        <v>305</v>
      </c>
      <c r="O6247" s="34">
        <f t="shared" si="98"/>
        <v>0.71114653307526932</v>
      </c>
    </row>
    <row r="6248" spans="13:15" x14ac:dyDescent="0.3">
      <c r="M6248" s="35">
        <v>41.07</v>
      </c>
      <c r="N6248">
        <v>305</v>
      </c>
      <c r="O6248" s="34">
        <f t="shared" si="98"/>
        <v>0.71126038938860192</v>
      </c>
    </row>
    <row r="6249" spans="13:15" x14ac:dyDescent="0.3">
      <c r="M6249" s="35">
        <v>41.08</v>
      </c>
      <c r="N6249">
        <v>305</v>
      </c>
      <c r="O6249" s="34">
        <f t="shared" si="98"/>
        <v>0.71137424570193453</v>
      </c>
    </row>
    <row r="6250" spans="13:15" x14ac:dyDescent="0.3">
      <c r="M6250" s="35">
        <v>41.09</v>
      </c>
      <c r="N6250">
        <v>305</v>
      </c>
      <c r="O6250" s="34">
        <f t="shared" si="98"/>
        <v>0.71148810201526713</v>
      </c>
    </row>
    <row r="6251" spans="13:15" x14ac:dyDescent="0.3">
      <c r="M6251" s="35">
        <v>41.11</v>
      </c>
      <c r="N6251">
        <v>305</v>
      </c>
      <c r="O6251" s="34">
        <f t="shared" si="98"/>
        <v>0.71160195832859974</v>
      </c>
    </row>
    <row r="6252" spans="13:15" x14ac:dyDescent="0.3">
      <c r="M6252" s="35">
        <v>41.11</v>
      </c>
      <c r="N6252">
        <v>305</v>
      </c>
      <c r="O6252" s="34">
        <f t="shared" si="98"/>
        <v>0.71171581464193234</v>
      </c>
    </row>
    <row r="6253" spans="13:15" x14ac:dyDescent="0.3">
      <c r="M6253" s="35">
        <v>41.12</v>
      </c>
      <c r="N6253">
        <v>305</v>
      </c>
      <c r="O6253" s="34">
        <f t="shared" si="98"/>
        <v>0.71182967095526495</v>
      </c>
    </row>
    <row r="6254" spans="13:15" x14ac:dyDescent="0.3">
      <c r="M6254" s="35">
        <v>41.12</v>
      </c>
      <c r="N6254">
        <v>305</v>
      </c>
      <c r="O6254" s="34">
        <f t="shared" si="98"/>
        <v>0.71194352726859755</v>
      </c>
    </row>
    <row r="6255" spans="13:15" x14ac:dyDescent="0.3">
      <c r="M6255" s="35">
        <v>41.12</v>
      </c>
      <c r="N6255">
        <v>305</v>
      </c>
      <c r="O6255" s="34">
        <f t="shared" si="98"/>
        <v>0.71205738358193016</v>
      </c>
    </row>
    <row r="6256" spans="13:15" x14ac:dyDescent="0.3">
      <c r="M6256" s="35">
        <v>41.12</v>
      </c>
      <c r="N6256">
        <v>305</v>
      </c>
      <c r="O6256" s="34">
        <f t="shared" si="98"/>
        <v>0.71217123989526276</v>
      </c>
    </row>
    <row r="6257" spans="13:15" x14ac:dyDescent="0.3">
      <c r="M6257" s="35">
        <v>41.13</v>
      </c>
      <c r="N6257">
        <v>305</v>
      </c>
      <c r="O6257" s="34">
        <f t="shared" si="98"/>
        <v>0.71228509620859537</v>
      </c>
    </row>
    <row r="6258" spans="13:15" x14ac:dyDescent="0.3">
      <c r="M6258" s="35">
        <v>41.14</v>
      </c>
      <c r="N6258">
        <v>305</v>
      </c>
      <c r="O6258" s="34">
        <f t="shared" si="98"/>
        <v>0.71239895252192798</v>
      </c>
    </row>
    <row r="6259" spans="13:15" x14ac:dyDescent="0.3">
      <c r="M6259" s="35">
        <v>41.15</v>
      </c>
      <c r="N6259">
        <v>305</v>
      </c>
      <c r="O6259" s="34">
        <f t="shared" si="98"/>
        <v>0.71251280883526058</v>
      </c>
    </row>
    <row r="6260" spans="13:15" x14ac:dyDescent="0.3">
      <c r="M6260" s="35">
        <v>41.15</v>
      </c>
      <c r="N6260">
        <v>305</v>
      </c>
      <c r="O6260" s="34">
        <f t="shared" si="98"/>
        <v>0.71262666514859319</v>
      </c>
    </row>
    <row r="6261" spans="13:15" x14ac:dyDescent="0.3">
      <c r="M6261" s="35">
        <v>41.15</v>
      </c>
      <c r="N6261">
        <v>305</v>
      </c>
      <c r="O6261" s="34">
        <f t="shared" si="98"/>
        <v>0.71274052146192579</v>
      </c>
    </row>
    <row r="6262" spans="13:15" x14ac:dyDescent="0.3">
      <c r="M6262" s="35">
        <v>41.17</v>
      </c>
      <c r="N6262">
        <v>305</v>
      </c>
      <c r="O6262" s="34">
        <f t="shared" si="98"/>
        <v>0.7128543777752584</v>
      </c>
    </row>
    <row r="6263" spans="13:15" x14ac:dyDescent="0.3">
      <c r="M6263" s="35">
        <v>41.17</v>
      </c>
      <c r="N6263">
        <v>305</v>
      </c>
      <c r="O6263" s="34">
        <f t="shared" si="98"/>
        <v>0.712968234088591</v>
      </c>
    </row>
    <row r="6264" spans="13:15" x14ac:dyDescent="0.3">
      <c r="M6264" s="35">
        <v>41.19</v>
      </c>
      <c r="N6264">
        <v>305</v>
      </c>
      <c r="O6264" s="34">
        <f t="shared" si="98"/>
        <v>0.71308209040192361</v>
      </c>
    </row>
    <row r="6265" spans="13:15" x14ac:dyDescent="0.3">
      <c r="M6265" s="35">
        <v>41.2</v>
      </c>
      <c r="N6265">
        <v>305</v>
      </c>
      <c r="O6265" s="34">
        <f t="shared" si="98"/>
        <v>0.71319594671525621</v>
      </c>
    </row>
    <row r="6266" spans="13:15" x14ac:dyDescent="0.3">
      <c r="M6266" s="35">
        <v>41.2</v>
      </c>
      <c r="N6266">
        <v>305</v>
      </c>
      <c r="O6266" s="34">
        <f t="shared" si="98"/>
        <v>0.71330980302858882</v>
      </c>
    </row>
    <row r="6267" spans="13:15" x14ac:dyDescent="0.3">
      <c r="M6267" s="35">
        <v>41.21</v>
      </c>
      <c r="N6267">
        <v>305</v>
      </c>
      <c r="O6267" s="34">
        <f t="shared" si="98"/>
        <v>0.71342365934192142</v>
      </c>
    </row>
    <row r="6268" spans="13:15" x14ac:dyDescent="0.3">
      <c r="M6268" s="35">
        <v>41.21</v>
      </c>
      <c r="N6268">
        <v>305</v>
      </c>
      <c r="O6268" s="34">
        <f t="shared" si="98"/>
        <v>0.71353751565525403</v>
      </c>
    </row>
    <row r="6269" spans="13:15" x14ac:dyDescent="0.3">
      <c r="M6269" s="35">
        <v>41.21</v>
      </c>
      <c r="N6269">
        <v>305</v>
      </c>
      <c r="O6269" s="34">
        <f t="shared" si="98"/>
        <v>0.71365137196858663</v>
      </c>
    </row>
    <row r="6270" spans="13:15" x14ac:dyDescent="0.3">
      <c r="M6270" s="35">
        <v>41.22</v>
      </c>
      <c r="N6270">
        <v>305</v>
      </c>
      <c r="O6270" s="34">
        <f t="shared" si="98"/>
        <v>0.71376522828191924</v>
      </c>
    </row>
    <row r="6271" spans="13:15" x14ac:dyDescent="0.3">
      <c r="M6271" s="35">
        <v>41.22</v>
      </c>
      <c r="N6271">
        <v>305</v>
      </c>
      <c r="O6271" s="34">
        <f t="shared" si="98"/>
        <v>0.71387908459525184</v>
      </c>
    </row>
    <row r="6272" spans="13:15" x14ac:dyDescent="0.3">
      <c r="M6272" s="35">
        <v>41.23</v>
      </c>
      <c r="N6272">
        <v>305</v>
      </c>
      <c r="O6272" s="34">
        <f t="shared" si="98"/>
        <v>0.71399294090858445</v>
      </c>
    </row>
    <row r="6273" spans="13:15" x14ac:dyDescent="0.3">
      <c r="M6273" s="35">
        <v>41.24</v>
      </c>
      <c r="N6273">
        <v>305</v>
      </c>
      <c r="O6273" s="34">
        <f t="shared" si="98"/>
        <v>0.71410679722191706</v>
      </c>
    </row>
    <row r="6274" spans="13:15" x14ac:dyDescent="0.3">
      <c r="M6274" s="35">
        <v>41.24</v>
      </c>
      <c r="N6274">
        <v>305</v>
      </c>
      <c r="O6274" s="34">
        <f t="shared" si="98"/>
        <v>0.71422065353524966</v>
      </c>
    </row>
    <row r="6275" spans="13:15" x14ac:dyDescent="0.3">
      <c r="M6275" s="35">
        <v>41.24</v>
      </c>
      <c r="N6275">
        <v>305</v>
      </c>
      <c r="O6275" s="34">
        <f t="shared" si="98"/>
        <v>0.71433450984858227</v>
      </c>
    </row>
    <row r="6276" spans="13:15" x14ac:dyDescent="0.3">
      <c r="M6276" s="35">
        <v>41.25</v>
      </c>
      <c r="N6276">
        <v>305</v>
      </c>
      <c r="O6276" s="34">
        <f t="shared" ref="O6276:O6339" si="99">O6275+O$2</f>
        <v>0.71444836616191487</v>
      </c>
    </row>
    <row r="6277" spans="13:15" x14ac:dyDescent="0.3">
      <c r="M6277" s="35">
        <v>41.25</v>
      </c>
      <c r="N6277">
        <v>305</v>
      </c>
      <c r="O6277" s="34">
        <f t="shared" si="99"/>
        <v>0.71456222247524748</v>
      </c>
    </row>
    <row r="6278" spans="13:15" x14ac:dyDescent="0.3">
      <c r="M6278" s="35">
        <v>41.26</v>
      </c>
      <c r="N6278">
        <v>305</v>
      </c>
      <c r="O6278" s="34">
        <f t="shared" si="99"/>
        <v>0.71467607878858008</v>
      </c>
    </row>
    <row r="6279" spans="13:15" x14ac:dyDescent="0.3">
      <c r="M6279" s="35">
        <v>41.26</v>
      </c>
      <c r="N6279">
        <v>305</v>
      </c>
      <c r="O6279" s="34">
        <f t="shared" si="99"/>
        <v>0.71478993510191269</v>
      </c>
    </row>
    <row r="6280" spans="13:15" x14ac:dyDescent="0.3">
      <c r="M6280" s="35">
        <v>41.27</v>
      </c>
      <c r="N6280">
        <v>305</v>
      </c>
      <c r="O6280" s="34">
        <f t="shared" si="99"/>
        <v>0.71490379141524529</v>
      </c>
    </row>
    <row r="6281" spans="13:15" x14ac:dyDescent="0.3">
      <c r="M6281" s="35">
        <v>41.27</v>
      </c>
      <c r="N6281">
        <v>305</v>
      </c>
      <c r="O6281" s="34">
        <f t="shared" si="99"/>
        <v>0.7150176477285779</v>
      </c>
    </row>
    <row r="6282" spans="13:15" x14ac:dyDescent="0.3">
      <c r="M6282" s="35">
        <v>41.27</v>
      </c>
      <c r="N6282">
        <v>305</v>
      </c>
      <c r="O6282" s="34">
        <f t="shared" si="99"/>
        <v>0.7151315040419105</v>
      </c>
    </row>
    <row r="6283" spans="13:15" x14ac:dyDescent="0.3">
      <c r="M6283" s="35">
        <v>41.28</v>
      </c>
      <c r="N6283">
        <v>305</v>
      </c>
      <c r="O6283" s="34">
        <f t="shared" si="99"/>
        <v>0.71524536035524311</v>
      </c>
    </row>
    <row r="6284" spans="13:15" x14ac:dyDescent="0.3">
      <c r="M6284" s="35">
        <v>41.28</v>
      </c>
      <c r="N6284">
        <v>305</v>
      </c>
      <c r="O6284" s="34">
        <f t="shared" si="99"/>
        <v>0.71535921666857571</v>
      </c>
    </row>
    <row r="6285" spans="13:15" x14ac:dyDescent="0.3">
      <c r="M6285" s="35">
        <v>41.28</v>
      </c>
      <c r="N6285">
        <v>305</v>
      </c>
      <c r="O6285" s="34">
        <f t="shared" si="99"/>
        <v>0.71547307298190832</v>
      </c>
    </row>
    <row r="6286" spans="13:15" x14ac:dyDescent="0.3">
      <c r="M6286" s="35">
        <v>41.29</v>
      </c>
      <c r="N6286">
        <v>305</v>
      </c>
      <c r="O6286" s="34">
        <f t="shared" si="99"/>
        <v>0.71558692929524093</v>
      </c>
    </row>
    <row r="6287" spans="13:15" x14ac:dyDescent="0.3">
      <c r="M6287" s="35">
        <v>41.29</v>
      </c>
      <c r="N6287">
        <v>305</v>
      </c>
      <c r="O6287" s="34">
        <f t="shared" si="99"/>
        <v>0.71570078560857353</v>
      </c>
    </row>
    <row r="6288" spans="13:15" x14ac:dyDescent="0.3">
      <c r="M6288" s="35">
        <v>41.29</v>
      </c>
      <c r="N6288">
        <v>305</v>
      </c>
      <c r="O6288" s="34">
        <f t="shared" si="99"/>
        <v>0.71581464192190614</v>
      </c>
    </row>
    <row r="6289" spans="13:15" x14ac:dyDescent="0.3">
      <c r="M6289" s="35">
        <v>41.31</v>
      </c>
      <c r="N6289">
        <v>305</v>
      </c>
      <c r="O6289" s="34">
        <f t="shared" si="99"/>
        <v>0.71592849823523874</v>
      </c>
    </row>
    <row r="6290" spans="13:15" x14ac:dyDescent="0.3">
      <c r="M6290" s="35">
        <v>41.31</v>
      </c>
      <c r="N6290">
        <v>305</v>
      </c>
      <c r="O6290" s="34">
        <f t="shared" si="99"/>
        <v>0.71604235454857135</v>
      </c>
    </row>
    <row r="6291" spans="13:15" x14ac:dyDescent="0.3">
      <c r="M6291" s="35">
        <v>41.31</v>
      </c>
      <c r="N6291">
        <v>305</v>
      </c>
      <c r="O6291" s="34">
        <f t="shared" si="99"/>
        <v>0.71615621086190395</v>
      </c>
    </row>
    <row r="6292" spans="13:15" x14ac:dyDescent="0.3">
      <c r="M6292" s="35">
        <v>41.32</v>
      </c>
      <c r="N6292">
        <v>305</v>
      </c>
      <c r="O6292" s="34">
        <f t="shared" si="99"/>
        <v>0.71627006717523656</v>
      </c>
    </row>
    <row r="6293" spans="13:15" x14ac:dyDescent="0.3">
      <c r="M6293" s="35">
        <v>41.32</v>
      </c>
      <c r="N6293">
        <v>305</v>
      </c>
      <c r="O6293" s="34">
        <f t="shared" si="99"/>
        <v>0.71638392348856916</v>
      </c>
    </row>
    <row r="6294" spans="13:15" x14ac:dyDescent="0.3">
      <c r="M6294" s="35">
        <v>41.33</v>
      </c>
      <c r="N6294">
        <v>305</v>
      </c>
      <c r="O6294" s="34">
        <f t="shared" si="99"/>
        <v>0.71649777980190177</v>
      </c>
    </row>
    <row r="6295" spans="13:15" x14ac:dyDescent="0.3">
      <c r="M6295" s="35">
        <v>41.35</v>
      </c>
      <c r="N6295">
        <v>305</v>
      </c>
      <c r="O6295" s="34">
        <f t="shared" si="99"/>
        <v>0.71661163611523437</v>
      </c>
    </row>
    <row r="6296" spans="13:15" x14ac:dyDescent="0.3">
      <c r="M6296" s="35">
        <v>41.35</v>
      </c>
      <c r="N6296">
        <v>305</v>
      </c>
      <c r="O6296" s="34">
        <f t="shared" si="99"/>
        <v>0.71672549242856698</v>
      </c>
    </row>
    <row r="6297" spans="13:15" x14ac:dyDescent="0.3">
      <c r="M6297" s="35">
        <v>41.36</v>
      </c>
      <c r="N6297">
        <v>305</v>
      </c>
      <c r="O6297" s="34">
        <f t="shared" si="99"/>
        <v>0.71683934874189958</v>
      </c>
    </row>
    <row r="6298" spans="13:15" x14ac:dyDescent="0.3">
      <c r="M6298" s="35">
        <v>41.36</v>
      </c>
      <c r="N6298">
        <v>305</v>
      </c>
      <c r="O6298" s="34">
        <f t="shared" si="99"/>
        <v>0.71695320505523219</v>
      </c>
    </row>
    <row r="6299" spans="13:15" x14ac:dyDescent="0.3">
      <c r="M6299" s="35">
        <v>41.37</v>
      </c>
      <c r="N6299">
        <v>305</v>
      </c>
      <c r="O6299" s="34">
        <f t="shared" si="99"/>
        <v>0.7170670613685648</v>
      </c>
    </row>
    <row r="6300" spans="13:15" x14ac:dyDescent="0.3">
      <c r="M6300" s="35">
        <v>41.38</v>
      </c>
      <c r="N6300">
        <v>305</v>
      </c>
      <c r="O6300" s="34">
        <f t="shared" si="99"/>
        <v>0.7171809176818974</v>
      </c>
    </row>
    <row r="6301" spans="13:15" x14ac:dyDescent="0.3">
      <c r="M6301" s="35">
        <v>41.4</v>
      </c>
      <c r="N6301">
        <v>305</v>
      </c>
      <c r="O6301" s="34">
        <f t="shared" si="99"/>
        <v>0.71729477399523001</v>
      </c>
    </row>
    <row r="6302" spans="13:15" x14ac:dyDescent="0.3">
      <c r="M6302" s="35">
        <v>41.41</v>
      </c>
      <c r="N6302">
        <v>305</v>
      </c>
      <c r="O6302" s="34">
        <f t="shared" si="99"/>
        <v>0.71740863030856261</v>
      </c>
    </row>
    <row r="6303" spans="13:15" x14ac:dyDescent="0.3">
      <c r="M6303" s="35">
        <v>41.41</v>
      </c>
      <c r="N6303">
        <v>305</v>
      </c>
      <c r="O6303" s="34">
        <f t="shared" si="99"/>
        <v>0.71752248662189522</v>
      </c>
    </row>
    <row r="6304" spans="13:15" x14ac:dyDescent="0.3">
      <c r="M6304" s="35">
        <v>41.42</v>
      </c>
      <c r="N6304">
        <v>305</v>
      </c>
      <c r="O6304" s="34">
        <f t="shared" si="99"/>
        <v>0.71763634293522782</v>
      </c>
    </row>
    <row r="6305" spans="13:15" x14ac:dyDescent="0.3">
      <c r="M6305" s="35">
        <v>41.44</v>
      </c>
      <c r="N6305">
        <v>305</v>
      </c>
      <c r="O6305" s="34">
        <f t="shared" si="99"/>
        <v>0.71775019924856043</v>
      </c>
    </row>
    <row r="6306" spans="13:15" x14ac:dyDescent="0.3">
      <c r="M6306" s="35">
        <v>41.45</v>
      </c>
      <c r="N6306">
        <v>305</v>
      </c>
      <c r="O6306" s="34">
        <f t="shared" si="99"/>
        <v>0.71786405556189303</v>
      </c>
    </row>
    <row r="6307" spans="13:15" x14ac:dyDescent="0.3">
      <c r="M6307" s="35">
        <v>41.45</v>
      </c>
      <c r="N6307">
        <v>305</v>
      </c>
      <c r="O6307" s="34">
        <f t="shared" si="99"/>
        <v>0.71797791187522564</v>
      </c>
    </row>
    <row r="6308" spans="13:15" x14ac:dyDescent="0.3">
      <c r="M6308" s="35">
        <v>41.45</v>
      </c>
      <c r="N6308">
        <v>305</v>
      </c>
      <c r="O6308" s="34">
        <f t="shared" si="99"/>
        <v>0.71809176818855824</v>
      </c>
    </row>
    <row r="6309" spans="13:15" x14ac:dyDescent="0.3">
      <c r="M6309" s="35">
        <v>41.46</v>
      </c>
      <c r="N6309">
        <v>305</v>
      </c>
      <c r="O6309" s="34">
        <f t="shared" si="99"/>
        <v>0.71820562450189085</v>
      </c>
    </row>
    <row r="6310" spans="13:15" x14ac:dyDescent="0.3">
      <c r="M6310" s="35">
        <v>41.47</v>
      </c>
      <c r="N6310">
        <v>305</v>
      </c>
      <c r="O6310" s="34">
        <f t="shared" si="99"/>
        <v>0.71831948081522345</v>
      </c>
    </row>
    <row r="6311" spans="13:15" x14ac:dyDescent="0.3">
      <c r="M6311" s="35">
        <v>41.48</v>
      </c>
      <c r="N6311">
        <v>305</v>
      </c>
      <c r="O6311" s="34">
        <f t="shared" si="99"/>
        <v>0.71843333712855606</v>
      </c>
    </row>
    <row r="6312" spans="13:15" x14ac:dyDescent="0.3">
      <c r="M6312" s="35">
        <v>41.48</v>
      </c>
      <c r="N6312">
        <v>305</v>
      </c>
      <c r="O6312" s="34">
        <f t="shared" si="99"/>
        <v>0.71854719344188867</v>
      </c>
    </row>
    <row r="6313" spans="13:15" x14ac:dyDescent="0.3">
      <c r="M6313" s="35">
        <v>41.5</v>
      </c>
      <c r="N6313">
        <v>305</v>
      </c>
      <c r="O6313" s="34">
        <f t="shared" si="99"/>
        <v>0.71866104975522127</v>
      </c>
    </row>
    <row r="6314" spans="13:15" x14ac:dyDescent="0.3">
      <c r="M6314" s="35">
        <v>41.5</v>
      </c>
      <c r="N6314">
        <v>305</v>
      </c>
      <c r="O6314" s="34">
        <f t="shared" si="99"/>
        <v>0.71877490606855388</v>
      </c>
    </row>
    <row r="6315" spans="13:15" x14ac:dyDescent="0.3">
      <c r="M6315" s="35">
        <v>41.5</v>
      </c>
      <c r="N6315">
        <v>305</v>
      </c>
      <c r="O6315" s="34">
        <f t="shared" si="99"/>
        <v>0.71888876238188648</v>
      </c>
    </row>
    <row r="6316" spans="13:15" x14ac:dyDescent="0.3">
      <c r="M6316" s="35">
        <v>41.53</v>
      </c>
      <c r="N6316">
        <v>305</v>
      </c>
      <c r="O6316" s="34">
        <f t="shared" si="99"/>
        <v>0.71900261869521909</v>
      </c>
    </row>
    <row r="6317" spans="13:15" x14ac:dyDescent="0.3">
      <c r="M6317" s="35">
        <v>41.54</v>
      </c>
      <c r="N6317">
        <v>305</v>
      </c>
      <c r="O6317" s="34">
        <f t="shared" si="99"/>
        <v>0.71911647500855169</v>
      </c>
    </row>
    <row r="6318" spans="13:15" x14ac:dyDescent="0.3">
      <c r="M6318" s="35">
        <v>41.54</v>
      </c>
      <c r="N6318">
        <v>305</v>
      </c>
      <c r="O6318" s="34">
        <f t="shared" si="99"/>
        <v>0.7192303313218843</v>
      </c>
    </row>
    <row r="6319" spans="13:15" x14ac:dyDescent="0.3">
      <c r="M6319" s="35">
        <v>41.57</v>
      </c>
      <c r="N6319">
        <v>305</v>
      </c>
      <c r="O6319" s="34">
        <f t="shared" si="99"/>
        <v>0.7193441876352169</v>
      </c>
    </row>
    <row r="6320" spans="13:15" x14ac:dyDescent="0.3">
      <c r="M6320" s="35">
        <v>41.57</v>
      </c>
      <c r="N6320">
        <v>305</v>
      </c>
      <c r="O6320" s="34">
        <f t="shared" si="99"/>
        <v>0.71945804394854951</v>
      </c>
    </row>
    <row r="6321" spans="13:15" x14ac:dyDescent="0.3">
      <c r="M6321" s="35">
        <v>41.57</v>
      </c>
      <c r="N6321">
        <v>305</v>
      </c>
      <c r="O6321" s="34">
        <f t="shared" si="99"/>
        <v>0.71957190026188211</v>
      </c>
    </row>
    <row r="6322" spans="13:15" x14ac:dyDescent="0.3">
      <c r="M6322" s="35">
        <v>41.57</v>
      </c>
      <c r="N6322">
        <v>305</v>
      </c>
      <c r="O6322" s="34">
        <f t="shared" si="99"/>
        <v>0.71968575657521472</v>
      </c>
    </row>
    <row r="6323" spans="13:15" x14ac:dyDescent="0.3">
      <c r="M6323" s="35">
        <v>41.58</v>
      </c>
      <c r="N6323">
        <v>305</v>
      </c>
      <c r="O6323" s="34">
        <f t="shared" si="99"/>
        <v>0.71979961288854732</v>
      </c>
    </row>
    <row r="6324" spans="13:15" x14ac:dyDescent="0.3">
      <c r="M6324" s="35">
        <v>41.59</v>
      </c>
      <c r="N6324">
        <v>305</v>
      </c>
      <c r="O6324" s="34">
        <f t="shared" si="99"/>
        <v>0.71991346920187993</v>
      </c>
    </row>
    <row r="6325" spans="13:15" x14ac:dyDescent="0.3">
      <c r="M6325" s="35">
        <v>41.61</v>
      </c>
      <c r="N6325">
        <v>305</v>
      </c>
      <c r="O6325" s="34">
        <f t="shared" si="99"/>
        <v>0.72002732551521254</v>
      </c>
    </row>
    <row r="6326" spans="13:15" x14ac:dyDescent="0.3">
      <c r="M6326" s="35">
        <v>41.62</v>
      </c>
      <c r="N6326">
        <v>305</v>
      </c>
      <c r="O6326" s="34">
        <f t="shared" si="99"/>
        <v>0.72014118182854514</v>
      </c>
    </row>
    <row r="6327" spans="13:15" x14ac:dyDescent="0.3">
      <c r="M6327" s="35">
        <v>41.62</v>
      </c>
      <c r="N6327">
        <v>305</v>
      </c>
      <c r="O6327" s="34">
        <f t="shared" si="99"/>
        <v>0.72025503814187775</v>
      </c>
    </row>
    <row r="6328" spans="13:15" x14ac:dyDescent="0.3">
      <c r="M6328" s="35">
        <v>41.63</v>
      </c>
      <c r="N6328">
        <v>305</v>
      </c>
      <c r="O6328" s="34">
        <f t="shared" si="99"/>
        <v>0.72036889445521035</v>
      </c>
    </row>
    <row r="6329" spans="13:15" x14ac:dyDescent="0.3">
      <c r="M6329" s="35">
        <v>41.63</v>
      </c>
      <c r="N6329">
        <v>305</v>
      </c>
      <c r="O6329" s="34">
        <f t="shared" si="99"/>
        <v>0.72048275076854296</v>
      </c>
    </row>
    <row r="6330" spans="13:15" x14ac:dyDescent="0.3">
      <c r="M6330" s="35">
        <v>41.64</v>
      </c>
      <c r="N6330">
        <v>305</v>
      </c>
      <c r="O6330" s="34">
        <f t="shared" si="99"/>
        <v>0.72059660708187556</v>
      </c>
    </row>
    <row r="6331" spans="13:15" x14ac:dyDescent="0.3">
      <c r="M6331" s="35">
        <v>41.64</v>
      </c>
      <c r="N6331">
        <v>305</v>
      </c>
      <c r="O6331" s="34">
        <f t="shared" si="99"/>
        <v>0.72071046339520817</v>
      </c>
    </row>
    <row r="6332" spans="13:15" x14ac:dyDescent="0.3">
      <c r="M6332" s="35">
        <v>41.65</v>
      </c>
      <c r="N6332">
        <v>305</v>
      </c>
      <c r="O6332" s="34">
        <f t="shared" si="99"/>
        <v>0.72082431970854077</v>
      </c>
    </row>
    <row r="6333" spans="13:15" x14ac:dyDescent="0.3">
      <c r="M6333" s="35">
        <v>41.67</v>
      </c>
      <c r="N6333">
        <v>305</v>
      </c>
      <c r="O6333" s="34">
        <f t="shared" si="99"/>
        <v>0.72093817602187338</v>
      </c>
    </row>
    <row r="6334" spans="13:15" x14ac:dyDescent="0.3">
      <c r="M6334" s="35">
        <v>41.69</v>
      </c>
      <c r="N6334">
        <v>305</v>
      </c>
      <c r="O6334" s="34">
        <f t="shared" si="99"/>
        <v>0.72105203233520598</v>
      </c>
    </row>
    <row r="6335" spans="13:15" x14ac:dyDescent="0.3">
      <c r="M6335" s="35">
        <v>41.7</v>
      </c>
      <c r="N6335">
        <v>305</v>
      </c>
      <c r="O6335" s="34">
        <f t="shared" si="99"/>
        <v>0.72116588864853859</v>
      </c>
    </row>
    <row r="6336" spans="13:15" x14ac:dyDescent="0.3">
      <c r="M6336" s="35">
        <v>41.7</v>
      </c>
      <c r="N6336">
        <v>305</v>
      </c>
      <c r="O6336" s="34">
        <f t="shared" si="99"/>
        <v>0.72127974496187119</v>
      </c>
    </row>
    <row r="6337" spans="13:15" x14ac:dyDescent="0.3">
      <c r="M6337" s="35">
        <v>41.7</v>
      </c>
      <c r="N6337">
        <v>305</v>
      </c>
      <c r="O6337" s="34">
        <f t="shared" si="99"/>
        <v>0.7213936012752038</v>
      </c>
    </row>
    <row r="6338" spans="13:15" x14ac:dyDescent="0.3">
      <c r="M6338" s="35">
        <v>41.7</v>
      </c>
      <c r="N6338">
        <v>305</v>
      </c>
      <c r="O6338" s="34">
        <f t="shared" si="99"/>
        <v>0.7215074575885364</v>
      </c>
    </row>
    <row r="6339" spans="13:15" x14ac:dyDescent="0.3">
      <c r="M6339" s="35">
        <v>41.7</v>
      </c>
      <c r="N6339">
        <v>305</v>
      </c>
      <c r="O6339" s="34">
        <f t="shared" si="99"/>
        <v>0.72162131390186901</v>
      </c>
    </row>
    <row r="6340" spans="13:15" x14ac:dyDescent="0.3">
      <c r="M6340" s="35">
        <v>41.71</v>
      </c>
      <c r="N6340">
        <v>305</v>
      </c>
      <c r="O6340" s="34">
        <f t="shared" ref="O6340:O6403" si="100">O6339+O$2</f>
        <v>0.72173517021520162</v>
      </c>
    </row>
    <row r="6341" spans="13:15" x14ac:dyDescent="0.3">
      <c r="M6341" s="35">
        <v>41.71</v>
      </c>
      <c r="N6341">
        <v>305</v>
      </c>
      <c r="O6341" s="34">
        <f t="shared" si="100"/>
        <v>0.72184902652853422</v>
      </c>
    </row>
    <row r="6342" spans="13:15" x14ac:dyDescent="0.3">
      <c r="M6342" s="35">
        <v>41.73</v>
      </c>
      <c r="N6342">
        <v>305</v>
      </c>
      <c r="O6342" s="34">
        <f t="shared" si="100"/>
        <v>0.72196288284186683</v>
      </c>
    </row>
    <row r="6343" spans="13:15" x14ac:dyDescent="0.3">
      <c r="M6343" s="35">
        <v>41.73</v>
      </c>
      <c r="N6343">
        <v>305</v>
      </c>
      <c r="O6343" s="34">
        <f t="shared" si="100"/>
        <v>0.72207673915519943</v>
      </c>
    </row>
    <row r="6344" spans="13:15" x14ac:dyDescent="0.3">
      <c r="M6344" s="35">
        <v>41.74</v>
      </c>
      <c r="N6344">
        <v>305</v>
      </c>
      <c r="O6344" s="34">
        <f t="shared" si="100"/>
        <v>0.72219059546853204</v>
      </c>
    </row>
    <row r="6345" spans="13:15" x14ac:dyDescent="0.3">
      <c r="M6345" s="35">
        <v>41.74</v>
      </c>
      <c r="N6345">
        <v>305</v>
      </c>
      <c r="O6345" s="34">
        <f t="shared" si="100"/>
        <v>0.72230445178186464</v>
      </c>
    </row>
    <row r="6346" spans="13:15" x14ac:dyDescent="0.3">
      <c r="M6346" s="35">
        <v>41.75</v>
      </c>
      <c r="N6346">
        <v>305</v>
      </c>
      <c r="O6346" s="34">
        <f t="shared" si="100"/>
        <v>0.72241830809519725</v>
      </c>
    </row>
    <row r="6347" spans="13:15" x14ac:dyDescent="0.3">
      <c r="M6347" s="35">
        <v>41.75</v>
      </c>
      <c r="N6347">
        <v>305</v>
      </c>
      <c r="O6347" s="34">
        <f t="shared" si="100"/>
        <v>0.72253216440852985</v>
      </c>
    </row>
    <row r="6348" spans="13:15" x14ac:dyDescent="0.3">
      <c r="M6348" s="35">
        <v>41.76</v>
      </c>
      <c r="N6348">
        <v>305</v>
      </c>
      <c r="O6348" s="34">
        <f t="shared" si="100"/>
        <v>0.72264602072186246</v>
      </c>
    </row>
    <row r="6349" spans="13:15" x14ac:dyDescent="0.3">
      <c r="M6349" s="35">
        <v>41.77</v>
      </c>
      <c r="N6349">
        <v>305</v>
      </c>
      <c r="O6349" s="34">
        <f t="shared" si="100"/>
        <v>0.72275987703519506</v>
      </c>
    </row>
    <row r="6350" spans="13:15" x14ac:dyDescent="0.3">
      <c r="M6350" s="35">
        <v>41.79</v>
      </c>
      <c r="N6350">
        <v>305</v>
      </c>
      <c r="O6350" s="34">
        <f t="shared" si="100"/>
        <v>0.72287373334852767</v>
      </c>
    </row>
    <row r="6351" spans="13:15" x14ac:dyDescent="0.3">
      <c r="M6351" s="35">
        <v>41.8</v>
      </c>
      <c r="N6351">
        <v>305</v>
      </c>
      <c r="O6351" s="34">
        <f t="shared" si="100"/>
        <v>0.72298758966186027</v>
      </c>
    </row>
    <row r="6352" spans="13:15" x14ac:dyDescent="0.3">
      <c r="M6352" s="35">
        <v>41.83</v>
      </c>
      <c r="N6352">
        <v>305</v>
      </c>
      <c r="O6352" s="34">
        <f t="shared" si="100"/>
        <v>0.72310144597519288</v>
      </c>
    </row>
    <row r="6353" spans="13:15" x14ac:dyDescent="0.3">
      <c r="M6353" s="35">
        <v>41.84</v>
      </c>
      <c r="N6353">
        <v>305</v>
      </c>
      <c r="O6353" s="34">
        <f t="shared" si="100"/>
        <v>0.72321530228852549</v>
      </c>
    </row>
    <row r="6354" spans="13:15" x14ac:dyDescent="0.3">
      <c r="M6354" s="35">
        <v>41.84</v>
      </c>
      <c r="N6354">
        <v>305</v>
      </c>
      <c r="O6354" s="34">
        <f t="shared" si="100"/>
        <v>0.72332915860185809</v>
      </c>
    </row>
    <row r="6355" spans="13:15" x14ac:dyDescent="0.3">
      <c r="M6355" s="35">
        <v>41.85</v>
      </c>
      <c r="N6355">
        <v>305</v>
      </c>
      <c r="O6355" s="34">
        <f t="shared" si="100"/>
        <v>0.7234430149151907</v>
      </c>
    </row>
    <row r="6356" spans="13:15" x14ac:dyDescent="0.3">
      <c r="M6356" s="35">
        <v>41.86</v>
      </c>
      <c r="N6356">
        <v>305</v>
      </c>
      <c r="O6356" s="34">
        <f t="shared" si="100"/>
        <v>0.7235568712285233</v>
      </c>
    </row>
    <row r="6357" spans="13:15" x14ac:dyDescent="0.3">
      <c r="M6357" s="35">
        <v>41.87</v>
      </c>
      <c r="N6357">
        <v>305</v>
      </c>
      <c r="O6357" s="34">
        <f t="shared" si="100"/>
        <v>0.72367072754185591</v>
      </c>
    </row>
    <row r="6358" spans="13:15" x14ac:dyDescent="0.3">
      <c r="M6358" s="35">
        <v>41.88</v>
      </c>
      <c r="N6358">
        <v>305</v>
      </c>
      <c r="O6358" s="34">
        <f t="shared" si="100"/>
        <v>0.72378458385518851</v>
      </c>
    </row>
    <row r="6359" spans="13:15" x14ac:dyDescent="0.3">
      <c r="M6359" s="35">
        <v>41.88</v>
      </c>
      <c r="N6359">
        <v>305</v>
      </c>
      <c r="O6359" s="34">
        <f t="shared" si="100"/>
        <v>0.72389844016852112</v>
      </c>
    </row>
    <row r="6360" spans="13:15" x14ac:dyDescent="0.3">
      <c r="M6360" s="35">
        <v>41.88</v>
      </c>
      <c r="N6360">
        <v>305</v>
      </c>
      <c r="O6360" s="34">
        <f t="shared" si="100"/>
        <v>0.72401229648185372</v>
      </c>
    </row>
    <row r="6361" spans="13:15" x14ac:dyDescent="0.3">
      <c r="M6361" s="35">
        <v>41.9</v>
      </c>
      <c r="N6361">
        <v>305</v>
      </c>
      <c r="O6361" s="34">
        <f t="shared" si="100"/>
        <v>0.72412615279518633</v>
      </c>
    </row>
    <row r="6362" spans="13:15" x14ac:dyDescent="0.3">
      <c r="M6362" s="35">
        <v>41.9</v>
      </c>
      <c r="N6362">
        <v>305</v>
      </c>
      <c r="O6362" s="34">
        <f t="shared" si="100"/>
        <v>0.72424000910851893</v>
      </c>
    </row>
    <row r="6363" spans="13:15" x14ac:dyDescent="0.3">
      <c r="M6363" s="35">
        <v>41.91</v>
      </c>
      <c r="N6363">
        <v>305</v>
      </c>
      <c r="O6363" s="34">
        <f t="shared" si="100"/>
        <v>0.72435386542185154</v>
      </c>
    </row>
    <row r="6364" spans="13:15" x14ac:dyDescent="0.3">
      <c r="M6364" s="35">
        <v>41.92</v>
      </c>
      <c r="N6364">
        <v>305</v>
      </c>
      <c r="O6364" s="34">
        <f t="shared" si="100"/>
        <v>0.72446772173518414</v>
      </c>
    </row>
    <row r="6365" spans="13:15" x14ac:dyDescent="0.3">
      <c r="M6365" s="35">
        <v>41.92</v>
      </c>
      <c r="N6365">
        <v>305</v>
      </c>
      <c r="O6365" s="34">
        <f t="shared" si="100"/>
        <v>0.72458157804851675</v>
      </c>
    </row>
    <row r="6366" spans="13:15" x14ac:dyDescent="0.3">
      <c r="M6366" s="35">
        <v>41.92</v>
      </c>
      <c r="N6366">
        <v>305</v>
      </c>
      <c r="O6366" s="34">
        <f t="shared" si="100"/>
        <v>0.72469543436184936</v>
      </c>
    </row>
    <row r="6367" spans="13:15" x14ac:dyDescent="0.3">
      <c r="M6367" s="35">
        <v>41.92</v>
      </c>
      <c r="N6367">
        <v>305</v>
      </c>
      <c r="O6367" s="34">
        <f t="shared" si="100"/>
        <v>0.72480929067518196</v>
      </c>
    </row>
    <row r="6368" spans="13:15" x14ac:dyDescent="0.3">
      <c r="M6368" s="35">
        <v>41.93</v>
      </c>
      <c r="N6368">
        <v>305</v>
      </c>
      <c r="O6368" s="34">
        <f t="shared" si="100"/>
        <v>0.72492314698851457</v>
      </c>
    </row>
    <row r="6369" spans="13:15" x14ac:dyDescent="0.3">
      <c r="M6369" s="35">
        <v>41.93</v>
      </c>
      <c r="N6369">
        <v>305</v>
      </c>
      <c r="O6369" s="34">
        <f t="shared" si="100"/>
        <v>0.72503700330184717</v>
      </c>
    </row>
    <row r="6370" spans="13:15" x14ac:dyDescent="0.3">
      <c r="M6370" s="35">
        <v>41.94</v>
      </c>
      <c r="N6370">
        <v>305</v>
      </c>
      <c r="O6370" s="34">
        <f t="shared" si="100"/>
        <v>0.72515085961517978</v>
      </c>
    </row>
    <row r="6371" spans="13:15" x14ac:dyDescent="0.3">
      <c r="M6371" s="35">
        <v>41.94</v>
      </c>
      <c r="N6371">
        <v>305</v>
      </c>
      <c r="O6371" s="34">
        <f t="shared" si="100"/>
        <v>0.72526471592851238</v>
      </c>
    </row>
    <row r="6372" spans="13:15" x14ac:dyDescent="0.3">
      <c r="M6372" s="35">
        <v>41.96</v>
      </c>
      <c r="N6372">
        <v>305</v>
      </c>
      <c r="O6372" s="34">
        <f t="shared" si="100"/>
        <v>0.72537857224184499</v>
      </c>
    </row>
    <row r="6373" spans="13:15" x14ac:dyDescent="0.3">
      <c r="M6373" s="35">
        <v>41.96</v>
      </c>
      <c r="N6373">
        <v>305</v>
      </c>
      <c r="O6373" s="34">
        <f t="shared" si="100"/>
        <v>0.72549242855517759</v>
      </c>
    </row>
    <row r="6374" spans="13:15" x14ac:dyDescent="0.3">
      <c r="M6374" s="35">
        <v>41.97</v>
      </c>
      <c r="N6374">
        <v>305</v>
      </c>
      <c r="O6374" s="34">
        <f t="shared" si="100"/>
        <v>0.7256062848685102</v>
      </c>
    </row>
    <row r="6375" spans="13:15" x14ac:dyDescent="0.3">
      <c r="M6375" s="35">
        <v>41.98</v>
      </c>
      <c r="N6375">
        <v>305</v>
      </c>
      <c r="O6375" s="34">
        <f t="shared" si="100"/>
        <v>0.7257201411818428</v>
      </c>
    </row>
    <row r="6376" spans="13:15" x14ac:dyDescent="0.3">
      <c r="M6376" s="35">
        <v>41.98</v>
      </c>
      <c r="N6376">
        <v>305</v>
      </c>
      <c r="O6376" s="34">
        <f t="shared" si="100"/>
        <v>0.72583399749517541</v>
      </c>
    </row>
    <row r="6377" spans="13:15" x14ac:dyDescent="0.3">
      <c r="M6377" s="35">
        <v>41.99</v>
      </c>
      <c r="N6377">
        <v>305</v>
      </c>
      <c r="O6377" s="34">
        <f t="shared" si="100"/>
        <v>0.72594785380850801</v>
      </c>
    </row>
    <row r="6378" spans="13:15" x14ac:dyDescent="0.3">
      <c r="M6378" s="35">
        <v>41.99</v>
      </c>
      <c r="N6378">
        <v>305</v>
      </c>
      <c r="O6378" s="34">
        <f t="shared" si="100"/>
        <v>0.72606171012184062</v>
      </c>
    </row>
    <row r="6379" spans="13:15" x14ac:dyDescent="0.3">
      <c r="M6379" s="35">
        <v>42.01</v>
      </c>
      <c r="N6379">
        <v>305</v>
      </c>
      <c r="O6379" s="34">
        <f t="shared" si="100"/>
        <v>0.72617556643517323</v>
      </c>
    </row>
    <row r="6380" spans="13:15" x14ac:dyDescent="0.3">
      <c r="M6380" s="35">
        <v>42.02</v>
      </c>
      <c r="N6380">
        <v>305</v>
      </c>
      <c r="O6380" s="34">
        <f t="shared" si="100"/>
        <v>0.72628942274850583</v>
      </c>
    </row>
    <row r="6381" spans="13:15" x14ac:dyDescent="0.3">
      <c r="M6381" s="35">
        <v>42.02</v>
      </c>
      <c r="N6381">
        <v>305</v>
      </c>
      <c r="O6381" s="34">
        <f t="shared" si="100"/>
        <v>0.72640327906183844</v>
      </c>
    </row>
    <row r="6382" spans="13:15" x14ac:dyDescent="0.3">
      <c r="M6382" s="35">
        <v>42.02</v>
      </c>
      <c r="N6382">
        <v>305</v>
      </c>
      <c r="O6382" s="34">
        <f t="shared" si="100"/>
        <v>0.72651713537517104</v>
      </c>
    </row>
    <row r="6383" spans="13:15" x14ac:dyDescent="0.3">
      <c r="M6383" s="35">
        <v>42.02</v>
      </c>
      <c r="N6383">
        <v>305</v>
      </c>
      <c r="O6383" s="34">
        <f t="shared" si="100"/>
        <v>0.72663099168850365</v>
      </c>
    </row>
    <row r="6384" spans="13:15" x14ac:dyDescent="0.3">
      <c r="M6384" s="35">
        <v>42.03</v>
      </c>
      <c r="N6384">
        <v>305</v>
      </c>
      <c r="O6384" s="34">
        <f t="shared" si="100"/>
        <v>0.72674484800183625</v>
      </c>
    </row>
    <row r="6385" spans="13:15" x14ac:dyDescent="0.3">
      <c r="M6385" s="35">
        <v>42.03</v>
      </c>
      <c r="N6385">
        <v>305</v>
      </c>
      <c r="O6385" s="34">
        <f t="shared" si="100"/>
        <v>0.72685870431516886</v>
      </c>
    </row>
    <row r="6386" spans="13:15" x14ac:dyDescent="0.3">
      <c r="M6386" s="35">
        <v>42.04</v>
      </c>
      <c r="N6386">
        <v>305</v>
      </c>
      <c r="O6386" s="34">
        <f t="shared" si="100"/>
        <v>0.72697256062850146</v>
      </c>
    </row>
    <row r="6387" spans="13:15" x14ac:dyDescent="0.3">
      <c r="M6387" s="35">
        <v>42.04</v>
      </c>
      <c r="N6387">
        <v>305</v>
      </c>
      <c r="O6387" s="34">
        <f t="shared" si="100"/>
        <v>0.72708641694183407</v>
      </c>
    </row>
    <row r="6388" spans="13:15" x14ac:dyDescent="0.3">
      <c r="M6388" s="35">
        <v>42.05</v>
      </c>
      <c r="N6388">
        <v>305</v>
      </c>
      <c r="O6388" s="34">
        <f t="shared" si="100"/>
        <v>0.72720027325516667</v>
      </c>
    </row>
    <row r="6389" spans="13:15" x14ac:dyDescent="0.3">
      <c r="M6389" s="35">
        <v>42.08</v>
      </c>
      <c r="N6389">
        <v>305</v>
      </c>
      <c r="O6389" s="34">
        <f t="shared" si="100"/>
        <v>0.72731412956849928</v>
      </c>
    </row>
    <row r="6390" spans="13:15" x14ac:dyDescent="0.3">
      <c r="M6390" s="35">
        <v>42.09</v>
      </c>
      <c r="N6390">
        <v>305</v>
      </c>
      <c r="O6390" s="34">
        <f t="shared" si="100"/>
        <v>0.72742798588183188</v>
      </c>
    </row>
    <row r="6391" spans="13:15" x14ac:dyDescent="0.3">
      <c r="M6391" s="35">
        <v>42.1</v>
      </c>
      <c r="N6391">
        <v>305</v>
      </c>
      <c r="O6391" s="34">
        <f t="shared" si="100"/>
        <v>0.72754184219516449</v>
      </c>
    </row>
    <row r="6392" spans="13:15" x14ac:dyDescent="0.3">
      <c r="M6392" s="35">
        <v>42.11</v>
      </c>
      <c r="N6392">
        <v>305</v>
      </c>
      <c r="O6392" s="34">
        <f t="shared" si="100"/>
        <v>0.7276556985084971</v>
      </c>
    </row>
    <row r="6393" spans="13:15" x14ac:dyDescent="0.3">
      <c r="M6393" s="35">
        <v>42.13</v>
      </c>
      <c r="N6393">
        <v>305</v>
      </c>
      <c r="O6393" s="34">
        <f t="shared" si="100"/>
        <v>0.7277695548218297</v>
      </c>
    </row>
    <row r="6394" spans="13:15" x14ac:dyDescent="0.3">
      <c r="M6394" s="35">
        <v>42.14</v>
      </c>
      <c r="N6394">
        <v>305</v>
      </c>
      <c r="O6394" s="34">
        <f t="shared" si="100"/>
        <v>0.72788341113516231</v>
      </c>
    </row>
    <row r="6395" spans="13:15" x14ac:dyDescent="0.3">
      <c r="M6395" s="35">
        <v>42.14</v>
      </c>
      <c r="N6395">
        <v>305</v>
      </c>
      <c r="O6395" s="34">
        <f t="shared" si="100"/>
        <v>0.72799726744849491</v>
      </c>
    </row>
    <row r="6396" spans="13:15" x14ac:dyDescent="0.3">
      <c r="M6396" s="35">
        <v>42.15</v>
      </c>
      <c r="N6396">
        <v>305</v>
      </c>
      <c r="O6396" s="34">
        <f t="shared" si="100"/>
        <v>0.72811112376182752</v>
      </c>
    </row>
    <row r="6397" spans="13:15" x14ac:dyDescent="0.3">
      <c r="M6397" s="35">
        <v>42.15</v>
      </c>
      <c r="N6397">
        <v>305</v>
      </c>
      <c r="O6397" s="34">
        <f t="shared" si="100"/>
        <v>0.72822498007516012</v>
      </c>
    </row>
    <row r="6398" spans="13:15" x14ac:dyDescent="0.3">
      <c r="M6398" s="35">
        <v>42.15</v>
      </c>
      <c r="N6398">
        <v>305</v>
      </c>
      <c r="O6398" s="34">
        <f t="shared" si="100"/>
        <v>0.72833883638849273</v>
      </c>
    </row>
    <row r="6399" spans="13:15" x14ac:dyDescent="0.3">
      <c r="M6399" s="35">
        <v>42.17</v>
      </c>
      <c r="N6399">
        <v>305</v>
      </c>
      <c r="O6399" s="34">
        <f t="shared" si="100"/>
        <v>0.72845269270182533</v>
      </c>
    </row>
    <row r="6400" spans="13:15" x14ac:dyDescent="0.3">
      <c r="M6400" s="35">
        <v>42.18</v>
      </c>
      <c r="N6400">
        <v>305</v>
      </c>
      <c r="O6400" s="34">
        <f t="shared" si="100"/>
        <v>0.72856654901515794</v>
      </c>
    </row>
    <row r="6401" spans="13:15" x14ac:dyDescent="0.3">
      <c r="M6401" s="35">
        <v>42.18</v>
      </c>
      <c r="N6401">
        <v>305</v>
      </c>
      <c r="O6401" s="34">
        <f t="shared" si="100"/>
        <v>0.72868040532849054</v>
      </c>
    </row>
    <row r="6402" spans="13:15" x14ac:dyDescent="0.3">
      <c r="M6402" s="35">
        <v>42.19</v>
      </c>
      <c r="N6402">
        <v>305</v>
      </c>
      <c r="O6402" s="34">
        <f t="shared" si="100"/>
        <v>0.72879426164182315</v>
      </c>
    </row>
    <row r="6403" spans="13:15" x14ac:dyDescent="0.3">
      <c r="M6403" s="35">
        <v>42.19</v>
      </c>
      <c r="N6403">
        <v>305</v>
      </c>
      <c r="O6403" s="34">
        <f t="shared" si="100"/>
        <v>0.72890811795515575</v>
      </c>
    </row>
    <row r="6404" spans="13:15" x14ac:dyDescent="0.3">
      <c r="M6404" s="35">
        <v>42.19</v>
      </c>
      <c r="N6404">
        <v>305</v>
      </c>
      <c r="O6404" s="34">
        <f t="shared" ref="O6404:O6467" si="101">O6403+O$2</f>
        <v>0.72902197426848836</v>
      </c>
    </row>
    <row r="6405" spans="13:15" x14ac:dyDescent="0.3">
      <c r="M6405" s="35">
        <v>42.2</v>
      </c>
      <c r="N6405">
        <v>305</v>
      </c>
      <c r="O6405" s="34">
        <f t="shared" si="101"/>
        <v>0.72913583058182097</v>
      </c>
    </row>
    <row r="6406" spans="13:15" x14ac:dyDescent="0.3">
      <c r="M6406" s="35">
        <v>42.2</v>
      </c>
      <c r="N6406">
        <v>305</v>
      </c>
      <c r="O6406" s="34">
        <f t="shared" si="101"/>
        <v>0.72924968689515357</v>
      </c>
    </row>
    <row r="6407" spans="13:15" x14ac:dyDescent="0.3">
      <c r="M6407" s="35">
        <v>42.2</v>
      </c>
      <c r="N6407">
        <v>305</v>
      </c>
      <c r="O6407" s="34">
        <f t="shared" si="101"/>
        <v>0.72936354320848618</v>
      </c>
    </row>
    <row r="6408" spans="13:15" x14ac:dyDescent="0.3">
      <c r="M6408" s="35">
        <v>42.2</v>
      </c>
      <c r="N6408">
        <v>305</v>
      </c>
      <c r="O6408" s="34">
        <f t="shared" si="101"/>
        <v>0.72947739952181878</v>
      </c>
    </row>
    <row r="6409" spans="13:15" x14ac:dyDescent="0.3">
      <c r="M6409" s="35">
        <v>42.22</v>
      </c>
      <c r="N6409">
        <v>305</v>
      </c>
      <c r="O6409" s="34">
        <f t="shared" si="101"/>
        <v>0.72959125583515139</v>
      </c>
    </row>
    <row r="6410" spans="13:15" x14ac:dyDescent="0.3">
      <c r="M6410" s="35">
        <v>42.24</v>
      </c>
      <c r="N6410">
        <v>305</v>
      </c>
      <c r="O6410" s="34">
        <f t="shared" si="101"/>
        <v>0.72970511214848399</v>
      </c>
    </row>
    <row r="6411" spans="13:15" x14ac:dyDescent="0.3">
      <c r="M6411" s="35">
        <v>42.25</v>
      </c>
      <c r="N6411">
        <v>305</v>
      </c>
      <c r="O6411" s="34">
        <f t="shared" si="101"/>
        <v>0.7298189684618166</v>
      </c>
    </row>
    <row r="6412" spans="13:15" x14ac:dyDescent="0.3">
      <c r="M6412" s="35">
        <v>42.25</v>
      </c>
      <c r="N6412">
        <v>305</v>
      </c>
      <c r="O6412" s="34">
        <f t="shared" si="101"/>
        <v>0.7299328247751492</v>
      </c>
    </row>
    <row r="6413" spans="13:15" x14ac:dyDescent="0.3">
      <c r="M6413" s="35">
        <v>42.27</v>
      </c>
      <c r="N6413">
        <v>305</v>
      </c>
      <c r="O6413" s="34">
        <f t="shared" si="101"/>
        <v>0.73004668108848181</v>
      </c>
    </row>
    <row r="6414" spans="13:15" x14ac:dyDescent="0.3">
      <c r="M6414" s="35">
        <v>42.28</v>
      </c>
      <c r="N6414">
        <v>305</v>
      </c>
      <c r="O6414" s="34">
        <f t="shared" si="101"/>
        <v>0.73016053740181441</v>
      </c>
    </row>
    <row r="6415" spans="13:15" x14ac:dyDescent="0.3">
      <c r="M6415" s="35">
        <v>42.28</v>
      </c>
      <c r="N6415">
        <v>305</v>
      </c>
      <c r="O6415" s="34">
        <f t="shared" si="101"/>
        <v>0.73027439371514702</v>
      </c>
    </row>
    <row r="6416" spans="13:15" x14ac:dyDescent="0.3">
      <c r="M6416" s="35">
        <v>42.29</v>
      </c>
      <c r="N6416">
        <v>305</v>
      </c>
      <c r="O6416" s="34">
        <f t="shared" si="101"/>
        <v>0.73038825002847962</v>
      </c>
    </row>
    <row r="6417" spans="13:15" x14ac:dyDescent="0.3">
      <c r="M6417" s="35">
        <v>42.3</v>
      </c>
      <c r="N6417">
        <v>305</v>
      </c>
      <c r="O6417" s="34">
        <f t="shared" si="101"/>
        <v>0.73050210634181223</v>
      </c>
    </row>
    <row r="6418" spans="13:15" x14ac:dyDescent="0.3">
      <c r="M6418" s="35">
        <v>42.3</v>
      </c>
      <c r="N6418">
        <v>305</v>
      </c>
      <c r="O6418" s="34">
        <f t="shared" si="101"/>
        <v>0.73061596265514483</v>
      </c>
    </row>
    <row r="6419" spans="13:15" x14ac:dyDescent="0.3">
      <c r="M6419" s="35">
        <v>42.31</v>
      </c>
      <c r="N6419">
        <v>305</v>
      </c>
      <c r="O6419" s="34">
        <f t="shared" si="101"/>
        <v>0.73072981896847744</v>
      </c>
    </row>
    <row r="6420" spans="13:15" x14ac:dyDescent="0.3">
      <c r="M6420" s="35">
        <v>42.31</v>
      </c>
      <c r="N6420">
        <v>305</v>
      </c>
      <c r="O6420" s="34">
        <f t="shared" si="101"/>
        <v>0.73084367528181005</v>
      </c>
    </row>
    <row r="6421" spans="13:15" x14ac:dyDescent="0.3">
      <c r="M6421" s="35">
        <v>42.31</v>
      </c>
      <c r="N6421">
        <v>305</v>
      </c>
      <c r="O6421" s="34">
        <f t="shared" si="101"/>
        <v>0.73095753159514265</v>
      </c>
    </row>
    <row r="6422" spans="13:15" x14ac:dyDescent="0.3">
      <c r="M6422" s="35">
        <v>42.33</v>
      </c>
      <c r="N6422">
        <v>305</v>
      </c>
      <c r="O6422" s="34">
        <f t="shared" si="101"/>
        <v>0.73107138790847526</v>
      </c>
    </row>
    <row r="6423" spans="13:15" x14ac:dyDescent="0.3">
      <c r="M6423" s="35">
        <v>42.34</v>
      </c>
      <c r="N6423">
        <v>305</v>
      </c>
      <c r="O6423" s="34">
        <f t="shared" si="101"/>
        <v>0.73118524422180786</v>
      </c>
    </row>
    <row r="6424" spans="13:15" x14ac:dyDescent="0.3">
      <c r="M6424" s="35">
        <v>42.36</v>
      </c>
      <c r="N6424">
        <v>305</v>
      </c>
      <c r="O6424" s="34">
        <f t="shared" si="101"/>
        <v>0.73129910053514047</v>
      </c>
    </row>
    <row r="6425" spans="13:15" x14ac:dyDescent="0.3">
      <c r="M6425" s="35">
        <v>42.4</v>
      </c>
      <c r="N6425">
        <v>305</v>
      </c>
      <c r="O6425" s="34">
        <f t="shared" si="101"/>
        <v>0.73141295684847307</v>
      </c>
    </row>
    <row r="6426" spans="13:15" x14ac:dyDescent="0.3">
      <c r="M6426" s="35">
        <v>42.41</v>
      </c>
      <c r="N6426">
        <v>305</v>
      </c>
      <c r="O6426" s="34">
        <f t="shared" si="101"/>
        <v>0.73152681316180568</v>
      </c>
    </row>
    <row r="6427" spans="13:15" x14ac:dyDescent="0.3">
      <c r="M6427" s="35">
        <v>42.41</v>
      </c>
      <c r="N6427">
        <v>305</v>
      </c>
      <c r="O6427" s="34">
        <f t="shared" si="101"/>
        <v>0.73164066947513828</v>
      </c>
    </row>
    <row r="6428" spans="13:15" x14ac:dyDescent="0.3">
      <c r="M6428" s="35">
        <v>42.41</v>
      </c>
      <c r="N6428">
        <v>305</v>
      </c>
      <c r="O6428" s="34">
        <f t="shared" si="101"/>
        <v>0.73175452578847089</v>
      </c>
    </row>
    <row r="6429" spans="13:15" x14ac:dyDescent="0.3">
      <c r="M6429" s="35">
        <v>42.42</v>
      </c>
      <c r="N6429">
        <v>305</v>
      </c>
      <c r="O6429" s="34">
        <f t="shared" si="101"/>
        <v>0.73186838210180349</v>
      </c>
    </row>
    <row r="6430" spans="13:15" x14ac:dyDescent="0.3">
      <c r="M6430" s="35">
        <v>42.42</v>
      </c>
      <c r="N6430">
        <v>305</v>
      </c>
      <c r="O6430" s="34">
        <f t="shared" si="101"/>
        <v>0.7319822384151361</v>
      </c>
    </row>
    <row r="6431" spans="13:15" x14ac:dyDescent="0.3">
      <c r="M6431" s="35">
        <v>42.43</v>
      </c>
      <c r="N6431">
        <v>305</v>
      </c>
      <c r="O6431" s="34">
        <f t="shared" si="101"/>
        <v>0.7320960947284687</v>
      </c>
    </row>
    <row r="6432" spans="13:15" x14ac:dyDescent="0.3">
      <c r="M6432" s="35">
        <v>42.43</v>
      </c>
      <c r="N6432">
        <v>305</v>
      </c>
      <c r="O6432" s="34">
        <f t="shared" si="101"/>
        <v>0.73220995104180131</v>
      </c>
    </row>
    <row r="6433" spans="13:15" x14ac:dyDescent="0.3">
      <c r="M6433" s="35">
        <v>42.44</v>
      </c>
      <c r="N6433">
        <v>305</v>
      </c>
      <c r="O6433" s="34">
        <f t="shared" si="101"/>
        <v>0.73232380735513392</v>
      </c>
    </row>
    <row r="6434" spans="13:15" x14ac:dyDescent="0.3">
      <c r="M6434" s="35">
        <v>42.45</v>
      </c>
      <c r="N6434">
        <v>305</v>
      </c>
      <c r="O6434" s="34">
        <f t="shared" si="101"/>
        <v>0.73243766366846652</v>
      </c>
    </row>
    <row r="6435" spans="13:15" x14ac:dyDescent="0.3">
      <c r="M6435" s="35">
        <v>42.47</v>
      </c>
      <c r="N6435">
        <v>305</v>
      </c>
      <c r="O6435" s="34">
        <f t="shared" si="101"/>
        <v>0.73255151998179913</v>
      </c>
    </row>
    <row r="6436" spans="13:15" x14ac:dyDescent="0.3">
      <c r="M6436" s="35">
        <v>42.47</v>
      </c>
      <c r="N6436">
        <v>305</v>
      </c>
      <c r="O6436" s="34">
        <f t="shared" si="101"/>
        <v>0.73266537629513173</v>
      </c>
    </row>
    <row r="6437" spans="13:15" x14ac:dyDescent="0.3">
      <c r="M6437" s="35">
        <v>42.49</v>
      </c>
      <c r="N6437">
        <v>305</v>
      </c>
      <c r="O6437" s="34">
        <f t="shared" si="101"/>
        <v>0.73277923260846434</v>
      </c>
    </row>
    <row r="6438" spans="13:15" x14ac:dyDescent="0.3">
      <c r="M6438" s="35">
        <v>42.49</v>
      </c>
      <c r="N6438">
        <v>305</v>
      </c>
      <c r="O6438" s="34">
        <f t="shared" si="101"/>
        <v>0.73289308892179694</v>
      </c>
    </row>
    <row r="6439" spans="13:15" x14ac:dyDescent="0.3">
      <c r="M6439" s="35">
        <v>42.49</v>
      </c>
      <c r="N6439">
        <v>305</v>
      </c>
      <c r="O6439" s="34">
        <f t="shared" si="101"/>
        <v>0.73300694523512955</v>
      </c>
    </row>
    <row r="6440" spans="13:15" x14ac:dyDescent="0.3">
      <c r="M6440" s="35">
        <v>42.49</v>
      </c>
      <c r="N6440">
        <v>305</v>
      </c>
      <c r="O6440" s="34">
        <f t="shared" si="101"/>
        <v>0.73312080154846215</v>
      </c>
    </row>
    <row r="6441" spans="13:15" x14ac:dyDescent="0.3">
      <c r="M6441" s="35">
        <v>42.49</v>
      </c>
      <c r="N6441">
        <v>305</v>
      </c>
      <c r="O6441" s="34">
        <f t="shared" si="101"/>
        <v>0.73323465786179476</v>
      </c>
    </row>
    <row r="6442" spans="13:15" x14ac:dyDescent="0.3">
      <c r="M6442" s="35">
        <v>42.5</v>
      </c>
      <c r="N6442">
        <v>305</v>
      </c>
      <c r="O6442" s="34">
        <f t="shared" si="101"/>
        <v>0.73334851417512736</v>
      </c>
    </row>
    <row r="6443" spans="13:15" x14ac:dyDescent="0.3">
      <c r="M6443" s="35">
        <v>42.51</v>
      </c>
      <c r="N6443">
        <v>305</v>
      </c>
      <c r="O6443" s="34">
        <f t="shared" si="101"/>
        <v>0.73346237048845997</v>
      </c>
    </row>
    <row r="6444" spans="13:15" x14ac:dyDescent="0.3">
      <c r="M6444" s="35">
        <v>42.51</v>
      </c>
      <c r="N6444">
        <v>305</v>
      </c>
      <c r="O6444" s="34">
        <f t="shared" si="101"/>
        <v>0.73357622680179257</v>
      </c>
    </row>
    <row r="6445" spans="13:15" x14ac:dyDescent="0.3">
      <c r="M6445" s="35">
        <v>42.52</v>
      </c>
      <c r="N6445">
        <v>305</v>
      </c>
      <c r="O6445" s="34">
        <f t="shared" si="101"/>
        <v>0.73369008311512518</v>
      </c>
    </row>
    <row r="6446" spans="13:15" x14ac:dyDescent="0.3">
      <c r="M6446" s="35">
        <v>42.52</v>
      </c>
      <c r="N6446">
        <v>305</v>
      </c>
      <c r="O6446" s="34">
        <f t="shared" si="101"/>
        <v>0.73380393942845779</v>
      </c>
    </row>
    <row r="6447" spans="13:15" x14ac:dyDescent="0.3">
      <c r="M6447" s="35">
        <v>42.53</v>
      </c>
      <c r="N6447">
        <v>305</v>
      </c>
      <c r="O6447" s="34">
        <f t="shared" si="101"/>
        <v>0.73391779574179039</v>
      </c>
    </row>
    <row r="6448" spans="13:15" x14ac:dyDescent="0.3">
      <c r="M6448" s="35">
        <v>42.53</v>
      </c>
      <c r="N6448">
        <v>305</v>
      </c>
      <c r="O6448" s="34">
        <f t="shared" si="101"/>
        <v>0.734031652055123</v>
      </c>
    </row>
    <row r="6449" spans="13:15" x14ac:dyDescent="0.3">
      <c r="M6449" s="35">
        <v>42.54</v>
      </c>
      <c r="N6449">
        <v>305</v>
      </c>
      <c r="O6449" s="34">
        <f t="shared" si="101"/>
        <v>0.7341455083684556</v>
      </c>
    </row>
    <row r="6450" spans="13:15" x14ac:dyDescent="0.3">
      <c r="M6450" s="35">
        <v>42.54</v>
      </c>
      <c r="N6450">
        <v>305</v>
      </c>
      <c r="O6450" s="34">
        <f t="shared" si="101"/>
        <v>0.73425936468178821</v>
      </c>
    </row>
    <row r="6451" spans="13:15" x14ac:dyDescent="0.3">
      <c r="M6451" s="35">
        <v>42.56</v>
      </c>
      <c r="N6451">
        <v>305</v>
      </c>
      <c r="O6451" s="34">
        <f t="shared" si="101"/>
        <v>0.73437322099512081</v>
      </c>
    </row>
    <row r="6452" spans="13:15" x14ac:dyDescent="0.3">
      <c r="M6452" s="35">
        <v>42.56</v>
      </c>
      <c r="N6452">
        <v>305</v>
      </c>
      <c r="O6452" s="34">
        <f t="shared" si="101"/>
        <v>0.73448707730845342</v>
      </c>
    </row>
    <row r="6453" spans="13:15" x14ac:dyDescent="0.3">
      <c r="M6453" s="35">
        <v>42.57</v>
      </c>
      <c r="N6453">
        <v>305</v>
      </c>
      <c r="O6453" s="34">
        <f t="shared" si="101"/>
        <v>0.73460093362178602</v>
      </c>
    </row>
    <row r="6454" spans="13:15" x14ac:dyDescent="0.3">
      <c r="M6454" s="35">
        <v>42.59</v>
      </c>
      <c r="N6454">
        <v>305</v>
      </c>
      <c r="O6454" s="34">
        <f t="shared" si="101"/>
        <v>0.73471478993511863</v>
      </c>
    </row>
    <row r="6455" spans="13:15" x14ac:dyDescent="0.3">
      <c r="M6455" s="35">
        <v>42.62</v>
      </c>
      <c r="N6455">
        <v>305</v>
      </c>
      <c r="O6455" s="34">
        <f t="shared" si="101"/>
        <v>0.73482864624845123</v>
      </c>
    </row>
    <row r="6456" spans="13:15" x14ac:dyDescent="0.3">
      <c r="M6456" s="35">
        <v>42.63</v>
      </c>
      <c r="N6456">
        <v>305</v>
      </c>
      <c r="O6456" s="34">
        <f t="shared" si="101"/>
        <v>0.73494250256178384</v>
      </c>
    </row>
    <row r="6457" spans="13:15" x14ac:dyDescent="0.3">
      <c r="M6457" s="35">
        <v>42.63</v>
      </c>
      <c r="N6457">
        <v>305</v>
      </c>
      <c r="O6457" s="34">
        <f t="shared" si="101"/>
        <v>0.73505635887511644</v>
      </c>
    </row>
    <row r="6458" spans="13:15" x14ac:dyDescent="0.3">
      <c r="M6458" s="35">
        <v>42.63</v>
      </c>
      <c r="N6458">
        <v>305</v>
      </c>
      <c r="O6458" s="34">
        <f t="shared" si="101"/>
        <v>0.73517021518844905</v>
      </c>
    </row>
    <row r="6459" spans="13:15" x14ac:dyDescent="0.3">
      <c r="M6459" s="35">
        <v>42.65</v>
      </c>
      <c r="N6459">
        <v>305</v>
      </c>
      <c r="O6459" s="34">
        <f t="shared" si="101"/>
        <v>0.73528407150178166</v>
      </c>
    </row>
    <row r="6460" spans="13:15" x14ac:dyDescent="0.3">
      <c r="M6460" s="35">
        <v>42.65</v>
      </c>
      <c r="N6460">
        <v>305</v>
      </c>
      <c r="O6460" s="34">
        <f t="shared" si="101"/>
        <v>0.73539792781511426</v>
      </c>
    </row>
    <row r="6461" spans="13:15" x14ac:dyDescent="0.3">
      <c r="M6461" s="35">
        <v>42.67</v>
      </c>
      <c r="N6461">
        <v>305</v>
      </c>
      <c r="O6461" s="34">
        <f t="shared" si="101"/>
        <v>0.73551178412844687</v>
      </c>
    </row>
    <row r="6462" spans="13:15" x14ac:dyDescent="0.3">
      <c r="M6462" s="35">
        <v>42.68</v>
      </c>
      <c r="N6462">
        <v>305</v>
      </c>
      <c r="O6462" s="34">
        <f t="shared" si="101"/>
        <v>0.73562564044177947</v>
      </c>
    </row>
    <row r="6463" spans="13:15" x14ac:dyDescent="0.3">
      <c r="M6463" s="35">
        <v>42.7</v>
      </c>
      <c r="N6463">
        <v>305</v>
      </c>
      <c r="O6463" s="34">
        <f t="shared" si="101"/>
        <v>0.73573949675511208</v>
      </c>
    </row>
    <row r="6464" spans="13:15" x14ac:dyDescent="0.3">
      <c r="M6464" s="35">
        <v>42.71</v>
      </c>
      <c r="N6464">
        <v>305</v>
      </c>
      <c r="O6464" s="34">
        <f t="shared" si="101"/>
        <v>0.73585335306844468</v>
      </c>
    </row>
    <row r="6465" spans="13:15" x14ac:dyDescent="0.3">
      <c r="M6465" s="35">
        <v>42.73</v>
      </c>
      <c r="N6465">
        <v>305</v>
      </c>
      <c r="O6465" s="34">
        <f t="shared" si="101"/>
        <v>0.73596720938177729</v>
      </c>
    </row>
    <row r="6466" spans="13:15" x14ac:dyDescent="0.3">
      <c r="M6466" s="35">
        <v>42.73</v>
      </c>
      <c r="N6466">
        <v>305</v>
      </c>
      <c r="O6466" s="34">
        <f t="shared" si="101"/>
        <v>0.73608106569510989</v>
      </c>
    </row>
    <row r="6467" spans="13:15" x14ac:dyDescent="0.3">
      <c r="M6467" s="35">
        <v>42.74</v>
      </c>
      <c r="N6467">
        <v>305</v>
      </c>
      <c r="O6467" s="34">
        <f t="shared" si="101"/>
        <v>0.7361949220084425</v>
      </c>
    </row>
    <row r="6468" spans="13:15" x14ac:dyDescent="0.3">
      <c r="M6468" s="35">
        <v>42.74</v>
      </c>
      <c r="N6468">
        <v>305</v>
      </c>
      <c r="O6468" s="34">
        <f t="shared" ref="O6468:O6531" si="102">O6467+O$2</f>
        <v>0.7363087783217751</v>
      </c>
    </row>
    <row r="6469" spans="13:15" x14ac:dyDescent="0.3">
      <c r="M6469" s="35">
        <v>42.77</v>
      </c>
      <c r="N6469">
        <v>305</v>
      </c>
      <c r="O6469" s="34">
        <f t="shared" si="102"/>
        <v>0.73642263463510771</v>
      </c>
    </row>
    <row r="6470" spans="13:15" x14ac:dyDescent="0.3">
      <c r="M6470" s="35">
        <v>42.81</v>
      </c>
      <c r="N6470">
        <v>305</v>
      </c>
      <c r="O6470" s="34">
        <f t="shared" si="102"/>
        <v>0.73653649094844031</v>
      </c>
    </row>
    <row r="6471" spans="13:15" x14ac:dyDescent="0.3">
      <c r="M6471" s="35">
        <v>42.81</v>
      </c>
      <c r="N6471">
        <v>305</v>
      </c>
      <c r="O6471" s="34">
        <f t="shared" si="102"/>
        <v>0.73665034726177292</v>
      </c>
    </row>
    <row r="6472" spans="13:15" x14ac:dyDescent="0.3">
      <c r="M6472" s="35">
        <v>42.83</v>
      </c>
      <c r="N6472">
        <v>305</v>
      </c>
      <c r="O6472" s="34">
        <f t="shared" si="102"/>
        <v>0.73676420357510553</v>
      </c>
    </row>
    <row r="6473" spans="13:15" x14ac:dyDescent="0.3">
      <c r="M6473" s="35">
        <v>42.85</v>
      </c>
      <c r="N6473">
        <v>305</v>
      </c>
      <c r="O6473" s="34">
        <f t="shared" si="102"/>
        <v>0.73687805988843813</v>
      </c>
    </row>
    <row r="6474" spans="13:15" x14ac:dyDescent="0.3">
      <c r="M6474" s="35">
        <v>42.85</v>
      </c>
      <c r="N6474">
        <v>305</v>
      </c>
      <c r="O6474" s="34">
        <f t="shared" si="102"/>
        <v>0.73699191620177074</v>
      </c>
    </row>
    <row r="6475" spans="13:15" x14ac:dyDescent="0.3">
      <c r="M6475" s="35">
        <v>42.86</v>
      </c>
      <c r="N6475">
        <v>305</v>
      </c>
      <c r="O6475" s="34">
        <f t="shared" si="102"/>
        <v>0.73710577251510334</v>
      </c>
    </row>
    <row r="6476" spans="13:15" x14ac:dyDescent="0.3">
      <c r="M6476" s="35">
        <v>42.87</v>
      </c>
      <c r="N6476">
        <v>305</v>
      </c>
      <c r="O6476" s="34">
        <f t="shared" si="102"/>
        <v>0.73721962882843595</v>
      </c>
    </row>
    <row r="6477" spans="13:15" x14ac:dyDescent="0.3">
      <c r="M6477" s="35">
        <v>42.88</v>
      </c>
      <c r="N6477">
        <v>305</v>
      </c>
      <c r="O6477" s="34">
        <f t="shared" si="102"/>
        <v>0.73733348514176855</v>
      </c>
    </row>
    <row r="6478" spans="13:15" x14ac:dyDescent="0.3">
      <c r="M6478" s="35">
        <v>42.89</v>
      </c>
      <c r="N6478">
        <v>305</v>
      </c>
      <c r="O6478" s="34">
        <f t="shared" si="102"/>
        <v>0.73744734145510116</v>
      </c>
    </row>
    <row r="6479" spans="13:15" x14ac:dyDescent="0.3">
      <c r="M6479" s="35">
        <v>42.89</v>
      </c>
      <c r="N6479">
        <v>305</v>
      </c>
      <c r="O6479" s="34">
        <f t="shared" si="102"/>
        <v>0.73756119776843376</v>
      </c>
    </row>
    <row r="6480" spans="13:15" x14ac:dyDescent="0.3">
      <c r="M6480" s="35">
        <v>42.91</v>
      </c>
      <c r="N6480">
        <v>305</v>
      </c>
      <c r="O6480" s="34">
        <f t="shared" si="102"/>
        <v>0.73767505408176637</v>
      </c>
    </row>
    <row r="6481" spans="13:15" x14ac:dyDescent="0.3">
      <c r="M6481" s="35">
        <v>42.91</v>
      </c>
      <c r="N6481">
        <v>305</v>
      </c>
      <c r="O6481" s="34">
        <f t="shared" si="102"/>
        <v>0.73778891039509897</v>
      </c>
    </row>
    <row r="6482" spans="13:15" x14ac:dyDescent="0.3">
      <c r="M6482" s="35">
        <v>42.92</v>
      </c>
      <c r="N6482">
        <v>305</v>
      </c>
      <c r="O6482" s="34">
        <f t="shared" si="102"/>
        <v>0.73790276670843158</v>
      </c>
    </row>
    <row r="6483" spans="13:15" x14ac:dyDescent="0.3">
      <c r="M6483" s="35">
        <v>42.94</v>
      </c>
      <c r="N6483">
        <v>305</v>
      </c>
      <c r="O6483" s="34">
        <f t="shared" si="102"/>
        <v>0.73801662302176418</v>
      </c>
    </row>
    <row r="6484" spans="13:15" x14ac:dyDescent="0.3">
      <c r="M6484" s="35">
        <v>42.95</v>
      </c>
      <c r="N6484">
        <v>305</v>
      </c>
      <c r="O6484" s="34">
        <f t="shared" si="102"/>
        <v>0.73813047933509679</v>
      </c>
    </row>
    <row r="6485" spans="13:15" x14ac:dyDescent="0.3">
      <c r="M6485" s="35">
        <v>42.97</v>
      </c>
      <c r="N6485">
        <v>305</v>
      </c>
      <c r="O6485" s="34">
        <f t="shared" si="102"/>
        <v>0.7382443356484294</v>
      </c>
    </row>
    <row r="6486" spans="13:15" x14ac:dyDescent="0.3">
      <c r="M6486" s="35">
        <v>42.98</v>
      </c>
      <c r="N6486">
        <v>305</v>
      </c>
      <c r="O6486" s="34">
        <f t="shared" si="102"/>
        <v>0.738358191961762</v>
      </c>
    </row>
    <row r="6487" spans="13:15" x14ac:dyDescent="0.3">
      <c r="M6487" s="35">
        <v>42.98</v>
      </c>
      <c r="N6487">
        <v>305</v>
      </c>
      <c r="O6487" s="34">
        <f t="shared" si="102"/>
        <v>0.73847204827509461</v>
      </c>
    </row>
    <row r="6488" spans="13:15" x14ac:dyDescent="0.3">
      <c r="M6488" s="35">
        <v>42.98</v>
      </c>
      <c r="N6488">
        <v>305</v>
      </c>
      <c r="O6488" s="34">
        <f t="shared" si="102"/>
        <v>0.73858590458842721</v>
      </c>
    </row>
    <row r="6489" spans="13:15" x14ac:dyDescent="0.3">
      <c r="M6489" s="35">
        <v>42.98</v>
      </c>
      <c r="N6489">
        <v>305</v>
      </c>
      <c r="O6489" s="34">
        <f t="shared" si="102"/>
        <v>0.73869976090175982</v>
      </c>
    </row>
    <row r="6490" spans="13:15" x14ac:dyDescent="0.3">
      <c r="M6490" s="35">
        <v>42.99</v>
      </c>
      <c r="N6490">
        <v>305</v>
      </c>
      <c r="O6490" s="34">
        <f t="shared" si="102"/>
        <v>0.73881361721509242</v>
      </c>
    </row>
    <row r="6491" spans="13:15" x14ac:dyDescent="0.3">
      <c r="M6491" s="35">
        <v>43</v>
      </c>
      <c r="N6491">
        <v>305</v>
      </c>
      <c r="O6491" s="34">
        <f t="shared" si="102"/>
        <v>0.73892747352842503</v>
      </c>
    </row>
    <row r="6492" spans="13:15" x14ac:dyDescent="0.3">
      <c r="M6492" s="35">
        <v>43.02</v>
      </c>
      <c r="N6492">
        <v>305</v>
      </c>
      <c r="O6492" s="34">
        <f t="shared" si="102"/>
        <v>0.73904132984175763</v>
      </c>
    </row>
    <row r="6493" spans="13:15" x14ac:dyDescent="0.3">
      <c r="M6493" s="35">
        <v>43.04</v>
      </c>
      <c r="N6493">
        <v>305</v>
      </c>
      <c r="O6493" s="34">
        <f t="shared" si="102"/>
        <v>0.73915518615509024</v>
      </c>
    </row>
    <row r="6494" spans="13:15" x14ac:dyDescent="0.3">
      <c r="M6494" s="35">
        <v>43.04</v>
      </c>
      <c r="N6494">
        <v>305</v>
      </c>
      <c r="O6494" s="34">
        <f t="shared" si="102"/>
        <v>0.73926904246842284</v>
      </c>
    </row>
    <row r="6495" spans="13:15" x14ac:dyDescent="0.3">
      <c r="M6495" s="35">
        <v>43.08</v>
      </c>
      <c r="N6495">
        <v>305</v>
      </c>
      <c r="O6495" s="34">
        <f t="shared" si="102"/>
        <v>0.73938289878175545</v>
      </c>
    </row>
    <row r="6496" spans="13:15" x14ac:dyDescent="0.3">
      <c r="M6496" s="35">
        <v>43.08</v>
      </c>
      <c r="N6496">
        <v>305</v>
      </c>
      <c r="O6496" s="34">
        <f t="shared" si="102"/>
        <v>0.73949675509508805</v>
      </c>
    </row>
    <row r="6497" spans="13:15" x14ac:dyDescent="0.3">
      <c r="M6497" s="35">
        <v>43.08</v>
      </c>
      <c r="N6497">
        <v>305</v>
      </c>
      <c r="O6497" s="34">
        <f t="shared" si="102"/>
        <v>0.73961061140842066</v>
      </c>
    </row>
    <row r="6498" spans="13:15" x14ac:dyDescent="0.3">
      <c r="M6498" s="35">
        <v>43.08</v>
      </c>
      <c r="N6498">
        <v>305</v>
      </c>
      <c r="O6498" s="34">
        <f t="shared" si="102"/>
        <v>0.73972446772175326</v>
      </c>
    </row>
    <row r="6499" spans="13:15" x14ac:dyDescent="0.3">
      <c r="M6499" s="35">
        <v>43.11</v>
      </c>
      <c r="N6499">
        <v>305</v>
      </c>
      <c r="O6499" s="34">
        <f t="shared" si="102"/>
        <v>0.73983832403508587</v>
      </c>
    </row>
    <row r="6500" spans="13:15" x14ac:dyDescent="0.3">
      <c r="M6500" s="35">
        <v>43.13</v>
      </c>
      <c r="N6500">
        <v>305</v>
      </c>
      <c r="O6500" s="34">
        <f t="shared" si="102"/>
        <v>0.73995218034841848</v>
      </c>
    </row>
    <row r="6501" spans="13:15" x14ac:dyDescent="0.3">
      <c r="M6501" s="35">
        <v>43.14</v>
      </c>
      <c r="N6501">
        <v>305</v>
      </c>
      <c r="O6501" s="34">
        <f t="shared" si="102"/>
        <v>0.74006603666175108</v>
      </c>
    </row>
    <row r="6502" spans="13:15" x14ac:dyDescent="0.3">
      <c r="M6502" s="35">
        <v>43.14</v>
      </c>
      <c r="N6502">
        <v>305</v>
      </c>
      <c r="O6502" s="34">
        <f t="shared" si="102"/>
        <v>0.74017989297508369</v>
      </c>
    </row>
    <row r="6503" spans="13:15" x14ac:dyDescent="0.3">
      <c r="M6503" s="35">
        <v>43.18</v>
      </c>
      <c r="N6503">
        <v>305</v>
      </c>
      <c r="O6503" s="34">
        <f t="shared" si="102"/>
        <v>0.74029374928841629</v>
      </c>
    </row>
    <row r="6504" spans="13:15" x14ac:dyDescent="0.3">
      <c r="M6504" s="35">
        <v>43.18</v>
      </c>
      <c r="N6504">
        <v>305</v>
      </c>
      <c r="O6504" s="34">
        <f t="shared" si="102"/>
        <v>0.7404076056017489</v>
      </c>
    </row>
    <row r="6505" spans="13:15" x14ac:dyDescent="0.3">
      <c r="M6505" s="35">
        <v>43.18</v>
      </c>
      <c r="N6505">
        <v>305</v>
      </c>
      <c r="O6505" s="34">
        <f t="shared" si="102"/>
        <v>0.7405214619150815</v>
      </c>
    </row>
    <row r="6506" spans="13:15" x14ac:dyDescent="0.3">
      <c r="M6506" s="35">
        <v>43.19</v>
      </c>
      <c r="N6506">
        <v>305</v>
      </c>
      <c r="O6506" s="34">
        <f t="shared" si="102"/>
        <v>0.74063531822841411</v>
      </c>
    </row>
    <row r="6507" spans="13:15" x14ac:dyDescent="0.3">
      <c r="M6507" s="35">
        <v>43.19</v>
      </c>
      <c r="N6507">
        <v>305</v>
      </c>
      <c r="O6507" s="34">
        <f t="shared" si="102"/>
        <v>0.74074917454174671</v>
      </c>
    </row>
    <row r="6508" spans="13:15" x14ac:dyDescent="0.3">
      <c r="M6508" s="35">
        <v>43.19</v>
      </c>
      <c r="N6508">
        <v>305</v>
      </c>
      <c r="O6508" s="34">
        <f t="shared" si="102"/>
        <v>0.74086303085507932</v>
      </c>
    </row>
    <row r="6509" spans="13:15" x14ac:dyDescent="0.3">
      <c r="M6509" s="35">
        <v>43.2</v>
      </c>
      <c r="N6509">
        <v>305</v>
      </c>
      <c r="O6509" s="34">
        <f t="shared" si="102"/>
        <v>0.74097688716841192</v>
      </c>
    </row>
    <row r="6510" spans="13:15" x14ac:dyDescent="0.3">
      <c r="M6510" s="35">
        <v>43.21</v>
      </c>
      <c r="N6510">
        <v>305</v>
      </c>
      <c r="O6510" s="34">
        <f t="shared" si="102"/>
        <v>0.74109074348174453</v>
      </c>
    </row>
    <row r="6511" spans="13:15" x14ac:dyDescent="0.3">
      <c r="M6511" s="35">
        <v>43.23</v>
      </c>
      <c r="N6511">
        <v>305</v>
      </c>
      <c r="O6511" s="34">
        <f t="shared" si="102"/>
        <v>0.74120459979507713</v>
      </c>
    </row>
    <row r="6512" spans="13:15" x14ac:dyDescent="0.3">
      <c r="M6512" s="35">
        <v>43.24</v>
      </c>
      <c r="N6512">
        <v>305</v>
      </c>
      <c r="O6512" s="34">
        <f t="shared" si="102"/>
        <v>0.74131845610840974</v>
      </c>
    </row>
    <row r="6513" spans="13:15" x14ac:dyDescent="0.3">
      <c r="M6513" s="35">
        <v>43.24</v>
      </c>
      <c r="N6513">
        <v>305</v>
      </c>
      <c r="O6513" s="34">
        <f t="shared" si="102"/>
        <v>0.74143231242174235</v>
      </c>
    </row>
    <row r="6514" spans="13:15" x14ac:dyDescent="0.3">
      <c r="M6514" s="35">
        <v>43.24</v>
      </c>
      <c r="N6514">
        <v>305</v>
      </c>
      <c r="O6514" s="34">
        <f t="shared" si="102"/>
        <v>0.74154616873507495</v>
      </c>
    </row>
    <row r="6515" spans="13:15" x14ac:dyDescent="0.3">
      <c r="M6515" s="35">
        <v>43.25</v>
      </c>
      <c r="N6515">
        <v>305</v>
      </c>
      <c r="O6515" s="34">
        <f t="shared" si="102"/>
        <v>0.74166002504840756</v>
      </c>
    </row>
    <row r="6516" spans="13:15" x14ac:dyDescent="0.3">
      <c r="M6516" s="35">
        <v>43.25</v>
      </c>
      <c r="N6516">
        <v>305</v>
      </c>
      <c r="O6516" s="34">
        <f t="shared" si="102"/>
        <v>0.74177388136174016</v>
      </c>
    </row>
    <row r="6517" spans="13:15" x14ac:dyDescent="0.3">
      <c r="M6517" s="35">
        <v>43.25</v>
      </c>
      <c r="N6517">
        <v>305</v>
      </c>
      <c r="O6517" s="34">
        <f t="shared" si="102"/>
        <v>0.74188773767507277</v>
      </c>
    </row>
    <row r="6518" spans="13:15" x14ac:dyDescent="0.3">
      <c r="M6518" s="35">
        <v>43.26</v>
      </c>
      <c r="N6518">
        <v>305</v>
      </c>
      <c r="O6518" s="34">
        <f t="shared" si="102"/>
        <v>0.74200159398840537</v>
      </c>
    </row>
    <row r="6519" spans="13:15" x14ac:dyDescent="0.3">
      <c r="M6519" s="35">
        <v>43.27</v>
      </c>
      <c r="N6519">
        <v>305</v>
      </c>
      <c r="O6519" s="34">
        <f t="shared" si="102"/>
        <v>0.74211545030173798</v>
      </c>
    </row>
    <row r="6520" spans="13:15" x14ac:dyDescent="0.3">
      <c r="M6520" s="35">
        <v>43.28</v>
      </c>
      <c r="N6520">
        <v>305</v>
      </c>
      <c r="O6520" s="34">
        <f t="shared" si="102"/>
        <v>0.74222930661507058</v>
      </c>
    </row>
    <row r="6521" spans="13:15" x14ac:dyDescent="0.3">
      <c r="M6521" s="35">
        <v>43.29</v>
      </c>
      <c r="N6521">
        <v>305</v>
      </c>
      <c r="O6521" s="34">
        <f t="shared" si="102"/>
        <v>0.74234316292840319</v>
      </c>
    </row>
    <row r="6522" spans="13:15" x14ac:dyDescent="0.3">
      <c r="M6522" s="35">
        <v>43.29</v>
      </c>
      <c r="N6522">
        <v>305</v>
      </c>
      <c r="O6522" s="34">
        <f t="shared" si="102"/>
        <v>0.74245701924173579</v>
      </c>
    </row>
    <row r="6523" spans="13:15" x14ac:dyDescent="0.3">
      <c r="M6523" s="35">
        <v>43.3</v>
      </c>
      <c r="N6523">
        <v>305</v>
      </c>
      <c r="O6523" s="34">
        <f t="shared" si="102"/>
        <v>0.7425708755550684</v>
      </c>
    </row>
    <row r="6524" spans="13:15" x14ac:dyDescent="0.3">
      <c r="M6524" s="35">
        <v>43.33</v>
      </c>
      <c r="N6524">
        <v>305</v>
      </c>
      <c r="O6524" s="34">
        <f t="shared" si="102"/>
        <v>0.742684731868401</v>
      </c>
    </row>
    <row r="6525" spans="13:15" x14ac:dyDescent="0.3">
      <c r="M6525" s="35">
        <v>43.33</v>
      </c>
      <c r="N6525">
        <v>305</v>
      </c>
      <c r="O6525" s="34">
        <f t="shared" si="102"/>
        <v>0.74279858818173361</v>
      </c>
    </row>
    <row r="6526" spans="13:15" x14ac:dyDescent="0.3">
      <c r="M6526" s="35">
        <v>43.37</v>
      </c>
      <c r="N6526">
        <v>305</v>
      </c>
      <c r="O6526" s="34">
        <f t="shared" si="102"/>
        <v>0.74291244449506622</v>
      </c>
    </row>
    <row r="6527" spans="13:15" x14ac:dyDescent="0.3">
      <c r="M6527" s="35">
        <v>43.38</v>
      </c>
      <c r="N6527">
        <v>305</v>
      </c>
      <c r="O6527" s="34">
        <f t="shared" si="102"/>
        <v>0.74302630080839882</v>
      </c>
    </row>
    <row r="6528" spans="13:15" x14ac:dyDescent="0.3">
      <c r="M6528" s="35">
        <v>43.4</v>
      </c>
      <c r="N6528">
        <v>305</v>
      </c>
      <c r="O6528" s="34">
        <f t="shared" si="102"/>
        <v>0.74314015712173143</v>
      </c>
    </row>
    <row r="6529" spans="13:15" x14ac:dyDescent="0.3">
      <c r="M6529" s="35">
        <v>43.41</v>
      </c>
      <c r="N6529">
        <v>305</v>
      </c>
      <c r="O6529" s="34">
        <f t="shared" si="102"/>
        <v>0.74325401343506403</v>
      </c>
    </row>
    <row r="6530" spans="13:15" x14ac:dyDescent="0.3">
      <c r="M6530" s="35">
        <v>43.42</v>
      </c>
      <c r="N6530">
        <v>305</v>
      </c>
      <c r="O6530" s="34">
        <f t="shared" si="102"/>
        <v>0.74336786974839664</v>
      </c>
    </row>
    <row r="6531" spans="13:15" x14ac:dyDescent="0.3">
      <c r="M6531" s="35">
        <v>43.43</v>
      </c>
      <c r="N6531">
        <v>305</v>
      </c>
      <c r="O6531" s="34">
        <f t="shared" si="102"/>
        <v>0.74348172606172924</v>
      </c>
    </row>
    <row r="6532" spans="13:15" x14ac:dyDescent="0.3">
      <c r="M6532" s="35">
        <v>43.44</v>
      </c>
      <c r="N6532">
        <v>305</v>
      </c>
      <c r="O6532" s="34">
        <f t="shared" ref="O6532:O6595" si="103">O6531+O$2</f>
        <v>0.74359558237506185</v>
      </c>
    </row>
    <row r="6533" spans="13:15" x14ac:dyDescent="0.3">
      <c r="M6533" s="35">
        <v>43.46</v>
      </c>
      <c r="N6533">
        <v>305</v>
      </c>
      <c r="O6533" s="34">
        <f t="shared" si="103"/>
        <v>0.74370943868839445</v>
      </c>
    </row>
    <row r="6534" spans="13:15" x14ac:dyDescent="0.3">
      <c r="M6534" s="35">
        <v>43.47</v>
      </c>
      <c r="N6534">
        <v>305</v>
      </c>
      <c r="O6534" s="34">
        <f t="shared" si="103"/>
        <v>0.74382329500172706</v>
      </c>
    </row>
    <row r="6535" spans="13:15" x14ac:dyDescent="0.3">
      <c r="M6535" s="35">
        <v>43.47</v>
      </c>
      <c r="N6535">
        <v>305</v>
      </c>
      <c r="O6535" s="34">
        <f t="shared" si="103"/>
        <v>0.74393715131505966</v>
      </c>
    </row>
    <row r="6536" spans="13:15" x14ac:dyDescent="0.3">
      <c r="M6536" s="35">
        <v>43.48</v>
      </c>
      <c r="N6536">
        <v>305</v>
      </c>
      <c r="O6536" s="34">
        <f t="shared" si="103"/>
        <v>0.74405100762839227</v>
      </c>
    </row>
    <row r="6537" spans="13:15" x14ac:dyDescent="0.3">
      <c r="M6537" s="35">
        <v>43.48</v>
      </c>
      <c r="N6537">
        <v>305</v>
      </c>
      <c r="O6537" s="34">
        <f t="shared" si="103"/>
        <v>0.74416486394172487</v>
      </c>
    </row>
    <row r="6538" spans="13:15" x14ac:dyDescent="0.3">
      <c r="M6538" s="35">
        <v>43.49</v>
      </c>
      <c r="N6538">
        <v>305</v>
      </c>
      <c r="O6538" s="34">
        <f t="shared" si="103"/>
        <v>0.74427872025505748</v>
      </c>
    </row>
    <row r="6539" spans="13:15" x14ac:dyDescent="0.3">
      <c r="M6539" s="35">
        <v>43.49</v>
      </c>
      <c r="N6539">
        <v>305</v>
      </c>
      <c r="O6539" s="34">
        <f t="shared" si="103"/>
        <v>0.74439257656839009</v>
      </c>
    </row>
    <row r="6540" spans="13:15" x14ac:dyDescent="0.3">
      <c r="M6540" s="35">
        <v>43.49</v>
      </c>
      <c r="N6540">
        <v>305</v>
      </c>
      <c r="O6540" s="34">
        <f t="shared" si="103"/>
        <v>0.74450643288172269</v>
      </c>
    </row>
    <row r="6541" spans="13:15" x14ac:dyDescent="0.3">
      <c r="M6541" s="35">
        <v>43.5</v>
      </c>
      <c r="N6541">
        <v>305</v>
      </c>
      <c r="O6541" s="34">
        <f t="shared" si="103"/>
        <v>0.7446202891950553</v>
      </c>
    </row>
    <row r="6542" spans="13:15" x14ac:dyDescent="0.3">
      <c r="M6542" s="35">
        <v>43.52</v>
      </c>
      <c r="N6542">
        <v>305</v>
      </c>
      <c r="O6542" s="34">
        <f t="shared" si="103"/>
        <v>0.7447341455083879</v>
      </c>
    </row>
    <row r="6543" spans="13:15" x14ac:dyDescent="0.3">
      <c r="M6543" s="35">
        <v>43.52</v>
      </c>
      <c r="N6543">
        <v>305</v>
      </c>
      <c r="O6543" s="34">
        <f t="shared" si="103"/>
        <v>0.74484800182172051</v>
      </c>
    </row>
    <row r="6544" spans="13:15" x14ac:dyDescent="0.3">
      <c r="M6544" s="35">
        <v>43.52</v>
      </c>
      <c r="N6544">
        <v>305</v>
      </c>
      <c r="O6544" s="34">
        <f t="shared" si="103"/>
        <v>0.74496185813505311</v>
      </c>
    </row>
    <row r="6545" spans="13:15" x14ac:dyDescent="0.3">
      <c r="M6545" s="35">
        <v>43.56</v>
      </c>
      <c r="N6545">
        <v>305</v>
      </c>
      <c r="O6545" s="34">
        <f t="shared" si="103"/>
        <v>0.74507571444838572</v>
      </c>
    </row>
    <row r="6546" spans="13:15" x14ac:dyDescent="0.3">
      <c r="M6546" s="35">
        <v>43.56</v>
      </c>
      <c r="N6546">
        <v>305</v>
      </c>
      <c r="O6546" s="34">
        <f t="shared" si="103"/>
        <v>0.74518957076171832</v>
      </c>
    </row>
    <row r="6547" spans="13:15" x14ac:dyDescent="0.3">
      <c r="M6547" s="35">
        <v>43.57</v>
      </c>
      <c r="N6547">
        <v>305</v>
      </c>
      <c r="O6547" s="34">
        <f t="shared" si="103"/>
        <v>0.74530342707505093</v>
      </c>
    </row>
    <row r="6548" spans="13:15" x14ac:dyDescent="0.3">
      <c r="M6548" s="35">
        <v>43.57</v>
      </c>
      <c r="N6548">
        <v>305</v>
      </c>
      <c r="O6548" s="34">
        <f t="shared" si="103"/>
        <v>0.74541728338838353</v>
      </c>
    </row>
    <row r="6549" spans="13:15" x14ac:dyDescent="0.3">
      <c r="M6549" s="35">
        <v>43.58</v>
      </c>
      <c r="N6549">
        <v>305</v>
      </c>
      <c r="O6549" s="34">
        <f t="shared" si="103"/>
        <v>0.74553113970171614</v>
      </c>
    </row>
    <row r="6550" spans="13:15" x14ac:dyDescent="0.3">
      <c r="M6550" s="35">
        <v>43.59</v>
      </c>
      <c r="N6550">
        <v>305</v>
      </c>
      <c r="O6550" s="34">
        <f t="shared" si="103"/>
        <v>0.74564499601504874</v>
      </c>
    </row>
    <row r="6551" spans="13:15" x14ac:dyDescent="0.3">
      <c r="M6551" s="35">
        <v>43.59</v>
      </c>
      <c r="N6551">
        <v>305</v>
      </c>
      <c r="O6551" s="34">
        <f t="shared" si="103"/>
        <v>0.74575885232838135</v>
      </c>
    </row>
    <row r="6552" spans="13:15" x14ac:dyDescent="0.3">
      <c r="M6552" s="35">
        <v>43.59</v>
      </c>
      <c r="N6552">
        <v>305</v>
      </c>
      <c r="O6552" s="34">
        <f t="shared" si="103"/>
        <v>0.74587270864171396</v>
      </c>
    </row>
    <row r="6553" spans="13:15" x14ac:dyDescent="0.3">
      <c r="M6553" s="35">
        <v>43.59</v>
      </c>
      <c r="N6553">
        <v>305</v>
      </c>
      <c r="O6553" s="34">
        <f t="shared" si="103"/>
        <v>0.74598656495504656</v>
      </c>
    </row>
    <row r="6554" spans="13:15" x14ac:dyDescent="0.3">
      <c r="M6554" s="35">
        <v>43.59</v>
      </c>
      <c r="N6554">
        <v>305</v>
      </c>
      <c r="O6554" s="34">
        <f t="shared" si="103"/>
        <v>0.74610042126837917</v>
      </c>
    </row>
    <row r="6555" spans="13:15" x14ac:dyDescent="0.3">
      <c r="M6555" s="35">
        <v>43.6</v>
      </c>
      <c r="N6555">
        <v>305</v>
      </c>
      <c r="O6555" s="34">
        <f t="shared" si="103"/>
        <v>0.74621427758171177</v>
      </c>
    </row>
    <row r="6556" spans="13:15" x14ac:dyDescent="0.3">
      <c r="M6556" s="35">
        <v>43.6</v>
      </c>
      <c r="N6556">
        <v>305</v>
      </c>
      <c r="O6556" s="34">
        <f t="shared" si="103"/>
        <v>0.74632813389504438</v>
      </c>
    </row>
    <row r="6557" spans="13:15" x14ac:dyDescent="0.3">
      <c r="M6557" s="35">
        <v>43.6</v>
      </c>
      <c r="N6557">
        <v>305</v>
      </c>
      <c r="O6557" s="34">
        <f t="shared" si="103"/>
        <v>0.74644199020837698</v>
      </c>
    </row>
    <row r="6558" spans="13:15" x14ac:dyDescent="0.3">
      <c r="M6558" s="35">
        <v>43.6</v>
      </c>
      <c r="N6558">
        <v>305</v>
      </c>
      <c r="O6558" s="34">
        <f t="shared" si="103"/>
        <v>0.74655584652170959</v>
      </c>
    </row>
    <row r="6559" spans="13:15" x14ac:dyDescent="0.3">
      <c r="M6559" s="35">
        <v>43.61</v>
      </c>
      <c r="N6559">
        <v>305</v>
      </c>
      <c r="O6559" s="34">
        <f t="shared" si="103"/>
        <v>0.74666970283504219</v>
      </c>
    </row>
    <row r="6560" spans="13:15" x14ac:dyDescent="0.3">
      <c r="M6560" s="35">
        <v>43.62</v>
      </c>
      <c r="N6560">
        <v>305</v>
      </c>
      <c r="O6560" s="34">
        <f t="shared" si="103"/>
        <v>0.7467835591483748</v>
      </c>
    </row>
    <row r="6561" spans="13:15" x14ac:dyDescent="0.3">
      <c r="M6561" s="35">
        <v>43.63</v>
      </c>
      <c r="N6561">
        <v>305</v>
      </c>
      <c r="O6561" s="34">
        <f t="shared" si="103"/>
        <v>0.7468974154617074</v>
      </c>
    </row>
    <row r="6562" spans="13:15" x14ac:dyDescent="0.3">
      <c r="M6562" s="35">
        <v>43.64</v>
      </c>
      <c r="N6562">
        <v>305</v>
      </c>
      <c r="O6562" s="34">
        <f t="shared" si="103"/>
        <v>0.74701127177504001</v>
      </c>
    </row>
    <row r="6563" spans="13:15" x14ac:dyDescent="0.3">
      <c r="M6563" s="35">
        <v>43.64</v>
      </c>
      <c r="N6563">
        <v>305</v>
      </c>
      <c r="O6563" s="34">
        <f t="shared" si="103"/>
        <v>0.74712512808837261</v>
      </c>
    </row>
    <row r="6564" spans="13:15" x14ac:dyDescent="0.3">
      <c r="M6564" s="35">
        <v>43.65</v>
      </c>
      <c r="N6564">
        <v>305</v>
      </c>
      <c r="O6564" s="34">
        <f t="shared" si="103"/>
        <v>0.74723898440170522</v>
      </c>
    </row>
    <row r="6565" spans="13:15" x14ac:dyDescent="0.3">
      <c r="M6565" s="35">
        <v>43.65</v>
      </c>
      <c r="N6565">
        <v>305</v>
      </c>
      <c r="O6565" s="34">
        <f t="shared" si="103"/>
        <v>0.74735284071503782</v>
      </c>
    </row>
    <row r="6566" spans="13:15" x14ac:dyDescent="0.3">
      <c r="M6566" s="35">
        <v>43.67</v>
      </c>
      <c r="N6566">
        <v>305</v>
      </c>
      <c r="O6566" s="34">
        <f t="shared" si="103"/>
        <v>0.74746669702837043</v>
      </c>
    </row>
    <row r="6567" spans="13:15" x14ac:dyDescent="0.3">
      <c r="M6567" s="35">
        <v>43.69</v>
      </c>
      <c r="N6567">
        <v>305</v>
      </c>
      <c r="O6567" s="34">
        <f t="shared" si="103"/>
        <v>0.74758055334170304</v>
      </c>
    </row>
    <row r="6568" spans="13:15" x14ac:dyDescent="0.3">
      <c r="M6568" s="35">
        <v>43.7</v>
      </c>
      <c r="N6568">
        <v>305</v>
      </c>
      <c r="O6568" s="34">
        <f t="shared" si="103"/>
        <v>0.74769440965503564</v>
      </c>
    </row>
    <row r="6569" spans="13:15" x14ac:dyDescent="0.3">
      <c r="M6569" s="35">
        <v>43.7</v>
      </c>
      <c r="N6569">
        <v>305</v>
      </c>
      <c r="O6569" s="34">
        <f t="shared" si="103"/>
        <v>0.74780826596836825</v>
      </c>
    </row>
    <row r="6570" spans="13:15" x14ac:dyDescent="0.3">
      <c r="M6570" s="35">
        <v>43.71</v>
      </c>
      <c r="N6570">
        <v>305</v>
      </c>
      <c r="O6570" s="34">
        <f t="shared" si="103"/>
        <v>0.74792212228170085</v>
      </c>
    </row>
    <row r="6571" spans="13:15" x14ac:dyDescent="0.3">
      <c r="M6571" s="35">
        <v>43.71</v>
      </c>
      <c r="N6571">
        <v>305</v>
      </c>
      <c r="O6571" s="34">
        <f t="shared" si="103"/>
        <v>0.74803597859503346</v>
      </c>
    </row>
    <row r="6572" spans="13:15" x14ac:dyDescent="0.3">
      <c r="M6572" s="35">
        <v>43.72</v>
      </c>
      <c r="N6572">
        <v>305</v>
      </c>
      <c r="O6572" s="34">
        <f t="shared" si="103"/>
        <v>0.74814983490836606</v>
      </c>
    </row>
    <row r="6573" spans="13:15" x14ac:dyDescent="0.3">
      <c r="M6573" s="35">
        <v>43.72</v>
      </c>
      <c r="N6573">
        <v>305</v>
      </c>
      <c r="O6573" s="34">
        <f t="shared" si="103"/>
        <v>0.74826369122169867</v>
      </c>
    </row>
    <row r="6574" spans="13:15" x14ac:dyDescent="0.3">
      <c r="M6574" s="35">
        <v>43.73</v>
      </c>
      <c r="N6574">
        <v>305</v>
      </c>
      <c r="O6574" s="34">
        <f t="shared" si="103"/>
        <v>0.74837754753503127</v>
      </c>
    </row>
    <row r="6575" spans="13:15" x14ac:dyDescent="0.3">
      <c r="M6575" s="35">
        <v>43.74</v>
      </c>
      <c r="N6575">
        <v>305</v>
      </c>
      <c r="O6575" s="34">
        <f t="shared" si="103"/>
        <v>0.74849140384836388</v>
      </c>
    </row>
    <row r="6576" spans="13:15" x14ac:dyDescent="0.3">
      <c r="M6576" s="35">
        <v>43.74</v>
      </c>
      <c r="N6576">
        <v>305</v>
      </c>
      <c r="O6576" s="34">
        <f t="shared" si="103"/>
        <v>0.74860526016169648</v>
      </c>
    </row>
    <row r="6577" spans="13:15" x14ac:dyDescent="0.3">
      <c r="M6577" s="35">
        <v>43.76</v>
      </c>
      <c r="N6577">
        <v>305</v>
      </c>
      <c r="O6577" s="34">
        <f t="shared" si="103"/>
        <v>0.74871911647502909</v>
      </c>
    </row>
    <row r="6578" spans="13:15" x14ac:dyDescent="0.3">
      <c r="M6578" s="35">
        <v>43.76</v>
      </c>
      <c r="N6578">
        <v>305</v>
      </c>
      <c r="O6578" s="34">
        <f t="shared" si="103"/>
        <v>0.74883297278836169</v>
      </c>
    </row>
    <row r="6579" spans="13:15" x14ac:dyDescent="0.3">
      <c r="M6579" s="35">
        <v>43.76</v>
      </c>
      <c r="N6579">
        <v>305</v>
      </c>
      <c r="O6579" s="34">
        <f t="shared" si="103"/>
        <v>0.7489468291016943</v>
      </c>
    </row>
    <row r="6580" spans="13:15" x14ac:dyDescent="0.3">
      <c r="M6580" s="35">
        <v>43.78</v>
      </c>
      <c r="N6580">
        <v>305</v>
      </c>
      <c r="O6580" s="34">
        <f t="shared" si="103"/>
        <v>0.74906068541502691</v>
      </c>
    </row>
    <row r="6581" spans="13:15" x14ac:dyDescent="0.3">
      <c r="M6581" s="35">
        <v>43.79</v>
      </c>
      <c r="N6581">
        <v>305</v>
      </c>
      <c r="O6581" s="34">
        <f t="shared" si="103"/>
        <v>0.74917454172835951</v>
      </c>
    </row>
    <row r="6582" spans="13:15" x14ac:dyDescent="0.3">
      <c r="M6582" s="35">
        <v>43.79</v>
      </c>
      <c r="N6582">
        <v>305</v>
      </c>
      <c r="O6582" s="34">
        <f t="shared" si="103"/>
        <v>0.74928839804169212</v>
      </c>
    </row>
    <row r="6583" spans="13:15" x14ac:dyDescent="0.3">
      <c r="M6583" s="35">
        <v>43.8</v>
      </c>
      <c r="N6583">
        <v>305</v>
      </c>
      <c r="O6583" s="34">
        <f t="shared" si="103"/>
        <v>0.74940225435502472</v>
      </c>
    </row>
    <row r="6584" spans="13:15" x14ac:dyDescent="0.3">
      <c r="M6584" s="35">
        <v>43.8</v>
      </c>
      <c r="N6584">
        <v>305</v>
      </c>
      <c r="O6584" s="34">
        <f t="shared" si="103"/>
        <v>0.74951611066835733</v>
      </c>
    </row>
    <row r="6585" spans="13:15" x14ac:dyDescent="0.3">
      <c r="M6585" s="35">
        <v>43.8</v>
      </c>
      <c r="N6585">
        <v>305</v>
      </c>
      <c r="O6585" s="34">
        <f t="shared" si="103"/>
        <v>0.74962996698168993</v>
      </c>
    </row>
    <row r="6586" spans="13:15" x14ac:dyDescent="0.3">
      <c r="M6586" s="35">
        <v>43.8</v>
      </c>
      <c r="N6586">
        <v>305</v>
      </c>
      <c r="O6586" s="34">
        <f t="shared" si="103"/>
        <v>0.74974382329502254</v>
      </c>
    </row>
    <row r="6587" spans="13:15" x14ac:dyDescent="0.3">
      <c r="M6587" s="35">
        <v>43.83</v>
      </c>
      <c r="N6587">
        <v>305</v>
      </c>
      <c r="O6587" s="34">
        <f t="shared" si="103"/>
        <v>0.74985767960835514</v>
      </c>
    </row>
    <row r="6588" spans="13:15" x14ac:dyDescent="0.3">
      <c r="M6588" s="35">
        <v>43.83</v>
      </c>
      <c r="N6588">
        <v>305</v>
      </c>
      <c r="O6588" s="34">
        <f t="shared" si="103"/>
        <v>0.74997153592168775</v>
      </c>
    </row>
    <row r="6589" spans="13:15" x14ac:dyDescent="0.3">
      <c r="M6589" s="35">
        <v>43.83</v>
      </c>
      <c r="N6589">
        <v>305</v>
      </c>
      <c r="O6589" s="34">
        <f t="shared" si="103"/>
        <v>0.75008539223502035</v>
      </c>
    </row>
    <row r="6590" spans="13:15" x14ac:dyDescent="0.3">
      <c r="M6590" s="35">
        <v>43.85</v>
      </c>
      <c r="N6590">
        <v>305</v>
      </c>
      <c r="O6590" s="34">
        <f t="shared" si="103"/>
        <v>0.75019924854835296</v>
      </c>
    </row>
    <row r="6591" spans="13:15" x14ac:dyDescent="0.3">
      <c r="M6591" s="35">
        <v>43.85</v>
      </c>
      <c r="N6591">
        <v>305</v>
      </c>
      <c r="O6591" s="34">
        <f t="shared" si="103"/>
        <v>0.75031310486168556</v>
      </c>
    </row>
    <row r="6592" spans="13:15" x14ac:dyDescent="0.3">
      <c r="M6592" s="35">
        <v>43.86</v>
      </c>
      <c r="N6592">
        <v>305</v>
      </c>
      <c r="O6592" s="34">
        <f t="shared" si="103"/>
        <v>0.75042696117501817</v>
      </c>
    </row>
    <row r="6593" spans="13:15" x14ac:dyDescent="0.3">
      <c r="M6593" s="35">
        <v>43.86</v>
      </c>
      <c r="N6593">
        <v>305</v>
      </c>
      <c r="O6593" s="34">
        <f t="shared" si="103"/>
        <v>0.75054081748835078</v>
      </c>
    </row>
    <row r="6594" spans="13:15" x14ac:dyDescent="0.3">
      <c r="M6594" s="35">
        <v>43.86</v>
      </c>
      <c r="N6594">
        <v>305</v>
      </c>
      <c r="O6594" s="34">
        <f t="shared" si="103"/>
        <v>0.75065467380168338</v>
      </c>
    </row>
    <row r="6595" spans="13:15" x14ac:dyDescent="0.3">
      <c r="M6595" s="35">
        <v>43.87</v>
      </c>
      <c r="N6595">
        <v>305</v>
      </c>
      <c r="O6595" s="34">
        <f t="shared" si="103"/>
        <v>0.75076853011501599</v>
      </c>
    </row>
    <row r="6596" spans="13:15" x14ac:dyDescent="0.3">
      <c r="M6596" s="35">
        <v>43.89</v>
      </c>
      <c r="N6596">
        <v>305</v>
      </c>
      <c r="O6596" s="34">
        <f t="shared" ref="O6596:O6659" si="104">O6595+O$2</f>
        <v>0.75088238642834859</v>
      </c>
    </row>
    <row r="6597" spans="13:15" x14ac:dyDescent="0.3">
      <c r="M6597" s="35">
        <v>43.91</v>
      </c>
      <c r="N6597">
        <v>305</v>
      </c>
      <c r="O6597" s="34">
        <f t="shared" si="104"/>
        <v>0.7509962427416812</v>
      </c>
    </row>
    <row r="6598" spans="13:15" x14ac:dyDescent="0.3">
      <c r="M6598" s="35">
        <v>43.93</v>
      </c>
      <c r="N6598">
        <v>305</v>
      </c>
      <c r="O6598" s="34">
        <f t="shared" si="104"/>
        <v>0.7511100990550138</v>
      </c>
    </row>
    <row r="6599" spans="13:15" x14ac:dyDescent="0.3">
      <c r="M6599" s="35">
        <v>43.93</v>
      </c>
      <c r="N6599">
        <v>305</v>
      </c>
      <c r="O6599" s="34">
        <f t="shared" si="104"/>
        <v>0.75122395536834641</v>
      </c>
    </row>
    <row r="6600" spans="13:15" x14ac:dyDescent="0.3">
      <c r="M6600" s="35">
        <v>43.94</v>
      </c>
      <c r="N6600">
        <v>305</v>
      </c>
      <c r="O6600" s="34">
        <f t="shared" si="104"/>
        <v>0.75133781168167901</v>
      </c>
    </row>
    <row r="6601" spans="13:15" x14ac:dyDescent="0.3">
      <c r="M6601" s="35">
        <v>43.94</v>
      </c>
      <c r="N6601">
        <v>305</v>
      </c>
      <c r="O6601" s="34">
        <f t="shared" si="104"/>
        <v>0.75145166799501162</v>
      </c>
    </row>
    <row r="6602" spans="13:15" x14ac:dyDescent="0.3">
      <c r="M6602" s="35">
        <v>43.96</v>
      </c>
      <c r="N6602">
        <v>305</v>
      </c>
      <c r="O6602" s="34">
        <f t="shared" si="104"/>
        <v>0.75156552430834422</v>
      </c>
    </row>
    <row r="6603" spans="13:15" x14ac:dyDescent="0.3">
      <c r="M6603" s="35">
        <v>43.99</v>
      </c>
      <c r="N6603">
        <v>305</v>
      </c>
      <c r="O6603" s="34">
        <f t="shared" si="104"/>
        <v>0.75167938062167683</v>
      </c>
    </row>
    <row r="6604" spans="13:15" x14ac:dyDescent="0.3">
      <c r="M6604" s="35">
        <v>44</v>
      </c>
      <c r="N6604">
        <v>305</v>
      </c>
      <c r="O6604" s="34">
        <f t="shared" si="104"/>
        <v>0.75179323693500943</v>
      </c>
    </row>
    <row r="6605" spans="13:15" x14ac:dyDescent="0.3">
      <c r="M6605" s="35">
        <v>44.01</v>
      </c>
      <c r="N6605">
        <v>305</v>
      </c>
      <c r="O6605" s="34">
        <f t="shared" si="104"/>
        <v>0.75190709324834204</v>
      </c>
    </row>
    <row r="6606" spans="13:15" x14ac:dyDescent="0.3">
      <c r="M6606" s="35">
        <v>44.01</v>
      </c>
      <c r="N6606">
        <v>305</v>
      </c>
      <c r="O6606" s="34">
        <f t="shared" si="104"/>
        <v>0.75202094956167465</v>
      </c>
    </row>
    <row r="6607" spans="13:15" x14ac:dyDescent="0.3">
      <c r="M6607" s="35">
        <v>44.02</v>
      </c>
      <c r="N6607">
        <v>305</v>
      </c>
      <c r="O6607" s="34">
        <f t="shared" si="104"/>
        <v>0.75213480587500725</v>
      </c>
    </row>
    <row r="6608" spans="13:15" x14ac:dyDescent="0.3">
      <c r="M6608" s="35">
        <v>44.02</v>
      </c>
      <c r="N6608">
        <v>305</v>
      </c>
      <c r="O6608" s="34">
        <f t="shared" si="104"/>
        <v>0.75224866218833986</v>
      </c>
    </row>
    <row r="6609" spans="13:15" x14ac:dyDescent="0.3">
      <c r="M6609" s="35">
        <v>44.02</v>
      </c>
      <c r="N6609">
        <v>305</v>
      </c>
      <c r="O6609" s="34">
        <f t="shared" si="104"/>
        <v>0.75236251850167246</v>
      </c>
    </row>
    <row r="6610" spans="13:15" x14ac:dyDescent="0.3">
      <c r="M6610" s="35">
        <v>44.02</v>
      </c>
      <c r="N6610">
        <v>305</v>
      </c>
      <c r="O6610" s="34">
        <f t="shared" si="104"/>
        <v>0.75247637481500507</v>
      </c>
    </row>
    <row r="6611" spans="13:15" x14ac:dyDescent="0.3">
      <c r="M6611" s="35">
        <v>44.02</v>
      </c>
      <c r="N6611">
        <v>305</v>
      </c>
      <c r="O6611" s="34">
        <f t="shared" si="104"/>
        <v>0.75259023112833767</v>
      </c>
    </row>
    <row r="6612" spans="13:15" x14ac:dyDescent="0.3">
      <c r="M6612" s="35">
        <v>44.02</v>
      </c>
      <c r="N6612">
        <v>305</v>
      </c>
      <c r="O6612" s="34">
        <f t="shared" si="104"/>
        <v>0.75270408744167028</v>
      </c>
    </row>
    <row r="6613" spans="13:15" x14ac:dyDescent="0.3">
      <c r="M6613" s="35">
        <v>44.03</v>
      </c>
      <c r="N6613">
        <v>305</v>
      </c>
      <c r="O6613" s="34">
        <f t="shared" si="104"/>
        <v>0.75281794375500288</v>
      </c>
    </row>
    <row r="6614" spans="13:15" x14ac:dyDescent="0.3">
      <c r="M6614" s="35">
        <v>44.03</v>
      </c>
      <c r="N6614">
        <v>305</v>
      </c>
      <c r="O6614" s="34">
        <f t="shared" si="104"/>
        <v>0.75293180006833549</v>
      </c>
    </row>
    <row r="6615" spans="13:15" x14ac:dyDescent="0.3">
      <c r="M6615" s="35">
        <v>44.04</v>
      </c>
      <c r="N6615">
        <v>305</v>
      </c>
      <c r="O6615" s="34">
        <f t="shared" si="104"/>
        <v>0.75304565638166809</v>
      </c>
    </row>
    <row r="6616" spans="13:15" x14ac:dyDescent="0.3">
      <c r="M6616" s="35">
        <v>44.05</v>
      </c>
      <c r="N6616">
        <v>305</v>
      </c>
      <c r="O6616" s="34">
        <f t="shared" si="104"/>
        <v>0.7531595126950007</v>
      </c>
    </row>
    <row r="6617" spans="13:15" x14ac:dyDescent="0.3">
      <c r="M6617" s="35">
        <v>44.05</v>
      </c>
      <c r="N6617">
        <v>305</v>
      </c>
      <c r="O6617" s="34">
        <f t="shared" si="104"/>
        <v>0.7532733690083333</v>
      </c>
    </row>
    <row r="6618" spans="13:15" x14ac:dyDescent="0.3">
      <c r="M6618" s="35">
        <v>44.06</v>
      </c>
      <c r="N6618">
        <v>305</v>
      </c>
      <c r="O6618" s="34">
        <f t="shared" si="104"/>
        <v>0.75338722532166591</v>
      </c>
    </row>
    <row r="6619" spans="13:15" x14ac:dyDescent="0.3">
      <c r="M6619" s="35">
        <v>44.07</v>
      </c>
      <c r="N6619">
        <v>305</v>
      </c>
      <c r="O6619" s="34">
        <f t="shared" si="104"/>
        <v>0.75350108163499852</v>
      </c>
    </row>
    <row r="6620" spans="13:15" x14ac:dyDescent="0.3">
      <c r="M6620" s="35">
        <v>44.07</v>
      </c>
      <c r="N6620">
        <v>305</v>
      </c>
      <c r="O6620" s="34">
        <f t="shared" si="104"/>
        <v>0.75361493794833112</v>
      </c>
    </row>
    <row r="6621" spans="13:15" x14ac:dyDescent="0.3">
      <c r="M6621" s="35">
        <v>44.08</v>
      </c>
      <c r="N6621">
        <v>305</v>
      </c>
      <c r="O6621" s="34">
        <f t="shared" si="104"/>
        <v>0.75372879426166373</v>
      </c>
    </row>
    <row r="6622" spans="13:15" x14ac:dyDescent="0.3">
      <c r="M6622" s="35">
        <v>44.08</v>
      </c>
      <c r="N6622">
        <v>305</v>
      </c>
      <c r="O6622" s="34">
        <f t="shared" si="104"/>
        <v>0.75384265057499633</v>
      </c>
    </row>
    <row r="6623" spans="13:15" x14ac:dyDescent="0.3">
      <c r="M6623" s="35">
        <v>44.08</v>
      </c>
      <c r="N6623">
        <v>305</v>
      </c>
      <c r="O6623" s="34">
        <f t="shared" si="104"/>
        <v>0.75395650688832894</v>
      </c>
    </row>
    <row r="6624" spans="13:15" x14ac:dyDescent="0.3">
      <c r="M6624" s="35">
        <v>44.08</v>
      </c>
      <c r="N6624">
        <v>305</v>
      </c>
      <c r="O6624" s="34">
        <f t="shared" si="104"/>
        <v>0.75407036320166154</v>
      </c>
    </row>
    <row r="6625" spans="13:15" x14ac:dyDescent="0.3">
      <c r="M6625" s="35">
        <v>44.08</v>
      </c>
      <c r="N6625">
        <v>305</v>
      </c>
      <c r="O6625" s="34">
        <f t="shared" si="104"/>
        <v>0.75418421951499415</v>
      </c>
    </row>
    <row r="6626" spans="13:15" x14ac:dyDescent="0.3">
      <c r="M6626" s="35">
        <v>44.1</v>
      </c>
      <c r="N6626">
        <v>305</v>
      </c>
      <c r="O6626" s="34">
        <f t="shared" si="104"/>
        <v>0.75429807582832675</v>
      </c>
    </row>
    <row r="6627" spans="13:15" x14ac:dyDescent="0.3">
      <c r="M6627" s="35">
        <v>44.1</v>
      </c>
      <c r="N6627">
        <v>305</v>
      </c>
      <c r="O6627" s="34">
        <f t="shared" si="104"/>
        <v>0.75441193214165936</v>
      </c>
    </row>
    <row r="6628" spans="13:15" x14ac:dyDescent="0.3">
      <c r="M6628" s="35">
        <v>44.1</v>
      </c>
      <c r="N6628">
        <v>305</v>
      </c>
      <c r="O6628" s="34">
        <f t="shared" si="104"/>
        <v>0.75452578845499196</v>
      </c>
    </row>
    <row r="6629" spans="13:15" x14ac:dyDescent="0.3">
      <c r="M6629" s="35">
        <v>44.1</v>
      </c>
      <c r="N6629">
        <v>305</v>
      </c>
      <c r="O6629" s="34">
        <f t="shared" si="104"/>
        <v>0.75463964476832457</v>
      </c>
    </row>
    <row r="6630" spans="13:15" x14ac:dyDescent="0.3">
      <c r="M6630" s="35">
        <v>44.13</v>
      </c>
      <c r="N6630">
        <v>305</v>
      </c>
      <c r="O6630" s="34">
        <f t="shared" si="104"/>
        <v>0.75475350108165717</v>
      </c>
    </row>
    <row r="6631" spans="13:15" x14ac:dyDescent="0.3">
      <c r="M6631" s="35">
        <v>44.13</v>
      </c>
      <c r="N6631">
        <v>305</v>
      </c>
      <c r="O6631" s="34">
        <f t="shared" si="104"/>
        <v>0.75486735739498978</v>
      </c>
    </row>
    <row r="6632" spans="13:15" x14ac:dyDescent="0.3">
      <c r="M6632" s="35">
        <v>44.19</v>
      </c>
      <c r="N6632">
        <v>305</v>
      </c>
      <c r="O6632" s="34">
        <f t="shared" si="104"/>
        <v>0.75498121370832239</v>
      </c>
    </row>
    <row r="6633" spans="13:15" x14ac:dyDescent="0.3">
      <c r="M6633" s="35">
        <v>44.19</v>
      </c>
      <c r="N6633">
        <v>305</v>
      </c>
      <c r="O6633" s="34">
        <f t="shared" si="104"/>
        <v>0.75509507002165499</v>
      </c>
    </row>
    <row r="6634" spans="13:15" x14ac:dyDescent="0.3">
      <c r="M6634" s="35">
        <v>44.22</v>
      </c>
      <c r="N6634">
        <v>305</v>
      </c>
      <c r="O6634" s="34">
        <f t="shared" si="104"/>
        <v>0.7552089263349876</v>
      </c>
    </row>
    <row r="6635" spans="13:15" x14ac:dyDescent="0.3">
      <c r="M6635" s="35">
        <v>44.23</v>
      </c>
      <c r="N6635">
        <v>305</v>
      </c>
      <c r="O6635" s="34">
        <f t="shared" si="104"/>
        <v>0.7553227826483202</v>
      </c>
    </row>
    <row r="6636" spans="13:15" x14ac:dyDescent="0.3">
      <c r="M6636" s="35">
        <v>44.24</v>
      </c>
      <c r="N6636">
        <v>305</v>
      </c>
      <c r="O6636" s="34">
        <f t="shared" si="104"/>
        <v>0.75543663896165281</v>
      </c>
    </row>
    <row r="6637" spans="13:15" x14ac:dyDescent="0.3">
      <c r="M6637" s="35">
        <v>44.25</v>
      </c>
      <c r="N6637">
        <v>305</v>
      </c>
      <c r="O6637" s="34">
        <f t="shared" si="104"/>
        <v>0.75555049527498541</v>
      </c>
    </row>
    <row r="6638" spans="13:15" x14ac:dyDescent="0.3">
      <c r="M6638" s="35">
        <v>44.26</v>
      </c>
      <c r="N6638">
        <v>305</v>
      </c>
      <c r="O6638" s="34">
        <f t="shared" si="104"/>
        <v>0.75566435158831802</v>
      </c>
    </row>
    <row r="6639" spans="13:15" x14ac:dyDescent="0.3">
      <c r="M6639" s="35">
        <v>44.27</v>
      </c>
      <c r="N6639">
        <v>305</v>
      </c>
      <c r="O6639" s="34">
        <f t="shared" si="104"/>
        <v>0.75577820790165062</v>
      </c>
    </row>
    <row r="6640" spans="13:15" x14ac:dyDescent="0.3">
      <c r="M6640" s="35">
        <v>44.27</v>
      </c>
      <c r="N6640">
        <v>305</v>
      </c>
      <c r="O6640" s="34">
        <f t="shared" si="104"/>
        <v>0.75589206421498323</v>
      </c>
    </row>
    <row r="6641" spans="13:15" x14ac:dyDescent="0.3">
      <c r="M6641" s="35">
        <v>44.28</v>
      </c>
      <c r="N6641">
        <v>305</v>
      </c>
      <c r="O6641" s="34">
        <f t="shared" si="104"/>
        <v>0.75600592052831583</v>
      </c>
    </row>
    <row r="6642" spans="13:15" x14ac:dyDescent="0.3">
      <c r="M6642" s="35">
        <v>44.29</v>
      </c>
      <c r="N6642">
        <v>305</v>
      </c>
      <c r="O6642" s="34">
        <f t="shared" si="104"/>
        <v>0.75611977684164844</v>
      </c>
    </row>
    <row r="6643" spans="13:15" x14ac:dyDescent="0.3">
      <c r="M6643" s="35">
        <v>44.29</v>
      </c>
      <c r="N6643">
        <v>305</v>
      </c>
      <c r="O6643" s="34">
        <f t="shared" si="104"/>
        <v>0.75623363315498104</v>
      </c>
    </row>
    <row r="6644" spans="13:15" x14ac:dyDescent="0.3">
      <c r="M6644" s="35">
        <v>44.29</v>
      </c>
      <c r="N6644">
        <v>305</v>
      </c>
      <c r="O6644" s="34">
        <f t="shared" si="104"/>
        <v>0.75634748946831365</v>
      </c>
    </row>
    <row r="6645" spans="13:15" x14ac:dyDescent="0.3">
      <c r="M6645" s="35">
        <v>44.31</v>
      </c>
      <c r="N6645">
        <v>305</v>
      </c>
      <c r="O6645" s="34">
        <f t="shared" si="104"/>
        <v>0.75646134578164625</v>
      </c>
    </row>
    <row r="6646" spans="13:15" x14ac:dyDescent="0.3">
      <c r="M6646" s="35">
        <v>44.33</v>
      </c>
      <c r="N6646">
        <v>305</v>
      </c>
      <c r="O6646" s="34">
        <f t="shared" si="104"/>
        <v>0.75657520209497886</v>
      </c>
    </row>
    <row r="6647" spans="13:15" x14ac:dyDescent="0.3">
      <c r="M6647" s="35">
        <v>44.34</v>
      </c>
      <c r="N6647">
        <v>305</v>
      </c>
      <c r="O6647" s="34">
        <f t="shared" si="104"/>
        <v>0.75668905840831147</v>
      </c>
    </row>
    <row r="6648" spans="13:15" x14ac:dyDescent="0.3">
      <c r="M6648" s="35">
        <v>44.34</v>
      </c>
      <c r="N6648">
        <v>305</v>
      </c>
      <c r="O6648" s="34">
        <f t="shared" si="104"/>
        <v>0.75680291472164407</v>
      </c>
    </row>
    <row r="6649" spans="13:15" x14ac:dyDescent="0.3">
      <c r="M6649" s="35">
        <v>44.35</v>
      </c>
      <c r="N6649">
        <v>305</v>
      </c>
      <c r="O6649" s="34">
        <f t="shared" si="104"/>
        <v>0.75691677103497668</v>
      </c>
    </row>
    <row r="6650" spans="13:15" x14ac:dyDescent="0.3">
      <c r="M6650" s="35">
        <v>44.36</v>
      </c>
      <c r="N6650">
        <v>305</v>
      </c>
      <c r="O6650" s="34">
        <f t="shared" si="104"/>
        <v>0.75703062734830928</v>
      </c>
    </row>
    <row r="6651" spans="13:15" x14ac:dyDescent="0.3">
      <c r="M6651" s="35">
        <v>44.37</v>
      </c>
      <c r="N6651">
        <v>305</v>
      </c>
      <c r="O6651" s="34">
        <f t="shared" si="104"/>
        <v>0.75714448366164189</v>
      </c>
    </row>
    <row r="6652" spans="13:15" x14ac:dyDescent="0.3">
      <c r="M6652" s="35">
        <v>44.37</v>
      </c>
      <c r="N6652">
        <v>305</v>
      </c>
      <c r="O6652" s="34">
        <f t="shared" si="104"/>
        <v>0.75725833997497449</v>
      </c>
    </row>
    <row r="6653" spans="13:15" x14ac:dyDescent="0.3">
      <c r="M6653" s="35">
        <v>44.37</v>
      </c>
      <c r="N6653">
        <v>305</v>
      </c>
      <c r="O6653" s="34">
        <f t="shared" si="104"/>
        <v>0.7573721962883071</v>
      </c>
    </row>
    <row r="6654" spans="13:15" x14ac:dyDescent="0.3">
      <c r="M6654" s="35">
        <v>44.39</v>
      </c>
      <c r="N6654">
        <v>305</v>
      </c>
      <c r="O6654" s="34">
        <f t="shared" si="104"/>
        <v>0.7574860526016397</v>
      </c>
    </row>
    <row r="6655" spans="13:15" x14ac:dyDescent="0.3">
      <c r="M6655" s="35">
        <v>44.39</v>
      </c>
      <c r="N6655">
        <v>305</v>
      </c>
      <c r="O6655" s="34">
        <f t="shared" si="104"/>
        <v>0.75759990891497231</v>
      </c>
    </row>
    <row r="6656" spans="13:15" x14ac:dyDescent="0.3">
      <c r="M6656" s="35">
        <v>44.39</v>
      </c>
      <c r="N6656">
        <v>305</v>
      </c>
      <c r="O6656" s="34">
        <f t="shared" si="104"/>
        <v>0.75771376522830491</v>
      </c>
    </row>
    <row r="6657" spans="13:15" x14ac:dyDescent="0.3">
      <c r="M6657" s="35">
        <v>44.39</v>
      </c>
      <c r="N6657">
        <v>305</v>
      </c>
      <c r="O6657" s="34">
        <f t="shared" si="104"/>
        <v>0.75782762154163752</v>
      </c>
    </row>
    <row r="6658" spans="13:15" x14ac:dyDescent="0.3">
      <c r="M6658" s="35">
        <v>44.39</v>
      </c>
      <c r="N6658">
        <v>305</v>
      </c>
      <c r="O6658" s="34">
        <f t="shared" si="104"/>
        <v>0.75794147785497012</v>
      </c>
    </row>
    <row r="6659" spans="13:15" x14ac:dyDescent="0.3">
      <c r="M6659" s="35">
        <v>44.4</v>
      </c>
      <c r="N6659">
        <v>305</v>
      </c>
      <c r="O6659" s="34">
        <f t="shared" si="104"/>
        <v>0.75805533416830273</v>
      </c>
    </row>
    <row r="6660" spans="13:15" x14ac:dyDescent="0.3">
      <c r="M6660" s="35">
        <v>44.42</v>
      </c>
      <c r="N6660">
        <v>305</v>
      </c>
      <c r="O6660" s="34">
        <f t="shared" ref="O6660:O6723" si="105">O6659+O$2</f>
        <v>0.75816919048163534</v>
      </c>
    </row>
    <row r="6661" spans="13:15" x14ac:dyDescent="0.3">
      <c r="M6661" s="35">
        <v>44.43</v>
      </c>
      <c r="N6661">
        <v>305</v>
      </c>
      <c r="O6661" s="34">
        <f t="shared" si="105"/>
        <v>0.75828304679496794</v>
      </c>
    </row>
    <row r="6662" spans="13:15" x14ac:dyDescent="0.3">
      <c r="M6662" s="35">
        <v>44.43</v>
      </c>
      <c r="N6662">
        <v>305</v>
      </c>
      <c r="O6662" s="34">
        <f t="shared" si="105"/>
        <v>0.75839690310830055</v>
      </c>
    </row>
    <row r="6663" spans="13:15" x14ac:dyDescent="0.3">
      <c r="M6663" s="35">
        <v>44.43</v>
      </c>
      <c r="N6663">
        <v>305</v>
      </c>
      <c r="O6663" s="34">
        <f t="shared" si="105"/>
        <v>0.75851075942163315</v>
      </c>
    </row>
    <row r="6664" spans="13:15" x14ac:dyDescent="0.3">
      <c r="M6664" s="35">
        <v>44.44</v>
      </c>
      <c r="N6664">
        <v>305</v>
      </c>
      <c r="O6664" s="34">
        <f t="shared" si="105"/>
        <v>0.75862461573496576</v>
      </c>
    </row>
    <row r="6665" spans="13:15" x14ac:dyDescent="0.3">
      <c r="M6665" s="35">
        <v>44.47</v>
      </c>
      <c r="N6665">
        <v>305</v>
      </c>
      <c r="O6665" s="34">
        <f t="shared" si="105"/>
        <v>0.75873847204829836</v>
      </c>
    </row>
    <row r="6666" spans="13:15" x14ac:dyDescent="0.3">
      <c r="M6666" s="35">
        <v>44.51</v>
      </c>
      <c r="N6666">
        <v>305</v>
      </c>
      <c r="O6666" s="34">
        <f t="shared" si="105"/>
        <v>0.75885232836163097</v>
      </c>
    </row>
    <row r="6667" spans="13:15" x14ac:dyDescent="0.3">
      <c r="M6667" s="35">
        <v>44.51</v>
      </c>
      <c r="N6667">
        <v>305</v>
      </c>
      <c r="O6667" s="34">
        <f t="shared" si="105"/>
        <v>0.75896618467496357</v>
      </c>
    </row>
    <row r="6668" spans="13:15" x14ac:dyDescent="0.3">
      <c r="M6668" s="35">
        <v>44.53</v>
      </c>
      <c r="N6668">
        <v>305</v>
      </c>
      <c r="O6668" s="34">
        <f t="shared" si="105"/>
        <v>0.75908004098829618</v>
      </c>
    </row>
    <row r="6669" spans="13:15" x14ac:dyDescent="0.3">
      <c r="M6669" s="35">
        <v>44.53</v>
      </c>
      <c r="N6669">
        <v>305</v>
      </c>
      <c r="O6669" s="34">
        <f t="shared" si="105"/>
        <v>0.75919389730162878</v>
      </c>
    </row>
    <row r="6670" spans="13:15" x14ac:dyDescent="0.3">
      <c r="M6670" s="35">
        <v>44.53</v>
      </c>
      <c r="N6670">
        <v>305</v>
      </c>
      <c r="O6670" s="34">
        <f t="shared" si="105"/>
        <v>0.75930775361496139</v>
      </c>
    </row>
    <row r="6671" spans="13:15" x14ac:dyDescent="0.3">
      <c r="M6671" s="35">
        <v>44.54</v>
      </c>
      <c r="N6671">
        <v>305</v>
      </c>
      <c r="O6671" s="34">
        <f t="shared" si="105"/>
        <v>0.75942160992829399</v>
      </c>
    </row>
    <row r="6672" spans="13:15" x14ac:dyDescent="0.3">
      <c r="M6672" s="35">
        <v>44.54</v>
      </c>
      <c r="N6672">
        <v>305</v>
      </c>
      <c r="O6672" s="34">
        <f t="shared" si="105"/>
        <v>0.7595354662416266</v>
      </c>
    </row>
    <row r="6673" spans="13:15" x14ac:dyDescent="0.3">
      <c r="M6673" s="35">
        <v>44.54</v>
      </c>
      <c r="N6673">
        <v>305</v>
      </c>
      <c r="O6673" s="34">
        <f t="shared" si="105"/>
        <v>0.75964932255495921</v>
      </c>
    </row>
    <row r="6674" spans="13:15" x14ac:dyDescent="0.3">
      <c r="M6674" s="35">
        <v>44.54</v>
      </c>
      <c r="N6674">
        <v>305</v>
      </c>
      <c r="O6674" s="34">
        <f t="shared" si="105"/>
        <v>0.75976317886829181</v>
      </c>
    </row>
    <row r="6675" spans="13:15" x14ac:dyDescent="0.3">
      <c r="M6675" s="35">
        <v>44.55</v>
      </c>
      <c r="N6675">
        <v>305</v>
      </c>
      <c r="O6675" s="34">
        <f t="shared" si="105"/>
        <v>0.75987703518162442</v>
      </c>
    </row>
    <row r="6676" spans="13:15" x14ac:dyDescent="0.3">
      <c r="M6676" s="35">
        <v>44.56</v>
      </c>
      <c r="N6676">
        <v>305</v>
      </c>
      <c r="O6676" s="34">
        <f t="shared" si="105"/>
        <v>0.75999089149495702</v>
      </c>
    </row>
    <row r="6677" spans="13:15" x14ac:dyDescent="0.3">
      <c r="M6677" s="35">
        <v>44.56</v>
      </c>
      <c r="N6677">
        <v>305</v>
      </c>
      <c r="O6677" s="34">
        <f t="shared" si="105"/>
        <v>0.76010474780828963</v>
      </c>
    </row>
    <row r="6678" spans="13:15" x14ac:dyDescent="0.3">
      <c r="M6678" s="35">
        <v>44.57</v>
      </c>
      <c r="N6678">
        <v>305</v>
      </c>
      <c r="O6678" s="34">
        <f t="shared" si="105"/>
        <v>0.76021860412162223</v>
      </c>
    </row>
    <row r="6679" spans="13:15" x14ac:dyDescent="0.3">
      <c r="M6679" s="35">
        <v>44.58</v>
      </c>
      <c r="N6679">
        <v>305</v>
      </c>
      <c r="O6679" s="34">
        <f t="shared" si="105"/>
        <v>0.76033246043495484</v>
      </c>
    </row>
    <row r="6680" spans="13:15" x14ac:dyDescent="0.3">
      <c r="M6680" s="35">
        <v>44.58</v>
      </c>
      <c r="N6680">
        <v>305</v>
      </c>
      <c r="O6680" s="34">
        <f t="shared" si="105"/>
        <v>0.76044631674828744</v>
      </c>
    </row>
    <row r="6681" spans="13:15" x14ac:dyDescent="0.3">
      <c r="M6681" s="35">
        <v>44.59</v>
      </c>
      <c r="N6681">
        <v>305</v>
      </c>
      <c r="O6681" s="34">
        <f t="shared" si="105"/>
        <v>0.76056017306162005</v>
      </c>
    </row>
    <row r="6682" spans="13:15" x14ac:dyDescent="0.3">
      <c r="M6682" s="35">
        <v>44.61</v>
      </c>
      <c r="N6682">
        <v>305</v>
      </c>
      <c r="O6682" s="34">
        <f t="shared" si="105"/>
        <v>0.76067402937495265</v>
      </c>
    </row>
    <row r="6683" spans="13:15" x14ac:dyDescent="0.3">
      <c r="M6683" s="35">
        <v>44.62</v>
      </c>
      <c r="N6683">
        <v>305</v>
      </c>
      <c r="O6683" s="34">
        <f t="shared" si="105"/>
        <v>0.76078788568828526</v>
      </c>
    </row>
    <row r="6684" spans="13:15" x14ac:dyDescent="0.3">
      <c r="M6684" s="35">
        <v>44.64</v>
      </c>
      <c r="N6684">
        <v>305</v>
      </c>
      <c r="O6684" s="34">
        <f t="shared" si="105"/>
        <v>0.76090174200161786</v>
      </c>
    </row>
    <row r="6685" spans="13:15" x14ac:dyDescent="0.3">
      <c r="M6685" s="35">
        <v>44.65</v>
      </c>
      <c r="N6685">
        <v>305</v>
      </c>
      <c r="O6685" s="34">
        <f t="shared" si="105"/>
        <v>0.76101559831495047</v>
      </c>
    </row>
    <row r="6686" spans="13:15" x14ac:dyDescent="0.3">
      <c r="M6686" s="35">
        <v>44.7</v>
      </c>
      <c r="N6686">
        <v>305</v>
      </c>
      <c r="O6686" s="34">
        <f t="shared" si="105"/>
        <v>0.76112945462828308</v>
      </c>
    </row>
    <row r="6687" spans="13:15" x14ac:dyDescent="0.3">
      <c r="M6687" s="35">
        <v>44.71</v>
      </c>
      <c r="N6687">
        <v>305</v>
      </c>
      <c r="O6687" s="34">
        <f t="shared" si="105"/>
        <v>0.76124331094161568</v>
      </c>
    </row>
    <row r="6688" spans="13:15" x14ac:dyDescent="0.3">
      <c r="M6688" s="35">
        <v>44.71</v>
      </c>
      <c r="N6688">
        <v>305</v>
      </c>
      <c r="O6688" s="34">
        <f t="shared" si="105"/>
        <v>0.76135716725494829</v>
      </c>
    </row>
    <row r="6689" spans="13:15" x14ac:dyDescent="0.3">
      <c r="M6689" s="35">
        <v>44.73</v>
      </c>
      <c r="N6689">
        <v>305</v>
      </c>
      <c r="O6689" s="34">
        <f t="shared" si="105"/>
        <v>0.76147102356828089</v>
      </c>
    </row>
    <row r="6690" spans="13:15" x14ac:dyDescent="0.3">
      <c r="M6690" s="35">
        <v>44.74</v>
      </c>
      <c r="N6690">
        <v>305</v>
      </c>
      <c r="O6690" s="34">
        <f t="shared" si="105"/>
        <v>0.7615848798816135</v>
      </c>
    </row>
    <row r="6691" spans="13:15" x14ac:dyDescent="0.3">
      <c r="M6691" s="35">
        <v>44.74</v>
      </c>
      <c r="N6691">
        <v>305</v>
      </c>
      <c r="O6691" s="34">
        <f t="shared" si="105"/>
        <v>0.7616987361949461</v>
      </c>
    </row>
    <row r="6692" spans="13:15" x14ac:dyDescent="0.3">
      <c r="M6692" s="35">
        <v>44.75</v>
      </c>
      <c r="N6692">
        <v>305</v>
      </c>
      <c r="O6692" s="34">
        <f t="shared" si="105"/>
        <v>0.76181259250827871</v>
      </c>
    </row>
    <row r="6693" spans="13:15" x14ac:dyDescent="0.3">
      <c r="M6693" s="35">
        <v>44.76</v>
      </c>
      <c r="N6693">
        <v>305</v>
      </c>
      <c r="O6693" s="34">
        <f t="shared" si="105"/>
        <v>0.76192644882161131</v>
      </c>
    </row>
    <row r="6694" spans="13:15" x14ac:dyDescent="0.3">
      <c r="M6694" s="35">
        <v>44.79</v>
      </c>
      <c r="N6694">
        <v>305</v>
      </c>
      <c r="O6694" s="34">
        <f t="shared" si="105"/>
        <v>0.76204030513494392</v>
      </c>
    </row>
    <row r="6695" spans="13:15" x14ac:dyDescent="0.3">
      <c r="M6695" s="35">
        <v>44.8</v>
      </c>
      <c r="N6695">
        <v>305</v>
      </c>
      <c r="O6695" s="34">
        <f t="shared" si="105"/>
        <v>0.76215416144827652</v>
      </c>
    </row>
    <row r="6696" spans="13:15" x14ac:dyDescent="0.3">
      <c r="M6696" s="35">
        <v>44.83</v>
      </c>
      <c r="N6696">
        <v>305</v>
      </c>
      <c r="O6696" s="34">
        <f t="shared" si="105"/>
        <v>0.76226801776160913</v>
      </c>
    </row>
    <row r="6697" spans="13:15" x14ac:dyDescent="0.3">
      <c r="M6697" s="35">
        <v>44.83</v>
      </c>
      <c r="N6697">
        <v>305</v>
      </c>
      <c r="O6697" s="34">
        <f t="shared" si="105"/>
        <v>0.76238187407494173</v>
      </c>
    </row>
    <row r="6698" spans="13:15" x14ac:dyDescent="0.3">
      <c r="M6698" s="35">
        <v>44.83</v>
      </c>
      <c r="N6698">
        <v>305</v>
      </c>
      <c r="O6698" s="34">
        <f t="shared" si="105"/>
        <v>0.76249573038827434</v>
      </c>
    </row>
    <row r="6699" spans="13:15" x14ac:dyDescent="0.3">
      <c r="M6699" s="35">
        <v>44.84</v>
      </c>
      <c r="N6699">
        <v>305</v>
      </c>
      <c r="O6699" s="34">
        <f t="shared" si="105"/>
        <v>0.76260958670160695</v>
      </c>
    </row>
    <row r="6700" spans="13:15" x14ac:dyDescent="0.3">
      <c r="M6700" s="35">
        <v>44.84</v>
      </c>
      <c r="N6700">
        <v>305</v>
      </c>
      <c r="O6700" s="34">
        <f t="shared" si="105"/>
        <v>0.76272344301493955</v>
      </c>
    </row>
    <row r="6701" spans="13:15" x14ac:dyDescent="0.3">
      <c r="M6701" s="35">
        <v>44.85</v>
      </c>
      <c r="N6701">
        <v>305</v>
      </c>
      <c r="O6701" s="34">
        <f t="shared" si="105"/>
        <v>0.76283729932827216</v>
      </c>
    </row>
    <row r="6702" spans="13:15" x14ac:dyDescent="0.3">
      <c r="M6702" s="35">
        <v>44.86</v>
      </c>
      <c r="N6702">
        <v>305</v>
      </c>
      <c r="O6702" s="34">
        <f t="shared" si="105"/>
        <v>0.76295115564160476</v>
      </c>
    </row>
    <row r="6703" spans="13:15" x14ac:dyDescent="0.3">
      <c r="M6703" s="35">
        <v>44.87</v>
      </c>
      <c r="N6703">
        <v>305</v>
      </c>
      <c r="O6703" s="34">
        <f t="shared" si="105"/>
        <v>0.76306501195493737</v>
      </c>
    </row>
    <row r="6704" spans="13:15" x14ac:dyDescent="0.3">
      <c r="M6704" s="35">
        <v>44.87</v>
      </c>
      <c r="N6704">
        <v>305</v>
      </c>
      <c r="O6704" s="34">
        <f t="shared" si="105"/>
        <v>0.76317886826826997</v>
      </c>
    </row>
    <row r="6705" spans="13:15" x14ac:dyDescent="0.3">
      <c r="M6705" s="35">
        <v>44.87</v>
      </c>
      <c r="N6705">
        <v>305</v>
      </c>
      <c r="O6705" s="34">
        <f t="shared" si="105"/>
        <v>0.76329272458160258</v>
      </c>
    </row>
    <row r="6706" spans="13:15" x14ac:dyDescent="0.3">
      <c r="M6706" s="35">
        <v>44.89</v>
      </c>
      <c r="N6706">
        <v>305</v>
      </c>
      <c r="O6706" s="34">
        <f t="shared" si="105"/>
        <v>0.76340658089493518</v>
      </c>
    </row>
    <row r="6707" spans="13:15" x14ac:dyDescent="0.3">
      <c r="M6707" s="35">
        <v>44.89</v>
      </c>
      <c r="N6707">
        <v>305</v>
      </c>
      <c r="O6707" s="34">
        <f t="shared" si="105"/>
        <v>0.76352043720826779</v>
      </c>
    </row>
    <row r="6708" spans="13:15" x14ac:dyDescent="0.3">
      <c r="M6708" s="35">
        <v>44.9</v>
      </c>
      <c r="N6708">
        <v>305</v>
      </c>
      <c r="O6708" s="34">
        <f t="shared" si="105"/>
        <v>0.76363429352160039</v>
      </c>
    </row>
    <row r="6709" spans="13:15" x14ac:dyDescent="0.3">
      <c r="M6709" s="35">
        <v>44.9</v>
      </c>
      <c r="N6709">
        <v>305</v>
      </c>
      <c r="O6709" s="34">
        <f t="shared" si="105"/>
        <v>0.763748149834933</v>
      </c>
    </row>
    <row r="6710" spans="13:15" x14ac:dyDescent="0.3">
      <c r="M6710" s="35">
        <v>44.9</v>
      </c>
      <c r="N6710">
        <v>305</v>
      </c>
      <c r="O6710" s="34">
        <f t="shared" si="105"/>
        <v>0.7638620061482656</v>
      </c>
    </row>
    <row r="6711" spans="13:15" x14ac:dyDescent="0.3">
      <c r="M6711" s="35">
        <v>44.92</v>
      </c>
      <c r="N6711">
        <v>305</v>
      </c>
      <c r="O6711" s="34">
        <f t="shared" si="105"/>
        <v>0.76397586246159821</v>
      </c>
    </row>
    <row r="6712" spans="13:15" x14ac:dyDescent="0.3">
      <c r="M6712" s="35">
        <v>44.93</v>
      </c>
      <c r="N6712">
        <v>305</v>
      </c>
      <c r="O6712" s="34">
        <f t="shared" si="105"/>
        <v>0.76408971877493082</v>
      </c>
    </row>
    <row r="6713" spans="13:15" x14ac:dyDescent="0.3">
      <c r="M6713" s="35">
        <v>44.93</v>
      </c>
      <c r="N6713">
        <v>305</v>
      </c>
      <c r="O6713" s="34">
        <f t="shared" si="105"/>
        <v>0.76420357508826342</v>
      </c>
    </row>
    <row r="6714" spans="13:15" x14ac:dyDescent="0.3">
      <c r="M6714" s="35">
        <v>44.94</v>
      </c>
      <c r="N6714">
        <v>305</v>
      </c>
      <c r="O6714" s="34">
        <f t="shared" si="105"/>
        <v>0.76431743140159603</v>
      </c>
    </row>
    <row r="6715" spans="13:15" x14ac:dyDescent="0.3">
      <c r="M6715" s="35">
        <v>44.96</v>
      </c>
      <c r="N6715">
        <v>305</v>
      </c>
      <c r="O6715" s="34">
        <f t="shared" si="105"/>
        <v>0.76443128771492863</v>
      </c>
    </row>
    <row r="6716" spans="13:15" x14ac:dyDescent="0.3">
      <c r="M6716" s="35">
        <v>44.96</v>
      </c>
      <c r="N6716">
        <v>305</v>
      </c>
      <c r="O6716" s="34">
        <f t="shared" si="105"/>
        <v>0.76454514402826124</v>
      </c>
    </row>
    <row r="6717" spans="13:15" x14ac:dyDescent="0.3">
      <c r="M6717" s="35">
        <v>44.99</v>
      </c>
      <c r="N6717">
        <v>305</v>
      </c>
      <c r="O6717" s="34">
        <f t="shared" si="105"/>
        <v>0.76465900034159384</v>
      </c>
    </row>
    <row r="6718" spans="13:15" x14ac:dyDescent="0.3">
      <c r="M6718" s="35">
        <v>45.01</v>
      </c>
      <c r="N6718">
        <v>305</v>
      </c>
      <c r="O6718" s="34">
        <f t="shared" si="105"/>
        <v>0.76477285665492645</v>
      </c>
    </row>
    <row r="6719" spans="13:15" x14ac:dyDescent="0.3">
      <c r="M6719" s="35">
        <v>45.02</v>
      </c>
      <c r="N6719">
        <v>305</v>
      </c>
      <c r="O6719" s="34">
        <f t="shared" si="105"/>
        <v>0.76488671296825905</v>
      </c>
    </row>
    <row r="6720" spans="13:15" x14ac:dyDescent="0.3">
      <c r="M6720" s="35">
        <v>45.02</v>
      </c>
      <c r="N6720">
        <v>305</v>
      </c>
      <c r="O6720" s="34">
        <f t="shared" si="105"/>
        <v>0.76500056928159166</v>
      </c>
    </row>
    <row r="6721" spans="13:15" x14ac:dyDescent="0.3">
      <c r="M6721" s="35">
        <v>45.05</v>
      </c>
      <c r="N6721">
        <v>305</v>
      </c>
      <c r="O6721" s="34">
        <f t="shared" si="105"/>
        <v>0.76511442559492426</v>
      </c>
    </row>
    <row r="6722" spans="13:15" x14ac:dyDescent="0.3">
      <c r="M6722" s="35">
        <v>45.06</v>
      </c>
      <c r="N6722">
        <v>305</v>
      </c>
      <c r="O6722" s="34">
        <f t="shared" si="105"/>
        <v>0.76522828190825687</v>
      </c>
    </row>
    <row r="6723" spans="13:15" x14ac:dyDescent="0.3">
      <c r="M6723" s="35">
        <v>45.08</v>
      </c>
      <c r="N6723">
        <v>305</v>
      </c>
      <c r="O6723" s="34">
        <f t="shared" si="105"/>
        <v>0.76534213822158947</v>
      </c>
    </row>
    <row r="6724" spans="13:15" x14ac:dyDescent="0.3">
      <c r="M6724" s="35">
        <v>45.09</v>
      </c>
      <c r="N6724">
        <v>305</v>
      </c>
      <c r="O6724" s="34">
        <f t="shared" ref="O6724:O6787" si="106">O6723+O$2</f>
        <v>0.76545599453492208</v>
      </c>
    </row>
    <row r="6725" spans="13:15" x14ac:dyDescent="0.3">
      <c r="M6725" s="35">
        <v>45.1</v>
      </c>
      <c r="N6725">
        <v>305</v>
      </c>
      <c r="O6725" s="34">
        <f t="shared" si="106"/>
        <v>0.76556985084825468</v>
      </c>
    </row>
    <row r="6726" spans="13:15" x14ac:dyDescent="0.3">
      <c r="M6726" s="35">
        <v>45.1</v>
      </c>
      <c r="N6726">
        <v>305</v>
      </c>
      <c r="O6726" s="34">
        <f t="shared" si="106"/>
        <v>0.76568370716158729</v>
      </c>
    </row>
    <row r="6727" spans="13:15" x14ac:dyDescent="0.3">
      <c r="M6727" s="35">
        <v>45.1</v>
      </c>
      <c r="N6727">
        <v>305</v>
      </c>
      <c r="O6727" s="34">
        <f t="shared" si="106"/>
        <v>0.7657975634749199</v>
      </c>
    </row>
    <row r="6728" spans="13:15" x14ac:dyDescent="0.3">
      <c r="M6728" s="35">
        <v>45.12</v>
      </c>
      <c r="N6728">
        <v>305</v>
      </c>
      <c r="O6728" s="34">
        <f t="shared" si="106"/>
        <v>0.7659114197882525</v>
      </c>
    </row>
    <row r="6729" spans="13:15" x14ac:dyDescent="0.3">
      <c r="M6729" s="35">
        <v>45.13</v>
      </c>
      <c r="N6729">
        <v>305</v>
      </c>
      <c r="O6729" s="34">
        <f t="shared" si="106"/>
        <v>0.76602527610158511</v>
      </c>
    </row>
    <row r="6730" spans="13:15" x14ac:dyDescent="0.3">
      <c r="M6730" s="35">
        <v>45.14</v>
      </c>
      <c r="N6730">
        <v>305</v>
      </c>
      <c r="O6730" s="34">
        <f t="shared" si="106"/>
        <v>0.76613913241491771</v>
      </c>
    </row>
    <row r="6731" spans="13:15" x14ac:dyDescent="0.3">
      <c r="M6731" s="35">
        <v>45.14</v>
      </c>
      <c r="N6731">
        <v>305</v>
      </c>
      <c r="O6731" s="34">
        <f t="shared" si="106"/>
        <v>0.76625298872825032</v>
      </c>
    </row>
    <row r="6732" spans="13:15" x14ac:dyDescent="0.3">
      <c r="M6732" s="35">
        <v>45.15</v>
      </c>
      <c r="N6732">
        <v>305</v>
      </c>
      <c r="O6732" s="34">
        <f t="shared" si="106"/>
        <v>0.76636684504158292</v>
      </c>
    </row>
    <row r="6733" spans="13:15" x14ac:dyDescent="0.3">
      <c r="M6733" s="35">
        <v>45.17</v>
      </c>
      <c r="N6733">
        <v>305</v>
      </c>
      <c r="O6733" s="34">
        <f t="shared" si="106"/>
        <v>0.76648070135491553</v>
      </c>
    </row>
    <row r="6734" spans="13:15" x14ac:dyDescent="0.3">
      <c r="M6734" s="35">
        <v>45.18</v>
      </c>
      <c r="N6734">
        <v>305</v>
      </c>
      <c r="O6734" s="34">
        <f t="shared" si="106"/>
        <v>0.76659455766824813</v>
      </c>
    </row>
    <row r="6735" spans="13:15" x14ac:dyDescent="0.3">
      <c r="M6735" s="35">
        <v>45.19</v>
      </c>
      <c r="N6735">
        <v>305</v>
      </c>
      <c r="O6735" s="34">
        <f t="shared" si="106"/>
        <v>0.76670841398158074</v>
      </c>
    </row>
    <row r="6736" spans="13:15" x14ac:dyDescent="0.3">
      <c r="M6736" s="35">
        <v>45.2</v>
      </c>
      <c r="N6736">
        <v>305</v>
      </c>
      <c r="O6736" s="34">
        <f t="shared" si="106"/>
        <v>0.76682227029491334</v>
      </c>
    </row>
    <row r="6737" spans="13:15" x14ac:dyDescent="0.3">
      <c r="M6737" s="35">
        <v>45.21</v>
      </c>
      <c r="N6737">
        <v>305</v>
      </c>
      <c r="O6737" s="34">
        <f t="shared" si="106"/>
        <v>0.76693612660824595</v>
      </c>
    </row>
    <row r="6738" spans="13:15" x14ac:dyDescent="0.3">
      <c r="M6738" s="35">
        <v>45.22</v>
      </c>
      <c r="N6738">
        <v>305</v>
      </c>
      <c r="O6738" s="34">
        <f t="shared" si="106"/>
        <v>0.76704998292157855</v>
      </c>
    </row>
    <row r="6739" spans="13:15" x14ac:dyDescent="0.3">
      <c r="M6739" s="35">
        <v>45.25</v>
      </c>
      <c r="N6739">
        <v>305</v>
      </c>
      <c r="O6739" s="34">
        <f t="shared" si="106"/>
        <v>0.76716383923491116</v>
      </c>
    </row>
    <row r="6740" spans="13:15" x14ac:dyDescent="0.3">
      <c r="M6740" s="35">
        <v>45.25</v>
      </c>
      <c r="N6740">
        <v>305</v>
      </c>
      <c r="O6740" s="34">
        <f t="shared" si="106"/>
        <v>0.76727769554824377</v>
      </c>
    </row>
    <row r="6741" spans="13:15" x14ac:dyDescent="0.3">
      <c r="M6741" s="35">
        <v>45.25</v>
      </c>
      <c r="N6741">
        <v>305</v>
      </c>
      <c r="O6741" s="34">
        <f t="shared" si="106"/>
        <v>0.76739155186157637</v>
      </c>
    </row>
    <row r="6742" spans="13:15" x14ac:dyDescent="0.3">
      <c r="M6742" s="35">
        <v>45.28</v>
      </c>
      <c r="N6742">
        <v>305</v>
      </c>
      <c r="O6742" s="34">
        <f t="shared" si="106"/>
        <v>0.76750540817490898</v>
      </c>
    </row>
    <row r="6743" spans="13:15" x14ac:dyDescent="0.3">
      <c r="M6743" s="35">
        <v>45.3</v>
      </c>
      <c r="N6743">
        <v>305</v>
      </c>
      <c r="O6743" s="34">
        <f t="shared" si="106"/>
        <v>0.76761926448824158</v>
      </c>
    </row>
    <row r="6744" spans="13:15" x14ac:dyDescent="0.3">
      <c r="M6744" s="35">
        <v>45.31</v>
      </c>
      <c r="N6744">
        <v>305</v>
      </c>
      <c r="O6744" s="34">
        <f t="shared" si="106"/>
        <v>0.76773312080157419</v>
      </c>
    </row>
    <row r="6745" spans="13:15" x14ac:dyDescent="0.3">
      <c r="M6745" s="35">
        <v>45.31</v>
      </c>
      <c r="N6745">
        <v>305</v>
      </c>
      <c r="O6745" s="34">
        <f t="shared" si="106"/>
        <v>0.76784697711490679</v>
      </c>
    </row>
    <row r="6746" spans="13:15" x14ac:dyDescent="0.3">
      <c r="M6746" s="35">
        <v>45.32</v>
      </c>
      <c r="N6746">
        <v>305</v>
      </c>
      <c r="O6746" s="34">
        <f t="shared" si="106"/>
        <v>0.7679608334282394</v>
      </c>
    </row>
    <row r="6747" spans="13:15" x14ac:dyDescent="0.3">
      <c r="M6747" s="35">
        <v>45.33</v>
      </c>
      <c r="N6747">
        <v>305</v>
      </c>
      <c r="O6747" s="34">
        <f t="shared" si="106"/>
        <v>0.768074689741572</v>
      </c>
    </row>
    <row r="6748" spans="13:15" x14ac:dyDescent="0.3">
      <c r="M6748" s="35">
        <v>45.33</v>
      </c>
      <c r="N6748">
        <v>305</v>
      </c>
      <c r="O6748" s="34">
        <f t="shared" si="106"/>
        <v>0.76818854605490461</v>
      </c>
    </row>
    <row r="6749" spans="13:15" x14ac:dyDescent="0.3">
      <c r="M6749" s="35">
        <v>45.34</v>
      </c>
      <c r="N6749">
        <v>305</v>
      </c>
      <c r="O6749" s="34">
        <f t="shared" si="106"/>
        <v>0.76830240236823721</v>
      </c>
    </row>
    <row r="6750" spans="13:15" x14ac:dyDescent="0.3">
      <c r="M6750" s="35">
        <v>45.34</v>
      </c>
      <c r="N6750">
        <v>305</v>
      </c>
      <c r="O6750" s="34">
        <f t="shared" si="106"/>
        <v>0.76841625868156982</v>
      </c>
    </row>
    <row r="6751" spans="13:15" x14ac:dyDescent="0.3">
      <c r="M6751" s="35">
        <v>45.34</v>
      </c>
      <c r="N6751">
        <v>305</v>
      </c>
      <c r="O6751" s="34">
        <f t="shared" si="106"/>
        <v>0.76853011499490242</v>
      </c>
    </row>
    <row r="6752" spans="13:15" x14ac:dyDescent="0.3">
      <c r="M6752" s="35">
        <v>45.36</v>
      </c>
      <c r="N6752">
        <v>305</v>
      </c>
      <c r="O6752" s="34">
        <f t="shared" si="106"/>
        <v>0.76864397130823503</v>
      </c>
    </row>
    <row r="6753" spans="13:15" x14ac:dyDescent="0.3">
      <c r="M6753" s="35">
        <v>45.38</v>
      </c>
      <c r="N6753">
        <v>305</v>
      </c>
      <c r="O6753" s="34">
        <f t="shared" si="106"/>
        <v>0.76875782762156764</v>
      </c>
    </row>
    <row r="6754" spans="13:15" x14ac:dyDescent="0.3">
      <c r="M6754" s="35">
        <v>45.4</v>
      </c>
      <c r="N6754">
        <v>305</v>
      </c>
      <c r="O6754" s="34">
        <f t="shared" si="106"/>
        <v>0.76887168393490024</v>
      </c>
    </row>
    <row r="6755" spans="13:15" x14ac:dyDescent="0.3">
      <c r="M6755" s="35">
        <v>45.41</v>
      </c>
      <c r="N6755">
        <v>305</v>
      </c>
      <c r="O6755" s="34">
        <f t="shared" si="106"/>
        <v>0.76898554024823285</v>
      </c>
    </row>
    <row r="6756" spans="13:15" x14ac:dyDescent="0.3">
      <c r="M6756" s="35">
        <v>45.41</v>
      </c>
      <c r="N6756">
        <v>305</v>
      </c>
      <c r="O6756" s="34">
        <f t="shared" si="106"/>
        <v>0.76909939656156545</v>
      </c>
    </row>
    <row r="6757" spans="13:15" x14ac:dyDescent="0.3">
      <c r="M6757" s="35">
        <v>45.42</v>
      </c>
      <c r="N6757">
        <v>305</v>
      </c>
      <c r="O6757" s="34">
        <f t="shared" si="106"/>
        <v>0.76921325287489806</v>
      </c>
    </row>
    <row r="6758" spans="13:15" x14ac:dyDescent="0.3">
      <c r="M6758" s="35">
        <v>45.42</v>
      </c>
      <c r="N6758">
        <v>305</v>
      </c>
      <c r="O6758" s="34">
        <f t="shared" si="106"/>
        <v>0.76932710918823066</v>
      </c>
    </row>
    <row r="6759" spans="13:15" x14ac:dyDescent="0.3">
      <c r="M6759" s="35">
        <v>45.43</v>
      </c>
      <c r="N6759">
        <v>305</v>
      </c>
      <c r="O6759" s="34">
        <f t="shared" si="106"/>
        <v>0.76944096550156327</v>
      </c>
    </row>
    <row r="6760" spans="13:15" x14ac:dyDescent="0.3">
      <c r="M6760" s="35">
        <v>45.43</v>
      </c>
      <c r="N6760">
        <v>305</v>
      </c>
      <c r="O6760" s="34">
        <f t="shared" si="106"/>
        <v>0.76955482181489587</v>
      </c>
    </row>
    <row r="6761" spans="13:15" x14ac:dyDescent="0.3">
      <c r="M6761" s="35">
        <v>45.44</v>
      </c>
      <c r="N6761">
        <v>305</v>
      </c>
      <c r="O6761" s="34">
        <f t="shared" si="106"/>
        <v>0.76966867812822848</v>
      </c>
    </row>
    <row r="6762" spans="13:15" x14ac:dyDescent="0.3">
      <c r="M6762" s="35">
        <v>45.45</v>
      </c>
      <c r="N6762">
        <v>305</v>
      </c>
      <c r="O6762" s="34">
        <f t="shared" si="106"/>
        <v>0.76978253444156108</v>
      </c>
    </row>
    <row r="6763" spans="13:15" x14ac:dyDescent="0.3">
      <c r="M6763" s="35">
        <v>45.46</v>
      </c>
      <c r="N6763">
        <v>305</v>
      </c>
      <c r="O6763" s="34">
        <f t="shared" si="106"/>
        <v>0.76989639075489369</v>
      </c>
    </row>
    <row r="6764" spans="13:15" x14ac:dyDescent="0.3">
      <c r="M6764" s="35">
        <v>45.47</v>
      </c>
      <c r="N6764">
        <v>305</v>
      </c>
      <c r="O6764" s="34">
        <f t="shared" si="106"/>
        <v>0.77001024706822629</v>
      </c>
    </row>
    <row r="6765" spans="13:15" x14ac:dyDescent="0.3">
      <c r="M6765" s="35">
        <v>45.48</v>
      </c>
      <c r="N6765">
        <v>305</v>
      </c>
      <c r="O6765" s="34">
        <f t="shared" si="106"/>
        <v>0.7701241033815589</v>
      </c>
    </row>
    <row r="6766" spans="13:15" x14ac:dyDescent="0.3">
      <c r="M6766" s="35">
        <v>45.49</v>
      </c>
      <c r="N6766">
        <v>305</v>
      </c>
      <c r="O6766" s="34">
        <f t="shared" si="106"/>
        <v>0.77023795969489151</v>
      </c>
    </row>
    <row r="6767" spans="13:15" x14ac:dyDescent="0.3">
      <c r="M6767" s="35">
        <v>45.51</v>
      </c>
      <c r="N6767">
        <v>305</v>
      </c>
      <c r="O6767" s="34">
        <f t="shared" si="106"/>
        <v>0.77035181600822411</v>
      </c>
    </row>
    <row r="6768" spans="13:15" x14ac:dyDescent="0.3">
      <c r="M6768" s="35">
        <v>45.51</v>
      </c>
      <c r="N6768">
        <v>305</v>
      </c>
      <c r="O6768" s="34">
        <f t="shared" si="106"/>
        <v>0.77046567232155672</v>
      </c>
    </row>
    <row r="6769" spans="13:15" x14ac:dyDescent="0.3">
      <c r="M6769" s="35">
        <v>45.54</v>
      </c>
      <c r="N6769">
        <v>305</v>
      </c>
      <c r="O6769" s="34">
        <f t="shared" si="106"/>
        <v>0.77057952863488932</v>
      </c>
    </row>
    <row r="6770" spans="13:15" x14ac:dyDescent="0.3">
      <c r="M6770" s="35">
        <v>45.55</v>
      </c>
      <c r="N6770">
        <v>305</v>
      </c>
      <c r="O6770" s="34">
        <f t="shared" si="106"/>
        <v>0.77069338494822193</v>
      </c>
    </row>
    <row r="6771" spans="13:15" x14ac:dyDescent="0.3">
      <c r="M6771" s="35">
        <v>45.57</v>
      </c>
      <c r="N6771">
        <v>305</v>
      </c>
      <c r="O6771" s="34">
        <f t="shared" si="106"/>
        <v>0.77080724126155453</v>
      </c>
    </row>
    <row r="6772" spans="13:15" x14ac:dyDescent="0.3">
      <c r="M6772" s="35">
        <v>45.58</v>
      </c>
      <c r="N6772">
        <v>305</v>
      </c>
      <c r="O6772" s="34">
        <f t="shared" si="106"/>
        <v>0.77092109757488714</v>
      </c>
    </row>
    <row r="6773" spans="13:15" x14ac:dyDescent="0.3">
      <c r="M6773" s="35">
        <v>45.61</v>
      </c>
      <c r="N6773">
        <v>305</v>
      </c>
      <c r="O6773" s="34">
        <f t="shared" si="106"/>
        <v>0.77103495388821974</v>
      </c>
    </row>
    <row r="6774" spans="13:15" x14ac:dyDescent="0.3">
      <c r="M6774" s="35">
        <v>45.62</v>
      </c>
      <c r="N6774">
        <v>305</v>
      </c>
      <c r="O6774" s="34">
        <f t="shared" si="106"/>
        <v>0.77114881020155235</v>
      </c>
    </row>
    <row r="6775" spans="13:15" x14ac:dyDescent="0.3">
      <c r="M6775" s="35">
        <v>45.64</v>
      </c>
      <c r="N6775">
        <v>305</v>
      </c>
      <c r="O6775" s="34">
        <f t="shared" si="106"/>
        <v>0.77126266651488495</v>
      </c>
    </row>
    <row r="6776" spans="13:15" x14ac:dyDescent="0.3">
      <c r="M6776" s="35">
        <v>45.65</v>
      </c>
      <c r="N6776">
        <v>305</v>
      </c>
      <c r="O6776" s="34">
        <f t="shared" si="106"/>
        <v>0.77137652282821756</v>
      </c>
    </row>
    <row r="6777" spans="13:15" x14ac:dyDescent="0.3">
      <c r="M6777" s="35">
        <v>45.65</v>
      </c>
      <c r="N6777">
        <v>305</v>
      </c>
      <c r="O6777" s="34">
        <f t="shared" si="106"/>
        <v>0.77149037914155016</v>
      </c>
    </row>
    <row r="6778" spans="13:15" x14ac:dyDescent="0.3">
      <c r="M6778" s="35">
        <v>45.66</v>
      </c>
      <c r="N6778">
        <v>305</v>
      </c>
      <c r="O6778" s="34">
        <f t="shared" si="106"/>
        <v>0.77160423545488277</v>
      </c>
    </row>
    <row r="6779" spans="13:15" x14ac:dyDescent="0.3">
      <c r="M6779" s="35">
        <v>45.67</v>
      </c>
      <c r="N6779">
        <v>305</v>
      </c>
      <c r="O6779" s="34">
        <f t="shared" si="106"/>
        <v>0.77171809176821538</v>
      </c>
    </row>
    <row r="6780" spans="13:15" x14ac:dyDescent="0.3">
      <c r="M6780" s="35">
        <v>45.7</v>
      </c>
      <c r="N6780">
        <v>305</v>
      </c>
      <c r="O6780" s="34">
        <f t="shared" si="106"/>
        <v>0.77183194808154798</v>
      </c>
    </row>
    <row r="6781" spans="13:15" x14ac:dyDescent="0.3">
      <c r="M6781" s="35">
        <v>45.71</v>
      </c>
      <c r="N6781">
        <v>305</v>
      </c>
      <c r="O6781" s="34">
        <f t="shared" si="106"/>
        <v>0.77194580439488059</v>
      </c>
    </row>
    <row r="6782" spans="13:15" x14ac:dyDescent="0.3">
      <c r="M6782" s="35">
        <v>45.72</v>
      </c>
      <c r="N6782">
        <v>305</v>
      </c>
      <c r="O6782" s="34">
        <f t="shared" si="106"/>
        <v>0.77205966070821319</v>
      </c>
    </row>
    <row r="6783" spans="13:15" x14ac:dyDescent="0.3">
      <c r="M6783" s="35">
        <v>45.73</v>
      </c>
      <c r="N6783">
        <v>305</v>
      </c>
      <c r="O6783" s="34">
        <f t="shared" si="106"/>
        <v>0.7721735170215458</v>
      </c>
    </row>
    <row r="6784" spans="13:15" x14ac:dyDescent="0.3">
      <c r="M6784" s="35">
        <v>45.73</v>
      </c>
      <c r="N6784">
        <v>305</v>
      </c>
      <c r="O6784" s="34">
        <f t="shared" si="106"/>
        <v>0.7722873733348784</v>
      </c>
    </row>
    <row r="6785" spans="13:15" x14ac:dyDescent="0.3">
      <c r="M6785" s="35">
        <v>45.73</v>
      </c>
      <c r="N6785">
        <v>305</v>
      </c>
      <c r="O6785" s="34">
        <f t="shared" si="106"/>
        <v>0.77240122964821101</v>
      </c>
    </row>
    <row r="6786" spans="13:15" x14ac:dyDescent="0.3">
      <c r="M6786" s="35">
        <v>45.74</v>
      </c>
      <c r="N6786">
        <v>305</v>
      </c>
      <c r="O6786" s="34">
        <f t="shared" si="106"/>
        <v>0.77251508596154361</v>
      </c>
    </row>
    <row r="6787" spans="13:15" x14ac:dyDescent="0.3">
      <c r="M6787" s="35">
        <v>45.74</v>
      </c>
      <c r="N6787">
        <v>305</v>
      </c>
      <c r="O6787" s="34">
        <f t="shared" si="106"/>
        <v>0.77262894227487622</v>
      </c>
    </row>
    <row r="6788" spans="13:15" x14ac:dyDescent="0.3">
      <c r="M6788" s="35">
        <v>45.74</v>
      </c>
      <c r="N6788">
        <v>305</v>
      </c>
      <c r="O6788" s="34">
        <f t="shared" ref="O6788:O6851" si="107">O6787+O$2</f>
        <v>0.77274279858820882</v>
      </c>
    </row>
    <row r="6789" spans="13:15" x14ac:dyDescent="0.3">
      <c r="M6789" s="35">
        <v>45.75</v>
      </c>
      <c r="N6789">
        <v>305</v>
      </c>
      <c r="O6789" s="34">
        <f t="shared" si="107"/>
        <v>0.77285665490154143</v>
      </c>
    </row>
    <row r="6790" spans="13:15" x14ac:dyDescent="0.3">
      <c r="M6790" s="35">
        <v>45.75</v>
      </c>
      <c r="N6790">
        <v>305</v>
      </c>
      <c r="O6790" s="34">
        <f t="shared" si="107"/>
        <v>0.77297051121487403</v>
      </c>
    </row>
    <row r="6791" spans="13:15" x14ac:dyDescent="0.3">
      <c r="M6791" s="35">
        <v>45.76</v>
      </c>
      <c r="N6791">
        <v>305</v>
      </c>
      <c r="O6791" s="34">
        <f t="shared" si="107"/>
        <v>0.77308436752820664</v>
      </c>
    </row>
    <row r="6792" spans="13:15" x14ac:dyDescent="0.3">
      <c r="M6792" s="35">
        <v>45.76</v>
      </c>
      <c r="N6792">
        <v>305</v>
      </c>
      <c r="O6792" s="34">
        <f t="shared" si="107"/>
        <v>0.77319822384153924</v>
      </c>
    </row>
    <row r="6793" spans="13:15" x14ac:dyDescent="0.3">
      <c r="M6793" s="35">
        <v>45.78</v>
      </c>
      <c r="N6793">
        <v>305</v>
      </c>
      <c r="O6793" s="34">
        <f t="shared" si="107"/>
        <v>0.77331208015487185</v>
      </c>
    </row>
    <row r="6794" spans="13:15" x14ac:dyDescent="0.3">
      <c r="M6794" s="35">
        <v>45.79</v>
      </c>
      <c r="N6794">
        <v>305</v>
      </c>
      <c r="O6794" s="34">
        <f t="shared" si="107"/>
        <v>0.77342593646820446</v>
      </c>
    </row>
    <row r="6795" spans="13:15" x14ac:dyDescent="0.3">
      <c r="M6795" s="35">
        <v>45.8</v>
      </c>
      <c r="N6795">
        <v>305</v>
      </c>
      <c r="O6795" s="34">
        <f t="shared" si="107"/>
        <v>0.77353979278153706</v>
      </c>
    </row>
    <row r="6796" spans="13:15" x14ac:dyDescent="0.3">
      <c r="M6796" s="35">
        <v>45.8</v>
      </c>
      <c r="N6796">
        <v>305</v>
      </c>
      <c r="O6796" s="34">
        <f t="shared" si="107"/>
        <v>0.77365364909486967</v>
      </c>
    </row>
    <row r="6797" spans="13:15" x14ac:dyDescent="0.3">
      <c r="M6797" s="35">
        <v>45.84</v>
      </c>
      <c r="N6797">
        <v>305</v>
      </c>
      <c r="O6797" s="34">
        <f t="shared" si="107"/>
        <v>0.77376750540820227</v>
      </c>
    </row>
    <row r="6798" spans="13:15" x14ac:dyDescent="0.3">
      <c r="M6798" s="35">
        <v>45.85</v>
      </c>
      <c r="N6798">
        <v>305</v>
      </c>
      <c r="O6798" s="34">
        <f t="shared" si="107"/>
        <v>0.77388136172153488</v>
      </c>
    </row>
    <row r="6799" spans="13:15" x14ac:dyDescent="0.3">
      <c r="M6799" s="35">
        <v>45.86</v>
      </c>
      <c r="N6799">
        <v>305</v>
      </c>
      <c r="O6799" s="34">
        <f t="shared" si="107"/>
        <v>0.77399521803486748</v>
      </c>
    </row>
    <row r="6800" spans="13:15" x14ac:dyDescent="0.3">
      <c r="M6800" s="35">
        <v>45.86</v>
      </c>
      <c r="N6800">
        <v>305</v>
      </c>
      <c r="O6800" s="34">
        <f t="shared" si="107"/>
        <v>0.77410907434820009</v>
      </c>
    </row>
    <row r="6801" spans="13:15" x14ac:dyDescent="0.3">
      <c r="M6801" s="35">
        <v>45.86</v>
      </c>
      <c r="N6801">
        <v>305</v>
      </c>
      <c r="O6801" s="34">
        <f t="shared" si="107"/>
        <v>0.77422293066153269</v>
      </c>
    </row>
    <row r="6802" spans="13:15" x14ac:dyDescent="0.3">
      <c r="M6802" s="35">
        <v>45.87</v>
      </c>
      <c r="N6802">
        <v>305</v>
      </c>
      <c r="O6802" s="34">
        <f t="shared" si="107"/>
        <v>0.7743367869748653</v>
      </c>
    </row>
    <row r="6803" spans="13:15" x14ac:dyDescent="0.3">
      <c r="M6803" s="35">
        <v>45.88</v>
      </c>
      <c r="N6803">
        <v>305</v>
      </c>
      <c r="O6803" s="34">
        <f t="shared" si="107"/>
        <v>0.7744506432881979</v>
      </c>
    </row>
    <row r="6804" spans="13:15" x14ac:dyDescent="0.3">
      <c r="M6804" s="35">
        <v>45.89</v>
      </c>
      <c r="N6804">
        <v>305</v>
      </c>
      <c r="O6804" s="34">
        <f t="shared" si="107"/>
        <v>0.77456449960153051</v>
      </c>
    </row>
    <row r="6805" spans="13:15" x14ac:dyDescent="0.3">
      <c r="M6805" s="35">
        <v>45.9</v>
      </c>
      <c r="N6805">
        <v>305</v>
      </c>
      <c r="O6805" s="34">
        <f t="shared" si="107"/>
        <v>0.77467835591486311</v>
      </c>
    </row>
    <row r="6806" spans="13:15" x14ac:dyDescent="0.3">
      <c r="M6806" s="35">
        <v>45.9</v>
      </c>
      <c r="N6806">
        <v>305</v>
      </c>
      <c r="O6806" s="34">
        <f t="shared" si="107"/>
        <v>0.77479221222819572</v>
      </c>
    </row>
    <row r="6807" spans="13:15" x14ac:dyDescent="0.3">
      <c r="M6807" s="35">
        <v>45.9</v>
      </c>
      <c r="N6807">
        <v>305</v>
      </c>
      <c r="O6807" s="34">
        <f t="shared" si="107"/>
        <v>0.77490606854152833</v>
      </c>
    </row>
    <row r="6808" spans="13:15" x14ac:dyDescent="0.3">
      <c r="M6808" s="35">
        <v>45.92</v>
      </c>
      <c r="N6808">
        <v>305</v>
      </c>
      <c r="O6808" s="34">
        <f t="shared" si="107"/>
        <v>0.77501992485486093</v>
      </c>
    </row>
    <row r="6809" spans="13:15" x14ac:dyDescent="0.3">
      <c r="M6809" s="35">
        <v>45.92</v>
      </c>
      <c r="N6809">
        <v>305</v>
      </c>
      <c r="O6809" s="34">
        <f t="shared" si="107"/>
        <v>0.77513378116819354</v>
      </c>
    </row>
    <row r="6810" spans="13:15" x14ac:dyDescent="0.3">
      <c r="M6810" s="35">
        <v>45.97</v>
      </c>
      <c r="N6810">
        <v>305</v>
      </c>
      <c r="O6810" s="34">
        <f t="shared" si="107"/>
        <v>0.77524763748152614</v>
      </c>
    </row>
    <row r="6811" spans="13:15" x14ac:dyDescent="0.3">
      <c r="M6811" s="35">
        <v>45.97</v>
      </c>
      <c r="N6811">
        <v>305</v>
      </c>
      <c r="O6811" s="34">
        <f t="shared" si="107"/>
        <v>0.77536149379485875</v>
      </c>
    </row>
    <row r="6812" spans="13:15" x14ac:dyDescent="0.3">
      <c r="M6812" s="35">
        <v>45.99</v>
      </c>
      <c r="N6812">
        <v>305</v>
      </c>
      <c r="O6812" s="34">
        <f t="shared" si="107"/>
        <v>0.77547535010819135</v>
      </c>
    </row>
    <row r="6813" spans="13:15" x14ac:dyDescent="0.3">
      <c r="M6813" s="35">
        <v>45.99</v>
      </c>
      <c r="N6813">
        <v>305</v>
      </c>
      <c r="O6813" s="34">
        <f t="shared" si="107"/>
        <v>0.77558920642152396</v>
      </c>
    </row>
    <row r="6814" spans="13:15" x14ac:dyDescent="0.3">
      <c r="M6814" s="35">
        <v>46</v>
      </c>
      <c r="N6814">
        <v>305</v>
      </c>
      <c r="O6814" s="34">
        <f t="shared" si="107"/>
        <v>0.77570306273485656</v>
      </c>
    </row>
    <row r="6815" spans="13:15" x14ac:dyDescent="0.3">
      <c r="M6815" s="35">
        <v>46</v>
      </c>
      <c r="N6815">
        <v>305</v>
      </c>
      <c r="O6815" s="34">
        <f t="shared" si="107"/>
        <v>0.77581691904818917</v>
      </c>
    </row>
    <row r="6816" spans="13:15" x14ac:dyDescent="0.3">
      <c r="M6816" s="35">
        <v>46</v>
      </c>
      <c r="N6816">
        <v>305</v>
      </c>
      <c r="O6816" s="34">
        <f t="shared" si="107"/>
        <v>0.77593077536152177</v>
      </c>
    </row>
    <row r="6817" spans="13:15" x14ac:dyDescent="0.3">
      <c r="M6817" s="35">
        <v>46</v>
      </c>
      <c r="N6817">
        <v>305</v>
      </c>
      <c r="O6817" s="34">
        <f t="shared" si="107"/>
        <v>0.77604463167485438</v>
      </c>
    </row>
    <row r="6818" spans="13:15" x14ac:dyDescent="0.3">
      <c r="M6818" s="35">
        <v>46.01</v>
      </c>
      <c r="N6818">
        <v>305</v>
      </c>
      <c r="O6818" s="34">
        <f t="shared" si="107"/>
        <v>0.77615848798818698</v>
      </c>
    </row>
    <row r="6819" spans="13:15" x14ac:dyDescent="0.3">
      <c r="M6819" s="35">
        <v>46.01</v>
      </c>
      <c r="N6819">
        <v>305</v>
      </c>
      <c r="O6819" s="34">
        <f t="shared" si="107"/>
        <v>0.77627234430151959</v>
      </c>
    </row>
    <row r="6820" spans="13:15" x14ac:dyDescent="0.3">
      <c r="M6820" s="35">
        <v>46.02</v>
      </c>
      <c r="N6820">
        <v>305</v>
      </c>
      <c r="O6820" s="34">
        <f t="shared" si="107"/>
        <v>0.7763862006148522</v>
      </c>
    </row>
    <row r="6821" spans="13:15" x14ac:dyDescent="0.3">
      <c r="M6821" s="35">
        <v>46.04</v>
      </c>
      <c r="N6821">
        <v>305</v>
      </c>
      <c r="O6821" s="34">
        <f t="shared" si="107"/>
        <v>0.7765000569281848</v>
      </c>
    </row>
    <row r="6822" spans="13:15" x14ac:dyDescent="0.3">
      <c r="M6822" s="35">
        <v>46.06</v>
      </c>
      <c r="N6822">
        <v>305</v>
      </c>
      <c r="O6822" s="34">
        <f t="shared" si="107"/>
        <v>0.77661391324151741</v>
      </c>
    </row>
    <row r="6823" spans="13:15" x14ac:dyDescent="0.3">
      <c r="M6823" s="35">
        <v>46.08</v>
      </c>
      <c r="N6823">
        <v>305</v>
      </c>
      <c r="O6823" s="34">
        <f t="shared" si="107"/>
        <v>0.77672776955485001</v>
      </c>
    </row>
    <row r="6824" spans="13:15" x14ac:dyDescent="0.3">
      <c r="M6824" s="35">
        <v>46.09</v>
      </c>
      <c r="N6824">
        <v>305</v>
      </c>
      <c r="O6824" s="34">
        <f t="shared" si="107"/>
        <v>0.77684162586818262</v>
      </c>
    </row>
    <row r="6825" spans="13:15" x14ac:dyDescent="0.3">
      <c r="M6825" s="35">
        <v>46.09</v>
      </c>
      <c r="N6825">
        <v>305</v>
      </c>
      <c r="O6825" s="34">
        <f t="shared" si="107"/>
        <v>0.77695548218151522</v>
      </c>
    </row>
    <row r="6826" spans="13:15" x14ac:dyDescent="0.3">
      <c r="M6826" s="35">
        <v>46.09</v>
      </c>
      <c r="N6826">
        <v>305</v>
      </c>
      <c r="O6826" s="34">
        <f t="shared" si="107"/>
        <v>0.77706933849484783</v>
      </c>
    </row>
    <row r="6827" spans="13:15" x14ac:dyDescent="0.3">
      <c r="M6827" s="35">
        <v>46.12</v>
      </c>
      <c r="N6827">
        <v>305</v>
      </c>
      <c r="O6827" s="34">
        <f t="shared" si="107"/>
        <v>0.77718319480818043</v>
      </c>
    </row>
    <row r="6828" spans="13:15" x14ac:dyDescent="0.3">
      <c r="M6828" s="35">
        <v>46.13</v>
      </c>
      <c r="N6828">
        <v>305</v>
      </c>
      <c r="O6828" s="34">
        <f t="shared" si="107"/>
        <v>0.77729705112151304</v>
      </c>
    </row>
    <row r="6829" spans="13:15" x14ac:dyDescent="0.3">
      <c r="M6829" s="35">
        <v>46.14</v>
      </c>
      <c r="N6829">
        <v>305</v>
      </c>
      <c r="O6829" s="34">
        <f t="shared" si="107"/>
        <v>0.77741090743484564</v>
      </c>
    </row>
    <row r="6830" spans="13:15" x14ac:dyDescent="0.3">
      <c r="M6830" s="35">
        <v>46.14</v>
      </c>
      <c r="N6830">
        <v>305</v>
      </c>
      <c r="O6830" s="34">
        <f t="shared" si="107"/>
        <v>0.77752476374817825</v>
      </c>
    </row>
    <row r="6831" spans="13:15" x14ac:dyDescent="0.3">
      <c r="M6831" s="35">
        <v>46.21</v>
      </c>
      <c r="N6831">
        <v>305</v>
      </c>
      <c r="O6831" s="34">
        <f t="shared" si="107"/>
        <v>0.77763862006151085</v>
      </c>
    </row>
    <row r="6832" spans="13:15" x14ac:dyDescent="0.3">
      <c r="M6832" s="35">
        <v>46.21</v>
      </c>
      <c r="N6832">
        <v>305</v>
      </c>
      <c r="O6832" s="34">
        <f t="shared" si="107"/>
        <v>0.77775247637484346</v>
      </c>
    </row>
    <row r="6833" spans="13:15" x14ac:dyDescent="0.3">
      <c r="M6833" s="35">
        <v>46.21</v>
      </c>
      <c r="N6833">
        <v>305</v>
      </c>
      <c r="O6833" s="34">
        <f t="shared" si="107"/>
        <v>0.77786633268817607</v>
      </c>
    </row>
    <row r="6834" spans="13:15" x14ac:dyDescent="0.3">
      <c r="M6834" s="35">
        <v>46.22</v>
      </c>
      <c r="N6834">
        <v>305</v>
      </c>
      <c r="O6834" s="34">
        <f t="shared" si="107"/>
        <v>0.77798018900150867</v>
      </c>
    </row>
    <row r="6835" spans="13:15" x14ac:dyDescent="0.3">
      <c r="M6835" s="35">
        <v>46.23</v>
      </c>
      <c r="N6835">
        <v>305</v>
      </c>
      <c r="O6835" s="34">
        <f t="shared" si="107"/>
        <v>0.77809404531484128</v>
      </c>
    </row>
    <row r="6836" spans="13:15" x14ac:dyDescent="0.3">
      <c r="M6836" s="35">
        <v>46.24</v>
      </c>
      <c r="N6836">
        <v>305</v>
      </c>
      <c r="O6836" s="34">
        <f t="shared" si="107"/>
        <v>0.77820790162817388</v>
      </c>
    </row>
    <row r="6837" spans="13:15" x14ac:dyDescent="0.3">
      <c r="M6837" s="35">
        <v>46.24</v>
      </c>
      <c r="N6837">
        <v>305</v>
      </c>
      <c r="O6837" s="34">
        <f t="shared" si="107"/>
        <v>0.77832175794150649</v>
      </c>
    </row>
    <row r="6838" spans="13:15" x14ac:dyDescent="0.3">
      <c r="M6838" s="35">
        <v>46.26</v>
      </c>
      <c r="N6838">
        <v>305</v>
      </c>
      <c r="O6838" s="34">
        <f t="shared" si="107"/>
        <v>0.77843561425483909</v>
      </c>
    </row>
    <row r="6839" spans="13:15" x14ac:dyDescent="0.3">
      <c r="M6839" s="35">
        <v>46.28</v>
      </c>
      <c r="N6839">
        <v>305</v>
      </c>
      <c r="O6839" s="34">
        <f t="shared" si="107"/>
        <v>0.7785494705681717</v>
      </c>
    </row>
    <row r="6840" spans="13:15" x14ac:dyDescent="0.3">
      <c r="M6840" s="35">
        <v>46.29</v>
      </c>
      <c r="N6840">
        <v>305</v>
      </c>
      <c r="O6840" s="34">
        <f t="shared" si="107"/>
        <v>0.7786633268815043</v>
      </c>
    </row>
    <row r="6841" spans="13:15" x14ac:dyDescent="0.3">
      <c r="M6841" s="35">
        <v>46.29</v>
      </c>
      <c r="N6841">
        <v>305</v>
      </c>
      <c r="O6841" s="34">
        <f t="shared" si="107"/>
        <v>0.77877718319483691</v>
      </c>
    </row>
    <row r="6842" spans="13:15" x14ac:dyDescent="0.3">
      <c r="M6842" s="35">
        <v>46.29</v>
      </c>
      <c r="N6842">
        <v>305</v>
      </c>
      <c r="O6842" s="34">
        <f t="shared" si="107"/>
        <v>0.77889103950816951</v>
      </c>
    </row>
    <row r="6843" spans="13:15" x14ac:dyDescent="0.3">
      <c r="M6843" s="35">
        <v>46.29</v>
      </c>
      <c r="N6843">
        <v>305</v>
      </c>
      <c r="O6843" s="34">
        <f t="shared" si="107"/>
        <v>0.77900489582150212</v>
      </c>
    </row>
    <row r="6844" spans="13:15" x14ac:dyDescent="0.3">
      <c r="M6844" s="35">
        <v>46.3</v>
      </c>
      <c r="N6844">
        <v>305</v>
      </c>
      <c r="O6844" s="34">
        <f t="shared" si="107"/>
        <v>0.77911875213483472</v>
      </c>
    </row>
    <row r="6845" spans="13:15" x14ac:dyDescent="0.3">
      <c r="M6845" s="35">
        <v>46.3</v>
      </c>
      <c r="N6845">
        <v>305</v>
      </c>
      <c r="O6845" s="34">
        <f t="shared" si="107"/>
        <v>0.77923260844816733</v>
      </c>
    </row>
    <row r="6846" spans="13:15" x14ac:dyDescent="0.3">
      <c r="M6846" s="35">
        <v>46.31</v>
      </c>
      <c r="N6846">
        <v>305</v>
      </c>
      <c r="O6846" s="34">
        <f t="shared" si="107"/>
        <v>0.77934646476149994</v>
      </c>
    </row>
    <row r="6847" spans="13:15" x14ac:dyDescent="0.3">
      <c r="M6847" s="35">
        <v>46.31</v>
      </c>
      <c r="N6847">
        <v>305</v>
      </c>
      <c r="O6847" s="34">
        <f t="shared" si="107"/>
        <v>0.77946032107483254</v>
      </c>
    </row>
    <row r="6848" spans="13:15" x14ac:dyDescent="0.3">
      <c r="M6848" s="35">
        <v>46.32</v>
      </c>
      <c r="N6848">
        <v>305</v>
      </c>
      <c r="O6848" s="34">
        <f t="shared" si="107"/>
        <v>0.77957417738816515</v>
      </c>
    </row>
    <row r="6849" spans="13:15" x14ac:dyDescent="0.3">
      <c r="M6849" s="35">
        <v>46.34</v>
      </c>
      <c r="N6849">
        <v>305</v>
      </c>
      <c r="O6849" s="34">
        <f t="shared" si="107"/>
        <v>0.77968803370149775</v>
      </c>
    </row>
    <row r="6850" spans="13:15" x14ac:dyDescent="0.3">
      <c r="M6850" s="35">
        <v>46.34</v>
      </c>
      <c r="N6850">
        <v>305</v>
      </c>
      <c r="O6850" s="34">
        <f t="shared" si="107"/>
        <v>0.77980189001483036</v>
      </c>
    </row>
    <row r="6851" spans="13:15" x14ac:dyDescent="0.3">
      <c r="M6851" s="35">
        <v>46.35</v>
      </c>
      <c r="N6851">
        <v>305</v>
      </c>
      <c r="O6851" s="34">
        <f t="shared" si="107"/>
        <v>0.77991574632816296</v>
      </c>
    </row>
    <row r="6852" spans="13:15" x14ac:dyDescent="0.3">
      <c r="M6852" s="35">
        <v>46.35</v>
      </c>
      <c r="N6852">
        <v>305</v>
      </c>
      <c r="O6852" s="34">
        <f t="shared" ref="O6852:O6915" si="108">O6851+O$2</f>
        <v>0.78002960264149557</v>
      </c>
    </row>
    <row r="6853" spans="13:15" x14ac:dyDescent="0.3">
      <c r="M6853" s="35">
        <v>46.38</v>
      </c>
      <c r="N6853">
        <v>305</v>
      </c>
      <c r="O6853" s="34">
        <f t="shared" si="108"/>
        <v>0.78014345895482817</v>
      </c>
    </row>
    <row r="6854" spans="13:15" x14ac:dyDescent="0.3">
      <c r="M6854" s="35">
        <v>46.39</v>
      </c>
      <c r="N6854">
        <v>305</v>
      </c>
      <c r="O6854" s="34">
        <f t="shared" si="108"/>
        <v>0.78025731526816078</v>
      </c>
    </row>
    <row r="6855" spans="13:15" x14ac:dyDescent="0.3">
      <c r="M6855" s="35">
        <v>46.39</v>
      </c>
      <c r="N6855">
        <v>305</v>
      </c>
      <c r="O6855" s="34">
        <f t="shared" si="108"/>
        <v>0.78037117158149338</v>
      </c>
    </row>
    <row r="6856" spans="13:15" x14ac:dyDescent="0.3">
      <c r="M6856" s="35">
        <v>46.39</v>
      </c>
      <c r="N6856">
        <v>305</v>
      </c>
      <c r="O6856" s="34">
        <f t="shared" si="108"/>
        <v>0.78048502789482599</v>
      </c>
    </row>
    <row r="6857" spans="13:15" x14ac:dyDescent="0.3">
      <c r="M6857" s="35">
        <v>46.41</v>
      </c>
      <c r="N6857">
        <v>305</v>
      </c>
      <c r="O6857" s="34">
        <f t="shared" si="108"/>
        <v>0.78059888420815859</v>
      </c>
    </row>
    <row r="6858" spans="13:15" x14ac:dyDescent="0.3">
      <c r="M6858" s="35">
        <v>46.42</v>
      </c>
      <c r="N6858">
        <v>305</v>
      </c>
      <c r="O6858" s="34">
        <f t="shared" si="108"/>
        <v>0.7807127405214912</v>
      </c>
    </row>
    <row r="6859" spans="13:15" x14ac:dyDescent="0.3">
      <c r="M6859" s="35">
        <v>46.43</v>
      </c>
      <c r="N6859">
        <v>305</v>
      </c>
      <c r="O6859" s="34">
        <f t="shared" si="108"/>
        <v>0.78082659683482381</v>
      </c>
    </row>
    <row r="6860" spans="13:15" x14ac:dyDescent="0.3">
      <c r="M6860" s="35">
        <v>46.45</v>
      </c>
      <c r="N6860">
        <v>305</v>
      </c>
      <c r="O6860" s="34">
        <f t="shared" si="108"/>
        <v>0.78094045314815641</v>
      </c>
    </row>
    <row r="6861" spans="13:15" x14ac:dyDescent="0.3">
      <c r="M6861" s="35">
        <v>46.49</v>
      </c>
      <c r="N6861">
        <v>305</v>
      </c>
      <c r="O6861" s="34">
        <f t="shared" si="108"/>
        <v>0.78105430946148902</v>
      </c>
    </row>
    <row r="6862" spans="13:15" x14ac:dyDescent="0.3">
      <c r="M6862" s="35">
        <v>46.51</v>
      </c>
      <c r="N6862">
        <v>305</v>
      </c>
      <c r="O6862" s="34">
        <f t="shared" si="108"/>
        <v>0.78116816577482162</v>
      </c>
    </row>
    <row r="6863" spans="13:15" x14ac:dyDescent="0.3">
      <c r="M6863" s="35">
        <v>46.52</v>
      </c>
      <c r="N6863">
        <v>305</v>
      </c>
      <c r="O6863" s="34">
        <f t="shared" si="108"/>
        <v>0.78128202208815423</v>
      </c>
    </row>
    <row r="6864" spans="13:15" x14ac:dyDescent="0.3">
      <c r="M6864" s="35">
        <v>46.52</v>
      </c>
      <c r="N6864">
        <v>305</v>
      </c>
      <c r="O6864" s="34">
        <f t="shared" si="108"/>
        <v>0.78139587840148683</v>
      </c>
    </row>
    <row r="6865" spans="13:15" x14ac:dyDescent="0.3">
      <c r="M6865" s="35">
        <v>46.55</v>
      </c>
      <c r="N6865">
        <v>305</v>
      </c>
      <c r="O6865" s="34">
        <f t="shared" si="108"/>
        <v>0.78150973471481944</v>
      </c>
    </row>
    <row r="6866" spans="13:15" x14ac:dyDescent="0.3">
      <c r="M6866" s="35">
        <v>46.55</v>
      </c>
      <c r="N6866">
        <v>305</v>
      </c>
      <c r="O6866" s="34">
        <f t="shared" si="108"/>
        <v>0.78162359102815204</v>
      </c>
    </row>
    <row r="6867" spans="13:15" x14ac:dyDescent="0.3">
      <c r="M6867" s="35">
        <v>46.56</v>
      </c>
      <c r="N6867">
        <v>305</v>
      </c>
      <c r="O6867" s="34">
        <f t="shared" si="108"/>
        <v>0.78173744734148465</v>
      </c>
    </row>
    <row r="6868" spans="13:15" x14ac:dyDescent="0.3">
      <c r="M6868" s="35">
        <v>46.58</v>
      </c>
      <c r="N6868">
        <v>305</v>
      </c>
      <c r="O6868" s="34">
        <f t="shared" si="108"/>
        <v>0.78185130365481725</v>
      </c>
    </row>
    <row r="6869" spans="13:15" x14ac:dyDescent="0.3">
      <c r="M6869" s="35">
        <v>46.58</v>
      </c>
      <c r="N6869">
        <v>305</v>
      </c>
      <c r="O6869" s="34">
        <f t="shared" si="108"/>
        <v>0.78196515996814986</v>
      </c>
    </row>
    <row r="6870" spans="13:15" x14ac:dyDescent="0.3">
      <c r="M6870" s="35">
        <v>46.59</v>
      </c>
      <c r="N6870">
        <v>305</v>
      </c>
      <c r="O6870" s="34">
        <f t="shared" si="108"/>
        <v>0.78207901628148246</v>
      </c>
    </row>
    <row r="6871" spans="13:15" x14ac:dyDescent="0.3">
      <c r="M6871" s="35">
        <v>46.6</v>
      </c>
      <c r="N6871">
        <v>305</v>
      </c>
      <c r="O6871" s="34">
        <f t="shared" si="108"/>
        <v>0.78219287259481507</v>
      </c>
    </row>
    <row r="6872" spans="13:15" x14ac:dyDescent="0.3">
      <c r="M6872" s="35">
        <v>46.61</v>
      </c>
      <c r="N6872">
        <v>305</v>
      </c>
      <c r="O6872" s="34">
        <f t="shared" si="108"/>
        <v>0.78230672890814767</v>
      </c>
    </row>
    <row r="6873" spans="13:15" x14ac:dyDescent="0.3">
      <c r="M6873" s="35">
        <v>46.61</v>
      </c>
      <c r="N6873">
        <v>305</v>
      </c>
      <c r="O6873" s="34">
        <f t="shared" si="108"/>
        <v>0.78242058522148028</v>
      </c>
    </row>
    <row r="6874" spans="13:15" x14ac:dyDescent="0.3">
      <c r="M6874" s="35">
        <v>46.66</v>
      </c>
      <c r="N6874">
        <v>305</v>
      </c>
      <c r="O6874" s="34">
        <f t="shared" si="108"/>
        <v>0.78253444153481289</v>
      </c>
    </row>
    <row r="6875" spans="13:15" x14ac:dyDescent="0.3">
      <c r="M6875" s="35">
        <v>46.66</v>
      </c>
      <c r="N6875">
        <v>305</v>
      </c>
      <c r="O6875" s="34">
        <f t="shared" si="108"/>
        <v>0.78264829784814549</v>
      </c>
    </row>
    <row r="6876" spans="13:15" x14ac:dyDescent="0.3">
      <c r="M6876" s="35">
        <v>46.66</v>
      </c>
      <c r="N6876">
        <v>305</v>
      </c>
      <c r="O6876" s="34">
        <f t="shared" si="108"/>
        <v>0.7827621541614781</v>
      </c>
    </row>
    <row r="6877" spans="13:15" x14ac:dyDescent="0.3">
      <c r="M6877" s="35">
        <v>46.67</v>
      </c>
      <c r="N6877">
        <v>305</v>
      </c>
      <c r="O6877" s="34">
        <f t="shared" si="108"/>
        <v>0.7828760104748107</v>
      </c>
    </row>
    <row r="6878" spans="13:15" x14ac:dyDescent="0.3">
      <c r="M6878" s="35">
        <v>46.68</v>
      </c>
      <c r="N6878">
        <v>305</v>
      </c>
      <c r="O6878" s="34">
        <f t="shared" si="108"/>
        <v>0.78298986678814331</v>
      </c>
    </row>
    <row r="6879" spans="13:15" x14ac:dyDescent="0.3">
      <c r="M6879" s="35">
        <v>46.68</v>
      </c>
      <c r="N6879">
        <v>305</v>
      </c>
      <c r="O6879" s="34">
        <f t="shared" si="108"/>
        <v>0.78310372310147591</v>
      </c>
    </row>
    <row r="6880" spans="13:15" x14ac:dyDescent="0.3">
      <c r="M6880" s="35">
        <v>46.69</v>
      </c>
      <c r="N6880">
        <v>305</v>
      </c>
      <c r="O6880" s="34">
        <f t="shared" si="108"/>
        <v>0.78321757941480852</v>
      </c>
    </row>
    <row r="6881" spans="13:15" x14ac:dyDescent="0.3">
      <c r="M6881" s="35">
        <v>46.69</v>
      </c>
      <c r="N6881">
        <v>305</v>
      </c>
      <c r="O6881" s="34">
        <f t="shared" si="108"/>
        <v>0.78333143572814112</v>
      </c>
    </row>
    <row r="6882" spans="13:15" x14ac:dyDescent="0.3">
      <c r="M6882" s="35">
        <v>46.71</v>
      </c>
      <c r="N6882">
        <v>305</v>
      </c>
      <c r="O6882" s="34">
        <f t="shared" si="108"/>
        <v>0.78344529204147373</v>
      </c>
    </row>
    <row r="6883" spans="13:15" x14ac:dyDescent="0.3">
      <c r="M6883" s="35">
        <v>46.71</v>
      </c>
      <c r="N6883">
        <v>305</v>
      </c>
      <c r="O6883" s="34">
        <f t="shared" si="108"/>
        <v>0.78355914835480633</v>
      </c>
    </row>
    <row r="6884" spans="13:15" x14ac:dyDescent="0.3">
      <c r="M6884" s="35">
        <v>46.72</v>
      </c>
      <c r="N6884">
        <v>305</v>
      </c>
      <c r="O6884" s="34">
        <f t="shared" si="108"/>
        <v>0.78367300466813894</v>
      </c>
    </row>
    <row r="6885" spans="13:15" x14ac:dyDescent="0.3">
      <c r="M6885" s="35">
        <v>46.73</v>
      </c>
      <c r="N6885">
        <v>305</v>
      </c>
      <c r="O6885" s="34">
        <f t="shared" si="108"/>
        <v>0.78378686098147154</v>
      </c>
    </row>
    <row r="6886" spans="13:15" x14ac:dyDescent="0.3">
      <c r="M6886" s="35">
        <v>46.73</v>
      </c>
      <c r="N6886">
        <v>305</v>
      </c>
      <c r="O6886" s="34">
        <f t="shared" si="108"/>
        <v>0.78390071729480415</v>
      </c>
    </row>
    <row r="6887" spans="13:15" x14ac:dyDescent="0.3">
      <c r="M6887" s="35">
        <v>46.74</v>
      </c>
      <c r="N6887">
        <v>305</v>
      </c>
      <c r="O6887" s="34">
        <f t="shared" si="108"/>
        <v>0.78401457360813676</v>
      </c>
    </row>
    <row r="6888" spans="13:15" x14ac:dyDescent="0.3">
      <c r="M6888" s="35">
        <v>46.76</v>
      </c>
      <c r="N6888">
        <v>305</v>
      </c>
      <c r="O6888" s="34">
        <f t="shared" si="108"/>
        <v>0.78412842992146936</v>
      </c>
    </row>
    <row r="6889" spans="13:15" x14ac:dyDescent="0.3">
      <c r="M6889" s="35">
        <v>46.77</v>
      </c>
      <c r="N6889">
        <v>305</v>
      </c>
      <c r="O6889" s="34">
        <f t="shared" si="108"/>
        <v>0.78424228623480197</v>
      </c>
    </row>
    <row r="6890" spans="13:15" x14ac:dyDescent="0.3">
      <c r="M6890" s="35">
        <v>46.77</v>
      </c>
      <c r="N6890">
        <v>305</v>
      </c>
      <c r="O6890" s="34">
        <f t="shared" si="108"/>
        <v>0.78435614254813457</v>
      </c>
    </row>
    <row r="6891" spans="13:15" x14ac:dyDescent="0.3">
      <c r="M6891" s="35">
        <v>46.78</v>
      </c>
      <c r="N6891">
        <v>305</v>
      </c>
      <c r="O6891" s="34">
        <f t="shared" si="108"/>
        <v>0.78446999886146718</v>
      </c>
    </row>
    <row r="6892" spans="13:15" x14ac:dyDescent="0.3">
      <c r="M6892" s="35">
        <v>46.79</v>
      </c>
      <c r="N6892">
        <v>305</v>
      </c>
      <c r="O6892" s="34">
        <f t="shared" si="108"/>
        <v>0.78458385517479978</v>
      </c>
    </row>
    <row r="6893" spans="13:15" x14ac:dyDescent="0.3">
      <c r="M6893" s="35">
        <v>46.8</v>
      </c>
      <c r="N6893">
        <v>305</v>
      </c>
      <c r="O6893" s="34">
        <f t="shared" si="108"/>
        <v>0.78469771148813239</v>
      </c>
    </row>
    <row r="6894" spans="13:15" x14ac:dyDescent="0.3">
      <c r="M6894" s="35">
        <v>46.81</v>
      </c>
      <c r="N6894">
        <v>305</v>
      </c>
      <c r="O6894" s="34">
        <f t="shared" si="108"/>
        <v>0.78481156780146499</v>
      </c>
    </row>
    <row r="6895" spans="13:15" x14ac:dyDescent="0.3">
      <c r="M6895" s="35">
        <v>46.81</v>
      </c>
      <c r="N6895">
        <v>305</v>
      </c>
      <c r="O6895" s="34">
        <f t="shared" si="108"/>
        <v>0.7849254241147976</v>
      </c>
    </row>
    <row r="6896" spans="13:15" x14ac:dyDescent="0.3">
      <c r="M6896" s="35">
        <v>46.81</v>
      </c>
      <c r="N6896">
        <v>305</v>
      </c>
      <c r="O6896" s="34">
        <f t="shared" si="108"/>
        <v>0.7850392804281302</v>
      </c>
    </row>
    <row r="6897" spans="13:15" x14ac:dyDescent="0.3">
      <c r="M6897" s="35">
        <v>46.81</v>
      </c>
      <c r="N6897">
        <v>305</v>
      </c>
      <c r="O6897" s="34">
        <f t="shared" si="108"/>
        <v>0.78515313674146281</v>
      </c>
    </row>
    <row r="6898" spans="13:15" x14ac:dyDescent="0.3">
      <c r="M6898" s="35">
        <v>46.82</v>
      </c>
      <c r="N6898">
        <v>305</v>
      </c>
      <c r="O6898" s="34">
        <f t="shared" si="108"/>
        <v>0.78526699305479541</v>
      </c>
    </row>
    <row r="6899" spans="13:15" x14ac:dyDescent="0.3">
      <c r="M6899" s="35">
        <v>46.84</v>
      </c>
      <c r="N6899">
        <v>305</v>
      </c>
      <c r="O6899" s="34">
        <f t="shared" si="108"/>
        <v>0.78538084936812802</v>
      </c>
    </row>
    <row r="6900" spans="13:15" x14ac:dyDescent="0.3">
      <c r="M6900" s="35">
        <v>46.85</v>
      </c>
      <c r="N6900">
        <v>305</v>
      </c>
      <c r="O6900" s="34">
        <f t="shared" si="108"/>
        <v>0.78549470568146063</v>
      </c>
    </row>
    <row r="6901" spans="13:15" x14ac:dyDescent="0.3">
      <c r="M6901" s="35">
        <v>46.85</v>
      </c>
      <c r="N6901">
        <v>305</v>
      </c>
      <c r="O6901" s="34">
        <f t="shared" si="108"/>
        <v>0.78560856199479323</v>
      </c>
    </row>
    <row r="6902" spans="13:15" x14ac:dyDescent="0.3">
      <c r="M6902" s="35">
        <v>46.91</v>
      </c>
      <c r="N6902">
        <v>305</v>
      </c>
      <c r="O6902" s="34">
        <f t="shared" si="108"/>
        <v>0.78572241830812584</v>
      </c>
    </row>
    <row r="6903" spans="13:15" x14ac:dyDescent="0.3">
      <c r="M6903" s="35">
        <v>46.92</v>
      </c>
      <c r="N6903">
        <v>305</v>
      </c>
      <c r="O6903" s="34">
        <f t="shared" si="108"/>
        <v>0.78583627462145844</v>
      </c>
    </row>
    <row r="6904" spans="13:15" x14ac:dyDescent="0.3">
      <c r="M6904" s="35">
        <v>46.92</v>
      </c>
      <c r="N6904">
        <v>305</v>
      </c>
      <c r="O6904" s="34">
        <f t="shared" si="108"/>
        <v>0.78595013093479105</v>
      </c>
    </row>
    <row r="6905" spans="13:15" x14ac:dyDescent="0.3">
      <c r="M6905" s="35">
        <v>46.94</v>
      </c>
      <c r="N6905">
        <v>305</v>
      </c>
      <c r="O6905" s="34">
        <f t="shared" si="108"/>
        <v>0.78606398724812365</v>
      </c>
    </row>
    <row r="6906" spans="13:15" x14ac:dyDescent="0.3">
      <c r="M6906" s="35">
        <v>46.94</v>
      </c>
      <c r="N6906">
        <v>305</v>
      </c>
      <c r="O6906" s="34">
        <f t="shared" si="108"/>
        <v>0.78617784356145626</v>
      </c>
    </row>
    <row r="6907" spans="13:15" x14ac:dyDescent="0.3">
      <c r="M6907" s="35">
        <v>46.95</v>
      </c>
      <c r="N6907">
        <v>305</v>
      </c>
      <c r="O6907" s="34">
        <f t="shared" si="108"/>
        <v>0.78629169987478886</v>
      </c>
    </row>
    <row r="6908" spans="13:15" x14ac:dyDescent="0.3">
      <c r="M6908" s="35">
        <v>46.97</v>
      </c>
      <c r="N6908">
        <v>305</v>
      </c>
      <c r="O6908" s="34">
        <f t="shared" si="108"/>
        <v>0.78640555618812147</v>
      </c>
    </row>
    <row r="6909" spans="13:15" x14ac:dyDescent="0.3">
      <c r="M6909" s="35">
        <v>46.97</v>
      </c>
      <c r="N6909">
        <v>305</v>
      </c>
      <c r="O6909" s="34">
        <f t="shared" si="108"/>
        <v>0.78651941250145407</v>
      </c>
    </row>
    <row r="6910" spans="13:15" x14ac:dyDescent="0.3">
      <c r="M6910" s="35">
        <v>46.98</v>
      </c>
      <c r="N6910">
        <v>305</v>
      </c>
      <c r="O6910" s="34">
        <f t="shared" si="108"/>
        <v>0.78663326881478668</v>
      </c>
    </row>
    <row r="6911" spans="13:15" x14ac:dyDescent="0.3">
      <c r="M6911" s="35">
        <v>46.98</v>
      </c>
      <c r="N6911">
        <v>305</v>
      </c>
      <c r="O6911" s="34">
        <f t="shared" si="108"/>
        <v>0.78674712512811928</v>
      </c>
    </row>
    <row r="6912" spans="13:15" x14ac:dyDescent="0.3">
      <c r="M6912" s="35">
        <v>47.02</v>
      </c>
      <c r="N6912">
        <v>305</v>
      </c>
      <c r="O6912" s="34">
        <f t="shared" si="108"/>
        <v>0.78686098144145189</v>
      </c>
    </row>
    <row r="6913" spans="13:15" x14ac:dyDescent="0.3">
      <c r="M6913" s="35">
        <v>47.06</v>
      </c>
      <c r="N6913">
        <v>305</v>
      </c>
      <c r="O6913" s="34">
        <f t="shared" si="108"/>
        <v>0.7869748377547845</v>
      </c>
    </row>
    <row r="6914" spans="13:15" x14ac:dyDescent="0.3">
      <c r="M6914" s="35">
        <v>47.07</v>
      </c>
      <c r="N6914">
        <v>305</v>
      </c>
      <c r="O6914" s="34">
        <f t="shared" si="108"/>
        <v>0.7870886940681171</v>
      </c>
    </row>
    <row r="6915" spans="13:15" x14ac:dyDescent="0.3">
      <c r="M6915" s="35">
        <v>47.07</v>
      </c>
      <c r="N6915">
        <v>305</v>
      </c>
      <c r="O6915" s="34">
        <f t="shared" si="108"/>
        <v>0.78720255038144971</v>
      </c>
    </row>
    <row r="6916" spans="13:15" x14ac:dyDescent="0.3">
      <c r="M6916" s="35">
        <v>47.08</v>
      </c>
      <c r="N6916">
        <v>305</v>
      </c>
      <c r="O6916" s="34">
        <f t="shared" ref="O6916:O6979" si="109">O6915+O$2</f>
        <v>0.78731640669478231</v>
      </c>
    </row>
    <row r="6917" spans="13:15" x14ac:dyDescent="0.3">
      <c r="M6917" s="35">
        <v>47.09</v>
      </c>
      <c r="N6917">
        <v>305</v>
      </c>
      <c r="O6917" s="34">
        <f t="shared" si="109"/>
        <v>0.78743026300811492</v>
      </c>
    </row>
    <row r="6918" spans="13:15" x14ac:dyDescent="0.3">
      <c r="M6918" s="35">
        <v>47.09</v>
      </c>
      <c r="N6918">
        <v>305</v>
      </c>
      <c r="O6918" s="34">
        <f t="shared" si="109"/>
        <v>0.78754411932144752</v>
      </c>
    </row>
    <row r="6919" spans="13:15" x14ac:dyDescent="0.3">
      <c r="M6919" s="35">
        <v>47.1</v>
      </c>
      <c r="N6919">
        <v>305</v>
      </c>
      <c r="O6919" s="34">
        <f t="shared" si="109"/>
        <v>0.78765797563478013</v>
      </c>
    </row>
    <row r="6920" spans="13:15" x14ac:dyDescent="0.3">
      <c r="M6920" s="35">
        <v>47.1</v>
      </c>
      <c r="N6920">
        <v>305</v>
      </c>
      <c r="O6920" s="34">
        <f t="shared" si="109"/>
        <v>0.78777183194811273</v>
      </c>
    </row>
    <row r="6921" spans="13:15" x14ac:dyDescent="0.3">
      <c r="M6921" s="35">
        <v>47.11</v>
      </c>
      <c r="N6921">
        <v>305</v>
      </c>
      <c r="O6921" s="34">
        <f t="shared" si="109"/>
        <v>0.78788568826144534</v>
      </c>
    </row>
    <row r="6922" spans="13:15" x14ac:dyDescent="0.3">
      <c r="M6922" s="35">
        <v>47.11</v>
      </c>
      <c r="N6922">
        <v>305</v>
      </c>
      <c r="O6922" s="34">
        <f t="shared" si="109"/>
        <v>0.78799954457477794</v>
      </c>
    </row>
    <row r="6923" spans="13:15" x14ac:dyDescent="0.3">
      <c r="M6923" s="35">
        <v>47.11</v>
      </c>
      <c r="N6923">
        <v>305</v>
      </c>
      <c r="O6923" s="34">
        <f t="shared" si="109"/>
        <v>0.78811340088811055</v>
      </c>
    </row>
    <row r="6924" spans="13:15" x14ac:dyDescent="0.3">
      <c r="M6924" s="35">
        <v>47.14</v>
      </c>
      <c r="N6924">
        <v>305</v>
      </c>
      <c r="O6924" s="34">
        <f t="shared" si="109"/>
        <v>0.78822725720144315</v>
      </c>
    </row>
    <row r="6925" spans="13:15" x14ac:dyDescent="0.3">
      <c r="M6925" s="35">
        <v>47.14</v>
      </c>
      <c r="N6925">
        <v>305</v>
      </c>
      <c r="O6925" s="34">
        <f t="shared" si="109"/>
        <v>0.78834111351477576</v>
      </c>
    </row>
    <row r="6926" spans="13:15" x14ac:dyDescent="0.3">
      <c r="M6926" s="35">
        <v>47.15</v>
      </c>
      <c r="N6926">
        <v>305</v>
      </c>
      <c r="O6926" s="34">
        <f t="shared" si="109"/>
        <v>0.78845496982810837</v>
      </c>
    </row>
    <row r="6927" spans="13:15" x14ac:dyDescent="0.3">
      <c r="M6927" s="35">
        <v>47.16</v>
      </c>
      <c r="N6927">
        <v>305</v>
      </c>
      <c r="O6927" s="34">
        <f t="shared" si="109"/>
        <v>0.78856882614144097</v>
      </c>
    </row>
    <row r="6928" spans="13:15" x14ac:dyDescent="0.3">
      <c r="M6928" s="35">
        <v>47.17</v>
      </c>
      <c r="N6928">
        <v>305</v>
      </c>
      <c r="O6928" s="34">
        <f t="shared" si="109"/>
        <v>0.78868268245477358</v>
      </c>
    </row>
    <row r="6929" spans="13:15" x14ac:dyDescent="0.3">
      <c r="M6929" s="35">
        <v>47.18</v>
      </c>
      <c r="N6929">
        <v>305</v>
      </c>
      <c r="O6929" s="34">
        <f t="shared" si="109"/>
        <v>0.78879653876810618</v>
      </c>
    </row>
    <row r="6930" spans="13:15" x14ac:dyDescent="0.3">
      <c r="M6930" s="35">
        <v>47.2</v>
      </c>
      <c r="N6930">
        <v>305</v>
      </c>
      <c r="O6930" s="34">
        <f t="shared" si="109"/>
        <v>0.78891039508143879</v>
      </c>
    </row>
    <row r="6931" spans="13:15" x14ac:dyDescent="0.3">
      <c r="M6931" s="35">
        <v>47.2</v>
      </c>
      <c r="N6931">
        <v>305</v>
      </c>
      <c r="O6931" s="34">
        <f t="shared" si="109"/>
        <v>0.78902425139477139</v>
      </c>
    </row>
    <row r="6932" spans="13:15" x14ac:dyDescent="0.3">
      <c r="M6932" s="35">
        <v>47.21</v>
      </c>
      <c r="N6932">
        <v>305</v>
      </c>
      <c r="O6932" s="34">
        <f t="shared" si="109"/>
        <v>0.789138107708104</v>
      </c>
    </row>
    <row r="6933" spans="13:15" x14ac:dyDescent="0.3">
      <c r="M6933" s="35">
        <v>47.22</v>
      </c>
      <c r="N6933">
        <v>305</v>
      </c>
      <c r="O6933" s="34">
        <f t="shared" si="109"/>
        <v>0.7892519640214366</v>
      </c>
    </row>
    <row r="6934" spans="13:15" x14ac:dyDescent="0.3">
      <c r="M6934" s="35">
        <v>47.23</v>
      </c>
      <c r="N6934">
        <v>305</v>
      </c>
      <c r="O6934" s="34">
        <f t="shared" si="109"/>
        <v>0.78936582033476921</v>
      </c>
    </row>
    <row r="6935" spans="13:15" x14ac:dyDescent="0.3">
      <c r="M6935" s="35">
        <v>47.23</v>
      </c>
      <c r="N6935">
        <v>305</v>
      </c>
      <c r="O6935" s="34">
        <f t="shared" si="109"/>
        <v>0.78947967664810181</v>
      </c>
    </row>
    <row r="6936" spans="13:15" x14ac:dyDescent="0.3">
      <c r="M6936" s="35">
        <v>47.24</v>
      </c>
      <c r="N6936">
        <v>305</v>
      </c>
      <c r="O6936" s="34">
        <f t="shared" si="109"/>
        <v>0.78959353296143442</v>
      </c>
    </row>
    <row r="6937" spans="13:15" x14ac:dyDescent="0.3">
      <c r="M6937" s="35">
        <v>47.24</v>
      </c>
      <c r="N6937">
        <v>305</v>
      </c>
      <c r="O6937" s="34">
        <f t="shared" si="109"/>
        <v>0.78970738927476702</v>
      </c>
    </row>
    <row r="6938" spans="13:15" x14ac:dyDescent="0.3">
      <c r="M6938" s="35">
        <v>47.26</v>
      </c>
      <c r="N6938">
        <v>305</v>
      </c>
      <c r="O6938" s="34">
        <f t="shared" si="109"/>
        <v>0.78982124558809963</v>
      </c>
    </row>
    <row r="6939" spans="13:15" x14ac:dyDescent="0.3">
      <c r="M6939" s="35">
        <v>47.32</v>
      </c>
      <c r="N6939">
        <v>305</v>
      </c>
      <c r="O6939" s="34">
        <f t="shared" si="109"/>
        <v>0.78993510190143224</v>
      </c>
    </row>
    <row r="6940" spans="13:15" x14ac:dyDescent="0.3">
      <c r="M6940" s="35">
        <v>47.37</v>
      </c>
      <c r="N6940">
        <v>305</v>
      </c>
      <c r="O6940" s="34">
        <f t="shared" si="109"/>
        <v>0.79004895821476484</v>
      </c>
    </row>
    <row r="6941" spans="13:15" x14ac:dyDescent="0.3">
      <c r="M6941" s="35">
        <v>47.38</v>
      </c>
      <c r="N6941">
        <v>305</v>
      </c>
      <c r="O6941" s="34">
        <f t="shared" si="109"/>
        <v>0.79016281452809745</v>
      </c>
    </row>
    <row r="6942" spans="13:15" x14ac:dyDescent="0.3">
      <c r="M6942" s="35">
        <v>47.38</v>
      </c>
      <c r="N6942">
        <v>305</v>
      </c>
      <c r="O6942" s="34">
        <f t="shared" si="109"/>
        <v>0.79027667084143005</v>
      </c>
    </row>
    <row r="6943" spans="13:15" x14ac:dyDescent="0.3">
      <c r="M6943" s="35">
        <v>47.39</v>
      </c>
      <c r="N6943">
        <v>305</v>
      </c>
      <c r="O6943" s="34">
        <f t="shared" si="109"/>
        <v>0.79039052715476266</v>
      </c>
    </row>
    <row r="6944" spans="13:15" x14ac:dyDescent="0.3">
      <c r="M6944" s="35">
        <v>47.41</v>
      </c>
      <c r="N6944">
        <v>305</v>
      </c>
      <c r="O6944" s="34">
        <f t="shared" si="109"/>
        <v>0.79050438346809526</v>
      </c>
    </row>
    <row r="6945" spans="13:15" x14ac:dyDescent="0.3">
      <c r="M6945" s="35">
        <v>47.42</v>
      </c>
      <c r="N6945">
        <v>305</v>
      </c>
      <c r="O6945" s="34">
        <f t="shared" si="109"/>
        <v>0.79061823978142787</v>
      </c>
    </row>
    <row r="6946" spans="13:15" x14ac:dyDescent="0.3">
      <c r="M6946" s="35">
        <v>47.43</v>
      </c>
      <c r="N6946">
        <v>305</v>
      </c>
      <c r="O6946" s="34">
        <f t="shared" si="109"/>
        <v>0.79073209609476047</v>
      </c>
    </row>
    <row r="6947" spans="13:15" x14ac:dyDescent="0.3">
      <c r="M6947" s="35">
        <v>47.45</v>
      </c>
      <c r="N6947">
        <v>305</v>
      </c>
      <c r="O6947" s="34">
        <f t="shared" si="109"/>
        <v>0.79084595240809308</v>
      </c>
    </row>
    <row r="6948" spans="13:15" x14ac:dyDescent="0.3">
      <c r="M6948" s="35">
        <v>47.45</v>
      </c>
      <c r="N6948">
        <v>305</v>
      </c>
      <c r="O6948" s="34">
        <f t="shared" si="109"/>
        <v>0.79095980872142568</v>
      </c>
    </row>
    <row r="6949" spans="13:15" x14ac:dyDescent="0.3">
      <c r="M6949" s="35">
        <v>47.48</v>
      </c>
      <c r="N6949">
        <v>305</v>
      </c>
      <c r="O6949" s="34">
        <f t="shared" si="109"/>
        <v>0.79107366503475829</v>
      </c>
    </row>
    <row r="6950" spans="13:15" x14ac:dyDescent="0.3">
      <c r="M6950" s="35">
        <v>47.5</v>
      </c>
      <c r="N6950">
        <v>305</v>
      </c>
      <c r="O6950" s="34">
        <f t="shared" si="109"/>
        <v>0.79118752134809089</v>
      </c>
    </row>
    <row r="6951" spans="13:15" x14ac:dyDescent="0.3">
      <c r="M6951" s="35">
        <v>47.5</v>
      </c>
      <c r="N6951">
        <v>305</v>
      </c>
      <c r="O6951" s="34">
        <f t="shared" si="109"/>
        <v>0.7913013776614235</v>
      </c>
    </row>
    <row r="6952" spans="13:15" x14ac:dyDescent="0.3">
      <c r="M6952" s="35">
        <v>47.5</v>
      </c>
      <c r="N6952">
        <v>305</v>
      </c>
      <c r="O6952" s="34">
        <f t="shared" si="109"/>
        <v>0.7914152339747561</v>
      </c>
    </row>
    <row r="6953" spans="13:15" x14ac:dyDescent="0.3">
      <c r="M6953" s="35">
        <v>47.53</v>
      </c>
      <c r="N6953">
        <v>305</v>
      </c>
      <c r="O6953" s="34">
        <f t="shared" si="109"/>
        <v>0.79152909028808871</v>
      </c>
    </row>
    <row r="6954" spans="13:15" x14ac:dyDescent="0.3">
      <c r="M6954" s="35">
        <v>47.54</v>
      </c>
      <c r="N6954">
        <v>305</v>
      </c>
      <c r="O6954" s="34">
        <f t="shared" si="109"/>
        <v>0.79164294660142132</v>
      </c>
    </row>
    <row r="6955" spans="13:15" x14ac:dyDescent="0.3">
      <c r="M6955" s="35">
        <v>47.58</v>
      </c>
      <c r="N6955">
        <v>305</v>
      </c>
      <c r="O6955" s="34">
        <f t="shared" si="109"/>
        <v>0.79175680291475392</v>
      </c>
    </row>
    <row r="6956" spans="13:15" x14ac:dyDescent="0.3">
      <c r="M6956" s="35">
        <v>47.59</v>
      </c>
      <c r="N6956">
        <v>305</v>
      </c>
      <c r="O6956" s="34">
        <f t="shared" si="109"/>
        <v>0.79187065922808653</v>
      </c>
    </row>
    <row r="6957" spans="13:15" x14ac:dyDescent="0.3">
      <c r="M6957" s="35">
        <v>47.59</v>
      </c>
      <c r="N6957">
        <v>305</v>
      </c>
      <c r="O6957" s="34">
        <f t="shared" si="109"/>
        <v>0.79198451554141913</v>
      </c>
    </row>
    <row r="6958" spans="13:15" x14ac:dyDescent="0.3">
      <c r="M6958" s="35">
        <v>47.59</v>
      </c>
      <c r="N6958">
        <v>305</v>
      </c>
      <c r="O6958" s="34">
        <f t="shared" si="109"/>
        <v>0.79209837185475174</v>
      </c>
    </row>
    <row r="6959" spans="13:15" x14ac:dyDescent="0.3">
      <c r="M6959" s="35">
        <v>47.6</v>
      </c>
      <c r="N6959">
        <v>305</v>
      </c>
      <c r="O6959" s="34">
        <f t="shared" si="109"/>
        <v>0.79221222816808434</v>
      </c>
    </row>
    <row r="6960" spans="13:15" x14ac:dyDescent="0.3">
      <c r="M6960" s="35">
        <v>47.61</v>
      </c>
      <c r="N6960">
        <v>305</v>
      </c>
      <c r="O6960" s="34">
        <f t="shared" si="109"/>
        <v>0.79232608448141695</v>
      </c>
    </row>
    <row r="6961" spans="13:15" x14ac:dyDescent="0.3">
      <c r="M6961" s="35">
        <v>47.63</v>
      </c>
      <c r="N6961">
        <v>305</v>
      </c>
      <c r="O6961" s="34">
        <f t="shared" si="109"/>
        <v>0.79243994079474955</v>
      </c>
    </row>
    <row r="6962" spans="13:15" x14ac:dyDescent="0.3">
      <c r="M6962" s="35">
        <v>47.63</v>
      </c>
      <c r="N6962">
        <v>305</v>
      </c>
      <c r="O6962" s="34">
        <f t="shared" si="109"/>
        <v>0.79255379710808216</v>
      </c>
    </row>
    <row r="6963" spans="13:15" x14ac:dyDescent="0.3">
      <c r="M6963" s="35">
        <v>47.65</v>
      </c>
      <c r="N6963">
        <v>305</v>
      </c>
      <c r="O6963" s="34">
        <f t="shared" si="109"/>
        <v>0.79266765342141476</v>
      </c>
    </row>
    <row r="6964" spans="13:15" x14ac:dyDescent="0.3">
      <c r="M6964" s="35">
        <v>47.66</v>
      </c>
      <c r="N6964">
        <v>305</v>
      </c>
      <c r="O6964" s="34">
        <f t="shared" si="109"/>
        <v>0.79278150973474737</v>
      </c>
    </row>
    <row r="6965" spans="13:15" x14ac:dyDescent="0.3">
      <c r="M6965" s="35">
        <v>47.66</v>
      </c>
      <c r="N6965">
        <v>305</v>
      </c>
      <c r="O6965" s="34">
        <f t="shared" si="109"/>
        <v>0.79289536604807997</v>
      </c>
    </row>
    <row r="6966" spans="13:15" x14ac:dyDescent="0.3">
      <c r="M6966" s="35">
        <v>47.68</v>
      </c>
      <c r="N6966">
        <v>305</v>
      </c>
      <c r="O6966" s="34">
        <f t="shared" si="109"/>
        <v>0.79300922236141258</v>
      </c>
    </row>
    <row r="6967" spans="13:15" x14ac:dyDescent="0.3">
      <c r="M6967" s="35">
        <v>47.71</v>
      </c>
      <c r="N6967">
        <v>305</v>
      </c>
      <c r="O6967" s="34">
        <f t="shared" si="109"/>
        <v>0.79312307867474519</v>
      </c>
    </row>
    <row r="6968" spans="13:15" x14ac:dyDescent="0.3">
      <c r="M6968" s="35">
        <v>47.72</v>
      </c>
      <c r="N6968">
        <v>305</v>
      </c>
      <c r="O6968" s="34">
        <f t="shared" si="109"/>
        <v>0.79323693498807779</v>
      </c>
    </row>
    <row r="6969" spans="13:15" x14ac:dyDescent="0.3">
      <c r="M6969" s="35">
        <v>47.73</v>
      </c>
      <c r="N6969">
        <v>305</v>
      </c>
      <c r="O6969" s="34">
        <f t="shared" si="109"/>
        <v>0.7933507913014104</v>
      </c>
    </row>
    <row r="6970" spans="13:15" x14ac:dyDescent="0.3">
      <c r="M6970" s="35">
        <v>47.73</v>
      </c>
      <c r="N6970">
        <v>305</v>
      </c>
      <c r="O6970" s="34">
        <f t="shared" si="109"/>
        <v>0.793464647614743</v>
      </c>
    </row>
    <row r="6971" spans="13:15" x14ac:dyDescent="0.3">
      <c r="M6971" s="35">
        <v>47.73</v>
      </c>
      <c r="N6971">
        <v>305</v>
      </c>
      <c r="O6971" s="34">
        <f t="shared" si="109"/>
        <v>0.79357850392807561</v>
      </c>
    </row>
    <row r="6972" spans="13:15" x14ac:dyDescent="0.3">
      <c r="M6972" s="35">
        <v>47.75</v>
      </c>
      <c r="N6972">
        <v>305</v>
      </c>
      <c r="O6972" s="34">
        <f t="shared" si="109"/>
        <v>0.79369236024140821</v>
      </c>
    </row>
    <row r="6973" spans="13:15" x14ac:dyDescent="0.3">
      <c r="M6973" s="35">
        <v>47.75</v>
      </c>
      <c r="N6973">
        <v>305</v>
      </c>
      <c r="O6973" s="34">
        <f t="shared" si="109"/>
        <v>0.79380621655474082</v>
      </c>
    </row>
    <row r="6974" spans="13:15" x14ac:dyDescent="0.3">
      <c r="M6974" s="35">
        <v>47.76</v>
      </c>
      <c r="N6974">
        <v>305</v>
      </c>
      <c r="O6974" s="34">
        <f t="shared" si="109"/>
        <v>0.79392007286807342</v>
      </c>
    </row>
    <row r="6975" spans="13:15" x14ac:dyDescent="0.3">
      <c r="M6975" s="35">
        <v>47.79</v>
      </c>
      <c r="N6975">
        <v>305</v>
      </c>
      <c r="O6975" s="34">
        <f t="shared" si="109"/>
        <v>0.79403392918140603</v>
      </c>
    </row>
    <row r="6976" spans="13:15" x14ac:dyDescent="0.3">
      <c r="M6976" s="35">
        <v>47.82</v>
      </c>
      <c r="N6976">
        <v>305</v>
      </c>
      <c r="O6976" s="34">
        <f t="shared" si="109"/>
        <v>0.79414778549473863</v>
      </c>
    </row>
    <row r="6977" spans="13:15" x14ac:dyDescent="0.3">
      <c r="M6977" s="35">
        <v>47.85</v>
      </c>
      <c r="N6977">
        <v>305</v>
      </c>
      <c r="O6977" s="34">
        <f t="shared" si="109"/>
        <v>0.79426164180807124</v>
      </c>
    </row>
    <row r="6978" spans="13:15" x14ac:dyDescent="0.3">
      <c r="M6978" s="35">
        <v>47.86</v>
      </c>
      <c r="N6978">
        <v>305</v>
      </c>
      <c r="O6978" s="34">
        <f t="shared" si="109"/>
        <v>0.79437549812140384</v>
      </c>
    </row>
    <row r="6979" spans="13:15" x14ac:dyDescent="0.3">
      <c r="M6979" s="35">
        <v>47.86</v>
      </c>
      <c r="N6979">
        <v>305</v>
      </c>
      <c r="O6979" s="34">
        <f t="shared" si="109"/>
        <v>0.79448935443473645</v>
      </c>
    </row>
    <row r="6980" spans="13:15" x14ac:dyDescent="0.3">
      <c r="M6980" s="35">
        <v>47.87</v>
      </c>
      <c r="N6980">
        <v>305</v>
      </c>
      <c r="O6980" s="34">
        <f t="shared" ref="O6980:O7043" si="110">O6979+O$2</f>
        <v>0.79460321074806906</v>
      </c>
    </row>
    <row r="6981" spans="13:15" x14ac:dyDescent="0.3">
      <c r="M6981" s="35">
        <v>47.88</v>
      </c>
      <c r="N6981">
        <v>305</v>
      </c>
      <c r="O6981" s="34">
        <f t="shared" si="110"/>
        <v>0.79471706706140166</v>
      </c>
    </row>
    <row r="6982" spans="13:15" x14ac:dyDescent="0.3">
      <c r="M6982" s="35">
        <v>47.88</v>
      </c>
      <c r="N6982">
        <v>305</v>
      </c>
      <c r="O6982" s="34">
        <f t="shared" si="110"/>
        <v>0.79483092337473427</v>
      </c>
    </row>
    <row r="6983" spans="13:15" x14ac:dyDescent="0.3">
      <c r="M6983" s="35">
        <v>47.91</v>
      </c>
      <c r="N6983">
        <v>305</v>
      </c>
      <c r="O6983" s="34">
        <f t="shared" si="110"/>
        <v>0.79494477968806687</v>
      </c>
    </row>
    <row r="6984" spans="13:15" x14ac:dyDescent="0.3">
      <c r="M6984" s="35">
        <v>47.92</v>
      </c>
      <c r="N6984">
        <v>305</v>
      </c>
      <c r="O6984" s="34">
        <f t="shared" si="110"/>
        <v>0.79505863600139948</v>
      </c>
    </row>
    <row r="6985" spans="13:15" x14ac:dyDescent="0.3">
      <c r="M6985" s="35">
        <v>47.93</v>
      </c>
      <c r="N6985">
        <v>305</v>
      </c>
      <c r="O6985" s="34">
        <f t="shared" si="110"/>
        <v>0.79517249231473208</v>
      </c>
    </row>
    <row r="6986" spans="13:15" x14ac:dyDescent="0.3">
      <c r="M6986" s="35">
        <v>47.95</v>
      </c>
      <c r="N6986">
        <v>305</v>
      </c>
      <c r="O6986" s="34">
        <f t="shared" si="110"/>
        <v>0.79528634862806469</v>
      </c>
    </row>
    <row r="6987" spans="13:15" x14ac:dyDescent="0.3">
      <c r="M6987" s="35">
        <v>47.96</v>
      </c>
      <c r="N6987">
        <v>305</v>
      </c>
      <c r="O6987" s="34">
        <f t="shared" si="110"/>
        <v>0.79540020494139729</v>
      </c>
    </row>
    <row r="6988" spans="13:15" x14ac:dyDescent="0.3">
      <c r="M6988" s="35">
        <v>47.99</v>
      </c>
      <c r="N6988">
        <v>305</v>
      </c>
      <c r="O6988" s="34">
        <f t="shared" si="110"/>
        <v>0.7955140612547299</v>
      </c>
    </row>
    <row r="6989" spans="13:15" x14ac:dyDescent="0.3">
      <c r="M6989" s="35">
        <v>48.01</v>
      </c>
      <c r="N6989">
        <v>305</v>
      </c>
      <c r="O6989" s="34">
        <f t="shared" si="110"/>
        <v>0.7956279175680625</v>
      </c>
    </row>
    <row r="6990" spans="13:15" x14ac:dyDescent="0.3">
      <c r="M6990" s="35">
        <v>48.04</v>
      </c>
      <c r="N6990">
        <v>305</v>
      </c>
      <c r="O6990" s="34">
        <f t="shared" si="110"/>
        <v>0.79574177388139511</v>
      </c>
    </row>
    <row r="6991" spans="13:15" x14ac:dyDescent="0.3">
      <c r="M6991" s="35">
        <v>48.06</v>
      </c>
      <c r="N6991">
        <v>305</v>
      </c>
      <c r="O6991" s="34">
        <f t="shared" si="110"/>
        <v>0.79585563019472771</v>
      </c>
    </row>
    <row r="6992" spans="13:15" x14ac:dyDescent="0.3">
      <c r="M6992" s="35">
        <v>48.09</v>
      </c>
      <c r="N6992">
        <v>305</v>
      </c>
      <c r="O6992" s="34">
        <f t="shared" si="110"/>
        <v>0.79596948650806032</v>
      </c>
    </row>
    <row r="6993" spans="13:15" x14ac:dyDescent="0.3">
      <c r="M6993" s="35">
        <v>48.11</v>
      </c>
      <c r="N6993">
        <v>305</v>
      </c>
      <c r="O6993" s="34">
        <f t="shared" si="110"/>
        <v>0.79608334282139293</v>
      </c>
    </row>
    <row r="6994" spans="13:15" x14ac:dyDescent="0.3">
      <c r="M6994" s="35">
        <v>48.11</v>
      </c>
      <c r="N6994">
        <v>305</v>
      </c>
      <c r="O6994" s="34">
        <f t="shared" si="110"/>
        <v>0.79619719913472553</v>
      </c>
    </row>
    <row r="6995" spans="13:15" x14ac:dyDescent="0.3">
      <c r="M6995" s="35">
        <v>48.11</v>
      </c>
      <c r="N6995">
        <v>305</v>
      </c>
      <c r="O6995" s="34">
        <f t="shared" si="110"/>
        <v>0.79631105544805814</v>
      </c>
    </row>
    <row r="6996" spans="13:15" x14ac:dyDescent="0.3">
      <c r="M6996" s="35">
        <v>48.11</v>
      </c>
      <c r="N6996">
        <v>305</v>
      </c>
      <c r="O6996" s="34">
        <f t="shared" si="110"/>
        <v>0.79642491176139074</v>
      </c>
    </row>
    <row r="6997" spans="13:15" x14ac:dyDescent="0.3">
      <c r="M6997" s="35">
        <v>48.14</v>
      </c>
      <c r="N6997">
        <v>305</v>
      </c>
      <c r="O6997" s="34">
        <f t="shared" si="110"/>
        <v>0.79653876807472335</v>
      </c>
    </row>
    <row r="6998" spans="13:15" x14ac:dyDescent="0.3">
      <c r="M6998" s="35">
        <v>48.16</v>
      </c>
      <c r="N6998">
        <v>305</v>
      </c>
      <c r="O6998" s="34">
        <f t="shared" si="110"/>
        <v>0.79665262438805595</v>
      </c>
    </row>
    <row r="6999" spans="13:15" x14ac:dyDescent="0.3">
      <c r="M6999" s="35">
        <v>48.2</v>
      </c>
      <c r="N6999">
        <v>305</v>
      </c>
      <c r="O6999" s="34">
        <f t="shared" si="110"/>
        <v>0.79676648070138856</v>
      </c>
    </row>
    <row r="7000" spans="13:15" x14ac:dyDescent="0.3">
      <c r="M7000" s="35">
        <v>48.21</v>
      </c>
      <c r="N7000">
        <v>305</v>
      </c>
      <c r="O7000" s="34">
        <f t="shared" si="110"/>
        <v>0.79688033701472116</v>
      </c>
    </row>
    <row r="7001" spans="13:15" x14ac:dyDescent="0.3">
      <c r="M7001" s="35">
        <v>48.21</v>
      </c>
      <c r="N7001">
        <v>305</v>
      </c>
      <c r="O7001" s="34">
        <f t="shared" si="110"/>
        <v>0.79699419332805377</v>
      </c>
    </row>
    <row r="7002" spans="13:15" x14ac:dyDescent="0.3">
      <c r="M7002" s="35">
        <v>48.22</v>
      </c>
      <c r="N7002">
        <v>305</v>
      </c>
      <c r="O7002" s="34">
        <f t="shared" si="110"/>
        <v>0.79710804964138637</v>
      </c>
    </row>
    <row r="7003" spans="13:15" x14ac:dyDescent="0.3">
      <c r="M7003" s="35">
        <v>48.25</v>
      </c>
      <c r="N7003">
        <v>305</v>
      </c>
      <c r="O7003" s="34">
        <f t="shared" si="110"/>
        <v>0.79722190595471898</v>
      </c>
    </row>
    <row r="7004" spans="13:15" x14ac:dyDescent="0.3">
      <c r="M7004" s="35">
        <v>48.27</v>
      </c>
      <c r="N7004">
        <v>305</v>
      </c>
      <c r="O7004" s="34">
        <f t="shared" si="110"/>
        <v>0.79733576226805158</v>
      </c>
    </row>
    <row r="7005" spans="13:15" x14ac:dyDescent="0.3">
      <c r="M7005" s="35">
        <v>48.31</v>
      </c>
      <c r="N7005">
        <v>305</v>
      </c>
      <c r="O7005" s="34">
        <f t="shared" si="110"/>
        <v>0.79744961858138419</v>
      </c>
    </row>
    <row r="7006" spans="13:15" x14ac:dyDescent="0.3">
      <c r="M7006" s="35">
        <v>48.33</v>
      </c>
      <c r="N7006">
        <v>305</v>
      </c>
      <c r="O7006" s="34">
        <f t="shared" si="110"/>
        <v>0.7975634748947168</v>
      </c>
    </row>
    <row r="7007" spans="13:15" x14ac:dyDescent="0.3">
      <c r="M7007" s="35">
        <v>48.36</v>
      </c>
      <c r="N7007">
        <v>305</v>
      </c>
      <c r="O7007" s="34">
        <f t="shared" si="110"/>
        <v>0.7976773312080494</v>
      </c>
    </row>
    <row r="7008" spans="13:15" x14ac:dyDescent="0.3">
      <c r="M7008" s="35">
        <v>48.37</v>
      </c>
      <c r="N7008">
        <v>305</v>
      </c>
      <c r="O7008" s="34">
        <f t="shared" si="110"/>
        <v>0.79779118752138201</v>
      </c>
    </row>
    <row r="7009" spans="13:15" x14ac:dyDescent="0.3">
      <c r="M7009" s="35">
        <v>48.41</v>
      </c>
      <c r="N7009">
        <v>305</v>
      </c>
      <c r="O7009" s="34">
        <f t="shared" si="110"/>
        <v>0.79790504383471461</v>
      </c>
    </row>
    <row r="7010" spans="13:15" x14ac:dyDescent="0.3">
      <c r="M7010" s="35">
        <v>48.47</v>
      </c>
      <c r="N7010">
        <v>305</v>
      </c>
      <c r="O7010" s="34">
        <f t="shared" si="110"/>
        <v>0.79801890014804722</v>
      </c>
    </row>
    <row r="7011" spans="13:15" x14ac:dyDescent="0.3">
      <c r="M7011" s="35">
        <v>48.47</v>
      </c>
      <c r="N7011">
        <v>305</v>
      </c>
      <c r="O7011" s="34">
        <f t="shared" si="110"/>
        <v>0.79813275646137982</v>
      </c>
    </row>
    <row r="7012" spans="13:15" x14ac:dyDescent="0.3">
      <c r="M7012" s="35">
        <v>48.49</v>
      </c>
      <c r="N7012">
        <v>305</v>
      </c>
      <c r="O7012" s="34">
        <f t="shared" si="110"/>
        <v>0.79824661277471243</v>
      </c>
    </row>
    <row r="7013" spans="13:15" x14ac:dyDescent="0.3">
      <c r="M7013" s="35">
        <v>48.5</v>
      </c>
      <c r="N7013">
        <v>305</v>
      </c>
      <c r="O7013" s="34">
        <f t="shared" si="110"/>
        <v>0.79836046908804503</v>
      </c>
    </row>
    <row r="7014" spans="13:15" x14ac:dyDescent="0.3">
      <c r="M7014" s="35">
        <v>48.52</v>
      </c>
      <c r="N7014">
        <v>305</v>
      </c>
      <c r="O7014" s="34">
        <f t="shared" si="110"/>
        <v>0.79847432540137764</v>
      </c>
    </row>
    <row r="7015" spans="13:15" x14ac:dyDescent="0.3">
      <c r="M7015" s="35">
        <v>48.53</v>
      </c>
      <c r="N7015">
        <v>305</v>
      </c>
      <c r="O7015" s="34">
        <f t="shared" si="110"/>
        <v>0.79858818171471024</v>
      </c>
    </row>
    <row r="7016" spans="13:15" x14ac:dyDescent="0.3">
      <c r="M7016" s="35">
        <v>48.56</v>
      </c>
      <c r="N7016">
        <v>305</v>
      </c>
      <c r="O7016" s="34">
        <f t="shared" si="110"/>
        <v>0.79870203802804285</v>
      </c>
    </row>
    <row r="7017" spans="13:15" x14ac:dyDescent="0.3">
      <c r="M7017" s="35">
        <v>48.57</v>
      </c>
      <c r="N7017">
        <v>305</v>
      </c>
      <c r="O7017" s="34">
        <f t="shared" si="110"/>
        <v>0.79881589434137545</v>
      </c>
    </row>
    <row r="7018" spans="13:15" x14ac:dyDescent="0.3">
      <c r="M7018" s="35">
        <v>48.58</v>
      </c>
      <c r="N7018">
        <v>305</v>
      </c>
      <c r="O7018" s="34">
        <f t="shared" si="110"/>
        <v>0.79892975065470806</v>
      </c>
    </row>
    <row r="7019" spans="13:15" x14ac:dyDescent="0.3">
      <c r="M7019" s="35">
        <v>48.58</v>
      </c>
      <c r="N7019">
        <v>305</v>
      </c>
      <c r="O7019" s="34">
        <f t="shared" si="110"/>
        <v>0.79904360696804066</v>
      </c>
    </row>
    <row r="7020" spans="13:15" x14ac:dyDescent="0.3">
      <c r="M7020" s="35">
        <v>48.59</v>
      </c>
      <c r="N7020">
        <v>305</v>
      </c>
      <c r="O7020" s="34">
        <f t="shared" si="110"/>
        <v>0.79915746328137327</v>
      </c>
    </row>
    <row r="7021" spans="13:15" x14ac:dyDescent="0.3">
      <c r="M7021" s="35">
        <v>48.61</v>
      </c>
      <c r="N7021">
        <v>305</v>
      </c>
      <c r="O7021" s="34">
        <f t="shared" si="110"/>
        <v>0.79927131959470588</v>
      </c>
    </row>
    <row r="7022" spans="13:15" x14ac:dyDescent="0.3">
      <c r="M7022" s="35">
        <v>48.61</v>
      </c>
      <c r="N7022">
        <v>305</v>
      </c>
      <c r="O7022" s="34">
        <f t="shared" si="110"/>
        <v>0.79938517590803848</v>
      </c>
    </row>
    <row r="7023" spans="13:15" x14ac:dyDescent="0.3">
      <c r="M7023" s="35">
        <v>48.62</v>
      </c>
      <c r="N7023">
        <v>305</v>
      </c>
      <c r="O7023" s="34">
        <f t="shared" si="110"/>
        <v>0.79949903222137109</v>
      </c>
    </row>
    <row r="7024" spans="13:15" x14ac:dyDescent="0.3">
      <c r="M7024" s="35">
        <v>48.62</v>
      </c>
      <c r="N7024">
        <v>305</v>
      </c>
      <c r="O7024" s="34">
        <f t="shared" si="110"/>
        <v>0.79961288853470369</v>
      </c>
    </row>
    <row r="7025" spans="13:15" x14ac:dyDescent="0.3">
      <c r="M7025" s="35">
        <v>48.62</v>
      </c>
      <c r="N7025">
        <v>305</v>
      </c>
      <c r="O7025" s="34">
        <f t="shared" si="110"/>
        <v>0.7997267448480363</v>
      </c>
    </row>
    <row r="7026" spans="13:15" x14ac:dyDescent="0.3">
      <c r="M7026" s="35">
        <v>48.64</v>
      </c>
      <c r="N7026">
        <v>305</v>
      </c>
      <c r="O7026" s="34">
        <f t="shared" si="110"/>
        <v>0.7998406011613689</v>
      </c>
    </row>
    <row r="7027" spans="13:15" x14ac:dyDescent="0.3">
      <c r="M7027" s="35">
        <v>48.64</v>
      </c>
      <c r="N7027">
        <v>305</v>
      </c>
      <c r="O7027" s="34">
        <f t="shared" si="110"/>
        <v>0.79995445747470151</v>
      </c>
    </row>
    <row r="7028" spans="13:15" x14ac:dyDescent="0.3">
      <c r="M7028" s="35">
        <v>48.65</v>
      </c>
      <c r="N7028">
        <v>305</v>
      </c>
      <c r="O7028" s="34">
        <f t="shared" si="110"/>
        <v>0.80006831378803411</v>
      </c>
    </row>
    <row r="7029" spans="13:15" x14ac:dyDescent="0.3">
      <c r="M7029" s="35">
        <v>48.65</v>
      </c>
      <c r="N7029">
        <v>305</v>
      </c>
      <c r="O7029" s="34">
        <f t="shared" si="110"/>
        <v>0.80018217010136672</v>
      </c>
    </row>
    <row r="7030" spans="13:15" x14ac:dyDescent="0.3">
      <c r="M7030" s="35">
        <v>48.66</v>
      </c>
      <c r="N7030">
        <v>305</v>
      </c>
      <c r="O7030" s="34">
        <f t="shared" si="110"/>
        <v>0.80029602641469932</v>
      </c>
    </row>
    <row r="7031" spans="13:15" x14ac:dyDescent="0.3">
      <c r="M7031" s="35">
        <v>48.68</v>
      </c>
      <c r="N7031">
        <v>305</v>
      </c>
      <c r="O7031" s="34">
        <f t="shared" si="110"/>
        <v>0.80040988272803193</v>
      </c>
    </row>
    <row r="7032" spans="13:15" x14ac:dyDescent="0.3">
      <c r="M7032" s="35">
        <v>48.68</v>
      </c>
      <c r="N7032">
        <v>305</v>
      </c>
      <c r="O7032" s="34">
        <f t="shared" si="110"/>
        <v>0.80052373904136453</v>
      </c>
    </row>
    <row r="7033" spans="13:15" x14ac:dyDescent="0.3">
      <c r="M7033" s="35">
        <v>48.71</v>
      </c>
      <c r="N7033">
        <v>305</v>
      </c>
      <c r="O7033" s="34">
        <f t="shared" si="110"/>
        <v>0.80063759535469714</v>
      </c>
    </row>
    <row r="7034" spans="13:15" x14ac:dyDescent="0.3">
      <c r="M7034" s="35">
        <v>48.76</v>
      </c>
      <c r="N7034">
        <v>305</v>
      </c>
      <c r="O7034" s="34">
        <f t="shared" si="110"/>
        <v>0.80075145166802975</v>
      </c>
    </row>
    <row r="7035" spans="13:15" x14ac:dyDescent="0.3">
      <c r="M7035" s="35">
        <v>48.76</v>
      </c>
      <c r="N7035">
        <v>305</v>
      </c>
      <c r="O7035" s="34">
        <f t="shared" si="110"/>
        <v>0.80086530798136235</v>
      </c>
    </row>
    <row r="7036" spans="13:15" x14ac:dyDescent="0.3">
      <c r="M7036" s="35">
        <v>48.77</v>
      </c>
      <c r="N7036">
        <v>305</v>
      </c>
      <c r="O7036" s="34">
        <f t="shared" si="110"/>
        <v>0.80097916429469496</v>
      </c>
    </row>
    <row r="7037" spans="13:15" x14ac:dyDescent="0.3">
      <c r="M7037" s="35">
        <v>48.78</v>
      </c>
      <c r="N7037">
        <v>305</v>
      </c>
      <c r="O7037" s="34">
        <f t="shared" si="110"/>
        <v>0.80109302060802756</v>
      </c>
    </row>
    <row r="7038" spans="13:15" x14ac:dyDescent="0.3">
      <c r="M7038" s="35">
        <v>48.82</v>
      </c>
      <c r="N7038">
        <v>305</v>
      </c>
      <c r="O7038" s="34">
        <f t="shared" si="110"/>
        <v>0.80120687692136017</v>
      </c>
    </row>
    <row r="7039" spans="13:15" x14ac:dyDescent="0.3">
      <c r="M7039" s="35">
        <v>48.83</v>
      </c>
      <c r="N7039">
        <v>305</v>
      </c>
      <c r="O7039" s="34">
        <f t="shared" si="110"/>
        <v>0.80132073323469277</v>
      </c>
    </row>
    <row r="7040" spans="13:15" x14ac:dyDescent="0.3">
      <c r="M7040" s="35">
        <v>48.83</v>
      </c>
      <c r="N7040">
        <v>305</v>
      </c>
      <c r="O7040" s="34">
        <f t="shared" si="110"/>
        <v>0.80143458954802538</v>
      </c>
    </row>
    <row r="7041" spans="13:15" x14ac:dyDescent="0.3">
      <c r="M7041" s="35">
        <v>48.85</v>
      </c>
      <c r="N7041">
        <v>305</v>
      </c>
      <c r="O7041" s="34">
        <f t="shared" si="110"/>
        <v>0.80154844586135798</v>
      </c>
    </row>
    <row r="7042" spans="13:15" x14ac:dyDescent="0.3">
      <c r="M7042" s="35">
        <v>48.85</v>
      </c>
      <c r="N7042">
        <v>305</v>
      </c>
      <c r="O7042" s="34">
        <f t="shared" si="110"/>
        <v>0.80166230217469059</v>
      </c>
    </row>
    <row r="7043" spans="13:15" x14ac:dyDescent="0.3">
      <c r="M7043" s="35">
        <v>48.87</v>
      </c>
      <c r="N7043">
        <v>305</v>
      </c>
      <c r="O7043" s="34">
        <f t="shared" si="110"/>
        <v>0.80177615848802319</v>
      </c>
    </row>
    <row r="7044" spans="13:15" x14ac:dyDescent="0.3">
      <c r="M7044" s="35">
        <v>48.88</v>
      </c>
      <c r="N7044">
        <v>305</v>
      </c>
      <c r="O7044" s="34">
        <f t="shared" ref="O7044:O7107" si="111">O7043+O$2</f>
        <v>0.8018900148013558</v>
      </c>
    </row>
    <row r="7045" spans="13:15" x14ac:dyDescent="0.3">
      <c r="M7045" s="35">
        <v>48.9</v>
      </c>
      <c r="N7045">
        <v>305</v>
      </c>
      <c r="O7045" s="34">
        <f t="shared" si="111"/>
        <v>0.8020038711146884</v>
      </c>
    </row>
    <row r="7046" spans="13:15" x14ac:dyDescent="0.3">
      <c r="M7046" s="35">
        <v>48.9</v>
      </c>
      <c r="N7046">
        <v>305</v>
      </c>
      <c r="O7046" s="34">
        <f t="shared" si="111"/>
        <v>0.80211772742802101</v>
      </c>
    </row>
    <row r="7047" spans="13:15" x14ac:dyDescent="0.3">
      <c r="M7047" s="35">
        <v>48.91</v>
      </c>
      <c r="N7047">
        <v>305</v>
      </c>
      <c r="O7047" s="34">
        <f t="shared" si="111"/>
        <v>0.80223158374135362</v>
      </c>
    </row>
    <row r="7048" spans="13:15" x14ac:dyDescent="0.3">
      <c r="M7048" s="35">
        <v>48.92</v>
      </c>
      <c r="N7048">
        <v>305</v>
      </c>
      <c r="O7048" s="34">
        <f t="shared" si="111"/>
        <v>0.80234544005468622</v>
      </c>
    </row>
    <row r="7049" spans="13:15" x14ac:dyDescent="0.3">
      <c r="M7049" s="35">
        <v>48.95</v>
      </c>
      <c r="N7049">
        <v>305</v>
      </c>
      <c r="O7049" s="34">
        <f t="shared" si="111"/>
        <v>0.80245929636801883</v>
      </c>
    </row>
    <row r="7050" spans="13:15" x14ac:dyDescent="0.3">
      <c r="M7050" s="35">
        <v>48.96</v>
      </c>
      <c r="N7050">
        <v>305</v>
      </c>
      <c r="O7050" s="34">
        <f t="shared" si="111"/>
        <v>0.80257315268135143</v>
      </c>
    </row>
    <row r="7051" spans="13:15" x14ac:dyDescent="0.3">
      <c r="M7051" s="35">
        <v>48.99</v>
      </c>
      <c r="N7051">
        <v>305</v>
      </c>
      <c r="O7051" s="34">
        <f t="shared" si="111"/>
        <v>0.80268700899468404</v>
      </c>
    </row>
    <row r="7052" spans="13:15" x14ac:dyDescent="0.3">
      <c r="M7052" s="35">
        <v>49.02</v>
      </c>
      <c r="N7052">
        <v>305</v>
      </c>
      <c r="O7052" s="34">
        <f t="shared" si="111"/>
        <v>0.80280086530801664</v>
      </c>
    </row>
    <row r="7053" spans="13:15" x14ac:dyDescent="0.3">
      <c r="M7053" s="35">
        <v>49.02</v>
      </c>
      <c r="N7053">
        <v>305</v>
      </c>
      <c r="O7053" s="34">
        <f t="shared" si="111"/>
        <v>0.80291472162134925</v>
      </c>
    </row>
    <row r="7054" spans="13:15" x14ac:dyDescent="0.3">
      <c r="M7054" s="35">
        <v>49.03</v>
      </c>
      <c r="N7054">
        <v>305</v>
      </c>
      <c r="O7054" s="34">
        <f t="shared" si="111"/>
        <v>0.80302857793468185</v>
      </c>
    </row>
    <row r="7055" spans="13:15" x14ac:dyDescent="0.3">
      <c r="M7055" s="35">
        <v>49.04</v>
      </c>
      <c r="N7055">
        <v>305</v>
      </c>
      <c r="O7055" s="34">
        <f t="shared" si="111"/>
        <v>0.80314243424801446</v>
      </c>
    </row>
    <row r="7056" spans="13:15" x14ac:dyDescent="0.3">
      <c r="M7056" s="35">
        <v>49.04</v>
      </c>
      <c r="N7056">
        <v>305</v>
      </c>
      <c r="O7056" s="34">
        <f t="shared" si="111"/>
        <v>0.80325629056134706</v>
      </c>
    </row>
    <row r="7057" spans="13:15" x14ac:dyDescent="0.3">
      <c r="M7057" s="35">
        <v>49.05</v>
      </c>
      <c r="N7057">
        <v>305</v>
      </c>
      <c r="O7057" s="34">
        <f t="shared" si="111"/>
        <v>0.80337014687467967</v>
      </c>
    </row>
    <row r="7058" spans="13:15" x14ac:dyDescent="0.3">
      <c r="M7058" s="35">
        <v>49.06</v>
      </c>
      <c r="N7058">
        <v>305</v>
      </c>
      <c r="O7058" s="34">
        <f t="shared" si="111"/>
        <v>0.80348400318801227</v>
      </c>
    </row>
    <row r="7059" spans="13:15" x14ac:dyDescent="0.3">
      <c r="M7059" s="35">
        <v>49.07</v>
      </c>
      <c r="N7059">
        <v>305</v>
      </c>
      <c r="O7059" s="34">
        <f t="shared" si="111"/>
        <v>0.80359785950134488</v>
      </c>
    </row>
    <row r="7060" spans="13:15" x14ac:dyDescent="0.3">
      <c r="M7060" s="35">
        <v>49.07</v>
      </c>
      <c r="N7060">
        <v>305</v>
      </c>
      <c r="O7060" s="34">
        <f t="shared" si="111"/>
        <v>0.80371171581467749</v>
      </c>
    </row>
    <row r="7061" spans="13:15" x14ac:dyDescent="0.3">
      <c r="M7061" s="35">
        <v>49.08</v>
      </c>
      <c r="N7061">
        <v>305</v>
      </c>
      <c r="O7061" s="34">
        <f t="shared" si="111"/>
        <v>0.80382557212801009</v>
      </c>
    </row>
    <row r="7062" spans="13:15" x14ac:dyDescent="0.3">
      <c r="M7062" s="35">
        <v>49.09</v>
      </c>
      <c r="N7062">
        <v>305</v>
      </c>
      <c r="O7062" s="34">
        <f t="shared" si="111"/>
        <v>0.8039394284413427</v>
      </c>
    </row>
    <row r="7063" spans="13:15" x14ac:dyDescent="0.3">
      <c r="M7063" s="35">
        <v>49.13</v>
      </c>
      <c r="N7063">
        <v>305</v>
      </c>
      <c r="O7063" s="34">
        <f t="shared" si="111"/>
        <v>0.8040532847546753</v>
      </c>
    </row>
    <row r="7064" spans="13:15" x14ac:dyDescent="0.3">
      <c r="M7064" s="35">
        <v>49.14</v>
      </c>
      <c r="N7064">
        <v>305</v>
      </c>
      <c r="O7064" s="34">
        <f t="shared" si="111"/>
        <v>0.80416714106800791</v>
      </c>
    </row>
    <row r="7065" spans="13:15" x14ac:dyDescent="0.3">
      <c r="M7065" s="35">
        <v>49.14</v>
      </c>
      <c r="N7065">
        <v>305</v>
      </c>
      <c r="O7065" s="34">
        <f t="shared" si="111"/>
        <v>0.80428099738134051</v>
      </c>
    </row>
    <row r="7066" spans="13:15" x14ac:dyDescent="0.3">
      <c r="M7066" s="35">
        <v>49.15</v>
      </c>
      <c r="N7066">
        <v>305</v>
      </c>
      <c r="O7066" s="34">
        <f t="shared" si="111"/>
        <v>0.80439485369467312</v>
      </c>
    </row>
    <row r="7067" spans="13:15" x14ac:dyDescent="0.3">
      <c r="M7067" s="35">
        <v>49.21</v>
      </c>
      <c r="N7067">
        <v>305</v>
      </c>
      <c r="O7067" s="34">
        <f t="shared" si="111"/>
        <v>0.80450871000800572</v>
      </c>
    </row>
    <row r="7068" spans="13:15" x14ac:dyDescent="0.3">
      <c r="M7068" s="35">
        <v>49.26</v>
      </c>
      <c r="N7068">
        <v>305</v>
      </c>
      <c r="O7068" s="34">
        <f t="shared" si="111"/>
        <v>0.80462256632133833</v>
      </c>
    </row>
    <row r="7069" spans="13:15" x14ac:dyDescent="0.3">
      <c r="M7069" s="35">
        <v>49.28</v>
      </c>
      <c r="N7069">
        <v>305</v>
      </c>
      <c r="O7069" s="34">
        <f t="shared" si="111"/>
        <v>0.80473642263467093</v>
      </c>
    </row>
    <row r="7070" spans="13:15" x14ac:dyDescent="0.3">
      <c r="M7070" s="35">
        <v>49.28</v>
      </c>
      <c r="N7070">
        <v>305</v>
      </c>
      <c r="O7070" s="34">
        <f t="shared" si="111"/>
        <v>0.80485027894800354</v>
      </c>
    </row>
    <row r="7071" spans="13:15" x14ac:dyDescent="0.3">
      <c r="M7071" s="35">
        <v>49.32</v>
      </c>
      <c r="N7071">
        <v>305</v>
      </c>
      <c r="O7071" s="34">
        <f t="shared" si="111"/>
        <v>0.80496413526133614</v>
      </c>
    </row>
    <row r="7072" spans="13:15" x14ac:dyDescent="0.3">
      <c r="M7072" s="35">
        <v>49.33</v>
      </c>
      <c r="N7072">
        <v>305</v>
      </c>
      <c r="O7072" s="34">
        <f t="shared" si="111"/>
        <v>0.80507799157466875</v>
      </c>
    </row>
    <row r="7073" spans="13:15" x14ac:dyDescent="0.3">
      <c r="M7073" s="35">
        <v>49.38</v>
      </c>
      <c r="N7073">
        <v>305</v>
      </c>
      <c r="O7073" s="34">
        <f t="shared" si="111"/>
        <v>0.80519184788800136</v>
      </c>
    </row>
    <row r="7074" spans="13:15" x14ac:dyDescent="0.3">
      <c r="M7074" s="35">
        <v>49.39</v>
      </c>
      <c r="N7074">
        <v>305</v>
      </c>
      <c r="O7074" s="34">
        <f t="shared" si="111"/>
        <v>0.80530570420133396</v>
      </c>
    </row>
    <row r="7075" spans="13:15" x14ac:dyDescent="0.3">
      <c r="M7075" s="35">
        <v>49.43</v>
      </c>
      <c r="N7075">
        <v>305</v>
      </c>
      <c r="O7075" s="34">
        <f t="shared" si="111"/>
        <v>0.80541956051466657</v>
      </c>
    </row>
    <row r="7076" spans="13:15" x14ac:dyDescent="0.3">
      <c r="M7076" s="35">
        <v>49.47</v>
      </c>
      <c r="N7076">
        <v>305</v>
      </c>
      <c r="O7076" s="34">
        <f t="shared" si="111"/>
        <v>0.80553341682799917</v>
      </c>
    </row>
    <row r="7077" spans="13:15" x14ac:dyDescent="0.3">
      <c r="M7077" s="35">
        <v>49.49</v>
      </c>
      <c r="N7077">
        <v>305</v>
      </c>
      <c r="O7077" s="34">
        <f t="shared" si="111"/>
        <v>0.80564727314133178</v>
      </c>
    </row>
    <row r="7078" spans="13:15" x14ac:dyDescent="0.3">
      <c r="M7078" s="35">
        <v>49.49</v>
      </c>
      <c r="N7078">
        <v>305</v>
      </c>
      <c r="O7078" s="34">
        <f t="shared" si="111"/>
        <v>0.80576112945466438</v>
      </c>
    </row>
    <row r="7079" spans="13:15" x14ac:dyDescent="0.3">
      <c r="M7079" s="35">
        <v>49.5</v>
      </c>
      <c r="N7079">
        <v>305</v>
      </c>
      <c r="O7079" s="34">
        <f t="shared" si="111"/>
        <v>0.80587498576799699</v>
      </c>
    </row>
    <row r="7080" spans="13:15" x14ac:dyDescent="0.3">
      <c r="M7080" s="35">
        <v>49.5</v>
      </c>
      <c r="N7080">
        <v>305</v>
      </c>
      <c r="O7080" s="34">
        <f t="shared" si="111"/>
        <v>0.80598884208132959</v>
      </c>
    </row>
    <row r="7081" spans="13:15" x14ac:dyDescent="0.3">
      <c r="M7081" s="35">
        <v>49.52</v>
      </c>
      <c r="N7081">
        <v>305</v>
      </c>
      <c r="O7081" s="34">
        <f t="shared" si="111"/>
        <v>0.8061026983946622</v>
      </c>
    </row>
    <row r="7082" spans="13:15" x14ac:dyDescent="0.3">
      <c r="M7082" s="35">
        <v>49.53</v>
      </c>
      <c r="N7082">
        <v>305</v>
      </c>
      <c r="O7082" s="34">
        <f t="shared" si="111"/>
        <v>0.8062165547079948</v>
      </c>
    </row>
    <row r="7083" spans="13:15" x14ac:dyDescent="0.3">
      <c r="M7083" s="35">
        <v>49.54</v>
      </c>
      <c r="N7083">
        <v>305</v>
      </c>
      <c r="O7083" s="34">
        <f t="shared" si="111"/>
        <v>0.80633041102132741</v>
      </c>
    </row>
    <row r="7084" spans="13:15" x14ac:dyDescent="0.3">
      <c r="M7084" s="35">
        <v>49.55</v>
      </c>
      <c r="N7084">
        <v>305</v>
      </c>
      <c r="O7084" s="34">
        <f t="shared" si="111"/>
        <v>0.80644426733466001</v>
      </c>
    </row>
    <row r="7085" spans="13:15" x14ac:dyDescent="0.3">
      <c r="M7085" s="35">
        <v>49.59</v>
      </c>
      <c r="N7085">
        <v>305</v>
      </c>
      <c r="O7085" s="34">
        <f t="shared" si="111"/>
        <v>0.80655812364799262</v>
      </c>
    </row>
    <row r="7086" spans="13:15" x14ac:dyDescent="0.3">
      <c r="M7086" s="35">
        <v>49.59</v>
      </c>
      <c r="N7086">
        <v>305</v>
      </c>
      <c r="O7086" s="34">
        <f t="shared" si="111"/>
        <v>0.80667197996132523</v>
      </c>
    </row>
    <row r="7087" spans="13:15" x14ac:dyDescent="0.3">
      <c r="M7087" s="35">
        <v>49.6</v>
      </c>
      <c r="N7087">
        <v>305</v>
      </c>
      <c r="O7087" s="34">
        <f t="shared" si="111"/>
        <v>0.80678583627465783</v>
      </c>
    </row>
    <row r="7088" spans="13:15" x14ac:dyDescent="0.3">
      <c r="M7088" s="35">
        <v>49.6</v>
      </c>
      <c r="N7088">
        <v>305</v>
      </c>
      <c r="O7088" s="34">
        <f t="shared" si="111"/>
        <v>0.80689969258799044</v>
      </c>
    </row>
    <row r="7089" spans="13:15" x14ac:dyDescent="0.3">
      <c r="M7089" s="35">
        <v>49.61</v>
      </c>
      <c r="N7089">
        <v>305</v>
      </c>
      <c r="O7089" s="34">
        <f t="shared" si="111"/>
        <v>0.80701354890132304</v>
      </c>
    </row>
    <row r="7090" spans="13:15" x14ac:dyDescent="0.3">
      <c r="M7090" s="35">
        <v>49.63</v>
      </c>
      <c r="N7090">
        <v>305</v>
      </c>
      <c r="O7090" s="34">
        <f t="shared" si="111"/>
        <v>0.80712740521465565</v>
      </c>
    </row>
    <row r="7091" spans="13:15" x14ac:dyDescent="0.3">
      <c r="M7091" s="35">
        <v>49.66</v>
      </c>
      <c r="N7091">
        <v>305</v>
      </c>
      <c r="O7091" s="34">
        <f t="shared" si="111"/>
        <v>0.80724126152798825</v>
      </c>
    </row>
    <row r="7092" spans="13:15" x14ac:dyDescent="0.3">
      <c r="M7092" s="35">
        <v>49.67</v>
      </c>
      <c r="N7092">
        <v>305</v>
      </c>
      <c r="O7092" s="34">
        <f t="shared" si="111"/>
        <v>0.80735511784132086</v>
      </c>
    </row>
    <row r="7093" spans="13:15" x14ac:dyDescent="0.3">
      <c r="M7093" s="35">
        <v>49.69</v>
      </c>
      <c r="N7093">
        <v>305</v>
      </c>
      <c r="O7093" s="34">
        <f t="shared" si="111"/>
        <v>0.80746897415465346</v>
      </c>
    </row>
    <row r="7094" spans="13:15" x14ac:dyDescent="0.3">
      <c r="M7094" s="35">
        <v>49.71</v>
      </c>
      <c r="N7094">
        <v>305</v>
      </c>
      <c r="O7094" s="34">
        <f t="shared" si="111"/>
        <v>0.80758283046798607</v>
      </c>
    </row>
    <row r="7095" spans="13:15" x14ac:dyDescent="0.3">
      <c r="M7095" s="35">
        <v>49.72</v>
      </c>
      <c r="N7095">
        <v>305</v>
      </c>
      <c r="O7095" s="34">
        <f t="shared" si="111"/>
        <v>0.80769668678131867</v>
      </c>
    </row>
    <row r="7096" spans="13:15" x14ac:dyDescent="0.3">
      <c r="M7096" s="35">
        <v>49.72</v>
      </c>
      <c r="N7096">
        <v>305</v>
      </c>
      <c r="O7096" s="34">
        <f t="shared" si="111"/>
        <v>0.80781054309465128</v>
      </c>
    </row>
    <row r="7097" spans="13:15" x14ac:dyDescent="0.3">
      <c r="M7097" s="35">
        <v>49.73</v>
      </c>
      <c r="N7097">
        <v>305</v>
      </c>
      <c r="O7097" s="34">
        <f t="shared" si="111"/>
        <v>0.80792439940798388</v>
      </c>
    </row>
    <row r="7098" spans="13:15" x14ac:dyDescent="0.3">
      <c r="M7098" s="35">
        <v>49.74</v>
      </c>
      <c r="N7098">
        <v>305</v>
      </c>
      <c r="O7098" s="34">
        <f t="shared" si="111"/>
        <v>0.80803825572131649</v>
      </c>
    </row>
    <row r="7099" spans="13:15" x14ac:dyDescent="0.3">
      <c r="M7099" s="35">
        <v>49.75</v>
      </c>
      <c r="N7099">
        <v>305</v>
      </c>
      <c r="O7099" s="34">
        <f t="shared" si="111"/>
        <v>0.80815211203464909</v>
      </c>
    </row>
    <row r="7100" spans="13:15" x14ac:dyDescent="0.3">
      <c r="M7100" s="35">
        <v>49.75</v>
      </c>
      <c r="N7100">
        <v>305</v>
      </c>
      <c r="O7100" s="34">
        <f t="shared" si="111"/>
        <v>0.8082659683479817</v>
      </c>
    </row>
    <row r="7101" spans="13:15" x14ac:dyDescent="0.3">
      <c r="M7101" s="35">
        <v>49.77</v>
      </c>
      <c r="N7101">
        <v>305</v>
      </c>
      <c r="O7101" s="34">
        <f t="shared" si="111"/>
        <v>0.80837982466131431</v>
      </c>
    </row>
    <row r="7102" spans="13:15" x14ac:dyDescent="0.3">
      <c r="M7102" s="35">
        <v>49.8</v>
      </c>
      <c r="N7102">
        <v>305</v>
      </c>
      <c r="O7102" s="34">
        <f t="shared" si="111"/>
        <v>0.80849368097464691</v>
      </c>
    </row>
    <row r="7103" spans="13:15" x14ac:dyDescent="0.3">
      <c r="M7103" s="35">
        <v>49.83</v>
      </c>
      <c r="N7103">
        <v>305</v>
      </c>
      <c r="O7103" s="34">
        <f t="shared" si="111"/>
        <v>0.80860753728797952</v>
      </c>
    </row>
    <row r="7104" spans="13:15" x14ac:dyDescent="0.3">
      <c r="M7104" s="35">
        <v>49.84</v>
      </c>
      <c r="N7104">
        <v>305</v>
      </c>
      <c r="O7104" s="34">
        <f t="shared" si="111"/>
        <v>0.80872139360131212</v>
      </c>
    </row>
    <row r="7105" spans="13:15" x14ac:dyDescent="0.3">
      <c r="M7105" s="35">
        <v>49.85</v>
      </c>
      <c r="N7105">
        <v>305</v>
      </c>
      <c r="O7105" s="34">
        <f t="shared" si="111"/>
        <v>0.80883524991464473</v>
      </c>
    </row>
    <row r="7106" spans="13:15" x14ac:dyDescent="0.3">
      <c r="M7106" s="35">
        <v>49.9</v>
      </c>
      <c r="N7106">
        <v>305</v>
      </c>
      <c r="O7106" s="34">
        <f t="shared" si="111"/>
        <v>0.80894910622797733</v>
      </c>
    </row>
    <row r="7107" spans="13:15" x14ac:dyDescent="0.3">
      <c r="M7107" s="35">
        <v>49.91</v>
      </c>
      <c r="N7107">
        <v>305</v>
      </c>
      <c r="O7107" s="34">
        <f t="shared" si="111"/>
        <v>0.80906296254130994</v>
      </c>
    </row>
    <row r="7108" spans="13:15" x14ac:dyDescent="0.3">
      <c r="M7108" s="35">
        <v>49.93</v>
      </c>
      <c r="N7108">
        <v>305</v>
      </c>
      <c r="O7108" s="34">
        <f t="shared" ref="O7108:O7171" si="112">O7107+O$2</f>
        <v>0.80917681885464254</v>
      </c>
    </row>
    <row r="7109" spans="13:15" x14ac:dyDescent="0.3">
      <c r="M7109" s="35">
        <v>49.93</v>
      </c>
      <c r="N7109">
        <v>305</v>
      </c>
      <c r="O7109" s="34">
        <f t="shared" si="112"/>
        <v>0.80929067516797515</v>
      </c>
    </row>
    <row r="7110" spans="13:15" x14ac:dyDescent="0.3">
      <c r="M7110" s="35">
        <v>49.95</v>
      </c>
      <c r="N7110">
        <v>305</v>
      </c>
      <c r="O7110" s="34">
        <f t="shared" si="112"/>
        <v>0.80940453148130775</v>
      </c>
    </row>
    <row r="7111" spans="13:15" x14ac:dyDescent="0.3">
      <c r="M7111" s="35">
        <v>49.95</v>
      </c>
      <c r="N7111">
        <v>305</v>
      </c>
      <c r="O7111" s="34">
        <f t="shared" si="112"/>
        <v>0.80951838779464036</v>
      </c>
    </row>
    <row r="7112" spans="13:15" x14ac:dyDescent="0.3">
      <c r="M7112" s="35">
        <v>49.95</v>
      </c>
      <c r="N7112">
        <v>305</v>
      </c>
      <c r="O7112" s="34">
        <f t="shared" si="112"/>
        <v>0.80963224410797296</v>
      </c>
    </row>
    <row r="7113" spans="13:15" x14ac:dyDescent="0.3">
      <c r="M7113" s="35">
        <v>49.96</v>
      </c>
      <c r="N7113">
        <v>305</v>
      </c>
      <c r="O7113" s="34">
        <f t="shared" si="112"/>
        <v>0.80974610042130557</v>
      </c>
    </row>
    <row r="7114" spans="13:15" x14ac:dyDescent="0.3">
      <c r="M7114" s="35">
        <v>49.97</v>
      </c>
      <c r="N7114">
        <v>305</v>
      </c>
      <c r="O7114" s="34">
        <f t="shared" si="112"/>
        <v>0.80985995673463818</v>
      </c>
    </row>
    <row r="7115" spans="13:15" x14ac:dyDescent="0.3">
      <c r="M7115" s="35">
        <v>49.98</v>
      </c>
      <c r="N7115">
        <v>305</v>
      </c>
      <c r="O7115" s="34">
        <f t="shared" si="112"/>
        <v>0.80997381304797078</v>
      </c>
    </row>
    <row r="7116" spans="13:15" x14ac:dyDescent="0.3">
      <c r="M7116" s="35">
        <v>49.99</v>
      </c>
      <c r="N7116">
        <v>305</v>
      </c>
      <c r="O7116" s="34">
        <f t="shared" si="112"/>
        <v>0.81008766936130339</v>
      </c>
    </row>
    <row r="7117" spans="13:15" x14ac:dyDescent="0.3">
      <c r="M7117" s="35">
        <v>50</v>
      </c>
      <c r="N7117">
        <v>305</v>
      </c>
      <c r="O7117" s="34">
        <f t="shared" si="112"/>
        <v>0.81020152567463599</v>
      </c>
    </row>
    <row r="7118" spans="13:15" x14ac:dyDescent="0.3">
      <c r="M7118" s="35">
        <v>50</v>
      </c>
      <c r="N7118">
        <v>305</v>
      </c>
      <c r="O7118" s="34">
        <f t="shared" si="112"/>
        <v>0.8103153819879686</v>
      </c>
    </row>
    <row r="7119" spans="13:15" x14ac:dyDescent="0.3">
      <c r="M7119" s="35">
        <v>50.01</v>
      </c>
      <c r="N7119">
        <v>305</v>
      </c>
      <c r="O7119" s="34">
        <f t="shared" si="112"/>
        <v>0.8104292383013012</v>
      </c>
    </row>
    <row r="7120" spans="13:15" x14ac:dyDescent="0.3">
      <c r="M7120" s="35">
        <v>50.01</v>
      </c>
      <c r="N7120">
        <v>305</v>
      </c>
      <c r="O7120" s="34">
        <f t="shared" si="112"/>
        <v>0.81054309461463381</v>
      </c>
    </row>
    <row r="7121" spans="13:15" x14ac:dyDescent="0.3">
      <c r="M7121" s="35">
        <v>50.02</v>
      </c>
      <c r="N7121">
        <v>305</v>
      </c>
      <c r="O7121" s="34">
        <f t="shared" si="112"/>
        <v>0.81065695092796641</v>
      </c>
    </row>
    <row r="7122" spans="13:15" x14ac:dyDescent="0.3">
      <c r="M7122" s="35">
        <v>50.05</v>
      </c>
      <c r="N7122">
        <v>305</v>
      </c>
      <c r="O7122" s="34">
        <f t="shared" si="112"/>
        <v>0.81077080724129902</v>
      </c>
    </row>
    <row r="7123" spans="13:15" x14ac:dyDescent="0.3">
      <c r="M7123" s="35">
        <v>50.07</v>
      </c>
      <c r="N7123">
        <v>305</v>
      </c>
      <c r="O7123" s="34">
        <f t="shared" si="112"/>
        <v>0.81088466355463162</v>
      </c>
    </row>
    <row r="7124" spans="13:15" x14ac:dyDescent="0.3">
      <c r="M7124" s="35">
        <v>50.09</v>
      </c>
      <c r="N7124">
        <v>305</v>
      </c>
      <c r="O7124" s="34">
        <f t="shared" si="112"/>
        <v>0.81099851986796423</v>
      </c>
    </row>
    <row r="7125" spans="13:15" x14ac:dyDescent="0.3">
      <c r="M7125" s="35">
        <v>50.13</v>
      </c>
      <c r="N7125">
        <v>305</v>
      </c>
      <c r="O7125" s="34">
        <f t="shared" si="112"/>
        <v>0.81111237618129683</v>
      </c>
    </row>
    <row r="7126" spans="13:15" x14ac:dyDescent="0.3">
      <c r="M7126" s="35">
        <v>50.13</v>
      </c>
      <c r="N7126">
        <v>305</v>
      </c>
      <c r="O7126" s="34">
        <f t="shared" si="112"/>
        <v>0.81122623249462944</v>
      </c>
    </row>
    <row r="7127" spans="13:15" x14ac:dyDescent="0.3">
      <c r="M7127" s="35">
        <v>50.14</v>
      </c>
      <c r="N7127">
        <v>305</v>
      </c>
      <c r="O7127" s="34">
        <f t="shared" si="112"/>
        <v>0.81134008880796205</v>
      </c>
    </row>
    <row r="7128" spans="13:15" x14ac:dyDescent="0.3">
      <c r="M7128" s="35">
        <v>50.15</v>
      </c>
      <c r="N7128">
        <v>305</v>
      </c>
      <c r="O7128" s="34">
        <f t="shared" si="112"/>
        <v>0.81145394512129465</v>
      </c>
    </row>
    <row r="7129" spans="13:15" x14ac:dyDescent="0.3">
      <c r="M7129" s="35">
        <v>50.19</v>
      </c>
      <c r="N7129">
        <v>305</v>
      </c>
      <c r="O7129" s="34">
        <f t="shared" si="112"/>
        <v>0.81156780143462726</v>
      </c>
    </row>
    <row r="7130" spans="13:15" x14ac:dyDescent="0.3">
      <c r="M7130" s="35">
        <v>50.19</v>
      </c>
      <c r="N7130">
        <v>305</v>
      </c>
      <c r="O7130" s="34">
        <f t="shared" si="112"/>
        <v>0.81168165774795986</v>
      </c>
    </row>
    <row r="7131" spans="13:15" x14ac:dyDescent="0.3">
      <c r="M7131" s="35">
        <v>50.2</v>
      </c>
      <c r="N7131">
        <v>305</v>
      </c>
      <c r="O7131" s="34">
        <f t="shared" si="112"/>
        <v>0.81179551406129247</v>
      </c>
    </row>
    <row r="7132" spans="13:15" x14ac:dyDescent="0.3">
      <c r="M7132" s="35">
        <v>50.2</v>
      </c>
      <c r="N7132">
        <v>305</v>
      </c>
      <c r="O7132" s="34">
        <f t="shared" si="112"/>
        <v>0.81190937037462507</v>
      </c>
    </row>
    <row r="7133" spans="13:15" x14ac:dyDescent="0.3">
      <c r="M7133" s="35">
        <v>50.21</v>
      </c>
      <c r="N7133">
        <v>305</v>
      </c>
      <c r="O7133" s="34">
        <f t="shared" si="112"/>
        <v>0.81202322668795768</v>
      </c>
    </row>
    <row r="7134" spans="13:15" x14ac:dyDescent="0.3">
      <c r="M7134" s="35">
        <v>50.22</v>
      </c>
      <c r="N7134">
        <v>305</v>
      </c>
      <c r="O7134" s="34">
        <f t="shared" si="112"/>
        <v>0.81213708300129028</v>
      </c>
    </row>
    <row r="7135" spans="13:15" x14ac:dyDescent="0.3">
      <c r="M7135" s="35">
        <v>50.25</v>
      </c>
      <c r="N7135">
        <v>305</v>
      </c>
      <c r="O7135" s="34">
        <f t="shared" si="112"/>
        <v>0.81225093931462289</v>
      </c>
    </row>
    <row r="7136" spans="13:15" x14ac:dyDescent="0.3">
      <c r="M7136" s="35">
        <v>50.27</v>
      </c>
      <c r="N7136">
        <v>305</v>
      </c>
      <c r="O7136" s="34">
        <f t="shared" si="112"/>
        <v>0.81236479562795549</v>
      </c>
    </row>
    <row r="7137" spans="13:15" x14ac:dyDescent="0.3">
      <c r="M7137" s="35">
        <v>50.29</v>
      </c>
      <c r="N7137">
        <v>305</v>
      </c>
      <c r="O7137" s="34">
        <f t="shared" si="112"/>
        <v>0.8124786519412881</v>
      </c>
    </row>
    <row r="7138" spans="13:15" x14ac:dyDescent="0.3">
      <c r="M7138" s="35">
        <v>50.3</v>
      </c>
      <c r="N7138">
        <v>305</v>
      </c>
      <c r="O7138" s="34">
        <f t="shared" si="112"/>
        <v>0.8125925082546207</v>
      </c>
    </row>
    <row r="7139" spans="13:15" x14ac:dyDescent="0.3">
      <c r="M7139" s="35">
        <v>50.31</v>
      </c>
      <c r="N7139">
        <v>305</v>
      </c>
      <c r="O7139" s="34">
        <f t="shared" si="112"/>
        <v>0.81270636456795331</v>
      </c>
    </row>
    <row r="7140" spans="13:15" x14ac:dyDescent="0.3">
      <c r="M7140" s="35">
        <v>50.34</v>
      </c>
      <c r="N7140">
        <v>305</v>
      </c>
      <c r="O7140" s="34">
        <f t="shared" si="112"/>
        <v>0.81282022088128592</v>
      </c>
    </row>
    <row r="7141" spans="13:15" x14ac:dyDescent="0.3">
      <c r="M7141" s="35">
        <v>50.34</v>
      </c>
      <c r="N7141">
        <v>305</v>
      </c>
      <c r="O7141" s="34">
        <f t="shared" si="112"/>
        <v>0.81293407719461852</v>
      </c>
    </row>
    <row r="7142" spans="13:15" x14ac:dyDescent="0.3">
      <c r="M7142" s="35">
        <v>50.34</v>
      </c>
      <c r="N7142">
        <v>305</v>
      </c>
      <c r="O7142" s="34">
        <f t="shared" si="112"/>
        <v>0.81304793350795113</v>
      </c>
    </row>
    <row r="7143" spans="13:15" x14ac:dyDescent="0.3">
      <c r="M7143" s="35">
        <v>50.34</v>
      </c>
      <c r="N7143">
        <v>305</v>
      </c>
      <c r="O7143" s="34">
        <f t="shared" si="112"/>
        <v>0.81316178982128373</v>
      </c>
    </row>
    <row r="7144" spans="13:15" x14ac:dyDescent="0.3">
      <c r="M7144" s="35">
        <v>50.34</v>
      </c>
      <c r="N7144">
        <v>305</v>
      </c>
      <c r="O7144" s="34">
        <f t="shared" si="112"/>
        <v>0.81327564613461634</v>
      </c>
    </row>
    <row r="7145" spans="13:15" x14ac:dyDescent="0.3">
      <c r="M7145" s="35">
        <v>50.36</v>
      </c>
      <c r="N7145">
        <v>305</v>
      </c>
      <c r="O7145" s="34">
        <f t="shared" si="112"/>
        <v>0.81338950244794894</v>
      </c>
    </row>
    <row r="7146" spans="13:15" x14ac:dyDescent="0.3">
      <c r="M7146" s="35">
        <v>50.37</v>
      </c>
      <c r="N7146">
        <v>305</v>
      </c>
      <c r="O7146" s="34">
        <f t="shared" si="112"/>
        <v>0.81350335876128155</v>
      </c>
    </row>
    <row r="7147" spans="13:15" x14ac:dyDescent="0.3">
      <c r="M7147" s="35">
        <v>50.38</v>
      </c>
      <c r="N7147">
        <v>305</v>
      </c>
      <c r="O7147" s="34">
        <f t="shared" si="112"/>
        <v>0.81361721507461415</v>
      </c>
    </row>
    <row r="7148" spans="13:15" x14ac:dyDescent="0.3">
      <c r="M7148" s="35">
        <v>50.38</v>
      </c>
      <c r="N7148">
        <v>305</v>
      </c>
      <c r="O7148" s="34">
        <f t="shared" si="112"/>
        <v>0.81373107138794676</v>
      </c>
    </row>
    <row r="7149" spans="13:15" x14ac:dyDescent="0.3">
      <c r="M7149" s="35">
        <v>50.4</v>
      </c>
      <c r="N7149">
        <v>305</v>
      </c>
      <c r="O7149" s="34">
        <f t="shared" si="112"/>
        <v>0.81384492770127936</v>
      </c>
    </row>
    <row r="7150" spans="13:15" x14ac:dyDescent="0.3">
      <c r="M7150" s="35">
        <v>50.41</v>
      </c>
      <c r="N7150">
        <v>305</v>
      </c>
      <c r="O7150" s="34">
        <f t="shared" si="112"/>
        <v>0.81395878401461197</v>
      </c>
    </row>
    <row r="7151" spans="13:15" x14ac:dyDescent="0.3">
      <c r="M7151" s="35">
        <v>50.43</v>
      </c>
      <c r="N7151">
        <v>305</v>
      </c>
      <c r="O7151" s="34">
        <f t="shared" si="112"/>
        <v>0.81407264032794457</v>
      </c>
    </row>
    <row r="7152" spans="13:15" x14ac:dyDescent="0.3">
      <c r="M7152" s="35">
        <v>50.45</v>
      </c>
      <c r="N7152">
        <v>305</v>
      </c>
      <c r="O7152" s="34">
        <f t="shared" si="112"/>
        <v>0.81418649664127718</v>
      </c>
    </row>
    <row r="7153" spans="13:15" x14ac:dyDescent="0.3">
      <c r="M7153" s="35">
        <v>50.45</v>
      </c>
      <c r="N7153">
        <v>305</v>
      </c>
      <c r="O7153" s="34">
        <f t="shared" si="112"/>
        <v>0.81430035295460979</v>
      </c>
    </row>
    <row r="7154" spans="13:15" x14ac:dyDescent="0.3">
      <c r="M7154" s="35">
        <v>50.46</v>
      </c>
      <c r="N7154">
        <v>305</v>
      </c>
      <c r="O7154" s="34">
        <f t="shared" si="112"/>
        <v>0.81441420926794239</v>
      </c>
    </row>
    <row r="7155" spans="13:15" x14ac:dyDescent="0.3">
      <c r="M7155" s="35">
        <v>50.46</v>
      </c>
      <c r="N7155">
        <v>305</v>
      </c>
      <c r="O7155" s="34">
        <f t="shared" si="112"/>
        <v>0.814528065581275</v>
      </c>
    </row>
    <row r="7156" spans="13:15" x14ac:dyDescent="0.3">
      <c r="M7156" s="35">
        <v>50.47</v>
      </c>
      <c r="N7156">
        <v>305</v>
      </c>
      <c r="O7156" s="34">
        <f t="shared" si="112"/>
        <v>0.8146419218946076</v>
      </c>
    </row>
    <row r="7157" spans="13:15" x14ac:dyDescent="0.3">
      <c r="M7157" s="35">
        <v>50.48</v>
      </c>
      <c r="N7157">
        <v>305</v>
      </c>
      <c r="O7157" s="34">
        <f t="shared" si="112"/>
        <v>0.81475577820794021</v>
      </c>
    </row>
    <row r="7158" spans="13:15" x14ac:dyDescent="0.3">
      <c r="M7158" s="35">
        <v>50.49</v>
      </c>
      <c r="N7158">
        <v>305</v>
      </c>
      <c r="O7158" s="34">
        <f t="shared" si="112"/>
        <v>0.81486963452127281</v>
      </c>
    </row>
    <row r="7159" spans="13:15" x14ac:dyDescent="0.3">
      <c r="M7159" s="35">
        <v>50.5</v>
      </c>
      <c r="N7159">
        <v>305</v>
      </c>
      <c r="O7159" s="34">
        <f t="shared" si="112"/>
        <v>0.81498349083460542</v>
      </c>
    </row>
    <row r="7160" spans="13:15" x14ac:dyDescent="0.3">
      <c r="M7160" s="35">
        <v>50.51</v>
      </c>
      <c r="N7160">
        <v>305</v>
      </c>
      <c r="O7160" s="34">
        <f t="shared" si="112"/>
        <v>0.81509734714793802</v>
      </c>
    </row>
    <row r="7161" spans="13:15" x14ac:dyDescent="0.3">
      <c r="M7161" s="35">
        <v>50.53</v>
      </c>
      <c r="N7161">
        <v>305</v>
      </c>
      <c r="O7161" s="34">
        <f t="shared" si="112"/>
        <v>0.81521120346127063</v>
      </c>
    </row>
    <row r="7162" spans="13:15" x14ac:dyDescent="0.3">
      <c r="M7162" s="35">
        <v>50.55</v>
      </c>
      <c r="N7162">
        <v>305</v>
      </c>
      <c r="O7162" s="34">
        <f t="shared" si="112"/>
        <v>0.81532505977460323</v>
      </c>
    </row>
    <row r="7163" spans="13:15" x14ac:dyDescent="0.3">
      <c r="M7163" s="35">
        <v>50.58</v>
      </c>
      <c r="N7163">
        <v>305</v>
      </c>
      <c r="O7163" s="34">
        <f t="shared" si="112"/>
        <v>0.81543891608793584</v>
      </c>
    </row>
    <row r="7164" spans="13:15" x14ac:dyDescent="0.3">
      <c r="M7164" s="35">
        <v>50.61</v>
      </c>
      <c r="N7164">
        <v>305</v>
      </c>
      <c r="O7164" s="34">
        <f t="shared" si="112"/>
        <v>0.81555277240126844</v>
      </c>
    </row>
    <row r="7165" spans="13:15" x14ac:dyDescent="0.3">
      <c r="M7165" s="35">
        <v>50.64</v>
      </c>
      <c r="N7165">
        <v>305</v>
      </c>
      <c r="O7165" s="34">
        <f t="shared" si="112"/>
        <v>0.81566662871460105</v>
      </c>
    </row>
    <row r="7166" spans="13:15" x14ac:dyDescent="0.3">
      <c r="M7166" s="35">
        <v>50.67</v>
      </c>
      <c r="N7166">
        <v>305</v>
      </c>
      <c r="O7166" s="34">
        <f t="shared" si="112"/>
        <v>0.81578048502793366</v>
      </c>
    </row>
    <row r="7167" spans="13:15" x14ac:dyDescent="0.3">
      <c r="M7167" s="35">
        <v>50.68</v>
      </c>
      <c r="N7167">
        <v>305</v>
      </c>
      <c r="O7167" s="34">
        <f t="shared" si="112"/>
        <v>0.81589434134126626</v>
      </c>
    </row>
    <row r="7168" spans="13:15" x14ac:dyDescent="0.3">
      <c r="M7168" s="35">
        <v>50.71</v>
      </c>
      <c r="N7168">
        <v>305</v>
      </c>
      <c r="O7168" s="34">
        <f t="shared" si="112"/>
        <v>0.81600819765459887</v>
      </c>
    </row>
    <row r="7169" spans="13:15" x14ac:dyDescent="0.3">
      <c r="M7169" s="35">
        <v>50.73</v>
      </c>
      <c r="N7169">
        <v>305</v>
      </c>
      <c r="O7169" s="34">
        <f t="shared" si="112"/>
        <v>0.81612205396793147</v>
      </c>
    </row>
    <row r="7170" spans="13:15" x14ac:dyDescent="0.3">
      <c r="M7170" s="35">
        <v>50.75</v>
      </c>
      <c r="N7170">
        <v>305</v>
      </c>
      <c r="O7170" s="34">
        <f t="shared" si="112"/>
        <v>0.81623591028126408</v>
      </c>
    </row>
    <row r="7171" spans="13:15" x14ac:dyDescent="0.3">
      <c r="M7171" s="35">
        <v>50.76</v>
      </c>
      <c r="N7171">
        <v>305</v>
      </c>
      <c r="O7171" s="34">
        <f t="shared" si="112"/>
        <v>0.81634976659459668</v>
      </c>
    </row>
    <row r="7172" spans="13:15" x14ac:dyDescent="0.3">
      <c r="M7172" s="35">
        <v>50.8</v>
      </c>
      <c r="N7172">
        <v>305</v>
      </c>
      <c r="O7172" s="34">
        <f t="shared" ref="O7172:O7235" si="113">O7171+O$2</f>
        <v>0.81646362290792929</v>
      </c>
    </row>
    <row r="7173" spans="13:15" x14ac:dyDescent="0.3">
      <c r="M7173" s="35">
        <v>50.83</v>
      </c>
      <c r="N7173">
        <v>305</v>
      </c>
      <c r="O7173" s="34">
        <f t="shared" si="113"/>
        <v>0.81657747922126189</v>
      </c>
    </row>
    <row r="7174" spans="13:15" x14ac:dyDescent="0.3">
      <c r="M7174" s="35">
        <v>50.84</v>
      </c>
      <c r="N7174">
        <v>305</v>
      </c>
      <c r="O7174" s="34">
        <f t="shared" si="113"/>
        <v>0.8166913355345945</v>
      </c>
    </row>
    <row r="7175" spans="13:15" x14ac:dyDescent="0.3">
      <c r="M7175" s="35">
        <v>50.88</v>
      </c>
      <c r="N7175">
        <v>305</v>
      </c>
      <c r="O7175" s="34">
        <f t="shared" si="113"/>
        <v>0.8168051918479271</v>
      </c>
    </row>
    <row r="7176" spans="13:15" x14ac:dyDescent="0.3">
      <c r="M7176" s="35">
        <v>50.89</v>
      </c>
      <c r="N7176">
        <v>305</v>
      </c>
      <c r="O7176" s="34">
        <f t="shared" si="113"/>
        <v>0.81691904816125971</v>
      </c>
    </row>
    <row r="7177" spans="13:15" x14ac:dyDescent="0.3">
      <c r="M7177" s="35">
        <v>50.9</v>
      </c>
      <c r="N7177">
        <v>305</v>
      </c>
      <c r="O7177" s="34">
        <f t="shared" si="113"/>
        <v>0.81703290447459231</v>
      </c>
    </row>
    <row r="7178" spans="13:15" x14ac:dyDescent="0.3">
      <c r="M7178" s="35">
        <v>50.91</v>
      </c>
      <c r="N7178">
        <v>305</v>
      </c>
      <c r="O7178" s="34">
        <f t="shared" si="113"/>
        <v>0.81714676078792492</v>
      </c>
    </row>
    <row r="7179" spans="13:15" x14ac:dyDescent="0.3">
      <c r="M7179" s="35">
        <v>50.91</v>
      </c>
      <c r="N7179">
        <v>305</v>
      </c>
      <c r="O7179" s="34">
        <f t="shared" si="113"/>
        <v>0.81726061710125752</v>
      </c>
    </row>
    <row r="7180" spans="13:15" x14ac:dyDescent="0.3">
      <c r="M7180" s="35">
        <v>50.92</v>
      </c>
      <c r="N7180">
        <v>305</v>
      </c>
      <c r="O7180" s="34">
        <f t="shared" si="113"/>
        <v>0.81737447341459013</v>
      </c>
    </row>
    <row r="7181" spans="13:15" x14ac:dyDescent="0.3">
      <c r="M7181" s="35">
        <v>50.92</v>
      </c>
      <c r="N7181">
        <v>305</v>
      </c>
      <c r="O7181" s="34">
        <f t="shared" si="113"/>
        <v>0.81748832972792274</v>
      </c>
    </row>
    <row r="7182" spans="13:15" x14ac:dyDescent="0.3">
      <c r="M7182" s="35">
        <v>50.94</v>
      </c>
      <c r="N7182">
        <v>305</v>
      </c>
      <c r="O7182" s="34">
        <f t="shared" si="113"/>
        <v>0.81760218604125534</v>
      </c>
    </row>
    <row r="7183" spans="13:15" x14ac:dyDescent="0.3">
      <c r="M7183" s="35">
        <v>50.96</v>
      </c>
      <c r="N7183">
        <v>305</v>
      </c>
      <c r="O7183" s="34">
        <f t="shared" si="113"/>
        <v>0.81771604235458795</v>
      </c>
    </row>
    <row r="7184" spans="13:15" x14ac:dyDescent="0.3">
      <c r="M7184" s="35">
        <v>50.97</v>
      </c>
      <c r="N7184">
        <v>305</v>
      </c>
      <c r="O7184" s="34">
        <f t="shared" si="113"/>
        <v>0.81782989866792055</v>
      </c>
    </row>
    <row r="7185" spans="13:15" x14ac:dyDescent="0.3">
      <c r="M7185" s="35">
        <v>50.97</v>
      </c>
      <c r="N7185">
        <v>305</v>
      </c>
      <c r="O7185" s="34">
        <f t="shared" si="113"/>
        <v>0.81794375498125316</v>
      </c>
    </row>
    <row r="7186" spans="13:15" x14ac:dyDescent="0.3">
      <c r="M7186" s="35">
        <v>50.97</v>
      </c>
      <c r="N7186">
        <v>305</v>
      </c>
      <c r="O7186" s="34">
        <f t="shared" si="113"/>
        <v>0.81805761129458576</v>
      </c>
    </row>
    <row r="7187" spans="13:15" x14ac:dyDescent="0.3">
      <c r="M7187" s="35">
        <v>51</v>
      </c>
      <c r="N7187">
        <v>305</v>
      </c>
      <c r="O7187" s="34">
        <f t="shared" si="113"/>
        <v>0.81817146760791837</v>
      </c>
    </row>
    <row r="7188" spans="13:15" x14ac:dyDescent="0.3">
      <c r="M7188" s="35">
        <v>51.04</v>
      </c>
      <c r="N7188">
        <v>305</v>
      </c>
      <c r="O7188" s="34">
        <f t="shared" si="113"/>
        <v>0.81828532392125097</v>
      </c>
    </row>
    <row r="7189" spans="13:15" x14ac:dyDescent="0.3">
      <c r="M7189" s="35">
        <v>51.04</v>
      </c>
      <c r="N7189">
        <v>305</v>
      </c>
      <c r="O7189" s="34">
        <f t="shared" si="113"/>
        <v>0.81839918023458358</v>
      </c>
    </row>
    <row r="7190" spans="13:15" x14ac:dyDescent="0.3">
      <c r="M7190" s="35">
        <v>51.06</v>
      </c>
      <c r="N7190">
        <v>305</v>
      </c>
      <c r="O7190" s="34">
        <f t="shared" si="113"/>
        <v>0.81851303654791618</v>
      </c>
    </row>
    <row r="7191" spans="13:15" x14ac:dyDescent="0.3">
      <c r="M7191" s="35">
        <v>51.06</v>
      </c>
      <c r="N7191">
        <v>305</v>
      </c>
      <c r="O7191" s="34">
        <f t="shared" si="113"/>
        <v>0.81862689286124879</v>
      </c>
    </row>
    <row r="7192" spans="13:15" x14ac:dyDescent="0.3">
      <c r="M7192" s="35">
        <v>51.08</v>
      </c>
      <c r="N7192">
        <v>305</v>
      </c>
      <c r="O7192" s="34">
        <f t="shared" si="113"/>
        <v>0.81874074917458139</v>
      </c>
    </row>
    <row r="7193" spans="13:15" x14ac:dyDescent="0.3">
      <c r="M7193" s="35">
        <v>51.08</v>
      </c>
      <c r="N7193">
        <v>305</v>
      </c>
      <c r="O7193" s="34">
        <f t="shared" si="113"/>
        <v>0.818854605487914</v>
      </c>
    </row>
    <row r="7194" spans="13:15" x14ac:dyDescent="0.3">
      <c r="M7194" s="35">
        <v>51.12</v>
      </c>
      <c r="N7194">
        <v>305</v>
      </c>
      <c r="O7194" s="34">
        <f t="shared" si="113"/>
        <v>0.81896846180124661</v>
      </c>
    </row>
    <row r="7195" spans="13:15" x14ac:dyDescent="0.3">
      <c r="M7195" s="35">
        <v>51.14</v>
      </c>
      <c r="N7195">
        <v>305</v>
      </c>
      <c r="O7195" s="34">
        <f t="shared" si="113"/>
        <v>0.81908231811457921</v>
      </c>
    </row>
    <row r="7196" spans="13:15" x14ac:dyDescent="0.3">
      <c r="M7196" s="35">
        <v>51.14</v>
      </c>
      <c r="N7196">
        <v>305</v>
      </c>
      <c r="O7196" s="34">
        <f t="shared" si="113"/>
        <v>0.81919617442791182</v>
      </c>
    </row>
    <row r="7197" spans="13:15" x14ac:dyDescent="0.3">
      <c r="M7197" s="35">
        <v>51.14</v>
      </c>
      <c r="N7197">
        <v>305</v>
      </c>
      <c r="O7197" s="34">
        <f t="shared" si="113"/>
        <v>0.81931003074124442</v>
      </c>
    </row>
    <row r="7198" spans="13:15" x14ac:dyDescent="0.3">
      <c r="M7198" s="35">
        <v>51.16</v>
      </c>
      <c r="N7198">
        <v>305</v>
      </c>
      <c r="O7198" s="34">
        <f t="shared" si="113"/>
        <v>0.81942388705457703</v>
      </c>
    </row>
    <row r="7199" spans="13:15" x14ac:dyDescent="0.3">
      <c r="M7199" s="35">
        <v>51.17</v>
      </c>
      <c r="N7199">
        <v>305</v>
      </c>
      <c r="O7199" s="34">
        <f t="shared" si="113"/>
        <v>0.81953774336790963</v>
      </c>
    </row>
    <row r="7200" spans="13:15" x14ac:dyDescent="0.3">
      <c r="M7200" s="35">
        <v>51.19</v>
      </c>
      <c r="N7200">
        <v>305</v>
      </c>
      <c r="O7200" s="34">
        <f t="shared" si="113"/>
        <v>0.81965159968124224</v>
      </c>
    </row>
    <row r="7201" spans="13:15" x14ac:dyDescent="0.3">
      <c r="M7201" s="35">
        <v>51.2</v>
      </c>
      <c r="N7201">
        <v>305</v>
      </c>
      <c r="O7201" s="34">
        <f t="shared" si="113"/>
        <v>0.81976545599457484</v>
      </c>
    </row>
    <row r="7202" spans="13:15" x14ac:dyDescent="0.3">
      <c r="M7202" s="35">
        <v>51.25</v>
      </c>
      <c r="N7202">
        <v>305</v>
      </c>
      <c r="O7202" s="34">
        <f t="shared" si="113"/>
        <v>0.81987931230790745</v>
      </c>
    </row>
    <row r="7203" spans="13:15" x14ac:dyDescent="0.3">
      <c r="M7203" s="35">
        <v>51.25</v>
      </c>
      <c r="N7203">
        <v>305</v>
      </c>
      <c r="O7203" s="34">
        <f t="shared" si="113"/>
        <v>0.81999316862124005</v>
      </c>
    </row>
    <row r="7204" spans="13:15" x14ac:dyDescent="0.3">
      <c r="M7204" s="35">
        <v>51.27</v>
      </c>
      <c r="N7204">
        <v>305</v>
      </c>
      <c r="O7204" s="34">
        <f t="shared" si="113"/>
        <v>0.82010702493457266</v>
      </c>
    </row>
    <row r="7205" spans="13:15" x14ac:dyDescent="0.3">
      <c r="M7205" s="35">
        <v>51.27</v>
      </c>
      <c r="N7205">
        <v>305</v>
      </c>
      <c r="O7205" s="34">
        <f t="shared" si="113"/>
        <v>0.82022088124790526</v>
      </c>
    </row>
    <row r="7206" spans="13:15" x14ac:dyDescent="0.3">
      <c r="M7206" s="35">
        <v>51.29</v>
      </c>
      <c r="N7206">
        <v>305</v>
      </c>
      <c r="O7206" s="34">
        <f t="shared" si="113"/>
        <v>0.82033473756123787</v>
      </c>
    </row>
    <row r="7207" spans="13:15" x14ac:dyDescent="0.3">
      <c r="M7207" s="35">
        <v>51.31</v>
      </c>
      <c r="N7207">
        <v>305</v>
      </c>
      <c r="O7207" s="34">
        <f t="shared" si="113"/>
        <v>0.82044859387457048</v>
      </c>
    </row>
    <row r="7208" spans="13:15" x14ac:dyDescent="0.3">
      <c r="M7208" s="35">
        <v>51.35</v>
      </c>
      <c r="N7208">
        <v>305</v>
      </c>
      <c r="O7208" s="34">
        <f t="shared" si="113"/>
        <v>0.82056245018790308</v>
      </c>
    </row>
    <row r="7209" spans="13:15" x14ac:dyDescent="0.3">
      <c r="M7209" s="35">
        <v>51.4</v>
      </c>
      <c r="N7209">
        <v>305</v>
      </c>
      <c r="O7209" s="34">
        <f t="shared" si="113"/>
        <v>0.82067630650123569</v>
      </c>
    </row>
    <row r="7210" spans="13:15" x14ac:dyDescent="0.3">
      <c r="M7210" s="35">
        <v>51.44</v>
      </c>
      <c r="N7210">
        <v>305</v>
      </c>
      <c r="O7210" s="34">
        <f t="shared" si="113"/>
        <v>0.82079016281456829</v>
      </c>
    </row>
    <row r="7211" spans="13:15" x14ac:dyDescent="0.3">
      <c r="M7211" s="35">
        <v>51.44</v>
      </c>
      <c r="N7211">
        <v>305</v>
      </c>
      <c r="O7211" s="34">
        <f t="shared" si="113"/>
        <v>0.8209040191279009</v>
      </c>
    </row>
    <row r="7212" spans="13:15" x14ac:dyDescent="0.3">
      <c r="M7212" s="35">
        <v>51.47</v>
      </c>
      <c r="N7212">
        <v>305</v>
      </c>
      <c r="O7212" s="34">
        <f t="shared" si="113"/>
        <v>0.8210178754412335</v>
      </c>
    </row>
    <row r="7213" spans="13:15" x14ac:dyDescent="0.3">
      <c r="M7213" s="35">
        <v>51.5</v>
      </c>
      <c r="N7213">
        <v>305</v>
      </c>
      <c r="O7213" s="34">
        <f t="shared" si="113"/>
        <v>0.82113173175456611</v>
      </c>
    </row>
    <row r="7214" spans="13:15" x14ac:dyDescent="0.3">
      <c r="M7214" s="35">
        <v>51.5</v>
      </c>
      <c r="N7214">
        <v>305</v>
      </c>
      <c r="O7214" s="34">
        <f t="shared" si="113"/>
        <v>0.82124558806789871</v>
      </c>
    </row>
    <row r="7215" spans="13:15" x14ac:dyDescent="0.3">
      <c r="M7215" s="35">
        <v>51.57</v>
      </c>
      <c r="N7215">
        <v>305</v>
      </c>
      <c r="O7215" s="34">
        <f t="shared" si="113"/>
        <v>0.82135944438123132</v>
      </c>
    </row>
    <row r="7216" spans="13:15" x14ac:dyDescent="0.3">
      <c r="M7216" s="35">
        <v>51.57</v>
      </c>
      <c r="N7216">
        <v>305</v>
      </c>
      <c r="O7216" s="34">
        <f t="shared" si="113"/>
        <v>0.82147330069456392</v>
      </c>
    </row>
    <row r="7217" spans="13:15" x14ac:dyDescent="0.3">
      <c r="M7217" s="35">
        <v>51.59</v>
      </c>
      <c r="N7217">
        <v>305</v>
      </c>
      <c r="O7217" s="34">
        <f t="shared" si="113"/>
        <v>0.82158715700789653</v>
      </c>
    </row>
    <row r="7218" spans="13:15" x14ac:dyDescent="0.3">
      <c r="M7218" s="35">
        <v>51.63</v>
      </c>
      <c r="N7218">
        <v>305</v>
      </c>
      <c r="O7218" s="34">
        <f t="shared" si="113"/>
        <v>0.82170101332122913</v>
      </c>
    </row>
    <row r="7219" spans="13:15" x14ac:dyDescent="0.3">
      <c r="M7219" s="35">
        <v>51.65</v>
      </c>
      <c r="N7219">
        <v>305</v>
      </c>
      <c r="O7219" s="34">
        <f t="shared" si="113"/>
        <v>0.82181486963456174</v>
      </c>
    </row>
    <row r="7220" spans="13:15" x14ac:dyDescent="0.3">
      <c r="M7220" s="35">
        <v>51.66</v>
      </c>
      <c r="N7220">
        <v>305</v>
      </c>
      <c r="O7220" s="34">
        <f t="shared" si="113"/>
        <v>0.82192872594789435</v>
      </c>
    </row>
    <row r="7221" spans="13:15" x14ac:dyDescent="0.3">
      <c r="M7221" s="35">
        <v>51.67</v>
      </c>
      <c r="N7221">
        <v>305</v>
      </c>
      <c r="O7221" s="34">
        <f t="shared" si="113"/>
        <v>0.82204258226122695</v>
      </c>
    </row>
    <row r="7222" spans="13:15" x14ac:dyDescent="0.3">
      <c r="M7222" s="35">
        <v>51.72</v>
      </c>
      <c r="N7222">
        <v>305</v>
      </c>
      <c r="O7222" s="34">
        <f t="shared" si="113"/>
        <v>0.82215643857455956</v>
      </c>
    </row>
    <row r="7223" spans="13:15" x14ac:dyDescent="0.3">
      <c r="M7223" s="35">
        <v>51.74</v>
      </c>
      <c r="N7223">
        <v>305</v>
      </c>
      <c r="O7223" s="34">
        <f t="shared" si="113"/>
        <v>0.82227029488789216</v>
      </c>
    </row>
    <row r="7224" spans="13:15" x14ac:dyDescent="0.3">
      <c r="M7224" s="35">
        <v>51.78</v>
      </c>
      <c r="N7224">
        <v>305</v>
      </c>
      <c r="O7224" s="34">
        <f t="shared" si="113"/>
        <v>0.82238415120122477</v>
      </c>
    </row>
    <row r="7225" spans="13:15" x14ac:dyDescent="0.3">
      <c r="M7225" s="35">
        <v>51.79</v>
      </c>
      <c r="N7225">
        <v>305</v>
      </c>
      <c r="O7225" s="34">
        <f t="shared" si="113"/>
        <v>0.82249800751455737</v>
      </c>
    </row>
    <row r="7226" spans="13:15" x14ac:dyDescent="0.3">
      <c r="M7226" s="35">
        <v>51.8</v>
      </c>
      <c r="N7226">
        <v>305</v>
      </c>
      <c r="O7226" s="34">
        <f t="shared" si="113"/>
        <v>0.82261186382788998</v>
      </c>
    </row>
    <row r="7227" spans="13:15" x14ac:dyDescent="0.3">
      <c r="M7227" s="35">
        <v>51.81</v>
      </c>
      <c r="N7227">
        <v>305</v>
      </c>
      <c r="O7227" s="34">
        <f t="shared" si="113"/>
        <v>0.82272572014122258</v>
      </c>
    </row>
    <row r="7228" spans="13:15" x14ac:dyDescent="0.3">
      <c r="M7228" s="35">
        <v>51.81</v>
      </c>
      <c r="N7228">
        <v>305</v>
      </c>
      <c r="O7228" s="34">
        <f t="shared" si="113"/>
        <v>0.82283957645455519</v>
      </c>
    </row>
    <row r="7229" spans="13:15" x14ac:dyDescent="0.3">
      <c r="M7229" s="35">
        <v>51.82</v>
      </c>
      <c r="N7229">
        <v>305</v>
      </c>
      <c r="O7229" s="34">
        <f t="shared" si="113"/>
        <v>0.82295343276788779</v>
      </c>
    </row>
    <row r="7230" spans="13:15" x14ac:dyDescent="0.3">
      <c r="M7230" s="35">
        <v>51.83</v>
      </c>
      <c r="N7230">
        <v>305</v>
      </c>
      <c r="O7230" s="34">
        <f t="shared" si="113"/>
        <v>0.8230672890812204</v>
      </c>
    </row>
    <row r="7231" spans="13:15" x14ac:dyDescent="0.3">
      <c r="M7231" s="35">
        <v>51.84</v>
      </c>
      <c r="N7231">
        <v>305</v>
      </c>
      <c r="O7231" s="34">
        <f t="shared" si="113"/>
        <v>0.823181145394553</v>
      </c>
    </row>
    <row r="7232" spans="13:15" x14ac:dyDescent="0.3">
      <c r="M7232" s="35">
        <v>51.84</v>
      </c>
      <c r="N7232">
        <v>305</v>
      </c>
      <c r="O7232" s="34">
        <f t="shared" si="113"/>
        <v>0.82329500170788561</v>
      </c>
    </row>
    <row r="7233" spans="13:15" x14ac:dyDescent="0.3">
      <c r="M7233" s="35">
        <v>51.86</v>
      </c>
      <c r="N7233">
        <v>305</v>
      </c>
      <c r="O7233" s="34">
        <f t="shared" si="113"/>
        <v>0.82340885802121822</v>
      </c>
    </row>
    <row r="7234" spans="13:15" x14ac:dyDescent="0.3">
      <c r="M7234" s="35">
        <v>51.87</v>
      </c>
      <c r="N7234">
        <v>305</v>
      </c>
      <c r="O7234" s="34">
        <f t="shared" si="113"/>
        <v>0.82352271433455082</v>
      </c>
    </row>
    <row r="7235" spans="13:15" x14ac:dyDescent="0.3">
      <c r="M7235" s="35">
        <v>51.88</v>
      </c>
      <c r="N7235">
        <v>305</v>
      </c>
      <c r="O7235" s="34">
        <f t="shared" si="113"/>
        <v>0.82363657064788343</v>
      </c>
    </row>
    <row r="7236" spans="13:15" x14ac:dyDescent="0.3">
      <c r="M7236" s="35">
        <v>51.89</v>
      </c>
      <c r="N7236">
        <v>305</v>
      </c>
      <c r="O7236" s="34">
        <f t="shared" ref="O7236:O7299" si="114">O7235+O$2</f>
        <v>0.82375042696121603</v>
      </c>
    </row>
    <row r="7237" spans="13:15" x14ac:dyDescent="0.3">
      <c r="M7237" s="35">
        <v>51.91</v>
      </c>
      <c r="N7237">
        <v>305</v>
      </c>
      <c r="O7237" s="34">
        <f t="shared" si="114"/>
        <v>0.82386428327454864</v>
      </c>
    </row>
    <row r="7238" spans="13:15" x14ac:dyDescent="0.3">
      <c r="M7238" s="35">
        <v>51.93</v>
      </c>
      <c r="N7238">
        <v>305</v>
      </c>
      <c r="O7238" s="34">
        <f t="shared" si="114"/>
        <v>0.82397813958788124</v>
      </c>
    </row>
    <row r="7239" spans="13:15" x14ac:dyDescent="0.3">
      <c r="M7239" s="35">
        <v>51.96</v>
      </c>
      <c r="N7239">
        <v>305</v>
      </c>
      <c r="O7239" s="34">
        <f t="shared" si="114"/>
        <v>0.82409199590121385</v>
      </c>
    </row>
    <row r="7240" spans="13:15" x14ac:dyDescent="0.3">
      <c r="M7240" s="35">
        <v>51.96</v>
      </c>
      <c r="N7240">
        <v>305</v>
      </c>
      <c r="O7240" s="34">
        <f t="shared" si="114"/>
        <v>0.82420585221454645</v>
      </c>
    </row>
    <row r="7241" spans="13:15" x14ac:dyDescent="0.3">
      <c r="M7241" s="35">
        <v>51.98</v>
      </c>
      <c r="N7241">
        <v>305</v>
      </c>
      <c r="O7241" s="34">
        <f t="shared" si="114"/>
        <v>0.82431970852787906</v>
      </c>
    </row>
    <row r="7242" spans="13:15" x14ac:dyDescent="0.3">
      <c r="M7242" s="35">
        <v>51.99</v>
      </c>
      <c r="N7242">
        <v>305</v>
      </c>
      <c r="O7242" s="34">
        <f t="shared" si="114"/>
        <v>0.82443356484121166</v>
      </c>
    </row>
    <row r="7243" spans="13:15" x14ac:dyDescent="0.3">
      <c r="M7243" s="35">
        <v>52.01</v>
      </c>
      <c r="N7243">
        <v>305</v>
      </c>
      <c r="O7243" s="34">
        <f t="shared" si="114"/>
        <v>0.82454742115454427</v>
      </c>
    </row>
    <row r="7244" spans="13:15" x14ac:dyDescent="0.3">
      <c r="M7244" s="35">
        <v>52.02</v>
      </c>
      <c r="N7244">
        <v>305</v>
      </c>
      <c r="O7244" s="34">
        <f t="shared" si="114"/>
        <v>0.82466127746787687</v>
      </c>
    </row>
    <row r="7245" spans="13:15" x14ac:dyDescent="0.3">
      <c r="M7245" s="35">
        <v>52.07</v>
      </c>
      <c r="N7245">
        <v>305</v>
      </c>
      <c r="O7245" s="34">
        <f t="shared" si="114"/>
        <v>0.82477513378120948</v>
      </c>
    </row>
    <row r="7246" spans="13:15" x14ac:dyDescent="0.3">
      <c r="M7246" s="35">
        <v>52.07</v>
      </c>
      <c r="N7246">
        <v>305</v>
      </c>
      <c r="O7246" s="34">
        <f t="shared" si="114"/>
        <v>0.82488899009454208</v>
      </c>
    </row>
    <row r="7247" spans="13:15" x14ac:dyDescent="0.3">
      <c r="M7247" s="35">
        <v>52.08</v>
      </c>
      <c r="N7247">
        <v>305</v>
      </c>
      <c r="O7247" s="34">
        <f t="shared" si="114"/>
        <v>0.82500284640787469</v>
      </c>
    </row>
    <row r="7248" spans="13:15" x14ac:dyDescent="0.3">
      <c r="M7248" s="35">
        <v>52.08</v>
      </c>
      <c r="N7248">
        <v>305</v>
      </c>
      <c r="O7248" s="34">
        <f t="shared" si="114"/>
        <v>0.8251167027212073</v>
      </c>
    </row>
    <row r="7249" spans="13:15" x14ac:dyDescent="0.3">
      <c r="M7249" s="35">
        <v>52.11</v>
      </c>
      <c r="N7249">
        <v>305</v>
      </c>
      <c r="O7249" s="34">
        <f t="shared" si="114"/>
        <v>0.8252305590345399</v>
      </c>
    </row>
    <row r="7250" spans="13:15" x14ac:dyDescent="0.3">
      <c r="M7250" s="35">
        <v>52.11</v>
      </c>
      <c r="N7250">
        <v>305</v>
      </c>
      <c r="O7250" s="34">
        <f t="shared" si="114"/>
        <v>0.82534441534787251</v>
      </c>
    </row>
    <row r="7251" spans="13:15" x14ac:dyDescent="0.3">
      <c r="M7251" s="35">
        <v>52.11</v>
      </c>
      <c r="N7251">
        <v>305</v>
      </c>
      <c r="O7251" s="34">
        <f t="shared" si="114"/>
        <v>0.82545827166120511</v>
      </c>
    </row>
    <row r="7252" spans="13:15" x14ac:dyDescent="0.3">
      <c r="M7252" s="35">
        <v>52.13</v>
      </c>
      <c r="N7252">
        <v>305</v>
      </c>
      <c r="O7252" s="34">
        <f t="shared" si="114"/>
        <v>0.82557212797453772</v>
      </c>
    </row>
    <row r="7253" spans="13:15" x14ac:dyDescent="0.3">
      <c r="M7253" s="35">
        <v>52.15</v>
      </c>
      <c r="N7253">
        <v>305</v>
      </c>
      <c r="O7253" s="34">
        <f t="shared" si="114"/>
        <v>0.82568598428787032</v>
      </c>
    </row>
    <row r="7254" spans="13:15" x14ac:dyDescent="0.3">
      <c r="M7254" s="35">
        <v>52.17</v>
      </c>
      <c r="N7254">
        <v>305</v>
      </c>
      <c r="O7254" s="34">
        <f t="shared" si="114"/>
        <v>0.82579984060120293</v>
      </c>
    </row>
    <row r="7255" spans="13:15" x14ac:dyDescent="0.3">
      <c r="M7255" s="35">
        <v>52.17</v>
      </c>
      <c r="N7255">
        <v>305</v>
      </c>
      <c r="O7255" s="34">
        <f t="shared" si="114"/>
        <v>0.82591369691453553</v>
      </c>
    </row>
    <row r="7256" spans="13:15" x14ac:dyDescent="0.3">
      <c r="M7256" s="35">
        <v>52.18</v>
      </c>
      <c r="N7256">
        <v>305</v>
      </c>
      <c r="O7256" s="34">
        <f t="shared" si="114"/>
        <v>0.82602755322786814</v>
      </c>
    </row>
    <row r="7257" spans="13:15" x14ac:dyDescent="0.3">
      <c r="M7257" s="35">
        <v>52.22</v>
      </c>
      <c r="N7257">
        <v>305</v>
      </c>
      <c r="O7257" s="34">
        <f t="shared" si="114"/>
        <v>0.82614140954120074</v>
      </c>
    </row>
    <row r="7258" spans="13:15" x14ac:dyDescent="0.3">
      <c r="M7258" s="35">
        <v>52.22</v>
      </c>
      <c r="N7258">
        <v>305</v>
      </c>
      <c r="O7258" s="34">
        <f t="shared" si="114"/>
        <v>0.82625526585453335</v>
      </c>
    </row>
    <row r="7259" spans="13:15" x14ac:dyDescent="0.3">
      <c r="M7259" s="35">
        <v>52.22</v>
      </c>
      <c r="N7259">
        <v>305</v>
      </c>
      <c r="O7259" s="34">
        <f t="shared" si="114"/>
        <v>0.82636912216786595</v>
      </c>
    </row>
    <row r="7260" spans="13:15" x14ac:dyDescent="0.3">
      <c r="M7260" s="35">
        <v>52.23</v>
      </c>
      <c r="N7260">
        <v>305</v>
      </c>
      <c r="O7260" s="34">
        <f t="shared" si="114"/>
        <v>0.82648297848119856</v>
      </c>
    </row>
    <row r="7261" spans="13:15" x14ac:dyDescent="0.3">
      <c r="M7261" s="35">
        <v>52.25</v>
      </c>
      <c r="N7261">
        <v>305</v>
      </c>
      <c r="O7261" s="34">
        <f t="shared" si="114"/>
        <v>0.82659683479453117</v>
      </c>
    </row>
    <row r="7262" spans="13:15" x14ac:dyDescent="0.3">
      <c r="M7262" s="35">
        <v>52.28</v>
      </c>
      <c r="N7262">
        <v>305</v>
      </c>
      <c r="O7262" s="34">
        <f t="shared" si="114"/>
        <v>0.82671069110786377</v>
      </c>
    </row>
    <row r="7263" spans="13:15" x14ac:dyDescent="0.3">
      <c r="M7263" s="35">
        <v>52.28</v>
      </c>
      <c r="N7263">
        <v>305</v>
      </c>
      <c r="O7263" s="34">
        <f t="shared" si="114"/>
        <v>0.82682454742119638</v>
      </c>
    </row>
    <row r="7264" spans="13:15" x14ac:dyDescent="0.3">
      <c r="M7264" s="35">
        <v>52.31</v>
      </c>
      <c r="N7264">
        <v>305</v>
      </c>
      <c r="O7264" s="34">
        <f t="shared" si="114"/>
        <v>0.82693840373452898</v>
      </c>
    </row>
    <row r="7265" spans="13:15" x14ac:dyDescent="0.3">
      <c r="M7265" s="35">
        <v>52.32</v>
      </c>
      <c r="N7265">
        <v>305</v>
      </c>
      <c r="O7265" s="34">
        <f t="shared" si="114"/>
        <v>0.82705226004786159</v>
      </c>
    </row>
    <row r="7266" spans="13:15" x14ac:dyDescent="0.3">
      <c r="M7266" s="35">
        <v>52.37</v>
      </c>
      <c r="N7266">
        <v>305</v>
      </c>
      <c r="O7266" s="34">
        <f t="shared" si="114"/>
        <v>0.82716611636119419</v>
      </c>
    </row>
    <row r="7267" spans="13:15" x14ac:dyDescent="0.3">
      <c r="M7267" s="35">
        <v>52.37</v>
      </c>
      <c r="N7267">
        <v>305</v>
      </c>
      <c r="O7267" s="34">
        <f t="shared" si="114"/>
        <v>0.8272799726745268</v>
      </c>
    </row>
    <row r="7268" spans="13:15" x14ac:dyDescent="0.3">
      <c r="M7268" s="35">
        <v>52.4</v>
      </c>
      <c r="N7268">
        <v>305</v>
      </c>
      <c r="O7268" s="34">
        <f t="shared" si="114"/>
        <v>0.8273938289878594</v>
      </c>
    </row>
    <row r="7269" spans="13:15" x14ac:dyDescent="0.3">
      <c r="M7269" s="35">
        <v>52.41</v>
      </c>
      <c r="N7269">
        <v>305</v>
      </c>
      <c r="O7269" s="34">
        <f t="shared" si="114"/>
        <v>0.82750768530119201</v>
      </c>
    </row>
    <row r="7270" spans="13:15" x14ac:dyDescent="0.3">
      <c r="M7270" s="35">
        <v>52.42</v>
      </c>
      <c r="N7270">
        <v>305</v>
      </c>
      <c r="O7270" s="34">
        <f t="shared" si="114"/>
        <v>0.82762154161452461</v>
      </c>
    </row>
    <row r="7271" spans="13:15" x14ac:dyDescent="0.3">
      <c r="M7271" s="35">
        <v>52.44</v>
      </c>
      <c r="N7271">
        <v>305</v>
      </c>
      <c r="O7271" s="34">
        <f t="shared" si="114"/>
        <v>0.82773539792785722</v>
      </c>
    </row>
    <row r="7272" spans="13:15" x14ac:dyDescent="0.3">
      <c r="M7272" s="35">
        <v>52.46</v>
      </c>
      <c r="N7272">
        <v>305</v>
      </c>
      <c r="O7272" s="34">
        <f t="shared" si="114"/>
        <v>0.82784925424118982</v>
      </c>
    </row>
    <row r="7273" spans="13:15" x14ac:dyDescent="0.3">
      <c r="M7273" s="35">
        <v>52.48</v>
      </c>
      <c r="N7273">
        <v>305</v>
      </c>
      <c r="O7273" s="34">
        <f t="shared" si="114"/>
        <v>0.82796311055452243</v>
      </c>
    </row>
    <row r="7274" spans="13:15" x14ac:dyDescent="0.3">
      <c r="M7274" s="35">
        <v>52.49</v>
      </c>
      <c r="N7274">
        <v>305</v>
      </c>
      <c r="O7274" s="34">
        <f t="shared" si="114"/>
        <v>0.82807696686785504</v>
      </c>
    </row>
    <row r="7275" spans="13:15" x14ac:dyDescent="0.3">
      <c r="M7275" s="35">
        <v>52.49</v>
      </c>
      <c r="N7275">
        <v>305</v>
      </c>
      <c r="O7275" s="34">
        <f t="shared" si="114"/>
        <v>0.82819082318118764</v>
      </c>
    </row>
    <row r="7276" spans="13:15" x14ac:dyDescent="0.3">
      <c r="M7276" s="35">
        <v>52.5</v>
      </c>
      <c r="N7276">
        <v>305</v>
      </c>
      <c r="O7276" s="34">
        <f t="shared" si="114"/>
        <v>0.82830467949452025</v>
      </c>
    </row>
    <row r="7277" spans="13:15" x14ac:dyDescent="0.3">
      <c r="M7277" s="35">
        <v>52.5</v>
      </c>
      <c r="N7277">
        <v>305</v>
      </c>
      <c r="O7277" s="34">
        <f t="shared" si="114"/>
        <v>0.82841853580785285</v>
      </c>
    </row>
    <row r="7278" spans="13:15" x14ac:dyDescent="0.3">
      <c r="M7278" s="35">
        <v>52.51</v>
      </c>
      <c r="N7278">
        <v>305</v>
      </c>
      <c r="O7278" s="34">
        <f t="shared" si="114"/>
        <v>0.82853239212118546</v>
      </c>
    </row>
    <row r="7279" spans="13:15" x14ac:dyDescent="0.3">
      <c r="M7279" s="35">
        <v>52.53</v>
      </c>
      <c r="N7279">
        <v>305</v>
      </c>
      <c r="O7279" s="34">
        <f t="shared" si="114"/>
        <v>0.82864624843451806</v>
      </c>
    </row>
    <row r="7280" spans="13:15" x14ac:dyDescent="0.3">
      <c r="M7280" s="35">
        <v>52.54</v>
      </c>
      <c r="N7280">
        <v>305</v>
      </c>
      <c r="O7280" s="34">
        <f t="shared" si="114"/>
        <v>0.82876010474785067</v>
      </c>
    </row>
    <row r="7281" spans="13:15" x14ac:dyDescent="0.3">
      <c r="M7281" s="35">
        <v>52.58</v>
      </c>
      <c r="N7281">
        <v>305</v>
      </c>
      <c r="O7281" s="34">
        <f t="shared" si="114"/>
        <v>0.82887396106118327</v>
      </c>
    </row>
    <row r="7282" spans="13:15" x14ac:dyDescent="0.3">
      <c r="M7282" s="35">
        <v>52.59</v>
      </c>
      <c r="N7282">
        <v>305</v>
      </c>
      <c r="O7282" s="34">
        <f t="shared" si="114"/>
        <v>0.82898781737451588</v>
      </c>
    </row>
    <row r="7283" spans="13:15" x14ac:dyDescent="0.3">
      <c r="M7283" s="35">
        <v>52.6</v>
      </c>
      <c r="N7283">
        <v>305</v>
      </c>
      <c r="O7283" s="34">
        <f t="shared" si="114"/>
        <v>0.82910167368784848</v>
      </c>
    </row>
    <row r="7284" spans="13:15" x14ac:dyDescent="0.3">
      <c r="M7284" s="35">
        <v>52.61</v>
      </c>
      <c r="N7284">
        <v>305</v>
      </c>
      <c r="O7284" s="34">
        <f t="shared" si="114"/>
        <v>0.82921553000118109</v>
      </c>
    </row>
    <row r="7285" spans="13:15" x14ac:dyDescent="0.3">
      <c r="M7285" s="35">
        <v>52.61</v>
      </c>
      <c r="N7285">
        <v>305</v>
      </c>
      <c r="O7285" s="34">
        <f t="shared" si="114"/>
        <v>0.82932938631451369</v>
      </c>
    </row>
    <row r="7286" spans="13:15" x14ac:dyDescent="0.3">
      <c r="M7286" s="35">
        <v>52.67</v>
      </c>
      <c r="N7286">
        <v>305</v>
      </c>
      <c r="O7286" s="34">
        <f t="shared" si="114"/>
        <v>0.8294432426278463</v>
      </c>
    </row>
    <row r="7287" spans="13:15" x14ac:dyDescent="0.3">
      <c r="M7287" s="35">
        <v>52.68</v>
      </c>
      <c r="N7287">
        <v>305</v>
      </c>
      <c r="O7287" s="34">
        <f t="shared" si="114"/>
        <v>0.82955709894117891</v>
      </c>
    </row>
    <row r="7288" spans="13:15" x14ac:dyDescent="0.3">
      <c r="M7288" s="35">
        <v>52.7</v>
      </c>
      <c r="N7288">
        <v>305</v>
      </c>
      <c r="O7288" s="34">
        <f t="shared" si="114"/>
        <v>0.82967095525451151</v>
      </c>
    </row>
    <row r="7289" spans="13:15" x14ac:dyDescent="0.3">
      <c r="M7289" s="35">
        <v>52.71</v>
      </c>
      <c r="N7289">
        <v>305</v>
      </c>
      <c r="O7289" s="34">
        <f t="shared" si="114"/>
        <v>0.82978481156784412</v>
      </c>
    </row>
    <row r="7290" spans="13:15" x14ac:dyDescent="0.3">
      <c r="M7290" s="35">
        <v>52.73</v>
      </c>
      <c r="N7290">
        <v>305</v>
      </c>
      <c r="O7290" s="34">
        <f t="shared" si="114"/>
        <v>0.82989866788117672</v>
      </c>
    </row>
    <row r="7291" spans="13:15" x14ac:dyDescent="0.3">
      <c r="M7291" s="35">
        <v>52.74</v>
      </c>
      <c r="N7291">
        <v>305</v>
      </c>
      <c r="O7291" s="34">
        <f t="shared" si="114"/>
        <v>0.83001252419450933</v>
      </c>
    </row>
    <row r="7292" spans="13:15" x14ac:dyDescent="0.3">
      <c r="M7292" s="35">
        <v>52.75</v>
      </c>
      <c r="N7292">
        <v>305</v>
      </c>
      <c r="O7292" s="34">
        <f t="shared" si="114"/>
        <v>0.83012638050784193</v>
      </c>
    </row>
    <row r="7293" spans="13:15" x14ac:dyDescent="0.3">
      <c r="M7293" s="35">
        <v>52.75</v>
      </c>
      <c r="N7293">
        <v>305</v>
      </c>
      <c r="O7293" s="34">
        <f t="shared" si="114"/>
        <v>0.83024023682117454</v>
      </c>
    </row>
    <row r="7294" spans="13:15" x14ac:dyDescent="0.3">
      <c r="M7294" s="35">
        <v>52.76</v>
      </c>
      <c r="N7294">
        <v>305</v>
      </c>
      <c r="O7294" s="34">
        <f t="shared" si="114"/>
        <v>0.83035409313450714</v>
      </c>
    </row>
    <row r="7295" spans="13:15" x14ac:dyDescent="0.3">
      <c r="M7295" s="35">
        <v>52.81</v>
      </c>
      <c r="N7295">
        <v>305</v>
      </c>
      <c r="O7295" s="34">
        <f t="shared" si="114"/>
        <v>0.83046794944783975</v>
      </c>
    </row>
    <row r="7296" spans="13:15" x14ac:dyDescent="0.3">
      <c r="M7296" s="35">
        <v>52.85</v>
      </c>
      <c r="N7296">
        <v>305</v>
      </c>
      <c r="O7296" s="34">
        <f t="shared" si="114"/>
        <v>0.83058180576117235</v>
      </c>
    </row>
    <row r="7297" spans="13:15" x14ac:dyDescent="0.3">
      <c r="M7297" s="35">
        <v>52.86</v>
      </c>
      <c r="N7297">
        <v>305</v>
      </c>
      <c r="O7297" s="34">
        <f t="shared" si="114"/>
        <v>0.83069566207450496</v>
      </c>
    </row>
    <row r="7298" spans="13:15" x14ac:dyDescent="0.3">
      <c r="M7298" s="35">
        <v>52.87</v>
      </c>
      <c r="N7298">
        <v>305</v>
      </c>
      <c r="O7298" s="34">
        <f t="shared" si="114"/>
        <v>0.83080951838783756</v>
      </c>
    </row>
    <row r="7299" spans="13:15" x14ac:dyDescent="0.3">
      <c r="M7299" s="35">
        <v>52.89</v>
      </c>
      <c r="N7299">
        <v>305</v>
      </c>
      <c r="O7299" s="34">
        <f t="shared" si="114"/>
        <v>0.83092337470117017</v>
      </c>
    </row>
    <row r="7300" spans="13:15" x14ac:dyDescent="0.3">
      <c r="M7300" s="35">
        <v>52.9</v>
      </c>
      <c r="N7300">
        <v>305</v>
      </c>
      <c r="O7300" s="34">
        <f t="shared" ref="O7300:O7363" si="115">O7299+O$2</f>
        <v>0.83103723101450278</v>
      </c>
    </row>
    <row r="7301" spans="13:15" x14ac:dyDescent="0.3">
      <c r="M7301" s="35">
        <v>52.9</v>
      </c>
      <c r="N7301">
        <v>305</v>
      </c>
      <c r="O7301" s="34">
        <f t="shared" si="115"/>
        <v>0.83115108732783538</v>
      </c>
    </row>
    <row r="7302" spans="13:15" x14ac:dyDescent="0.3">
      <c r="M7302" s="35">
        <v>52.95</v>
      </c>
      <c r="N7302">
        <v>305</v>
      </c>
      <c r="O7302" s="34">
        <f t="shared" si="115"/>
        <v>0.83126494364116799</v>
      </c>
    </row>
    <row r="7303" spans="13:15" x14ac:dyDescent="0.3">
      <c r="M7303" s="35">
        <v>52.96</v>
      </c>
      <c r="N7303">
        <v>305</v>
      </c>
      <c r="O7303" s="34">
        <f t="shared" si="115"/>
        <v>0.83137879995450059</v>
      </c>
    </row>
    <row r="7304" spans="13:15" x14ac:dyDescent="0.3">
      <c r="M7304" s="35">
        <v>52.98</v>
      </c>
      <c r="N7304">
        <v>305</v>
      </c>
      <c r="O7304" s="34">
        <f t="shared" si="115"/>
        <v>0.8314926562678332</v>
      </c>
    </row>
    <row r="7305" spans="13:15" x14ac:dyDescent="0.3">
      <c r="M7305" s="35">
        <v>52.98</v>
      </c>
      <c r="N7305">
        <v>305</v>
      </c>
      <c r="O7305" s="34">
        <f t="shared" si="115"/>
        <v>0.8316065125811658</v>
      </c>
    </row>
    <row r="7306" spans="13:15" x14ac:dyDescent="0.3">
      <c r="M7306" s="35">
        <v>53.02</v>
      </c>
      <c r="N7306">
        <v>305</v>
      </c>
      <c r="O7306" s="34">
        <f t="shared" si="115"/>
        <v>0.83172036889449841</v>
      </c>
    </row>
    <row r="7307" spans="13:15" x14ac:dyDescent="0.3">
      <c r="M7307" s="35">
        <v>53.03</v>
      </c>
      <c r="N7307">
        <v>305</v>
      </c>
      <c r="O7307" s="34">
        <f t="shared" si="115"/>
        <v>0.83183422520783101</v>
      </c>
    </row>
    <row r="7308" spans="13:15" x14ac:dyDescent="0.3">
      <c r="M7308" s="35">
        <v>53.04</v>
      </c>
      <c r="N7308">
        <v>305</v>
      </c>
      <c r="O7308" s="34">
        <f t="shared" si="115"/>
        <v>0.83194808152116362</v>
      </c>
    </row>
    <row r="7309" spans="13:15" x14ac:dyDescent="0.3">
      <c r="M7309" s="35">
        <v>53.04</v>
      </c>
      <c r="N7309">
        <v>305</v>
      </c>
      <c r="O7309" s="34">
        <f t="shared" si="115"/>
        <v>0.83206193783449622</v>
      </c>
    </row>
    <row r="7310" spans="13:15" x14ac:dyDescent="0.3">
      <c r="M7310" s="35">
        <v>53.05</v>
      </c>
      <c r="N7310">
        <v>305</v>
      </c>
      <c r="O7310" s="34">
        <f t="shared" si="115"/>
        <v>0.83217579414782883</v>
      </c>
    </row>
    <row r="7311" spans="13:15" x14ac:dyDescent="0.3">
      <c r="M7311" s="35">
        <v>53.05</v>
      </c>
      <c r="N7311">
        <v>305</v>
      </c>
      <c r="O7311" s="34">
        <f t="shared" si="115"/>
        <v>0.83228965046116143</v>
      </c>
    </row>
    <row r="7312" spans="13:15" x14ac:dyDescent="0.3">
      <c r="M7312" s="35">
        <v>53.07</v>
      </c>
      <c r="N7312">
        <v>305</v>
      </c>
      <c r="O7312" s="34">
        <f t="shared" si="115"/>
        <v>0.83240350677449404</v>
      </c>
    </row>
    <row r="7313" spans="13:15" x14ac:dyDescent="0.3">
      <c r="M7313" s="35">
        <v>53.08</v>
      </c>
      <c r="N7313">
        <v>305</v>
      </c>
      <c r="O7313" s="34">
        <f t="shared" si="115"/>
        <v>0.83251736308782665</v>
      </c>
    </row>
    <row r="7314" spans="13:15" x14ac:dyDescent="0.3">
      <c r="M7314" s="35">
        <v>53.09</v>
      </c>
      <c r="N7314">
        <v>305</v>
      </c>
      <c r="O7314" s="34">
        <f t="shared" si="115"/>
        <v>0.83263121940115925</v>
      </c>
    </row>
    <row r="7315" spans="13:15" x14ac:dyDescent="0.3">
      <c r="M7315" s="35">
        <v>53.1</v>
      </c>
      <c r="N7315">
        <v>305</v>
      </c>
      <c r="O7315" s="34">
        <f t="shared" si="115"/>
        <v>0.83274507571449186</v>
      </c>
    </row>
    <row r="7316" spans="13:15" x14ac:dyDescent="0.3">
      <c r="M7316" s="35">
        <v>53.12</v>
      </c>
      <c r="N7316">
        <v>305</v>
      </c>
      <c r="O7316" s="34">
        <f t="shared" si="115"/>
        <v>0.83285893202782446</v>
      </c>
    </row>
    <row r="7317" spans="13:15" x14ac:dyDescent="0.3">
      <c r="M7317" s="35">
        <v>53.15</v>
      </c>
      <c r="N7317">
        <v>305</v>
      </c>
      <c r="O7317" s="34">
        <f t="shared" si="115"/>
        <v>0.83297278834115707</v>
      </c>
    </row>
    <row r="7318" spans="13:15" x14ac:dyDescent="0.3">
      <c r="M7318" s="35">
        <v>53.15</v>
      </c>
      <c r="N7318">
        <v>305</v>
      </c>
      <c r="O7318" s="34">
        <f t="shared" si="115"/>
        <v>0.83308664465448967</v>
      </c>
    </row>
    <row r="7319" spans="13:15" x14ac:dyDescent="0.3">
      <c r="M7319" s="35">
        <v>53.18</v>
      </c>
      <c r="N7319">
        <v>305</v>
      </c>
      <c r="O7319" s="34">
        <f t="shared" si="115"/>
        <v>0.83320050096782228</v>
      </c>
    </row>
    <row r="7320" spans="13:15" x14ac:dyDescent="0.3">
      <c r="M7320" s="35">
        <v>53.18</v>
      </c>
      <c r="N7320">
        <v>305</v>
      </c>
      <c r="O7320" s="34">
        <f t="shared" si="115"/>
        <v>0.83331435728115488</v>
      </c>
    </row>
    <row r="7321" spans="13:15" x14ac:dyDescent="0.3">
      <c r="M7321" s="35">
        <v>53.18</v>
      </c>
      <c r="N7321">
        <v>305</v>
      </c>
      <c r="O7321" s="34">
        <f t="shared" si="115"/>
        <v>0.83342821359448749</v>
      </c>
    </row>
    <row r="7322" spans="13:15" x14ac:dyDescent="0.3">
      <c r="M7322" s="35">
        <v>53.19</v>
      </c>
      <c r="N7322">
        <v>305</v>
      </c>
      <c r="O7322" s="34">
        <f t="shared" si="115"/>
        <v>0.83354206990782009</v>
      </c>
    </row>
    <row r="7323" spans="13:15" x14ac:dyDescent="0.3">
      <c r="M7323" s="35">
        <v>53.25</v>
      </c>
      <c r="N7323">
        <v>305</v>
      </c>
      <c r="O7323" s="34">
        <f t="shared" si="115"/>
        <v>0.8336559262211527</v>
      </c>
    </row>
    <row r="7324" spans="13:15" x14ac:dyDescent="0.3">
      <c r="M7324" s="35">
        <v>53.29</v>
      </c>
      <c r="N7324">
        <v>305</v>
      </c>
      <c r="O7324" s="34">
        <f t="shared" si="115"/>
        <v>0.8337697825344853</v>
      </c>
    </row>
    <row r="7325" spans="13:15" x14ac:dyDescent="0.3">
      <c r="M7325" s="35">
        <v>53.31</v>
      </c>
      <c r="N7325">
        <v>305</v>
      </c>
      <c r="O7325" s="34">
        <f t="shared" si="115"/>
        <v>0.83388363884781791</v>
      </c>
    </row>
    <row r="7326" spans="13:15" x14ac:dyDescent="0.3">
      <c r="M7326" s="35">
        <v>53.32</v>
      </c>
      <c r="N7326">
        <v>305</v>
      </c>
      <c r="O7326" s="34">
        <f t="shared" si="115"/>
        <v>0.83399749516115051</v>
      </c>
    </row>
    <row r="7327" spans="13:15" x14ac:dyDescent="0.3">
      <c r="M7327" s="35">
        <v>53.33</v>
      </c>
      <c r="N7327">
        <v>305</v>
      </c>
      <c r="O7327" s="34">
        <f t="shared" si="115"/>
        <v>0.83411135147448312</v>
      </c>
    </row>
    <row r="7328" spans="13:15" x14ac:dyDescent="0.3">
      <c r="M7328" s="35">
        <v>53.35</v>
      </c>
      <c r="N7328">
        <v>305</v>
      </c>
      <c r="O7328" s="34">
        <f t="shared" si="115"/>
        <v>0.83422520778781573</v>
      </c>
    </row>
    <row r="7329" spans="13:15" x14ac:dyDescent="0.3">
      <c r="M7329" s="35">
        <v>53.37</v>
      </c>
      <c r="N7329">
        <v>305</v>
      </c>
      <c r="O7329" s="34">
        <f t="shared" si="115"/>
        <v>0.83433906410114833</v>
      </c>
    </row>
    <row r="7330" spans="13:15" x14ac:dyDescent="0.3">
      <c r="M7330" s="35">
        <v>53.38</v>
      </c>
      <c r="N7330">
        <v>305</v>
      </c>
      <c r="O7330" s="34">
        <f t="shared" si="115"/>
        <v>0.83445292041448094</v>
      </c>
    </row>
    <row r="7331" spans="13:15" x14ac:dyDescent="0.3">
      <c r="M7331" s="35">
        <v>53.45</v>
      </c>
      <c r="N7331">
        <v>305</v>
      </c>
      <c r="O7331" s="34">
        <f t="shared" si="115"/>
        <v>0.83456677672781354</v>
      </c>
    </row>
    <row r="7332" spans="13:15" x14ac:dyDescent="0.3">
      <c r="M7332" s="35">
        <v>53.51</v>
      </c>
      <c r="N7332">
        <v>305</v>
      </c>
      <c r="O7332" s="34">
        <f t="shared" si="115"/>
        <v>0.83468063304114615</v>
      </c>
    </row>
    <row r="7333" spans="13:15" x14ac:dyDescent="0.3">
      <c r="M7333" s="35">
        <v>53.53</v>
      </c>
      <c r="N7333">
        <v>305</v>
      </c>
      <c r="O7333" s="34">
        <f t="shared" si="115"/>
        <v>0.83479448935447875</v>
      </c>
    </row>
    <row r="7334" spans="13:15" x14ac:dyDescent="0.3">
      <c r="M7334" s="35">
        <v>53.57</v>
      </c>
      <c r="N7334">
        <v>305</v>
      </c>
      <c r="O7334" s="34">
        <f t="shared" si="115"/>
        <v>0.83490834566781136</v>
      </c>
    </row>
    <row r="7335" spans="13:15" x14ac:dyDescent="0.3">
      <c r="M7335" s="35">
        <v>53.58</v>
      </c>
      <c r="N7335">
        <v>305</v>
      </c>
      <c r="O7335" s="34">
        <f t="shared" si="115"/>
        <v>0.83502220198114396</v>
      </c>
    </row>
    <row r="7336" spans="13:15" x14ac:dyDescent="0.3">
      <c r="M7336" s="35">
        <v>53.63</v>
      </c>
      <c r="N7336">
        <v>305</v>
      </c>
      <c r="O7336" s="34">
        <f t="shared" si="115"/>
        <v>0.83513605829447657</v>
      </c>
    </row>
    <row r="7337" spans="13:15" x14ac:dyDescent="0.3">
      <c r="M7337" s="35">
        <v>53.64</v>
      </c>
      <c r="N7337">
        <v>305</v>
      </c>
      <c r="O7337" s="34">
        <f t="shared" si="115"/>
        <v>0.83524991460780917</v>
      </c>
    </row>
    <row r="7338" spans="13:15" x14ac:dyDescent="0.3">
      <c r="M7338" s="35">
        <v>53.64</v>
      </c>
      <c r="N7338">
        <v>305</v>
      </c>
      <c r="O7338" s="34">
        <f t="shared" si="115"/>
        <v>0.83536377092114178</v>
      </c>
    </row>
    <row r="7339" spans="13:15" x14ac:dyDescent="0.3">
      <c r="M7339" s="35">
        <v>53.65</v>
      </c>
      <c r="N7339">
        <v>305</v>
      </c>
      <c r="O7339" s="34">
        <f t="shared" si="115"/>
        <v>0.83547762723447438</v>
      </c>
    </row>
    <row r="7340" spans="13:15" x14ac:dyDescent="0.3">
      <c r="M7340" s="35">
        <v>53.66</v>
      </c>
      <c r="N7340">
        <v>305</v>
      </c>
      <c r="O7340" s="34">
        <f t="shared" si="115"/>
        <v>0.83559148354780699</v>
      </c>
    </row>
    <row r="7341" spans="13:15" x14ac:dyDescent="0.3">
      <c r="M7341" s="35">
        <v>53.68</v>
      </c>
      <c r="N7341">
        <v>305</v>
      </c>
      <c r="O7341" s="34">
        <f t="shared" si="115"/>
        <v>0.8357053398611396</v>
      </c>
    </row>
    <row r="7342" spans="13:15" x14ac:dyDescent="0.3">
      <c r="M7342" s="35">
        <v>53.68</v>
      </c>
      <c r="N7342">
        <v>305</v>
      </c>
      <c r="O7342" s="34">
        <f t="shared" si="115"/>
        <v>0.8358191961744722</v>
      </c>
    </row>
    <row r="7343" spans="13:15" x14ac:dyDescent="0.3">
      <c r="M7343" s="35">
        <v>53.71</v>
      </c>
      <c r="N7343">
        <v>305</v>
      </c>
      <c r="O7343" s="34">
        <f t="shared" si="115"/>
        <v>0.83593305248780481</v>
      </c>
    </row>
    <row r="7344" spans="13:15" x14ac:dyDescent="0.3">
      <c r="M7344" s="35">
        <v>53.72</v>
      </c>
      <c r="N7344">
        <v>305</v>
      </c>
      <c r="O7344" s="34">
        <f t="shared" si="115"/>
        <v>0.83604690880113741</v>
      </c>
    </row>
    <row r="7345" spans="13:15" x14ac:dyDescent="0.3">
      <c r="M7345" s="35">
        <v>53.73</v>
      </c>
      <c r="N7345">
        <v>305</v>
      </c>
      <c r="O7345" s="34">
        <f t="shared" si="115"/>
        <v>0.83616076511447002</v>
      </c>
    </row>
    <row r="7346" spans="13:15" x14ac:dyDescent="0.3">
      <c r="M7346" s="35">
        <v>53.74</v>
      </c>
      <c r="N7346">
        <v>305</v>
      </c>
      <c r="O7346" s="34">
        <f t="shared" si="115"/>
        <v>0.83627462142780262</v>
      </c>
    </row>
    <row r="7347" spans="13:15" x14ac:dyDescent="0.3">
      <c r="M7347" s="35">
        <v>53.75</v>
      </c>
      <c r="N7347">
        <v>305</v>
      </c>
      <c r="O7347" s="34">
        <f t="shared" si="115"/>
        <v>0.83638847774113523</v>
      </c>
    </row>
    <row r="7348" spans="13:15" x14ac:dyDescent="0.3">
      <c r="M7348" s="35">
        <v>53.83</v>
      </c>
      <c r="N7348">
        <v>305</v>
      </c>
      <c r="O7348" s="34">
        <f t="shared" si="115"/>
        <v>0.83650233405446783</v>
      </c>
    </row>
    <row r="7349" spans="13:15" x14ac:dyDescent="0.3">
      <c r="M7349" s="35">
        <v>53.83</v>
      </c>
      <c r="N7349">
        <v>305</v>
      </c>
      <c r="O7349" s="34">
        <f t="shared" si="115"/>
        <v>0.83661619036780044</v>
      </c>
    </row>
    <row r="7350" spans="13:15" x14ac:dyDescent="0.3">
      <c r="M7350" s="35">
        <v>53.87</v>
      </c>
      <c r="N7350">
        <v>305</v>
      </c>
      <c r="O7350" s="34">
        <f t="shared" si="115"/>
        <v>0.83673004668113304</v>
      </c>
    </row>
    <row r="7351" spans="13:15" x14ac:dyDescent="0.3">
      <c r="M7351" s="35">
        <v>53.91</v>
      </c>
      <c r="N7351">
        <v>305</v>
      </c>
      <c r="O7351" s="34">
        <f t="shared" si="115"/>
        <v>0.83684390299446565</v>
      </c>
    </row>
    <row r="7352" spans="13:15" x14ac:dyDescent="0.3">
      <c r="M7352" s="35">
        <v>53.92</v>
      </c>
      <c r="N7352">
        <v>305</v>
      </c>
      <c r="O7352" s="34">
        <f t="shared" si="115"/>
        <v>0.83695775930779825</v>
      </c>
    </row>
    <row r="7353" spans="13:15" x14ac:dyDescent="0.3">
      <c r="M7353" s="35">
        <v>53.94</v>
      </c>
      <c r="N7353">
        <v>305</v>
      </c>
      <c r="O7353" s="34">
        <f t="shared" si="115"/>
        <v>0.83707161562113086</v>
      </c>
    </row>
    <row r="7354" spans="13:15" x14ac:dyDescent="0.3">
      <c r="M7354" s="35">
        <v>53.95</v>
      </c>
      <c r="N7354">
        <v>305</v>
      </c>
      <c r="O7354" s="34">
        <f t="shared" si="115"/>
        <v>0.83718547193446347</v>
      </c>
    </row>
    <row r="7355" spans="13:15" x14ac:dyDescent="0.3">
      <c r="M7355" s="35">
        <v>53.96</v>
      </c>
      <c r="N7355">
        <v>305</v>
      </c>
      <c r="O7355" s="34">
        <f t="shared" si="115"/>
        <v>0.83729932824779607</v>
      </c>
    </row>
    <row r="7356" spans="13:15" x14ac:dyDescent="0.3">
      <c r="M7356" s="35">
        <v>53.98</v>
      </c>
      <c r="N7356">
        <v>305</v>
      </c>
      <c r="O7356" s="34">
        <f t="shared" si="115"/>
        <v>0.83741318456112868</v>
      </c>
    </row>
    <row r="7357" spans="13:15" x14ac:dyDescent="0.3">
      <c r="M7357" s="35">
        <v>53.99</v>
      </c>
      <c r="N7357">
        <v>305</v>
      </c>
      <c r="O7357" s="34">
        <f t="shared" si="115"/>
        <v>0.83752704087446128</v>
      </c>
    </row>
    <row r="7358" spans="13:15" x14ac:dyDescent="0.3">
      <c r="M7358" s="35">
        <v>54</v>
      </c>
      <c r="N7358">
        <v>305</v>
      </c>
      <c r="O7358" s="34">
        <f t="shared" si="115"/>
        <v>0.83764089718779389</v>
      </c>
    </row>
    <row r="7359" spans="13:15" x14ac:dyDescent="0.3">
      <c r="M7359" s="35">
        <v>54.06</v>
      </c>
      <c r="N7359">
        <v>305</v>
      </c>
      <c r="O7359" s="34">
        <f t="shared" si="115"/>
        <v>0.83775475350112649</v>
      </c>
    </row>
    <row r="7360" spans="13:15" x14ac:dyDescent="0.3">
      <c r="M7360" s="35">
        <v>54.07</v>
      </c>
      <c r="N7360">
        <v>305</v>
      </c>
      <c r="O7360" s="34">
        <f t="shared" si="115"/>
        <v>0.8378686098144591</v>
      </c>
    </row>
    <row r="7361" spans="13:15" x14ac:dyDescent="0.3">
      <c r="M7361" s="35">
        <v>54.08</v>
      </c>
      <c r="N7361">
        <v>305</v>
      </c>
      <c r="O7361" s="34">
        <f t="shared" si="115"/>
        <v>0.8379824661277917</v>
      </c>
    </row>
    <row r="7362" spans="13:15" x14ac:dyDescent="0.3">
      <c r="M7362" s="35">
        <v>54.09</v>
      </c>
      <c r="N7362">
        <v>305</v>
      </c>
      <c r="O7362" s="34">
        <f t="shared" si="115"/>
        <v>0.83809632244112431</v>
      </c>
    </row>
    <row r="7363" spans="13:15" x14ac:dyDescent="0.3">
      <c r="M7363" s="35">
        <v>54.09</v>
      </c>
      <c r="N7363">
        <v>305</v>
      </c>
      <c r="O7363" s="34">
        <f t="shared" si="115"/>
        <v>0.83821017875445691</v>
      </c>
    </row>
    <row r="7364" spans="13:15" x14ac:dyDescent="0.3">
      <c r="M7364" s="35">
        <v>54.1</v>
      </c>
      <c r="N7364">
        <v>305</v>
      </c>
      <c r="O7364" s="34">
        <f t="shared" ref="O7364:O7427" si="116">O7363+O$2</f>
        <v>0.83832403506778952</v>
      </c>
    </row>
    <row r="7365" spans="13:15" x14ac:dyDescent="0.3">
      <c r="M7365" s="35">
        <v>54.1</v>
      </c>
      <c r="N7365">
        <v>305</v>
      </c>
      <c r="O7365" s="34">
        <f t="shared" si="116"/>
        <v>0.83843789138112212</v>
      </c>
    </row>
    <row r="7366" spans="13:15" x14ac:dyDescent="0.3">
      <c r="M7366" s="35">
        <v>54.1</v>
      </c>
      <c r="N7366">
        <v>305</v>
      </c>
      <c r="O7366" s="34">
        <f t="shared" si="116"/>
        <v>0.83855174769445473</v>
      </c>
    </row>
    <row r="7367" spans="13:15" x14ac:dyDescent="0.3">
      <c r="M7367" s="35">
        <v>54.1</v>
      </c>
      <c r="N7367">
        <v>305</v>
      </c>
      <c r="O7367" s="34">
        <f t="shared" si="116"/>
        <v>0.83866560400778734</v>
      </c>
    </row>
    <row r="7368" spans="13:15" x14ac:dyDescent="0.3">
      <c r="M7368" s="35">
        <v>54.1</v>
      </c>
      <c r="N7368">
        <v>305</v>
      </c>
      <c r="O7368" s="34">
        <f t="shared" si="116"/>
        <v>0.83877946032111994</v>
      </c>
    </row>
    <row r="7369" spans="13:15" x14ac:dyDescent="0.3">
      <c r="M7369" s="35">
        <v>54.11</v>
      </c>
      <c r="N7369">
        <v>305</v>
      </c>
      <c r="O7369" s="34">
        <f t="shared" si="116"/>
        <v>0.83889331663445255</v>
      </c>
    </row>
    <row r="7370" spans="13:15" x14ac:dyDescent="0.3">
      <c r="M7370" s="35">
        <v>54.12</v>
      </c>
      <c r="N7370">
        <v>305</v>
      </c>
      <c r="O7370" s="34">
        <f t="shared" si="116"/>
        <v>0.83900717294778515</v>
      </c>
    </row>
    <row r="7371" spans="13:15" x14ac:dyDescent="0.3">
      <c r="M7371" s="35">
        <v>54.14</v>
      </c>
      <c r="N7371">
        <v>305</v>
      </c>
      <c r="O7371" s="34">
        <f t="shared" si="116"/>
        <v>0.83912102926111776</v>
      </c>
    </row>
    <row r="7372" spans="13:15" x14ac:dyDescent="0.3">
      <c r="M7372" s="35">
        <v>54.15</v>
      </c>
      <c r="N7372">
        <v>305</v>
      </c>
      <c r="O7372" s="34">
        <f t="shared" si="116"/>
        <v>0.83923488557445036</v>
      </c>
    </row>
    <row r="7373" spans="13:15" x14ac:dyDescent="0.3">
      <c r="M7373" s="35">
        <v>54.15</v>
      </c>
      <c r="N7373">
        <v>305</v>
      </c>
      <c r="O7373" s="34">
        <f t="shared" si="116"/>
        <v>0.83934874188778297</v>
      </c>
    </row>
    <row r="7374" spans="13:15" x14ac:dyDescent="0.3">
      <c r="M7374" s="35">
        <v>54.16</v>
      </c>
      <c r="N7374">
        <v>305</v>
      </c>
      <c r="O7374" s="34">
        <f t="shared" si="116"/>
        <v>0.83946259820111557</v>
      </c>
    </row>
    <row r="7375" spans="13:15" x14ac:dyDescent="0.3">
      <c r="M7375" s="35">
        <v>54.2</v>
      </c>
      <c r="N7375">
        <v>305</v>
      </c>
      <c r="O7375" s="34">
        <f t="shared" si="116"/>
        <v>0.83957645451444818</v>
      </c>
    </row>
    <row r="7376" spans="13:15" x14ac:dyDescent="0.3">
      <c r="M7376" s="35">
        <v>54.2</v>
      </c>
      <c r="N7376">
        <v>305</v>
      </c>
      <c r="O7376" s="34">
        <f t="shared" si="116"/>
        <v>0.83969031082778078</v>
      </c>
    </row>
    <row r="7377" spans="13:15" x14ac:dyDescent="0.3">
      <c r="M7377" s="35">
        <v>54.21</v>
      </c>
      <c r="N7377">
        <v>305</v>
      </c>
      <c r="O7377" s="34">
        <f t="shared" si="116"/>
        <v>0.83980416714111339</v>
      </c>
    </row>
    <row r="7378" spans="13:15" x14ac:dyDescent="0.3">
      <c r="M7378" s="35">
        <v>54.27</v>
      </c>
      <c r="N7378">
        <v>305</v>
      </c>
      <c r="O7378" s="34">
        <f t="shared" si="116"/>
        <v>0.83991802345444599</v>
      </c>
    </row>
    <row r="7379" spans="13:15" x14ac:dyDescent="0.3">
      <c r="M7379" s="35">
        <v>54.27</v>
      </c>
      <c r="N7379">
        <v>305</v>
      </c>
      <c r="O7379" s="34">
        <f t="shared" si="116"/>
        <v>0.8400318797677786</v>
      </c>
    </row>
    <row r="7380" spans="13:15" x14ac:dyDescent="0.3">
      <c r="M7380" s="35">
        <v>54.31</v>
      </c>
      <c r="N7380">
        <v>305</v>
      </c>
      <c r="O7380" s="34">
        <f t="shared" si="116"/>
        <v>0.84014573608111121</v>
      </c>
    </row>
    <row r="7381" spans="13:15" x14ac:dyDescent="0.3">
      <c r="M7381" s="35">
        <v>54.36</v>
      </c>
      <c r="N7381">
        <v>305</v>
      </c>
      <c r="O7381" s="34">
        <f t="shared" si="116"/>
        <v>0.84025959239444381</v>
      </c>
    </row>
    <row r="7382" spans="13:15" x14ac:dyDescent="0.3">
      <c r="M7382" s="35">
        <v>54.37</v>
      </c>
      <c r="N7382">
        <v>305</v>
      </c>
      <c r="O7382" s="34">
        <f t="shared" si="116"/>
        <v>0.84037344870777642</v>
      </c>
    </row>
    <row r="7383" spans="13:15" x14ac:dyDescent="0.3">
      <c r="M7383" s="35">
        <v>54.37</v>
      </c>
      <c r="N7383">
        <v>305</v>
      </c>
      <c r="O7383" s="34">
        <f t="shared" si="116"/>
        <v>0.84048730502110902</v>
      </c>
    </row>
    <row r="7384" spans="13:15" x14ac:dyDescent="0.3">
      <c r="M7384" s="35">
        <v>54.38</v>
      </c>
      <c r="N7384">
        <v>305</v>
      </c>
      <c r="O7384" s="34">
        <f t="shared" si="116"/>
        <v>0.84060116133444163</v>
      </c>
    </row>
    <row r="7385" spans="13:15" x14ac:dyDescent="0.3">
      <c r="M7385" s="35">
        <v>54.39</v>
      </c>
      <c r="N7385">
        <v>305</v>
      </c>
      <c r="O7385" s="34">
        <f t="shared" si="116"/>
        <v>0.84071501764777423</v>
      </c>
    </row>
    <row r="7386" spans="13:15" x14ac:dyDescent="0.3">
      <c r="M7386" s="35">
        <v>54.46</v>
      </c>
      <c r="N7386">
        <v>305</v>
      </c>
      <c r="O7386" s="34">
        <f t="shared" si="116"/>
        <v>0.84082887396110684</v>
      </c>
    </row>
    <row r="7387" spans="13:15" x14ac:dyDescent="0.3">
      <c r="M7387" s="35">
        <v>54.49</v>
      </c>
      <c r="N7387">
        <v>305</v>
      </c>
      <c r="O7387" s="34">
        <f t="shared" si="116"/>
        <v>0.84094273027443944</v>
      </c>
    </row>
    <row r="7388" spans="13:15" x14ac:dyDescent="0.3">
      <c r="M7388" s="35">
        <v>54.51</v>
      </c>
      <c r="N7388">
        <v>305</v>
      </c>
      <c r="O7388" s="34">
        <f t="shared" si="116"/>
        <v>0.84105658658777205</v>
      </c>
    </row>
    <row r="7389" spans="13:15" x14ac:dyDescent="0.3">
      <c r="M7389" s="35">
        <v>54.51</v>
      </c>
      <c r="N7389">
        <v>305</v>
      </c>
      <c r="O7389" s="34">
        <f t="shared" si="116"/>
        <v>0.84117044290110465</v>
      </c>
    </row>
    <row r="7390" spans="13:15" x14ac:dyDescent="0.3">
      <c r="M7390" s="35">
        <v>54.53</v>
      </c>
      <c r="N7390">
        <v>305</v>
      </c>
      <c r="O7390" s="34">
        <f t="shared" si="116"/>
        <v>0.84128429921443726</v>
      </c>
    </row>
    <row r="7391" spans="13:15" x14ac:dyDescent="0.3">
      <c r="M7391" s="35">
        <v>54.54</v>
      </c>
      <c r="N7391">
        <v>305</v>
      </c>
      <c r="O7391" s="34">
        <f t="shared" si="116"/>
        <v>0.84139815552776986</v>
      </c>
    </row>
    <row r="7392" spans="13:15" x14ac:dyDescent="0.3">
      <c r="M7392" s="35">
        <v>54.55</v>
      </c>
      <c r="N7392">
        <v>305</v>
      </c>
      <c r="O7392" s="34">
        <f t="shared" si="116"/>
        <v>0.84151201184110247</v>
      </c>
    </row>
    <row r="7393" spans="13:15" x14ac:dyDescent="0.3">
      <c r="M7393" s="35">
        <v>54.55</v>
      </c>
      <c r="N7393">
        <v>305</v>
      </c>
      <c r="O7393" s="34">
        <f t="shared" si="116"/>
        <v>0.84162586815443508</v>
      </c>
    </row>
    <row r="7394" spans="13:15" x14ac:dyDescent="0.3">
      <c r="M7394" s="35">
        <v>54.57</v>
      </c>
      <c r="N7394">
        <v>305</v>
      </c>
      <c r="O7394" s="34">
        <f t="shared" si="116"/>
        <v>0.84173972446776768</v>
      </c>
    </row>
    <row r="7395" spans="13:15" x14ac:dyDescent="0.3">
      <c r="M7395" s="35">
        <v>54.57</v>
      </c>
      <c r="N7395">
        <v>305</v>
      </c>
      <c r="O7395" s="34">
        <f t="shared" si="116"/>
        <v>0.84185358078110029</v>
      </c>
    </row>
    <row r="7396" spans="13:15" x14ac:dyDescent="0.3">
      <c r="M7396" s="35">
        <v>54.58</v>
      </c>
      <c r="N7396">
        <v>305</v>
      </c>
      <c r="O7396" s="34">
        <f t="shared" si="116"/>
        <v>0.84196743709443289</v>
      </c>
    </row>
    <row r="7397" spans="13:15" x14ac:dyDescent="0.3">
      <c r="M7397" s="35">
        <v>54.6</v>
      </c>
      <c r="N7397">
        <v>305</v>
      </c>
      <c r="O7397" s="34">
        <f t="shared" si="116"/>
        <v>0.8420812934077655</v>
      </c>
    </row>
    <row r="7398" spans="13:15" x14ac:dyDescent="0.3">
      <c r="M7398" s="35">
        <v>54.62</v>
      </c>
      <c r="N7398">
        <v>305</v>
      </c>
      <c r="O7398" s="34">
        <f t="shared" si="116"/>
        <v>0.8421951497210981</v>
      </c>
    </row>
    <row r="7399" spans="13:15" x14ac:dyDescent="0.3">
      <c r="M7399" s="35">
        <v>54.62</v>
      </c>
      <c r="N7399">
        <v>305</v>
      </c>
      <c r="O7399" s="34">
        <f t="shared" si="116"/>
        <v>0.84230900603443071</v>
      </c>
    </row>
    <row r="7400" spans="13:15" x14ac:dyDescent="0.3">
      <c r="M7400" s="35">
        <v>54.63</v>
      </c>
      <c r="N7400">
        <v>305</v>
      </c>
      <c r="O7400" s="34">
        <f t="shared" si="116"/>
        <v>0.84242286234776331</v>
      </c>
    </row>
    <row r="7401" spans="13:15" x14ac:dyDescent="0.3">
      <c r="M7401" s="35">
        <v>54.64</v>
      </c>
      <c r="N7401">
        <v>305</v>
      </c>
      <c r="O7401" s="34">
        <f t="shared" si="116"/>
        <v>0.84253671866109592</v>
      </c>
    </row>
    <row r="7402" spans="13:15" x14ac:dyDescent="0.3">
      <c r="M7402" s="35">
        <v>54.66</v>
      </c>
      <c r="N7402">
        <v>305</v>
      </c>
      <c r="O7402" s="34">
        <f t="shared" si="116"/>
        <v>0.84265057497442852</v>
      </c>
    </row>
    <row r="7403" spans="13:15" x14ac:dyDescent="0.3">
      <c r="M7403" s="35">
        <v>54.71</v>
      </c>
      <c r="N7403">
        <v>305</v>
      </c>
      <c r="O7403" s="34">
        <f t="shared" si="116"/>
        <v>0.84276443128776113</v>
      </c>
    </row>
    <row r="7404" spans="13:15" x14ac:dyDescent="0.3">
      <c r="M7404" s="35">
        <v>54.71</v>
      </c>
      <c r="N7404">
        <v>305</v>
      </c>
      <c r="O7404" s="34">
        <f t="shared" si="116"/>
        <v>0.84287828760109373</v>
      </c>
    </row>
    <row r="7405" spans="13:15" x14ac:dyDescent="0.3">
      <c r="M7405" s="35">
        <v>54.74</v>
      </c>
      <c r="N7405">
        <v>305</v>
      </c>
      <c r="O7405" s="34">
        <f t="shared" si="116"/>
        <v>0.84299214391442634</v>
      </c>
    </row>
    <row r="7406" spans="13:15" x14ac:dyDescent="0.3">
      <c r="M7406" s="35">
        <v>54.75</v>
      </c>
      <c r="N7406">
        <v>305</v>
      </c>
      <c r="O7406" s="34">
        <f t="shared" si="116"/>
        <v>0.84310600022775894</v>
      </c>
    </row>
    <row r="7407" spans="13:15" x14ac:dyDescent="0.3">
      <c r="M7407" s="35">
        <v>54.77</v>
      </c>
      <c r="N7407">
        <v>305</v>
      </c>
      <c r="O7407" s="34">
        <f t="shared" si="116"/>
        <v>0.84321985654109155</v>
      </c>
    </row>
    <row r="7408" spans="13:15" x14ac:dyDescent="0.3">
      <c r="M7408" s="35">
        <v>54.79</v>
      </c>
      <c r="N7408">
        <v>305</v>
      </c>
      <c r="O7408" s="34">
        <f t="shared" si="116"/>
        <v>0.84333371285442416</v>
      </c>
    </row>
    <row r="7409" spans="13:15" x14ac:dyDescent="0.3">
      <c r="M7409" s="35">
        <v>54.79</v>
      </c>
      <c r="N7409">
        <v>305</v>
      </c>
      <c r="O7409" s="34">
        <f t="shared" si="116"/>
        <v>0.84344756916775676</v>
      </c>
    </row>
    <row r="7410" spans="13:15" x14ac:dyDescent="0.3">
      <c r="M7410" s="35">
        <v>54.81</v>
      </c>
      <c r="N7410">
        <v>305</v>
      </c>
      <c r="O7410" s="34">
        <f t="shared" si="116"/>
        <v>0.84356142548108937</v>
      </c>
    </row>
    <row r="7411" spans="13:15" x14ac:dyDescent="0.3">
      <c r="M7411" s="35">
        <v>54.82</v>
      </c>
      <c r="N7411">
        <v>305</v>
      </c>
      <c r="O7411" s="34">
        <f t="shared" si="116"/>
        <v>0.84367528179442197</v>
      </c>
    </row>
    <row r="7412" spans="13:15" x14ac:dyDescent="0.3">
      <c r="M7412" s="35">
        <v>54.87</v>
      </c>
      <c r="N7412">
        <v>305</v>
      </c>
      <c r="O7412" s="34">
        <f t="shared" si="116"/>
        <v>0.84378913810775458</v>
      </c>
    </row>
    <row r="7413" spans="13:15" x14ac:dyDescent="0.3">
      <c r="M7413" s="35">
        <v>54.98</v>
      </c>
      <c r="N7413">
        <v>305</v>
      </c>
      <c r="O7413" s="34">
        <f t="shared" si="116"/>
        <v>0.84390299442108718</v>
      </c>
    </row>
    <row r="7414" spans="13:15" x14ac:dyDescent="0.3">
      <c r="M7414" s="35">
        <v>55.01</v>
      </c>
      <c r="N7414">
        <v>305</v>
      </c>
      <c r="O7414" s="34">
        <f t="shared" si="116"/>
        <v>0.84401685073441979</v>
      </c>
    </row>
    <row r="7415" spans="13:15" x14ac:dyDescent="0.3">
      <c r="M7415" s="35">
        <v>55.02</v>
      </c>
      <c r="N7415">
        <v>305</v>
      </c>
      <c r="O7415" s="34">
        <f t="shared" si="116"/>
        <v>0.84413070704775239</v>
      </c>
    </row>
    <row r="7416" spans="13:15" x14ac:dyDescent="0.3">
      <c r="M7416" s="35">
        <v>55.11</v>
      </c>
      <c r="N7416">
        <v>305</v>
      </c>
      <c r="O7416" s="34">
        <f t="shared" si="116"/>
        <v>0.844244563361085</v>
      </c>
    </row>
    <row r="7417" spans="13:15" x14ac:dyDescent="0.3">
      <c r="M7417" s="35">
        <v>55.12</v>
      </c>
      <c r="N7417">
        <v>305</v>
      </c>
      <c r="O7417" s="34">
        <f t="shared" si="116"/>
        <v>0.8443584196744176</v>
      </c>
    </row>
    <row r="7418" spans="13:15" x14ac:dyDescent="0.3">
      <c r="M7418" s="35">
        <v>55.13</v>
      </c>
      <c r="N7418">
        <v>305</v>
      </c>
      <c r="O7418" s="34">
        <f t="shared" si="116"/>
        <v>0.84447227598775021</v>
      </c>
    </row>
    <row r="7419" spans="13:15" x14ac:dyDescent="0.3">
      <c r="M7419" s="35">
        <v>55.14</v>
      </c>
      <c r="N7419">
        <v>305</v>
      </c>
      <c r="O7419" s="34">
        <f t="shared" si="116"/>
        <v>0.84458613230108281</v>
      </c>
    </row>
    <row r="7420" spans="13:15" x14ac:dyDescent="0.3">
      <c r="M7420" s="35">
        <v>55.15</v>
      </c>
      <c r="N7420">
        <v>305</v>
      </c>
      <c r="O7420" s="34">
        <f t="shared" si="116"/>
        <v>0.84469998861441542</v>
      </c>
    </row>
    <row r="7421" spans="13:15" x14ac:dyDescent="0.3">
      <c r="M7421" s="35">
        <v>55.15</v>
      </c>
      <c r="N7421">
        <v>305</v>
      </c>
      <c r="O7421" s="34">
        <f t="shared" si="116"/>
        <v>0.84481384492774803</v>
      </c>
    </row>
    <row r="7422" spans="13:15" x14ac:dyDescent="0.3">
      <c r="M7422" s="35">
        <v>55.2</v>
      </c>
      <c r="N7422">
        <v>305</v>
      </c>
      <c r="O7422" s="34">
        <f t="shared" si="116"/>
        <v>0.84492770124108063</v>
      </c>
    </row>
    <row r="7423" spans="13:15" x14ac:dyDescent="0.3">
      <c r="M7423" s="35">
        <v>55.21</v>
      </c>
      <c r="N7423">
        <v>305</v>
      </c>
      <c r="O7423" s="34">
        <f t="shared" si="116"/>
        <v>0.84504155755441324</v>
      </c>
    </row>
    <row r="7424" spans="13:15" x14ac:dyDescent="0.3">
      <c r="M7424" s="35">
        <v>55.25</v>
      </c>
      <c r="N7424">
        <v>305</v>
      </c>
      <c r="O7424" s="34">
        <f t="shared" si="116"/>
        <v>0.84515541386774584</v>
      </c>
    </row>
    <row r="7425" spans="13:15" x14ac:dyDescent="0.3">
      <c r="M7425" s="35">
        <v>55.25</v>
      </c>
      <c r="N7425">
        <v>305</v>
      </c>
      <c r="O7425" s="34">
        <f t="shared" si="116"/>
        <v>0.84526927018107845</v>
      </c>
    </row>
    <row r="7426" spans="13:15" x14ac:dyDescent="0.3">
      <c r="M7426" s="35">
        <v>55.29</v>
      </c>
      <c r="N7426">
        <v>305</v>
      </c>
      <c r="O7426" s="34">
        <f t="shared" si="116"/>
        <v>0.84538312649441105</v>
      </c>
    </row>
    <row r="7427" spans="13:15" x14ac:dyDescent="0.3">
      <c r="M7427" s="35">
        <v>55.31</v>
      </c>
      <c r="N7427">
        <v>305</v>
      </c>
      <c r="O7427" s="34">
        <f t="shared" si="116"/>
        <v>0.84549698280774366</v>
      </c>
    </row>
    <row r="7428" spans="13:15" x14ac:dyDescent="0.3">
      <c r="M7428" s="35">
        <v>55.32</v>
      </c>
      <c r="N7428">
        <v>305</v>
      </c>
      <c r="O7428" s="34">
        <f t="shared" ref="O7428:O7491" si="117">O7427+O$2</f>
        <v>0.84561083912107626</v>
      </c>
    </row>
    <row r="7429" spans="13:15" x14ac:dyDescent="0.3">
      <c r="M7429" s="35">
        <v>55.35</v>
      </c>
      <c r="N7429">
        <v>305</v>
      </c>
      <c r="O7429" s="34">
        <f t="shared" si="117"/>
        <v>0.84572469543440887</v>
      </c>
    </row>
    <row r="7430" spans="13:15" x14ac:dyDescent="0.3">
      <c r="M7430" s="35">
        <v>55.37</v>
      </c>
      <c r="N7430">
        <v>305</v>
      </c>
      <c r="O7430" s="34">
        <f t="shared" si="117"/>
        <v>0.84583855174774147</v>
      </c>
    </row>
    <row r="7431" spans="13:15" x14ac:dyDescent="0.3">
      <c r="M7431" s="35">
        <v>55.37</v>
      </c>
      <c r="N7431">
        <v>305</v>
      </c>
      <c r="O7431" s="34">
        <f t="shared" si="117"/>
        <v>0.84595240806107408</v>
      </c>
    </row>
    <row r="7432" spans="13:15" x14ac:dyDescent="0.3">
      <c r="M7432" s="35">
        <v>55.38</v>
      </c>
      <c r="N7432">
        <v>305</v>
      </c>
      <c r="O7432" s="34">
        <f t="shared" si="117"/>
        <v>0.84606626437440668</v>
      </c>
    </row>
    <row r="7433" spans="13:15" x14ac:dyDescent="0.3">
      <c r="M7433" s="35">
        <v>55.44</v>
      </c>
      <c r="N7433">
        <v>305</v>
      </c>
      <c r="O7433" s="34">
        <f t="shared" si="117"/>
        <v>0.84618012068773929</v>
      </c>
    </row>
    <row r="7434" spans="13:15" x14ac:dyDescent="0.3">
      <c r="M7434" s="35">
        <v>55.45</v>
      </c>
      <c r="N7434">
        <v>305</v>
      </c>
      <c r="O7434" s="34">
        <f t="shared" si="117"/>
        <v>0.8462939770010719</v>
      </c>
    </row>
    <row r="7435" spans="13:15" x14ac:dyDescent="0.3">
      <c r="M7435" s="35">
        <v>55.47</v>
      </c>
      <c r="N7435">
        <v>305</v>
      </c>
      <c r="O7435" s="34">
        <f t="shared" si="117"/>
        <v>0.8464078333144045</v>
      </c>
    </row>
    <row r="7436" spans="13:15" x14ac:dyDescent="0.3">
      <c r="M7436" s="35">
        <v>55.49</v>
      </c>
      <c r="N7436">
        <v>305</v>
      </c>
      <c r="O7436" s="34">
        <f t="shared" si="117"/>
        <v>0.84652168962773711</v>
      </c>
    </row>
    <row r="7437" spans="13:15" x14ac:dyDescent="0.3">
      <c r="M7437" s="35">
        <v>55.52</v>
      </c>
      <c r="N7437">
        <v>305</v>
      </c>
      <c r="O7437" s="34">
        <f t="shared" si="117"/>
        <v>0.84663554594106971</v>
      </c>
    </row>
    <row r="7438" spans="13:15" x14ac:dyDescent="0.3">
      <c r="M7438" s="35">
        <v>55.56</v>
      </c>
      <c r="N7438">
        <v>305</v>
      </c>
      <c r="O7438" s="34">
        <f t="shared" si="117"/>
        <v>0.84674940225440232</v>
      </c>
    </row>
    <row r="7439" spans="13:15" x14ac:dyDescent="0.3">
      <c r="M7439" s="35">
        <v>55.57</v>
      </c>
      <c r="N7439">
        <v>305</v>
      </c>
      <c r="O7439" s="34">
        <f t="shared" si="117"/>
        <v>0.84686325856773492</v>
      </c>
    </row>
    <row r="7440" spans="13:15" x14ac:dyDescent="0.3">
      <c r="M7440" s="35">
        <v>55.6</v>
      </c>
      <c r="N7440">
        <v>305</v>
      </c>
      <c r="O7440" s="34">
        <f t="shared" si="117"/>
        <v>0.84697711488106753</v>
      </c>
    </row>
    <row r="7441" spans="13:15" x14ac:dyDescent="0.3">
      <c r="M7441" s="35">
        <v>55.64</v>
      </c>
      <c r="N7441">
        <v>305</v>
      </c>
      <c r="O7441" s="34">
        <f t="shared" si="117"/>
        <v>0.84709097119440013</v>
      </c>
    </row>
    <row r="7442" spans="13:15" x14ac:dyDescent="0.3">
      <c r="M7442" s="35">
        <v>55.64</v>
      </c>
      <c r="N7442">
        <v>305</v>
      </c>
      <c r="O7442" s="34">
        <f t="shared" si="117"/>
        <v>0.84720482750773274</v>
      </c>
    </row>
    <row r="7443" spans="13:15" x14ac:dyDescent="0.3">
      <c r="M7443" s="35">
        <v>55.65</v>
      </c>
      <c r="N7443">
        <v>305</v>
      </c>
      <c r="O7443" s="34">
        <f t="shared" si="117"/>
        <v>0.84731868382106534</v>
      </c>
    </row>
    <row r="7444" spans="13:15" x14ac:dyDescent="0.3">
      <c r="M7444" s="35">
        <v>55.66</v>
      </c>
      <c r="N7444">
        <v>305</v>
      </c>
      <c r="O7444" s="34">
        <f t="shared" si="117"/>
        <v>0.84743254013439795</v>
      </c>
    </row>
    <row r="7445" spans="13:15" x14ac:dyDescent="0.3">
      <c r="M7445" s="35">
        <v>55.67</v>
      </c>
      <c r="N7445">
        <v>305</v>
      </c>
      <c r="O7445" s="34">
        <f t="shared" si="117"/>
        <v>0.84754639644773055</v>
      </c>
    </row>
    <row r="7446" spans="13:15" x14ac:dyDescent="0.3">
      <c r="M7446" s="35">
        <v>55.68</v>
      </c>
      <c r="N7446">
        <v>305</v>
      </c>
      <c r="O7446" s="34">
        <f t="shared" si="117"/>
        <v>0.84766025276106316</v>
      </c>
    </row>
    <row r="7447" spans="13:15" x14ac:dyDescent="0.3">
      <c r="M7447" s="35">
        <v>55.69</v>
      </c>
      <c r="N7447">
        <v>305</v>
      </c>
      <c r="O7447" s="34">
        <f t="shared" si="117"/>
        <v>0.84777410907439577</v>
      </c>
    </row>
    <row r="7448" spans="13:15" x14ac:dyDescent="0.3">
      <c r="M7448" s="35">
        <v>55.7</v>
      </c>
      <c r="N7448">
        <v>305</v>
      </c>
      <c r="O7448" s="34">
        <f t="shared" si="117"/>
        <v>0.84788796538772837</v>
      </c>
    </row>
    <row r="7449" spans="13:15" x14ac:dyDescent="0.3">
      <c r="M7449" s="35">
        <v>55.71</v>
      </c>
      <c r="N7449">
        <v>305</v>
      </c>
      <c r="O7449" s="34">
        <f t="shared" si="117"/>
        <v>0.84800182170106098</v>
      </c>
    </row>
    <row r="7450" spans="13:15" x14ac:dyDescent="0.3">
      <c r="M7450" s="35">
        <v>55.75</v>
      </c>
      <c r="N7450">
        <v>305</v>
      </c>
      <c r="O7450" s="34">
        <f t="shared" si="117"/>
        <v>0.84811567801439358</v>
      </c>
    </row>
    <row r="7451" spans="13:15" x14ac:dyDescent="0.3">
      <c r="M7451" s="35">
        <v>55.76</v>
      </c>
      <c r="N7451">
        <v>305</v>
      </c>
      <c r="O7451" s="34">
        <f t="shared" si="117"/>
        <v>0.84822953432772619</v>
      </c>
    </row>
    <row r="7452" spans="13:15" x14ac:dyDescent="0.3">
      <c r="M7452" s="35">
        <v>55.78</v>
      </c>
      <c r="N7452">
        <v>305</v>
      </c>
      <c r="O7452" s="34">
        <f t="shared" si="117"/>
        <v>0.84834339064105879</v>
      </c>
    </row>
    <row r="7453" spans="13:15" x14ac:dyDescent="0.3">
      <c r="M7453" s="35">
        <v>55.81</v>
      </c>
      <c r="N7453">
        <v>305</v>
      </c>
      <c r="O7453" s="34">
        <f t="shared" si="117"/>
        <v>0.8484572469543914</v>
      </c>
    </row>
    <row r="7454" spans="13:15" x14ac:dyDescent="0.3">
      <c r="M7454" s="35">
        <v>55.84</v>
      </c>
      <c r="N7454">
        <v>305</v>
      </c>
      <c r="O7454" s="34">
        <f t="shared" si="117"/>
        <v>0.848571103267724</v>
      </c>
    </row>
    <row r="7455" spans="13:15" x14ac:dyDescent="0.3">
      <c r="M7455" s="35">
        <v>55.86</v>
      </c>
      <c r="N7455">
        <v>305</v>
      </c>
      <c r="O7455" s="34">
        <f t="shared" si="117"/>
        <v>0.84868495958105661</v>
      </c>
    </row>
    <row r="7456" spans="13:15" x14ac:dyDescent="0.3">
      <c r="M7456" s="35">
        <v>55.86</v>
      </c>
      <c r="N7456">
        <v>305</v>
      </c>
      <c r="O7456" s="34">
        <f t="shared" si="117"/>
        <v>0.84879881589438921</v>
      </c>
    </row>
    <row r="7457" spans="13:15" x14ac:dyDescent="0.3">
      <c r="M7457" s="35">
        <v>55.88</v>
      </c>
      <c r="N7457">
        <v>305</v>
      </c>
      <c r="O7457" s="34">
        <f t="shared" si="117"/>
        <v>0.84891267220772182</v>
      </c>
    </row>
    <row r="7458" spans="13:15" x14ac:dyDescent="0.3">
      <c r="M7458" s="35">
        <v>55.89</v>
      </c>
      <c r="N7458">
        <v>305</v>
      </c>
      <c r="O7458" s="34">
        <f t="shared" si="117"/>
        <v>0.84902652852105442</v>
      </c>
    </row>
    <row r="7459" spans="13:15" x14ac:dyDescent="0.3">
      <c r="M7459" s="35">
        <v>55.93</v>
      </c>
      <c r="N7459">
        <v>305</v>
      </c>
      <c r="O7459" s="34">
        <f t="shared" si="117"/>
        <v>0.84914038483438703</v>
      </c>
    </row>
    <row r="7460" spans="13:15" x14ac:dyDescent="0.3">
      <c r="M7460" s="35">
        <v>55.97</v>
      </c>
      <c r="N7460">
        <v>305</v>
      </c>
      <c r="O7460" s="34">
        <f t="shared" si="117"/>
        <v>0.84925424114771964</v>
      </c>
    </row>
    <row r="7461" spans="13:15" x14ac:dyDescent="0.3">
      <c r="M7461" s="35">
        <v>56.01</v>
      </c>
      <c r="N7461">
        <v>305</v>
      </c>
      <c r="O7461" s="34">
        <f t="shared" si="117"/>
        <v>0.84936809746105224</v>
      </c>
    </row>
    <row r="7462" spans="13:15" x14ac:dyDescent="0.3">
      <c r="M7462" s="35">
        <v>56.02</v>
      </c>
      <c r="N7462">
        <v>305</v>
      </c>
      <c r="O7462" s="34">
        <f t="shared" si="117"/>
        <v>0.84948195377438485</v>
      </c>
    </row>
    <row r="7463" spans="13:15" x14ac:dyDescent="0.3">
      <c r="M7463" s="35">
        <v>56.04</v>
      </c>
      <c r="N7463">
        <v>305</v>
      </c>
      <c r="O7463" s="34">
        <f t="shared" si="117"/>
        <v>0.84959581008771745</v>
      </c>
    </row>
    <row r="7464" spans="13:15" x14ac:dyDescent="0.3">
      <c r="M7464" s="35">
        <v>56.05</v>
      </c>
      <c r="N7464">
        <v>305</v>
      </c>
      <c r="O7464" s="34">
        <f t="shared" si="117"/>
        <v>0.84970966640105006</v>
      </c>
    </row>
    <row r="7465" spans="13:15" x14ac:dyDescent="0.3">
      <c r="M7465" s="35">
        <v>56.07</v>
      </c>
      <c r="N7465">
        <v>305</v>
      </c>
      <c r="O7465" s="34">
        <f t="shared" si="117"/>
        <v>0.84982352271438266</v>
      </c>
    </row>
    <row r="7466" spans="13:15" x14ac:dyDescent="0.3">
      <c r="M7466" s="35">
        <v>56.12</v>
      </c>
      <c r="N7466">
        <v>305</v>
      </c>
      <c r="O7466" s="34">
        <f t="shared" si="117"/>
        <v>0.84993737902771527</v>
      </c>
    </row>
    <row r="7467" spans="13:15" x14ac:dyDescent="0.3">
      <c r="M7467" s="35">
        <v>56.13</v>
      </c>
      <c r="N7467">
        <v>305</v>
      </c>
      <c r="O7467" s="34">
        <f t="shared" si="117"/>
        <v>0.85005123534104787</v>
      </c>
    </row>
    <row r="7468" spans="13:15" x14ac:dyDescent="0.3">
      <c r="M7468" s="35">
        <v>56.18</v>
      </c>
      <c r="N7468">
        <v>305</v>
      </c>
      <c r="O7468" s="34">
        <f t="shared" si="117"/>
        <v>0.85016509165438048</v>
      </c>
    </row>
    <row r="7469" spans="13:15" x14ac:dyDescent="0.3">
      <c r="M7469" s="35">
        <v>56.2</v>
      </c>
      <c r="N7469">
        <v>305</v>
      </c>
      <c r="O7469" s="34">
        <f t="shared" si="117"/>
        <v>0.85027894796771308</v>
      </c>
    </row>
    <row r="7470" spans="13:15" x14ac:dyDescent="0.3">
      <c r="M7470" s="35">
        <v>56.21</v>
      </c>
      <c r="N7470">
        <v>305</v>
      </c>
      <c r="O7470" s="34">
        <f t="shared" si="117"/>
        <v>0.85039280428104569</v>
      </c>
    </row>
    <row r="7471" spans="13:15" x14ac:dyDescent="0.3">
      <c r="M7471" s="35">
        <v>56.22</v>
      </c>
      <c r="N7471">
        <v>305</v>
      </c>
      <c r="O7471" s="34">
        <f t="shared" si="117"/>
        <v>0.85050666059437829</v>
      </c>
    </row>
    <row r="7472" spans="13:15" x14ac:dyDescent="0.3">
      <c r="M7472" s="35">
        <v>56.24</v>
      </c>
      <c r="N7472">
        <v>305</v>
      </c>
      <c r="O7472" s="34">
        <f t="shared" si="117"/>
        <v>0.8506205169077109</v>
      </c>
    </row>
    <row r="7473" spans="13:15" x14ac:dyDescent="0.3">
      <c r="M7473" s="35">
        <v>56.27</v>
      </c>
      <c r="N7473">
        <v>305</v>
      </c>
      <c r="O7473" s="34">
        <f t="shared" si="117"/>
        <v>0.8507343732210435</v>
      </c>
    </row>
    <row r="7474" spans="13:15" x14ac:dyDescent="0.3">
      <c r="M7474" s="35">
        <v>56.28</v>
      </c>
      <c r="N7474">
        <v>305</v>
      </c>
      <c r="O7474" s="34">
        <f t="shared" si="117"/>
        <v>0.85084822953437611</v>
      </c>
    </row>
    <row r="7475" spans="13:15" x14ac:dyDescent="0.3">
      <c r="M7475" s="35">
        <v>56.29</v>
      </c>
      <c r="N7475">
        <v>305</v>
      </c>
      <c r="O7475" s="34">
        <f t="shared" si="117"/>
        <v>0.85096208584770872</v>
      </c>
    </row>
    <row r="7476" spans="13:15" x14ac:dyDescent="0.3">
      <c r="M7476" s="35">
        <v>56.3</v>
      </c>
      <c r="N7476">
        <v>305</v>
      </c>
      <c r="O7476" s="34">
        <f t="shared" si="117"/>
        <v>0.85107594216104132</v>
      </c>
    </row>
    <row r="7477" spans="13:15" x14ac:dyDescent="0.3">
      <c r="M7477" s="35">
        <v>56.31</v>
      </c>
      <c r="N7477">
        <v>305</v>
      </c>
      <c r="O7477" s="34">
        <f t="shared" si="117"/>
        <v>0.85118979847437393</v>
      </c>
    </row>
    <row r="7478" spans="13:15" x14ac:dyDescent="0.3">
      <c r="M7478" s="35">
        <v>56.32</v>
      </c>
      <c r="N7478">
        <v>305</v>
      </c>
      <c r="O7478" s="34">
        <f t="shared" si="117"/>
        <v>0.85130365478770653</v>
      </c>
    </row>
    <row r="7479" spans="13:15" x14ac:dyDescent="0.3">
      <c r="M7479" s="35">
        <v>56.33</v>
      </c>
      <c r="N7479">
        <v>305</v>
      </c>
      <c r="O7479" s="34">
        <f t="shared" si="117"/>
        <v>0.85141751110103914</v>
      </c>
    </row>
    <row r="7480" spans="13:15" x14ac:dyDescent="0.3">
      <c r="M7480" s="35">
        <v>56.39</v>
      </c>
      <c r="N7480">
        <v>305</v>
      </c>
      <c r="O7480" s="34">
        <f t="shared" si="117"/>
        <v>0.85153136741437174</v>
      </c>
    </row>
    <row r="7481" spans="13:15" x14ac:dyDescent="0.3">
      <c r="M7481" s="35">
        <v>56.39</v>
      </c>
      <c r="N7481">
        <v>305</v>
      </c>
      <c r="O7481" s="34">
        <f t="shared" si="117"/>
        <v>0.85164522372770435</v>
      </c>
    </row>
    <row r="7482" spans="13:15" x14ac:dyDescent="0.3">
      <c r="M7482" s="35">
        <v>56.42</v>
      </c>
      <c r="N7482">
        <v>305</v>
      </c>
      <c r="O7482" s="34">
        <f t="shared" si="117"/>
        <v>0.85175908004103695</v>
      </c>
    </row>
    <row r="7483" spans="13:15" x14ac:dyDescent="0.3">
      <c r="M7483" s="35">
        <v>56.45</v>
      </c>
      <c r="N7483">
        <v>305</v>
      </c>
      <c r="O7483" s="34">
        <f t="shared" si="117"/>
        <v>0.85187293635436956</v>
      </c>
    </row>
    <row r="7484" spans="13:15" x14ac:dyDescent="0.3">
      <c r="M7484" s="35">
        <v>56.5</v>
      </c>
      <c r="N7484">
        <v>305</v>
      </c>
      <c r="O7484" s="34">
        <f t="shared" si="117"/>
        <v>0.85198679266770216</v>
      </c>
    </row>
    <row r="7485" spans="13:15" x14ac:dyDescent="0.3">
      <c r="M7485" s="35">
        <v>56.5</v>
      </c>
      <c r="N7485">
        <v>305</v>
      </c>
      <c r="O7485" s="34">
        <f t="shared" si="117"/>
        <v>0.85210064898103477</v>
      </c>
    </row>
    <row r="7486" spans="13:15" x14ac:dyDescent="0.3">
      <c r="M7486" s="35">
        <v>56.62</v>
      </c>
      <c r="N7486">
        <v>305</v>
      </c>
      <c r="O7486" s="34">
        <f t="shared" si="117"/>
        <v>0.85221450529436737</v>
      </c>
    </row>
    <row r="7487" spans="13:15" x14ac:dyDescent="0.3">
      <c r="M7487" s="35">
        <v>56.62</v>
      </c>
      <c r="N7487">
        <v>305</v>
      </c>
      <c r="O7487" s="34">
        <f t="shared" si="117"/>
        <v>0.85232836160769998</v>
      </c>
    </row>
    <row r="7488" spans="13:15" x14ac:dyDescent="0.3">
      <c r="M7488" s="35">
        <v>56.63</v>
      </c>
      <c r="N7488">
        <v>305</v>
      </c>
      <c r="O7488" s="34">
        <f t="shared" si="117"/>
        <v>0.85244221792103259</v>
      </c>
    </row>
    <row r="7489" spans="13:15" x14ac:dyDescent="0.3">
      <c r="M7489" s="35">
        <v>56.66</v>
      </c>
      <c r="N7489">
        <v>305</v>
      </c>
      <c r="O7489" s="34">
        <f t="shared" si="117"/>
        <v>0.85255607423436519</v>
      </c>
    </row>
    <row r="7490" spans="13:15" x14ac:dyDescent="0.3">
      <c r="M7490" s="35">
        <v>56.73</v>
      </c>
      <c r="N7490">
        <v>305</v>
      </c>
      <c r="O7490" s="34">
        <f t="shared" si="117"/>
        <v>0.8526699305476978</v>
      </c>
    </row>
    <row r="7491" spans="13:15" x14ac:dyDescent="0.3">
      <c r="M7491" s="35">
        <v>56.73</v>
      </c>
      <c r="N7491">
        <v>305</v>
      </c>
      <c r="O7491" s="34">
        <f t="shared" si="117"/>
        <v>0.8527837868610304</v>
      </c>
    </row>
    <row r="7492" spans="13:15" x14ac:dyDescent="0.3">
      <c r="M7492" s="35">
        <v>56.74</v>
      </c>
      <c r="N7492">
        <v>305</v>
      </c>
      <c r="O7492" s="34">
        <f t="shared" ref="O7492:O7555" si="118">O7491+O$2</f>
        <v>0.85289764317436301</v>
      </c>
    </row>
    <row r="7493" spans="13:15" x14ac:dyDescent="0.3">
      <c r="M7493" s="35">
        <v>56.74</v>
      </c>
      <c r="N7493">
        <v>305</v>
      </c>
      <c r="O7493" s="34">
        <f t="shared" si="118"/>
        <v>0.85301149948769561</v>
      </c>
    </row>
    <row r="7494" spans="13:15" x14ac:dyDescent="0.3">
      <c r="M7494" s="35">
        <v>56.75</v>
      </c>
      <c r="N7494">
        <v>305</v>
      </c>
      <c r="O7494" s="34">
        <f t="shared" si="118"/>
        <v>0.85312535580102822</v>
      </c>
    </row>
    <row r="7495" spans="13:15" x14ac:dyDescent="0.3">
      <c r="M7495" s="35">
        <v>56.76</v>
      </c>
      <c r="N7495">
        <v>305</v>
      </c>
      <c r="O7495" s="34">
        <f t="shared" si="118"/>
        <v>0.85323921211436082</v>
      </c>
    </row>
    <row r="7496" spans="13:15" x14ac:dyDescent="0.3">
      <c r="M7496" s="35">
        <v>56.77</v>
      </c>
      <c r="N7496">
        <v>305</v>
      </c>
      <c r="O7496" s="34">
        <f t="shared" si="118"/>
        <v>0.85335306842769343</v>
      </c>
    </row>
    <row r="7497" spans="13:15" x14ac:dyDescent="0.3">
      <c r="M7497" s="35">
        <v>56.78</v>
      </c>
      <c r="N7497">
        <v>305</v>
      </c>
      <c r="O7497" s="34">
        <f t="shared" si="118"/>
        <v>0.85346692474102603</v>
      </c>
    </row>
    <row r="7498" spans="13:15" x14ac:dyDescent="0.3">
      <c r="M7498" s="35">
        <v>56.79</v>
      </c>
      <c r="N7498">
        <v>305</v>
      </c>
      <c r="O7498" s="34">
        <f t="shared" si="118"/>
        <v>0.85358078105435864</v>
      </c>
    </row>
    <row r="7499" spans="13:15" x14ac:dyDescent="0.3">
      <c r="M7499" s="35">
        <v>56.89</v>
      </c>
      <c r="N7499">
        <v>305</v>
      </c>
      <c r="O7499" s="34">
        <f t="shared" si="118"/>
        <v>0.85369463736769124</v>
      </c>
    </row>
    <row r="7500" spans="13:15" x14ac:dyDescent="0.3">
      <c r="M7500" s="35">
        <v>56.9</v>
      </c>
      <c r="N7500">
        <v>305</v>
      </c>
      <c r="O7500" s="34">
        <f t="shared" si="118"/>
        <v>0.85380849368102385</v>
      </c>
    </row>
    <row r="7501" spans="13:15" x14ac:dyDescent="0.3">
      <c r="M7501" s="35">
        <v>56.95</v>
      </c>
      <c r="N7501">
        <v>305</v>
      </c>
      <c r="O7501" s="34">
        <f t="shared" si="118"/>
        <v>0.85392234999435646</v>
      </c>
    </row>
    <row r="7502" spans="13:15" x14ac:dyDescent="0.3">
      <c r="M7502" s="35">
        <v>56.96</v>
      </c>
      <c r="N7502">
        <v>305</v>
      </c>
      <c r="O7502" s="34">
        <f t="shared" si="118"/>
        <v>0.85403620630768906</v>
      </c>
    </row>
    <row r="7503" spans="13:15" x14ac:dyDescent="0.3">
      <c r="M7503" s="35">
        <v>56.97</v>
      </c>
      <c r="N7503">
        <v>305</v>
      </c>
      <c r="O7503" s="34">
        <f t="shared" si="118"/>
        <v>0.85415006262102167</v>
      </c>
    </row>
    <row r="7504" spans="13:15" x14ac:dyDescent="0.3">
      <c r="M7504" s="35">
        <v>56.97</v>
      </c>
      <c r="N7504">
        <v>305</v>
      </c>
      <c r="O7504" s="34">
        <f t="shared" si="118"/>
        <v>0.85426391893435427</v>
      </c>
    </row>
    <row r="7505" spans="13:15" x14ac:dyDescent="0.3">
      <c r="M7505" s="35">
        <v>57.05</v>
      </c>
      <c r="N7505">
        <v>305</v>
      </c>
      <c r="O7505" s="34">
        <f t="shared" si="118"/>
        <v>0.85437777524768688</v>
      </c>
    </row>
    <row r="7506" spans="13:15" x14ac:dyDescent="0.3">
      <c r="M7506" s="35">
        <v>57.06</v>
      </c>
      <c r="N7506">
        <v>305</v>
      </c>
      <c r="O7506" s="34">
        <f t="shared" si="118"/>
        <v>0.85449163156101948</v>
      </c>
    </row>
    <row r="7507" spans="13:15" x14ac:dyDescent="0.3">
      <c r="M7507" s="35">
        <v>57.07</v>
      </c>
      <c r="N7507">
        <v>305</v>
      </c>
      <c r="O7507" s="34">
        <f t="shared" si="118"/>
        <v>0.85460548787435209</v>
      </c>
    </row>
    <row r="7508" spans="13:15" x14ac:dyDescent="0.3">
      <c r="M7508" s="35">
        <v>57.12</v>
      </c>
      <c r="N7508">
        <v>305</v>
      </c>
      <c r="O7508" s="34">
        <f t="shared" si="118"/>
        <v>0.85471934418768469</v>
      </c>
    </row>
    <row r="7509" spans="13:15" x14ac:dyDescent="0.3">
      <c r="M7509" s="35">
        <v>57.17</v>
      </c>
      <c r="N7509">
        <v>305</v>
      </c>
      <c r="O7509" s="34">
        <f t="shared" si="118"/>
        <v>0.8548332005010173</v>
      </c>
    </row>
    <row r="7510" spans="13:15" x14ac:dyDescent="0.3">
      <c r="M7510" s="35">
        <v>57.18</v>
      </c>
      <c r="N7510">
        <v>305</v>
      </c>
      <c r="O7510" s="34">
        <f t="shared" si="118"/>
        <v>0.8549470568143499</v>
      </c>
    </row>
    <row r="7511" spans="13:15" x14ac:dyDescent="0.3">
      <c r="M7511" s="35">
        <v>57.19</v>
      </c>
      <c r="N7511">
        <v>305</v>
      </c>
      <c r="O7511" s="34">
        <f t="shared" si="118"/>
        <v>0.85506091312768251</v>
      </c>
    </row>
    <row r="7512" spans="13:15" x14ac:dyDescent="0.3">
      <c r="M7512" s="35">
        <v>57.2</v>
      </c>
      <c r="N7512">
        <v>305</v>
      </c>
      <c r="O7512" s="34">
        <f t="shared" si="118"/>
        <v>0.85517476944101511</v>
      </c>
    </row>
    <row r="7513" spans="13:15" x14ac:dyDescent="0.3">
      <c r="M7513" s="35">
        <v>57.25</v>
      </c>
      <c r="N7513">
        <v>305</v>
      </c>
      <c r="O7513" s="34">
        <f t="shared" si="118"/>
        <v>0.85528862575434772</v>
      </c>
    </row>
    <row r="7514" spans="13:15" x14ac:dyDescent="0.3">
      <c r="M7514" s="35">
        <v>57.26</v>
      </c>
      <c r="N7514">
        <v>305</v>
      </c>
      <c r="O7514" s="34">
        <f t="shared" si="118"/>
        <v>0.85540248206768033</v>
      </c>
    </row>
    <row r="7515" spans="13:15" x14ac:dyDescent="0.3">
      <c r="M7515" s="35">
        <v>57.3</v>
      </c>
      <c r="N7515">
        <v>305</v>
      </c>
      <c r="O7515" s="34">
        <f t="shared" si="118"/>
        <v>0.85551633838101293</v>
      </c>
    </row>
    <row r="7516" spans="13:15" x14ac:dyDescent="0.3">
      <c r="M7516" s="35">
        <v>57.31</v>
      </c>
      <c r="N7516">
        <v>305</v>
      </c>
      <c r="O7516" s="34">
        <f t="shared" si="118"/>
        <v>0.85563019469434554</v>
      </c>
    </row>
    <row r="7517" spans="13:15" x14ac:dyDescent="0.3">
      <c r="M7517" s="35">
        <v>57.34</v>
      </c>
      <c r="N7517">
        <v>305</v>
      </c>
      <c r="O7517" s="34">
        <f t="shared" si="118"/>
        <v>0.85574405100767814</v>
      </c>
    </row>
    <row r="7518" spans="13:15" x14ac:dyDescent="0.3">
      <c r="M7518" s="35">
        <v>57.34</v>
      </c>
      <c r="N7518">
        <v>305</v>
      </c>
      <c r="O7518" s="34">
        <f t="shared" si="118"/>
        <v>0.85585790732101075</v>
      </c>
    </row>
    <row r="7519" spans="13:15" x14ac:dyDescent="0.3">
      <c r="M7519" s="35">
        <v>57.41</v>
      </c>
      <c r="N7519">
        <v>305</v>
      </c>
      <c r="O7519" s="34">
        <f t="shared" si="118"/>
        <v>0.85597176363434335</v>
      </c>
    </row>
    <row r="7520" spans="13:15" x14ac:dyDescent="0.3">
      <c r="M7520" s="35">
        <v>57.43</v>
      </c>
      <c r="N7520">
        <v>305</v>
      </c>
      <c r="O7520" s="34">
        <f t="shared" si="118"/>
        <v>0.85608561994767596</v>
      </c>
    </row>
    <row r="7521" spans="13:15" x14ac:dyDescent="0.3">
      <c r="M7521" s="35">
        <v>57.43</v>
      </c>
      <c r="N7521">
        <v>305</v>
      </c>
      <c r="O7521" s="34">
        <f t="shared" si="118"/>
        <v>0.85619947626100856</v>
      </c>
    </row>
    <row r="7522" spans="13:15" x14ac:dyDescent="0.3">
      <c r="M7522" s="35">
        <v>57.44</v>
      </c>
      <c r="N7522">
        <v>305</v>
      </c>
      <c r="O7522" s="34">
        <f t="shared" si="118"/>
        <v>0.85631333257434117</v>
      </c>
    </row>
    <row r="7523" spans="13:15" x14ac:dyDescent="0.3">
      <c r="M7523" s="35">
        <v>57.45</v>
      </c>
      <c r="N7523">
        <v>305</v>
      </c>
      <c r="O7523" s="34">
        <f t="shared" si="118"/>
        <v>0.85642718888767377</v>
      </c>
    </row>
    <row r="7524" spans="13:15" x14ac:dyDescent="0.3">
      <c r="M7524" s="35">
        <v>57.45</v>
      </c>
      <c r="N7524">
        <v>305</v>
      </c>
      <c r="O7524" s="34">
        <f t="shared" si="118"/>
        <v>0.85654104520100638</v>
      </c>
    </row>
    <row r="7525" spans="13:15" x14ac:dyDescent="0.3">
      <c r="M7525" s="35">
        <v>57.47</v>
      </c>
      <c r="N7525">
        <v>305</v>
      </c>
      <c r="O7525" s="34">
        <f t="shared" si="118"/>
        <v>0.85665490151433898</v>
      </c>
    </row>
    <row r="7526" spans="13:15" x14ac:dyDescent="0.3">
      <c r="M7526" s="35">
        <v>57.48</v>
      </c>
      <c r="N7526">
        <v>305</v>
      </c>
      <c r="O7526" s="34">
        <f t="shared" si="118"/>
        <v>0.85676875782767159</v>
      </c>
    </row>
    <row r="7527" spans="13:15" x14ac:dyDescent="0.3">
      <c r="M7527" s="35">
        <v>57.56</v>
      </c>
      <c r="N7527">
        <v>305</v>
      </c>
      <c r="O7527" s="34">
        <f t="shared" si="118"/>
        <v>0.8568826141410042</v>
      </c>
    </row>
    <row r="7528" spans="13:15" x14ac:dyDescent="0.3">
      <c r="M7528" s="35">
        <v>57.57</v>
      </c>
      <c r="N7528">
        <v>305</v>
      </c>
      <c r="O7528" s="34">
        <f t="shared" si="118"/>
        <v>0.8569964704543368</v>
      </c>
    </row>
    <row r="7529" spans="13:15" x14ac:dyDescent="0.3">
      <c r="M7529" s="35">
        <v>57.57</v>
      </c>
      <c r="N7529">
        <v>305</v>
      </c>
      <c r="O7529" s="34">
        <f t="shared" si="118"/>
        <v>0.85711032676766941</v>
      </c>
    </row>
    <row r="7530" spans="13:15" x14ac:dyDescent="0.3">
      <c r="M7530" s="35">
        <v>57.58</v>
      </c>
      <c r="N7530">
        <v>305</v>
      </c>
      <c r="O7530" s="34">
        <f t="shared" si="118"/>
        <v>0.85722418308100201</v>
      </c>
    </row>
    <row r="7531" spans="13:15" x14ac:dyDescent="0.3">
      <c r="M7531" s="35">
        <v>57.59</v>
      </c>
      <c r="N7531">
        <v>305</v>
      </c>
      <c r="O7531" s="34">
        <f t="shared" si="118"/>
        <v>0.85733803939433462</v>
      </c>
    </row>
    <row r="7532" spans="13:15" x14ac:dyDescent="0.3">
      <c r="M7532" s="35">
        <v>57.62</v>
      </c>
      <c r="N7532">
        <v>305</v>
      </c>
      <c r="O7532" s="34">
        <f t="shared" si="118"/>
        <v>0.85745189570766722</v>
      </c>
    </row>
    <row r="7533" spans="13:15" x14ac:dyDescent="0.3">
      <c r="M7533" s="35">
        <v>57.64</v>
      </c>
      <c r="N7533">
        <v>305</v>
      </c>
      <c r="O7533" s="34">
        <f t="shared" si="118"/>
        <v>0.85756575202099983</v>
      </c>
    </row>
    <row r="7534" spans="13:15" x14ac:dyDescent="0.3">
      <c r="M7534" s="35">
        <v>57.66</v>
      </c>
      <c r="N7534">
        <v>305</v>
      </c>
      <c r="O7534" s="34">
        <f t="shared" si="118"/>
        <v>0.85767960833433243</v>
      </c>
    </row>
    <row r="7535" spans="13:15" x14ac:dyDescent="0.3">
      <c r="M7535" s="35">
        <v>57.68</v>
      </c>
      <c r="N7535">
        <v>305</v>
      </c>
      <c r="O7535" s="34">
        <f t="shared" si="118"/>
        <v>0.85779346464766504</v>
      </c>
    </row>
    <row r="7536" spans="13:15" x14ac:dyDescent="0.3">
      <c r="M7536" s="35">
        <v>57.69</v>
      </c>
      <c r="N7536">
        <v>305</v>
      </c>
      <c r="O7536" s="34">
        <f t="shared" si="118"/>
        <v>0.85790732096099764</v>
      </c>
    </row>
    <row r="7537" spans="13:15" x14ac:dyDescent="0.3">
      <c r="M7537" s="35">
        <v>57.7</v>
      </c>
      <c r="N7537">
        <v>305</v>
      </c>
      <c r="O7537" s="34">
        <f t="shared" si="118"/>
        <v>0.85802117727433025</v>
      </c>
    </row>
    <row r="7538" spans="13:15" x14ac:dyDescent="0.3">
      <c r="M7538" s="35">
        <v>57.74</v>
      </c>
      <c r="N7538">
        <v>305</v>
      </c>
      <c r="O7538" s="34">
        <f t="shared" si="118"/>
        <v>0.85813503358766285</v>
      </c>
    </row>
    <row r="7539" spans="13:15" x14ac:dyDescent="0.3">
      <c r="M7539" s="35">
        <v>57.8</v>
      </c>
      <c r="N7539">
        <v>305</v>
      </c>
      <c r="O7539" s="34">
        <f t="shared" si="118"/>
        <v>0.85824888990099546</v>
      </c>
    </row>
    <row r="7540" spans="13:15" x14ac:dyDescent="0.3">
      <c r="M7540" s="35">
        <v>57.81</v>
      </c>
      <c r="N7540">
        <v>305</v>
      </c>
      <c r="O7540" s="34">
        <f t="shared" si="118"/>
        <v>0.85836274621432807</v>
      </c>
    </row>
    <row r="7541" spans="13:15" x14ac:dyDescent="0.3">
      <c r="M7541" s="35">
        <v>57.84</v>
      </c>
      <c r="N7541">
        <v>305</v>
      </c>
      <c r="O7541" s="34">
        <f t="shared" si="118"/>
        <v>0.85847660252766067</v>
      </c>
    </row>
    <row r="7542" spans="13:15" x14ac:dyDescent="0.3">
      <c r="M7542" s="35">
        <v>57.98</v>
      </c>
      <c r="N7542">
        <v>305</v>
      </c>
      <c r="O7542" s="34">
        <f t="shared" si="118"/>
        <v>0.85859045884099328</v>
      </c>
    </row>
    <row r="7543" spans="13:15" x14ac:dyDescent="0.3">
      <c r="M7543" s="35">
        <v>58</v>
      </c>
      <c r="N7543">
        <v>305</v>
      </c>
      <c r="O7543" s="34">
        <f t="shared" si="118"/>
        <v>0.85870431515432588</v>
      </c>
    </row>
    <row r="7544" spans="13:15" x14ac:dyDescent="0.3">
      <c r="M7544" s="35">
        <v>58.01</v>
      </c>
      <c r="N7544">
        <v>305</v>
      </c>
      <c r="O7544" s="34">
        <f t="shared" si="118"/>
        <v>0.85881817146765849</v>
      </c>
    </row>
    <row r="7545" spans="13:15" x14ac:dyDescent="0.3">
      <c r="M7545" s="35">
        <v>58.02</v>
      </c>
      <c r="N7545">
        <v>305</v>
      </c>
      <c r="O7545" s="34">
        <f t="shared" si="118"/>
        <v>0.85893202778099109</v>
      </c>
    </row>
    <row r="7546" spans="13:15" x14ac:dyDescent="0.3">
      <c r="M7546" s="35">
        <v>58.1</v>
      </c>
      <c r="N7546">
        <v>305</v>
      </c>
      <c r="O7546" s="34">
        <f t="shared" si="118"/>
        <v>0.8590458840943237</v>
      </c>
    </row>
    <row r="7547" spans="13:15" x14ac:dyDescent="0.3">
      <c r="M7547" s="35">
        <v>58.15</v>
      </c>
      <c r="N7547">
        <v>305</v>
      </c>
      <c r="O7547" s="34">
        <f t="shared" si="118"/>
        <v>0.8591597404076563</v>
      </c>
    </row>
    <row r="7548" spans="13:15" x14ac:dyDescent="0.3">
      <c r="M7548" s="35">
        <v>58.16</v>
      </c>
      <c r="N7548">
        <v>305</v>
      </c>
      <c r="O7548" s="34">
        <f t="shared" si="118"/>
        <v>0.85927359672098891</v>
      </c>
    </row>
    <row r="7549" spans="13:15" x14ac:dyDescent="0.3">
      <c r="M7549" s="35">
        <v>58.17</v>
      </c>
      <c r="N7549">
        <v>305</v>
      </c>
      <c r="O7549" s="34">
        <f t="shared" si="118"/>
        <v>0.85938745303432151</v>
      </c>
    </row>
    <row r="7550" spans="13:15" x14ac:dyDescent="0.3">
      <c r="M7550" s="35">
        <v>58.18</v>
      </c>
      <c r="N7550">
        <v>305</v>
      </c>
      <c r="O7550" s="34">
        <f t="shared" si="118"/>
        <v>0.85950130934765412</v>
      </c>
    </row>
    <row r="7551" spans="13:15" x14ac:dyDescent="0.3">
      <c r="M7551" s="35">
        <v>58.22</v>
      </c>
      <c r="N7551">
        <v>305</v>
      </c>
      <c r="O7551" s="34">
        <f t="shared" si="118"/>
        <v>0.85961516566098672</v>
      </c>
    </row>
    <row r="7552" spans="13:15" x14ac:dyDescent="0.3">
      <c r="M7552" s="35">
        <v>58.25</v>
      </c>
      <c r="N7552">
        <v>305</v>
      </c>
      <c r="O7552" s="34">
        <f t="shared" si="118"/>
        <v>0.85972902197431933</v>
      </c>
    </row>
    <row r="7553" spans="13:15" x14ac:dyDescent="0.3">
      <c r="M7553" s="35">
        <v>58.25</v>
      </c>
      <c r="N7553">
        <v>305</v>
      </c>
      <c r="O7553" s="34">
        <f t="shared" si="118"/>
        <v>0.85984287828765193</v>
      </c>
    </row>
    <row r="7554" spans="13:15" x14ac:dyDescent="0.3">
      <c r="M7554" s="35">
        <v>58.28</v>
      </c>
      <c r="N7554">
        <v>305</v>
      </c>
      <c r="O7554" s="34">
        <f t="shared" si="118"/>
        <v>0.85995673460098454</v>
      </c>
    </row>
    <row r="7555" spans="13:15" x14ac:dyDescent="0.3">
      <c r="M7555" s="35">
        <v>58.34</v>
      </c>
      <c r="N7555">
        <v>305</v>
      </c>
      <c r="O7555" s="34">
        <f t="shared" si="118"/>
        <v>0.86007059091431715</v>
      </c>
    </row>
    <row r="7556" spans="13:15" x14ac:dyDescent="0.3">
      <c r="M7556" s="35">
        <v>58.36</v>
      </c>
      <c r="N7556">
        <v>305</v>
      </c>
      <c r="O7556" s="34">
        <f t="shared" ref="O7556:O7619" si="119">O7555+O$2</f>
        <v>0.86018444722764975</v>
      </c>
    </row>
    <row r="7557" spans="13:15" x14ac:dyDescent="0.3">
      <c r="M7557" s="35">
        <v>58.4</v>
      </c>
      <c r="N7557">
        <v>305</v>
      </c>
      <c r="O7557" s="34">
        <f t="shared" si="119"/>
        <v>0.86029830354098236</v>
      </c>
    </row>
    <row r="7558" spans="13:15" x14ac:dyDescent="0.3">
      <c r="M7558" s="35">
        <v>58.48</v>
      </c>
      <c r="N7558">
        <v>305</v>
      </c>
      <c r="O7558" s="34">
        <f t="shared" si="119"/>
        <v>0.86041215985431496</v>
      </c>
    </row>
    <row r="7559" spans="13:15" x14ac:dyDescent="0.3">
      <c r="M7559" s="35">
        <v>58.49</v>
      </c>
      <c r="N7559">
        <v>305</v>
      </c>
      <c r="O7559" s="34">
        <f t="shared" si="119"/>
        <v>0.86052601616764757</v>
      </c>
    </row>
    <row r="7560" spans="13:15" x14ac:dyDescent="0.3">
      <c r="M7560" s="35">
        <v>58.53</v>
      </c>
      <c r="N7560">
        <v>305</v>
      </c>
      <c r="O7560" s="34">
        <f t="shared" si="119"/>
        <v>0.86063987248098017</v>
      </c>
    </row>
    <row r="7561" spans="13:15" x14ac:dyDescent="0.3">
      <c r="M7561" s="35">
        <v>58.54</v>
      </c>
      <c r="N7561">
        <v>305</v>
      </c>
      <c r="O7561" s="34">
        <f t="shared" si="119"/>
        <v>0.86075372879431278</v>
      </c>
    </row>
    <row r="7562" spans="13:15" x14ac:dyDescent="0.3">
      <c r="M7562" s="35">
        <v>58.55</v>
      </c>
      <c r="N7562">
        <v>305</v>
      </c>
      <c r="O7562" s="34">
        <f t="shared" si="119"/>
        <v>0.86086758510764538</v>
      </c>
    </row>
    <row r="7563" spans="13:15" x14ac:dyDescent="0.3">
      <c r="M7563" s="35">
        <v>58.56</v>
      </c>
      <c r="N7563">
        <v>305</v>
      </c>
      <c r="O7563" s="34">
        <f t="shared" si="119"/>
        <v>0.86098144142097799</v>
      </c>
    </row>
    <row r="7564" spans="13:15" x14ac:dyDescent="0.3">
      <c r="M7564" s="35">
        <v>58.6</v>
      </c>
      <c r="N7564">
        <v>305</v>
      </c>
      <c r="O7564" s="34">
        <f t="shared" si="119"/>
        <v>0.86109529773431059</v>
      </c>
    </row>
    <row r="7565" spans="13:15" x14ac:dyDescent="0.3">
      <c r="M7565" s="35">
        <v>58.68</v>
      </c>
      <c r="N7565">
        <v>305</v>
      </c>
      <c r="O7565" s="34">
        <f t="shared" si="119"/>
        <v>0.8612091540476432</v>
      </c>
    </row>
    <row r="7566" spans="13:15" x14ac:dyDescent="0.3">
      <c r="M7566" s="35">
        <v>58.74</v>
      </c>
      <c r="N7566">
        <v>305</v>
      </c>
      <c r="O7566" s="34">
        <f t="shared" si="119"/>
        <v>0.8613230103609758</v>
      </c>
    </row>
    <row r="7567" spans="13:15" x14ac:dyDescent="0.3">
      <c r="M7567" s="35">
        <v>58.75</v>
      </c>
      <c r="N7567">
        <v>305</v>
      </c>
      <c r="O7567" s="34">
        <f t="shared" si="119"/>
        <v>0.86143686667430841</v>
      </c>
    </row>
    <row r="7568" spans="13:15" x14ac:dyDescent="0.3">
      <c r="M7568" s="35">
        <v>58.76</v>
      </c>
      <c r="N7568">
        <v>305</v>
      </c>
      <c r="O7568" s="34">
        <f t="shared" si="119"/>
        <v>0.86155072298764102</v>
      </c>
    </row>
    <row r="7569" spans="13:15" x14ac:dyDescent="0.3">
      <c r="M7569" s="35">
        <v>58.8</v>
      </c>
      <c r="N7569">
        <v>305</v>
      </c>
      <c r="O7569" s="34">
        <f t="shared" si="119"/>
        <v>0.86166457930097362</v>
      </c>
    </row>
    <row r="7570" spans="13:15" x14ac:dyDescent="0.3">
      <c r="M7570" s="35">
        <v>58.86</v>
      </c>
      <c r="N7570">
        <v>305</v>
      </c>
      <c r="O7570" s="34">
        <f t="shared" si="119"/>
        <v>0.86177843561430623</v>
      </c>
    </row>
    <row r="7571" spans="13:15" x14ac:dyDescent="0.3">
      <c r="M7571" s="35">
        <v>58.88</v>
      </c>
      <c r="N7571">
        <v>305</v>
      </c>
      <c r="O7571" s="34">
        <f t="shared" si="119"/>
        <v>0.86189229192763883</v>
      </c>
    </row>
    <row r="7572" spans="13:15" x14ac:dyDescent="0.3">
      <c r="M7572" s="35">
        <v>58.88</v>
      </c>
      <c r="N7572">
        <v>305</v>
      </c>
      <c r="O7572" s="34">
        <f t="shared" si="119"/>
        <v>0.86200614824097144</v>
      </c>
    </row>
    <row r="7573" spans="13:15" x14ac:dyDescent="0.3">
      <c r="M7573" s="35">
        <v>58.89</v>
      </c>
      <c r="N7573">
        <v>305</v>
      </c>
      <c r="O7573" s="34">
        <f t="shared" si="119"/>
        <v>0.86212000455430404</v>
      </c>
    </row>
    <row r="7574" spans="13:15" x14ac:dyDescent="0.3">
      <c r="M7574" s="35">
        <v>58.96</v>
      </c>
      <c r="N7574">
        <v>305</v>
      </c>
      <c r="O7574" s="34">
        <f t="shared" si="119"/>
        <v>0.86223386086763665</v>
      </c>
    </row>
    <row r="7575" spans="13:15" x14ac:dyDescent="0.3">
      <c r="M7575" s="35">
        <v>58.97</v>
      </c>
      <c r="N7575">
        <v>305</v>
      </c>
      <c r="O7575" s="34">
        <f t="shared" si="119"/>
        <v>0.86234771718096925</v>
      </c>
    </row>
    <row r="7576" spans="13:15" x14ac:dyDescent="0.3">
      <c r="M7576" s="35">
        <v>59.06</v>
      </c>
      <c r="N7576">
        <v>305</v>
      </c>
      <c r="O7576" s="34">
        <f t="shared" si="119"/>
        <v>0.86246157349430186</v>
      </c>
    </row>
    <row r="7577" spans="13:15" x14ac:dyDescent="0.3">
      <c r="M7577" s="35">
        <v>59.08</v>
      </c>
      <c r="N7577">
        <v>305</v>
      </c>
      <c r="O7577" s="34">
        <f t="shared" si="119"/>
        <v>0.86257542980763446</v>
      </c>
    </row>
    <row r="7578" spans="13:15" x14ac:dyDescent="0.3">
      <c r="M7578" s="35">
        <v>59.08</v>
      </c>
      <c r="N7578">
        <v>305</v>
      </c>
      <c r="O7578" s="34">
        <f t="shared" si="119"/>
        <v>0.86268928612096707</v>
      </c>
    </row>
    <row r="7579" spans="13:15" x14ac:dyDescent="0.3">
      <c r="M7579" s="35">
        <v>59.09</v>
      </c>
      <c r="N7579">
        <v>305</v>
      </c>
      <c r="O7579" s="34">
        <f t="shared" si="119"/>
        <v>0.86280314243429967</v>
      </c>
    </row>
    <row r="7580" spans="13:15" x14ac:dyDescent="0.3">
      <c r="M7580" s="35">
        <v>59.11</v>
      </c>
      <c r="N7580">
        <v>305</v>
      </c>
      <c r="O7580" s="34">
        <f t="shared" si="119"/>
        <v>0.86291699874763228</v>
      </c>
    </row>
    <row r="7581" spans="13:15" x14ac:dyDescent="0.3">
      <c r="M7581" s="35">
        <v>59.13</v>
      </c>
      <c r="N7581">
        <v>305</v>
      </c>
      <c r="O7581" s="34">
        <f t="shared" si="119"/>
        <v>0.86303085506096489</v>
      </c>
    </row>
    <row r="7582" spans="13:15" x14ac:dyDescent="0.3">
      <c r="M7582" s="35">
        <v>59.18</v>
      </c>
      <c r="N7582">
        <v>305</v>
      </c>
      <c r="O7582" s="34">
        <f t="shared" si="119"/>
        <v>0.86314471137429749</v>
      </c>
    </row>
    <row r="7583" spans="13:15" x14ac:dyDescent="0.3">
      <c r="M7583" s="35">
        <v>59.18</v>
      </c>
      <c r="N7583">
        <v>305</v>
      </c>
      <c r="O7583" s="34">
        <f t="shared" si="119"/>
        <v>0.8632585676876301</v>
      </c>
    </row>
    <row r="7584" spans="13:15" x14ac:dyDescent="0.3">
      <c r="M7584" s="35">
        <v>59.18</v>
      </c>
      <c r="N7584">
        <v>305</v>
      </c>
      <c r="O7584" s="34">
        <f t="shared" si="119"/>
        <v>0.8633724240009627</v>
      </c>
    </row>
    <row r="7585" spans="13:15" x14ac:dyDescent="0.3">
      <c r="M7585" s="35">
        <v>59.21</v>
      </c>
      <c r="N7585">
        <v>305</v>
      </c>
      <c r="O7585" s="34">
        <f t="shared" si="119"/>
        <v>0.86348628031429531</v>
      </c>
    </row>
    <row r="7586" spans="13:15" x14ac:dyDescent="0.3">
      <c r="M7586" s="35">
        <v>59.23</v>
      </c>
      <c r="N7586">
        <v>305</v>
      </c>
      <c r="O7586" s="34">
        <f t="shared" si="119"/>
        <v>0.86360013662762791</v>
      </c>
    </row>
    <row r="7587" spans="13:15" x14ac:dyDescent="0.3">
      <c r="M7587" s="35">
        <v>59.23</v>
      </c>
      <c r="N7587">
        <v>305</v>
      </c>
      <c r="O7587" s="34">
        <f t="shared" si="119"/>
        <v>0.86371399294096052</v>
      </c>
    </row>
    <row r="7588" spans="13:15" x14ac:dyDescent="0.3">
      <c r="M7588" s="35">
        <v>59.25</v>
      </c>
      <c r="N7588">
        <v>305</v>
      </c>
      <c r="O7588" s="34">
        <f t="shared" si="119"/>
        <v>0.86382784925429312</v>
      </c>
    </row>
    <row r="7589" spans="13:15" x14ac:dyDescent="0.3">
      <c r="M7589" s="35">
        <v>59.27</v>
      </c>
      <c r="N7589">
        <v>305</v>
      </c>
      <c r="O7589" s="34">
        <f t="shared" si="119"/>
        <v>0.86394170556762573</v>
      </c>
    </row>
    <row r="7590" spans="13:15" x14ac:dyDescent="0.3">
      <c r="M7590" s="35">
        <v>59.33</v>
      </c>
      <c r="N7590">
        <v>305</v>
      </c>
      <c r="O7590" s="34">
        <f t="shared" si="119"/>
        <v>0.86405556188095833</v>
      </c>
    </row>
    <row r="7591" spans="13:15" x14ac:dyDescent="0.3">
      <c r="M7591" s="35">
        <v>59.33</v>
      </c>
      <c r="N7591">
        <v>305</v>
      </c>
      <c r="O7591" s="34">
        <f t="shared" si="119"/>
        <v>0.86416941819429094</v>
      </c>
    </row>
    <row r="7592" spans="13:15" x14ac:dyDescent="0.3">
      <c r="M7592" s="35">
        <v>59.42</v>
      </c>
      <c r="N7592">
        <v>305</v>
      </c>
      <c r="O7592" s="34">
        <f t="shared" si="119"/>
        <v>0.86428327450762354</v>
      </c>
    </row>
    <row r="7593" spans="13:15" x14ac:dyDescent="0.3">
      <c r="M7593" s="35">
        <v>59.48</v>
      </c>
      <c r="N7593">
        <v>305</v>
      </c>
      <c r="O7593" s="34">
        <f t="shared" si="119"/>
        <v>0.86439713082095615</v>
      </c>
    </row>
    <row r="7594" spans="13:15" x14ac:dyDescent="0.3">
      <c r="M7594" s="35">
        <v>59.51</v>
      </c>
      <c r="N7594">
        <v>305</v>
      </c>
      <c r="O7594" s="34">
        <f t="shared" si="119"/>
        <v>0.86451098713428876</v>
      </c>
    </row>
    <row r="7595" spans="13:15" x14ac:dyDescent="0.3">
      <c r="M7595" s="35">
        <v>59.58</v>
      </c>
      <c r="N7595">
        <v>305</v>
      </c>
      <c r="O7595" s="34">
        <f t="shared" si="119"/>
        <v>0.86462484344762136</v>
      </c>
    </row>
    <row r="7596" spans="13:15" x14ac:dyDescent="0.3">
      <c r="M7596" s="35">
        <v>59.58</v>
      </c>
      <c r="N7596">
        <v>305</v>
      </c>
      <c r="O7596" s="34">
        <f t="shared" si="119"/>
        <v>0.86473869976095397</v>
      </c>
    </row>
    <row r="7597" spans="13:15" x14ac:dyDescent="0.3">
      <c r="M7597" s="35">
        <v>59.58</v>
      </c>
      <c r="N7597">
        <v>305</v>
      </c>
      <c r="O7597" s="34">
        <f t="shared" si="119"/>
        <v>0.86485255607428657</v>
      </c>
    </row>
    <row r="7598" spans="13:15" x14ac:dyDescent="0.3">
      <c r="M7598" s="35">
        <v>59.61</v>
      </c>
      <c r="N7598">
        <v>305</v>
      </c>
      <c r="O7598" s="34">
        <f t="shared" si="119"/>
        <v>0.86496641238761918</v>
      </c>
    </row>
    <row r="7599" spans="13:15" x14ac:dyDescent="0.3">
      <c r="M7599" s="35">
        <v>59.62</v>
      </c>
      <c r="N7599">
        <v>305</v>
      </c>
      <c r="O7599" s="34">
        <f t="shared" si="119"/>
        <v>0.86508026870095178</v>
      </c>
    </row>
    <row r="7600" spans="13:15" x14ac:dyDescent="0.3">
      <c r="M7600" s="35">
        <v>59.63</v>
      </c>
      <c r="N7600">
        <v>305</v>
      </c>
      <c r="O7600" s="34">
        <f t="shared" si="119"/>
        <v>0.86519412501428439</v>
      </c>
    </row>
    <row r="7601" spans="13:15" x14ac:dyDescent="0.3">
      <c r="M7601" s="35">
        <v>59.64</v>
      </c>
      <c r="N7601">
        <v>305</v>
      </c>
      <c r="O7601" s="34">
        <f t="shared" si="119"/>
        <v>0.86530798132761699</v>
      </c>
    </row>
    <row r="7602" spans="13:15" x14ac:dyDescent="0.3">
      <c r="M7602" s="35">
        <v>59.7</v>
      </c>
      <c r="N7602">
        <v>305</v>
      </c>
      <c r="O7602" s="34">
        <f t="shared" si="119"/>
        <v>0.8654218376409496</v>
      </c>
    </row>
    <row r="7603" spans="13:15" x14ac:dyDescent="0.3">
      <c r="M7603" s="35">
        <v>59.71</v>
      </c>
      <c r="N7603">
        <v>305</v>
      </c>
      <c r="O7603" s="34">
        <f t="shared" si="119"/>
        <v>0.8655356939542822</v>
      </c>
    </row>
    <row r="7604" spans="13:15" x14ac:dyDescent="0.3">
      <c r="M7604" s="35">
        <v>59.75</v>
      </c>
      <c r="N7604">
        <v>305</v>
      </c>
      <c r="O7604" s="34">
        <f t="shared" si="119"/>
        <v>0.86564955026761481</v>
      </c>
    </row>
    <row r="7605" spans="13:15" x14ac:dyDescent="0.3">
      <c r="M7605" s="35">
        <v>59.75</v>
      </c>
      <c r="N7605">
        <v>305</v>
      </c>
      <c r="O7605" s="34">
        <f t="shared" si="119"/>
        <v>0.86576340658094741</v>
      </c>
    </row>
    <row r="7606" spans="13:15" x14ac:dyDescent="0.3">
      <c r="M7606" s="35">
        <v>59.76</v>
      </c>
      <c r="N7606">
        <v>305</v>
      </c>
      <c r="O7606" s="34">
        <f t="shared" si="119"/>
        <v>0.86587726289428002</v>
      </c>
    </row>
    <row r="7607" spans="13:15" x14ac:dyDescent="0.3">
      <c r="M7607" s="35">
        <v>59.77</v>
      </c>
      <c r="N7607">
        <v>305</v>
      </c>
      <c r="O7607" s="34">
        <f t="shared" si="119"/>
        <v>0.86599111920761263</v>
      </c>
    </row>
    <row r="7608" spans="13:15" x14ac:dyDescent="0.3">
      <c r="M7608" s="35">
        <v>59.77</v>
      </c>
      <c r="N7608">
        <v>305</v>
      </c>
      <c r="O7608" s="34">
        <f t="shared" si="119"/>
        <v>0.86610497552094523</v>
      </c>
    </row>
    <row r="7609" spans="13:15" x14ac:dyDescent="0.3">
      <c r="M7609" s="35">
        <v>59.77</v>
      </c>
      <c r="N7609">
        <v>305</v>
      </c>
      <c r="O7609" s="34">
        <f t="shared" si="119"/>
        <v>0.86621883183427784</v>
      </c>
    </row>
    <row r="7610" spans="13:15" x14ac:dyDescent="0.3">
      <c r="M7610" s="35">
        <v>59.78</v>
      </c>
      <c r="N7610">
        <v>305</v>
      </c>
      <c r="O7610" s="34">
        <f t="shared" si="119"/>
        <v>0.86633268814761044</v>
      </c>
    </row>
    <row r="7611" spans="13:15" x14ac:dyDescent="0.3">
      <c r="M7611" s="35">
        <v>59.85</v>
      </c>
      <c r="N7611">
        <v>305</v>
      </c>
      <c r="O7611" s="34">
        <f t="shared" si="119"/>
        <v>0.86644654446094305</v>
      </c>
    </row>
    <row r="7612" spans="13:15" x14ac:dyDescent="0.3">
      <c r="M7612" s="35">
        <v>59.88</v>
      </c>
      <c r="N7612">
        <v>305</v>
      </c>
      <c r="O7612" s="34">
        <f t="shared" si="119"/>
        <v>0.86656040077427565</v>
      </c>
    </row>
    <row r="7613" spans="13:15" x14ac:dyDescent="0.3">
      <c r="M7613" s="35">
        <v>59.91</v>
      </c>
      <c r="N7613">
        <v>305</v>
      </c>
      <c r="O7613" s="34">
        <f t="shared" si="119"/>
        <v>0.86667425708760826</v>
      </c>
    </row>
    <row r="7614" spans="13:15" x14ac:dyDescent="0.3">
      <c r="M7614" s="35">
        <v>59.93</v>
      </c>
      <c r="N7614">
        <v>305</v>
      </c>
      <c r="O7614" s="34">
        <f t="shared" si="119"/>
        <v>0.86678811340094086</v>
      </c>
    </row>
    <row r="7615" spans="13:15" x14ac:dyDescent="0.3">
      <c r="M7615" s="35">
        <v>59.94</v>
      </c>
      <c r="N7615">
        <v>305</v>
      </c>
      <c r="O7615" s="34">
        <f t="shared" si="119"/>
        <v>0.86690196971427347</v>
      </c>
    </row>
    <row r="7616" spans="13:15" x14ac:dyDescent="0.3">
      <c r="M7616" s="35">
        <v>59.94</v>
      </c>
      <c r="N7616">
        <v>305</v>
      </c>
      <c r="O7616" s="34">
        <f t="shared" si="119"/>
        <v>0.86701582602760607</v>
      </c>
    </row>
    <row r="7617" spans="13:15" x14ac:dyDescent="0.3">
      <c r="M7617" s="35">
        <v>59.95</v>
      </c>
      <c r="N7617">
        <v>305</v>
      </c>
      <c r="O7617" s="34">
        <f t="shared" si="119"/>
        <v>0.86712968234093868</v>
      </c>
    </row>
    <row r="7618" spans="13:15" x14ac:dyDescent="0.3">
      <c r="M7618" s="35">
        <v>59.98</v>
      </c>
      <c r="N7618">
        <v>305</v>
      </c>
      <c r="O7618" s="34">
        <f t="shared" si="119"/>
        <v>0.86724353865427128</v>
      </c>
    </row>
    <row r="7619" spans="13:15" x14ac:dyDescent="0.3">
      <c r="M7619" s="35">
        <v>60.02</v>
      </c>
      <c r="N7619">
        <v>305</v>
      </c>
      <c r="O7619" s="34">
        <f t="shared" si="119"/>
        <v>0.86735739496760389</v>
      </c>
    </row>
    <row r="7620" spans="13:15" x14ac:dyDescent="0.3">
      <c r="M7620" s="35">
        <v>60.02</v>
      </c>
      <c r="N7620">
        <v>305</v>
      </c>
      <c r="O7620" s="34">
        <f t="shared" ref="O7620:O7683" si="120">O7619+O$2</f>
        <v>0.8674712512809365</v>
      </c>
    </row>
    <row r="7621" spans="13:15" x14ac:dyDescent="0.3">
      <c r="M7621" s="35">
        <v>60.04</v>
      </c>
      <c r="N7621">
        <v>305</v>
      </c>
      <c r="O7621" s="34">
        <f t="shared" si="120"/>
        <v>0.8675851075942691</v>
      </c>
    </row>
    <row r="7622" spans="13:15" x14ac:dyDescent="0.3">
      <c r="M7622" s="35">
        <v>60.06</v>
      </c>
      <c r="N7622">
        <v>305</v>
      </c>
      <c r="O7622" s="34">
        <f t="shared" si="120"/>
        <v>0.86769896390760171</v>
      </c>
    </row>
    <row r="7623" spans="13:15" x14ac:dyDescent="0.3">
      <c r="M7623" s="35">
        <v>60.06</v>
      </c>
      <c r="N7623">
        <v>305</v>
      </c>
      <c r="O7623" s="34">
        <f t="shared" si="120"/>
        <v>0.86781282022093431</v>
      </c>
    </row>
    <row r="7624" spans="13:15" x14ac:dyDescent="0.3">
      <c r="M7624" s="35">
        <v>60.07</v>
      </c>
      <c r="N7624">
        <v>305</v>
      </c>
      <c r="O7624" s="34">
        <f t="shared" si="120"/>
        <v>0.86792667653426692</v>
      </c>
    </row>
    <row r="7625" spans="13:15" x14ac:dyDescent="0.3">
      <c r="M7625" s="35">
        <v>60.13</v>
      </c>
      <c r="N7625">
        <v>305</v>
      </c>
      <c r="O7625" s="34">
        <f t="shared" si="120"/>
        <v>0.86804053284759952</v>
      </c>
    </row>
    <row r="7626" spans="13:15" x14ac:dyDescent="0.3">
      <c r="M7626" s="35">
        <v>60.15</v>
      </c>
      <c r="N7626">
        <v>305</v>
      </c>
      <c r="O7626" s="34">
        <f t="shared" si="120"/>
        <v>0.86815438916093213</v>
      </c>
    </row>
    <row r="7627" spans="13:15" x14ac:dyDescent="0.3">
      <c r="M7627" s="35">
        <v>60.18</v>
      </c>
      <c r="N7627">
        <v>305</v>
      </c>
      <c r="O7627" s="34">
        <f t="shared" si="120"/>
        <v>0.86826824547426473</v>
      </c>
    </row>
    <row r="7628" spans="13:15" x14ac:dyDescent="0.3">
      <c r="M7628" s="35">
        <v>60.22</v>
      </c>
      <c r="N7628">
        <v>305</v>
      </c>
      <c r="O7628" s="34">
        <f t="shared" si="120"/>
        <v>0.86838210178759734</v>
      </c>
    </row>
    <row r="7629" spans="13:15" x14ac:dyDescent="0.3">
      <c r="M7629" s="35">
        <v>60.32</v>
      </c>
      <c r="N7629">
        <v>305</v>
      </c>
      <c r="O7629" s="34">
        <f t="shared" si="120"/>
        <v>0.86849595810092994</v>
      </c>
    </row>
    <row r="7630" spans="13:15" x14ac:dyDescent="0.3">
      <c r="M7630" s="35">
        <v>60.34</v>
      </c>
      <c r="N7630">
        <v>305</v>
      </c>
      <c r="O7630" s="34">
        <f t="shared" si="120"/>
        <v>0.86860981441426255</v>
      </c>
    </row>
    <row r="7631" spans="13:15" x14ac:dyDescent="0.3">
      <c r="M7631" s="35">
        <v>60.35</v>
      </c>
      <c r="N7631">
        <v>305</v>
      </c>
      <c r="O7631" s="34">
        <f t="shared" si="120"/>
        <v>0.86872367072759515</v>
      </c>
    </row>
    <row r="7632" spans="13:15" x14ac:dyDescent="0.3">
      <c r="M7632" s="35">
        <v>60.35</v>
      </c>
      <c r="N7632">
        <v>305</v>
      </c>
      <c r="O7632" s="34">
        <f t="shared" si="120"/>
        <v>0.86883752704092776</v>
      </c>
    </row>
    <row r="7633" spans="13:15" x14ac:dyDescent="0.3">
      <c r="M7633" s="35">
        <v>60.35</v>
      </c>
      <c r="N7633">
        <v>305</v>
      </c>
      <c r="O7633" s="34">
        <f t="shared" si="120"/>
        <v>0.86895138335426036</v>
      </c>
    </row>
    <row r="7634" spans="13:15" x14ac:dyDescent="0.3">
      <c r="M7634" s="35">
        <v>60.37</v>
      </c>
      <c r="N7634">
        <v>305</v>
      </c>
      <c r="O7634" s="34">
        <f t="shared" si="120"/>
        <v>0.86906523966759297</v>
      </c>
    </row>
    <row r="7635" spans="13:15" x14ac:dyDescent="0.3">
      <c r="M7635" s="35">
        <v>60.41</v>
      </c>
      <c r="N7635">
        <v>305</v>
      </c>
      <c r="O7635" s="34">
        <f t="shared" si="120"/>
        <v>0.86917909598092558</v>
      </c>
    </row>
    <row r="7636" spans="13:15" x14ac:dyDescent="0.3">
      <c r="M7636" s="35">
        <v>60.41</v>
      </c>
      <c r="N7636">
        <v>305</v>
      </c>
      <c r="O7636" s="34">
        <f t="shared" si="120"/>
        <v>0.86929295229425818</v>
      </c>
    </row>
    <row r="7637" spans="13:15" x14ac:dyDescent="0.3">
      <c r="M7637" s="35">
        <v>60.42</v>
      </c>
      <c r="N7637">
        <v>305</v>
      </c>
      <c r="O7637" s="34">
        <f t="shared" si="120"/>
        <v>0.86940680860759079</v>
      </c>
    </row>
    <row r="7638" spans="13:15" x14ac:dyDescent="0.3">
      <c r="M7638" s="35">
        <v>60.45</v>
      </c>
      <c r="N7638">
        <v>305</v>
      </c>
      <c r="O7638" s="34">
        <f t="shared" si="120"/>
        <v>0.86952066492092339</v>
      </c>
    </row>
    <row r="7639" spans="13:15" x14ac:dyDescent="0.3">
      <c r="M7639" s="35">
        <v>60.49</v>
      </c>
      <c r="N7639">
        <v>305</v>
      </c>
      <c r="O7639" s="34">
        <f t="shared" si="120"/>
        <v>0.869634521234256</v>
      </c>
    </row>
    <row r="7640" spans="13:15" x14ac:dyDescent="0.3">
      <c r="M7640" s="35">
        <v>60.51</v>
      </c>
      <c r="N7640">
        <v>305</v>
      </c>
      <c r="O7640" s="34">
        <f t="shared" si="120"/>
        <v>0.8697483775475886</v>
      </c>
    </row>
    <row r="7641" spans="13:15" x14ac:dyDescent="0.3">
      <c r="M7641" s="35">
        <v>60.55</v>
      </c>
      <c r="N7641">
        <v>305</v>
      </c>
      <c r="O7641" s="34">
        <f t="shared" si="120"/>
        <v>0.86986223386092121</v>
      </c>
    </row>
    <row r="7642" spans="13:15" x14ac:dyDescent="0.3">
      <c r="M7642" s="35">
        <v>60.58</v>
      </c>
      <c r="N7642">
        <v>305</v>
      </c>
      <c r="O7642" s="34">
        <f t="shared" si="120"/>
        <v>0.86997609017425381</v>
      </c>
    </row>
    <row r="7643" spans="13:15" x14ac:dyDescent="0.3">
      <c r="M7643" s="35">
        <v>60.59</v>
      </c>
      <c r="N7643">
        <v>305</v>
      </c>
      <c r="O7643" s="34">
        <f t="shared" si="120"/>
        <v>0.87008994648758642</v>
      </c>
    </row>
    <row r="7644" spans="13:15" x14ac:dyDescent="0.3">
      <c r="M7644" s="35">
        <v>60.6</v>
      </c>
      <c r="N7644">
        <v>305</v>
      </c>
      <c r="O7644" s="34">
        <f t="shared" si="120"/>
        <v>0.87020380280091902</v>
      </c>
    </row>
    <row r="7645" spans="13:15" x14ac:dyDescent="0.3">
      <c r="M7645" s="35">
        <v>60.61</v>
      </c>
      <c r="N7645">
        <v>305</v>
      </c>
      <c r="O7645" s="34">
        <f t="shared" si="120"/>
        <v>0.87031765911425163</v>
      </c>
    </row>
    <row r="7646" spans="13:15" x14ac:dyDescent="0.3">
      <c r="M7646" s="35">
        <v>60.62</v>
      </c>
      <c r="N7646">
        <v>305</v>
      </c>
      <c r="O7646" s="34">
        <f t="shared" si="120"/>
        <v>0.87043151542758423</v>
      </c>
    </row>
    <row r="7647" spans="13:15" x14ac:dyDescent="0.3">
      <c r="M7647" s="35">
        <v>60.62</v>
      </c>
      <c r="N7647">
        <v>305</v>
      </c>
      <c r="O7647" s="34">
        <f t="shared" si="120"/>
        <v>0.87054537174091684</v>
      </c>
    </row>
    <row r="7648" spans="13:15" x14ac:dyDescent="0.3">
      <c r="M7648" s="35">
        <v>60.69</v>
      </c>
      <c r="N7648">
        <v>305</v>
      </c>
      <c r="O7648" s="34">
        <f t="shared" si="120"/>
        <v>0.87065922805424945</v>
      </c>
    </row>
    <row r="7649" spans="13:15" x14ac:dyDescent="0.3">
      <c r="M7649" s="35">
        <v>60.7</v>
      </c>
      <c r="N7649">
        <v>305</v>
      </c>
      <c r="O7649" s="34">
        <f t="shared" si="120"/>
        <v>0.87077308436758205</v>
      </c>
    </row>
    <row r="7650" spans="13:15" x14ac:dyDescent="0.3">
      <c r="M7650" s="35">
        <v>60.72</v>
      </c>
      <c r="N7650">
        <v>305</v>
      </c>
      <c r="O7650" s="34">
        <f t="shared" si="120"/>
        <v>0.87088694068091466</v>
      </c>
    </row>
    <row r="7651" spans="13:15" x14ac:dyDescent="0.3">
      <c r="M7651" s="35">
        <v>60.73</v>
      </c>
      <c r="N7651">
        <v>305</v>
      </c>
      <c r="O7651" s="34">
        <f t="shared" si="120"/>
        <v>0.87100079699424726</v>
      </c>
    </row>
    <row r="7652" spans="13:15" x14ac:dyDescent="0.3">
      <c r="M7652" s="35">
        <v>60.74</v>
      </c>
      <c r="N7652">
        <v>305</v>
      </c>
      <c r="O7652" s="34">
        <f t="shared" si="120"/>
        <v>0.87111465330757987</v>
      </c>
    </row>
    <row r="7653" spans="13:15" x14ac:dyDescent="0.3">
      <c r="M7653" s="35">
        <v>60.82</v>
      </c>
      <c r="N7653">
        <v>305</v>
      </c>
      <c r="O7653" s="34">
        <f t="shared" si="120"/>
        <v>0.87122850962091247</v>
      </c>
    </row>
    <row r="7654" spans="13:15" x14ac:dyDescent="0.3">
      <c r="M7654" s="35">
        <v>60.89</v>
      </c>
      <c r="N7654">
        <v>305</v>
      </c>
      <c r="O7654" s="34">
        <f t="shared" si="120"/>
        <v>0.87134236593424508</v>
      </c>
    </row>
    <row r="7655" spans="13:15" x14ac:dyDescent="0.3">
      <c r="M7655" s="35">
        <v>60.9</v>
      </c>
      <c r="N7655">
        <v>305</v>
      </c>
      <c r="O7655" s="34">
        <f t="shared" si="120"/>
        <v>0.87145622224757768</v>
      </c>
    </row>
    <row r="7656" spans="13:15" x14ac:dyDescent="0.3">
      <c r="M7656" s="35">
        <v>60.92</v>
      </c>
      <c r="N7656">
        <v>305</v>
      </c>
      <c r="O7656" s="34">
        <f t="shared" si="120"/>
        <v>0.87157007856091029</v>
      </c>
    </row>
    <row r="7657" spans="13:15" x14ac:dyDescent="0.3">
      <c r="M7657" s="35">
        <v>60.94</v>
      </c>
      <c r="N7657">
        <v>305</v>
      </c>
      <c r="O7657" s="34">
        <f t="shared" si="120"/>
        <v>0.87168393487424289</v>
      </c>
    </row>
    <row r="7658" spans="13:15" x14ac:dyDescent="0.3">
      <c r="M7658" s="35">
        <v>61.02</v>
      </c>
      <c r="N7658">
        <v>305</v>
      </c>
      <c r="O7658" s="34">
        <f t="shared" si="120"/>
        <v>0.8717977911875755</v>
      </c>
    </row>
    <row r="7659" spans="13:15" x14ac:dyDescent="0.3">
      <c r="M7659" s="35">
        <v>61.03</v>
      </c>
      <c r="N7659">
        <v>305</v>
      </c>
      <c r="O7659" s="34">
        <f t="shared" si="120"/>
        <v>0.8719116475009081</v>
      </c>
    </row>
    <row r="7660" spans="13:15" x14ac:dyDescent="0.3">
      <c r="M7660" s="35">
        <v>61.04</v>
      </c>
      <c r="N7660">
        <v>305</v>
      </c>
      <c r="O7660" s="34">
        <f t="shared" si="120"/>
        <v>0.87202550381424071</v>
      </c>
    </row>
    <row r="7661" spans="13:15" x14ac:dyDescent="0.3">
      <c r="M7661" s="35">
        <v>61.05</v>
      </c>
      <c r="N7661">
        <v>305</v>
      </c>
      <c r="O7661" s="34">
        <f t="shared" si="120"/>
        <v>0.87213936012757332</v>
      </c>
    </row>
    <row r="7662" spans="13:15" x14ac:dyDescent="0.3">
      <c r="M7662" s="35">
        <v>61.05</v>
      </c>
      <c r="N7662">
        <v>305</v>
      </c>
      <c r="O7662" s="34">
        <f t="shared" si="120"/>
        <v>0.87225321644090592</v>
      </c>
    </row>
    <row r="7663" spans="13:15" x14ac:dyDescent="0.3">
      <c r="M7663" s="35">
        <v>61.06</v>
      </c>
      <c r="N7663">
        <v>305</v>
      </c>
      <c r="O7663" s="34">
        <f t="shared" si="120"/>
        <v>0.87236707275423853</v>
      </c>
    </row>
    <row r="7664" spans="13:15" x14ac:dyDescent="0.3">
      <c r="M7664" s="35">
        <v>61.19</v>
      </c>
      <c r="N7664">
        <v>305</v>
      </c>
      <c r="O7664" s="34">
        <f t="shared" si="120"/>
        <v>0.87248092906757113</v>
      </c>
    </row>
    <row r="7665" spans="13:15" x14ac:dyDescent="0.3">
      <c r="M7665" s="35">
        <v>61.23</v>
      </c>
      <c r="N7665">
        <v>305</v>
      </c>
      <c r="O7665" s="34">
        <f t="shared" si="120"/>
        <v>0.87259478538090374</v>
      </c>
    </row>
    <row r="7666" spans="13:15" x14ac:dyDescent="0.3">
      <c r="M7666" s="35">
        <v>61.23</v>
      </c>
      <c r="N7666">
        <v>305</v>
      </c>
      <c r="O7666" s="34">
        <f t="shared" si="120"/>
        <v>0.87270864169423634</v>
      </c>
    </row>
    <row r="7667" spans="13:15" x14ac:dyDescent="0.3">
      <c r="M7667" s="35">
        <v>61.27</v>
      </c>
      <c r="N7667">
        <v>305</v>
      </c>
      <c r="O7667" s="34">
        <f t="shared" si="120"/>
        <v>0.87282249800756895</v>
      </c>
    </row>
    <row r="7668" spans="13:15" x14ac:dyDescent="0.3">
      <c r="M7668" s="35">
        <v>61.29</v>
      </c>
      <c r="N7668">
        <v>305</v>
      </c>
      <c r="O7668" s="34">
        <f t="shared" si="120"/>
        <v>0.87293635432090155</v>
      </c>
    </row>
    <row r="7669" spans="13:15" x14ac:dyDescent="0.3">
      <c r="M7669" s="35">
        <v>61.32</v>
      </c>
      <c r="N7669">
        <v>305</v>
      </c>
      <c r="O7669" s="34">
        <f t="shared" si="120"/>
        <v>0.87305021063423416</v>
      </c>
    </row>
    <row r="7670" spans="13:15" x14ac:dyDescent="0.3">
      <c r="M7670" s="35">
        <v>61.33</v>
      </c>
      <c r="N7670">
        <v>305</v>
      </c>
      <c r="O7670" s="34">
        <f t="shared" si="120"/>
        <v>0.87316406694756676</v>
      </c>
    </row>
    <row r="7671" spans="13:15" x14ac:dyDescent="0.3">
      <c r="M7671" s="35">
        <v>61.4</v>
      </c>
      <c r="N7671">
        <v>305</v>
      </c>
      <c r="O7671" s="34">
        <f t="shared" si="120"/>
        <v>0.87327792326089937</v>
      </c>
    </row>
    <row r="7672" spans="13:15" x14ac:dyDescent="0.3">
      <c r="M7672" s="35">
        <v>61.44</v>
      </c>
      <c r="N7672">
        <v>305</v>
      </c>
      <c r="O7672" s="34">
        <f t="shared" si="120"/>
        <v>0.87339177957423197</v>
      </c>
    </row>
    <row r="7673" spans="13:15" x14ac:dyDescent="0.3">
      <c r="M7673" s="35">
        <v>61.45</v>
      </c>
      <c r="N7673">
        <v>305</v>
      </c>
      <c r="O7673" s="34">
        <f t="shared" si="120"/>
        <v>0.87350563588756458</v>
      </c>
    </row>
    <row r="7674" spans="13:15" x14ac:dyDescent="0.3">
      <c r="M7674" s="35">
        <v>61.47</v>
      </c>
      <c r="N7674">
        <v>305</v>
      </c>
      <c r="O7674" s="34">
        <f t="shared" si="120"/>
        <v>0.87361949220089719</v>
      </c>
    </row>
    <row r="7675" spans="13:15" x14ac:dyDescent="0.3">
      <c r="M7675" s="35">
        <v>61.53</v>
      </c>
      <c r="N7675">
        <v>305</v>
      </c>
      <c r="O7675" s="34">
        <f t="shared" si="120"/>
        <v>0.87373334851422979</v>
      </c>
    </row>
    <row r="7676" spans="13:15" x14ac:dyDescent="0.3">
      <c r="M7676" s="35">
        <v>61.55</v>
      </c>
      <c r="N7676">
        <v>305</v>
      </c>
      <c r="O7676" s="34">
        <f t="shared" si="120"/>
        <v>0.8738472048275624</v>
      </c>
    </row>
    <row r="7677" spans="13:15" x14ac:dyDescent="0.3">
      <c r="M7677" s="35">
        <v>61.56</v>
      </c>
      <c r="N7677">
        <v>305</v>
      </c>
      <c r="O7677" s="34">
        <f t="shared" si="120"/>
        <v>0.873961061140895</v>
      </c>
    </row>
    <row r="7678" spans="13:15" x14ac:dyDescent="0.3">
      <c r="M7678" s="35">
        <v>61.57</v>
      </c>
      <c r="N7678">
        <v>305</v>
      </c>
      <c r="O7678" s="34">
        <f t="shared" si="120"/>
        <v>0.87407491745422761</v>
      </c>
    </row>
    <row r="7679" spans="13:15" x14ac:dyDescent="0.3">
      <c r="M7679" s="35">
        <v>61.59</v>
      </c>
      <c r="N7679">
        <v>305</v>
      </c>
      <c r="O7679" s="34">
        <f t="shared" si="120"/>
        <v>0.87418877376756021</v>
      </c>
    </row>
    <row r="7680" spans="13:15" x14ac:dyDescent="0.3">
      <c r="M7680" s="35">
        <v>61.62</v>
      </c>
      <c r="N7680">
        <v>305</v>
      </c>
      <c r="O7680" s="34">
        <f t="shared" si="120"/>
        <v>0.87430263008089282</v>
      </c>
    </row>
    <row r="7681" spans="13:15" x14ac:dyDescent="0.3">
      <c r="M7681" s="35">
        <v>61.65</v>
      </c>
      <c r="N7681">
        <v>305</v>
      </c>
      <c r="O7681" s="34">
        <f t="shared" si="120"/>
        <v>0.87441648639422542</v>
      </c>
    </row>
    <row r="7682" spans="13:15" x14ac:dyDescent="0.3">
      <c r="M7682" s="35">
        <v>61.65</v>
      </c>
      <c r="N7682">
        <v>305</v>
      </c>
      <c r="O7682" s="34">
        <f t="shared" si="120"/>
        <v>0.87453034270755803</v>
      </c>
    </row>
    <row r="7683" spans="13:15" x14ac:dyDescent="0.3">
      <c r="M7683" s="35">
        <v>61.65</v>
      </c>
      <c r="N7683">
        <v>305</v>
      </c>
      <c r="O7683" s="34">
        <f t="shared" si="120"/>
        <v>0.87464419902089063</v>
      </c>
    </row>
    <row r="7684" spans="13:15" x14ac:dyDescent="0.3">
      <c r="M7684" s="35">
        <v>61.71</v>
      </c>
      <c r="N7684">
        <v>305</v>
      </c>
      <c r="O7684" s="34">
        <f t="shared" ref="O7684:O7747" si="121">O7683+O$2</f>
        <v>0.87475805533422324</v>
      </c>
    </row>
    <row r="7685" spans="13:15" x14ac:dyDescent="0.3">
      <c r="M7685" s="35">
        <v>61.73</v>
      </c>
      <c r="N7685">
        <v>305</v>
      </c>
      <c r="O7685" s="34">
        <f t="shared" si="121"/>
        <v>0.87487191164755584</v>
      </c>
    </row>
    <row r="7686" spans="13:15" x14ac:dyDescent="0.3">
      <c r="M7686" s="35">
        <v>61.75</v>
      </c>
      <c r="N7686">
        <v>305</v>
      </c>
      <c r="O7686" s="34">
        <f t="shared" si="121"/>
        <v>0.87498576796088845</v>
      </c>
    </row>
    <row r="7687" spans="13:15" x14ac:dyDescent="0.3">
      <c r="M7687" s="35">
        <v>61.8</v>
      </c>
      <c r="N7687">
        <v>305</v>
      </c>
      <c r="O7687" s="34">
        <f t="shared" si="121"/>
        <v>0.87509962427422106</v>
      </c>
    </row>
    <row r="7688" spans="13:15" x14ac:dyDescent="0.3">
      <c r="M7688" s="35">
        <v>61.83</v>
      </c>
      <c r="N7688">
        <v>305</v>
      </c>
      <c r="O7688" s="34">
        <f t="shared" si="121"/>
        <v>0.87521348058755366</v>
      </c>
    </row>
    <row r="7689" spans="13:15" x14ac:dyDescent="0.3">
      <c r="M7689" s="35">
        <v>61.85</v>
      </c>
      <c r="N7689">
        <v>305</v>
      </c>
      <c r="O7689" s="34">
        <f t="shared" si="121"/>
        <v>0.87532733690088627</v>
      </c>
    </row>
    <row r="7690" spans="13:15" x14ac:dyDescent="0.3">
      <c r="M7690" s="35">
        <v>61.89</v>
      </c>
      <c r="N7690">
        <v>305</v>
      </c>
      <c r="O7690" s="34">
        <f t="shared" si="121"/>
        <v>0.87544119321421887</v>
      </c>
    </row>
    <row r="7691" spans="13:15" x14ac:dyDescent="0.3">
      <c r="M7691" s="35">
        <v>62.06</v>
      </c>
      <c r="N7691">
        <v>305</v>
      </c>
      <c r="O7691" s="34">
        <f t="shared" si="121"/>
        <v>0.87555504952755148</v>
      </c>
    </row>
    <row r="7692" spans="13:15" x14ac:dyDescent="0.3">
      <c r="M7692" s="35">
        <v>62.08</v>
      </c>
      <c r="N7692">
        <v>305</v>
      </c>
      <c r="O7692" s="34">
        <f t="shared" si="121"/>
        <v>0.87566890584088408</v>
      </c>
    </row>
    <row r="7693" spans="13:15" x14ac:dyDescent="0.3">
      <c r="M7693" s="35">
        <v>62.08</v>
      </c>
      <c r="N7693">
        <v>305</v>
      </c>
      <c r="O7693" s="34">
        <f t="shared" si="121"/>
        <v>0.87578276215421669</v>
      </c>
    </row>
    <row r="7694" spans="13:15" x14ac:dyDescent="0.3">
      <c r="M7694" s="35">
        <v>62.09</v>
      </c>
      <c r="N7694">
        <v>305</v>
      </c>
      <c r="O7694" s="34">
        <f t="shared" si="121"/>
        <v>0.87589661846754929</v>
      </c>
    </row>
    <row r="7695" spans="13:15" x14ac:dyDescent="0.3">
      <c r="M7695" s="35">
        <v>62.12</v>
      </c>
      <c r="N7695">
        <v>305</v>
      </c>
      <c r="O7695" s="34">
        <f t="shared" si="121"/>
        <v>0.8760104747808819</v>
      </c>
    </row>
    <row r="7696" spans="13:15" x14ac:dyDescent="0.3">
      <c r="M7696" s="35">
        <v>62.18</v>
      </c>
      <c r="N7696">
        <v>305</v>
      </c>
      <c r="O7696" s="34">
        <f t="shared" si="121"/>
        <v>0.8761243310942145</v>
      </c>
    </row>
    <row r="7697" spans="13:15" x14ac:dyDescent="0.3">
      <c r="M7697" s="35">
        <v>62.22</v>
      </c>
      <c r="N7697">
        <v>305</v>
      </c>
      <c r="O7697" s="34">
        <f t="shared" si="121"/>
        <v>0.87623818740754711</v>
      </c>
    </row>
    <row r="7698" spans="13:15" x14ac:dyDescent="0.3">
      <c r="M7698" s="35">
        <v>62.24</v>
      </c>
      <c r="N7698">
        <v>305</v>
      </c>
      <c r="O7698" s="34">
        <f t="shared" si="121"/>
        <v>0.87635204372087971</v>
      </c>
    </row>
    <row r="7699" spans="13:15" x14ac:dyDescent="0.3">
      <c r="M7699" s="35">
        <v>62.25</v>
      </c>
      <c r="N7699">
        <v>305</v>
      </c>
      <c r="O7699" s="34">
        <f t="shared" si="121"/>
        <v>0.87646590003421232</v>
      </c>
    </row>
    <row r="7700" spans="13:15" x14ac:dyDescent="0.3">
      <c r="M7700" s="35">
        <v>62.3</v>
      </c>
      <c r="N7700">
        <v>305</v>
      </c>
      <c r="O7700" s="34">
        <f t="shared" si="121"/>
        <v>0.87657975634754492</v>
      </c>
    </row>
    <row r="7701" spans="13:15" x14ac:dyDescent="0.3">
      <c r="M7701" s="35">
        <v>62.35</v>
      </c>
      <c r="N7701">
        <v>305</v>
      </c>
      <c r="O7701" s="34">
        <f t="shared" si="121"/>
        <v>0.87669361266087753</v>
      </c>
    </row>
    <row r="7702" spans="13:15" x14ac:dyDescent="0.3">
      <c r="M7702" s="35">
        <v>62.39</v>
      </c>
      <c r="N7702">
        <v>305</v>
      </c>
      <c r="O7702" s="34">
        <f t="shared" si="121"/>
        <v>0.87680746897421014</v>
      </c>
    </row>
    <row r="7703" spans="13:15" x14ac:dyDescent="0.3">
      <c r="M7703" s="35">
        <v>62.46</v>
      </c>
      <c r="N7703">
        <v>305</v>
      </c>
      <c r="O7703" s="34">
        <f t="shared" si="121"/>
        <v>0.87692132528754274</v>
      </c>
    </row>
    <row r="7704" spans="13:15" x14ac:dyDescent="0.3">
      <c r="M7704" s="35">
        <v>62.49</v>
      </c>
      <c r="N7704">
        <v>305</v>
      </c>
      <c r="O7704" s="34">
        <f t="shared" si="121"/>
        <v>0.87703518160087535</v>
      </c>
    </row>
    <row r="7705" spans="13:15" x14ac:dyDescent="0.3">
      <c r="M7705" s="35">
        <v>62.5</v>
      </c>
      <c r="N7705">
        <v>305</v>
      </c>
      <c r="O7705" s="34">
        <f t="shared" si="121"/>
        <v>0.87714903791420795</v>
      </c>
    </row>
    <row r="7706" spans="13:15" x14ac:dyDescent="0.3">
      <c r="M7706" s="35">
        <v>62.5</v>
      </c>
      <c r="N7706">
        <v>305</v>
      </c>
      <c r="O7706" s="34">
        <f t="shared" si="121"/>
        <v>0.87726289422754056</v>
      </c>
    </row>
    <row r="7707" spans="13:15" x14ac:dyDescent="0.3">
      <c r="M7707" s="35">
        <v>62.51</v>
      </c>
      <c r="N7707">
        <v>305</v>
      </c>
      <c r="O7707" s="34">
        <f t="shared" si="121"/>
        <v>0.87737675054087316</v>
      </c>
    </row>
    <row r="7708" spans="13:15" x14ac:dyDescent="0.3">
      <c r="M7708" s="35">
        <v>62.53</v>
      </c>
      <c r="N7708">
        <v>305</v>
      </c>
      <c r="O7708" s="34">
        <f t="shared" si="121"/>
        <v>0.87749060685420577</v>
      </c>
    </row>
    <row r="7709" spans="13:15" x14ac:dyDescent="0.3">
      <c r="M7709" s="35">
        <v>62.54</v>
      </c>
      <c r="N7709">
        <v>305</v>
      </c>
      <c r="O7709" s="34">
        <f t="shared" si="121"/>
        <v>0.87760446316753837</v>
      </c>
    </row>
    <row r="7710" spans="13:15" x14ac:dyDescent="0.3">
      <c r="M7710" s="35">
        <v>62.58</v>
      </c>
      <c r="N7710">
        <v>305</v>
      </c>
      <c r="O7710" s="34">
        <f t="shared" si="121"/>
        <v>0.87771831948087098</v>
      </c>
    </row>
    <row r="7711" spans="13:15" x14ac:dyDescent="0.3">
      <c r="M7711" s="35">
        <v>62.58</v>
      </c>
      <c r="N7711">
        <v>305</v>
      </c>
      <c r="O7711" s="34">
        <f t="shared" si="121"/>
        <v>0.87783217579420358</v>
      </c>
    </row>
    <row r="7712" spans="13:15" x14ac:dyDescent="0.3">
      <c r="M7712" s="35">
        <v>62.58</v>
      </c>
      <c r="N7712">
        <v>305</v>
      </c>
      <c r="O7712" s="34">
        <f t="shared" si="121"/>
        <v>0.87794603210753619</v>
      </c>
    </row>
    <row r="7713" spans="13:15" x14ac:dyDescent="0.3">
      <c r="M7713" s="35">
        <v>62.6</v>
      </c>
      <c r="N7713">
        <v>305</v>
      </c>
      <c r="O7713" s="34">
        <f t="shared" si="121"/>
        <v>0.87805988842086879</v>
      </c>
    </row>
    <row r="7714" spans="13:15" x14ac:dyDescent="0.3">
      <c r="M7714" s="35">
        <v>62.63</v>
      </c>
      <c r="N7714">
        <v>305</v>
      </c>
      <c r="O7714" s="34">
        <f t="shared" si="121"/>
        <v>0.8781737447342014</v>
      </c>
    </row>
    <row r="7715" spans="13:15" x14ac:dyDescent="0.3">
      <c r="M7715" s="35">
        <v>62.64</v>
      </c>
      <c r="N7715">
        <v>305</v>
      </c>
      <c r="O7715" s="34">
        <f t="shared" si="121"/>
        <v>0.87828760104753401</v>
      </c>
    </row>
    <row r="7716" spans="13:15" x14ac:dyDescent="0.3">
      <c r="M7716" s="35">
        <v>62.64</v>
      </c>
      <c r="N7716">
        <v>305</v>
      </c>
      <c r="O7716" s="34">
        <f t="shared" si="121"/>
        <v>0.87840145736086661</v>
      </c>
    </row>
    <row r="7717" spans="13:15" x14ac:dyDescent="0.3">
      <c r="M7717" s="35">
        <v>62.68</v>
      </c>
      <c r="N7717">
        <v>305</v>
      </c>
      <c r="O7717" s="34">
        <f t="shared" si="121"/>
        <v>0.87851531367419922</v>
      </c>
    </row>
    <row r="7718" spans="13:15" x14ac:dyDescent="0.3">
      <c r="M7718" s="35">
        <v>62.7</v>
      </c>
      <c r="N7718">
        <v>305</v>
      </c>
      <c r="O7718" s="34">
        <f t="shared" si="121"/>
        <v>0.87862916998753182</v>
      </c>
    </row>
    <row r="7719" spans="13:15" x14ac:dyDescent="0.3">
      <c r="M7719" s="35">
        <v>62.72</v>
      </c>
      <c r="N7719">
        <v>305</v>
      </c>
      <c r="O7719" s="34">
        <f t="shared" si="121"/>
        <v>0.87874302630086443</v>
      </c>
    </row>
    <row r="7720" spans="13:15" x14ac:dyDescent="0.3">
      <c r="M7720" s="35">
        <v>62.76</v>
      </c>
      <c r="N7720">
        <v>305</v>
      </c>
      <c r="O7720" s="34">
        <f t="shared" si="121"/>
        <v>0.87885688261419703</v>
      </c>
    </row>
    <row r="7721" spans="13:15" x14ac:dyDescent="0.3">
      <c r="M7721" s="35">
        <v>62.79</v>
      </c>
      <c r="N7721">
        <v>305</v>
      </c>
      <c r="O7721" s="34">
        <f t="shared" si="121"/>
        <v>0.87897073892752964</v>
      </c>
    </row>
    <row r="7722" spans="13:15" x14ac:dyDescent="0.3">
      <c r="M7722" s="35">
        <v>62.81</v>
      </c>
      <c r="N7722">
        <v>305</v>
      </c>
      <c r="O7722" s="34">
        <f t="shared" si="121"/>
        <v>0.87908459524086224</v>
      </c>
    </row>
    <row r="7723" spans="13:15" x14ac:dyDescent="0.3">
      <c r="M7723" s="35">
        <v>62.91</v>
      </c>
      <c r="N7723">
        <v>305</v>
      </c>
      <c r="O7723" s="34">
        <f t="shared" si="121"/>
        <v>0.87919845155419485</v>
      </c>
    </row>
    <row r="7724" spans="13:15" x14ac:dyDescent="0.3">
      <c r="M7724" s="35">
        <v>62.92</v>
      </c>
      <c r="N7724">
        <v>305</v>
      </c>
      <c r="O7724" s="34">
        <f t="shared" si="121"/>
        <v>0.87931230786752745</v>
      </c>
    </row>
    <row r="7725" spans="13:15" x14ac:dyDescent="0.3">
      <c r="M7725" s="35">
        <v>62.95</v>
      </c>
      <c r="N7725">
        <v>305</v>
      </c>
      <c r="O7725" s="34">
        <f t="shared" si="121"/>
        <v>0.87942616418086006</v>
      </c>
    </row>
    <row r="7726" spans="13:15" x14ac:dyDescent="0.3">
      <c r="M7726" s="35">
        <v>62.97</v>
      </c>
      <c r="N7726">
        <v>305</v>
      </c>
      <c r="O7726" s="34">
        <f t="shared" si="121"/>
        <v>0.87954002049419266</v>
      </c>
    </row>
    <row r="7727" spans="13:15" x14ac:dyDescent="0.3">
      <c r="M7727" s="35">
        <v>62.97</v>
      </c>
      <c r="N7727">
        <v>305</v>
      </c>
      <c r="O7727" s="34">
        <f t="shared" si="121"/>
        <v>0.87965387680752527</v>
      </c>
    </row>
    <row r="7728" spans="13:15" x14ac:dyDescent="0.3">
      <c r="M7728" s="35">
        <v>63.09</v>
      </c>
      <c r="N7728">
        <v>305</v>
      </c>
      <c r="O7728" s="34">
        <f t="shared" si="121"/>
        <v>0.87976773312085788</v>
      </c>
    </row>
    <row r="7729" spans="13:15" x14ac:dyDescent="0.3">
      <c r="M7729" s="35">
        <v>63.12</v>
      </c>
      <c r="N7729">
        <v>305</v>
      </c>
      <c r="O7729" s="34">
        <f t="shared" si="121"/>
        <v>0.87988158943419048</v>
      </c>
    </row>
    <row r="7730" spans="13:15" x14ac:dyDescent="0.3">
      <c r="M7730" s="35">
        <v>63.17</v>
      </c>
      <c r="N7730">
        <v>305</v>
      </c>
      <c r="O7730" s="34">
        <f t="shared" si="121"/>
        <v>0.87999544574752309</v>
      </c>
    </row>
    <row r="7731" spans="13:15" x14ac:dyDescent="0.3">
      <c r="M7731" s="35">
        <v>63.2</v>
      </c>
      <c r="N7731">
        <v>305</v>
      </c>
      <c r="O7731" s="34">
        <f t="shared" si="121"/>
        <v>0.88010930206085569</v>
      </c>
    </row>
    <row r="7732" spans="13:15" x14ac:dyDescent="0.3">
      <c r="M7732" s="35">
        <v>63.2</v>
      </c>
      <c r="N7732">
        <v>305</v>
      </c>
      <c r="O7732" s="34">
        <f t="shared" si="121"/>
        <v>0.8802231583741883</v>
      </c>
    </row>
    <row r="7733" spans="13:15" x14ac:dyDescent="0.3">
      <c r="M7733" s="35">
        <v>63.22</v>
      </c>
      <c r="N7733">
        <v>305</v>
      </c>
      <c r="O7733" s="34">
        <f t="shared" si="121"/>
        <v>0.8803370146875209</v>
      </c>
    </row>
    <row r="7734" spans="13:15" x14ac:dyDescent="0.3">
      <c r="M7734" s="35">
        <v>63.24</v>
      </c>
      <c r="N7734">
        <v>305</v>
      </c>
      <c r="O7734" s="34">
        <f t="shared" si="121"/>
        <v>0.88045087100085351</v>
      </c>
    </row>
    <row r="7735" spans="13:15" x14ac:dyDescent="0.3">
      <c r="M7735" s="35">
        <v>63.29</v>
      </c>
      <c r="N7735">
        <v>305</v>
      </c>
      <c r="O7735" s="34">
        <f t="shared" si="121"/>
        <v>0.88056472731418611</v>
      </c>
    </row>
    <row r="7736" spans="13:15" x14ac:dyDescent="0.3">
      <c r="M7736" s="35">
        <v>63.29</v>
      </c>
      <c r="N7736">
        <v>305</v>
      </c>
      <c r="O7736" s="34">
        <f t="shared" si="121"/>
        <v>0.88067858362751872</v>
      </c>
    </row>
    <row r="7737" spans="13:15" x14ac:dyDescent="0.3">
      <c r="M7737" s="35">
        <v>63.33</v>
      </c>
      <c r="N7737">
        <v>305</v>
      </c>
      <c r="O7737" s="34">
        <f t="shared" si="121"/>
        <v>0.88079243994085132</v>
      </c>
    </row>
    <row r="7738" spans="13:15" x14ac:dyDescent="0.3">
      <c r="M7738" s="35">
        <v>63.33</v>
      </c>
      <c r="N7738">
        <v>305</v>
      </c>
      <c r="O7738" s="34">
        <f t="shared" si="121"/>
        <v>0.88090629625418393</v>
      </c>
    </row>
    <row r="7739" spans="13:15" x14ac:dyDescent="0.3">
      <c r="M7739" s="35">
        <v>63.36</v>
      </c>
      <c r="N7739">
        <v>305</v>
      </c>
      <c r="O7739" s="34">
        <f t="shared" si="121"/>
        <v>0.88102015256751653</v>
      </c>
    </row>
    <row r="7740" spans="13:15" x14ac:dyDescent="0.3">
      <c r="M7740" s="35">
        <v>63.37</v>
      </c>
      <c r="N7740">
        <v>305</v>
      </c>
      <c r="O7740" s="34">
        <f t="shared" si="121"/>
        <v>0.88113400888084914</v>
      </c>
    </row>
    <row r="7741" spans="13:15" x14ac:dyDescent="0.3">
      <c r="M7741" s="35">
        <v>63.39</v>
      </c>
      <c r="N7741">
        <v>305</v>
      </c>
      <c r="O7741" s="34">
        <f t="shared" si="121"/>
        <v>0.88124786519418175</v>
      </c>
    </row>
    <row r="7742" spans="13:15" x14ac:dyDescent="0.3">
      <c r="M7742" s="35">
        <v>63.4</v>
      </c>
      <c r="N7742">
        <v>305</v>
      </c>
      <c r="O7742" s="34">
        <f t="shared" si="121"/>
        <v>0.88136172150751435</v>
      </c>
    </row>
    <row r="7743" spans="13:15" x14ac:dyDescent="0.3">
      <c r="M7743" s="35">
        <v>63.43</v>
      </c>
      <c r="N7743">
        <v>305</v>
      </c>
      <c r="O7743" s="34">
        <f t="shared" si="121"/>
        <v>0.88147557782084696</v>
      </c>
    </row>
    <row r="7744" spans="13:15" x14ac:dyDescent="0.3">
      <c r="M7744" s="35">
        <v>63.52</v>
      </c>
      <c r="N7744">
        <v>305</v>
      </c>
      <c r="O7744" s="34">
        <f t="shared" si="121"/>
        <v>0.88158943413417956</v>
      </c>
    </row>
    <row r="7745" spans="13:15" x14ac:dyDescent="0.3">
      <c r="M7745" s="35">
        <v>63.56</v>
      </c>
      <c r="N7745">
        <v>305</v>
      </c>
      <c r="O7745" s="34">
        <f t="shared" si="121"/>
        <v>0.88170329044751217</v>
      </c>
    </row>
    <row r="7746" spans="13:15" x14ac:dyDescent="0.3">
      <c r="M7746" s="35">
        <v>63.58</v>
      </c>
      <c r="N7746">
        <v>305</v>
      </c>
      <c r="O7746" s="34">
        <f t="shared" si="121"/>
        <v>0.88181714676084477</v>
      </c>
    </row>
    <row r="7747" spans="13:15" x14ac:dyDescent="0.3">
      <c r="M7747" s="35">
        <v>63.65</v>
      </c>
      <c r="N7747">
        <v>305</v>
      </c>
      <c r="O7747" s="34">
        <f t="shared" si="121"/>
        <v>0.88193100307417738</v>
      </c>
    </row>
    <row r="7748" spans="13:15" x14ac:dyDescent="0.3">
      <c r="M7748" s="35">
        <v>63.65</v>
      </c>
      <c r="N7748">
        <v>305</v>
      </c>
      <c r="O7748" s="34">
        <f t="shared" ref="O7748:O7811" si="122">O7747+O$2</f>
        <v>0.88204485938750998</v>
      </c>
    </row>
    <row r="7749" spans="13:15" x14ac:dyDescent="0.3">
      <c r="M7749" s="35">
        <v>63.76</v>
      </c>
      <c r="N7749">
        <v>305</v>
      </c>
      <c r="O7749" s="34">
        <f t="shared" si="122"/>
        <v>0.88215871570084259</v>
      </c>
    </row>
    <row r="7750" spans="13:15" x14ac:dyDescent="0.3">
      <c r="M7750" s="35">
        <v>63.83</v>
      </c>
      <c r="N7750">
        <v>305</v>
      </c>
      <c r="O7750" s="34">
        <f t="shared" si="122"/>
        <v>0.88227257201417519</v>
      </c>
    </row>
    <row r="7751" spans="13:15" x14ac:dyDescent="0.3">
      <c r="M7751" s="35">
        <v>63.83</v>
      </c>
      <c r="N7751">
        <v>305</v>
      </c>
      <c r="O7751" s="34">
        <f t="shared" si="122"/>
        <v>0.8823864283275078</v>
      </c>
    </row>
    <row r="7752" spans="13:15" x14ac:dyDescent="0.3">
      <c r="M7752" s="35">
        <v>63.86</v>
      </c>
      <c r="N7752">
        <v>305</v>
      </c>
      <c r="O7752" s="34">
        <f t="shared" si="122"/>
        <v>0.8825002846408404</v>
      </c>
    </row>
    <row r="7753" spans="13:15" x14ac:dyDescent="0.3">
      <c r="M7753" s="35">
        <v>63.91</v>
      </c>
      <c r="N7753">
        <v>305</v>
      </c>
      <c r="O7753" s="34">
        <f t="shared" si="122"/>
        <v>0.88261414095417301</v>
      </c>
    </row>
    <row r="7754" spans="13:15" x14ac:dyDescent="0.3">
      <c r="M7754" s="35">
        <v>63.92</v>
      </c>
      <c r="N7754">
        <v>305</v>
      </c>
      <c r="O7754" s="34">
        <f t="shared" si="122"/>
        <v>0.88272799726750562</v>
      </c>
    </row>
    <row r="7755" spans="13:15" x14ac:dyDescent="0.3">
      <c r="M7755" s="35">
        <v>63.94</v>
      </c>
      <c r="N7755">
        <v>305</v>
      </c>
      <c r="O7755" s="34">
        <f t="shared" si="122"/>
        <v>0.88284185358083822</v>
      </c>
    </row>
    <row r="7756" spans="13:15" x14ac:dyDescent="0.3">
      <c r="M7756" s="35">
        <v>63.94</v>
      </c>
      <c r="N7756">
        <v>305</v>
      </c>
      <c r="O7756" s="34">
        <f t="shared" si="122"/>
        <v>0.88295570989417083</v>
      </c>
    </row>
    <row r="7757" spans="13:15" x14ac:dyDescent="0.3">
      <c r="M7757" s="35">
        <v>63.94</v>
      </c>
      <c r="N7757">
        <v>305</v>
      </c>
      <c r="O7757" s="34">
        <f t="shared" si="122"/>
        <v>0.88306956620750343</v>
      </c>
    </row>
    <row r="7758" spans="13:15" x14ac:dyDescent="0.3">
      <c r="M7758" s="35">
        <v>63.96</v>
      </c>
      <c r="N7758">
        <v>305</v>
      </c>
      <c r="O7758" s="34">
        <f t="shared" si="122"/>
        <v>0.88318342252083604</v>
      </c>
    </row>
    <row r="7759" spans="13:15" x14ac:dyDescent="0.3">
      <c r="M7759" s="35">
        <v>63.97</v>
      </c>
      <c r="N7759">
        <v>305</v>
      </c>
      <c r="O7759" s="34">
        <f t="shared" si="122"/>
        <v>0.88329727883416864</v>
      </c>
    </row>
    <row r="7760" spans="13:15" x14ac:dyDescent="0.3">
      <c r="M7760" s="35">
        <v>64</v>
      </c>
      <c r="N7760">
        <v>305</v>
      </c>
      <c r="O7760" s="34">
        <f t="shared" si="122"/>
        <v>0.88341113514750125</v>
      </c>
    </row>
    <row r="7761" spans="13:15" x14ac:dyDescent="0.3">
      <c r="M7761" s="35">
        <v>64.06</v>
      </c>
      <c r="N7761">
        <v>305</v>
      </c>
      <c r="O7761" s="34">
        <f t="shared" si="122"/>
        <v>0.88352499146083385</v>
      </c>
    </row>
    <row r="7762" spans="13:15" x14ac:dyDescent="0.3">
      <c r="M7762" s="35">
        <v>64.069999999999993</v>
      </c>
      <c r="N7762">
        <v>305</v>
      </c>
      <c r="O7762" s="34">
        <f t="shared" si="122"/>
        <v>0.88363884777416646</v>
      </c>
    </row>
    <row r="7763" spans="13:15" x14ac:dyDescent="0.3">
      <c r="M7763" s="35">
        <v>64.069999999999993</v>
      </c>
      <c r="N7763">
        <v>305</v>
      </c>
      <c r="O7763" s="34">
        <f t="shared" si="122"/>
        <v>0.88375270408749906</v>
      </c>
    </row>
    <row r="7764" spans="13:15" x14ac:dyDescent="0.3">
      <c r="M7764" s="35">
        <v>64.08</v>
      </c>
      <c r="N7764">
        <v>305</v>
      </c>
      <c r="O7764" s="34">
        <f t="shared" si="122"/>
        <v>0.88386656040083167</v>
      </c>
    </row>
    <row r="7765" spans="13:15" x14ac:dyDescent="0.3">
      <c r="M7765" s="35">
        <v>64.08</v>
      </c>
      <c r="N7765">
        <v>305</v>
      </c>
      <c r="O7765" s="34">
        <f t="shared" si="122"/>
        <v>0.88398041671416427</v>
      </c>
    </row>
    <row r="7766" spans="13:15" x14ac:dyDescent="0.3">
      <c r="M7766" s="35">
        <v>64.180000000000007</v>
      </c>
      <c r="N7766">
        <v>305</v>
      </c>
      <c r="O7766" s="34">
        <f t="shared" si="122"/>
        <v>0.88409427302749688</v>
      </c>
    </row>
    <row r="7767" spans="13:15" x14ac:dyDescent="0.3">
      <c r="M7767" s="35">
        <v>64.209999999999994</v>
      </c>
      <c r="N7767">
        <v>305</v>
      </c>
      <c r="O7767" s="34">
        <f t="shared" si="122"/>
        <v>0.88420812934082949</v>
      </c>
    </row>
    <row r="7768" spans="13:15" x14ac:dyDescent="0.3">
      <c r="M7768" s="35">
        <v>64.22</v>
      </c>
      <c r="N7768">
        <v>305</v>
      </c>
      <c r="O7768" s="34">
        <f t="shared" si="122"/>
        <v>0.88432198565416209</v>
      </c>
    </row>
    <row r="7769" spans="13:15" x14ac:dyDescent="0.3">
      <c r="M7769" s="35">
        <v>64.260000000000005</v>
      </c>
      <c r="N7769">
        <v>305</v>
      </c>
      <c r="O7769" s="34">
        <f t="shared" si="122"/>
        <v>0.8844358419674947</v>
      </c>
    </row>
    <row r="7770" spans="13:15" x14ac:dyDescent="0.3">
      <c r="M7770" s="35">
        <v>64.27</v>
      </c>
      <c r="N7770">
        <v>305</v>
      </c>
      <c r="O7770" s="34">
        <f t="shared" si="122"/>
        <v>0.8845496982808273</v>
      </c>
    </row>
    <row r="7771" spans="13:15" x14ac:dyDescent="0.3">
      <c r="M7771" s="35">
        <v>64.28</v>
      </c>
      <c r="N7771">
        <v>305</v>
      </c>
      <c r="O7771" s="34">
        <f t="shared" si="122"/>
        <v>0.88466355459415991</v>
      </c>
    </row>
    <row r="7772" spans="13:15" x14ac:dyDescent="0.3">
      <c r="M7772" s="35">
        <v>64.28</v>
      </c>
      <c r="N7772">
        <v>305</v>
      </c>
      <c r="O7772" s="34">
        <f t="shared" si="122"/>
        <v>0.88477741090749251</v>
      </c>
    </row>
    <row r="7773" spans="13:15" x14ac:dyDescent="0.3">
      <c r="M7773" s="35">
        <v>64.33</v>
      </c>
      <c r="N7773">
        <v>305</v>
      </c>
      <c r="O7773" s="34">
        <f t="shared" si="122"/>
        <v>0.88489126722082512</v>
      </c>
    </row>
    <row r="7774" spans="13:15" x14ac:dyDescent="0.3">
      <c r="M7774" s="35">
        <v>64.33</v>
      </c>
      <c r="N7774">
        <v>305</v>
      </c>
      <c r="O7774" s="34">
        <f t="shared" si="122"/>
        <v>0.88500512353415772</v>
      </c>
    </row>
    <row r="7775" spans="13:15" x14ac:dyDescent="0.3">
      <c r="M7775" s="35">
        <v>64.34</v>
      </c>
      <c r="N7775">
        <v>305</v>
      </c>
      <c r="O7775" s="34">
        <f t="shared" si="122"/>
        <v>0.88511897984749033</v>
      </c>
    </row>
    <row r="7776" spans="13:15" x14ac:dyDescent="0.3">
      <c r="M7776" s="35">
        <v>64.34</v>
      </c>
      <c r="N7776">
        <v>305</v>
      </c>
      <c r="O7776" s="34">
        <f t="shared" si="122"/>
        <v>0.88523283616082293</v>
      </c>
    </row>
    <row r="7777" spans="13:15" x14ac:dyDescent="0.3">
      <c r="M7777" s="35">
        <v>64.37</v>
      </c>
      <c r="N7777">
        <v>305</v>
      </c>
      <c r="O7777" s="34">
        <f t="shared" si="122"/>
        <v>0.88534669247415554</v>
      </c>
    </row>
    <row r="7778" spans="13:15" x14ac:dyDescent="0.3">
      <c r="M7778" s="35">
        <v>64.37</v>
      </c>
      <c r="N7778">
        <v>305</v>
      </c>
      <c r="O7778" s="34">
        <f t="shared" si="122"/>
        <v>0.88546054878748814</v>
      </c>
    </row>
    <row r="7779" spans="13:15" x14ac:dyDescent="0.3">
      <c r="M7779" s="35">
        <v>64.38</v>
      </c>
      <c r="N7779">
        <v>305</v>
      </c>
      <c r="O7779" s="34">
        <f t="shared" si="122"/>
        <v>0.88557440510082075</v>
      </c>
    </row>
    <row r="7780" spans="13:15" x14ac:dyDescent="0.3">
      <c r="M7780" s="35">
        <v>64.42</v>
      </c>
      <c r="N7780">
        <v>305</v>
      </c>
      <c r="O7780" s="34">
        <f t="shared" si="122"/>
        <v>0.88568826141415335</v>
      </c>
    </row>
    <row r="7781" spans="13:15" x14ac:dyDescent="0.3">
      <c r="M7781" s="35">
        <v>64.430000000000007</v>
      </c>
      <c r="N7781">
        <v>305</v>
      </c>
      <c r="O7781" s="34">
        <f t="shared" si="122"/>
        <v>0.88580211772748596</v>
      </c>
    </row>
    <row r="7782" spans="13:15" x14ac:dyDescent="0.3">
      <c r="M7782" s="35">
        <v>64.430000000000007</v>
      </c>
      <c r="N7782">
        <v>305</v>
      </c>
      <c r="O7782" s="34">
        <f t="shared" si="122"/>
        <v>0.88591597404081857</v>
      </c>
    </row>
    <row r="7783" spans="13:15" x14ac:dyDescent="0.3">
      <c r="M7783" s="35">
        <v>64.44</v>
      </c>
      <c r="N7783">
        <v>305</v>
      </c>
      <c r="O7783" s="34">
        <f t="shared" si="122"/>
        <v>0.88602983035415117</v>
      </c>
    </row>
    <row r="7784" spans="13:15" x14ac:dyDescent="0.3">
      <c r="M7784" s="35">
        <v>64.45</v>
      </c>
      <c r="N7784">
        <v>305</v>
      </c>
      <c r="O7784" s="34">
        <f t="shared" si="122"/>
        <v>0.88614368666748378</v>
      </c>
    </row>
    <row r="7785" spans="13:15" x14ac:dyDescent="0.3">
      <c r="M7785" s="35">
        <v>64.48</v>
      </c>
      <c r="N7785">
        <v>305</v>
      </c>
      <c r="O7785" s="34">
        <f t="shared" si="122"/>
        <v>0.88625754298081638</v>
      </c>
    </row>
    <row r="7786" spans="13:15" x14ac:dyDescent="0.3">
      <c r="M7786" s="35">
        <v>64.489999999999995</v>
      </c>
      <c r="N7786">
        <v>305</v>
      </c>
      <c r="O7786" s="34">
        <f t="shared" si="122"/>
        <v>0.88637139929414899</v>
      </c>
    </row>
    <row r="7787" spans="13:15" x14ac:dyDescent="0.3">
      <c r="M7787" s="35">
        <v>64.55</v>
      </c>
      <c r="N7787">
        <v>305</v>
      </c>
      <c r="O7787" s="34">
        <f t="shared" si="122"/>
        <v>0.88648525560748159</v>
      </c>
    </row>
    <row r="7788" spans="13:15" x14ac:dyDescent="0.3">
      <c r="M7788" s="35">
        <v>64.56</v>
      </c>
      <c r="N7788">
        <v>305</v>
      </c>
      <c r="O7788" s="34">
        <f t="shared" si="122"/>
        <v>0.8865991119208142</v>
      </c>
    </row>
    <row r="7789" spans="13:15" x14ac:dyDescent="0.3">
      <c r="M7789" s="35">
        <v>64.59</v>
      </c>
      <c r="N7789">
        <v>305</v>
      </c>
      <c r="O7789" s="34">
        <f t="shared" si="122"/>
        <v>0.8867129682341468</v>
      </c>
    </row>
    <row r="7790" spans="13:15" x14ac:dyDescent="0.3">
      <c r="M7790" s="35">
        <v>64.59</v>
      </c>
      <c r="N7790">
        <v>305</v>
      </c>
      <c r="O7790" s="34">
        <f t="shared" si="122"/>
        <v>0.88682682454747941</v>
      </c>
    </row>
    <row r="7791" spans="13:15" x14ac:dyDescent="0.3">
      <c r="M7791" s="35">
        <v>64.650000000000006</v>
      </c>
      <c r="N7791">
        <v>305</v>
      </c>
      <c r="O7791" s="34">
        <f t="shared" si="122"/>
        <v>0.88694068086081201</v>
      </c>
    </row>
    <row r="7792" spans="13:15" x14ac:dyDescent="0.3">
      <c r="M7792" s="35">
        <v>64.66</v>
      </c>
      <c r="N7792">
        <v>305</v>
      </c>
      <c r="O7792" s="34">
        <f t="shared" si="122"/>
        <v>0.88705453717414462</v>
      </c>
    </row>
    <row r="7793" spans="13:15" x14ac:dyDescent="0.3">
      <c r="M7793" s="35">
        <v>64.709999999999994</v>
      </c>
      <c r="N7793">
        <v>305</v>
      </c>
      <c r="O7793" s="34">
        <f t="shared" si="122"/>
        <v>0.88716839348747722</v>
      </c>
    </row>
    <row r="7794" spans="13:15" x14ac:dyDescent="0.3">
      <c r="M7794" s="35">
        <v>64.78</v>
      </c>
      <c r="N7794">
        <v>305</v>
      </c>
      <c r="O7794" s="34">
        <f t="shared" si="122"/>
        <v>0.88728224980080983</v>
      </c>
    </row>
    <row r="7795" spans="13:15" x14ac:dyDescent="0.3">
      <c r="M7795" s="35">
        <v>64.86</v>
      </c>
      <c r="N7795">
        <v>305</v>
      </c>
      <c r="O7795" s="34">
        <f t="shared" si="122"/>
        <v>0.88739610611414244</v>
      </c>
    </row>
    <row r="7796" spans="13:15" x14ac:dyDescent="0.3">
      <c r="M7796" s="35">
        <v>64.88</v>
      </c>
      <c r="N7796">
        <v>305</v>
      </c>
      <c r="O7796" s="34">
        <f t="shared" si="122"/>
        <v>0.88750996242747504</v>
      </c>
    </row>
    <row r="7797" spans="13:15" x14ac:dyDescent="0.3">
      <c r="M7797" s="35">
        <v>64.94</v>
      </c>
      <c r="N7797">
        <v>305</v>
      </c>
      <c r="O7797" s="34">
        <f t="shared" si="122"/>
        <v>0.88762381874080765</v>
      </c>
    </row>
    <row r="7798" spans="13:15" x14ac:dyDescent="0.3">
      <c r="M7798" s="35">
        <v>64.989999999999995</v>
      </c>
      <c r="N7798">
        <v>305</v>
      </c>
      <c r="O7798" s="34">
        <f t="shared" si="122"/>
        <v>0.88773767505414025</v>
      </c>
    </row>
    <row r="7799" spans="13:15" x14ac:dyDescent="0.3">
      <c r="M7799" s="35">
        <v>65.040000000000006</v>
      </c>
      <c r="N7799">
        <v>305</v>
      </c>
      <c r="O7799" s="34">
        <f t="shared" si="122"/>
        <v>0.88785153136747286</v>
      </c>
    </row>
    <row r="7800" spans="13:15" x14ac:dyDescent="0.3">
      <c r="M7800" s="35">
        <v>65.069999999999993</v>
      </c>
      <c r="N7800">
        <v>305</v>
      </c>
      <c r="O7800" s="34">
        <f t="shared" si="122"/>
        <v>0.88796538768080546</v>
      </c>
    </row>
    <row r="7801" spans="13:15" x14ac:dyDescent="0.3">
      <c r="M7801" s="35">
        <v>65.099999999999994</v>
      </c>
      <c r="N7801">
        <v>305</v>
      </c>
      <c r="O7801" s="34">
        <f t="shared" si="122"/>
        <v>0.88807924399413807</v>
      </c>
    </row>
    <row r="7802" spans="13:15" x14ac:dyDescent="0.3">
      <c r="M7802" s="35">
        <v>65.12</v>
      </c>
      <c r="N7802">
        <v>305</v>
      </c>
      <c r="O7802" s="34">
        <f t="shared" si="122"/>
        <v>0.88819310030747067</v>
      </c>
    </row>
    <row r="7803" spans="13:15" x14ac:dyDescent="0.3">
      <c r="M7803" s="35">
        <v>65.22</v>
      </c>
      <c r="N7803">
        <v>305</v>
      </c>
      <c r="O7803" s="34">
        <f t="shared" si="122"/>
        <v>0.88830695662080328</v>
      </c>
    </row>
    <row r="7804" spans="13:15" x14ac:dyDescent="0.3">
      <c r="M7804" s="35">
        <v>65.23</v>
      </c>
      <c r="N7804">
        <v>305</v>
      </c>
      <c r="O7804" s="34">
        <f t="shared" si="122"/>
        <v>0.88842081293413588</v>
      </c>
    </row>
    <row r="7805" spans="13:15" x14ac:dyDescent="0.3">
      <c r="M7805" s="35">
        <v>65.23</v>
      </c>
      <c r="N7805">
        <v>305</v>
      </c>
      <c r="O7805" s="34">
        <f t="shared" si="122"/>
        <v>0.88853466924746849</v>
      </c>
    </row>
    <row r="7806" spans="13:15" x14ac:dyDescent="0.3">
      <c r="M7806" s="35">
        <v>65.3</v>
      </c>
      <c r="N7806">
        <v>305</v>
      </c>
      <c r="O7806" s="34">
        <f t="shared" si="122"/>
        <v>0.88864852556080109</v>
      </c>
    </row>
    <row r="7807" spans="13:15" x14ac:dyDescent="0.3">
      <c r="M7807" s="35">
        <v>65.3</v>
      </c>
      <c r="N7807">
        <v>305</v>
      </c>
      <c r="O7807" s="34">
        <f t="shared" si="122"/>
        <v>0.8887623818741337</v>
      </c>
    </row>
    <row r="7808" spans="13:15" x14ac:dyDescent="0.3">
      <c r="M7808" s="35">
        <v>65.33</v>
      </c>
      <c r="N7808">
        <v>305</v>
      </c>
      <c r="O7808" s="34">
        <f t="shared" si="122"/>
        <v>0.88887623818746631</v>
      </c>
    </row>
    <row r="7809" spans="13:15" x14ac:dyDescent="0.3">
      <c r="M7809" s="35">
        <v>65.349999999999994</v>
      </c>
      <c r="N7809">
        <v>305</v>
      </c>
      <c r="O7809" s="34">
        <f t="shared" si="122"/>
        <v>0.88899009450079891</v>
      </c>
    </row>
    <row r="7810" spans="13:15" x14ac:dyDescent="0.3">
      <c r="M7810" s="35">
        <v>65.37</v>
      </c>
      <c r="N7810">
        <v>305</v>
      </c>
      <c r="O7810" s="34">
        <f t="shared" si="122"/>
        <v>0.88910395081413152</v>
      </c>
    </row>
    <row r="7811" spans="13:15" x14ac:dyDescent="0.3">
      <c r="M7811" s="35">
        <v>65.41</v>
      </c>
      <c r="N7811">
        <v>305</v>
      </c>
      <c r="O7811" s="34">
        <f t="shared" si="122"/>
        <v>0.88921780712746412</v>
      </c>
    </row>
    <row r="7812" spans="13:15" x14ac:dyDescent="0.3">
      <c r="M7812" s="35">
        <v>65.42</v>
      </c>
      <c r="N7812">
        <v>305</v>
      </c>
      <c r="O7812" s="34">
        <f t="shared" ref="O7812:O7875" si="123">O7811+O$2</f>
        <v>0.88933166344079673</v>
      </c>
    </row>
    <row r="7813" spans="13:15" x14ac:dyDescent="0.3">
      <c r="M7813" s="35">
        <v>65.45</v>
      </c>
      <c r="N7813">
        <v>305</v>
      </c>
      <c r="O7813" s="34">
        <f t="shared" si="123"/>
        <v>0.88944551975412933</v>
      </c>
    </row>
    <row r="7814" spans="13:15" x14ac:dyDescent="0.3">
      <c r="M7814" s="35">
        <v>65.47</v>
      </c>
      <c r="N7814">
        <v>305</v>
      </c>
      <c r="O7814" s="34">
        <f t="shared" si="123"/>
        <v>0.88955937606746194</v>
      </c>
    </row>
    <row r="7815" spans="13:15" x14ac:dyDescent="0.3">
      <c r="M7815" s="35">
        <v>65.47</v>
      </c>
      <c r="N7815">
        <v>305</v>
      </c>
      <c r="O7815" s="34">
        <f t="shared" si="123"/>
        <v>0.88967323238079454</v>
      </c>
    </row>
    <row r="7816" spans="13:15" x14ac:dyDescent="0.3">
      <c r="M7816" s="35">
        <v>65.540000000000006</v>
      </c>
      <c r="N7816">
        <v>305</v>
      </c>
      <c r="O7816" s="34">
        <f t="shared" si="123"/>
        <v>0.88978708869412715</v>
      </c>
    </row>
    <row r="7817" spans="13:15" x14ac:dyDescent="0.3">
      <c r="M7817" s="35">
        <v>65.59</v>
      </c>
      <c r="N7817">
        <v>305</v>
      </c>
      <c r="O7817" s="34">
        <f t="shared" si="123"/>
        <v>0.88990094500745975</v>
      </c>
    </row>
    <row r="7818" spans="13:15" x14ac:dyDescent="0.3">
      <c r="M7818" s="35">
        <v>65.680000000000007</v>
      </c>
      <c r="N7818">
        <v>305</v>
      </c>
      <c r="O7818" s="34">
        <f t="shared" si="123"/>
        <v>0.89001480132079236</v>
      </c>
    </row>
    <row r="7819" spans="13:15" x14ac:dyDescent="0.3">
      <c r="M7819" s="35">
        <v>65.69</v>
      </c>
      <c r="N7819">
        <v>305</v>
      </c>
      <c r="O7819" s="34">
        <f t="shared" si="123"/>
        <v>0.89012865763412496</v>
      </c>
    </row>
    <row r="7820" spans="13:15" x14ac:dyDescent="0.3">
      <c r="M7820" s="35">
        <v>65.69</v>
      </c>
      <c r="N7820">
        <v>305</v>
      </c>
      <c r="O7820" s="34">
        <f t="shared" si="123"/>
        <v>0.89024251394745757</v>
      </c>
    </row>
    <row r="7821" spans="13:15" x14ac:dyDescent="0.3">
      <c r="M7821" s="35">
        <v>65.89</v>
      </c>
      <c r="N7821">
        <v>305</v>
      </c>
      <c r="O7821" s="34">
        <f t="shared" si="123"/>
        <v>0.89035637026079018</v>
      </c>
    </row>
    <row r="7822" spans="13:15" x14ac:dyDescent="0.3">
      <c r="M7822" s="35">
        <v>65.98</v>
      </c>
      <c r="N7822">
        <v>305</v>
      </c>
      <c r="O7822" s="34">
        <f t="shared" si="123"/>
        <v>0.89047022657412278</v>
      </c>
    </row>
    <row r="7823" spans="13:15" x14ac:dyDescent="0.3">
      <c r="M7823" s="35">
        <v>66.02</v>
      </c>
      <c r="N7823">
        <v>305</v>
      </c>
      <c r="O7823" s="34">
        <f t="shared" si="123"/>
        <v>0.89058408288745539</v>
      </c>
    </row>
    <row r="7824" spans="13:15" x14ac:dyDescent="0.3">
      <c r="M7824" s="35">
        <v>66.150000000000006</v>
      </c>
      <c r="N7824">
        <v>305</v>
      </c>
      <c r="O7824" s="34">
        <f t="shared" si="123"/>
        <v>0.89069793920078799</v>
      </c>
    </row>
    <row r="7825" spans="13:15" x14ac:dyDescent="0.3">
      <c r="M7825" s="35">
        <v>66.16</v>
      </c>
      <c r="N7825">
        <v>305</v>
      </c>
      <c r="O7825" s="34">
        <f t="shared" si="123"/>
        <v>0.8908117955141206</v>
      </c>
    </row>
    <row r="7826" spans="13:15" x14ac:dyDescent="0.3">
      <c r="M7826" s="35">
        <v>66.16</v>
      </c>
      <c r="N7826">
        <v>305</v>
      </c>
      <c r="O7826" s="34">
        <f t="shared" si="123"/>
        <v>0.8909256518274532</v>
      </c>
    </row>
    <row r="7827" spans="13:15" x14ac:dyDescent="0.3">
      <c r="M7827" s="35">
        <v>66.17</v>
      </c>
      <c r="N7827">
        <v>305</v>
      </c>
      <c r="O7827" s="34">
        <f t="shared" si="123"/>
        <v>0.89103950814078581</v>
      </c>
    </row>
    <row r="7828" spans="13:15" x14ac:dyDescent="0.3">
      <c r="M7828" s="35">
        <v>66.209999999999994</v>
      </c>
      <c r="N7828">
        <v>305</v>
      </c>
      <c r="O7828" s="34">
        <f t="shared" si="123"/>
        <v>0.89115336445411841</v>
      </c>
    </row>
    <row r="7829" spans="13:15" x14ac:dyDescent="0.3">
      <c r="M7829" s="35">
        <v>66.260000000000005</v>
      </c>
      <c r="N7829">
        <v>305</v>
      </c>
      <c r="O7829" s="34">
        <f t="shared" si="123"/>
        <v>0.89126722076745102</v>
      </c>
    </row>
    <row r="7830" spans="13:15" x14ac:dyDescent="0.3">
      <c r="M7830" s="35">
        <v>66.260000000000005</v>
      </c>
      <c r="N7830">
        <v>305</v>
      </c>
      <c r="O7830" s="34">
        <f t="shared" si="123"/>
        <v>0.89138107708078362</v>
      </c>
    </row>
    <row r="7831" spans="13:15" x14ac:dyDescent="0.3">
      <c r="M7831" s="35">
        <v>66.28</v>
      </c>
      <c r="N7831">
        <v>305</v>
      </c>
      <c r="O7831" s="34">
        <f t="shared" si="123"/>
        <v>0.89149493339411623</v>
      </c>
    </row>
    <row r="7832" spans="13:15" x14ac:dyDescent="0.3">
      <c r="M7832" s="35">
        <v>66.31</v>
      </c>
      <c r="N7832">
        <v>305</v>
      </c>
      <c r="O7832" s="34">
        <f t="shared" si="123"/>
        <v>0.89160878970744883</v>
      </c>
    </row>
    <row r="7833" spans="13:15" x14ac:dyDescent="0.3">
      <c r="M7833" s="35">
        <v>66.319999999999993</v>
      </c>
      <c r="N7833">
        <v>305</v>
      </c>
      <c r="O7833" s="34">
        <f t="shared" si="123"/>
        <v>0.89172264602078144</v>
      </c>
    </row>
    <row r="7834" spans="13:15" x14ac:dyDescent="0.3">
      <c r="M7834" s="35">
        <v>66.36</v>
      </c>
      <c r="N7834">
        <v>305</v>
      </c>
      <c r="O7834" s="34">
        <f t="shared" si="123"/>
        <v>0.89183650233411405</v>
      </c>
    </row>
    <row r="7835" spans="13:15" x14ac:dyDescent="0.3">
      <c r="M7835" s="35">
        <v>66.44</v>
      </c>
      <c r="N7835">
        <v>305</v>
      </c>
      <c r="O7835" s="34">
        <f t="shared" si="123"/>
        <v>0.89195035864744665</v>
      </c>
    </row>
    <row r="7836" spans="13:15" x14ac:dyDescent="0.3">
      <c r="M7836" s="35">
        <v>66.52</v>
      </c>
      <c r="N7836">
        <v>305</v>
      </c>
      <c r="O7836" s="34">
        <f t="shared" si="123"/>
        <v>0.89206421496077926</v>
      </c>
    </row>
    <row r="7837" spans="13:15" x14ac:dyDescent="0.3">
      <c r="M7837" s="35">
        <v>66.55</v>
      </c>
      <c r="N7837">
        <v>305</v>
      </c>
      <c r="O7837" s="34">
        <f t="shared" si="123"/>
        <v>0.89217807127411186</v>
      </c>
    </row>
    <row r="7838" spans="13:15" x14ac:dyDescent="0.3">
      <c r="M7838" s="35">
        <v>66.58</v>
      </c>
      <c r="N7838">
        <v>305</v>
      </c>
      <c r="O7838" s="34">
        <f t="shared" si="123"/>
        <v>0.89229192758744447</v>
      </c>
    </row>
    <row r="7839" spans="13:15" x14ac:dyDescent="0.3">
      <c r="M7839" s="35">
        <v>66.58</v>
      </c>
      <c r="N7839">
        <v>305</v>
      </c>
      <c r="O7839" s="34">
        <f t="shared" si="123"/>
        <v>0.89240578390077707</v>
      </c>
    </row>
    <row r="7840" spans="13:15" x14ac:dyDescent="0.3">
      <c r="M7840" s="35">
        <v>66.599999999999994</v>
      </c>
      <c r="N7840">
        <v>305</v>
      </c>
      <c r="O7840" s="34">
        <f t="shared" si="123"/>
        <v>0.89251964021410968</v>
      </c>
    </row>
    <row r="7841" spans="13:15" x14ac:dyDescent="0.3">
      <c r="M7841" s="35">
        <v>66.599999999999994</v>
      </c>
      <c r="N7841">
        <v>305</v>
      </c>
      <c r="O7841" s="34">
        <f t="shared" si="123"/>
        <v>0.89263349652744228</v>
      </c>
    </row>
    <row r="7842" spans="13:15" x14ac:dyDescent="0.3">
      <c r="M7842" s="35">
        <v>66.62</v>
      </c>
      <c r="N7842">
        <v>305</v>
      </c>
      <c r="O7842" s="34">
        <f t="shared" si="123"/>
        <v>0.89274735284077489</v>
      </c>
    </row>
    <row r="7843" spans="13:15" x14ac:dyDescent="0.3">
      <c r="M7843" s="35">
        <v>66.62</v>
      </c>
      <c r="N7843">
        <v>305</v>
      </c>
      <c r="O7843" s="34">
        <f t="shared" si="123"/>
        <v>0.89286120915410749</v>
      </c>
    </row>
    <row r="7844" spans="13:15" x14ac:dyDescent="0.3">
      <c r="M7844" s="35">
        <v>66.66</v>
      </c>
      <c r="N7844">
        <v>305</v>
      </c>
      <c r="O7844" s="34">
        <f t="shared" si="123"/>
        <v>0.8929750654674401</v>
      </c>
    </row>
    <row r="7845" spans="13:15" x14ac:dyDescent="0.3">
      <c r="M7845" s="35">
        <v>66.67</v>
      </c>
      <c r="N7845">
        <v>305</v>
      </c>
      <c r="O7845" s="34">
        <f t="shared" si="123"/>
        <v>0.8930889217807727</v>
      </c>
    </row>
    <row r="7846" spans="13:15" x14ac:dyDescent="0.3">
      <c r="M7846" s="35">
        <v>66.680000000000007</v>
      </c>
      <c r="N7846">
        <v>305</v>
      </c>
      <c r="O7846" s="34">
        <f t="shared" si="123"/>
        <v>0.89320277809410531</v>
      </c>
    </row>
    <row r="7847" spans="13:15" x14ac:dyDescent="0.3">
      <c r="M7847" s="35">
        <v>66.680000000000007</v>
      </c>
      <c r="N7847">
        <v>305</v>
      </c>
      <c r="O7847" s="34">
        <f t="shared" si="123"/>
        <v>0.89331663440743792</v>
      </c>
    </row>
    <row r="7848" spans="13:15" x14ac:dyDescent="0.3">
      <c r="M7848" s="35">
        <v>66.72</v>
      </c>
      <c r="N7848">
        <v>305</v>
      </c>
      <c r="O7848" s="34">
        <f t="shared" si="123"/>
        <v>0.89343049072077052</v>
      </c>
    </row>
    <row r="7849" spans="13:15" x14ac:dyDescent="0.3">
      <c r="M7849" s="35">
        <v>66.73</v>
      </c>
      <c r="N7849">
        <v>305</v>
      </c>
      <c r="O7849" s="34">
        <f t="shared" si="123"/>
        <v>0.89354434703410313</v>
      </c>
    </row>
    <row r="7850" spans="13:15" x14ac:dyDescent="0.3">
      <c r="M7850" s="35">
        <v>66.760000000000005</v>
      </c>
      <c r="N7850">
        <v>305</v>
      </c>
      <c r="O7850" s="34">
        <f t="shared" si="123"/>
        <v>0.89365820334743573</v>
      </c>
    </row>
    <row r="7851" spans="13:15" x14ac:dyDescent="0.3">
      <c r="M7851" s="35">
        <v>66.760000000000005</v>
      </c>
      <c r="N7851">
        <v>305</v>
      </c>
      <c r="O7851" s="34">
        <f t="shared" si="123"/>
        <v>0.89377205966076834</v>
      </c>
    </row>
    <row r="7852" spans="13:15" x14ac:dyDescent="0.3">
      <c r="M7852" s="35">
        <v>66.77</v>
      </c>
      <c r="N7852">
        <v>305</v>
      </c>
      <c r="O7852" s="34">
        <f t="shared" si="123"/>
        <v>0.89388591597410094</v>
      </c>
    </row>
    <row r="7853" spans="13:15" x14ac:dyDescent="0.3">
      <c r="M7853" s="35">
        <v>66.77</v>
      </c>
      <c r="N7853">
        <v>305</v>
      </c>
      <c r="O7853" s="34">
        <f t="shared" si="123"/>
        <v>0.89399977228743355</v>
      </c>
    </row>
    <row r="7854" spans="13:15" x14ac:dyDescent="0.3">
      <c r="M7854" s="35">
        <v>66.78</v>
      </c>
      <c r="N7854">
        <v>305</v>
      </c>
      <c r="O7854" s="34">
        <f t="shared" si="123"/>
        <v>0.89411362860076615</v>
      </c>
    </row>
    <row r="7855" spans="13:15" x14ac:dyDescent="0.3">
      <c r="M7855" s="35">
        <v>66.78</v>
      </c>
      <c r="N7855">
        <v>305</v>
      </c>
      <c r="O7855" s="34">
        <f t="shared" si="123"/>
        <v>0.89422748491409876</v>
      </c>
    </row>
    <row r="7856" spans="13:15" x14ac:dyDescent="0.3">
      <c r="M7856" s="35">
        <v>66.78</v>
      </c>
      <c r="N7856">
        <v>305</v>
      </c>
      <c r="O7856" s="34">
        <f t="shared" si="123"/>
        <v>0.89434134122743136</v>
      </c>
    </row>
    <row r="7857" spans="13:15" x14ac:dyDescent="0.3">
      <c r="M7857" s="35">
        <v>66.790000000000006</v>
      </c>
      <c r="N7857">
        <v>305</v>
      </c>
      <c r="O7857" s="34">
        <f t="shared" si="123"/>
        <v>0.89445519754076397</v>
      </c>
    </row>
    <row r="7858" spans="13:15" x14ac:dyDescent="0.3">
      <c r="M7858" s="35">
        <v>66.8</v>
      </c>
      <c r="N7858">
        <v>305</v>
      </c>
      <c r="O7858" s="34">
        <f t="shared" si="123"/>
        <v>0.89456905385409657</v>
      </c>
    </row>
    <row r="7859" spans="13:15" x14ac:dyDescent="0.3">
      <c r="M7859" s="35">
        <v>66.88</v>
      </c>
      <c r="N7859">
        <v>305</v>
      </c>
      <c r="O7859" s="34">
        <f t="shared" si="123"/>
        <v>0.89468291016742918</v>
      </c>
    </row>
    <row r="7860" spans="13:15" x14ac:dyDescent="0.3">
      <c r="M7860" s="35">
        <v>66.89</v>
      </c>
      <c r="N7860">
        <v>305</v>
      </c>
      <c r="O7860" s="34">
        <f t="shared" si="123"/>
        <v>0.89479676648076178</v>
      </c>
    </row>
    <row r="7861" spans="13:15" x14ac:dyDescent="0.3">
      <c r="M7861" s="35">
        <v>66.92</v>
      </c>
      <c r="N7861">
        <v>305</v>
      </c>
      <c r="O7861" s="34">
        <f t="shared" si="123"/>
        <v>0.89491062279409439</v>
      </c>
    </row>
    <row r="7862" spans="13:15" x14ac:dyDescent="0.3">
      <c r="M7862" s="35">
        <v>66.95</v>
      </c>
      <c r="N7862">
        <v>305</v>
      </c>
      <c r="O7862" s="34">
        <f t="shared" si="123"/>
        <v>0.895024479107427</v>
      </c>
    </row>
    <row r="7863" spans="13:15" x14ac:dyDescent="0.3">
      <c r="M7863" s="35">
        <v>66.989999999999995</v>
      </c>
      <c r="N7863">
        <v>305</v>
      </c>
      <c r="O7863" s="34">
        <f t="shared" si="123"/>
        <v>0.8951383354207596</v>
      </c>
    </row>
    <row r="7864" spans="13:15" x14ac:dyDescent="0.3">
      <c r="M7864" s="35">
        <v>67</v>
      </c>
      <c r="N7864">
        <v>305</v>
      </c>
      <c r="O7864" s="34">
        <f t="shared" si="123"/>
        <v>0.89525219173409221</v>
      </c>
    </row>
    <row r="7865" spans="13:15" x14ac:dyDescent="0.3">
      <c r="M7865" s="35">
        <v>67.03</v>
      </c>
      <c r="N7865">
        <v>305</v>
      </c>
      <c r="O7865" s="34">
        <f t="shared" si="123"/>
        <v>0.89536604804742481</v>
      </c>
    </row>
    <row r="7866" spans="13:15" x14ac:dyDescent="0.3">
      <c r="M7866" s="35">
        <v>67.05</v>
      </c>
      <c r="N7866">
        <v>305</v>
      </c>
      <c r="O7866" s="34">
        <f t="shared" si="123"/>
        <v>0.89547990436075742</v>
      </c>
    </row>
    <row r="7867" spans="13:15" x14ac:dyDescent="0.3">
      <c r="M7867" s="35">
        <v>67.34</v>
      </c>
      <c r="N7867">
        <v>305</v>
      </c>
      <c r="O7867" s="34">
        <f t="shared" si="123"/>
        <v>0.89559376067409002</v>
      </c>
    </row>
    <row r="7868" spans="13:15" x14ac:dyDescent="0.3">
      <c r="M7868" s="35">
        <v>67.42</v>
      </c>
      <c r="N7868">
        <v>305</v>
      </c>
      <c r="O7868" s="34">
        <f t="shared" si="123"/>
        <v>0.89570761698742263</v>
      </c>
    </row>
    <row r="7869" spans="13:15" x14ac:dyDescent="0.3">
      <c r="M7869" s="35">
        <v>67.44</v>
      </c>
      <c r="N7869">
        <v>305</v>
      </c>
      <c r="O7869" s="34">
        <f t="shared" si="123"/>
        <v>0.89582147330075523</v>
      </c>
    </row>
    <row r="7870" spans="13:15" x14ac:dyDescent="0.3">
      <c r="M7870" s="35">
        <v>67.48</v>
      </c>
      <c r="N7870">
        <v>305</v>
      </c>
      <c r="O7870" s="34">
        <f t="shared" si="123"/>
        <v>0.89593532961408784</v>
      </c>
    </row>
    <row r="7871" spans="13:15" x14ac:dyDescent="0.3">
      <c r="M7871" s="35">
        <v>67.489999999999995</v>
      </c>
      <c r="N7871">
        <v>305</v>
      </c>
      <c r="O7871" s="34">
        <f t="shared" si="123"/>
        <v>0.89604918592742044</v>
      </c>
    </row>
    <row r="7872" spans="13:15" x14ac:dyDescent="0.3">
      <c r="M7872" s="35">
        <v>67.52</v>
      </c>
      <c r="N7872">
        <v>305</v>
      </c>
      <c r="O7872" s="34">
        <f t="shared" si="123"/>
        <v>0.89616304224075305</v>
      </c>
    </row>
    <row r="7873" spans="13:15" x14ac:dyDescent="0.3">
      <c r="M7873" s="35">
        <v>67.53</v>
      </c>
      <c r="N7873">
        <v>305</v>
      </c>
      <c r="O7873" s="34">
        <f t="shared" si="123"/>
        <v>0.89627689855408565</v>
      </c>
    </row>
    <row r="7874" spans="13:15" x14ac:dyDescent="0.3">
      <c r="M7874" s="35">
        <v>67.53</v>
      </c>
      <c r="N7874">
        <v>305</v>
      </c>
      <c r="O7874" s="34">
        <f t="shared" si="123"/>
        <v>0.89639075486741826</v>
      </c>
    </row>
    <row r="7875" spans="13:15" x14ac:dyDescent="0.3">
      <c r="M7875" s="35">
        <v>67.55</v>
      </c>
      <c r="N7875">
        <v>305</v>
      </c>
      <c r="O7875" s="34">
        <f t="shared" si="123"/>
        <v>0.89650461118075087</v>
      </c>
    </row>
    <row r="7876" spans="13:15" x14ac:dyDescent="0.3">
      <c r="M7876" s="35">
        <v>67.569999999999993</v>
      </c>
      <c r="N7876">
        <v>305</v>
      </c>
      <c r="O7876" s="34">
        <f t="shared" ref="O7876:O7939" si="124">O7875+O$2</f>
        <v>0.89661846749408347</v>
      </c>
    </row>
    <row r="7877" spans="13:15" x14ac:dyDescent="0.3">
      <c r="M7877" s="35">
        <v>67.58</v>
      </c>
      <c r="N7877">
        <v>305</v>
      </c>
      <c r="O7877" s="34">
        <f t="shared" si="124"/>
        <v>0.89673232380741608</v>
      </c>
    </row>
    <row r="7878" spans="13:15" x14ac:dyDescent="0.3">
      <c r="M7878" s="35">
        <v>67.58</v>
      </c>
      <c r="N7878">
        <v>305</v>
      </c>
      <c r="O7878" s="34">
        <f t="shared" si="124"/>
        <v>0.89684618012074868</v>
      </c>
    </row>
    <row r="7879" spans="13:15" x14ac:dyDescent="0.3">
      <c r="M7879" s="35">
        <v>67.59</v>
      </c>
      <c r="N7879">
        <v>305</v>
      </c>
      <c r="O7879" s="34">
        <f t="shared" si="124"/>
        <v>0.89696003643408129</v>
      </c>
    </row>
    <row r="7880" spans="13:15" x14ac:dyDescent="0.3">
      <c r="M7880" s="35">
        <v>67.72</v>
      </c>
      <c r="N7880">
        <v>305</v>
      </c>
      <c r="O7880" s="34">
        <f t="shared" si="124"/>
        <v>0.89707389274741389</v>
      </c>
    </row>
    <row r="7881" spans="13:15" x14ac:dyDescent="0.3">
      <c r="M7881" s="35">
        <v>67.849999999999994</v>
      </c>
      <c r="N7881">
        <v>305</v>
      </c>
      <c r="O7881" s="34">
        <f t="shared" si="124"/>
        <v>0.8971877490607465</v>
      </c>
    </row>
    <row r="7882" spans="13:15" x14ac:dyDescent="0.3">
      <c r="M7882" s="35">
        <v>67.959999999999994</v>
      </c>
      <c r="N7882">
        <v>305</v>
      </c>
      <c r="O7882" s="34">
        <f t="shared" si="124"/>
        <v>0.8973016053740791</v>
      </c>
    </row>
    <row r="7883" spans="13:15" x14ac:dyDescent="0.3">
      <c r="M7883" s="35">
        <v>67.97</v>
      </c>
      <c r="N7883">
        <v>305</v>
      </c>
      <c r="O7883" s="34">
        <f t="shared" si="124"/>
        <v>0.89741546168741171</v>
      </c>
    </row>
    <row r="7884" spans="13:15" x14ac:dyDescent="0.3">
      <c r="M7884" s="35">
        <v>68.08</v>
      </c>
      <c r="N7884">
        <v>305</v>
      </c>
      <c r="O7884" s="34">
        <f t="shared" si="124"/>
        <v>0.89752931800074431</v>
      </c>
    </row>
    <row r="7885" spans="13:15" x14ac:dyDescent="0.3">
      <c r="M7885" s="35">
        <v>68.19</v>
      </c>
      <c r="N7885">
        <v>305</v>
      </c>
      <c r="O7885" s="34">
        <f t="shared" si="124"/>
        <v>0.89764317431407692</v>
      </c>
    </row>
    <row r="7886" spans="13:15" x14ac:dyDescent="0.3">
      <c r="M7886" s="35">
        <v>68.260000000000005</v>
      </c>
      <c r="N7886">
        <v>305</v>
      </c>
      <c r="O7886" s="34">
        <f t="shared" si="124"/>
        <v>0.89775703062740952</v>
      </c>
    </row>
    <row r="7887" spans="13:15" x14ac:dyDescent="0.3">
      <c r="M7887" s="35">
        <v>68.290000000000006</v>
      </c>
      <c r="N7887">
        <v>305</v>
      </c>
      <c r="O7887" s="34">
        <f t="shared" si="124"/>
        <v>0.89787088694074213</v>
      </c>
    </row>
    <row r="7888" spans="13:15" x14ac:dyDescent="0.3">
      <c r="M7888" s="35">
        <v>68.3</v>
      </c>
      <c r="N7888">
        <v>305</v>
      </c>
      <c r="O7888" s="34">
        <f t="shared" si="124"/>
        <v>0.89798474325407474</v>
      </c>
    </row>
    <row r="7889" spans="13:15" x14ac:dyDescent="0.3">
      <c r="M7889" s="35">
        <v>68.319999999999993</v>
      </c>
      <c r="N7889">
        <v>305</v>
      </c>
      <c r="O7889" s="34">
        <f t="shared" si="124"/>
        <v>0.89809859956740734</v>
      </c>
    </row>
    <row r="7890" spans="13:15" x14ac:dyDescent="0.3">
      <c r="M7890" s="35">
        <v>68.33</v>
      </c>
      <c r="N7890">
        <v>305</v>
      </c>
      <c r="O7890" s="34">
        <f t="shared" si="124"/>
        <v>0.89821245588073995</v>
      </c>
    </row>
    <row r="7891" spans="13:15" x14ac:dyDescent="0.3">
      <c r="M7891" s="35">
        <v>68.37</v>
      </c>
      <c r="N7891">
        <v>305</v>
      </c>
      <c r="O7891" s="34">
        <f t="shared" si="124"/>
        <v>0.89832631219407255</v>
      </c>
    </row>
    <row r="7892" spans="13:15" x14ac:dyDescent="0.3">
      <c r="M7892" s="35">
        <v>68.42</v>
      </c>
      <c r="N7892">
        <v>305</v>
      </c>
      <c r="O7892" s="34">
        <f t="shared" si="124"/>
        <v>0.89844016850740516</v>
      </c>
    </row>
    <row r="7893" spans="13:15" x14ac:dyDescent="0.3">
      <c r="M7893" s="35">
        <v>68.48</v>
      </c>
      <c r="N7893">
        <v>305</v>
      </c>
      <c r="O7893" s="34">
        <f t="shared" si="124"/>
        <v>0.89855402482073776</v>
      </c>
    </row>
    <row r="7894" spans="13:15" x14ac:dyDescent="0.3">
      <c r="M7894" s="35">
        <v>68.48</v>
      </c>
      <c r="N7894">
        <v>305</v>
      </c>
      <c r="O7894" s="34">
        <f t="shared" si="124"/>
        <v>0.89866788113407037</v>
      </c>
    </row>
    <row r="7895" spans="13:15" x14ac:dyDescent="0.3">
      <c r="M7895" s="35">
        <v>68.489999999999995</v>
      </c>
      <c r="N7895">
        <v>305</v>
      </c>
      <c r="O7895" s="34">
        <f t="shared" si="124"/>
        <v>0.89878173744740297</v>
      </c>
    </row>
    <row r="7896" spans="13:15" x14ac:dyDescent="0.3">
      <c r="M7896" s="35">
        <v>68.510000000000005</v>
      </c>
      <c r="N7896">
        <v>305</v>
      </c>
      <c r="O7896" s="34">
        <f t="shared" si="124"/>
        <v>0.89889559376073558</v>
      </c>
    </row>
    <row r="7897" spans="13:15" x14ac:dyDescent="0.3">
      <c r="M7897" s="35">
        <v>68.53</v>
      </c>
      <c r="N7897">
        <v>305</v>
      </c>
      <c r="O7897" s="34">
        <f t="shared" si="124"/>
        <v>0.89900945007406818</v>
      </c>
    </row>
    <row r="7898" spans="13:15" x14ac:dyDescent="0.3">
      <c r="M7898" s="35">
        <v>68.540000000000006</v>
      </c>
      <c r="N7898">
        <v>305</v>
      </c>
      <c r="O7898" s="34">
        <f t="shared" si="124"/>
        <v>0.89912330638740079</v>
      </c>
    </row>
    <row r="7899" spans="13:15" x14ac:dyDescent="0.3">
      <c r="M7899" s="35">
        <v>68.64</v>
      </c>
      <c r="N7899">
        <v>305</v>
      </c>
      <c r="O7899" s="34">
        <f t="shared" si="124"/>
        <v>0.89923716270073339</v>
      </c>
    </row>
    <row r="7900" spans="13:15" x14ac:dyDescent="0.3">
      <c r="M7900" s="35">
        <v>68.650000000000006</v>
      </c>
      <c r="N7900">
        <v>305</v>
      </c>
      <c r="O7900" s="34">
        <f t="shared" si="124"/>
        <v>0.899351019014066</v>
      </c>
    </row>
    <row r="7901" spans="13:15" x14ac:dyDescent="0.3">
      <c r="M7901" s="35">
        <v>68.66</v>
      </c>
      <c r="N7901">
        <v>305</v>
      </c>
      <c r="O7901" s="34">
        <f t="shared" si="124"/>
        <v>0.89946487532739861</v>
      </c>
    </row>
    <row r="7902" spans="13:15" x14ac:dyDescent="0.3">
      <c r="M7902" s="35">
        <v>68.680000000000007</v>
      </c>
      <c r="N7902">
        <v>305</v>
      </c>
      <c r="O7902" s="34">
        <f t="shared" si="124"/>
        <v>0.89957873164073121</v>
      </c>
    </row>
    <row r="7903" spans="13:15" x14ac:dyDescent="0.3">
      <c r="M7903" s="35">
        <v>68.72</v>
      </c>
      <c r="N7903">
        <v>305</v>
      </c>
      <c r="O7903" s="34">
        <f t="shared" si="124"/>
        <v>0.89969258795406382</v>
      </c>
    </row>
    <row r="7904" spans="13:15" x14ac:dyDescent="0.3">
      <c r="M7904" s="35">
        <v>68.739999999999995</v>
      </c>
      <c r="N7904">
        <v>305</v>
      </c>
      <c r="O7904" s="34">
        <f t="shared" si="124"/>
        <v>0.89980644426739642</v>
      </c>
    </row>
    <row r="7905" spans="13:15" x14ac:dyDescent="0.3">
      <c r="M7905" s="35">
        <v>68.78</v>
      </c>
      <c r="N7905">
        <v>305</v>
      </c>
      <c r="O7905" s="34">
        <f t="shared" si="124"/>
        <v>0.89992030058072903</v>
      </c>
    </row>
    <row r="7906" spans="13:15" x14ac:dyDescent="0.3">
      <c r="M7906" s="35">
        <v>68.78</v>
      </c>
      <c r="N7906">
        <v>305</v>
      </c>
      <c r="O7906" s="34">
        <f t="shared" si="124"/>
        <v>0.90003415689406163</v>
      </c>
    </row>
    <row r="7907" spans="13:15" x14ac:dyDescent="0.3">
      <c r="M7907" s="35">
        <v>68.84</v>
      </c>
      <c r="N7907">
        <v>305</v>
      </c>
      <c r="O7907" s="34">
        <f t="shared" si="124"/>
        <v>0.90014801320739424</v>
      </c>
    </row>
    <row r="7908" spans="13:15" x14ac:dyDescent="0.3">
      <c r="M7908" s="35">
        <v>68.900000000000006</v>
      </c>
      <c r="N7908">
        <v>305</v>
      </c>
      <c r="O7908" s="34">
        <f t="shared" si="124"/>
        <v>0.90026186952072684</v>
      </c>
    </row>
    <row r="7909" spans="13:15" x14ac:dyDescent="0.3">
      <c r="M7909" s="35">
        <v>68.92</v>
      </c>
      <c r="N7909">
        <v>305</v>
      </c>
      <c r="O7909" s="34">
        <f t="shared" si="124"/>
        <v>0.90037572583405945</v>
      </c>
    </row>
    <row r="7910" spans="13:15" x14ac:dyDescent="0.3">
      <c r="M7910" s="35">
        <v>68.94</v>
      </c>
      <c r="N7910">
        <v>305</v>
      </c>
      <c r="O7910" s="34">
        <f t="shared" si="124"/>
        <v>0.90048958214739205</v>
      </c>
    </row>
    <row r="7911" spans="13:15" x14ac:dyDescent="0.3">
      <c r="M7911" s="35">
        <v>68.98</v>
      </c>
      <c r="N7911">
        <v>305</v>
      </c>
      <c r="O7911" s="34">
        <f t="shared" si="124"/>
        <v>0.90060343846072466</v>
      </c>
    </row>
    <row r="7912" spans="13:15" x14ac:dyDescent="0.3">
      <c r="M7912" s="35">
        <v>69.08</v>
      </c>
      <c r="N7912">
        <v>305</v>
      </c>
      <c r="O7912" s="34">
        <f t="shared" si="124"/>
        <v>0.90071729477405726</v>
      </c>
    </row>
    <row r="7913" spans="13:15" x14ac:dyDescent="0.3">
      <c r="M7913" s="35">
        <v>69.09</v>
      </c>
      <c r="N7913">
        <v>305</v>
      </c>
      <c r="O7913" s="34">
        <f t="shared" si="124"/>
        <v>0.90083115108738987</v>
      </c>
    </row>
    <row r="7914" spans="13:15" x14ac:dyDescent="0.3">
      <c r="M7914" s="35">
        <v>69.099999999999994</v>
      </c>
      <c r="N7914">
        <v>305</v>
      </c>
      <c r="O7914" s="34">
        <f t="shared" si="124"/>
        <v>0.90094500740072248</v>
      </c>
    </row>
    <row r="7915" spans="13:15" x14ac:dyDescent="0.3">
      <c r="M7915" s="35">
        <v>69.12</v>
      </c>
      <c r="N7915">
        <v>305</v>
      </c>
      <c r="O7915" s="34">
        <f t="shared" si="124"/>
        <v>0.90105886371405508</v>
      </c>
    </row>
    <row r="7916" spans="13:15" x14ac:dyDescent="0.3">
      <c r="M7916" s="35">
        <v>69.16</v>
      </c>
      <c r="N7916">
        <v>305</v>
      </c>
      <c r="O7916" s="34">
        <f t="shared" si="124"/>
        <v>0.90117272002738769</v>
      </c>
    </row>
    <row r="7917" spans="13:15" x14ac:dyDescent="0.3">
      <c r="M7917" s="35">
        <v>69.16</v>
      </c>
      <c r="N7917">
        <v>305</v>
      </c>
      <c r="O7917" s="34">
        <f t="shared" si="124"/>
        <v>0.90128657634072029</v>
      </c>
    </row>
    <row r="7918" spans="13:15" x14ac:dyDescent="0.3">
      <c r="M7918" s="35">
        <v>69.27</v>
      </c>
      <c r="N7918">
        <v>305</v>
      </c>
      <c r="O7918" s="34">
        <f t="shared" si="124"/>
        <v>0.9014004326540529</v>
      </c>
    </row>
    <row r="7919" spans="13:15" x14ac:dyDescent="0.3">
      <c r="M7919" s="35">
        <v>69.31</v>
      </c>
      <c r="N7919">
        <v>305</v>
      </c>
      <c r="O7919" s="34">
        <f t="shared" si="124"/>
        <v>0.9015142889673855</v>
      </c>
    </row>
    <row r="7920" spans="13:15" x14ac:dyDescent="0.3">
      <c r="M7920" s="35">
        <v>69.319999999999993</v>
      </c>
      <c r="N7920">
        <v>305</v>
      </c>
      <c r="O7920" s="34">
        <f t="shared" si="124"/>
        <v>0.90162814528071811</v>
      </c>
    </row>
    <row r="7921" spans="13:15" x14ac:dyDescent="0.3">
      <c r="M7921" s="35">
        <v>69.34</v>
      </c>
      <c r="N7921">
        <v>305</v>
      </c>
      <c r="O7921" s="34">
        <f t="shared" si="124"/>
        <v>0.90174200159405071</v>
      </c>
    </row>
    <row r="7922" spans="13:15" x14ac:dyDescent="0.3">
      <c r="M7922" s="35">
        <v>69.41</v>
      </c>
      <c r="N7922">
        <v>305</v>
      </c>
      <c r="O7922" s="34">
        <f t="shared" si="124"/>
        <v>0.90185585790738332</v>
      </c>
    </row>
    <row r="7923" spans="13:15" x14ac:dyDescent="0.3">
      <c r="M7923" s="35">
        <v>69.42</v>
      </c>
      <c r="N7923">
        <v>305</v>
      </c>
      <c r="O7923" s="34">
        <f t="shared" si="124"/>
        <v>0.90196971422071592</v>
      </c>
    </row>
    <row r="7924" spans="13:15" x14ac:dyDescent="0.3">
      <c r="M7924" s="35">
        <v>69.48</v>
      </c>
      <c r="N7924">
        <v>305</v>
      </c>
      <c r="O7924" s="34">
        <f t="shared" si="124"/>
        <v>0.90208357053404853</v>
      </c>
    </row>
    <row r="7925" spans="13:15" x14ac:dyDescent="0.3">
      <c r="M7925" s="35">
        <v>69.5</v>
      </c>
      <c r="N7925">
        <v>305</v>
      </c>
      <c r="O7925" s="34">
        <f t="shared" si="124"/>
        <v>0.90219742684738113</v>
      </c>
    </row>
    <row r="7926" spans="13:15" x14ac:dyDescent="0.3">
      <c r="M7926" s="35">
        <v>69.510000000000005</v>
      </c>
      <c r="N7926">
        <v>305</v>
      </c>
      <c r="O7926" s="34">
        <f t="shared" si="124"/>
        <v>0.90231128316071374</v>
      </c>
    </row>
    <row r="7927" spans="13:15" x14ac:dyDescent="0.3">
      <c r="M7927" s="35">
        <v>69.52</v>
      </c>
      <c r="N7927">
        <v>305</v>
      </c>
      <c r="O7927" s="34">
        <f t="shared" si="124"/>
        <v>0.90242513947404635</v>
      </c>
    </row>
    <row r="7928" spans="13:15" x14ac:dyDescent="0.3">
      <c r="M7928" s="35">
        <v>69.599999999999994</v>
      </c>
      <c r="N7928">
        <v>305</v>
      </c>
      <c r="O7928" s="34">
        <f t="shared" si="124"/>
        <v>0.90253899578737895</v>
      </c>
    </row>
    <row r="7929" spans="13:15" x14ac:dyDescent="0.3">
      <c r="M7929" s="35">
        <v>69.67</v>
      </c>
      <c r="N7929">
        <v>305</v>
      </c>
      <c r="O7929" s="34">
        <f t="shared" si="124"/>
        <v>0.90265285210071156</v>
      </c>
    </row>
    <row r="7930" spans="13:15" x14ac:dyDescent="0.3">
      <c r="M7930" s="35">
        <v>69.709999999999994</v>
      </c>
      <c r="N7930">
        <v>305</v>
      </c>
      <c r="O7930" s="34">
        <f t="shared" si="124"/>
        <v>0.90276670841404416</v>
      </c>
    </row>
    <row r="7931" spans="13:15" x14ac:dyDescent="0.3">
      <c r="M7931" s="35">
        <v>69.819999999999993</v>
      </c>
      <c r="N7931">
        <v>305</v>
      </c>
      <c r="O7931" s="34">
        <f t="shared" si="124"/>
        <v>0.90288056472737677</v>
      </c>
    </row>
    <row r="7932" spans="13:15" x14ac:dyDescent="0.3">
      <c r="M7932" s="35">
        <v>69.959999999999994</v>
      </c>
      <c r="N7932">
        <v>305</v>
      </c>
      <c r="O7932" s="34">
        <f t="shared" si="124"/>
        <v>0.90299442104070937</v>
      </c>
    </row>
    <row r="7933" spans="13:15" x14ac:dyDescent="0.3">
      <c r="M7933" s="35">
        <v>70</v>
      </c>
      <c r="N7933">
        <v>305</v>
      </c>
      <c r="O7933" s="34">
        <f t="shared" si="124"/>
        <v>0.90310827735404198</v>
      </c>
    </row>
    <row r="7934" spans="13:15" x14ac:dyDescent="0.3">
      <c r="M7934" s="35">
        <v>70</v>
      </c>
      <c r="N7934">
        <v>305</v>
      </c>
      <c r="O7934" s="34">
        <f t="shared" si="124"/>
        <v>0.90322213366737458</v>
      </c>
    </row>
    <row r="7935" spans="13:15" x14ac:dyDescent="0.3">
      <c r="M7935" s="35">
        <v>70.08</v>
      </c>
      <c r="N7935">
        <v>305</v>
      </c>
      <c r="O7935" s="34">
        <f t="shared" si="124"/>
        <v>0.90333598998070719</v>
      </c>
    </row>
    <row r="7936" spans="13:15" x14ac:dyDescent="0.3">
      <c r="M7936" s="35">
        <v>70.08</v>
      </c>
      <c r="N7936">
        <v>305</v>
      </c>
      <c r="O7936" s="34">
        <f t="shared" si="124"/>
        <v>0.90344984629403979</v>
      </c>
    </row>
    <row r="7937" spans="13:15" x14ac:dyDescent="0.3">
      <c r="M7937" s="35">
        <v>70.12</v>
      </c>
      <c r="N7937">
        <v>305</v>
      </c>
      <c r="O7937" s="34">
        <f t="shared" si="124"/>
        <v>0.9035637026073724</v>
      </c>
    </row>
    <row r="7938" spans="13:15" x14ac:dyDescent="0.3">
      <c r="M7938" s="35">
        <v>70.19</v>
      </c>
      <c r="N7938">
        <v>305</v>
      </c>
      <c r="O7938" s="34">
        <f t="shared" si="124"/>
        <v>0.903677558920705</v>
      </c>
    </row>
    <row r="7939" spans="13:15" x14ac:dyDescent="0.3">
      <c r="M7939" s="35">
        <v>70.27</v>
      </c>
      <c r="N7939">
        <v>305</v>
      </c>
      <c r="O7939" s="34">
        <f t="shared" si="124"/>
        <v>0.90379141523403761</v>
      </c>
    </row>
    <row r="7940" spans="13:15" x14ac:dyDescent="0.3">
      <c r="M7940" s="35">
        <v>70.28</v>
      </c>
      <c r="N7940">
        <v>305</v>
      </c>
      <c r="O7940" s="34">
        <f t="shared" ref="O7940:O8003" si="125">O7939+O$2</f>
        <v>0.90390527154737021</v>
      </c>
    </row>
    <row r="7941" spans="13:15" x14ac:dyDescent="0.3">
      <c r="M7941" s="35">
        <v>70.290000000000006</v>
      </c>
      <c r="N7941">
        <v>305</v>
      </c>
      <c r="O7941" s="34">
        <f t="shared" si="125"/>
        <v>0.90401912786070282</v>
      </c>
    </row>
    <row r="7942" spans="13:15" x14ac:dyDescent="0.3">
      <c r="M7942" s="35">
        <v>70.39</v>
      </c>
      <c r="N7942">
        <v>305</v>
      </c>
      <c r="O7942" s="34">
        <f t="shared" si="125"/>
        <v>0.90413298417403543</v>
      </c>
    </row>
    <row r="7943" spans="13:15" x14ac:dyDescent="0.3">
      <c r="M7943" s="35">
        <v>70.41</v>
      </c>
      <c r="N7943">
        <v>305</v>
      </c>
      <c r="O7943" s="34">
        <f t="shared" si="125"/>
        <v>0.90424684048736803</v>
      </c>
    </row>
    <row r="7944" spans="13:15" x14ac:dyDescent="0.3">
      <c r="M7944" s="35">
        <v>70.42</v>
      </c>
      <c r="N7944">
        <v>305</v>
      </c>
      <c r="O7944" s="34">
        <f t="shared" si="125"/>
        <v>0.90436069680070064</v>
      </c>
    </row>
    <row r="7945" spans="13:15" x14ac:dyDescent="0.3">
      <c r="M7945" s="35">
        <v>70.430000000000007</v>
      </c>
      <c r="N7945">
        <v>305</v>
      </c>
      <c r="O7945" s="34">
        <f t="shared" si="125"/>
        <v>0.90447455311403324</v>
      </c>
    </row>
    <row r="7946" spans="13:15" x14ac:dyDescent="0.3">
      <c r="M7946" s="35">
        <v>70.45</v>
      </c>
      <c r="N7946">
        <v>305</v>
      </c>
      <c r="O7946" s="34">
        <f t="shared" si="125"/>
        <v>0.90458840942736585</v>
      </c>
    </row>
    <row r="7947" spans="13:15" x14ac:dyDescent="0.3">
      <c r="M7947" s="35">
        <v>70.45</v>
      </c>
      <c r="N7947">
        <v>305</v>
      </c>
      <c r="O7947" s="34">
        <f t="shared" si="125"/>
        <v>0.90470226574069845</v>
      </c>
    </row>
    <row r="7948" spans="13:15" x14ac:dyDescent="0.3">
      <c r="M7948" s="35">
        <v>70.47</v>
      </c>
      <c r="N7948">
        <v>305</v>
      </c>
      <c r="O7948" s="34">
        <f t="shared" si="125"/>
        <v>0.90481612205403106</v>
      </c>
    </row>
    <row r="7949" spans="13:15" x14ac:dyDescent="0.3">
      <c r="M7949" s="35">
        <v>70.47</v>
      </c>
      <c r="N7949">
        <v>305</v>
      </c>
      <c r="O7949" s="34">
        <f t="shared" si="125"/>
        <v>0.90492997836736366</v>
      </c>
    </row>
    <row r="7950" spans="13:15" x14ac:dyDescent="0.3">
      <c r="M7950" s="35">
        <v>70.53</v>
      </c>
      <c r="N7950">
        <v>305</v>
      </c>
      <c r="O7950" s="34">
        <f t="shared" si="125"/>
        <v>0.90504383468069627</v>
      </c>
    </row>
    <row r="7951" spans="13:15" x14ac:dyDescent="0.3">
      <c r="M7951" s="35">
        <v>70.61</v>
      </c>
      <c r="N7951">
        <v>305</v>
      </c>
      <c r="O7951" s="34">
        <f t="shared" si="125"/>
        <v>0.90515769099402887</v>
      </c>
    </row>
    <row r="7952" spans="13:15" x14ac:dyDescent="0.3">
      <c r="M7952" s="35">
        <v>70.709999999999994</v>
      </c>
      <c r="N7952">
        <v>305</v>
      </c>
      <c r="O7952" s="34">
        <f t="shared" si="125"/>
        <v>0.90527154730736148</v>
      </c>
    </row>
    <row r="7953" spans="13:15" x14ac:dyDescent="0.3">
      <c r="M7953" s="35">
        <v>70.739999999999995</v>
      </c>
      <c r="N7953">
        <v>305</v>
      </c>
      <c r="O7953" s="34">
        <f t="shared" si="125"/>
        <v>0.90538540362069408</v>
      </c>
    </row>
    <row r="7954" spans="13:15" x14ac:dyDescent="0.3">
      <c r="M7954" s="35">
        <v>70.739999999999995</v>
      </c>
      <c r="N7954">
        <v>305</v>
      </c>
      <c r="O7954" s="34">
        <f t="shared" si="125"/>
        <v>0.90549925993402669</v>
      </c>
    </row>
    <row r="7955" spans="13:15" x14ac:dyDescent="0.3">
      <c r="M7955" s="35">
        <v>70.790000000000006</v>
      </c>
      <c r="N7955">
        <v>305</v>
      </c>
      <c r="O7955" s="34">
        <f t="shared" si="125"/>
        <v>0.9056131162473593</v>
      </c>
    </row>
    <row r="7956" spans="13:15" x14ac:dyDescent="0.3">
      <c r="M7956" s="35">
        <v>70.819999999999993</v>
      </c>
      <c r="N7956">
        <v>305</v>
      </c>
      <c r="O7956" s="34">
        <f t="shared" si="125"/>
        <v>0.9057269725606919</v>
      </c>
    </row>
    <row r="7957" spans="13:15" x14ac:dyDescent="0.3">
      <c r="M7957" s="35">
        <v>70.86</v>
      </c>
      <c r="N7957">
        <v>305</v>
      </c>
      <c r="O7957" s="34">
        <f t="shared" si="125"/>
        <v>0.90584082887402451</v>
      </c>
    </row>
    <row r="7958" spans="13:15" x14ac:dyDescent="0.3">
      <c r="M7958" s="35">
        <v>70.88</v>
      </c>
      <c r="N7958">
        <v>305</v>
      </c>
      <c r="O7958" s="34">
        <f t="shared" si="125"/>
        <v>0.90595468518735711</v>
      </c>
    </row>
    <row r="7959" spans="13:15" x14ac:dyDescent="0.3">
      <c r="M7959" s="35">
        <v>70.97</v>
      </c>
      <c r="N7959">
        <v>305</v>
      </c>
      <c r="O7959" s="34">
        <f t="shared" si="125"/>
        <v>0.90606854150068972</v>
      </c>
    </row>
    <row r="7960" spans="13:15" x14ac:dyDescent="0.3">
      <c r="M7960" s="35">
        <v>70.98</v>
      </c>
      <c r="N7960">
        <v>305</v>
      </c>
      <c r="O7960" s="34">
        <f t="shared" si="125"/>
        <v>0.90618239781402232</v>
      </c>
    </row>
    <row r="7961" spans="13:15" x14ac:dyDescent="0.3">
      <c r="M7961" s="35">
        <v>70.98</v>
      </c>
      <c r="N7961">
        <v>305</v>
      </c>
      <c r="O7961" s="34">
        <f t="shared" si="125"/>
        <v>0.90629625412735493</v>
      </c>
    </row>
    <row r="7962" spans="13:15" x14ac:dyDescent="0.3">
      <c r="M7962" s="35">
        <v>70.989999999999995</v>
      </c>
      <c r="N7962">
        <v>305</v>
      </c>
      <c r="O7962" s="34">
        <f t="shared" si="125"/>
        <v>0.90641011044068753</v>
      </c>
    </row>
    <row r="7963" spans="13:15" x14ac:dyDescent="0.3">
      <c r="M7963" s="35">
        <v>71.010000000000005</v>
      </c>
      <c r="N7963">
        <v>305</v>
      </c>
      <c r="O7963" s="34">
        <f t="shared" si="125"/>
        <v>0.90652396675402014</v>
      </c>
    </row>
    <row r="7964" spans="13:15" x14ac:dyDescent="0.3">
      <c r="M7964" s="35">
        <v>71.010000000000005</v>
      </c>
      <c r="N7964">
        <v>305</v>
      </c>
      <c r="O7964" s="34">
        <f t="shared" si="125"/>
        <v>0.90663782306735274</v>
      </c>
    </row>
    <row r="7965" spans="13:15" x14ac:dyDescent="0.3">
      <c r="M7965" s="35">
        <v>71.02</v>
      </c>
      <c r="N7965">
        <v>305</v>
      </c>
      <c r="O7965" s="34">
        <f t="shared" si="125"/>
        <v>0.90675167938068535</v>
      </c>
    </row>
    <row r="7966" spans="13:15" x14ac:dyDescent="0.3">
      <c r="M7966" s="35">
        <v>71.05</v>
      </c>
      <c r="N7966">
        <v>305</v>
      </c>
      <c r="O7966" s="34">
        <f t="shared" si="125"/>
        <v>0.90686553569401795</v>
      </c>
    </row>
    <row r="7967" spans="13:15" x14ac:dyDescent="0.3">
      <c r="M7967" s="35">
        <v>71.06</v>
      </c>
      <c r="N7967">
        <v>305</v>
      </c>
      <c r="O7967" s="34">
        <f t="shared" si="125"/>
        <v>0.90697939200735056</v>
      </c>
    </row>
    <row r="7968" spans="13:15" x14ac:dyDescent="0.3">
      <c r="M7968" s="35">
        <v>71.08</v>
      </c>
      <c r="N7968">
        <v>305</v>
      </c>
      <c r="O7968" s="34">
        <f t="shared" si="125"/>
        <v>0.90709324832068317</v>
      </c>
    </row>
    <row r="7969" spans="13:15" x14ac:dyDescent="0.3">
      <c r="M7969" s="35">
        <v>71.14</v>
      </c>
      <c r="N7969">
        <v>305</v>
      </c>
      <c r="O7969" s="34">
        <f t="shared" si="125"/>
        <v>0.90720710463401577</v>
      </c>
    </row>
    <row r="7970" spans="13:15" x14ac:dyDescent="0.3">
      <c r="M7970" s="35">
        <v>71.25</v>
      </c>
      <c r="N7970">
        <v>305</v>
      </c>
      <c r="O7970" s="34">
        <f t="shared" si="125"/>
        <v>0.90732096094734838</v>
      </c>
    </row>
    <row r="7971" spans="13:15" x14ac:dyDescent="0.3">
      <c r="M7971" s="35">
        <v>71.290000000000006</v>
      </c>
      <c r="N7971">
        <v>305</v>
      </c>
      <c r="O7971" s="34">
        <f t="shared" si="125"/>
        <v>0.90743481726068098</v>
      </c>
    </row>
    <row r="7972" spans="13:15" x14ac:dyDescent="0.3">
      <c r="M7972" s="35">
        <v>71.3</v>
      </c>
      <c r="N7972">
        <v>305</v>
      </c>
      <c r="O7972" s="34">
        <f t="shared" si="125"/>
        <v>0.90754867357401359</v>
      </c>
    </row>
    <row r="7973" spans="13:15" x14ac:dyDescent="0.3">
      <c r="M7973" s="35">
        <v>71.31</v>
      </c>
      <c r="N7973">
        <v>305</v>
      </c>
      <c r="O7973" s="34">
        <f t="shared" si="125"/>
        <v>0.90766252988734619</v>
      </c>
    </row>
    <row r="7974" spans="13:15" x14ac:dyDescent="0.3">
      <c r="M7974" s="35">
        <v>71.319999999999993</v>
      </c>
      <c r="N7974">
        <v>305</v>
      </c>
      <c r="O7974" s="34">
        <f t="shared" si="125"/>
        <v>0.9077763862006788</v>
      </c>
    </row>
    <row r="7975" spans="13:15" x14ac:dyDescent="0.3">
      <c r="M7975" s="35">
        <v>71.349999999999994</v>
      </c>
      <c r="N7975">
        <v>305</v>
      </c>
      <c r="O7975" s="34">
        <f t="shared" si="125"/>
        <v>0.9078902425140114</v>
      </c>
    </row>
    <row r="7976" spans="13:15" x14ac:dyDescent="0.3">
      <c r="M7976" s="35">
        <v>71.459999999999994</v>
      </c>
      <c r="N7976">
        <v>305</v>
      </c>
      <c r="O7976" s="34">
        <f t="shared" si="125"/>
        <v>0.90800409882734401</v>
      </c>
    </row>
    <row r="7977" spans="13:15" x14ac:dyDescent="0.3">
      <c r="M7977" s="35">
        <v>71.510000000000005</v>
      </c>
      <c r="N7977">
        <v>305</v>
      </c>
      <c r="O7977" s="34">
        <f t="shared" si="125"/>
        <v>0.90811795514067661</v>
      </c>
    </row>
    <row r="7978" spans="13:15" x14ac:dyDescent="0.3">
      <c r="M7978" s="35">
        <v>71.62</v>
      </c>
      <c r="N7978">
        <v>305</v>
      </c>
      <c r="O7978" s="34">
        <f t="shared" si="125"/>
        <v>0.90823181145400922</v>
      </c>
    </row>
    <row r="7979" spans="13:15" x14ac:dyDescent="0.3">
      <c r="M7979" s="35">
        <v>71.64</v>
      </c>
      <c r="N7979">
        <v>305</v>
      </c>
      <c r="O7979" s="34">
        <f t="shared" si="125"/>
        <v>0.90834566776734182</v>
      </c>
    </row>
    <row r="7980" spans="13:15" x14ac:dyDescent="0.3">
      <c r="M7980" s="35">
        <v>71.75</v>
      </c>
      <c r="N7980">
        <v>305</v>
      </c>
      <c r="O7980" s="34">
        <f t="shared" si="125"/>
        <v>0.90845952408067443</v>
      </c>
    </row>
    <row r="7981" spans="13:15" x14ac:dyDescent="0.3">
      <c r="M7981" s="35">
        <v>71.760000000000005</v>
      </c>
      <c r="N7981">
        <v>305</v>
      </c>
      <c r="O7981" s="34">
        <f t="shared" si="125"/>
        <v>0.90857338039400704</v>
      </c>
    </row>
    <row r="7982" spans="13:15" x14ac:dyDescent="0.3">
      <c r="M7982" s="35">
        <v>71.78</v>
      </c>
      <c r="N7982">
        <v>305</v>
      </c>
      <c r="O7982" s="34">
        <f t="shared" si="125"/>
        <v>0.90868723670733964</v>
      </c>
    </row>
    <row r="7983" spans="13:15" x14ac:dyDescent="0.3">
      <c r="M7983" s="35">
        <v>71.81</v>
      </c>
      <c r="N7983">
        <v>305</v>
      </c>
      <c r="O7983" s="34">
        <f t="shared" si="125"/>
        <v>0.90880109302067225</v>
      </c>
    </row>
    <row r="7984" spans="13:15" x14ac:dyDescent="0.3">
      <c r="M7984" s="35">
        <v>71.87</v>
      </c>
      <c r="N7984">
        <v>305</v>
      </c>
      <c r="O7984" s="34">
        <f t="shared" si="125"/>
        <v>0.90891494933400485</v>
      </c>
    </row>
    <row r="7985" spans="13:15" x14ac:dyDescent="0.3">
      <c r="M7985" s="35">
        <v>71.87</v>
      </c>
      <c r="N7985">
        <v>305</v>
      </c>
      <c r="O7985" s="34">
        <f t="shared" si="125"/>
        <v>0.90902880564733746</v>
      </c>
    </row>
    <row r="7986" spans="13:15" x14ac:dyDescent="0.3">
      <c r="M7986" s="35">
        <v>71.88</v>
      </c>
      <c r="N7986">
        <v>305</v>
      </c>
      <c r="O7986" s="34">
        <f t="shared" si="125"/>
        <v>0.90914266196067006</v>
      </c>
    </row>
    <row r="7987" spans="13:15" x14ac:dyDescent="0.3">
      <c r="M7987" s="35">
        <v>71.89</v>
      </c>
      <c r="N7987">
        <v>305</v>
      </c>
      <c r="O7987" s="34">
        <f t="shared" si="125"/>
        <v>0.90925651827400267</v>
      </c>
    </row>
    <row r="7988" spans="13:15" x14ac:dyDescent="0.3">
      <c r="M7988" s="35">
        <v>71.95</v>
      </c>
      <c r="N7988">
        <v>305</v>
      </c>
      <c r="O7988" s="34">
        <f t="shared" si="125"/>
        <v>0.90937037458733527</v>
      </c>
    </row>
    <row r="7989" spans="13:15" x14ac:dyDescent="0.3">
      <c r="M7989" s="35">
        <v>71.989999999999995</v>
      </c>
      <c r="N7989">
        <v>305</v>
      </c>
      <c r="O7989" s="34">
        <f t="shared" si="125"/>
        <v>0.90948423090066788</v>
      </c>
    </row>
    <row r="7990" spans="13:15" x14ac:dyDescent="0.3">
      <c r="M7990" s="35">
        <v>72.14</v>
      </c>
      <c r="N7990">
        <v>305</v>
      </c>
      <c r="O7990" s="34">
        <f t="shared" si="125"/>
        <v>0.90959808721400048</v>
      </c>
    </row>
    <row r="7991" spans="13:15" x14ac:dyDescent="0.3">
      <c r="M7991" s="35">
        <v>72.19</v>
      </c>
      <c r="N7991">
        <v>305</v>
      </c>
      <c r="O7991" s="34">
        <f t="shared" si="125"/>
        <v>0.90971194352733309</v>
      </c>
    </row>
    <row r="7992" spans="13:15" x14ac:dyDescent="0.3">
      <c r="M7992" s="35">
        <v>72.27</v>
      </c>
      <c r="N7992">
        <v>305</v>
      </c>
      <c r="O7992" s="34">
        <f t="shared" si="125"/>
        <v>0.90982579984066569</v>
      </c>
    </row>
    <row r="7993" spans="13:15" x14ac:dyDescent="0.3">
      <c r="M7993" s="35">
        <v>72.349999999999994</v>
      </c>
      <c r="N7993">
        <v>305</v>
      </c>
      <c r="O7993" s="34">
        <f t="shared" si="125"/>
        <v>0.9099396561539983</v>
      </c>
    </row>
    <row r="7994" spans="13:15" x14ac:dyDescent="0.3">
      <c r="M7994" s="35">
        <v>72.41</v>
      </c>
      <c r="N7994">
        <v>305</v>
      </c>
      <c r="O7994" s="34">
        <f t="shared" si="125"/>
        <v>0.91005351246733091</v>
      </c>
    </row>
    <row r="7995" spans="13:15" x14ac:dyDescent="0.3">
      <c r="M7995" s="35">
        <v>72.41</v>
      </c>
      <c r="N7995">
        <v>305</v>
      </c>
      <c r="O7995" s="34">
        <f t="shared" si="125"/>
        <v>0.91016736878066351</v>
      </c>
    </row>
    <row r="7996" spans="13:15" x14ac:dyDescent="0.3">
      <c r="M7996" s="35">
        <v>72.459999999999994</v>
      </c>
      <c r="N7996">
        <v>305</v>
      </c>
      <c r="O7996" s="34">
        <f t="shared" si="125"/>
        <v>0.91028122509399612</v>
      </c>
    </row>
    <row r="7997" spans="13:15" x14ac:dyDescent="0.3">
      <c r="M7997" s="35">
        <v>72.55</v>
      </c>
      <c r="N7997">
        <v>305</v>
      </c>
      <c r="O7997" s="34">
        <f t="shared" si="125"/>
        <v>0.91039508140732872</v>
      </c>
    </row>
    <row r="7998" spans="13:15" x14ac:dyDescent="0.3">
      <c r="M7998" s="35">
        <v>72.56</v>
      </c>
      <c r="N7998">
        <v>305</v>
      </c>
      <c r="O7998" s="34">
        <f t="shared" si="125"/>
        <v>0.91050893772066133</v>
      </c>
    </row>
    <row r="7999" spans="13:15" x14ac:dyDescent="0.3">
      <c r="M7999" s="35">
        <v>72.67</v>
      </c>
      <c r="N7999">
        <v>305</v>
      </c>
      <c r="O7999" s="34">
        <f t="shared" si="125"/>
        <v>0.91062279403399393</v>
      </c>
    </row>
    <row r="8000" spans="13:15" x14ac:dyDescent="0.3">
      <c r="M8000" s="35">
        <v>72.680000000000007</v>
      </c>
      <c r="N8000">
        <v>305</v>
      </c>
      <c r="O8000" s="34">
        <f t="shared" si="125"/>
        <v>0.91073665034732654</v>
      </c>
    </row>
    <row r="8001" spans="13:15" x14ac:dyDescent="0.3">
      <c r="M8001" s="35">
        <v>72.69</v>
      </c>
      <c r="N8001">
        <v>305</v>
      </c>
      <c r="O8001" s="34">
        <f t="shared" si="125"/>
        <v>0.91085050666065914</v>
      </c>
    </row>
    <row r="8002" spans="13:15" x14ac:dyDescent="0.3">
      <c r="M8002" s="35">
        <v>72.7</v>
      </c>
      <c r="N8002">
        <v>305</v>
      </c>
      <c r="O8002" s="34">
        <f t="shared" si="125"/>
        <v>0.91096436297399175</v>
      </c>
    </row>
    <row r="8003" spans="13:15" x14ac:dyDescent="0.3">
      <c r="M8003" s="35">
        <v>72.73</v>
      </c>
      <c r="N8003">
        <v>305</v>
      </c>
      <c r="O8003" s="34">
        <f t="shared" si="125"/>
        <v>0.91107821928732435</v>
      </c>
    </row>
    <row r="8004" spans="13:15" x14ac:dyDescent="0.3">
      <c r="M8004" s="35">
        <v>72.83</v>
      </c>
      <c r="N8004">
        <v>305</v>
      </c>
      <c r="O8004" s="34">
        <f t="shared" ref="O8004:O8067" si="126">O8003+O$2</f>
        <v>0.91119207560065696</v>
      </c>
    </row>
    <row r="8005" spans="13:15" x14ac:dyDescent="0.3">
      <c r="M8005" s="35">
        <v>73.03</v>
      </c>
      <c r="N8005">
        <v>305</v>
      </c>
      <c r="O8005" s="34">
        <f t="shared" si="126"/>
        <v>0.91130593191398956</v>
      </c>
    </row>
    <row r="8006" spans="13:15" x14ac:dyDescent="0.3">
      <c r="M8006" s="35">
        <v>73.16</v>
      </c>
      <c r="N8006">
        <v>305</v>
      </c>
      <c r="O8006" s="34">
        <f t="shared" si="126"/>
        <v>0.91141978822732217</v>
      </c>
    </row>
    <row r="8007" spans="13:15" x14ac:dyDescent="0.3">
      <c r="M8007" s="35">
        <v>73.19</v>
      </c>
      <c r="N8007">
        <v>305</v>
      </c>
      <c r="O8007" s="34">
        <f t="shared" si="126"/>
        <v>0.91153364454065477</v>
      </c>
    </row>
    <row r="8008" spans="13:15" x14ac:dyDescent="0.3">
      <c r="M8008" s="35">
        <v>73.31</v>
      </c>
      <c r="N8008">
        <v>305</v>
      </c>
      <c r="O8008" s="34">
        <f t="shared" si="126"/>
        <v>0.91164750085398738</v>
      </c>
    </row>
    <row r="8009" spans="13:15" x14ac:dyDescent="0.3">
      <c r="M8009" s="35">
        <v>73.319999999999993</v>
      </c>
      <c r="N8009">
        <v>305</v>
      </c>
      <c r="O8009" s="34">
        <f t="shared" si="126"/>
        <v>0.91176135716731999</v>
      </c>
    </row>
    <row r="8010" spans="13:15" x14ac:dyDescent="0.3">
      <c r="M8010" s="35">
        <v>73.33</v>
      </c>
      <c r="N8010">
        <v>305</v>
      </c>
      <c r="O8010" s="34">
        <f t="shared" si="126"/>
        <v>0.91187521348065259</v>
      </c>
    </row>
    <row r="8011" spans="13:15" x14ac:dyDescent="0.3">
      <c r="M8011" s="35">
        <v>73.42</v>
      </c>
      <c r="N8011">
        <v>305</v>
      </c>
      <c r="O8011" s="34">
        <f t="shared" si="126"/>
        <v>0.9119890697939852</v>
      </c>
    </row>
    <row r="8012" spans="13:15" x14ac:dyDescent="0.3">
      <c r="M8012" s="35">
        <v>73.430000000000007</v>
      </c>
      <c r="N8012">
        <v>305</v>
      </c>
      <c r="O8012" s="34">
        <f t="shared" si="126"/>
        <v>0.9121029261073178</v>
      </c>
    </row>
    <row r="8013" spans="13:15" x14ac:dyDescent="0.3">
      <c r="M8013" s="35">
        <v>73.48</v>
      </c>
      <c r="N8013">
        <v>305</v>
      </c>
      <c r="O8013" s="34">
        <f t="shared" si="126"/>
        <v>0.91221678242065041</v>
      </c>
    </row>
    <row r="8014" spans="13:15" x14ac:dyDescent="0.3">
      <c r="M8014" s="35">
        <v>73.540000000000006</v>
      </c>
      <c r="N8014">
        <v>305</v>
      </c>
      <c r="O8014" s="34">
        <f t="shared" si="126"/>
        <v>0.91233063873398301</v>
      </c>
    </row>
    <row r="8015" spans="13:15" x14ac:dyDescent="0.3">
      <c r="M8015" s="35">
        <v>73.540000000000006</v>
      </c>
      <c r="N8015">
        <v>305</v>
      </c>
      <c r="O8015" s="34">
        <f t="shared" si="126"/>
        <v>0.91244449504731562</v>
      </c>
    </row>
    <row r="8016" spans="13:15" x14ac:dyDescent="0.3">
      <c r="M8016" s="35">
        <v>73.650000000000006</v>
      </c>
      <c r="N8016">
        <v>305</v>
      </c>
      <c r="O8016" s="34">
        <f t="shared" si="126"/>
        <v>0.91255835136064822</v>
      </c>
    </row>
    <row r="8017" spans="13:15" x14ac:dyDescent="0.3">
      <c r="M8017" s="35">
        <v>73.78</v>
      </c>
      <c r="N8017">
        <v>305</v>
      </c>
      <c r="O8017" s="34">
        <f t="shared" si="126"/>
        <v>0.91267220767398083</v>
      </c>
    </row>
    <row r="8018" spans="13:15" x14ac:dyDescent="0.3">
      <c r="M8018" s="35">
        <v>73.849999999999994</v>
      </c>
      <c r="N8018">
        <v>305</v>
      </c>
      <c r="O8018" s="34">
        <f t="shared" si="126"/>
        <v>0.91278606398731343</v>
      </c>
    </row>
    <row r="8019" spans="13:15" x14ac:dyDescent="0.3">
      <c r="M8019" s="35">
        <v>73.900000000000006</v>
      </c>
      <c r="N8019">
        <v>305</v>
      </c>
      <c r="O8019" s="34">
        <f t="shared" si="126"/>
        <v>0.91289992030064604</v>
      </c>
    </row>
    <row r="8020" spans="13:15" x14ac:dyDescent="0.3">
      <c r="M8020" s="35">
        <v>73.92</v>
      </c>
      <c r="N8020">
        <v>305</v>
      </c>
      <c r="O8020" s="34">
        <f t="shared" si="126"/>
        <v>0.91301377661397864</v>
      </c>
    </row>
    <row r="8021" spans="13:15" x14ac:dyDescent="0.3">
      <c r="M8021" s="35">
        <v>73.97</v>
      </c>
      <c r="N8021">
        <v>305</v>
      </c>
      <c r="O8021" s="34">
        <f t="shared" si="126"/>
        <v>0.91312763292731125</v>
      </c>
    </row>
    <row r="8022" spans="13:15" x14ac:dyDescent="0.3">
      <c r="M8022" s="35">
        <v>74.05</v>
      </c>
      <c r="N8022">
        <v>305</v>
      </c>
      <c r="O8022" s="34">
        <f t="shared" si="126"/>
        <v>0.91324148924064386</v>
      </c>
    </row>
    <row r="8023" spans="13:15" x14ac:dyDescent="0.3">
      <c r="M8023" s="35">
        <v>74.209999999999994</v>
      </c>
      <c r="N8023">
        <v>305</v>
      </c>
      <c r="O8023" s="34">
        <f t="shared" si="126"/>
        <v>0.91335534555397646</v>
      </c>
    </row>
    <row r="8024" spans="13:15" x14ac:dyDescent="0.3">
      <c r="M8024" s="35">
        <v>74.27</v>
      </c>
      <c r="N8024">
        <v>305</v>
      </c>
      <c r="O8024" s="34">
        <f t="shared" si="126"/>
        <v>0.91346920186730907</v>
      </c>
    </row>
    <row r="8025" spans="13:15" x14ac:dyDescent="0.3">
      <c r="M8025" s="35">
        <v>74.3</v>
      </c>
      <c r="N8025">
        <v>305</v>
      </c>
      <c r="O8025" s="34">
        <f t="shared" si="126"/>
        <v>0.91358305818064167</v>
      </c>
    </row>
    <row r="8026" spans="13:15" x14ac:dyDescent="0.3">
      <c r="M8026" s="35">
        <v>74.37</v>
      </c>
      <c r="N8026">
        <v>305</v>
      </c>
      <c r="O8026" s="34">
        <f t="shared" si="126"/>
        <v>0.91369691449397428</v>
      </c>
    </row>
    <row r="8027" spans="13:15" x14ac:dyDescent="0.3">
      <c r="M8027" s="35">
        <v>74.400000000000006</v>
      </c>
      <c r="N8027">
        <v>305</v>
      </c>
      <c r="O8027" s="34">
        <f t="shared" si="126"/>
        <v>0.91381077080730688</v>
      </c>
    </row>
    <row r="8028" spans="13:15" x14ac:dyDescent="0.3">
      <c r="M8028" s="35">
        <v>74.42</v>
      </c>
      <c r="N8028">
        <v>305</v>
      </c>
      <c r="O8028" s="34">
        <f t="shared" si="126"/>
        <v>0.91392462712063949</v>
      </c>
    </row>
    <row r="8029" spans="13:15" x14ac:dyDescent="0.3">
      <c r="M8029" s="35">
        <v>74.53</v>
      </c>
      <c r="N8029">
        <v>305</v>
      </c>
      <c r="O8029" s="34">
        <f t="shared" si="126"/>
        <v>0.91403848343397209</v>
      </c>
    </row>
    <row r="8030" spans="13:15" x14ac:dyDescent="0.3">
      <c r="M8030" s="35">
        <v>74.53</v>
      </c>
      <c r="N8030">
        <v>305</v>
      </c>
      <c r="O8030" s="34">
        <f t="shared" si="126"/>
        <v>0.9141523397473047</v>
      </c>
    </row>
    <row r="8031" spans="13:15" x14ac:dyDescent="0.3">
      <c r="M8031" s="35">
        <v>74.599999999999994</v>
      </c>
      <c r="N8031">
        <v>305</v>
      </c>
      <c r="O8031" s="34">
        <f t="shared" si="126"/>
        <v>0.9142661960606373</v>
      </c>
    </row>
    <row r="8032" spans="13:15" x14ac:dyDescent="0.3">
      <c r="M8032" s="35">
        <v>74.62</v>
      </c>
      <c r="N8032">
        <v>305</v>
      </c>
      <c r="O8032" s="34">
        <f t="shared" si="126"/>
        <v>0.91438005237396991</v>
      </c>
    </row>
    <row r="8033" spans="13:15" x14ac:dyDescent="0.3">
      <c r="M8033" s="35">
        <v>74.63</v>
      </c>
      <c r="N8033">
        <v>305</v>
      </c>
      <c r="O8033" s="34">
        <f t="shared" si="126"/>
        <v>0.91449390868730251</v>
      </c>
    </row>
    <row r="8034" spans="13:15" x14ac:dyDescent="0.3">
      <c r="M8034" s="35">
        <v>74.650000000000006</v>
      </c>
      <c r="N8034">
        <v>305</v>
      </c>
      <c r="O8034" s="34">
        <f t="shared" si="126"/>
        <v>0.91460776500063512</v>
      </c>
    </row>
    <row r="8035" spans="13:15" x14ac:dyDescent="0.3">
      <c r="M8035" s="35">
        <v>74.72</v>
      </c>
      <c r="N8035">
        <v>305</v>
      </c>
      <c r="O8035" s="34">
        <f t="shared" si="126"/>
        <v>0.91472162131396773</v>
      </c>
    </row>
    <row r="8036" spans="13:15" x14ac:dyDescent="0.3">
      <c r="M8036" s="35">
        <v>74.75</v>
      </c>
      <c r="N8036">
        <v>305</v>
      </c>
      <c r="O8036" s="34">
        <f t="shared" si="126"/>
        <v>0.91483547762730033</v>
      </c>
    </row>
    <row r="8037" spans="13:15" x14ac:dyDescent="0.3">
      <c r="M8037" s="35">
        <v>74.819999999999993</v>
      </c>
      <c r="N8037">
        <v>305</v>
      </c>
      <c r="O8037" s="34">
        <f t="shared" si="126"/>
        <v>0.91494933394063294</v>
      </c>
    </row>
    <row r="8038" spans="13:15" x14ac:dyDescent="0.3">
      <c r="M8038" s="35">
        <v>74.84</v>
      </c>
      <c r="N8038">
        <v>305</v>
      </c>
      <c r="O8038" s="34">
        <f t="shared" si="126"/>
        <v>0.91506319025396554</v>
      </c>
    </row>
    <row r="8039" spans="13:15" x14ac:dyDescent="0.3">
      <c r="M8039" s="35">
        <v>74.849999999999994</v>
      </c>
      <c r="N8039">
        <v>305</v>
      </c>
      <c r="O8039" s="34">
        <f t="shared" si="126"/>
        <v>0.91517704656729815</v>
      </c>
    </row>
    <row r="8040" spans="13:15" x14ac:dyDescent="0.3">
      <c r="M8040" s="35">
        <v>74.849999999999994</v>
      </c>
      <c r="N8040">
        <v>305</v>
      </c>
      <c r="O8040" s="34">
        <f t="shared" si="126"/>
        <v>0.91529090288063075</v>
      </c>
    </row>
    <row r="8041" spans="13:15" x14ac:dyDescent="0.3">
      <c r="M8041" s="35">
        <v>74.88</v>
      </c>
      <c r="N8041">
        <v>305</v>
      </c>
      <c r="O8041" s="34">
        <f t="shared" si="126"/>
        <v>0.91540475919396336</v>
      </c>
    </row>
    <row r="8042" spans="13:15" x14ac:dyDescent="0.3">
      <c r="M8042" s="35">
        <v>74.88</v>
      </c>
      <c r="N8042">
        <v>305</v>
      </c>
      <c r="O8042" s="34">
        <f t="shared" si="126"/>
        <v>0.91551861550729596</v>
      </c>
    </row>
    <row r="8043" spans="13:15" x14ac:dyDescent="0.3">
      <c r="M8043" s="35">
        <v>74.98</v>
      </c>
      <c r="N8043">
        <v>305</v>
      </c>
      <c r="O8043" s="34">
        <f t="shared" si="126"/>
        <v>0.91563247182062857</v>
      </c>
    </row>
    <row r="8044" spans="13:15" x14ac:dyDescent="0.3">
      <c r="M8044" s="35">
        <v>74.98</v>
      </c>
      <c r="N8044">
        <v>305</v>
      </c>
      <c r="O8044" s="34">
        <f t="shared" si="126"/>
        <v>0.91574632813396117</v>
      </c>
    </row>
    <row r="8045" spans="13:15" x14ac:dyDescent="0.3">
      <c r="M8045" s="35">
        <v>75.010000000000005</v>
      </c>
      <c r="N8045">
        <v>305</v>
      </c>
      <c r="O8045" s="34">
        <f t="shared" si="126"/>
        <v>0.91586018444729378</v>
      </c>
    </row>
    <row r="8046" spans="13:15" x14ac:dyDescent="0.3">
      <c r="M8046" s="35">
        <v>75.02</v>
      </c>
      <c r="N8046">
        <v>305</v>
      </c>
      <c r="O8046" s="34">
        <f t="shared" si="126"/>
        <v>0.91597404076062638</v>
      </c>
    </row>
    <row r="8047" spans="13:15" x14ac:dyDescent="0.3">
      <c r="M8047" s="35">
        <v>75.05</v>
      </c>
      <c r="N8047">
        <v>305</v>
      </c>
      <c r="O8047" s="34">
        <f t="shared" si="126"/>
        <v>0.91608789707395899</v>
      </c>
    </row>
    <row r="8048" spans="13:15" x14ac:dyDescent="0.3">
      <c r="M8048" s="35">
        <v>75.06</v>
      </c>
      <c r="N8048">
        <v>305</v>
      </c>
      <c r="O8048" s="34">
        <f t="shared" si="126"/>
        <v>0.9162017533872916</v>
      </c>
    </row>
    <row r="8049" spans="13:15" x14ac:dyDescent="0.3">
      <c r="M8049" s="35">
        <v>75.099999999999994</v>
      </c>
      <c r="N8049">
        <v>305</v>
      </c>
      <c r="O8049" s="34">
        <f t="shared" si="126"/>
        <v>0.9163156097006242</v>
      </c>
    </row>
    <row r="8050" spans="13:15" x14ac:dyDescent="0.3">
      <c r="M8050" s="35">
        <v>75.13</v>
      </c>
      <c r="N8050">
        <v>305</v>
      </c>
      <c r="O8050" s="34">
        <f t="shared" si="126"/>
        <v>0.91642946601395681</v>
      </c>
    </row>
    <row r="8051" spans="13:15" x14ac:dyDescent="0.3">
      <c r="M8051" s="35">
        <v>75.17</v>
      </c>
      <c r="N8051">
        <v>305</v>
      </c>
      <c r="O8051" s="34">
        <f t="shared" si="126"/>
        <v>0.91654332232728941</v>
      </c>
    </row>
    <row r="8052" spans="13:15" x14ac:dyDescent="0.3">
      <c r="M8052" s="35">
        <v>75.290000000000006</v>
      </c>
      <c r="N8052">
        <v>305</v>
      </c>
      <c r="O8052" s="34">
        <f t="shared" si="126"/>
        <v>0.91665717864062202</v>
      </c>
    </row>
    <row r="8053" spans="13:15" x14ac:dyDescent="0.3">
      <c r="M8053" s="35">
        <v>75.319999999999993</v>
      </c>
      <c r="N8053">
        <v>305</v>
      </c>
      <c r="O8053" s="34">
        <f t="shared" si="126"/>
        <v>0.91677103495395462</v>
      </c>
    </row>
    <row r="8054" spans="13:15" x14ac:dyDescent="0.3">
      <c r="M8054" s="35">
        <v>75.41</v>
      </c>
      <c r="N8054">
        <v>305</v>
      </c>
      <c r="O8054" s="34">
        <f t="shared" si="126"/>
        <v>0.91688489126728723</v>
      </c>
    </row>
    <row r="8055" spans="13:15" x14ac:dyDescent="0.3">
      <c r="M8055" s="35">
        <v>75.52</v>
      </c>
      <c r="N8055">
        <v>305</v>
      </c>
      <c r="O8055" s="34">
        <f t="shared" si="126"/>
        <v>0.91699874758061983</v>
      </c>
    </row>
    <row r="8056" spans="13:15" x14ac:dyDescent="0.3">
      <c r="M8056" s="35">
        <v>75.540000000000006</v>
      </c>
      <c r="N8056">
        <v>305</v>
      </c>
      <c r="O8056" s="34">
        <f t="shared" si="126"/>
        <v>0.91711260389395244</v>
      </c>
    </row>
    <row r="8057" spans="13:15" x14ac:dyDescent="0.3">
      <c r="M8057" s="35">
        <v>75.599999999999994</v>
      </c>
      <c r="N8057">
        <v>305</v>
      </c>
      <c r="O8057" s="34">
        <f t="shared" si="126"/>
        <v>0.91722646020728504</v>
      </c>
    </row>
    <row r="8058" spans="13:15" x14ac:dyDescent="0.3">
      <c r="M8058" s="35">
        <v>75.63</v>
      </c>
      <c r="N8058">
        <v>305</v>
      </c>
      <c r="O8058" s="34">
        <f t="shared" si="126"/>
        <v>0.91734031652061765</v>
      </c>
    </row>
    <row r="8059" spans="13:15" x14ac:dyDescent="0.3">
      <c r="M8059" s="35">
        <v>75.7</v>
      </c>
      <c r="N8059">
        <v>305</v>
      </c>
      <c r="O8059" s="34">
        <f t="shared" si="126"/>
        <v>0.91745417283395025</v>
      </c>
    </row>
    <row r="8060" spans="13:15" x14ac:dyDescent="0.3">
      <c r="M8060" s="35">
        <v>75.78</v>
      </c>
      <c r="N8060">
        <v>305</v>
      </c>
      <c r="O8060" s="34">
        <f t="shared" si="126"/>
        <v>0.91756802914728286</v>
      </c>
    </row>
    <row r="8061" spans="13:15" x14ac:dyDescent="0.3">
      <c r="M8061" s="35">
        <v>75.84</v>
      </c>
      <c r="N8061">
        <v>305</v>
      </c>
      <c r="O8061" s="34">
        <f t="shared" si="126"/>
        <v>0.91768188546061547</v>
      </c>
    </row>
    <row r="8062" spans="13:15" x14ac:dyDescent="0.3">
      <c r="M8062" s="35">
        <v>76.03</v>
      </c>
      <c r="N8062">
        <v>305</v>
      </c>
      <c r="O8062" s="34">
        <f t="shared" si="126"/>
        <v>0.91779574177394807</v>
      </c>
    </row>
    <row r="8063" spans="13:15" x14ac:dyDescent="0.3">
      <c r="M8063" s="35">
        <v>76.09</v>
      </c>
      <c r="N8063">
        <v>305</v>
      </c>
      <c r="O8063" s="34">
        <f t="shared" si="126"/>
        <v>0.91790959808728068</v>
      </c>
    </row>
    <row r="8064" spans="13:15" x14ac:dyDescent="0.3">
      <c r="M8064" s="35">
        <v>76.12</v>
      </c>
      <c r="N8064">
        <v>305</v>
      </c>
      <c r="O8064" s="34">
        <f t="shared" si="126"/>
        <v>0.91802345440061328</v>
      </c>
    </row>
    <row r="8065" spans="13:15" x14ac:dyDescent="0.3">
      <c r="M8065" s="35">
        <v>76.2</v>
      </c>
      <c r="N8065">
        <v>305</v>
      </c>
      <c r="O8065" s="34">
        <f t="shared" si="126"/>
        <v>0.91813731071394589</v>
      </c>
    </row>
    <row r="8066" spans="13:15" x14ac:dyDescent="0.3">
      <c r="M8066" s="35">
        <v>76.209999999999994</v>
      </c>
      <c r="N8066">
        <v>305</v>
      </c>
      <c r="O8066" s="34">
        <f t="shared" si="126"/>
        <v>0.91825116702727849</v>
      </c>
    </row>
    <row r="8067" spans="13:15" x14ac:dyDescent="0.3">
      <c r="M8067" s="35">
        <v>76.22</v>
      </c>
      <c r="N8067">
        <v>305</v>
      </c>
      <c r="O8067" s="34">
        <f t="shared" si="126"/>
        <v>0.9183650233406111</v>
      </c>
    </row>
    <row r="8068" spans="13:15" x14ac:dyDescent="0.3">
      <c r="M8068" s="35">
        <v>76.31</v>
      </c>
      <c r="N8068">
        <v>305</v>
      </c>
      <c r="O8068" s="34">
        <f t="shared" ref="O8068:O8131" si="127">O8067+O$2</f>
        <v>0.9184788796539437</v>
      </c>
    </row>
    <row r="8069" spans="13:15" x14ac:dyDescent="0.3">
      <c r="M8069" s="35">
        <v>76.349999999999994</v>
      </c>
      <c r="N8069">
        <v>305</v>
      </c>
      <c r="O8069" s="34">
        <f t="shared" si="127"/>
        <v>0.91859273596727631</v>
      </c>
    </row>
    <row r="8070" spans="13:15" x14ac:dyDescent="0.3">
      <c r="M8070" s="35">
        <v>76.42</v>
      </c>
      <c r="N8070">
        <v>305</v>
      </c>
      <c r="O8070" s="34">
        <f t="shared" si="127"/>
        <v>0.91870659228060891</v>
      </c>
    </row>
    <row r="8071" spans="13:15" x14ac:dyDescent="0.3">
      <c r="M8071" s="35">
        <v>76.42</v>
      </c>
      <c r="N8071">
        <v>305</v>
      </c>
      <c r="O8071" s="34">
        <f t="shared" si="127"/>
        <v>0.91882044859394152</v>
      </c>
    </row>
    <row r="8072" spans="13:15" x14ac:dyDescent="0.3">
      <c r="M8072" s="35">
        <v>76.430000000000007</v>
      </c>
      <c r="N8072">
        <v>305</v>
      </c>
      <c r="O8072" s="34">
        <f t="shared" si="127"/>
        <v>0.91893430490727412</v>
      </c>
    </row>
    <row r="8073" spans="13:15" x14ac:dyDescent="0.3">
      <c r="M8073" s="35">
        <v>76.58</v>
      </c>
      <c r="N8073">
        <v>305</v>
      </c>
      <c r="O8073" s="34">
        <f t="shared" si="127"/>
        <v>0.91904816122060673</v>
      </c>
    </row>
    <row r="8074" spans="13:15" x14ac:dyDescent="0.3">
      <c r="M8074" s="35">
        <v>76.599999999999994</v>
      </c>
      <c r="N8074">
        <v>305</v>
      </c>
      <c r="O8074" s="34">
        <f t="shared" si="127"/>
        <v>0.91916201753393934</v>
      </c>
    </row>
    <row r="8075" spans="13:15" x14ac:dyDescent="0.3">
      <c r="M8075" s="35">
        <v>76.62</v>
      </c>
      <c r="N8075">
        <v>305</v>
      </c>
      <c r="O8075" s="34">
        <f t="shared" si="127"/>
        <v>0.91927587384727194</v>
      </c>
    </row>
    <row r="8076" spans="13:15" x14ac:dyDescent="0.3">
      <c r="M8076" s="35">
        <v>76.650000000000006</v>
      </c>
      <c r="N8076">
        <v>305</v>
      </c>
      <c r="O8076" s="34">
        <f t="shared" si="127"/>
        <v>0.91938973016060455</v>
      </c>
    </row>
    <row r="8077" spans="13:15" x14ac:dyDescent="0.3">
      <c r="M8077" s="35">
        <v>76.66</v>
      </c>
      <c r="N8077">
        <v>305</v>
      </c>
      <c r="O8077" s="34">
        <f t="shared" si="127"/>
        <v>0.91950358647393715</v>
      </c>
    </row>
    <row r="8078" spans="13:15" x14ac:dyDescent="0.3">
      <c r="M8078" s="35">
        <v>76.680000000000007</v>
      </c>
      <c r="N8078">
        <v>305</v>
      </c>
      <c r="O8078" s="34">
        <f t="shared" si="127"/>
        <v>0.91961744278726976</v>
      </c>
    </row>
    <row r="8079" spans="13:15" x14ac:dyDescent="0.3">
      <c r="M8079" s="35">
        <v>76.739999999999995</v>
      </c>
      <c r="N8079">
        <v>305</v>
      </c>
      <c r="O8079" s="34">
        <f t="shared" si="127"/>
        <v>0.91973129910060236</v>
      </c>
    </row>
    <row r="8080" spans="13:15" x14ac:dyDescent="0.3">
      <c r="M8080" s="35">
        <v>76.760000000000005</v>
      </c>
      <c r="N8080">
        <v>305</v>
      </c>
      <c r="O8080" s="34">
        <f t="shared" si="127"/>
        <v>0.91984515541393497</v>
      </c>
    </row>
    <row r="8081" spans="13:15" x14ac:dyDescent="0.3">
      <c r="M8081" s="35">
        <v>76.89</v>
      </c>
      <c r="N8081">
        <v>305</v>
      </c>
      <c r="O8081" s="34">
        <f t="shared" si="127"/>
        <v>0.91995901172726757</v>
      </c>
    </row>
    <row r="8082" spans="13:15" x14ac:dyDescent="0.3">
      <c r="M8082" s="35">
        <v>76.97</v>
      </c>
      <c r="N8082">
        <v>305</v>
      </c>
      <c r="O8082" s="34">
        <f t="shared" si="127"/>
        <v>0.92007286804060018</v>
      </c>
    </row>
    <row r="8083" spans="13:15" x14ac:dyDescent="0.3">
      <c r="M8083" s="35">
        <v>76.97</v>
      </c>
      <c r="N8083">
        <v>305</v>
      </c>
      <c r="O8083" s="34">
        <f t="shared" si="127"/>
        <v>0.92018672435393278</v>
      </c>
    </row>
    <row r="8084" spans="13:15" x14ac:dyDescent="0.3">
      <c r="M8084" s="35">
        <v>77.040000000000006</v>
      </c>
      <c r="N8084">
        <v>305</v>
      </c>
      <c r="O8084" s="34">
        <f t="shared" si="127"/>
        <v>0.92030058066726539</v>
      </c>
    </row>
    <row r="8085" spans="13:15" x14ac:dyDescent="0.3">
      <c r="M8085" s="35">
        <v>77.06</v>
      </c>
      <c r="N8085">
        <v>305</v>
      </c>
      <c r="O8085" s="34">
        <f t="shared" si="127"/>
        <v>0.92041443698059799</v>
      </c>
    </row>
    <row r="8086" spans="13:15" x14ac:dyDescent="0.3">
      <c r="M8086" s="35">
        <v>77.099999999999994</v>
      </c>
      <c r="N8086">
        <v>305</v>
      </c>
      <c r="O8086" s="34">
        <f t="shared" si="127"/>
        <v>0.9205282932939306</v>
      </c>
    </row>
    <row r="8087" spans="13:15" x14ac:dyDescent="0.3">
      <c r="M8087" s="35">
        <v>77.13</v>
      </c>
      <c r="N8087">
        <v>305</v>
      </c>
      <c r="O8087" s="34">
        <f t="shared" si="127"/>
        <v>0.9206421496072632</v>
      </c>
    </row>
    <row r="8088" spans="13:15" x14ac:dyDescent="0.3">
      <c r="M8088" s="35">
        <v>77.13</v>
      </c>
      <c r="N8088">
        <v>305</v>
      </c>
      <c r="O8088" s="34">
        <f t="shared" si="127"/>
        <v>0.92075600592059581</v>
      </c>
    </row>
    <row r="8089" spans="13:15" x14ac:dyDescent="0.3">
      <c r="M8089" s="35">
        <v>77.14</v>
      </c>
      <c r="N8089">
        <v>305</v>
      </c>
      <c r="O8089" s="34">
        <f t="shared" si="127"/>
        <v>0.92086986223392842</v>
      </c>
    </row>
    <row r="8090" spans="13:15" x14ac:dyDescent="0.3">
      <c r="M8090" s="35">
        <v>77.180000000000007</v>
      </c>
      <c r="N8090">
        <v>305</v>
      </c>
      <c r="O8090" s="34">
        <f t="shared" si="127"/>
        <v>0.92098371854726102</v>
      </c>
    </row>
    <row r="8091" spans="13:15" x14ac:dyDescent="0.3">
      <c r="M8091" s="35">
        <v>77.239999999999995</v>
      </c>
      <c r="N8091">
        <v>305</v>
      </c>
      <c r="O8091" s="34">
        <f t="shared" si="127"/>
        <v>0.92109757486059363</v>
      </c>
    </row>
    <row r="8092" spans="13:15" x14ac:dyDescent="0.3">
      <c r="M8092" s="35">
        <v>77.28</v>
      </c>
      <c r="N8092">
        <v>305</v>
      </c>
      <c r="O8092" s="34">
        <f t="shared" si="127"/>
        <v>0.92121143117392623</v>
      </c>
    </row>
    <row r="8093" spans="13:15" x14ac:dyDescent="0.3">
      <c r="M8093" s="35">
        <v>77.31</v>
      </c>
      <c r="N8093">
        <v>305</v>
      </c>
      <c r="O8093" s="34">
        <f t="shared" si="127"/>
        <v>0.92132528748725884</v>
      </c>
    </row>
    <row r="8094" spans="13:15" x14ac:dyDescent="0.3">
      <c r="M8094" s="35">
        <v>77.319999999999993</v>
      </c>
      <c r="N8094">
        <v>305</v>
      </c>
      <c r="O8094" s="34">
        <f t="shared" si="127"/>
        <v>0.92143914380059144</v>
      </c>
    </row>
    <row r="8095" spans="13:15" x14ac:dyDescent="0.3">
      <c r="M8095" s="35">
        <v>77.37</v>
      </c>
      <c r="N8095">
        <v>305</v>
      </c>
      <c r="O8095" s="34">
        <f t="shared" si="127"/>
        <v>0.92155300011392405</v>
      </c>
    </row>
    <row r="8096" spans="13:15" x14ac:dyDescent="0.3">
      <c r="M8096" s="35">
        <v>77.41</v>
      </c>
      <c r="N8096">
        <v>305</v>
      </c>
      <c r="O8096" s="34">
        <f t="shared" si="127"/>
        <v>0.92166685642725665</v>
      </c>
    </row>
    <row r="8097" spans="13:15" x14ac:dyDescent="0.3">
      <c r="M8097" s="35">
        <v>77.42</v>
      </c>
      <c r="N8097">
        <v>305</v>
      </c>
      <c r="O8097" s="34">
        <f t="shared" si="127"/>
        <v>0.92178071274058926</v>
      </c>
    </row>
    <row r="8098" spans="13:15" x14ac:dyDescent="0.3">
      <c r="M8098" s="35">
        <v>77.44</v>
      </c>
      <c r="N8098">
        <v>305</v>
      </c>
      <c r="O8098" s="34">
        <f t="shared" si="127"/>
        <v>0.92189456905392186</v>
      </c>
    </row>
    <row r="8099" spans="13:15" x14ac:dyDescent="0.3">
      <c r="M8099" s="35">
        <v>77.45</v>
      </c>
      <c r="N8099">
        <v>305</v>
      </c>
      <c r="O8099" s="34">
        <f t="shared" si="127"/>
        <v>0.92200842536725447</v>
      </c>
    </row>
    <row r="8100" spans="13:15" x14ac:dyDescent="0.3">
      <c r="M8100" s="35">
        <v>77.45</v>
      </c>
      <c r="N8100">
        <v>305</v>
      </c>
      <c r="O8100" s="34">
        <f t="shared" si="127"/>
        <v>0.92212228168058707</v>
      </c>
    </row>
    <row r="8101" spans="13:15" x14ac:dyDescent="0.3">
      <c r="M8101" s="35">
        <v>77.459999999999994</v>
      </c>
      <c r="N8101">
        <v>305</v>
      </c>
      <c r="O8101" s="34">
        <f t="shared" si="127"/>
        <v>0.92223613799391968</v>
      </c>
    </row>
    <row r="8102" spans="13:15" x14ac:dyDescent="0.3">
      <c r="M8102" s="35">
        <v>77.48</v>
      </c>
      <c r="N8102">
        <v>305</v>
      </c>
      <c r="O8102" s="34">
        <f t="shared" si="127"/>
        <v>0.92234999430725229</v>
      </c>
    </row>
    <row r="8103" spans="13:15" x14ac:dyDescent="0.3">
      <c r="M8103" s="35">
        <v>77.489999999999995</v>
      </c>
      <c r="N8103">
        <v>305</v>
      </c>
      <c r="O8103" s="34">
        <f t="shared" si="127"/>
        <v>0.92246385062058489</v>
      </c>
    </row>
    <row r="8104" spans="13:15" x14ac:dyDescent="0.3">
      <c r="M8104" s="35">
        <v>77.569999999999993</v>
      </c>
      <c r="N8104">
        <v>305</v>
      </c>
      <c r="O8104" s="34">
        <f t="shared" si="127"/>
        <v>0.9225777069339175</v>
      </c>
    </row>
    <row r="8105" spans="13:15" x14ac:dyDescent="0.3">
      <c r="M8105" s="35">
        <v>77.67</v>
      </c>
      <c r="N8105">
        <v>305</v>
      </c>
      <c r="O8105" s="34">
        <f t="shared" si="127"/>
        <v>0.9226915632472501</v>
      </c>
    </row>
    <row r="8106" spans="13:15" x14ac:dyDescent="0.3">
      <c r="M8106" s="35">
        <v>77.81</v>
      </c>
      <c r="N8106">
        <v>305</v>
      </c>
      <c r="O8106" s="34">
        <f t="shared" si="127"/>
        <v>0.92280541956058271</v>
      </c>
    </row>
    <row r="8107" spans="13:15" x14ac:dyDescent="0.3">
      <c r="M8107" s="35">
        <v>77.819999999999993</v>
      </c>
      <c r="N8107">
        <v>305</v>
      </c>
      <c r="O8107" s="34">
        <f t="shared" si="127"/>
        <v>0.92291927587391531</v>
      </c>
    </row>
    <row r="8108" spans="13:15" x14ac:dyDescent="0.3">
      <c r="M8108" s="35">
        <v>77.849999999999994</v>
      </c>
      <c r="N8108">
        <v>305</v>
      </c>
      <c r="O8108" s="34">
        <f t="shared" si="127"/>
        <v>0.92303313218724792</v>
      </c>
    </row>
    <row r="8109" spans="13:15" x14ac:dyDescent="0.3">
      <c r="M8109" s="35">
        <v>77.97</v>
      </c>
      <c r="N8109">
        <v>305</v>
      </c>
      <c r="O8109" s="34">
        <f t="shared" si="127"/>
        <v>0.92314698850058052</v>
      </c>
    </row>
    <row r="8110" spans="13:15" x14ac:dyDescent="0.3">
      <c r="M8110" s="35">
        <v>78.05</v>
      </c>
      <c r="N8110">
        <v>305</v>
      </c>
      <c r="O8110" s="34">
        <f t="shared" si="127"/>
        <v>0.92326084481391313</v>
      </c>
    </row>
    <row r="8111" spans="13:15" x14ac:dyDescent="0.3">
      <c r="M8111" s="35">
        <v>78.069999999999993</v>
      </c>
      <c r="N8111">
        <v>305</v>
      </c>
      <c r="O8111" s="34">
        <f t="shared" si="127"/>
        <v>0.92337470112724573</v>
      </c>
    </row>
    <row r="8112" spans="13:15" x14ac:dyDescent="0.3">
      <c r="M8112" s="35">
        <v>78.11</v>
      </c>
      <c r="N8112">
        <v>305</v>
      </c>
      <c r="O8112" s="34">
        <f t="shared" si="127"/>
        <v>0.92348855744057834</v>
      </c>
    </row>
    <row r="8113" spans="13:15" x14ac:dyDescent="0.3">
      <c r="M8113" s="35">
        <v>78.209999999999994</v>
      </c>
      <c r="N8113">
        <v>305</v>
      </c>
      <c r="O8113" s="34">
        <f t="shared" si="127"/>
        <v>0.92360241375391094</v>
      </c>
    </row>
    <row r="8114" spans="13:15" x14ac:dyDescent="0.3">
      <c r="M8114" s="35">
        <v>78.27</v>
      </c>
      <c r="N8114">
        <v>305</v>
      </c>
      <c r="O8114" s="34">
        <f t="shared" si="127"/>
        <v>0.92371627006724355</v>
      </c>
    </row>
    <row r="8115" spans="13:15" x14ac:dyDescent="0.3">
      <c r="M8115" s="35">
        <v>78.290000000000006</v>
      </c>
      <c r="N8115">
        <v>305</v>
      </c>
      <c r="O8115" s="34">
        <f t="shared" si="127"/>
        <v>0.92383012638057616</v>
      </c>
    </row>
    <row r="8116" spans="13:15" x14ac:dyDescent="0.3">
      <c r="M8116" s="35">
        <v>78.41</v>
      </c>
      <c r="N8116">
        <v>305</v>
      </c>
      <c r="O8116" s="34">
        <f t="shared" si="127"/>
        <v>0.92394398269390876</v>
      </c>
    </row>
    <row r="8117" spans="13:15" x14ac:dyDescent="0.3">
      <c r="M8117" s="35">
        <v>78.430000000000007</v>
      </c>
      <c r="N8117">
        <v>305</v>
      </c>
      <c r="O8117" s="34">
        <f t="shared" si="127"/>
        <v>0.92405783900724137</v>
      </c>
    </row>
    <row r="8118" spans="13:15" x14ac:dyDescent="0.3">
      <c r="M8118" s="35">
        <v>78.59</v>
      </c>
      <c r="N8118">
        <v>305</v>
      </c>
      <c r="O8118" s="34">
        <f t="shared" si="127"/>
        <v>0.92417169532057397</v>
      </c>
    </row>
    <row r="8119" spans="13:15" x14ac:dyDescent="0.3">
      <c r="M8119" s="35">
        <v>78.63</v>
      </c>
      <c r="N8119">
        <v>305</v>
      </c>
      <c r="O8119" s="34">
        <f t="shared" si="127"/>
        <v>0.92428555163390658</v>
      </c>
    </row>
    <row r="8120" spans="13:15" x14ac:dyDescent="0.3">
      <c r="M8120" s="35">
        <v>78.680000000000007</v>
      </c>
      <c r="N8120">
        <v>305</v>
      </c>
      <c r="O8120" s="34">
        <f t="shared" si="127"/>
        <v>0.92439940794723918</v>
      </c>
    </row>
    <row r="8121" spans="13:15" x14ac:dyDescent="0.3">
      <c r="M8121" s="35">
        <v>78.73</v>
      </c>
      <c r="N8121">
        <v>305</v>
      </c>
      <c r="O8121" s="34">
        <f t="shared" si="127"/>
        <v>0.92451326426057179</v>
      </c>
    </row>
    <row r="8122" spans="13:15" x14ac:dyDescent="0.3">
      <c r="M8122" s="35">
        <v>78.78</v>
      </c>
      <c r="N8122">
        <v>305</v>
      </c>
      <c r="O8122" s="34">
        <f t="shared" si="127"/>
        <v>0.92462712057390439</v>
      </c>
    </row>
    <row r="8123" spans="13:15" x14ac:dyDescent="0.3">
      <c r="M8123" s="35">
        <v>78.81</v>
      </c>
      <c r="N8123">
        <v>305</v>
      </c>
      <c r="O8123" s="34">
        <f t="shared" si="127"/>
        <v>0.924740976887237</v>
      </c>
    </row>
    <row r="8124" spans="13:15" x14ac:dyDescent="0.3">
      <c r="M8124" s="35">
        <v>78.84</v>
      </c>
      <c r="N8124">
        <v>305</v>
      </c>
      <c r="O8124" s="34">
        <f t="shared" si="127"/>
        <v>0.9248548332005696</v>
      </c>
    </row>
    <row r="8125" spans="13:15" x14ac:dyDescent="0.3">
      <c r="M8125" s="35">
        <v>78.86</v>
      </c>
      <c r="N8125">
        <v>305</v>
      </c>
      <c r="O8125" s="34">
        <f t="shared" si="127"/>
        <v>0.92496868951390221</v>
      </c>
    </row>
    <row r="8126" spans="13:15" x14ac:dyDescent="0.3">
      <c r="M8126" s="35">
        <v>78.959999999999994</v>
      </c>
      <c r="N8126">
        <v>305</v>
      </c>
      <c r="O8126" s="34">
        <f t="shared" si="127"/>
        <v>0.92508254582723481</v>
      </c>
    </row>
    <row r="8127" spans="13:15" x14ac:dyDescent="0.3">
      <c r="M8127" s="35">
        <v>78.989999999999995</v>
      </c>
      <c r="N8127">
        <v>305</v>
      </c>
      <c r="O8127" s="34">
        <f t="shared" si="127"/>
        <v>0.92519640214056742</v>
      </c>
    </row>
    <row r="8128" spans="13:15" x14ac:dyDescent="0.3">
      <c r="M8128" s="35">
        <v>79.099999999999994</v>
      </c>
      <c r="N8128">
        <v>305</v>
      </c>
      <c r="O8128" s="34">
        <f t="shared" si="127"/>
        <v>0.92531025845390003</v>
      </c>
    </row>
    <row r="8129" spans="13:15" x14ac:dyDescent="0.3">
      <c r="M8129" s="35">
        <v>79.12</v>
      </c>
      <c r="N8129">
        <v>305</v>
      </c>
      <c r="O8129" s="34">
        <f t="shared" si="127"/>
        <v>0.92542411476723263</v>
      </c>
    </row>
    <row r="8130" spans="13:15" x14ac:dyDescent="0.3">
      <c r="M8130" s="35">
        <v>79.13</v>
      </c>
      <c r="N8130">
        <v>305</v>
      </c>
      <c r="O8130" s="34">
        <f t="shared" si="127"/>
        <v>0.92553797108056524</v>
      </c>
    </row>
    <row r="8131" spans="13:15" x14ac:dyDescent="0.3">
      <c r="M8131" s="35">
        <v>79.2</v>
      </c>
      <c r="N8131">
        <v>305</v>
      </c>
      <c r="O8131" s="34">
        <f t="shared" si="127"/>
        <v>0.92565182739389784</v>
      </c>
    </row>
    <row r="8132" spans="13:15" x14ac:dyDescent="0.3">
      <c r="M8132" s="35">
        <v>79.239999999999995</v>
      </c>
      <c r="N8132">
        <v>305</v>
      </c>
      <c r="O8132" s="34">
        <f t="shared" ref="O8132:O8195" si="128">O8131+O$2</f>
        <v>0.92576568370723045</v>
      </c>
    </row>
    <row r="8133" spans="13:15" x14ac:dyDescent="0.3">
      <c r="M8133" s="35">
        <v>79.31</v>
      </c>
      <c r="N8133">
        <v>305</v>
      </c>
      <c r="O8133" s="34">
        <f t="shared" si="128"/>
        <v>0.92587954002056305</v>
      </c>
    </row>
    <row r="8134" spans="13:15" x14ac:dyDescent="0.3">
      <c r="M8134" s="35">
        <v>79.430000000000007</v>
      </c>
      <c r="N8134">
        <v>305</v>
      </c>
      <c r="O8134" s="34">
        <f t="shared" si="128"/>
        <v>0.92599339633389566</v>
      </c>
    </row>
    <row r="8135" spans="13:15" x14ac:dyDescent="0.3">
      <c r="M8135" s="35">
        <v>79.430000000000007</v>
      </c>
      <c r="N8135">
        <v>305</v>
      </c>
      <c r="O8135" s="34">
        <f t="shared" si="128"/>
        <v>0.92610725264722826</v>
      </c>
    </row>
    <row r="8136" spans="13:15" x14ac:dyDescent="0.3">
      <c r="M8136" s="35">
        <v>79.5</v>
      </c>
      <c r="N8136">
        <v>305</v>
      </c>
      <c r="O8136" s="34">
        <f t="shared" si="128"/>
        <v>0.92622110896056087</v>
      </c>
    </row>
    <row r="8137" spans="13:15" x14ac:dyDescent="0.3">
      <c r="M8137" s="35">
        <v>79.56</v>
      </c>
      <c r="N8137">
        <v>305</v>
      </c>
      <c r="O8137" s="34">
        <f t="shared" si="128"/>
        <v>0.92633496527389347</v>
      </c>
    </row>
    <row r="8138" spans="13:15" x14ac:dyDescent="0.3">
      <c r="M8138" s="35">
        <v>79.59</v>
      </c>
      <c r="N8138">
        <v>305</v>
      </c>
      <c r="O8138" s="34">
        <f t="shared" si="128"/>
        <v>0.92644882158722608</v>
      </c>
    </row>
    <row r="8139" spans="13:15" x14ac:dyDescent="0.3">
      <c r="M8139" s="35">
        <v>79.599999999999994</v>
      </c>
      <c r="N8139">
        <v>305</v>
      </c>
      <c r="O8139" s="34">
        <f t="shared" si="128"/>
        <v>0.92656267790055868</v>
      </c>
    </row>
    <row r="8140" spans="13:15" x14ac:dyDescent="0.3">
      <c r="M8140" s="35">
        <v>79.599999999999994</v>
      </c>
      <c r="N8140">
        <v>305</v>
      </c>
      <c r="O8140" s="34">
        <f t="shared" si="128"/>
        <v>0.92667653421389129</v>
      </c>
    </row>
    <row r="8141" spans="13:15" x14ac:dyDescent="0.3">
      <c r="M8141" s="35">
        <v>79.63</v>
      </c>
      <c r="N8141">
        <v>305</v>
      </c>
      <c r="O8141" s="34">
        <f t="shared" si="128"/>
        <v>0.9267903905272239</v>
      </c>
    </row>
    <row r="8142" spans="13:15" x14ac:dyDescent="0.3">
      <c r="M8142" s="35">
        <v>79.66</v>
      </c>
      <c r="N8142">
        <v>305</v>
      </c>
      <c r="O8142" s="34">
        <f t="shared" si="128"/>
        <v>0.9269042468405565</v>
      </c>
    </row>
    <row r="8143" spans="13:15" x14ac:dyDescent="0.3">
      <c r="M8143" s="35">
        <v>79.67</v>
      </c>
      <c r="N8143">
        <v>305</v>
      </c>
      <c r="O8143" s="34">
        <f t="shared" si="128"/>
        <v>0.92701810315388911</v>
      </c>
    </row>
    <row r="8144" spans="13:15" x14ac:dyDescent="0.3">
      <c r="M8144" s="35">
        <v>79.739999999999995</v>
      </c>
      <c r="N8144">
        <v>305</v>
      </c>
      <c r="O8144" s="34">
        <f t="shared" si="128"/>
        <v>0.92713195946722171</v>
      </c>
    </row>
    <row r="8145" spans="13:15" x14ac:dyDescent="0.3">
      <c r="M8145" s="35">
        <v>79.77</v>
      </c>
      <c r="N8145">
        <v>305</v>
      </c>
      <c r="O8145" s="34">
        <f t="shared" si="128"/>
        <v>0.92724581578055432</v>
      </c>
    </row>
    <row r="8146" spans="13:15" x14ac:dyDescent="0.3">
      <c r="M8146" s="35">
        <v>79.81</v>
      </c>
      <c r="N8146">
        <v>305</v>
      </c>
      <c r="O8146" s="34">
        <f t="shared" si="128"/>
        <v>0.92735967209388692</v>
      </c>
    </row>
    <row r="8147" spans="13:15" x14ac:dyDescent="0.3">
      <c r="M8147" s="35">
        <v>79.81</v>
      </c>
      <c r="N8147">
        <v>305</v>
      </c>
      <c r="O8147" s="34">
        <f t="shared" si="128"/>
        <v>0.92747352840721953</v>
      </c>
    </row>
    <row r="8148" spans="13:15" x14ac:dyDescent="0.3">
      <c r="M8148" s="35">
        <v>79.81</v>
      </c>
      <c r="N8148">
        <v>305</v>
      </c>
      <c r="O8148" s="34">
        <f t="shared" si="128"/>
        <v>0.92758738472055213</v>
      </c>
    </row>
    <row r="8149" spans="13:15" x14ac:dyDescent="0.3">
      <c r="M8149" s="35">
        <v>79.819999999999993</v>
      </c>
      <c r="N8149">
        <v>305</v>
      </c>
      <c r="O8149" s="34">
        <f t="shared" si="128"/>
        <v>0.92770124103388474</v>
      </c>
    </row>
    <row r="8150" spans="13:15" x14ac:dyDescent="0.3">
      <c r="M8150" s="35">
        <v>79.83</v>
      </c>
      <c r="N8150">
        <v>305</v>
      </c>
      <c r="O8150" s="34">
        <f t="shared" si="128"/>
        <v>0.92781509734721734</v>
      </c>
    </row>
    <row r="8151" spans="13:15" x14ac:dyDescent="0.3">
      <c r="M8151" s="35">
        <v>79.87</v>
      </c>
      <c r="N8151">
        <v>305</v>
      </c>
      <c r="O8151" s="34">
        <f t="shared" si="128"/>
        <v>0.92792895366054995</v>
      </c>
    </row>
    <row r="8152" spans="13:15" x14ac:dyDescent="0.3">
      <c r="M8152" s="35">
        <v>79.98</v>
      </c>
      <c r="N8152">
        <v>305</v>
      </c>
      <c r="O8152" s="34">
        <f t="shared" si="128"/>
        <v>0.92804280997388255</v>
      </c>
    </row>
    <row r="8153" spans="13:15" x14ac:dyDescent="0.3">
      <c r="M8153" s="35">
        <v>79.989999999999995</v>
      </c>
      <c r="N8153">
        <v>305</v>
      </c>
      <c r="O8153" s="34">
        <f t="shared" si="128"/>
        <v>0.92815666628721516</v>
      </c>
    </row>
    <row r="8154" spans="13:15" x14ac:dyDescent="0.3">
      <c r="M8154" s="35">
        <v>80.010000000000005</v>
      </c>
      <c r="N8154">
        <v>305</v>
      </c>
      <c r="O8154" s="34">
        <f t="shared" si="128"/>
        <v>0.92827052260054777</v>
      </c>
    </row>
    <row r="8155" spans="13:15" x14ac:dyDescent="0.3">
      <c r="M8155" s="35">
        <v>80.06</v>
      </c>
      <c r="N8155">
        <v>305</v>
      </c>
      <c r="O8155" s="34">
        <f t="shared" si="128"/>
        <v>0.92838437891388037</v>
      </c>
    </row>
    <row r="8156" spans="13:15" x14ac:dyDescent="0.3">
      <c r="M8156" s="35">
        <v>80.14</v>
      </c>
      <c r="N8156">
        <v>305</v>
      </c>
      <c r="O8156" s="34">
        <f t="shared" si="128"/>
        <v>0.92849823522721298</v>
      </c>
    </row>
    <row r="8157" spans="13:15" x14ac:dyDescent="0.3">
      <c r="M8157" s="35">
        <v>80.19</v>
      </c>
      <c r="N8157">
        <v>305</v>
      </c>
      <c r="O8157" s="34">
        <f t="shared" si="128"/>
        <v>0.92861209154054558</v>
      </c>
    </row>
    <row r="8158" spans="13:15" x14ac:dyDescent="0.3">
      <c r="M8158" s="35">
        <v>80.260000000000005</v>
      </c>
      <c r="N8158">
        <v>305</v>
      </c>
      <c r="O8158" s="34">
        <f t="shared" si="128"/>
        <v>0.92872594785387819</v>
      </c>
    </row>
    <row r="8159" spans="13:15" x14ac:dyDescent="0.3">
      <c r="M8159" s="35">
        <v>80.260000000000005</v>
      </c>
      <c r="N8159">
        <v>305</v>
      </c>
      <c r="O8159" s="34">
        <f t="shared" si="128"/>
        <v>0.92883980416721079</v>
      </c>
    </row>
    <row r="8160" spans="13:15" x14ac:dyDescent="0.3">
      <c r="M8160" s="35">
        <v>80.27</v>
      </c>
      <c r="N8160">
        <v>305</v>
      </c>
      <c r="O8160" s="34">
        <f t="shared" si="128"/>
        <v>0.9289536604805434</v>
      </c>
    </row>
    <row r="8161" spans="13:15" x14ac:dyDescent="0.3">
      <c r="M8161" s="35">
        <v>80.349999999999994</v>
      </c>
      <c r="N8161">
        <v>305</v>
      </c>
      <c r="O8161" s="34">
        <f t="shared" si="128"/>
        <v>0.929067516793876</v>
      </c>
    </row>
    <row r="8162" spans="13:15" x14ac:dyDescent="0.3">
      <c r="M8162" s="35">
        <v>80.36</v>
      </c>
      <c r="N8162">
        <v>305</v>
      </c>
      <c r="O8162" s="34">
        <f t="shared" si="128"/>
        <v>0.92918137310720861</v>
      </c>
    </row>
    <row r="8163" spans="13:15" x14ac:dyDescent="0.3">
      <c r="M8163" s="35">
        <v>80.39</v>
      </c>
      <c r="N8163">
        <v>305</v>
      </c>
      <c r="O8163" s="34">
        <f t="shared" si="128"/>
        <v>0.92929522942054121</v>
      </c>
    </row>
    <row r="8164" spans="13:15" x14ac:dyDescent="0.3">
      <c r="M8164" s="35">
        <v>80.400000000000006</v>
      </c>
      <c r="N8164">
        <v>305</v>
      </c>
      <c r="O8164" s="34">
        <f t="shared" si="128"/>
        <v>0.92940908573387382</v>
      </c>
    </row>
    <row r="8165" spans="13:15" x14ac:dyDescent="0.3">
      <c r="M8165" s="35">
        <v>80.489999999999995</v>
      </c>
      <c r="N8165">
        <v>305</v>
      </c>
      <c r="O8165" s="34">
        <f t="shared" si="128"/>
        <v>0.92952294204720642</v>
      </c>
    </row>
    <row r="8166" spans="13:15" x14ac:dyDescent="0.3">
      <c r="M8166" s="35">
        <v>80.5</v>
      </c>
      <c r="N8166">
        <v>305</v>
      </c>
      <c r="O8166" s="34">
        <f t="shared" si="128"/>
        <v>0.92963679836053903</v>
      </c>
    </row>
    <row r="8167" spans="13:15" x14ac:dyDescent="0.3">
      <c r="M8167" s="35">
        <v>80.53</v>
      </c>
      <c r="N8167">
        <v>305</v>
      </c>
      <c r="O8167" s="34">
        <f t="shared" si="128"/>
        <v>0.92975065467387163</v>
      </c>
    </row>
    <row r="8168" spans="13:15" x14ac:dyDescent="0.3">
      <c r="M8168" s="35">
        <v>80.540000000000006</v>
      </c>
      <c r="N8168">
        <v>305</v>
      </c>
      <c r="O8168" s="34">
        <f t="shared" si="128"/>
        <v>0.92986451098720424</v>
      </c>
    </row>
    <row r="8169" spans="13:15" x14ac:dyDescent="0.3">
      <c r="M8169" s="35">
        <v>80.59</v>
      </c>
      <c r="N8169">
        <v>305</v>
      </c>
      <c r="O8169" s="34">
        <f t="shared" si="128"/>
        <v>0.92997836730053685</v>
      </c>
    </row>
    <row r="8170" spans="13:15" x14ac:dyDescent="0.3">
      <c r="M8170" s="35">
        <v>80.599999999999994</v>
      </c>
      <c r="N8170">
        <v>305</v>
      </c>
      <c r="O8170" s="34">
        <f t="shared" si="128"/>
        <v>0.93009222361386945</v>
      </c>
    </row>
    <row r="8171" spans="13:15" x14ac:dyDescent="0.3">
      <c r="M8171" s="35">
        <v>80.650000000000006</v>
      </c>
      <c r="N8171">
        <v>305</v>
      </c>
      <c r="O8171" s="34">
        <f t="shared" si="128"/>
        <v>0.93020607992720206</v>
      </c>
    </row>
    <row r="8172" spans="13:15" x14ac:dyDescent="0.3">
      <c r="M8172" s="35">
        <v>80.66</v>
      </c>
      <c r="N8172">
        <v>305</v>
      </c>
      <c r="O8172" s="34">
        <f t="shared" si="128"/>
        <v>0.93031993624053466</v>
      </c>
    </row>
    <row r="8173" spans="13:15" x14ac:dyDescent="0.3">
      <c r="M8173" s="35">
        <v>80.67</v>
      </c>
      <c r="N8173">
        <v>305</v>
      </c>
      <c r="O8173" s="34">
        <f t="shared" si="128"/>
        <v>0.93043379255386727</v>
      </c>
    </row>
    <row r="8174" spans="13:15" x14ac:dyDescent="0.3">
      <c r="M8174" s="35">
        <v>80.78</v>
      </c>
      <c r="N8174">
        <v>305</v>
      </c>
      <c r="O8174" s="34">
        <f t="shared" si="128"/>
        <v>0.93054764886719987</v>
      </c>
    </row>
    <row r="8175" spans="13:15" x14ac:dyDescent="0.3">
      <c r="M8175" s="35">
        <v>80.81</v>
      </c>
      <c r="N8175">
        <v>305</v>
      </c>
      <c r="O8175" s="34">
        <f t="shared" si="128"/>
        <v>0.93066150518053248</v>
      </c>
    </row>
    <row r="8176" spans="13:15" x14ac:dyDescent="0.3">
      <c r="M8176" s="35">
        <v>80.84</v>
      </c>
      <c r="N8176">
        <v>305</v>
      </c>
      <c r="O8176" s="34">
        <f t="shared" si="128"/>
        <v>0.93077536149386508</v>
      </c>
    </row>
    <row r="8177" spans="13:15" x14ac:dyDescent="0.3">
      <c r="M8177" s="35">
        <v>80.97</v>
      </c>
      <c r="N8177">
        <v>305</v>
      </c>
      <c r="O8177" s="34">
        <f t="shared" si="128"/>
        <v>0.93088921780719769</v>
      </c>
    </row>
    <row r="8178" spans="13:15" x14ac:dyDescent="0.3">
      <c r="M8178" s="35">
        <v>81.040000000000006</v>
      </c>
      <c r="N8178">
        <v>305</v>
      </c>
      <c r="O8178" s="34">
        <f t="shared" si="128"/>
        <v>0.93100307412053029</v>
      </c>
    </row>
    <row r="8179" spans="13:15" x14ac:dyDescent="0.3">
      <c r="M8179" s="35">
        <v>81.17</v>
      </c>
      <c r="N8179">
        <v>305</v>
      </c>
      <c r="O8179" s="34">
        <f t="shared" si="128"/>
        <v>0.9311169304338629</v>
      </c>
    </row>
    <row r="8180" spans="13:15" x14ac:dyDescent="0.3">
      <c r="M8180" s="35">
        <v>81.25</v>
      </c>
      <c r="N8180">
        <v>305</v>
      </c>
      <c r="O8180" s="34">
        <f t="shared" si="128"/>
        <v>0.9312307867471955</v>
      </c>
    </row>
    <row r="8181" spans="13:15" x14ac:dyDescent="0.3">
      <c r="M8181" s="35">
        <v>81.63</v>
      </c>
      <c r="N8181">
        <v>305</v>
      </c>
      <c r="O8181" s="34">
        <f t="shared" si="128"/>
        <v>0.93134464306052811</v>
      </c>
    </row>
    <row r="8182" spans="13:15" x14ac:dyDescent="0.3">
      <c r="M8182" s="35">
        <v>81.66</v>
      </c>
      <c r="N8182">
        <v>305</v>
      </c>
      <c r="O8182" s="34">
        <f t="shared" si="128"/>
        <v>0.93145849937386072</v>
      </c>
    </row>
    <row r="8183" spans="13:15" x14ac:dyDescent="0.3">
      <c r="M8183" s="35">
        <v>81.69</v>
      </c>
      <c r="N8183">
        <v>305</v>
      </c>
      <c r="O8183" s="34">
        <f t="shared" si="128"/>
        <v>0.93157235568719332</v>
      </c>
    </row>
    <row r="8184" spans="13:15" x14ac:dyDescent="0.3">
      <c r="M8184" s="35">
        <v>81.739999999999995</v>
      </c>
      <c r="N8184">
        <v>305</v>
      </c>
      <c r="O8184" s="34">
        <f t="shared" si="128"/>
        <v>0.93168621200052593</v>
      </c>
    </row>
    <row r="8185" spans="13:15" x14ac:dyDescent="0.3">
      <c r="M8185" s="35">
        <v>81.77</v>
      </c>
      <c r="N8185">
        <v>305</v>
      </c>
      <c r="O8185" s="34">
        <f t="shared" si="128"/>
        <v>0.93180006831385853</v>
      </c>
    </row>
    <row r="8186" spans="13:15" x14ac:dyDescent="0.3">
      <c r="M8186" s="35">
        <v>81.96</v>
      </c>
      <c r="N8186">
        <v>305</v>
      </c>
      <c r="O8186" s="34">
        <f t="shared" si="128"/>
        <v>0.93191392462719114</v>
      </c>
    </row>
    <row r="8187" spans="13:15" x14ac:dyDescent="0.3">
      <c r="M8187" s="35">
        <v>82.02</v>
      </c>
      <c r="N8187">
        <v>305</v>
      </c>
      <c r="O8187" s="34">
        <f t="shared" si="128"/>
        <v>0.93202778094052374</v>
      </c>
    </row>
    <row r="8188" spans="13:15" x14ac:dyDescent="0.3">
      <c r="M8188" s="35">
        <v>82.03</v>
      </c>
      <c r="N8188">
        <v>305</v>
      </c>
      <c r="O8188" s="34">
        <f t="shared" si="128"/>
        <v>0.93214163725385635</v>
      </c>
    </row>
    <row r="8189" spans="13:15" x14ac:dyDescent="0.3">
      <c r="M8189" s="35">
        <v>82.08</v>
      </c>
      <c r="N8189">
        <v>305</v>
      </c>
      <c r="O8189" s="34">
        <f t="shared" si="128"/>
        <v>0.93225549356718895</v>
      </c>
    </row>
    <row r="8190" spans="13:15" x14ac:dyDescent="0.3">
      <c r="M8190" s="35">
        <v>82.1</v>
      </c>
      <c r="N8190">
        <v>305</v>
      </c>
      <c r="O8190" s="34">
        <f t="shared" si="128"/>
        <v>0.93236934988052156</v>
      </c>
    </row>
    <row r="8191" spans="13:15" x14ac:dyDescent="0.3">
      <c r="M8191" s="35">
        <v>82.22</v>
      </c>
      <c r="N8191">
        <v>305</v>
      </c>
      <c r="O8191" s="34">
        <f t="shared" si="128"/>
        <v>0.93248320619385416</v>
      </c>
    </row>
    <row r="8192" spans="13:15" x14ac:dyDescent="0.3">
      <c r="M8192" s="35">
        <v>82.25</v>
      </c>
      <c r="N8192">
        <v>305</v>
      </c>
      <c r="O8192" s="34">
        <f t="shared" si="128"/>
        <v>0.93259706250718677</v>
      </c>
    </row>
    <row r="8193" spans="13:15" x14ac:dyDescent="0.3">
      <c r="M8193" s="35">
        <v>82.26</v>
      </c>
      <c r="N8193">
        <v>305</v>
      </c>
      <c r="O8193" s="34">
        <f t="shared" si="128"/>
        <v>0.93271091882051937</v>
      </c>
    </row>
    <row r="8194" spans="13:15" x14ac:dyDescent="0.3">
      <c r="M8194" s="35">
        <v>82.36</v>
      </c>
      <c r="N8194">
        <v>305</v>
      </c>
      <c r="O8194" s="34">
        <f t="shared" si="128"/>
        <v>0.93282477513385198</v>
      </c>
    </row>
    <row r="8195" spans="13:15" x14ac:dyDescent="0.3">
      <c r="M8195" s="35">
        <v>82.37</v>
      </c>
      <c r="N8195">
        <v>305</v>
      </c>
      <c r="O8195" s="34">
        <f t="shared" si="128"/>
        <v>0.93293863144718459</v>
      </c>
    </row>
    <row r="8196" spans="13:15" x14ac:dyDescent="0.3">
      <c r="M8196" s="35">
        <v>82.37</v>
      </c>
      <c r="N8196">
        <v>305</v>
      </c>
      <c r="O8196" s="34">
        <f t="shared" ref="O8196:O8259" si="129">O8195+O$2</f>
        <v>0.93305248776051719</v>
      </c>
    </row>
    <row r="8197" spans="13:15" x14ac:dyDescent="0.3">
      <c r="M8197" s="35">
        <v>82.41</v>
      </c>
      <c r="N8197">
        <v>305</v>
      </c>
      <c r="O8197" s="34">
        <f t="shared" si="129"/>
        <v>0.9331663440738498</v>
      </c>
    </row>
    <row r="8198" spans="13:15" x14ac:dyDescent="0.3">
      <c r="M8198" s="35">
        <v>82.46</v>
      </c>
      <c r="N8198">
        <v>305</v>
      </c>
      <c r="O8198" s="34">
        <f t="shared" si="129"/>
        <v>0.9332802003871824</v>
      </c>
    </row>
    <row r="8199" spans="13:15" x14ac:dyDescent="0.3">
      <c r="M8199" s="35">
        <v>82.74</v>
      </c>
      <c r="N8199">
        <v>305</v>
      </c>
      <c r="O8199" s="34">
        <f t="shared" si="129"/>
        <v>0.93339405670051501</v>
      </c>
    </row>
    <row r="8200" spans="13:15" x14ac:dyDescent="0.3">
      <c r="M8200" s="35">
        <v>82.79</v>
      </c>
      <c r="N8200">
        <v>305</v>
      </c>
      <c r="O8200" s="34">
        <f t="shared" si="129"/>
        <v>0.93350791301384761</v>
      </c>
    </row>
    <row r="8201" spans="13:15" x14ac:dyDescent="0.3">
      <c r="M8201" s="35">
        <v>82.81</v>
      </c>
      <c r="N8201">
        <v>305</v>
      </c>
      <c r="O8201" s="34">
        <f t="shared" si="129"/>
        <v>0.93362176932718022</v>
      </c>
    </row>
    <row r="8202" spans="13:15" x14ac:dyDescent="0.3">
      <c r="M8202" s="35">
        <v>82.82</v>
      </c>
      <c r="N8202">
        <v>305</v>
      </c>
      <c r="O8202" s="34">
        <f t="shared" si="129"/>
        <v>0.93373562564051282</v>
      </c>
    </row>
    <row r="8203" spans="13:15" x14ac:dyDescent="0.3">
      <c r="M8203" s="35">
        <v>83</v>
      </c>
      <c r="N8203">
        <v>305</v>
      </c>
      <c r="O8203" s="34">
        <f t="shared" si="129"/>
        <v>0.93384948195384543</v>
      </c>
    </row>
    <row r="8204" spans="13:15" x14ac:dyDescent="0.3">
      <c r="M8204" s="35">
        <v>83.37</v>
      </c>
      <c r="N8204">
        <v>305</v>
      </c>
      <c r="O8204" s="34">
        <f t="shared" si="129"/>
        <v>0.93396333826717803</v>
      </c>
    </row>
    <row r="8205" spans="13:15" x14ac:dyDescent="0.3">
      <c r="M8205" s="35">
        <v>83.54</v>
      </c>
      <c r="N8205">
        <v>305</v>
      </c>
      <c r="O8205" s="34">
        <f t="shared" si="129"/>
        <v>0.93407719458051064</v>
      </c>
    </row>
    <row r="8206" spans="13:15" x14ac:dyDescent="0.3">
      <c r="M8206" s="35">
        <v>83.56</v>
      </c>
      <c r="N8206">
        <v>305</v>
      </c>
      <c r="O8206" s="34">
        <f t="shared" si="129"/>
        <v>0.93419105089384324</v>
      </c>
    </row>
    <row r="8207" spans="13:15" x14ac:dyDescent="0.3">
      <c r="M8207" s="35">
        <v>83.68</v>
      </c>
      <c r="N8207">
        <v>305</v>
      </c>
      <c r="O8207" s="34">
        <f t="shared" si="129"/>
        <v>0.93430490720717585</v>
      </c>
    </row>
    <row r="8208" spans="13:15" x14ac:dyDescent="0.3">
      <c r="M8208" s="35">
        <v>83.74</v>
      </c>
      <c r="N8208">
        <v>305</v>
      </c>
      <c r="O8208" s="34">
        <f t="shared" si="129"/>
        <v>0.93441876352050846</v>
      </c>
    </row>
    <row r="8209" spans="13:15" x14ac:dyDescent="0.3">
      <c r="M8209" s="35">
        <v>83.77</v>
      </c>
      <c r="N8209">
        <v>305</v>
      </c>
      <c r="O8209" s="34">
        <f t="shared" si="129"/>
        <v>0.93453261983384106</v>
      </c>
    </row>
    <row r="8210" spans="13:15" x14ac:dyDescent="0.3">
      <c r="M8210" s="35">
        <v>83.91</v>
      </c>
      <c r="N8210">
        <v>305</v>
      </c>
      <c r="O8210" s="34">
        <f t="shared" si="129"/>
        <v>0.93464647614717367</v>
      </c>
    </row>
    <row r="8211" spans="13:15" x14ac:dyDescent="0.3">
      <c r="M8211" s="35">
        <v>83.95</v>
      </c>
      <c r="N8211">
        <v>305</v>
      </c>
      <c r="O8211" s="34">
        <f t="shared" si="129"/>
        <v>0.93476033246050627</v>
      </c>
    </row>
    <row r="8212" spans="13:15" x14ac:dyDescent="0.3">
      <c r="M8212" s="35">
        <v>83.99</v>
      </c>
      <c r="N8212">
        <v>305</v>
      </c>
      <c r="O8212" s="34">
        <f t="shared" si="129"/>
        <v>0.93487418877383888</v>
      </c>
    </row>
    <row r="8213" spans="13:15" x14ac:dyDescent="0.3">
      <c r="M8213" s="35">
        <v>84.01</v>
      </c>
      <c r="N8213">
        <v>305</v>
      </c>
      <c r="O8213" s="34">
        <f t="shared" si="129"/>
        <v>0.93498804508717148</v>
      </c>
    </row>
    <row r="8214" spans="13:15" x14ac:dyDescent="0.3">
      <c r="M8214" s="35">
        <v>84.02</v>
      </c>
      <c r="N8214">
        <v>305</v>
      </c>
      <c r="O8214" s="34">
        <f t="shared" si="129"/>
        <v>0.93510190140050409</v>
      </c>
    </row>
    <row r="8215" spans="13:15" x14ac:dyDescent="0.3">
      <c r="M8215" s="35">
        <v>84.28</v>
      </c>
      <c r="N8215">
        <v>305</v>
      </c>
      <c r="O8215" s="34">
        <f t="shared" si="129"/>
        <v>0.93521575771383669</v>
      </c>
    </row>
    <row r="8216" spans="13:15" x14ac:dyDescent="0.3">
      <c r="M8216" s="35">
        <v>84.32</v>
      </c>
      <c r="N8216">
        <v>305</v>
      </c>
      <c r="O8216" s="34">
        <f t="shared" si="129"/>
        <v>0.9353296140271693</v>
      </c>
    </row>
    <row r="8217" spans="13:15" x14ac:dyDescent="0.3">
      <c r="M8217" s="35">
        <v>84.36</v>
      </c>
      <c r="N8217">
        <v>305</v>
      </c>
      <c r="O8217" s="34">
        <f t="shared" si="129"/>
        <v>0.9354434703405019</v>
      </c>
    </row>
    <row r="8218" spans="13:15" x14ac:dyDescent="0.3">
      <c r="M8218" s="35">
        <v>84.48</v>
      </c>
      <c r="N8218">
        <v>305</v>
      </c>
      <c r="O8218" s="34">
        <f t="shared" si="129"/>
        <v>0.93555732665383451</v>
      </c>
    </row>
    <row r="8219" spans="13:15" x14ac:dyDescent="0.3">
      <c r="M8219" s="35">
        <v>84.55</v>
      </c>
      <c r="N8219">
        <v>305</v>
      </c>
      <c r="O8219" s="34">
        <f t="shared" si="129"/>
        <v>0.93567118296716711</v>
      </c>
    </row>
    <row r="8220" spans="13:15" x14ac:dyDescent="0.3">
      <c r="M8220" s="35">
        <v>84.56</v>
      </c>
      <c r="N8220">
        <v>305</v>
      </c>
      <c r="O8220" s="34">
        <f t="shared" si="129"/>
        <v>0.93578503928049972</v>
      </c>
    </row>
    <row r="8221" spans="13:15" x14ac:dyDescent="0.3">
      <c r="M8221" s="35">
        <v>84.6</v>
      </c>
      <c r="N8221">
        <v>305</v>
      </c>
      <c r="O8221" s="34">
        <f t="shared" si="129"/>
        <v>0.93589889559383233</v>
      </c>
    </row>
    <row r="8222" spans="13:15" x14ac:dyDescent="0.3">
      <c r="M8222" s="35">
        <v>84.69</v>
      </c>
      <c r="N8222">
        <v>305</v>
      </c>
      <c r="O8222" s="34">
        <f t="shared" si="129"/>
        <v>0.93601275190716493</v>
      </c>
    </row>
    <row r="8223" spans="13:15" x14ac:dyDescent="0.3">
      <c r="M8223" s="35">
        <v>84.72</v>
      </c>
      <c r="N8223">
        <v>305</v>
      </c>
      <c r="O8223" s="34">
        <f t="shared" si="129"/>
        <v>0.93612660822049754</v>
      </c>
    </row>
    <row r="8224" spans="13:15" x14ac:dyDescent="0.3">
      <c r="M8224" s="35">
        <v>84.83</v>
      </c>
      <c r="N8224">
        <v>305</v>
      </c>
      <c r="O8224" s="34">
        <f t="shared" si="129"/>
        <v>0.93624046453383014</v>
      </c>
    </row>
    <row r="8225" spans="13:15" x14ac:dyDescent="0.3">
      <c r="M8225" s="35">
        <v>84.9</v>
      </c>
      <c r="N8225">
        <v>305</v>
      </c>
      <c r="O8225" s="34">
        <f t="shared" si="129"/>
        <v>0.93635432084716275</v>
      </c>
    </row>
    <row r="8226" spans="13:15" x14ac:dyDescent="0.3">
      <c r="M8226" s="35">
        <v>85.04</v>
      </c>
      <c r="N8226">
        <v>305</v>
      </c>
      <c r="O8226" s="34">
        <f t="shared" si="129"/>
        <v>0.93646817716049535</v>
      </c>
    </row>
    <row r="8227" spans="13:15" x14ac:dyDescent="0.3">
      <c r="M8227" s="35">
        <v>85.14</v>
      </c>
      <c r="N8227">
        <v>305</v>
      </c>
      <c r="O8227" s="34">
        <f t="shared" si="129"/>
        <v>0.93658203347382796</v>
      </c>
    </row>
    <row r="8228" spans="13:15" x14ac:dyDescent="0.3">
      <c r="M8228" s="35">
        <v>85.18</v>
      </c>
      <c r="N8228">
        <v>305</v>
      </c>
      <c r="O8228" s="34">
        <f t="shared" si="129"/>
        <v>0.93669588978716056</v>
      </c>
    </row>
    <row r="8229" spans="13:15" x14ac:dyDescent="0.3">
      <c r="M8229" s="35">
        <v>85.18</v>
      </c>
      <c r="N8229">
        <v>305</v>
      </c>
      <c r="O8229" s="34">
        <f t="shared" si="129"/>
        <v>0.93680974610049317</v>
      </c>
    </row>
    <row r="8230" spans="13:15" x14ac:dyDescent="0.3">
      <c r="M8230" s="35">
        <v>85.26</v>
      </c>
      <c r="N8230">
        <v>305</v>
      </c>
      <c r="O8230" s="34">
        <f t="shared" si="129"/>
        <v>0.93692360241382577</v>
      </c>
    </row>
    <row r="8231" spans="13:15" x14ac:dyDescent="0.3">
      <c r="M8231" s="35">
        <v>85.32</v>
      </c>
      <c r="N8231">
        <v>305</v>
      </c>
      <c r="O8231" s="34">
        <f t="shared" si="129"/>
        <v>0.93703745872715838</v>
      </c>
    </row>
    <row r="8232" spans="13:15" x14ac:dyDescent="0.3">
      <c r="M8232" s="35">
        <v>85.41</v>
      </c>
      <c r="N8232">
        <v>305</v>
      </c>
      <c r="O8232" s="34">
        <f t="shared" si="129"/>
        <v>0.93715131504049098</v>
      </c>
    </row>
    <row r="8233" spans="13:15" x14ac:dyDescent="0.3">
      <c r="M8233" s="35">
        <v>85.48</v>
      </c>
      <c r="N8233">
        <v>305</v>
      </c>
      <c r="O8233" s="34">
        <f t="shared" si="129"/>
        <v>0.93726517135382359</v>
      </c>
    </row>
    <row r="8234" spans="13:15" x14ac:dyDescent="0.3">
      <c r="M8234" s="35">
        <v>85.57</v>
      </c>
      <c r="N8234">
        <v>305</v>
      </c>
      <c r="O8234" s="34">
        <f t="shared" si="129"/>
        <v>0.93737902766715619</v>
      </c>
    </row>
    <row r="8235" spans="13:15" x14ac:dyDescent="0.3">
      <c r="M8235" s="35">
        <v>85.64</v>
      </c>
      <c r="N8235">
        <v>305</v>
      </c>
      <c r="O8235" s="34">
        <f t="shared" si="129"/>
        <v>0.9374928839804888</v>
      </c>
    </row>
    <row r="8236" spans="13:15" x14ac:dyDescent="0.3">
      <c r="M8236" s="35">
        <v>85.78</v>
      </c>
      <c r="N8236">
        <v>305</v>
      </c>
      <c r="O8236" s="34">
        <f t="shared" si="129"/>
        <v>0.93760674029382141</v>
      </c>
    </row>
    <row r="8237" spans="13:15" x14ac:dyDescent="0.3">
      <c r="M8237" s="35">
        <v>85.87</v>
      </c>
      <c r="N8237">
        <v>305</v>
      </c>
      <c r="O8237" s="34">
        <f t="shared" si="129"/>
        <v>0.93772059660715401</v>
      </c>
    </row>
    <row r="8238" spans="13:15" x14ac:dyDescent="0.3">
      <c r="M8238" s="35">
        <v>85.95</v>
      </c>
      <c r="N8238">
        <v>305</v>
      </c>
      <c r="O8238" s="34">
        <f t="shared" si="129"/>
        <v>0.93783445292048662</v>
      </c>
    </row>
    <row r="8239" spans="13:15" x14ac:dyDescent="0.3">
      <c r="M8239" s="35">
        <v>86.31</v>
      </c>
      <c r="N8239">
        <v>305</v>
      </c>
      <c r="O8239" s="34">
        <f t="shared" si="129"/>
        <v>0.93794830923381922</v>
      </c>
    </row>
    <row r="8240" spans="13:15" x14ac:dyDescent="0.3">
      <c r="M8240" s="35">
        <v>86.31</v>
      </c>
      <c r="N8240">
        <v>305</v>
      </c>
      <c r="O8240" s="34">
        <f t="shared" si="129"/>
        <v>0.93806216554715183</v>
      </c>
    </row>
    <row r="8241" spans="13:15" x14ac:dyDescent="0.3">
      <c r="M8241" s="35">
        <v>86.41</v>
      </c>
      <c r="N8241">
        <v>305</v>
      </c>
      <c r="O8241" s="34">
        <f t="shared" si="129"/>
        <v>0.93817602186048443</v>
      </c>
    </row>
    <row r="8242" spans="13:15" x14ac:dyDescent="0.3">
      <c r="M8242" s="35">
        <v>86.41</v>
      </c>
      <c r="N8242">
        <v>305</v>
      </c>
      <c r="O8242" s="34">
        <f t="shared" si="129"/>
        <v>0.93828987817381704</v>
      </c>
    </row>
    <row r="8243" spans="13:15" x14ac:dyDescent="0.3">
      <c r="M8243" s="35">
        <v>86.74</v>
      </c>
      <c r="N8243">
        <v>305</v>
      </c>
      <c r="O8243" s="34">
        <f t="shared" si="129"/>
        <v>0.93840373448714964</v>
      </c>
    </row>
    <row r="8244" spans="13:15" x14ac:dyDescent="0.3">
      <c r="M8244" s="35">
        <v>86.76</v>
      </c>
      <c r="N8244">
        <v>305</v>
      </c>
      <c r="O8244" s="34">
        <f t="shared" si="129"/>
        <v>0.93851759080048225</v>
      </c>
    </row>
    <row r="8245" spans="13:15" x14ac:dyDescent="0.3">
      <c r="M8245" s="35">
        <v>86.84</v>
      </c>
      <c r="N8245">
        <v>305</v>
      </c>
      <c r="O8245" s="34">
        <f t="shared" si="129"/>
        <v>0.93863144711381485</v>
      </c>
    </row>
    <row r="8246" spans="13:15" x14ac:dyDescent="0.3">
      <c r="M8246" s="35">
        <v>86.89</v>
      </c>
      <c r="N8246">
        <v>305</v>
      </c>
      <c r="O8246" s="34">
        <f t="shared" si="129"/>
        <v>0.93874530342714746</v>
      </c>
    </row>
    <row r="8247" spans="13:15" x14ac:dyDescent="0.3">
      <c r="M8247" s="35">
        <v>86.99</v>
      </c>
      <c r="N8247">
        <v>305</v>
      </c>
      <c r="O8247" s="34">
        <f t="shared" si="129"/>
        <v>0.93885915974048006</v>
      </c>
    </row>
    <row r="8248" spans="13:15" x14ac:dyDescent="0.3">
      <c r="M8248" s="35">
        <v>87.23</v>
      </c>
      <c r="N8248">
        <v>305</v>
      </c>
      <c r="O8248" s="34">
        <f t="shared" si="129"/>
        <v>0.93897301605381267</v>
      </c>
    </row>
    <row r="8249" spans="13:15" x14ac:dyDescent="0.3">
      <c r="M8249" s="35">
        <v>87.27</v>
      </c>
      <c r="N8249">
        <v>305</v>
      </c>
      <c r="O8249" s="34">
        <f t="shared" si="129"/>
        <v>0.93908687236714528</v>
      </c>
    </row>
    <row r="8250" spans="13:15" x14ac:dyDescent="0.3">
      <c r="M8250" s="35">
        <v>87.29</v>
      </c>
      <c r="N8250">
        <v>305</v>
      </c>
      <c r="O8250" s="34">
        <f t="shared" si="129"/>
        <v>0.93920072868047788</v>
      </c>
    </row>
    <row r="8251" spans="13:15" x14ac:dyDescent="0.3">
      <c r="M8251" s="35">
        <v>87.44</v>
      </c>
      <c r="N8251">
        <v>305</v>
      </c>
      <c r="O8251" s="34">
        <f t="shared" si="129"/>
        <v>0.93931458499381049</v>
      </c>
    </row>
    <row r="8252" spans="13:15" x14ac:dyDescent="0.3">
      <c r="M8252" s="35">
        <v>87.45</v>
      </c>
      <c r="N8252">
        <v>305</v>
      </c>
      <c r="O8252" s="34">
        <f t="shared" si="129"/>
        <v>0.93942844130714309</v>
      </c>
    </row>
    <row r="8253" spans="13:15" x14ac:dyDescent="0.3">
      <c r="M8253" s="35">
        <v>87.47</v>
      </c>
      <c r="N8253">
        <v>305</v>
      </c>
      <c r="O8253" s="34">
        <f t="shared" si="129"/>
        <v>0.9395422976204757</v>
      </c>
    </row>
    <row r="8254" spans="13:15" x14ac:dyDescent="0.3">
      <c r="M8254" s="35">
        <v>87.53</v>
      </c>
      <c r="N8254">
        <v>305</v>
      </c>
      <c r="O8254" s="34">
        <f t="shared" si="129"/>
        <v>0.9396561539338083</v>
      </c>
    </row>
    <row r="8255" spans="13:15" x14ac:dyDescent="0.3">
      <c r="M8255" s="35">
        <v>87.57</v>
      </c>
      <c r="N8255">
        <v>305</v>
      </c>
      <c r="O8255" s="34">
        <f t="shared" si="129"/>
        <v>0.93977001024714091</v>
      </c>
    </row>
    <row r="8256" spans="13:15" x14ac:dyDescent="0.3">
      <c r="M8256" s="35">
        <v>87.58</v>
      </c>
      <c r="N8256">
        <v>305</v>
      </c>
      <c r="O8256" s="34">
        <f t="shared" si="129"/>
        <v>0.93988386656047351</v>
      </c>
    </row>
    <row r="8257" spans="13:15" x14ac:dyDescent="0.3">
      <c r="M8257" s="35">
        <v>87.61</v>
      </c>
      <c r="N8257">
        <v>305</v>
      </c>
      <c r="O8257" s="34">
        <f t="shared" si="129"/>
        <v>0.93999772287380612</v>
      </c>
    </row>
    <row r="8258" spans="13:15" x14ac:dyDescent="0.3">
      <c r="M8258" s="35">
        <v>87.73</v>
      </c>
      <c r="N8258">
        <v>305</v>
      </c>
      <c r="O8258" s="34">
        <f t="shared" si="129"/>
        <v>0.94011157918713872</v>
      </c>
    </row>
    <row r="8259" spans="13:15" x14ac:dyDescent="0.3">
      <c r="M8259" s="35">
        <v>87.74</v>
      </c>
      <c r="N8259">
        <v>305</v>
      </c>
      <c r="O8259" s="34">
        <f t="shared" si="129"/>
        <v>0.94022543550047133</v>
      </c>
    </row>
    <row r="8260" spans="13:15" x14ac:dyDescent="0.3">
      <c r="M8260" s="35">
        <v>87.74</v>
      </c>
      <c r="N8260">
        <v>305</v>
      </c>
      <c r="O8260" s="34">
        <f t="shared" ref="O8260:O8323" si="130">O8259+O$2</f>
        <v>0.94033929181380393</v>
      </c>
    </row>
    <row r="8261" spans="13:15" x14ac:dyDescent="0.3">
      <c r="M8261" s="35">
        <v>87.76</v>
      </c>
      <c r="N8261">
        <v>305</v>
      </c>
      <c r="O8261" s="34">
        <f t="shared" si="130"/>
        <v>0.94045314812713654</v>
      </c>
    </row>
    <row r="8262" spans="13:15" x14ac:dyDescent="0.3">
      <c r="M8262" s="35">
        <v>87.77</v>
      </c>
      <c r="N8262">
        <v>305</v>
      </c>
      <c r="O8262" s="34">
        <f t="shared" si="130"/>
        <v>0.94056700444046915</v>
      </c>
    </row>
    <row r="8263" spans="13:15" x14ac:dyDescent="0.3">
      <c r="M8263" s="35">
        <v>87.85</v>
      </c>
      <c r="N8263">
        <v>305</v>
      </c>
      <c r="O8263" s="34">
        <f t="shared" si="130"/>
        <v>0.94068086075380175</v>
      </c>
    </row>
    <row r="8264" spans="13:15" x14ac:dyDescent="0.3">
      <c r="M8264" s="35">
        <v>88.01</v>
      </c>
      <c r="N8264">
        <v>305</v>
      </c>
      <c r="O8264" s="34">
        <f t="shared" si="130"/>
        <v>0.94079471706713436</v>
      </c>
    </row>
    <row r="8265" spans="13:15" x14ac:dyDescent="0.3">
      <c r="M8265" s="35">
        <v>88.26</v>
      </c>
      <c r="N8265">
        <v>305</v>
      </c>
      <c r="O8265" s="34">
        <f t="shared" si="130"/>
        <v>0.94090857338046696</v>
      </c>
    </row>
    <row r="8266" spans="13:15" x14ac:dyDescent="0.3">
      <c r="M8266" s="35">
        <v>88.27</v>
      </c>
      <c r="N8266">
        <v>305</v>
      </c>
      <c r="O8266" s="34">
        <f t="shared" si="130"/>
        <v>0.94102242969379957</v>
      </c>
    </row>
    <row r="8267" spans="13:15" x14ac:dyDescent="0.3">
      <c r="M8267" s="35">
        <v>88.34</v>
      </c>
      <c r="N8267">
        <v>305</v>
      </c>
      <c r="O8267" s="34">
        <f t="shared" si="130"/>
        <v>0.94113628600713217</v>
      </c>
    </row>
    <row r="8268" spans="13:15" x14ac:dyDescent="0.3">
      <c r="M8268" s="35">
        <v>88.4</v>
      </c>
      <c r="N8268">
        <v>305</v>
      </c>
      <c r="O8268" s="34">
        <f t="shared" si="130"/>
        <v>0.94125014232046478</v>
      </c>
    </row>
    <row r="8269" spans="13:15" x14ac:dyDescent="0.3">
      <c r="M8269" s="35">
        <v>88.48</v>
      </c>
      <c r="N8269">
        <v>305</v>
      </c>
      <c r="O8269" s="34">
        <f t="shared" si="130"/>
        <v>0.94136399863379738</v>
      </c>
    </row>
    <row r="8270" spans="13:15" x14ac:dyDescent="0.3">
      <c r="M8270" s="35">
        <v>88.58</v>
      </c>
      <c r="N8270">
        <v>305</v>
      </c>
      <c r="O8270" s="34">
        <f t="shared" si="130"/>
        <v>0.94147785494712999</v>
      </c>
    </row>
    <row r="8271" spans="13:15" x14ac:dyDescent="0.3">
      <c r="M8271" s="35">
        <v>88.59</v>
      </c>
      <c r="N8271">
        <v>305</v>
      </c>
      <c r="O8271" s="34">
        <f t="shared" si="130"/>
        <v>0.94159171126046259</v>
      </c>
    </row>
    <row r="8272" spans="13:15" x14ac:dyDescent="0.3">
      <c r="M8272" s="35">
        <v>88.71</v>
      </c>
      <c r="N8272">
        <v>305</v>
      </c>
      <c r="O8272" s="34">
        <f t="shared" si="130"/>
        <v>0.9417055675737952</v>
      </c>
    </row>
    <row r="8273" spans="13:15" x14ac:dyDescent="0.3">
      <c r="M8273" s="35">
        <v>89.07</v>
      </c>
      <c r="N8273">
        <v>305</v>
      </c>
      <c r="O8273" s="34">
        <f t="shared" si="130"/>
        <v>0.9418194238871278</v>
      </c>
    </row>
    <row r="8274" spans="13:15" x14ac:dyDescent="0.3">
      <c r="M8274" s="35">
        <v>89.07</v>
      </c>
      <c r="N8274">
        <v>305</v>
      </c>
      <c r="O8274" s="34">
        <f t="shared" si="130"/>
        <v>0.94193328020046041</v>
      </c>
    </row>
    <row r="8275" spans="13:15" x14ac:dyDescent="0.3">
      <c r="M8275" s="35">
        <v>89.12</v>
      </c>
      <c r="N8275">
        <v>305</v>
      </c>
      <c r="O8275" s="34">
        <f t="shared" si="130"/>
        <v>0.94204713651379302</v>
      </c>
    </row>
    <row r="8276" spans="13:15" x14ac:dyDescent="0.3">
      <c r="M8276" s="35">
        <v>89.17</v>
      </c>
      <c r="N8276">
        <v>305</v>
      </c>
      <c r="O8276" s="34">
        <f t="shared" si="130"/>
        <v>0.94216099282712562</v>
      </c>
    </row>
    <row r="8277" spans="13:15" x14ac:dyDescent="0.3">
      <c r="M8277" s="35">
        <v>89.21</v>
      </c>
      <c r="N8277">
        <v>305</v>
      </c>
      <c r="O8277" s="34">
        <f t="shared" si="130"/>
        <v>0.94227484914045823</v>
      </c>
    </row>
    <row r="8278" spans="13:15" x14ac:dyDescent="0.3">
      <c r="M8278" s="35">
        <v>89.38</v>
      </c>
      <c r="N8278">
        <v>305</v>
      </c>
      <c r="O8278" s="34">
        <f t="shared" si="130"/>
        <v>0.94238870545379083</v>
      </c>
    </row>
    <row r="8279" spans="13:15" x14ac:dyDescent="0.3">
      <c r="M8279" s="35">
        <v>89.39</v>
      </c>
      <c r="N8279">
        <v>305</v>
      </c>
      <c r="O8279" s="34">
        <f t="shared" si="130"/>
        <v>0.94250256176712344</v>
      </c>
    </row>
    <row r="8280" spans="13:15" x14ac:dyDescent="0.3">
      <c r="M8280" s="35">
        <v>89.75</v>
      </c>
      <c r="N8280">
        <v>305</v>
      </c>
      <c r="O8280" s="34">
        <f t="shared" si="130"/>
        <v>0.94261641808045604</v>
      </c>
    </row>
    <row r="8281" spans="13:15" x14ac:dyDescent="0.3">
      <c r="M8281" s="35">
        <v>89.79</v>
      </c>
      <c r="N8281">
        <v>305</v>
      </c>
      <c r="O8281" s="34">
        <f t="shared" si="130"/>
        <v>0.94273027439378865</v>
      </c>
    </row>
    <row r="8282" spans="13:15" x14ac:dyDescent="0.3">
      <c r="M8282" s="35">
        <v>89.89</v>
      </c>
      <c r="N8282">
        <v>305</v>
      </c>
      <c r="O8282" s="34">
        <f t="shared" si="130"/>
        <v>0.94284413070712125</v>
      </c>
    </row>
    <row r="8283" spans="13:15" x14ac:dyDescent="0.3">
      <c r="M8283" s="35">
        <v>89.9</v>
      </c>
      <c r="N8283">
        <v>305</v>
      </c>
      <c r="O8283" s="34">
        <f t="shared" si="130"/>
        <v>0.94295798702045386</v>
      </c>
    </row>
    <row r="8284" spans="13:15" x14ac:dyDescent="0.3">
      <c r="M8284" s="35">
        <v>89.94</v>
      </c>
      <c r="N8284">
        <v>305</v>
      </c>
      <c r="O8284" s="34">
        <f t="shared" si="130"/>
        <v>0.94307184333378646</v>
      </c>
    </row>
    <row r="8285" spans="13:15" x14ac:dyDescent="0.3">
      <c r="M8285" s="35">
        <v>89.99</v>
      </c>
      <c r="N8285">
        <v>305</v>
      </c>
      <c r="O8285" s="34">
        <f t="shared" si="130"/>
        <v>0.94318569964711907</v>
      </c>
    </row>
    <row r="8286" spans="13:15" x14ac:dyDescent="0.3">
      <c r="M8286" s="35">
        <v>90.02</v>
      </c>
      <c r="N8286">
        <v>305</v>
      </c>
      <c r="O8286" s="34">
        <f t="shared" si="130"/>
        <v>0.94329955596045167</v>
      </c>
    </row>
    <row r="8287" spans="13:15" x14ac:dyDescent="0.3">
      <c r="M8287" s="35">
        <v>90.07</v>
      </c>
      <c r="N8287">
        <v>305</v>
      </c>
      <c r="O8287" s="34">
        <f t="shared" si="130"/>
        <v>0.94341341227378428</v>
      </c>
    </row>
    <row r="8288" spans="13:15" x14ac:dyDescent="0.3">
      <c r="M8288" s="35">
        <v>90.09</v>
      </c>
      <c r="N8288">
        <v>305</v>
      </c>
      <c r="O8288" s="34">
        <f t="shared" si="130"/>
        <v>0.94352726858711689</v>
      </c>
    </row>
    <row r="8289" spans="13:15" x14ac:dyDescent="0.3">
      <c r="M8289" s="35">
        <v>90.1</v>
      </c>
      <c r="N8289">
        <v>305</v>
      </c>
      <c r="O8289" s="34">
        <f t="shared" si="130"/>
        <v>0.94364112490044949</v>
      </c>
    </row>
    <row r="8290" spans="13:15" x14ac:dyDescent="0.3">
      <c r="M8290" s="35">
        <v>90.24</v>
      </c>
      <c r="N8290">
        <v>305</v>
      </c>
      <c r="O8290" s="34">
        <f t="shared" si="130"/>
        <v>0.9437549812137821</v>
      </c>
    </row>
    <row r="8291" spans="13:15" x14ac:dyDescent="0.3">
      <c r="M8291" s="35">
        <v>90.33</v>
      </c>
      <c r="N8291">
        <v>305</v>
      </c>
      <c r="O8291" s="34">
        <f t="shared" si="130"/>
        <v>0.9438688375271147</v>
      </c>
    </row>
    <row r="8292" spans="13:15" x14ac:dyDescent="0.3">
      <c r="M8292" s="35">
        <v>90.4</v>
      </c>
      <c r="N8292">
        <v>305</v>
      </c>
      <c r="O8292" s="34">
        <f t="shared" si="130"/>
        <v>0.94398269384044731</v>
      </c>
    </row>
    <row r="8293" spans="13:15" x14ac:dyDescent="0.3">
      <c r="M8293" s="35">
        <v>90.49</v>
      </c>
      <c r="N8293">
        <v>305</v>
      </c>
      <c r="O8293" s="34">
        <f t="shared" si="130"/>
        <v>0.94409655015377991</v>
      </c>
    </row>
    <row r="8294" spans="13:15" x14ac:dyDescent="0.3">
      <c r="M8294" s="35">
        <v>90.54</v>
      </c>
      <c r="N8294">
        <v>305</v>
      </c>
      <c r="O8294" s="34">
        <f t="shared" si="130"/>
        <v>0.94421040646711252</v>
      </c>
    </row>
    <row r="8295" spans="13:15" x14ac:dyDescent="0.3">
      <c r="M8295" s="35">
        <v>90.57</v>
      </c>
      <c r="N8295">
        <v>305</v>
      </c>
      <c r="O8295" s="34">
        <f t="shared" si="130"/>
        <v>0.94432426278044512</v>
      </c>
    </row>
    <row r="8296" spans="13:15" x14ac:dyDescent="0.3">
      <c r="M8296" s="35">
        <v>90.63</v>
      </c>
      <c r="N8296">
        <v>305</v>
      </c>
      <c r="O8296" s="34">
        <f t="shared" si="130"/>
        <v>0.94443811909377773</v>
      </c>
    </row>
    <row r="8297" spans="13:15" x14ac:dyDescent="0.3">
      <c r="M8297" s="35">
        <v>90.71</v>
      </c>
      <c r="N8297">
        <v>305</v>
      </c>
      <c r="O8297" s="34">
        <f t="shared" si="130"/>
        <v>0.94455197540711033</v>
      </c>
    </row>
    <row r="8298" spans="13:15" x14ac:dyDescent="0.3">
      <c r="M8298" s="35">
        <v>90.79</v>
      </c>
      <c r="N8298">
        <v>305</v>
      </c>
      <c r="O8298" s="34">
        <f t="shared" si="130"/>
        <v>0.94466583172044294</v>
      </c>
    </row>
    <row r="8299" spans="13:15" x14ac:dyDescent="0.3">
      <c r="M8299" s="35">
        <v>90.88</v>
      </c>
      <c r="N8299">
        <v>305</v>
      </c>
      <c r="O8299" s="34">
        <f t="shared" si="130"/>
        <v>0.94477968803377554</v>
      </c>
    </row>
    <row r="8300" spans="13:15" x14ac:dyDescent="0.3">
      <c r="M8300" s="35">
        <v>90.89</v>
      </c>
      <c r="N8300">
        <v>305</v>
      </c>
      <c r="O8300" s="34">
        <f t="shared" si="130"/>
        <v>0.94489354434710815</v>
      </c>
    </row>
    <row r="8301" spans="13:15" x14ac:dyDescent="0.3">
      <c r="M8301" s="35">
        <v>91.13</v>
      </c>
      <c r="N8301">
        <v>305</v>
      </c>
      <c r="O8301" s="34">
        <f t="shared" si="130"/>
        <v>0.94500740066044076</v>
      </c>
    </row>
    <row r="8302" spans="13:15" x14ac:dyDescent="0.3">
      <c r="M8302" s="35">
        <v>91.2</v>
      </c>
      <c r="N8302">
        <v>305</v>
      </c>
      <c r="O8302" s="34">
        <f t="shared" si="130"/>
        <v>0.94512125697377336</v>
      </c>
    </row>
    <row r="8303" spans="13:15" x14ac:dyDescent="0.3">
      <c r="M8303" s="35">
        <v>91.23</v>
      </c>
      <c r="N8303">
        <v>305</v>
      </c>
      <c r="O8303" s="34">
        <f t="shared" si="130"/>
        <v>0.94523511328710597</v>
      </c>
    </row>
    <row r="8304" spans="13:15" x14ac:dyDescent="0.3">
      <c r="M8304" s="35">
        <v>91.25</v>
      </c>
      <c r="N8304">
        <v>305</v>
      </c>
      <c r="O8304" s="34">
        <f t="shared" si="130"/>
        <v>0.94534896960043857</v>
      </c>
    </row>
    <row r="8305" spans="13:15" x14ac:dyDescent="0.3">
      <c r="M8305" s="35">
        <v>91.33</v>
      </c>
      <c r="N8305">
        <v>305</v>
      </c>
      <c r="O8305" s="34">
        <f t="shared" si="130"/>
        <v>0.94546282591377118</v>
      </c>
    </row>
    <row r="8306" spans="13:15" x14ac:dyDescent="0.3">
      <c r="M8306" s="35">
        <v>91.53</v>
      </c>
      <c r="N8306">
        <v>305</v>
      </c>
      <c r="O8306" s="34">
        <f t="shared" si="130"/>
        <v>0.94557668222710378</v>
      </c>
    </row>
    <row r="8307" spans="13:15" x14ac:dyDescent="0.3">
      <c r="M8307" s="35">
        <v>91.62</v>
      </c>
      <c r="N8307">
        <v>305</v>
      </c>
      <c r="O8307" s="34">
        <f t="shared" si="130"/>
        <v>0.94569053854043639</v>
      </c>
    </row>
    <row r="8308" spans="13:15" x14ac:dyDescent="0.3">
      <c r="M8308" s="35">
        <v>91.63</v>
      </c>
      <c r="N8308">
        <v>305</v>
      </c>
      <c r="O8308" s="34">
        <f t="shared" si="130"/>
        <v>0.94580439485376899</v>
      </c>
    </row>
    <row r="8309" spans="13:15" x14ac:dyDescent="0.3">
      <c r="M8309" s="35">
        <v>91.77</v>
      </c>
      <c r="N8309">
        <v>305</v>
      </c>
      <c r="O8309" s="34">
        <f t="shared" si="130"/>
        <v>0.9459182511671016</v>
      </c>
    </row>
    <row r="8310" spans="13:15" x14ac:dyDescent="0.3">
      <c r="M8310" s="35">
        <v>91.82</v>
      </c>
      <c r="N8310">
        <v>305</v>
      </c>
      <c r="O8310" s="34">
        <f t="shared" si="130"/>
        <v>0.9460321074804342</v>
      </c>
    </row>
    <row r="8311" spans="13:15" x14ac:dyDescent="0.3">
      <c r="M8311" s="35">
        <v>91.97</v>
      </c>
      <c r="N8311">
        <v>305</v>
      </c>
      <c r="O8311" s="34">
        <f t="shared" si="130"/>
        <v>0.94614596379376681</v>
      </c>
    </row>
    <row r="8312" spans="13:15" x14ac:dyDescent="0.3">
      <c r="M8312" s="35">
        <v>92.3</v>
      </c>
      <c r="N8312">
        <v>305</v>
      </c>
      <c r="O8312" s="34">
        <f t="shared" si="130"/>
        <v>0.94625982010709941</v>
      </c>
    </row>
    <row r="8313" spans="13:15" x14ac:dyDescent="0.3">
      <c r="M8313" s="35">
        <v>92.49</v>
      </c>
      <c r="N8313">
        <v>305</v>
      </c>
      <c r="O8313" s="34">
        <f t="shared" si="130"/>
        <v>0.94637367642043202</v>
      </c>
    </row>
    <row r="8314" spans="13:15" x14ac:dyDescent="0.3">
      <c r="M8314" s="35">
        <v>92.85</v>
      </c>
      <c r="N8314">
        <v>305</v>
      </c>
      <c r="O8314" s="34">
        <f t="shared" si="130"/>
        <v>0.94648753273376462</v>
      </c>
    </row>
    <row r="8315" spans="13:15" x14ac:dyDescent="0.3">
      <c r="M8315" s="35">
        <v>92.85</v>
      </c>
      <c r="N8315">
        <v>305</v>
      </c>
      <c r="O8315" s="34">
        <f t="shared" si="130"/>
        <v>0.94660138904709723</v>
      </c>
    </row>
    <row r="8316" spans="13:15" x14ac:dyDescent="0.3">
      <c r="M8316" s="35">
        <v>93.23</v>
      </c>
      <c r="N8316">
        <v>305</v>
      </c>
      <c r="O8316" s="34">
        <f t="shared" si="130"/>
        <v>0.94671524536042984</v>
      </c>
    </row>
    <row r="8317" spans="13:15" x14ac:dyDescent="0.3">
      <c r="M8317" s="35">
        <v>93.44</v>
      </c>
      <c r="N8317">
        <v>305</v>
      </c>
      <c r="O8317" s="34">
        <f t="shared" si="130"/>
        <v>0.94682910167376244</v>
      </c>
    </row>
    <row r="8318" spans="13:15" x14ac:dyDescent="0.3">
      <c r="M8318" s="35">
        <v>93.49</v>
      </c>
      <c r="N8318">
        <v>305</v>
      </c>
      <c r="O8318" s="34">
        <f t="shared" si="130"/>
        <v>0.94694295798709505</v>
      </c>
    </row>
    <row r="8319" spans="13:15" x14ac:dyDescent="0.3">
      <c r="M8319" s="35">
        <v>93.59</v>
      </c>
      <c r="N8319">
        <v>305</v>
      </c>
      <c r="O8319" s="34">
        <f t="shared" si="130"/>
        <v>0.94705681430042765</v>
      </c>
    </row>
    <row r="8320" spans="13:15" x14ac:dyDescent="0.3">
      <c r="M8320" s="35">
        <v>93.65</v>
      </c>
      <c r="N8320">
        <v>305</v>
      </c>
      <c r="O8320" s="34">
        <f t="shared" si="130"/>
        <v>0.94717067061376026</v>
      </c>
    </row>
    <row r="8321" spans="13:15" x14ac:dyDescent="0.3">
      <c r="M8321" s="35">
        <v>93.68</v>
      </c>
      <c r="N8321">
        <v>305</v>
      </c>
      <c r="O8321" s="34">
        <f t="shared" si="130"/>
        <v>0.94728452692709286</v>
      </c>
    </row>
    <row r="8322" spans="13:15" x14ac:dyDescent="0.3">
      <c r="M8322" s="35">
        <v>93.76</v>
      </c>
      <c r="N8322">
        <v>305</v>
      </c>
      <c r="O8322" s="34">
        <f t="shared" si="130"/>
        <v>0.94739838324042547</v>
      </c>
    </row>
    <row r="8323" spans="13:15" x14ac:dyDescent="0.3">
      <c r="M8323" s="35">
        <v>93.83</v>
      </c>
      <c r="N8323">
        <v>305</v>
      </c>
      <c r="O8323" s="34">
        <f t="shared" si="130"/>
        <v>0.94751223955375807</v>
      </c>
    </row>
    <row r="8324" spans="13:15" x14ac:dyDescent="0.3">
      <c r="M8324" s="35">
        <v>94.03</v>
      </c>
      <c r="N8324">
        <v>305</v>
      </c>
      <c r="O8324" s="34">
        <f t="shared" ref="O8324:O8387" si="131">O8323+O$2</f>
        <v>0.94762609586709068</v>
      </c>
    </row>
    <row r="8325" spans="13:15" x14ac:dyDescent="0.3">
      <c r="M8325" s="35">
        <v>94.16</v>
      </c>
      <c r="N8325">
        <v>305</v>
      </c>
      <c r="O8325" s="34">
        <f t="shared" si="131"/>
        <v>0.94773995218042328</v>
      </c>
    </row>
    <row r="8326" spans="13:15" x14ac:dyDescent="0.3">
      <c r="M8326" s="35">
        <v>94.41</v>
      </c>
      <c r="N8326">
        <v>305</v>
      </c>
      <c r="O8326" s="34">
        <f t="shared" si="131"/>
        <v>0.94785380849375589</v>
      </c>
    </row>
    <row r="8327" spans="13:15" x14ac:dyDescent="0.3">
      <c r="M8327" s="35">
        <v>94.42</v>
      </c>
      <c r="N8327">
        <v>305</v>
      </c>
      <c r="O8327" s="34">
        <f t="shared" si="131"/>
        <v>0.94796766480708849</v>
      </c>
    </row>
    <row r="8328" spans="13:15" x14ac:dyDescent="0.3">
      <c r="M8328" s="35">
        <v>94.45</v>
      </c>
      <c r="N8328">
        <v>305</v>
      </c>
      <c r="O8328" s="34">
        <f t="shared" si="131"/>
        <v>0.9480815211204211</v>
      </c>
    </row>
    <row r="8329" spans="13:15" x14ac:dyDescent="0.3">
      <c r="M8329" s="35">
        <v>94.59</v>
      </c>
      <c r="N8329">
        <v>305</v>
      </c>
      <c r="O8329" s="34">
        <f t="shared" si="131"/>
        <v>0.94819537743375371</v>
      </c>
    </row>
    <row r="8330" spans="13:15" x14ac:dyDescent="0.3">
      <c r="M8330" s="35">
        <v>94.6</v>
      </c>
      <c r="N8330">
        <v>305</v>
      </c>
      <c r="O8330" s="34">
        <f t="shared" si="131"/>
        <v>0.94830923374708631</v>
      </c>
    </row>
    <row r="8331" spans="13:15" x14ac:dyDescent="0.3">
      <c r="M8331" s="35">
        <v>94.75</v>
      </c>
      <c r="N8331">
        <v>305</v>
      </c>
      <c r="O8331" s="34">
        <f t="shared" si="131"/>
        <v>0.94842309006041892</v>
      </c>
    </row>
    <row r="8332" spans="13:15" x14ac:dyDescent="0.3">
      <c r="M8332" s="35">
        <v>94.78</v>
      </c>
      <c r="N8332">
        <v>305</v>
      </c>
      <c r="O8332" s="34">
        <f t="shared" si="131"/>
        <v>0.94853694637375152</v>
      </c>
    </row>
    <row r="8333" spans="13:15" x14ac:dyDescent="0.3">
      <c r="M8333" s="35">
        <v>94.78</v>
      </c>
      <c r="N8333">
        <v>305</v>
      </c>
      <c r="O8333" s="34">
        <f t="shared" si="131"/>
        <v>0.94865080268708413</v>
      </c>
    </row>
    <row r="8334" spans="13:15" x14ac:dyDescent="0.3">
      <c r="M8334" s="35">
        <v>94.89</v>
      </c>
      <c r="N8334">
        <v>305</v>
      </c>
      <c r="O8334" s="34">
        <f t="shared" si="131"/>
        <v>0.94876465900041673</v>
      </c>
    </row>
    <row r="8335" spans="13:15" x14ac:dyDescent="0.3">
      <c r="M8335" s="35">
        <v>95.07</v>
      </c>
      <c r="N8335">
        <v>305</v>
      </c>
      <c r="O8335" s="34">
        <f t="shared" si="131"/>
        <v>0.94887851531374934</v>
      </c>
    </row>
    <row r="8336" spans="13:15" x14ac:dyDescent="0.3">
      <c r="M8336" s="35">
        <v>95.11</v>
      </c>
      <c r="N8336">
        <v>305</v>
      </c>
      <c r="O8336" s="34">
        <f t="shared" si="131"/>
        <v>0.94899237162708194</v>
      </c>
    </row>
    <row r="8337" spans="13:15" x14ac:dyDescent="0.3">
      <c r="M8337" s="35">
        <v>95.14</v>
      </c>
      <c r="N8337">
        <v>305</v>
      </c>
      <c r="O8337" s="34">
        <f t="shared" si="131"/>
        <v>0.94910622794041455</v>
      </c>
    </row>
    <row r="8338" spans="13:15" x14ac:dyDescent="0.3">
      <c r="M8338" s="35">
        <v>95.19</v>
      </c>
      <c r="N8338">
        <v>305</v>
      </c>
      <c r="O8338" s="34">
        <f t="shared" si="131"/>
        <v>0.94922008425374715</v>
      </c>
    </row>
    <row r="8339" spans="13:15" x14ac:dyDescent="0.3">
      <c r="M8339" s="35">
        <v>95.28</v>
      </c>
      <c r="N8339">
        <v>305</v>
      </c>
      <c r="O8339" s="34">
        <f t="shared" si="131"/>
        <v>0.94933394056707976</v>
      </c>
    </row>
    <row r="8340" spans="13:15" x14ac:dyDescent="0.3">
      <c r="M8340" s="35">
        <v>95.38</v>
      </c>
      <c r="N8340">
        <v>305</v>
      </c>
      <c r="O8340" s="34">
        <f t="shared" si="131"/>
        <v>0.94944779688041236</v>
      </c>
    </row>
    <row r="8341" spans="13:15" x14ac:dyDescent="0.3">
      <c r="M8341" s="35">
        <v>95.39</v>
      </c>
      <c r="N8341">
        <v>305</v>
      </c>
      <c r="O8341" s="34">
        <f t="shared" si="131"/>
        <v>0.94956165319374497</v>
      </c>
    </row>
    <row r="8342" spans="13:15" x14ac:dyDescent="0.3">
      <c r="M8342" s="35">
        <v>95.76</v>
      </c>
      <c r="N8342">
        <v>305</v>
      </c>
      <c r="O8342" s="34">
        <f t="shared" si="131"/>
        <v>0.94967550950707758</v>
      </c>
    </row>
    <row r="8343" spans="13:15" x14ac:dyDescent="0.3">
      <c r="M8343" s="35">
        <v>95.77</v>
      </c>
      <c r="N8343">
        <v>305</v>
      </c>
      <c r="O8343" s="34">
        <f t="shared" si="131"/>
        <v>0.94978936582041018</v>
      </c>
    </row>
    <row r="8344" spans="13:15" x14ac:dyDescent="0.3">
      <c r="M8344" s="35">
        <v>95.83</v>
      </c>
      <c r="N8344">
        <v>305</v>
      </c>
      <c r="O8344" s="34">
        <f t="shared" si="131"/>
        <v>0.94990322213374279</v>
      </c>
    </row>
    <row r="8345" spans="13:15" x14ac:dyDescent="0.3">
      <c r="M8345" s="35">
        <v>95.86</v>
      </c>
      <c r="N8345">
        <v>305</v>
      </c>
      <c r="O8345" s="34">
        <f t="shared" si="131"/>
        <v>0.95001707844707539</v>
      </c>
    </row>
    <row r="8346" spans="13:15" x14ac:dyDescent="0.3">
      <c r="M8346" s="35">
        <v>96.02</v>
      </c>
      <c r="N8346">
        <v>305</v>
      </c>
      <c r="O8346" s="34">
        <f t="shared" si="131"/>
        <v>0.950130934760408</v>
      </c>
    </row>
    <row r="8347" spans="13:15" x14ac:dyDescent="0.3">
      <c r="M8347" s="35">
        <v>96.03</v>
      </c>
      <c r="N8347">
        <v>305</v>
      </c>
      <c r="O8347" s="34">
        <f t="shared" si="131"/>
        <v>0.9502447910737406</v>
      </c>
    </row>
    <row r="8348" spans="13:15" x14ac:dyDescent="0.3">
      <c r="M8348" s="35">
        <v>96.23</v>
      </c>
      <c r="N8348">
        <v>305</v>
      </c>
      <c r="O8348" s="34">
        <f t="shared" si="131"/>
        <v>0.95035864738707321</v>
      </c>
    </row>
    <row r="8349" spans="13:15" x14ac:dyDescent="0.3">
      <c r="M8349" s="35">
        <v>96.34</v>
      </c>
      <c r="N8349">
        <v>305</v>
      </c>
      <c r="O8349" s="34">
        <f t="shared" si="131"/>
        <v>0.95047250370040581</v>
      </c>
    </row>
    <row r="8350" spans="13:15" x14ac:dyDescent="0.3">
      <c r="M8350" s="35">
        <v>96.45</v>
      </c>
      <c r="N8350">
        <v>305</v>
      </c>
      <c r="O8350" s="34">
        <f t="shared" si="131"/>
        <v>0.95058636001373842</v>
      </c>
    </row>
    <row r="8351" spans="13:15" x14ac:dyDescent="0.3">
      <c r="M8351" s="35">
        <v>96.56</v>
      </c>
      <c r="N8351">
        <v>305</v>
      </c>
      <c r="O8351" s="34">
        <f t="shared" si="131"/>
        <v>0.95070021632707102</v>
      </c>
    </row>
    <row r="8352" spans="13:15" x14ac:dyDescent="0.3">
      <c r="M8352" s="35">
        <v>96.88</v>
      </c>
      <c r="N8352">
        <v>305</v>
      </c>
      <c r="O8352" s="34">
        <f t="shared" si="131"/>
        <v>0.95081407264040363</v>
      </c>
    </row>
    <row r="8353" spans="13:15" x14ac:dyDescent="0.3">
      <c r="M8353" s="35">
        <v>96.88</v>
      </c>
      <c r="N8353">
        <v>305</v>
      </c>
      <c r="O8353" s="34">
        <f t="shared" si="131"/>
        <v>0.95092792895373623</v>
      </c>
    </row>
    <row r="8354" spans="13:15" x14ac:dyDescent="0.3">
      <c r="M8354" s="35">
        <v>96.94</v>
      </c>
      <c r="N8354">
        <v>305</v>
      </c>
      <c r="O8354" s="34">
        <f t="shared" si="131"/>
        <v>0.95104178526706884</v>
      </c>
    </row>
    <row r="8355" spans="13:15" x14ac:dyDescent="0.3">
      <c r="M8355" s="35">
        <v>96.98</v>
      </c>
      <c r="N8355">
        <v>305</v>
      </c>
      <c r="O8355" s="34">
        <f t="shared" si="131"/>
        <v>0.95115564158040145</v>
      </c>
    </row>
    <row r="8356" spans="13:15" x14ac:dyDescent="0.3">
      <c r="M8356" s="35">
        <v>97.18</v>
      </c>
      <c r="N8356">
        <v>305</v>
      </c>
      <c r="O8356" s="34">
        <f t="shared" si="131"/>
        <v>0.95126949789373405</v>
      </c>
    </row>
    <row r="8357" spans="13:15" x14ac:dyDescent="0.3">
      <c r="M8357" s="35">
        <v>97.22</v>
      </c>
      <c r="N8357">
        <v>305</v>
      </c>
      <c r="O8357" s="34">
        <f t="shared" si="131"/>
        <v>0.95138335420706666</v>
      </c>
    </row>
    <row r="8358" spans="13:15" x14ac:dyDescent="0.3">
      <c r="M8358" s="35">
        <v>97.22</v>
      </c>
      <c r="N8358">
        <v>305</v>
      </c>
      <c r="O8358" s="34">
        <f t="shared" si="131"/>
        <v>0.95149721052039926</v>
      </c>
    </row>
    <row r="8359" spans="13:15" x14ac:dyDescent="0.3">
      <c r="M8359" s="35">
        <v>97.36</v>
      </c>
      <c r="N8359">
        <v>305</v>
      </c>
      <c r="O8359" s="34">
        <f t="shared" si="131"/>
        <v>0.95161106683373187</v>
      </c>
    </row>
    <row r="8360" spans="13:15" x14ac:dyDescent="0.3">
      <c r="M8360" s="35">
        <v>97.39</v>
      </c>
      <c r="N8360">
        <v>305</v>
      </c>
      <c r="O8360" s="34">
        <f t="shared" si="131"/>
        <v>0.95172492314706447</v>
      </c>
    </row>
    <row r="8361" spans="13:15" x14ac:dyDescent="0.3">
      <c r="M8361" s="35">
        <v>97.39</v>
      </c>
      <c r="N8361">
        <v>305</v>
      </c>
      <c r="O8361" s="34">
        <f t="shared" si="131"/>
        <v>0.95183877946039708</v>
      </c>
    </row>
    <row r="8362" spans="13:15" x14ac:dyDescent="0.3">
      <c r="M8362" s="35">
        <v>97.4</v>
      </c>
      <c r="N8362">
        <v>305</v>
      </c>
      <c r="O8362" s="34">
        <f t="shared" si="131"/>
        <v>0.95195263577372968</v>
      </c>
    </row>
    <row r="8363" spans="13:15" x14ac:dyDescent="0.3">
      <c r="M8363" s="35">
        <v>97.4</v>
      </c>
      <c r="N8363">
        <v>305</v>
      </c>
      <c r="O8363" s="34">
        <f t="shared" si="131"/>
        <v>0.95206649208706229</v>
      </c>
    </row>
    <row r="8364" spans="13:15" x14ac:dyDescent="0.3">
      <c r="M8364" s="35">
        <v>97.49</v>
      </c>
      <c r="N8364">
        <v>305</v>
      </c>
      <c r="O8364" s="34">
        <f t="shared" si="131"/>
        <v>0.95218034840039489</v>
      </c>
    </row>
    <row r="8365" spans="13:15" x14ac:dyDescent="0.3">
      <c r="M8365" s="35">
        <v>97.76</v>
      </c>
      <c r="N8365">
        <v>305</v>
      </c>
      <c r="O8365" s="34">
        <f t="shared" si="131"/>
        <v>0.9522942047137275</v>
      </c>
    </row>
    <row r="8366" spans="13:15" x14ac:dyDescent="0.3">
      <c r="M8366" s="35">
        <v>97.93</v>
      </c>
      <c r="N8366">
        <v>305</v>
      </c>
      <c r="O8366" s="34">
        <f t="shared" si="131"/>
        <v>0.9524080610270601</v>
      </c>
    </row>
    <row r="8367" spans="13:15" x14ac:dyDescent="0.3">
      <c r="M8367" s="35">
        <v>97.97</v>
      </c>
      <c r="N8367">
        <v>305</v>
      </c>
      <c r="O8367" s="34">
        <f t="shared" si="131"/>
        <v>0.95252191734039271</v>
      </c>
    </row>
    <row r="8368" spans="13:15" x14ac:dyDescent="0.3">
      <c r="M8368" s="35">
        <v>98.05</v>
      </c>
      <c r="N8368">
        <v>305</v>
      </c>
      <c r="O8368" s="34">
        <f t="shared" si="131"/>
        <v>0.95263577365372532</v>
      </c>
    </row>
    <row r="8369" spans="13:15" x14ac:dyDescent="0.3">
      <c r="M8369" s="35">
        <v>98.11</v>
      </c>
      <c r="N8369">
        <v>305</v>
      </c>
      <c r="O8369" s="34">
        <f t="shared" si="131"/>
        <v>0.95274962996705792</v>
      </c>
    </row>
    <row r="8370" spans="13:15" x14ac:dyDescent="0.3">
      <c r="M8370" s="35">
        <v>98.32</v>
      </c>
      <c r="N8370">
        <v>305</v>
      </c>
      <c r="O8370" s="34">
        <f t="shared" si="131"/>
        <v>0.95286348628039053</v>
      </c>
    </row>
    <row r="8371" spans="13:15" x14ac:dyDescent="0.3">
      <c r="M8371" s="35">
        <v>98.52</v>
      </c>
      <c r="N8371">
        <v>305</v>
      </c>
      <c r="O8371" s="34">
        <f t="shared" si="131"/>
        <v>0.95297734259372313</v>
      </c>
    </row>
    <row r="8372" spans="13:15" x14ac:dyDescent="0.3">
      <c r="M8372" s="35">
        <v>98.69</v>
      </c>
      <c r="N8372">
        <v>305</v>
      </c>
      <c r="O8372" s="34">
        <f t="shared" si="131"/>
        <v>0.95309119890705574</v>
      </c>
    </row>
    <row r="8373" spans="13:15" x14ac:dyDescent="0.3">
      <c r="M8373" s="35">
        <v>98.71</v>
      </c>
      <c r="N8373">
        <v>305</v>
      </c>
      <c r="O8373" s="34">
        <f t="shared" si="131"/>
        <v>0.95320505522038834</v>
      </c>
    </row>
    <row r="8374" spans="13:15" x14ac:dyDescent="0.3">
      <c r="M8374" s="35">
        <v>98.72</v>
      </c>
      <c r="N8374">
        <v>305</v>
      </c>
      <c r="O8374" s="34">
        <f t="shared" si="131"/>
        <v>0.95331891153372095</v>
      </c>
    </row>
    <row r="8375" spans="13:15" x14ac:dyDescent="0.3">
      <c r="M8375" s="35">
        <v>98.91</v>
      </c>
      <c r="N8375">
        <v>305</v>
      </c>
      <c r="O8375" s="34">
        <f t="shared" si="131"/>
        <v>0.95343276784705355</v>
      </c>
    </row>
    <row r="8376" spans="13:15" x14ac:dyDescent="0.3">
      <c r="M8376" s="35">
        <v>98.99</v>
      </c>
      <c r="N8376">
        <v>305</v>
      </c>
      <c r="O8376" s="34">
        <f t="shared" si="131"/>
        <v>0.95354662416038616</v>
      </c>
    </row>
    <row r="8377" spans="13:15" x14ac:dyDescent="0.3">
      <c r="M8377" s="35">
        <v>99</v>
      </c>
      <c r="N8377">
        <v>305</v>
      </c>
      <c r="O8377" s="34">
        <f t="shared" si="131"/>
        <v>0.95366048047371876</v>
      </c>
    </row>
    <row r="8378" spans="13:15" x14ac:dyDescent="0.3">
      <c r="M8378" s="35">
        <v>99.04</v>
      </c>
      <c r="N8378">
        <v>305</v>
      </c>
      <c r="O8378" s="34">
        <f t="shared" si="131"/>
        <v>0.95377433678705137</v>
      </c>
    </row>
    <row r="8379" spans="13:15" x14ac:dyDescent="0.3">
      <c r="M8379" s="35">
        <v>99.22</v>
      </c>
      <c r="N8379">
        <v>305</v>
      </c>
      <c r="O8379" s="34">
        <f t="shared" si="131"/>
        <v>0.95388819310038397</v>
      </c>
    </row>
    <row r="8380" spans="13:15" x14ac:dyDescent="0.3">
      <c r="M8380" s="35">
        <v>99.32</v>
      </c>
      <c r="N8380">
        <v>305</v>
      </c>
      <c r="O8380" s="34">
        <f t="shared" si="131"/>
        <v>0.95400204941371658</v>
      </c>
    </row>
    <row r="8381" spans="13:15" x14ac:dyDescent="0.3">
      <c r="M8381" s="35">
        <v>99.38</v>
      </c>
      <c r="N8381">
        <v>305</v>
      </c>
      <c r="O8381" s="34">
        <f t="shared" si="131"/>
        <v>0.95411590572704919</v>
      </c>
    </row>
    <row r="8382" spans="13:15" x14ac:dyDescent="0.3">
      <c r="M8382" s="35">
        <v>99.46</v>
      </c>
      <c r="N8382">
        <v>305</v>
      </c>
      <c r="O8382" s="34">
        <f t="shared" si="131"/>
        <v>0.95422976204038179</v>
      </c>
    </row>
    <row r="8383" spans="13:15" x14ac:dyDescent="0.3">
      <c r="M8383" s="35">
        <v>99.96</v>
      </c>
      <c r="N8383">
        <v>305</v>
      </c>
      <c r="O8383" s="34">
        <f t="shared" si="131"/>
        <v>0.9543436183537144</v>
      </c>
    </row>
    <row r="8384" spans="13:15" x14ac:dyDescent="0.3">
      <c r="M8384" s="35">
        <v>100</v>
      </c>
      <c r="N8384">
        <v>305</v>
      </c>
      <c r="O8384" s="34">
        <f t="shared" si="131"/>
        <v>0.954457474667047</v>
      </c>
    </row>
    <row r="8385" spans="13:15" x14ac:dyDescent="0.3">
      <c r="M8385" s="35">
        <v>100.06</v>
      </c>
      <c r="N8385">
        <v>305</v>
      </c>
      <c r="O8385" s="34">
        <f t="shared" si="131"/>
        <v>0.95457133098037961</v>
      </c>
    </row>
    <row r="8386" spans="13:15" x14ac:dyDescent="0.3">
      <c r="M8386" s="35">
        <v>100.1</v>
      </c>
      <c r="N8386">
        <v>305</v>
      </c>
      <c r="O8386" s="34">
        <f t="shared" si="131"/>
        <v>0.95468518729371221</v>
      </c>
    </row>
    <row r="8387" spans="13:15" x14ac:dyDescent="0.3">
      <c r="M8387" s="35">
        <v>100.29</v>
      </c>
      <c r="N8387">
        <v>305</v>
      </c>
      <c r="O8387" s="34">
        <f t="shared" si="131"/>
        <v>0.95479904360704482</v>
      </c>
    </row>
    <row r="8388" spans="13:15" x14ac:dyDescent="0.3">
      <c r="M8388" s="35">
        <v>100.84</v>
      </c>
      <c r="N8388">
        <v>305</v>
      </c>
      <c r="O8388" s="34">
        <f t="shared" ref="O8388:O8451" si="132">O8387+O$2</f>
        <v>0.95491289992037742</v>
      </c>
    </row>
    <row r="8389" spans="13:15" x14ac:dyDescent="0.3">
      <c r="M8389" s="35">
        <v>100.88</v>
      </c>
      <c r="N8389">
        <v>305</v>
      </c>
      <c r="O8389" s="34">
        <f t="shared" si="132"/>
        <v>0.95502675623371003</v>
      </c>
    </row>
    <row r="8390" spans="13:15" x14ac:dyDescent="0.3">
      <c r="M8390" s="35">
        <v>100.9</v>
      </c>
      <c r="N8390">
        <v>305</v>
      </c>
      <c r="O8390" s="34">
        <f t="shared" si="132"/>
        <v>0.95514061254704263</v>
      </c>
    </row>
    <row r="8391" spans="13:15" x14ac:dyDescent="0.3">
      <c r="M8391" s="35">
        <v>101.02</v>
      </c>
      <c r="N8391">
        <v>305</v>
      </c>
      <c r="O8391" s="34">
        <f t="shared" si="132"/>
        <v>0.95525446886037524</v>
      </c>
    </row>
    <row r="8392" spans="13:15" x14ac:dyDescent="0.3">
      <c r="M8392" s="35">
        <v>101.03</v>
      </c>
      <c r="N8392">
        <v>305</v>
      </c>
      <c r="O8392" s="34">
        <f t="shared" si="132"/>
        <v>0.95536832517370784</v>
      </c>
    </row>
    <row r="8393" spans="13:15" x14ac:dyDescent="0.3">
      <c r="M8393" s="35">
        <v>101.17</v>
      </c>
      <c r="N8393">
        <v>305</v>
      </c>
      <c r="O8393" s="34">
        <f t="shared" si="132"/>
        <v>0.95548218148704045</v>
      </c>
    </row>
    <row r="8394" spans="13:15" x14ac:dyDescent="0.3">
      <c r="M8394" s="35">
        <v>101.26</v>
      </c>
      <c r="N8394">
        <v>305</v>
      </c>
      <c r="O8394" s="34">
        <f t="shared" si="132"/>
        <v>0.95559603780037305</v>
      </c>
    </row>
    <row r="8395" spans="13:15" x14ac:dyDescent="0.3">
      <c r="M8395" s="35">
        <v>101.28</v>
      </c>
      <c r="N8395">
        <v>305</v>
      </c>
      <c r="O8395" s="34">
        <f t="shared" si="132"/>
        <v>0.95570989411370566</v>
      </c>
    </row>
    <row r="8396" spans="13:15" x14ac:dyDescent="0.3">
      <c r="M8396" s="35">
        <v>101.33</v>
      </c>
      <c r="N8396">
        <v>305</v>
      </c>
      <c r="O8396" s="34">
        <f t="shared" si="132"/>
        <v>0.95582375042703827</v>
      </c>
    </row>
    <row r="8397" spans="13:15" x14ac:dyDescent="0.3">
      <c r="M8397" s="35">
        <v>101.39</v>
      </c>
      <c r="N8397">
        <v>305</v>
      </c>
      <c r="O8397" s="34">
        <f t="shared" si="132"/>
        <v>0.95593760674037087</v>
      </c>
    </row>
    <row r="8398" spans="13:15" x14ac:dyDescent="0.3">
      <c r="M8398" s="35">
        <v>101.41</v>
      </c>
      <c r="N8398">
        <v>305</v>
      </c>
      <c r="O8398" s="34">
        <f t="shared" si="132"/>
        <v>0.95605146305370348</v>
      </c>
    </row>
    <row r="8399" spans="13:15" x14ac:dyDescent="0.3">
      <c r="M8399" s="35">
        <v>101.46</v>
      </c>
      <c r="N8399">
        <v>305</v>
      </c>
      <c r="O8399" s="34">
        <f t="shared" si="132"/>
        <v>0.95616531936703608</v>
      </c>
    </row>
    <row r="8400" spans="13:15" x14ac:dyDescent="0.3">
      <c r="M8400" s="35">
        <v>101.73</v>
      </c>
      <c r="N8400">
        <v>305</v>
      </c>
      <c r="O8400" s="34">
        <f t="shared" si="132"/>
        <v>0.95627917568036869</v>
      </c>
    </row>
    <row r="8401" spans="13:15" x14ac:dyDescent="0.3">
      <c r="M8401" s="35">
        <v>101.78</v>
      </c>
      <c r="N8401">
        <v>305</v>
      </c>
      <c r="O8401" s="34">
        <f t="shared" si="132"/>
        <v>0.95639303199370129</v>
      </c>
    </row>
    <row r="8402" spans="13:15" x14ac:dyDescent="0.3">
      <c r="M8402" s="35">
        <v>101.97</v>
      </c>
      <c r="N8402">
        <v>305</v>
      </c>
      <c r="O8402" s="34">
        <f t="shared" si="132"/>
        <v>0.9565068883070339</v>
      </c>
    </row>
    <row r="8403" spans="13:15" x14ac:dyDescent="0.3">
      <c r="M8403" s="35">
        <v>102.1</v>
      </c>
      <c r="N8403">
        <v>305</v>
      </c>
      <c r="O8403" s="34">
        <f t="shared" si="132"/>
        <v>0.9566207446203665</v>
      </c>
    </row>
    <row r="8404" spans="13:15" x14ac:dyDescent="0.3">
      <c r="M8404" s="35">
        <v>102.11</v>
      </c>
      <c r="N8404">
        <v>305</v>
      </c>
      <c r="O8404" s="34">
        <f t="shared" si="132"/>
        <v>0.95673460093369911</v>
      </c>
    </row>
    <row r="8405" spans="13:15" x14ac:dyDescent="0.3">
      <c r="M8405" s="35">
        <v>102.22</v>
      </c>
      <c r="N8405">
        <v>305</v>
      </c>
      <c r="O8405" s="34">
        <f t="shared" si="132"/>
        <v>0.95684845724703171</v>
      </c>
    </row>
    <row r="8406" spans="13:15" x14ac:dyDescent="0.3">
      <c r="M8406" s="35">
        <v>102.23</v>
      </c>
      <c r="N8406">
        <v>305</v>
      </c>
      <c r="O8406" s="34">
        <f t="shared" si="132"/>
        <v>0.95696231356036432</v>
      </c>
    </row>
    <row r="8407" spans="13:15" x14ac:dyDescent="0.3">
      <c r="M8407" s="35">
        <v>102.43</v>
      </c>
      <c r="N8407">
        <v>305</v>
      </c>
      <c r="O8407" s="34">
        <f t="shared" si="132"/>
        <v>0.95707616987369692</v>
      </c>
    </row>
    <row r="8408" spans="13:15" x14ac:dyDescent="0.3">
      <c r="M8408" s="35">
        <v>102.62</v>
      </c>
      <c r="N8408">
        <v>305</v>
      </c>
      <c r="O8408" s="34">
        <f t="shared" si="132"/>
        <v>0.95719002618702953</v>
      </c>
    </row>
    <row r="8409" spans="13:15" x14ac:dyDescent="0.3">
      <c r="M8409" s="35">
        <v>102.66</v>
      </c>
      <c r="N8409">
        <v>305</v>
      </c>
      <c r="O8409" s="34">
        <f t="shared" si="132"/>
        <v>0.95730388250036214</v>
      </c>
    </row>
    <row r="8410" spans="13:15" x14ac:dyDescent="0.3">
      <c r="M8410" s="35">
        <v>103.1</v>
      </c>
      <c r="N8410">
        <v>305</v>
      </c>
      <c r="O8410" s="34">
        <f t="shared" si="132"/>
        <v>0.95741773881369474</v>
      </c>
    </row>
    <row r="8411" spans="13:15" x14ac:dyDescent="0.3">
      <c r="M8411" s="35">
        <v>103.25</v>
      </c>
      <c r="N8411">
        <v>305</v>
      </c>
      <c r="O8411" s="34">
        <f t="shared" si="132"/>
        <v>0.95753159512702735</v>
      </c>
    </row>
    <row r="8412" spans="13:15" x14ac:dyDescent="0.3">
      <c r="M8412" s="35">
        <v>103.34</v>
      </c>
      <c r="N8412">
        <v>305</v>
      </c>
      <c r="O8412" s="34">
        <f t="shared" si="132"/>
        <v>0.95764545144035995</v>
      </c>
    </row>
    <row r="8413" spans="13:15" x14ac:dyDescent="0.3">
      <c r="M8413" s="35">
        <v>103.52</v>
      </c>
      <c r="N8413">
        <v>305</v>
      </c>
      <c r="O8413" s="34">
        <f t="shared" si="132"/>
        <v>0.95775930775369256</v>
      </c>
    </row>
    <row r="8414" spans="13:15" x14ac:dyDescent="0.3">
      <c r="M8414" s="35">
        <v>103.56</v>
      </c>
      <c r="N8414">
        <v>305</v>
      </c>
      <c r="O8414" s="34">
        <f t="shared" si="132"/>
        <v>0.95787316406702516</v>
      </c>
    </row>
    <row r="8415" spans="13:15" x14ac:dyDescent="0.3">
      <c r="M8415" s="35">
        <v>103.75</v>
      </c>
      <c r="N8415">
        <v>305</v>
      </c>
      <c r="O8415" s="34">
        <f t="shared" si="132"/>
        <v>0.95798702038035777</v>
      </c>
    </row>
    <row r="8416" spans="13:15" x14ac:dyDescent="0.3">
      <c r="M8416" s="35">
        <v>103.9</v>
      </c>
      <c r="N8416">
        <v>305</v>
      </c>
      <c r="O8416" s="34">
        <f t="shared" si="132"/>
        <v>0.95810087669369037</v>
      </c>
    </row>
    <row r="8417" spans="13:15" x14ac:dyDescent="0.3">
      <c r="M8417" s="35">
        <v>103.9</v>
      </c>
      <c r="N8417">
        <v>305</v>
      </c>
      <c r="O8417" s="34">
        <f t="shared" si="132"/>
        <v>0.95821473300702298</v>
      </c>
    </row>
    <row r="8418" spans="13:15" x14ac:dyDescent="0.3">
      <c r="M8418" s="35">
        <v>103.99</v>
      </c>
      <c r="N8418">
        <v>305</v>
      </c>
      <c r="O8418" s="34">
        <f t="shared" si="132"/>
        <v>0.95832858932035558</v>
      </c>
    </row>
    <row r="8419" spans="13:15" x14ac:dyDescent="0.3">
      <c r="M8419" s="35">
        <v>104.28</v>
      </c>
      <c r="N8419">
        <v>305</v>
      </c>
      <c r="O8419" s="34">
        <f t="shared" si="132"/>
        <v>0.95844244563368819</v>
      </c>
    </row>
    <row r="8420" spans="13:15" x14ac:dyDescent="0.3">
      <c r="M8420" s="35">
        <v>104.52</v>
      </c>
      <c r="N8420">
        <v>305</v>
      </c>
      <c r="O8420" s="34">
        <f t="shared" si="132"/>
        <v>0.95855630194702079</v>
      </c>
    </row>
    <row r="8421" spans="13:15" x14ac:dyDescent="0.3">
      <c r="M8421" s="35">
        <v>104.78</v>
      </c>
      <c r="N8421">
        <v>305</v>
      </c>
      <c r="O8421" s="34">
        <f t="shared" si="132"/>
        <v>0.9586701582603534</v>
      </c>
    </row>
    <row r="8422" spans="13:15" x14ac:dyDescent="0.3">
      <c r="M8422" s="35">
        <v>104.94</v>
      </c>
      <c r="N8422">
        <v>305</v>
      </c>
      <c r="O8422" s="34">
        <f t="shared" si="132"/>
        <v>0.95878401457368601</v>
      </c>
    </row>
    <row r="8423" spans="13:15" x14ac:dyDescent="0.3">
      <c r="M8423" s="35">
        <v>105.19</v>
      </c>
      <c r="N8423">
        <v>305</v>
      </c>
      <c r="O8423" s="34">
        <f t="shared" si="132"/>
        <v>0.95889787088701861</v>
      </c>
    </row>
    <row r="8424" spans="13:15" x14ac:dyDescent="0.3">
      <c r="M8424" s="35">
        <v>105.27</v>
      </c>
      <c r="N8424">
        <v>305</v>
      </c>
      <c r="O8424" s="34">
        <f t="shared" si="132"/>
        <v>0.95901172720035122</v>
      </c>
    </row>
    <row r="8425" spans="13:15" x14ac:dyDescent="0.3">
      <c r="M8425" s="35">
        <v>105.31</v>
      </c>
      <c r="N8425">
        <v>305</v>
      </c>
      <c r="O8425" s="34">
        <f t="shared" si="132"/>
        <v>0.95912558351368382</v>
      </c>
    </row>
    <row r="8426" spans="13:15" x14ac:dyDescent="0.3">
      <c r="M8426" s="35">
        <v>105.71</v>
      </c>
      <c r="N8426">
        <v>305</v>
      </c>
      <c r="O8426" s="34">
        <f t="shared" si="132"/>
        <v>0.95923943982701643</v>
      </c>
    </row>
    <row r="8427" spans="13:15" x14ac:dyDescent="0.3">
      <c r="M8427" s="35">
        <v>105.84</v>
      </c>
      <c r="N8427">
        <v>305</v>
      </c>
      <c r="O8427" s="34">
        <f t="shared" si="132"/>
        <v>0.95935329614034903</v>
      </c>
    </row>
    <row r="8428" spans="13:15" x14ac:dyDescent="0.3">
      <c r="M8428" s="35">
        <v>105.98</v>
      </c>
      <c r="N8428">
        <v>305</v>
      </c>
      <c r="O8428" s="34">
        <f t="shared" si="132"/>
        <v>0.95946715245368164</v>
      </c>
    </row>
    <row r="8429" spans="13:15" x14ac:dyDescent="0.3">
      <c r="M8429" s="35">
        <v>106.26</v>
      </c>
      <c r="N8429">
        <v>305</v>
      </c>
      <c r="O8429" s="34">
        <f t="shared" si="132"/>
        <v>0.95958100876701424</v>
      </c>
    </row>
    <row r="8430" spans="13:15" x14ac:dyDescent="0.3">
      <c r="M8430" s="35">
        <v>106.38</v>
      </c>
      <c r="N8430">
        <v>305</v>
      </c>
      <c r="O8430" s="34">
        <f t="shared" si="132"/>
        <v>0.95969486508034685</v>
      </c>
    </row>
    <row r="8431" spans="13:15" x14ac:dyDescent="0.3">
      <c r="M8431" s="35">
        <v>106.65</v>
      </c>
      <c r="N8431">
        <v>305</v>
      </c>
      <c r="O8431" s="34">
        <f t="shared" si="132"/>
        <v>0.95980872139367945</v>
      </c>
    </row>
    <row r="8432" spans="13:15" x14ac:dyDescent="0.3">
      <c r="M8432" s="35">
        <v>107.17</v>
      </c>
      <c r="N8432">
        <v>305</v>
      </c>
      <c r="O8432" s="34">
        <f t="shared" si="132"/>
        <v>0.95992257770701206</v>
      </c>
    </row>
    <row r="8433" spans="13:15" x14ac:dyDescent="0.3">
      <c r="M8433" s="35">
        <v>107.39</v>
      </c>
      <c r="N8433">
        <v>305</v>
      </c>
      <c r="O8433" s="34">
        <f t="shared" si="132"/>
        <v>0.96003643402034466</v>
      </c>
    </row>
    <row r="8434" spans="13:15" x14ac:dyDescent="0.3">
      <c r="M8434" s="35">
        <v>107.4</v>
      </c>
      <c r="N8434">
        <v>305</v>
      </c>
      <c r="O8434" s="34">
        <f t="shared" si="132"/>
        <v>0.96015029033367727</v>
      </c>
    </row>
    <row r="8435" spans="13:15" x14ac:dyDescent="0.3">
      <c r="M8435" s="35">
        <v>107.71</v>
      </c>
      <c r="N8435">
        <v>305</v>
      </c>
      <c r="O8435" s="34">
        <f t="shared" si="132"/>
        <v>0.96026414664700988</v>
      </c>
    </row>
    <row r="8436" spans="13:15" x14ac:dyDescent="0.3">
      <c r="M8436" s="35">
        <v>107.75</v>
      </c>
      <c r="N8436">
        <v>305</v>
      </c>
      <c r="O8436" s="34">
        <f t="shared" si="132"/>
        <v>0.96037800296034248</v>
      </c>
    </row>
    <row r="8437" spans="13:15" x14ac:dyDescent="0.3">
      <c r="M8437" s="35">
        <v>107.89</v>
      </c>
      <c r="N8437">
        <v>305</v>
      </c>
      <c r="O8437" s="34">
        <f t="shared" si="132"/>
        <v>0.96049185927367509</v>
      </c>
    </row>
    <row r="8438" spans="13:15" x14ac:dyDescent="0.3">
      <c r="M8438" s="35">
        <v>108.23</v>
      </c>
      <c r="N8438">
        <v>305</v>
      </c>
      <c r="O8438" s="34">
        <f t="shared" si="132"/>
        <v>0.96060571558700769</v>
      </c>
    </row>
    <row r="8439" spans="13:15" x14ac:dyDescent="0.3">
      <c r="M8439" s="35">
        <v>108.24</v>
      </c>
      <c r="N8439">
        <v>305</v>
      </c>
      <c r="O8439" s="34">
        <f t="shared" si="132"/>
        <v>0.9607195719003403</v>
      </c>
    </row>
    <row r="8440" spans="13:15" x14ac:dyDescent="0.3">
      <c r="M8440" s="35">
        <v>108.39</v>
      </c>
      <c r="N8440">
        <v>305</v>
      </c>
      <c r="O8440" s="34">
        <f t="shared" si="132"/>
        <v>0.9608334282136729</v>
      </c>
    </row>
    <row r="8441" spans="13:15" x14ac:dyDescent="0.3">
      <c r="M8441" s="35">
        <v>108.48</v>
      </c>
      <c r="N8441">
        <v>305</v>
      </c>
      <c r="O8441" s="34">
        <f t="shared" si="132"/>
        <v>0.96094728452700551</v>
      </c>
    </row>
    <row r="8442" spans="13:15" x14ac:dyDescent="0.3">
      <c r="M8442" s="35">
        <v>108.57</v>
      </c>
      <c r="N8442">
        <v>305</v>
      </c>
      <c r="O8442" s="34">
        <f t="shared" si="132"/>
        <v>0.96106114084033811</v>
      </c>
    </row>
    <row r="8443" spans="13:15" x14ac:dyDescent="0.3">
      <c r="M8443" s="35">
        <v>108.62</v>
      </c>
      <c r="N8443">
        <v>305</v>
      </c>
      <c r="O8443" s="34">
        <f t="shared" si="132"/>
        <v>0.96117499715367072</v>
      </c>
    </row>
    <row r="8444" spans="13:15" x14ac:dyDescent="0.3">
      <c r="M8444" s="35">
        <v>108.75</v>
      </c>
      <c r="N8444">
        <v>305</v>
      </c>
      <c r="O8444" s="34">
        <f t="shared" si="132"/>
        <v>0.96128885346700332</v>
      </c>
    </row>
    <row r="8445" spans="13:15" x14ac:dyDescent="0.3">
      <c r="M8445" s="35">
        <v>108.78</v>
      </c>
      <c r="N8445">
        <v>305</v>
      </c>
      <c r="O8445" s="34">
        <f t="shared" si="132"/>
        <v>0.96140270978033593</v>
      </c>
    </row>
    <row r="8446" spans="13:15" x14ac:dyDescent="0.3">
      <c r="M8446" s="35">
        <v>108.87</v>
      </c>
      <c r="N8446">
        <v>305</v>
      </c>
      <c r="O8446" s="34">
        <f t="shared" si="132"/>
        <v>0.96151656609366853</v>
      </c>
    </row>
    <row r="8447" spans="13:15" x14ac:dyDescent="0.3">
      <c r="M8447" s="35">
        <v>109.11</v>
      </c>
      <c r="N8447">
        <v>305</v>
      </c>
      <c r="O8447" s="34">
        <f t="shared" si="132"/>
        <v>0.96163042240700114</v>
      </c>
    </row>
    <row r="8448" spans="13:15" x14ac:dyDescent="0.3">
      <c r="M8448" s="35">
        <v>109.14</v>
      </c>
      <c r="N8448">
        <v>305</v>
      </c>
      <c r="O8448" s="34">
        <f t="shared" si="132"/>
        <v>0.96174427872033375</v>
      </c>
    </row>
    <row r="8449" spans="13:15" x14ac:dyDescent="0.3">
      <c r="M8449" s="35">
        <v>109.22</v>
      </c>
      <c r="N8449">
        <v>305</v>
      </c>
      <c r="O8449" s="34">
        <f t="shared" si="132"/>
        <v>0.96185813503366635</v>
      </c>
    </row>
    <row r="8450" spans="13:15" x14ac:dyDescent="0.3">
      <c r="M8450" s="35">
        <v>109.28</v>
      </c>
      <c r="N8450">
        <v>305</v>
      </c>
      <c r="O8450" s="34">
        <f t="shared" si="132"/>
        <v>0.96197199134699896</v>
      </c>
    </row>
    <row r="8451" spans="13:15" x14ac:dyDescent="0.3">
      <c r="M8451" s="35">
        <v>109.36</v>
      </c>
      <c r="N8451">
        <v>305</v>
      </c>
      <c r="O8451" s="34">
        <f t="shared" si="132"/>
        <v>0.96208584766033156</v>
      </c>
    </row>
    <row r="8452" spans="13:15" x14ac:dyDescent="0.3">
      <c r="M8452" s="35">
        <v>109.47</v>
      </c>
      <c r="N8452">
        <v>305</v>
      </c>
      <c r="O8452" s="34">
        <f t="shared" ref="O8452:O8515" si="133">O8451+O$2</f>
        <v>0.96219970397366417</v>
      </c>
    </row>
    <row r="8453" spans="13:15" x14ac:dyDescent="0.3">
      <c r="M8453" s="35">
        <v>109.72</v>
      </c>
      <c r="N8453">
        <v>305</v>
      </c>
      <c r="O8453" s="34">
        <f t="shared" si="133"/>
        <v>0.96231356028699677</v>
      </c>
    </row>
    <row r="8454" spans="13:15" x14ac:dyDescent="0.3">
      <c r="M8454" s="35">
        <v>109.85</v>
      </c>
      <c r="N8454">
        <v>305</v>
      </c>
      <c r="O8454" s="34">
        <f t="shared" si="133"/>
        <v>0.96242741660032938</v>
      </c>
    </row>
    <row r="8455" spans="13:15" x14ac:dyDescent="0.3">
      <c r="M8455" s="35">
        <v>109.91</v>
      </c>
      <c r="N8455">
        <v>305</v>
      </c>
      <c r="O8455" s="34">
        <f t="shared" si="133"/>
        <v>0.96254127291366198</v>
      </c>
    </row>
    <row r="8456" spans="13:15" x14ac:dyDescent="0.3">
      <c r="M8456" s="35">
        <v>110.01</v>
      </c>
      <c r="N8456">
        <v>305</v>
      </c>
      <c r="O8456" s="34">
        <f t="shared" si="133"/>
        <v>0.96265512922699459</v>
      </c>
    </row>
    <row r="8457" spans="13:15" x14ac:dyDescent="0.3">
      <c r="M8457" s="35">
        <v>110.11</v>
      </c>
      <c r="N8457">
        <v>305</v>
      </c>
      <c r="O8457" s="34">
        <f t="shared" si="133"/>
        <v>0.96276898554032719</v>
      </c>
    </row>
    <row r="8458" spans="13:15" x14ac:dyDescent="0.3">
      <c r="M8458" s="35">
        <v>110.52</v>
      </c>
      <c r="N8458">
        <v>305</v>
      </c>
      <c r="O8458" s="34">
        <f t="shared" si="133"/>
        <v>0.9628828418536598</v>
      </c>
    </row>
    <row r="8459" spans="13:15" x14ac:dyDescent="0.3">
      <c r="M8459" s="35">
        <v>110.55</v>
      </c>
      <c r="N8459">
        <v>305</v>
      </c>
      <c r="O8459" s="34">
        <f t="shared" si="133"/>
        <v>0.9629966981669924</v>
      </c>
    </row>
    <row r="8460" spans="13:15" x14ac:dyDescent="0.3">
      <c r="M8460" s="35">
        <v>110.88</v>
      </c>
      <c r="N8460">
        <v>305</v>
      </c>
      <c r="O8460" s="34">
        <f t="shared" si="133"/>
        <v>0.96311055448032501</v>
      </c>
    </row>
    <row r="8461" spans="13:15" x14ac:dyDescent="0.3">
      <c r="M8461" s="35">
        <v>110.9</v>
      </c>
      <c r="N8461">
        <v>305</v>
      </c>
      <c r="O8461" s="34">
        <f t="shared" si="133"/>
        <v>0.96322441079365761</v>
      </c>
    </row>
    <row r="8462" spans="13:15" x14ac:dyDescent="0.3">
      <c r="M8462" s="35">
        <v>110.96</v>
      </c>
      <c r="N8462">
        <v>305</v>
      </c>
      <c r="O8462" s="34">
        <f t="shared" si="133"/>
        <v>0.96333826710699022</v>
      </c>
    </row>
    <row r="8463" spans="13:15" x14ac:dyDescent="0.3">
      <c r="M8463" s="35">
        <v>111.11</v>
      </c>
      <c r="N8463">
        <v>305</v>
      </c>
      <c r="O8463" s="34">
        <f t="shared" si="133"/>
        <v>0.96345212342032283</v>
      </c>
    </row>
    <row r="8464" spans="13:15" x14ac:dyDescent="0.3">
      <c r="M8464" s="35">
        <v>111.12</v>
      </c>
      <c r="N8464">
        <v>305</v>
      </c>
      <c r="O8464" s="34">
        <f t="shared" si="133"/>
        <v>0.96356597973365543</v>
      </c>
    </row>
    <row r="8465" spans="13:15" x14ac:dyDescent="0.3">
      <c r="M8465" s="35">
        <v>111.61</v>
      </c>
      <c r="N8465">
        <v>305</v>
      </c>
      <c r="O8465" s="34">
        <f t="shared" si="133"/>
        <v>0.96367983604698804</v>
      </c>
    </row>
    <row r="8466" spans="13:15" x14ac:dyDescent="0.3">
      <c r="M8466" s="35">
        <v>111.76</v>
      </c>
      <c r="N8466">
        <v>305</v>
      </c>
      <c r="O8466" s="34">
        <f t="shared" si="133"/>
        <v>0.96379369236032064</v>
      </c>
    </row>
    <row r="8467" spans="13:15" x14ac:dyDescent="0.3">
      <c r="M8467" s="35">
        <v>111.81</v>
      </c>
      <c r="N8467">
        <v>305</v>
      </c>
      <c r="O8467" s="34">
        <f t="shared" si="133"/>
        <v>0.96390754867365325</v>
      </c>
    </row>
    <row r="8468" spans="13:15" x14ac:dyDescent="0.3">
      <c r="M8468" s="35">
        <v>112.04</v>
      </c>
      <c r="N8468">
        <v>305</v>
      </c>
      <c r="O8468" s="34">
        <f t="shared" si="133"/>
        <v>0.96402140498698585</v>
      </c>
    </row>
    <row r="8469" spans="13:15" x14ac:dyDescent="0.3">
      <c r="M8469" s="35">
        <v>112.11</v>
      </c>
      <c r="N8469">
        <v>305</v>
      </c>
      <c r="O8469" s="34">
        <f t="shared" si="133"/>
        <v>0.96413526130031846</v>
      </c>
    </row>
    <row r="8470" spans="13:15" x14ac:dyDescent="0.3">
      <c r="M8470" s="35">
        <v>112.14</v>
      </c>
      <c r="N8470">
        <v>305</v>
      </c>
      <c r="O8470" s="34">
        <f t="shared" si="133"/>
        <v>0.96424911761365106</v>
      </c>
    </row>
    <row r="8471" spans="13:15" x14ac:dyDescent="0.3">
      <c r="M8471" s="35">
        <v>112.26</v>
      </c>
      <c r="N8471">
        <v>305</v>
      </c>
      <c r="O8471" s="34">
        <f t="shared" si="133"/>
        <v>0.96436297392698367</v>
      </c>
    </row>
    <row r="8472" spans="13:15" x14ac:dyDescent="0.3">
      <c r="M8472" s="35">
        <v>112.34</v>
      </c>
      <c r="N8472">
        <v>305</v>
      </c>
      <c r="O8472" s="34">
        <f t="shared" si="133"/>
        <v>0.96447683024031627</v>
      </c>
    </row>
    <row r="8473" spans="13:15" x14ac:dyDescent="0.3">
      <c r="M8473" s="35">
        <v>112.38</v>
      </c>
      <c r="N8473">
        <v>305</v>
      </c>
      <c r="O8473" s="34">
        <f t="shared" si="133"/>
        <v>0.96459068655364888</v>
      </c>
    </row>
    <row r="8474" spans="13:15" x14ac:dyDescent="0.3">
      <c r="M8474" s="35">
        <v>112.38</v>
      </c>
      <c r="N8474">
        <v>305</v>
      </c>
      <c r="O8474" s="34">
        <f t="shared" si="133"/>
        <v>0.96470454286698148</v>
      </c>
    </row>
    <row r="8475" spans="13:15" x14ac:dyDescent="0.3">
      <c r="M8475" s="35">
        <v>112.65</v>
      </c>
      <c r="N8475">
        <v>305</v>
      </c>
      <c r="O8475" s="34">
        <f t="shared" si="133"/>
        <v>0.96481839918031409</v>
      </c>
    </row>
    <row r="8476" spans="13:15" x14ac:dyDescent="0.3">
      <c r="M8476" s="35">
        <v>112.65</v>
      </c>
      <c r="N8476">
        <v>305</v>
      </c>
      <c r="O8476" s="34">
        <f t="shared" si="133"/>
        <v>0.9649322554936467</v>
      </c>
    </row>
    <row r="8477" spans="13:15" x14ac:dyDescent="0.3">
      <c r="M8477" s="35">
        <v>112.7</v>
      </c>
      <c r="N8477">
        <v>305</v>
      </c>
      <c r="O8477" s="34">
        <f t="shared" si="133"/>
        <v>0.9650461118069793</v>
      </c>
    </row>
    <row r="8478" spans="13:15" x14ac:dyDescent="0.3">
      <c r="M8478" s="35">
        <v>112.75</v>
      </c>
      <c r="N8478">
        <v>305</v>
      </c>
      <c r="O8478" s="34">
        <f t="shared" si="133"/>
        <v>0.96515996812031191</v>
      </c>
    </row>
    <row r="8479" spans="13:15" x14ac:dyDescent="0.3">
      <c r="M8479" s="35">
        <v>112.83</v>
      </c>
      <c r="N8479">
        <v>305</v>
      </c>
      <c r="O8479" s="34">
        <f t="shared" si="133"/>
        <v>0.96527382443364451</v>
      </c>
    </row>
    <row r="8480" spans="13:15" x14ac:dyDescent="0.3">
      <c r="M8480" s="35">
        <v>113.01</v>
      </c>
      <c r="N8480">
        <v>305</v>
      </c>
      <c r="O8480" s="34">
        <f t="shared" si="133"/>
        <v>0.96538768074697712</v>
      </c>
    </row>
    <row r="8481" spans="13:15" x14ac:dyDescent="0.3">
      <c r="M8481" s="35">
        <v>113.1</v>
      </c>
      <c r="N8481">
        <v>305</v>
      </c>
      <c r="O8481" s="34">
        <f t="shared" si="133"/>
        <v>0.96550153706030972</v>
      </c>
    </row>
    <row r="8482" spans="13:15" x14ac:dyDescent="0.3">
      <c r="M8482" s="35">
        <v>113.12</v>
      </c>
      <c r="N8482">
        <v>305</v>
      </c>
      <c r="O8482" s="34">
        <f t="shared" si="133"/>
        <v>0.96561539337364233</v>
      </c>
    </row>
    <row r="8483" spans="13:15" x14ac:dyDescent="0.3">
      <c r="M8483" s="35">
        <v>113.17</v>
      </c>
      <c r="N8483">
        <v>305</v>
      </c>
      <c r="O8483" s="34">
        <f t="shared" si="133"/>
        <v>0.96572924968697493</v>
      </c>
    </row>
    <row r="8484" spans="13:15" x14ac:dyDescent="0.3">
      <c r="M8484" s="35">
        <v>113.3</v>
      </c>
      <c r="N8484">
        <v>305</v>
      </c>
      <c r="O8484" s="34">
        <f t="shared" si="133"/>
        <v>0.96584310600030754</v>
      </c>
    </row>
    <row r="8485" spans="13:15" x14ac:dyDescent="0.3">
      <c r="M8485" s="35">
        <v>113.37</v>
      </c>
      <c r="N8485">
        <v>305</v>
      </c>
      <c r="O8485" s="34">
        <f t="shared" si="133"/>
        <v>0.96595696231364014</v>
      </c>
    </row>
    <row r="8486" spans="13:15" x14ac:dyDescent="0.3">
      <c r="M8486" s="35">
        <v>113.59</v>
      </c>
      <c r="N8486">
        <v>305</v>
      </c>
      <c r="O8486" s="34">
        <f t="shared" si="133"/>
        <v>0.96607081862697275</v>
      </c>
    </row>
    <row r="8487" spans="13:15" x14ac:dyDescent="0.3">
      <c r="M8487" s="35">
        <v>113.6</v>
      </c>
      <c r="N8487">
        <v>305</v>
      </c>
      <c r="O8487" s="34">
        <f t="shared" si="133"/>
        <v>0.96618467494030535</v>
      </c>
    </row>
    <row r="8488" spans="13:15" x14ac:dyDescent="0.3">
      <c r="M8488" s="35">
        <v>113.63</v>
      </c>
      <c r="N8488">
        <v>305</v>
      </c>
      <c r="O8488" s="34">
        <f t="shared" si="133"/>
        <v>0.96629853125363796</v>
      </c>
    </row>
    <row r="8489" spans="13:15" x14ac:dyDescent="0.3">
      <c r="M8489" s="35">
        <v>114.01</v>
      </c>
      <c r="N8489">
        <v>305</v>
      </c>
      <c r="O8489" s="34">
        <f t="shared" si="133"/>
        <v>0.96641238756697057</v>
      </c>
    </row>
    <row r="8490" spans="13:15" x14ac:dyDescent="0.3">
      <c r="M8490" s="35">
        <v>114.1</v>
      </c>
      <c r="N8490">
        <v>305</v>
      </c>
      <c r="O8490" s="34">
        <f t="shared" si="133"/>
        <v>0.96652624388030317</v>
      </c>
    </row>
    <row r="8491" spans="13:15" x14ac:dyDescent="0.3">
      <c r="M8491" s="35">
        <v>114.15</v>
      </c>
      <c r="N8491">
        <v>305</v>
      </c>
      <c r="O8491" s="34">
        <f t="shared" si="133"/>
        <v>0.96664010019363578</v>
      </c>
    </row>
    <row r="8492" spans="13:15" x14ac:dyDescent="0.3">
      <c r="M8492" s="35">
        <v>114.25</v>
      </c>
      <c r="N8492">
        <v>305</v>
      </c>
      <c r="O8492" s="34">
        <f t="shared" si="133"/>
        <v>0.96675395650696838</v>
      </c>
    </row>
    <row r="8493" spans="13:15" x14ac:dyDescent="0.3">
      <c r="M8493" s="35">
        <v>114.53</v>
      </c>
      <c r="N8493">
        <v>305</v>
      </c>
      <c r="O8493" s="34">
        <f t="shared" si="133"/>
        <v>0.96686781282030099</v>
      </c>
    </row>
    <row r="8494" spans="13:15" x14ac:dyDescent="0.3">
      <c r="M8494" s="35">
        <v>114.57</v>
      </c>
      <c r="N8494">
        <v>305</v>
      </c>
      <c r="O8494" s="34">
        <f t="shared" si="133"/>
        <v>0.96698166913363359</v>
      </c>
    </row>
    <row r="8495" spans="13:15" x14ac:dyDescent="0.3">
      <c r="M8495" s="35">
        <v>114.88</v>
      </c>
      <c r="N8495">
        <v>305</v>
      </c>
      <c r="O8495" s="34">
        <f t="shared" si="133"/>
        <v>0.9670955254469662</v>
      </c>
    </row>
    <row r="8496" spans="13:15" x14ac:dyDescent="0.3">
      <c r="M8496" s="35">
        <v>115.15</v>
      </c>
      <c r="N8496">
        <v>305</v>
      </c>
      <c r="O8496" s="34">
        <f t="shared" si="133"/>
        <v>0.9672093817602988</v>
      </c>
    </row>
    <row r="8497" spans="13:15" x14ac:dyDescent="0.3">
      <c r="M8497" s="35">
        <v>115.16</v>
      </c>
      <c r="N8497">
        <v>305</v>
      </c>
      <c r="O8497" s="34">
        <f t="shared" si="133"/>
        <v>0.96732323807363141</v>
      </c>
    </row>
    <row r="8498" spans="13:15" x14ac:dyDescent="0.3">
      <c r="M8498" s="35">
        <v>115.97</v>
      </c>
      <c r="N8498">
        <v>305</v>
      </c>
      <c r="O8498" s="34">
        <f t="shared" si="133"/>
        <v>0.96743709438696401</v>
      </c>
    </row>
    <row r="8499" spans="13:15" x14ac:dyDescent="0.3">
      <c r="M8499" s="35">
        <v>115.98</v>
      </c>
      <c r="N8499">
        <v>305</v>
      </c>
      <c r="O8499" s="34">
        <f t="shared" si="133"/>
        <v>0.96755095070029662</v>
      </c>
    </row>
    <row r="8500" spans="13:15" x14ac:dyDescent="0.3">
      <c r="M8500" s="35">
        <v>116.03</v>
      </c>
      <c r="N8500">
        <v>305</v>
      </c>
      <c r="O8500" s="34">
        <f t="shared" si="133"/>
        <v>0.96766480701362922</v>
      </c>
    </row>
    <row r="8501" spans="13:15" x14ac:dyDescent="0.3">
      <c r="M8501" s="35">
        <v>116.1</v>
      </c>
      <c r="N8501">
        <v>305</v>
      </c>
      <c r="O8501" s="34">
        <f t="shared" si="133"/>
        <v>0.96777866332696183</v>
      </c>
    </row>
    <row r="8502" spans="13:15" x14ac:dyDescent="0.3">
      <c r="M8502" s="35">
        <v>116.19</v>
      </c>
      <c r="N8502">
        <v>305</v>
      </c>
      <c r="O8502" s="34">
        <f t="shared" si="133"/>
        <v>0.96789251964029444</v>
      </c>
    </row>
    <row r="8503" spans="13:15" x14ac:dyDescent="0.3">
      <c r="M8503" s="35">
        <v>116.26</v>
      </c>
      <c r="N8503">
        <v>305</v>
      </c>
      <c r="O8503" s="34">
        <f t="shared" si="133"/>
        <v>0.96800637595362704</v>
      </c>
    </row>
    <row r="8504" spans="13:15" x14ac:dyDescent="0.3">
      <c r="M8504" s="35">
        <v>116.47</v>
      </c>
      <c r="N8504">
        <v>305</v>
      </c>
      <c r="O8504" s="34">
        <f t="shared" si="133"/>
        <v>0.96812023226695965</v>
      </c>
    </row>
    <row r="8505" spans="13:15" x14ac:dyDescent="0.3">
      <c r="M8505" s="35">
        <v>116.54</v>
      </c>
      <c r="N8505">
        <v>305</v>
      </c>
      <c r="O8505" s="34">
        <f t="shared" si="133"/>
        <v>0.96823408858029225</v>
      </c>
    </row>
    <row r="8506" spans="13:15" x14ac:dyDescent="0.3">
      <c r="M8506" s="35">
        <v>116.55</v>
      </c>
      <c r="N8506">
        <v>305</v>
      </c>
      <c r="O8506" s="34">
        <f t="shared" si="133"/>
        <v>0.96834794489362486</v>
      </c>
    </row>
    <row r="8507" spans="13:15" x14ac:dyDescent="0.3">
      <c r="M8507" s="35">
        <v>116.6</v>
      </c>
      <c r="N8507">
        <v>305</v>
      </c>
      <c r="O8507" s="34">
        <f t="shared" si="133"/>
        <v>0.96846180120695746</v>
      </c>
    </row>
    <row r="8508" spans="13:15" x14ac:dyDescent="0.3">
      <c r="M8508" s="35">
        <v>116.87</v>
      </c>
      <c r="N8508">
        <v>305</v>
      </c>
      <c r="O8508" s="34">
        <f t="shared" si="133"/>
        <v>0.96857565752029007</v>
      </c>
    </row>
    <row r="8509" spans="13:15" x14ac:dyDescent="0.3">
      <c r="M8509" s="35">
        <v>117.2</v>
      </c>
      <c r="N8509">
        <v>305</v>
      </c>
      <c r="O8509" s="34">
        <f t="shared" si="133"/>
        <v>0.96868951383362267</v>
      </c>
    </row>
    <row r="8510" spans="13:15" x14ac:dyDescent="0.3">
      <c r="M8510" s="35">
        <v>117.22</v>
      </c>
      <c r="N8510">
        <v>305</v>
      </c>
      <c r="O8510" s="34">
        <f t="shared" si="133"/>
        <v>0.96880337014695528</v>
      </c>
    </row>
    <row r="8511" spans="13:15" x14ac:dyDescent="0.3">
      <c r="M8511" s="35">
        <v>117.43</v>
      </c>
      <c r="N8511">
        <v>305</v>
      </c>
      <c r="O8511" s="34">
        <f t="shared" si="133"/>
        <v>0.96891722646028788</v>
      </c>
    </row>
    <row r="8512" spans="13:15" x14ac:dyDescent="0.3">
      <c r="M8512" s="35">
        <v>118.03</v>
      </c>
      <c r="N8512">
        <v>305</v>
      </c>
      <c r="O8512" s="34">
        <f t="shared" si="133"/>
        <v>0.96903108277362049</v>
      </c>
    </row>
    <row r="8513" spans="13:15" x14ac:dyDescent="0.3">
      <c r="M8513" s="35">
        <v>118.3</v>
      </c>
      <c r="N8513">
        <v>305</v>
      </c>
      <c r="O8513" s="34">
        <f t="shared" si="133"/>
        <v>0.96914493908695309</v>
      </c>
    </row>
    <row r="8514" spans="13:15" x14ac:dyDescent="0.3">
      <c r="M8514" s="35">
        <v>118.51</v>
      </c>
      <c r="N8514">
        <v>305</v>
      </c>
      <c r="O8514" s="34">
        <f t="shared" si="133"/>
        <v>0.9692587954002857</v>
      </c>
    </row>
    <row r="8515" spans="13:15" x14ac:dyDescent="0.3">
      <c r="M8515" s="35">
        <v>118.67</v>
      </c>
      <c r="N8515">
        <v>305</v>
      </c>
      <c r="O8515" s="34">
        <f t="shared" si="133"/>
        <v>0.96937265171361831</v>
      </c>
    </row>
    <row r="8516" spans="13:15" x14ac:dyDescent="0.3">
      <c r="M8516" s="35">
        <v>118.97</v>
      </c>
      <c r="N8516">
        <v>305</v>
      </c>
      <c r="O8516" s="34">
        <f t="shared" ref="O8516:O8579" si="134">O8515+O$2</f>
        <v>0.96948650802695091</v>
      </c>
    </row>
    <row r="8517" spans="13:15" x14ac:dyDescent="0.3">
      <c r="M8517" s="35">
        <v>119.79</v>
      </c>
      <c r="N8517">
        <v>305</v>
      </c>
      <c r="O8517" s="34">
        <f t="shared" si="134"/>
        <v>0.96960036434028352</v>
      </c>
    </row>
    <row r="8518" spans="13:15" x14ac:dyDescent="0.3">
      <c r="M8518" s="35">
        <v>120.26</v>
      </c>
      <c r="N8518">
        <v>305</v>
      </c>
      <c r="O8518" s="34">
        <f t="shared" si="134"/>
        <v>0.96971422065361612</v>
      </c>
    </row>
    <row r="8519" spans="13:15" x14ac:dyDescent="0.3">
      <c r="M8519" s="35">
        <v>120.64</v>
      </c>
      <c r="N8519">
        <v>305</v>
      </c>
      <c r="O8519" s="34">
        <f t="shared" si="134"/>
        <v>0.96982807696694873</v>
      </c>
    </row>
    <row r="8520" spans="13:15" x14ac:dyDescent="0.3">
      <c r="M8520" s="35">
        <v>120.8</v>
      </c>
      <c r="N8520">
        <v>305</v>
      </c>
      <c r="O8520" s="34">
        <f t="shared" si="134"/>
        <v>0.96994193328028133</v>
      </c>
    </row>
    <row r="8521" spans="13:15" x14ac:dyDescent="0.3">
      <c r="M8521" s="35">
        <v>120.83</v>
      </c>
      <c r="N8521">
        <v>305</v>
      </c>
      <c r="O8521" s="34">
        <f t="shared" si="134"/>
        <v>0.97005578959361394</v>
      </c>
    </row>
    <row r="8522" spans="13:15" x14ac:dyDescent="0.3">
      <c r="M8522" s="35">
        <v>121.14</v>
      </c>
      <c r="N8522">
        <v>305</v>
      </c>
      <c r="O8522" s="34">
        <f t="shared" si="134"/>
        <v>0.97016964590694654</v>
      </c>
    </row>
    <row r="8523" spans="13:15" x14ac:dyDescent="0.3">
      <c r="M8523" s="35">
        <v>121.16</v>
      </c>
      <c r="N8523">
        <v>305</v>
      </c>
      <c r="O8523" s="34">
        <f t="shared" si="134"/>
        <v>0.97028350222027915</v>
      </c>
    </row>
    <row r="8524" spans="13:15" x14ac:dyDescent="0.3">
      <c r="M8524" s="35">
        <v>121.21</v>
      </c>
      <c r="N8524">
        <v>305</v>
      </c>
      <c r="O8524" s="34">
        <f t="shared" si="134"/>
        <v>0.97039735853361175</v>
      </c>
    </row>
    <row r="8525" spans="13:15" x14ac:dyDescent="0.3">
      <c r="M8525" s="35">
        <v>121.48</v>
      </c>
      <c r="N8525">
        <v>305</v>
      </c>
      <c r="O8525" s="34">
        <f t="shared" si="134"/>
        <v>0.97051121484694436</v>
      </c>
    </row>
    <row r="8526" spans="13:15" x14ac:dyDescent="0.3">
      <c r="M8526" s="35">
        <v>121.6</v>
      </c>
      <c r="N8526">
        <v>305</v>
      </c>
      <c r="O8526" s="34">
        <f t="shared" si="134"/>
        <v>0.97062507116027696</v>
      </c>
    </row>
    <row r="8527" spans="13:15" x14ac:dyDescent="0.3">
      <c r="M8527" s="35">
        <v>121.63</v>
      </c>
      <c r="N8527">
        <v>305</v>
      </c>
      <c r="O8527" s="34">
        <f t="shared" si="134"/>
        <v>0.97073892747360957</v>
      </c>
    </row>
    <row r="8528" spans="13:15" x14ac:dyDescent="0.3">
      <c r="M8528" s="35">
        <v>121.69</v>
      </c>
      <c r="N8528">
        <v>305</v>
      </c>
      <c r="O8528" s="34">
        <f t="shared" si="134"/>
        <v>0.97085278378694218</v>
      </c>
    </row>
    <row r="8529" spans="13:15" x14ac:dyDescent="0.3">
      <c r="M8529" s="35">
        <v>121.88</v>
      </c>
      <c r="N8529">
        <v>305</v>
      </c>
      <c r="O8529" s="34">
        <f t="shared" si="134"/>
        <v>0.97096664010027478</v>
      </c>
    </row>
    <row r="8530" spans="13:15" x14ac:dyDescent="0.3">
      <c r="M8530" s="35">
        <v>121.96</v>
      </c>
      <c r="N8530">
        <v>305</v>
      </c>
      <c r="O8530" s="34">
        <f t="shared" si="134"/>
        <v>0.97108049641360739</v>
      </c>
    </row>
    <row r="8531" spans="13:15" x14ac:dyDescent="0.3">
      <c r="M8531" s="35">
        <v>121.98</v>
      </c>
      <c r="N8531">
        <v>305</v>
      </c>
      <c r="O8531" s="34">
        <f t="shared" si="134"/>
        <v>0.97119435272693999</v>
      </c>
    </row>
    <row r="8532" spans="13:15" x14ac:dyDescent="0.3">
      <c r="M8532" s="35">
        <v>122.01</v>
      </c>
      <c r="N8532">
        <v>305</v>
      </c>
      <c r="O8532" s="34">
        <f t="shared" si="134"/>
        <v>0.9713082090402726</v>
      </c>
    </row>
    <row r="8533" spans="13:15" x14ac:dyDescent="0.3">
      <c r="M8533" s="35">
        <v>122.02</v>
      </c>
      <c r="N8533">
        <v>305</v>
      </c>
      <c r="O8533" s="34">
        <f t="shared" si="134"/>
        <v>0.9714220653536052</v>
      </c>
    </row>
    <row r="8534" spans="13:15" x14ac:dyDescent="0.3">
      <c r="M8534" s="35">
        <v>122.02</v>
      </c>
      <c r="N8534">
        <v>305</v>
      </c>
      <c r="O8534" s="34">
        <f t="shared" si="134"/>
        <v>0.97153592166693781</v>
      </c>
    </row>
    <row r="8535" spans="13:15" x14ac:dyDescent="0.3">
      <c r="M8535" s="35">
        <v>122.15</v>
      </c>
      <c r="N8535">
        <v>305</v>
      </c>
      <c r="O8535" s="34">
        <f t="shared" si="134"/>
        <v>0.97164977798027041</v>
      </c>
    </row>
    <row r="8536" spans="13:15" x14ac:dyDescent="0.3">
      <c r="M8536" s="35">
        <v>122.33</v>
      </c>
      <c r="N8536">
        <v>305</v>
      </c>
      <c r="O8536" s="34">
        <f t="shared" si="134"/>
        <v>0.97176363429360302</v>
      </c>
    </row>
    <row r="8537" spans="13:15" x14ac:dyDescent="0.3">
      <c r="M8537" s="35">
        <v>122.42</v>
      </c>
      <c r="N8537">
        <v>305</v>
      </c>
      <c r="O8537" s="34">
        <f t="shared" si="134"/>
        <v>0.97187749060693562</v>
      </c>
    </row>
    <row r="8538" spans="13:15" x14ac:dyDescent="0.3">
      <c r="M8538" s="35">
        <v>122.48</v>
      </c>
      <c r="N8538">
        <v>305</v>
      </c>
      <c r="O8538" s="34">
        <f t="shared" si="134"/>
        <v>0.97199134692026823</v>
      </c>
    </row>
    <row r="8539" spans="13:15" x14ac:dyDescent="0.3">
      <c r="M8539" s="35">
        <v>122.54</v>
      </c>
      <c r="N8539">
        <v>305</v>
      </c>
      <c r="O8539" s="34">
        <f t="shared" si="134"/>
        <v>0.97210520323360083</v>
      </c>
    </row>
    <row r="8540" spans="13:15" x14ac:dyDescent="0.3">
      <c r="M8540" s="35">
        <v>122.78</v>
      </c>
      <c r="N8540">
        <v>305</v>
      </c>
      <c r="O8540" s="34">
        <f t="shared" si="134"/>
        <v>0.97221905954693344</v>
      </c>
    </row>
    <row r="8541" spans="13:15" x14ac:dyDescent="0.3">
      <c r="M8541" s="35">
        <v>122.94</v>
      </c>
      <c r="N8541">
        <v>305</v>
      </c>
      <c r="O8541" s="34">
        <f t="shared" si="134"/>
        <v>0.97233291586026604</v>
      </c>
    </row>
    <row r="8542" spans="13:15" x14ac:dyDescent="0.3">
      <c r="M8542" s="35">
        <v>123.11</v>
      </c>
      <c r="N8542">
        <v>305</v>
      </c>
      <c r="O8542" s="34">
        <f t="shared" si="134"/>
        <v>0.97244677217359865</v>
      </c>
    </row>
    <row r="8543" spans="13:15" x14ac:dyDescent="0.3">
      <c r="M8543" s="35">
        <v>123.23</v>
      </c>
      <c r="N8543">
        <v>305</v>
      </c>
      <c r="O8543" s="34">
        <f t="shared" si="134"/>
        <v>0.97256062848693126</v>
      </c>
    </row>
    <row r="8544" spans="13:15" x14ac:dyDescent="0.3">
      <c r="M8544" s="35">
        <v>124.21</v>
      </c>
      <c r="N8544">
        <v>305</v>
      </c>
      <c r="O8544" s="34">
        <f t="shared" si="134"/>
        <v>0.97267448480026386</v>
      </c>
    </row>
    <row r="8545" spans="13:15" x14ac:dyDescent="0.3">
      <c r="M8545" s="35">
        <v>124.27</v>
      </c>
      <c r="N8545">
        <v>305</v>
      </c>
      <c r="O8545" s="34">
        <f t="shared" si="134"/>
        <v>0.97278834111359647</v>
      </c>
    </row>
    <row r="8546" spans="13:15" x14ac:dyDescent="0.3">
      <c r="M8546" s="35">
        <v>124.33</v>
      </c>
      <c r="N8546">
        <v>305</v>
      </c>
      <c r="O8546" s="34">
        <f t="shared" si="134"/>
        <v>0.97290219742692907</v>
      </c>
    </row>
    <row r="8547" spans="13:15" x14ac:dyDescent="0.3">
      <c r="M8547" s="35">
        <v>124.52</v>
      </c>
      <c r="N8547">
        <v>305</v>
      </c>
      <c r="O8547" s="34">
        <f t="shared" si="134"/>
        <v>0.97301605374026168</v>
      </c>
    </row>
    <row r="8548" spans="13:15" x14ac:dyDescent="0.3">
      <c r="M8548" s="35">
        <v>124.57</v>
      </c>
      <c r="N8548">
        <v>305</v>
      </c>
      <c r="O8548" s="34">
        <f t="shared" si="134"/>
        <v>0.97312991005359428</v>
      </c>
    </row>
    <row r="8549" spans="13:15" x14ac:dyDescent="0.3">
      <c r="M8549" s="35">
        <v>124.63</v>
      </c>
      <c r="N8549">
        <v>305</v>
      </c>
      <c r="O8549" s="34">
        <f t="shared" si="134"/>
        <v>0.97324376636692689</v>
      </c>
    </row>
    <row r="8550" spans="13:15" x14ac:dyDescent="0.3">
      <c r="M8550" s="35">
        <v>124.65</v>
      </c>
      <c r="N8550">
        <v>305</v>
      </c>
      <c r="O8550" s="34">
        <f t="shared" si="134"/>
        <v>0.97335762268025949</v>
      </c>
    </row>
    <row r="8551" spans="13:15" x14ac:dyDescent="0.3">
      <c r="M8551" s="35">
        <v>124.68</v>
      </c>
      <c r="N8551">
        <v>305</v>
      </c>
      <c r="O8551" s="34">
        <f t="shared" si="134"/>
        <v>0.9734714789935921</v>
      </c>
    </row>
    <row r="8552" spans="13:15" x14ac:dyDescent="0.3">
      <c r="M8552" s="35">
        <v>124.86</v>
      </c>
      <c r="N8552">
        <v>305</v>
      </c>
      <c r="O8552" s="34">
        <f t="shared" si="134"/>
        <v>0.9735853353069247</v>
      </c>
    </row>
    <row r="8553" spans="13:15" x14ac:dyDescent="0.3">
      <c r="M8553" s="35">
        <v>124.91</v>
      </c>
      <c r="N8553">
        <v>305</v>
      </c>
      <c r="O8553" s="34">
        <f t="shared" si="134"/>
        <v>0.97369919162025731</v>
      </c>
    </row>
    <row r="8554" spans="13:15" x14ac:dyDescent="0.3">
      <c r="M8554" s="35">
        <v>124.94</v>
      </c>
      <c r="N8554">
        <v>305</v>
      </c>
      <c r="O8554" s="34">
        <f t="shared" si="134"/>
        <v>0.97381304793358991</v>
      </c>
    </row>
    <row r="8555" spans="13:15" x14ac:dyDescent="0.3">
      <c r="M8555" s="35">
        <v>124.98</v>
      </c>
      <c r="N8555">
        <v>305</v>
      </c>
      <c r="O8555" s="34">
        <f t="shared" si="134"/>
        <v>0.97392690424692252</v>
      </c>
    </row>
    <row r="8556" spans="13:15" x14ac:dyDescent="0.3">
      <c r="M8556" s="35">
        <v>125.1</v>
      </c>
      <c r="N8556">
        <v>305</v>
      </c>
      <c r="O8556" s="34">
        <f t="shared" si="134"/>
        <v>0.97404076056025513</v>
      </c>
    </row>
    <row r="8557" spans="13:15" x14ac:dyDescent="0.3">
      <c r="M8557" s="35">
        <v>125.59</v>
      </c>
      <c r="N8557">
        <v>305</v>
      </c>
      <c r="O8557" s="34">
        <f t="shared" si="134"/>
        <v>0.97415461687358773</v>
      </c>
    </row>
    <row r="8558" spans="13:15" x14ac:dyDescent="0.3">
      <c r="M8558" s="35">
        <v>125.87</v>
      </c>
      <c r="N8558">
        <v>305</v>
      </c>
      <c r="O8558" s="34">
        <f t="shared" si="134"/>
        <v>0.97426847318692034</v>
      </c>
    </row>
    <row r="8559" spans="13:15" x14ac:dyDescent="0.3">
      <c r="M8559" s="35">
        <v>126.4</v>
      </c>
      <c r="N8559">
        <v>305</v>
      </c>
      <c r="O8559" s="34">
        <f t="shared" si="134"/>
        <v>0.97438232950025294</v>
      </c>
    </row>
    <row r="8560" spans="13:15" x14ac:dyDescent="0.3">
      <c r="M8560" s="35">
        <v>126.54</v>
      </c>
      <c r="N8560">
        <v>305</v>
      </c>
      <c r="O8560" s="34">
        <f t="shared" si="134"/>
        <v>0.97449618581358555</v>
      </c>
    </row>
    <row r="8561" spans="13:15" x14ac:dyDescent="0.3">
      <c r="M8561" s="35">
        <v>126.71</v>
      </c>
      <c r="N8561">
        <v>305</v>
      </c>
      <c r="O8561" s="34">
        <f t="shared" si="134"/>
        <v>0.97461004212691815</v>
      </c>
    </row>
    <row r="8562" spans="13:15" x14ac:dyDescent="0.3">
      <c r="M8562" s="35">
        <v>126.74</v>
      </c>
      <c r="N8562">
        <v>305</v>
      </c>
      <c r="O8562" s="34">
        <f t="shared" si="134"/>
        <v>0.97472389844025076</v>
      </c>
    </row>
    <row r="8563" spans="13:15" x14ac:dyDescent="0.3">
      <c r="M8563" s="35">
        <v>126.87</v>
      </c>
      <c r="N8563">
        <v>305</v>
      </c>
      <c r="O8563" s="34">
        <f t="shared" si="134"/>
        <v>0.97483775475358336</v>
      </c>
    </row>
    <row r="8564" spans="13:15" x14ac:dyDescent="0.3">
      <c r="M8564" s="35">
        <v>126.95</v>
      </c>
      <c r="N8564">
        <v>305</v>
      </c>
      <c r="O8564" s="34">
        <f t="shared" si="134"/>
        <v>0.97495161106691597</v>
      </c>
    </row>
    <row r="8565" spans="13:15" x14ac:dyDescent="0.3">
      <c r="M8565" s="35">
        <v>127.12</v>
      </c>
      <c r="N8565">
        <v>305</v>
      </c>
      <c r="O8565" s="34">
        <f t="shared" si="134"/>
        <v>0.97506546738024857</v>
      </c>
    </row>
    <row r="8566" spans="13:15" x14ac:dyDescent="0.3">
      <c r="M8566" s="35">
        <v>127.32</v>
      </c>
      <c r="N8566">
        <v>305</v>
      </c>
      <c r="O8566" s="34">
        <f t="shared" si="134"/>
        <v>0.97517932369358118</v>
      </c>
    </row>
    <row r="8567" spans="13:15" x14ac:dyDescent="0.3">
      <c r="M8567" s="35">
        <v>127.4</v>
      </c>
      <c r="N8567">
        <v>305</v>
      </c>
      <c r="O8567" s="34">
        <f t="shared" si="134"/>
        <v>0.97529318000691378</v>
      </c>
    </row>
    <row r="8568" spans="13:15" x14ac:dyDescent="0.3">
      <c r="M8568" s="35">
        <v>127.64</v>
      </c>
      <c r="N8568">
        <v>305</v>
      </c>
      <c r="O8568" s="34">
        <f t="shared" si="134"/>
        <v>0.97540703632024639</v>
      </c>
    </row>
    <row r="8569" spans="13:15" x14ac:dyDescent="0.3">
      <c r="M8569" s="35">
        <v>127.67</v>
      </c>
      <c r="N8569">
        <v>305</v>
      </c>
      <c r="O8569" s="34">
        <f t="shared" si="134"/>
        <v>0.975520892633579</v>
      </c>
    </row>
    <row r="8570" spans="13:15" x14ac:dyDescent="0.3">
      <c r="M8570" s="35">
        <v>127.81</v>
      </c>
      <c r="N8570">
        <v>305</v>
      </c>
      <c r="O8570" s="34">
        <f t="shared" si="134"/>
        <v>0.9756347489469116</v>
      </c>
    </row>
    <row r="8571" spans="13:15" x14ac:dyDescent="0.3">
      <c r="M8571" s="35">
        <v>128.33000000000001</v>
      </c>
      <c r="N8571">
        <v>305</v>
      </c>
      <c r="O8571" s="34">
        <f t="shared" si="134"/>
        <v>0.97574860526024421</v>
      </c>
    </row>
    <row r="8572" spans="13:15" x14ac:dyDescent="0.3">
      <c r="M8572" s="35">
        <v>128.58000000000001</v>
      </c>
      <c r="N8572">
        <v>305</v>
      </c>
      <c r="O8572" s="34">
        <f t="shared" si="134"/>
        <v>0.97586246157357681</v>
      </c>
    </row>
    <row r="8573" spans="13:15" x14ac:dyDescent="0.3">
      <c r="M8573" s="35">
        <v>128.6</v>
      </c>
      <c r="N8573">
        <v>305</v>
      </c>
      <c r="O8573" s="34">
        <f t="shared" si="134"/>
        <v>0.97597631788690942</v>
      </c>
    </row>
    <row r="8574" spans="13:15" x14ac:dyDescent="0.3">
      <c r="M8574" s="35">
        <v>128.76</v>
      </c>
      <c r="N8574">
        <v>305</v>
      </c>
      <c r="O8574" s="34">
        <f t="shared" si="134"/>
        <v>0.97609017420024202</v>
      </c>
    </row>
    <row r="8575" spans="13:15" x14ac:dyDescent="0.3">
      <c r="M8575" s="35">
        <v>128.91</v>
      </c>
      <c r="N8575">
        <v>305</v>
      </c>
      <c r="O8575" s="34">
        <f t="shared" si="134"/>
        <v>0.97620403051357463</v>
      </c>
    </row>
    <row r="8576" spans="13:15" x14ac:dyDescent="0.3">
      <c r="M8576" s="35">
        <v>129.22</v>
      </c>
      <c r="N8576">
        <v>305</v>
      </c>
      <c r="O8576" s="34">
        <f t="shared" si="134"/>
        <v>0.97631788682690723</v>
      </c>
    </row>
    <row r="8577" spans="13:15" x14ac:dyDescent="0.3">
      <c r="M8577" s="35">
        <v>129.29</v>
      </c>
      <c r="N8577">
        <v>305</v>
      </c>
      <c r="O8577" s="34">
        <f t="shared" si="134"/>
        <v>0.97643174314023984</v>
      </c>
    </row>
    <row r="8578" spans="13:15" x14ac:dyDescent="0.3">
      <c r="M8578" s="35">
        <v>129.76</v>
      </c>
      <c r="N8578">
        <v>305</v>
      </c>
      <c r="O8578" s="34">
        <f t="shared" si="134"/>
        <v>0.97654559945357244</v>
      </c>
    </row>
    <row r="8579" spans="13:15" x14ac:dyDescent="0.3">
      <c r="M8579" s="35">
        <v>129.94</v>
      </c>
      <c r="N8579">
        <v>305</v>
      </c>
      <c r="O8579" s="34">
        <f t="shared" si="134"/>
        <v>0.97665945576690505</v>
      </c>
    </row>
    <row r="8580" spans="13:15" x14ac:dyDescent="0.3">
      <c r="M8580" s="35">
        <v>130.05000000000001</v>
      </c>
      <c r="N8580">
        <v>305</v>
      </c>
      <c r="O8580" s="34">
        <f t="shared" ref="O8580:O8643" si="135">O8579+O$2</f>
        <v>0.97677331208023765</v>
      </c>
    </row>
    <row r="8581" spans="13:15" x14ac:dyDescent="0.3">
      <c r="M8581" s="35">
        <v>130.07</v>
      </c>
      <c r="N8581">
        <v>305</v>
      </c>
      <c r="O8581" s="34">
        <f t="shared" si="135"/>
        <v>0.97688716839357026</v>
      </c>
    </row>
    <row r="8582" spans="13:15" x14ac:dyDescent="0.3">
      <c r="M8582" s="35">
        <v>130.12</v>
      </c>
      <c r="N8582">
        <v>305</v>
      </c>
      <c r="O8582" s="34">
        <f t="shared" si="135"/>
        <v>0.97700102470690287</v>
      </c>
    </row>
    <row r="8583" spans="13:15" x14ac:dyDescent="0.3">
      <c r="M8583" s="35">
        <v>130.26</v>
      </c>
      <c r="N8583">
        <v>305</v>
      </c>
      <c r="O8583" s="34">
        <f t="shared" si="135"/>
        <v>0.97711488102023547</v>
      </c>
    </row>
    <row r="8584" spans="13:15" x14ac:dyDescent="0.3">
      <c r="M8584" s="35">
        <v>130.61000000000001</v>
      </c>
      <c r="N8584">
        <v>305</v>
      </c>
      <c r="O8584" s="34">
        <f t="shared" si="135"/>
        <v>0.97722873733356808</v>
      </c>
    </row>
    <row r="8585" spans="13:15" x14ac:dyDescent="0.3">
      <c r="M8585" s="35">
        <v>130.75</v>
      </c>
      <c r="N8585">
        <v>305</v>
      </c>
      <c r="O8585" s="34">
        <f t="shared" si="135"/>
        <v>0.97734259364690068</v>
      </c>
    </row>
    <row r="8586" spans="13:15" x14ac:dyDescent="0.3">
      <c r="M8586" s="35">
        <v>131.58000000000001</v>
      </c>
      <c r="N8586">
        <v>305</v>
      </c>
      <c r="O8586" s="34">
        <f t="shared" si="135"/>
        <v>0.97745644996023329</v>
      </c>
    </row>
    <row r="8587" spans="13:15" x14ac:dyDescent="0.3">
      <c r="M8587" s="35">
        <v>131.71</v>
      </c>
      <c r="N8587">
        <v>305</v>
      </c>
      <c r="O8587" s="34">
        <f t="shared" si="135"/>
        <v>0.97757030627356589</v>
      </c>
    </row>
    <row r="8588" spans="13:15" x14ac:dyDescent="0.3">
      <c r="M8588" s="35">
        <v>131.78</v>
      </c>
      <c r="N8588">
        <v>305</v>
      </c>
      <c r="O8588" s="34">
        <f t="shared" si="135"/>
        <v>0.9776841625868985</v>
      </c>
    </row>
    <row r="8589" spans="13:15" x14ac:dyDescent="0.3">
      <c r="M8589" s="35">
        <v>131.87</v>
      </c>
      <c r="N8589">
        <v>305</v>
      </c>
      <c r="O8589" s="34">
        <f t="shared" si="135"/>
        <v>0.9777980189002311</v>
      </c>
    </row>
    <row r="8590" spans="13:15" x14ac:dyDescent="0.3">
      <c r="M8590" s="35">
        <v>131.88</v>
      </c>
      <c r="N8590">
        <v>305</v>
      </c>
      <c r="O8590" s="34">
        <f t="shared" si="135"/>
        <v>0.97791187521356371</v>
      </c>
    </row>
    <row r="8591" spans="13:15" x14ac:dyDescent="0.3">
      <c r="M8591" s="35">
        <v>131.96</v>
      </c>
      <c r="N8591">
        <v>305</v>
      </c>
      <c r="O8591" s="34">
        <f t="shared" si="135"/>
        <v>0.97802573152689631</v>
      </c>
    </row>
    <row r="8592" spans="13:15" x14ac:dyDescent="0.3">
      <c r="M8592" s="35">
        <v>132.43</v>
      </c>
      <c r="N8592">
        <v>305</v>
      </c>
      <c r="O8592" s="34">
        <f t="shared" si="135"/>
        <v>0.97813958784022892</v>
      </c>
    </row>
    <row r="8593" spans="13:15" x14ac:dyDescent="0.3">
      <c r="M8593" s="35">
        <v>133.1</v>
      </c>
      <c r="N8593">
        <v>305</v>
      </c>
      <c r="O8593" s="34">
        <f t="shared" si="135"/>
        <v>0.97825344415356152</v>
      </c>
    </row>
    <row r="8594" spans="13:15" x14ac:dyDescent="0.3">
      <c r="M8594" s="35">
        <v>133.29</v>
      </c>
      <c r="N8594">
        <v>305</v>
      </c>
      <c r="O8594" s="34">
        <f t="shared" si="135"/>
        <v>0.97836730046689413</v>
      </c>
    </row>
    <row r="8595" spans="13:15" x14ac:dyDescent="0.3">
      <c r="M8595" s="35">
        <v>133.32</v>
      </c>
      <c r="N8595">
        <v>305</v>
      </c>
      <c r="O8595" s="34">
        <f t="shared" si="135"/>
        <v>0.97848115678022674</v>
      </c>
    </row>
    <row r="8596" spans="13:15" x14ac:dyDescent="0.3">
      <c r="M8596" s="35">
        <v>133.66999999999999</v>
      </c>
      <c r="N8596">
        <v>305</v>
      </c>
      <c r="O8596" s="34">
        <f t="shared" si="135"/>
        <v>0.97859501309355934</v>
      </c>
    </row>
    <row r="8597" spans="13:15" x14ac:dyDescent="0.3">
      <c r="M8597" s="35">
        <v>133.84</v>
      </c>
      <c r="N8597">
        <v>305</v>
      </c>
      <c r="O8597" s="34">
        <f t="shared" si="135"/>
        <v>0.97870886940689195</v>
      </c>
    </row>
    <row r="8598" spans="13:15" x14ac:dyDescent="0.3">
      <c r="M8598" s="35">
        <v>133.88999999999999</v>
      </c>
      <c r="N8598">
        <v>305</v>
      </c>
      <c r="O8598" s="34">
        <f t="shared" si="135"/>
        <v>0.97882272572022455</v>
      </c>
    </row>
    <row r="8599" spans="13:15" x14ac:dyDescent="0.3">
      <c r="M8599" s="35">
        <v>134.59</v>
      </c>
      <c r="N8599">
        <v>305</v>
      </c>
      <c r="O8599" s="34">
        <f t="shared" si="135"/>
        <v>0.97893658203355716</v>
      </c>
    </row>
    <row r="8600" spans="13:15" x14ac:dyDescent="0.3">
      <c r="M8600" s="35">
        <v>135.22999999999999</v>
      </c>
      <c r="N8600">
        <v>305</v>
      </c>
      <c r="O8600" s="34">
        <f t="shared" si="135"/>
        <v>0.97905043834688976</v>
      </c>
    </row>
    <row r="8601" spans="13:15" x14ac:dyDescent="0.3">
      <c r="M8601" s="35">
        <v>135.38999999999999</v>
      </c>
      <c r="N8601">
        <v>305</v>
      </c>
      <c r="O8601" s="34">
        <f t="shared" si="135"/>
        <v>0.97916429466022237</v>
      </c>
    </row>
    <row r="8602" spans="13:15" x14ac:dyDescent="0.3">
      <c r="M8602" s="35">
        <v>135.41999999999999</v>
      </c>
      <c r="N8602">
        <v>305</v>
      </c>
      <c r="O8602" s="34">
        <f t="shared" si="135"/>
        <v>0.97927815097355497</v>
      </c>
    </row>
    <row r="8603" spans="13:15" x14ac:dyDescent="0.3">
      <c r="M8603" s="35">
        <v>135.44999999999999</v>
      </c>
      <c r="N8603">
        <v>305</v>
      </c>
      <c r="O8603" s="34">
        <f t="shared" si="135"/>
        <v>0.97939200728688758</v>
      </c>
    </row>
    <row r="8604" spans="13:15" x14ac:dyDescent="0.3">
      <c r="M8604" s="35">
        <v>135.51</v>
      </c>
      <c r="N8604">
        <v>305</v>
      </c>
      <c r="O8604" s="34">
        <f t="shared" si="135"/>
        <v>0.97950586360022018</v>
      </c>
    </row>
    <row r="8605" spans="13:15" x14ac:dyDescent="0.3">
      <c r="M8605" s="35">
        <v>135.58000000000001</v>
      </c>
      <c r="N8605">
        <v>305</v>
      </c>
      <c r="O8605" s="34">
        <f t="shared" si="135"/>
        <v>0.97961971991355279</v>
      </c>
    </row>
    <row r="8606" spans="13:15" x14ac:dyDescent="0.3">
      <c r="M8606" s="35">
        <v>135.86000000000001</v>
      </c>
      <c r="N8606">
        <v>305</v>
      </c>
      <c r="O8606" s="34">
        <f t="shared" si="135"/>
        <v>0.97973357622688539</v>
      </c>
    </row>
    <row r="8607" spans="13:15" x14ac:dyDescent="0.3">
      <c r="M8607" s="35">
        <v>136.24</v>
      </c>
      <c r="N8607">
        <v>305</v>
      </c>
      <c r="O8607" s="34">
        <f t="shared" si="135"/>
        <v>0.979847432540218</v>
      </c>
    </row>
    <row r="8608" spans="13:15" x14ac:dyDescent="0.3">
      <c r="M8608" s="35">
        <v>136.91</v>
      </c>
      <c r="N8608">
        <v>305</v>
      </c>
      <c r="O8608" s="34">
        <f t="shared" si="135"/>
        <v>0.97996128885355061</v>
      </c>
    </row>
    <row r="8609" spans="13:15" x14ac:dyDescent="0.3">
      <c r="M8609" s="35">
        <v>136.97999999999999</v>
      </c>
      <c r="N8609">
        <v>305</v>
      </c>
      <c r="O8609" s="34">
        <f t="shared" si="135"/>
        <v>0.98007514516688321</v>
      </c>
    </row>
    <row r="8610" spans="13:15" x14ac:dyDescent="0.3">
      <c r="M8610" s="35">
        <v>137.5</v>
      </c>
      <c r="N8610">
        <v>305</v>
      </c>
      <c r="O8610" s="34">
        <f t="shared" si="135"/>
        <v>0.98018900148021582</v>
      </c>
    </row>
    <row r="8611" spans="13:15" x14ac:dyDescent="0.3">
      <c r="M8611" s="35">
        <v>137.83000000000001</v>
      </c>
      <c r="N8611">
        <v>305</v>
      </c>
      <c r="O8611" s="34">
        <f t="shared" si="135"/>
        <v>0.98030285779354842</v>
      </c>
    </row>
    <row r="8612" spans="13:15" x14ac:dyDescent="0.3">
      <c r="M8612" s="35">
        <v>137.84</v>
      </c>
      <c r="N8612">
        <v>305</v>
      </c>
      <c r="O8612" s="34">
        <f t="shared" si="135"/>
        <v>0.98041671410688103</v>
      </c>
    </row>
    <row r="8613" spans="13:15" x14ac:dyDescent="0.3">
      <c r="M8613" s="35">
        <v>138.56</v>
      </c>
      <c r="N8613">
        <v>305</v>
      </c>
      <c r="O8613" s="34">
        <f t="shared" si="135"/>
        <v>0.98053057042021363</v>
      </c>
    </row>
    <row r="8614" spans="13:15" x14ac:dyDescent="0.3">
      <c r="M8614" s="35">
        <v>138.94</v>
      </c>
      <c r="N8614">
        <v>305</v>
      </c>
      <c r="O8614" s="34">
        <f t="shared" si="135"/>
        <v>0.98064442673354624</v>
      </c>
    </row>
    <row r="8615" spans="13:15" x14ac:dyDescent="0.3">
      <c r="M8615" s="35">
        <v>140.16</v>
      </c>
      <c r="N8615">
        <v>305</v>
      </c>
      <c r="O8615" s="34">
        <f t="shared" si="135"/>
        <v>0.98075828304687884</v>
      </c>
    </row>
    <row r="8616" spans="13:15" x14ac:dyDescent="0.3">
      <c r="M8616" s="35">
        <v>140.24</v>
      </c>
      <c r="N8616">
        <v>305</v>
      </c>
      <c r="O8616" s="34">
        <f t="shared" si="135"/>
        <v>0.98087213936021145</v>
      </c>
    </row>
    <row r="8617" spans="13:15" x14ac:dyDescent="0.3">
      <c r="M8617" s="35">
        <v>141.66999999999999</v>
      </c>
      <c r="N8617">
        <v>305</v>
      </c>
      <c r="O8617" s="34">
        <f t="shared" si="135"/>
        <v>0.98098599567354405</v>
      </c>
    </row>
    <row r="8618" spans="13:15" x14ac:dyDescent="0.3">
      <c r="M8618" s="35">
        <v>142.09</v>
      </c>
      <c r="N8618">
        <v>305</v>
      </c>
      <c r="O8618" s="34">
        <f t="shared" si="135"/>
        <v>0.98109985198687666</v>
      </c>
    </row>
    <row r="8619" spans="13:15" x14ac:dyDescent="0.3">
      <c r="M8619" s="35">
        <v>142.53</v>
      </c>
      <c r="N8619">
        <v>305</v>
      </c>
      <c r="O8619" s="34">
        <f t="shared" si="135"/>
        <v>0.98121370830020926</v>
      </c>
    </row>
    <row r="8620" spans="13:15" x14ac:dyDescent="0.3">
      <c r="M8620" s="35">
        <v>142.72</v>
      </c>
      <c r="N8620">
        <v>305</v>
      </c>
      <c r="O8620" s="34">
        <f t="shared" si="135"/>
        <v>0.98132756461354187</v>
      </c>
    </row>
    <row r="8621" spans="13:15" x14ac:dyDescent="0.3">
      <c r="M8621" s="35">
        <v>142.72</v>
      </c>
      <c r="N8621">
        <v>305</v>
      </c>
      <c r="O8621" s="34">
        <f t="shared" si="135"/>
        <v>0.98144142092687447</v>
      </c>
    </row>
    <row r="8622" spans="13:15" x14ac:dyDescent="0.3">
      <c r="M8622" s="35">
        <v>143.1</v>
      </c>
      <c r="N8622">
        <v>305</v>
      </c>
      <c r="O8622" s="34">
        <f t="shared" si="135"/>
        <v>0.98155527724020708</v>
      </c>
    </row>
    <row r="8623" spans="13:15" x14ac:dyDescent="0.3">
      <c r="M8623" s="35">
        <v>143.19999999999999</v>
      </c>
      <c r="N8623">
        <v>305</v>
      </c>
      <c r="O8623" s="34">
        <f t="shared" si="135"/>
        <v>0.98166913355353969</v>
      </c>
    </row>
    <row r="8624" spans="13:15" x14ac:dyDescent="0.3">
      <c r="M8624" s="35">
        <v>143.22999999999999</v>
      </c>
      <c r="N8624">
        <v>305</v>
      </c>
      <c r="O8624" s="34">
        <f t="shared" si="135"/>
        <v>0.98178298986687229</v>
      </c>
    </row>
    <row r="8625" spans="13:15" x14ac:dyDescent="0.3">
      <c r="M8625" s="35">
        <v>143.47</v>
      </c>
      <c r="N8625">
        <v>305</v>
      </c>
      <c r="O8625" s="34">
        <f t="shared" si="135"/>
        <v>0.9818968461802049</v>
      </c>
    </row>
    <row r="8626" spans="13:15" x14ac:dyDescent="0.3">
      <c r="M8626" s="35">
        <v>143.63</v>
      </c>
      <c r="N8626">
        <v>305</v>
      </c>
      <c r="O8626" s="34">
        <f t="shared" si="135"/>
        <v>0.9820107024935375</v>
      </c>
    </row>
    <row r="8627" spans="13:15" x14ac:dyDescent="0.3">
      <c r="M8627" s="35">
        <v>143.63999999999999</v>
      </c>
      <c r="N8627">
        <v>305</v>
      </c>
      <c r="O8627" s="34">
        <f t="shared" si="135"/>
        <v>0.98212455880687011</v>
      </c>
    </row>
    <row r="8628" spans="13:15" x14ac:dyDescent="0.3">
      <c r="M8628" s="35">
        <v>143.63999999999999</v>
      </c>
      <c r="N8628">
        <v>305</v>
      </c>
      <c r="O8628" s="34">
        <f t="shared" si="135"/>
        <v>0.98223841512020271</v>
      </c>
    </row>
    <row r="8629" spans="13:15" x14ac:dyDescent="0.3">
      <c r="M8629" s="35">
        <v>143.71</v>
      </c>
      <c r="N8629">
        <v>305</v>
      </c>
      <c r="O8629" s="34">
        <f t="shared" si="135"/>
        <v>0.98235227143353532</v>
      </c>
    </row>
    <row r="8630" spans="13:15" x14ac:dyDescent="0.3">
      <c r="M8630" s="35">
        <v>144.4</v>
      </c>
      <c r="N8630">
        <v>305</v>
      </c>
      <c r="O8630" s="34">
        <f t="shared" si="135"/>
        <v>0.98246612774686792</v>
      </c>
    </row>
    <row r="8631" spans="13:15" x14ac:dyDescent="0.3">
      <c r="M8631" s="35">
        <v>144.44999999999999</v>
      </c>
      <c r="N8631">
        <v>305</v>
      </c>
      <c r="O8631" s="34">
        <f t="shared" si="135"/>
        <v>0.98257998406020053</v>
      </c>
    </row>
    <row r="8632" spans="13:15" x14ac:dyDescent="0.3">
      <c r="M8632" s="35">
        <v>144.63</v>
      </c>
      <c r="N8632">
        <v>305</v>
      </c>
      <c r="O8632" s="34">
        <f t="shared" si="135"/>
        <v>0.98269384037353313</v>
      </c>
    </row>
    <row r="8633" spans="13:15" x14ac:dyDescent="0.3">
      <c r="M8633" s="35">
        <v>144.91999999999999</v>
      </c>
      <c r="N8633">
        <v>305</v>
      </c>
      <c r="O8633" s="34">
        <f t="shared" si="135"/>
        <v>0.98280769668686574</v>
      </c>
    </row>
    <row r="8634" spans="13:15" x14ac:dyDescent="0.3">
      <c r="M8634" s="35">
        <v>145</v>
      </c>
      <c r="N8634">
        <v>305</v>
      </c>
      <c r="O8634" s="34">
        <f t="shared" si="135"/>
        <v>0.98292155300019834</v>
      </c>
    </row>
    <row r="8635" spans="13:15" x14ac:dyDescent="0.3">
      <c r="M8635" s="35">
        <v>145.18</v>
      </c>
      <c r="N8635">
        <v>305</v>
      </c>
      <c r="O8635" s="34">
        <f t="shared" si="135"/>
        <v>0.98303540931353095</v>
      </c>
    </row>
    <row r="8636" spans="13:15" x14ac:dyDescent="0.3">
      <c r="M8636" s="35">
        <v>145.83000000000001</v>
      </c>
      <c r="N8636">
        <v>305</v>
      </c>
      <c r="O8636" s="34">
        <f t="shared" si="135"/>
        <v>0.98314926562686356</v>
      </c>
    </row>
    <row r="8637" spans="13:15" x14ac:dyDescent="0.3">
      <c r="M8637" s="35">
        <v>146.18</v>
      </c>
      <c r="N8637">
        <v>305</v>
      </c>
      <c r="O8637" s="34">
        <f t="shared" si="135"/>
        <v>0.98326312194019616</v>
      </c>
    </row>
    <row r="8638" spans="13:15" x14ac:dyDescent="0.3">
      <c r="M8638" s="35">
        <v>146.41</v>
      </c>
      <c r="N8638">
        <v>305</v>
      </c>
      <c r="O8638" s="34">
        <f t="shared" si="135"/>
        <v>0.98337697825352877</v>
      </c>
    </row>
    <row r="8639" spans="13:15" x14ac:dyDescent="0.3">
      <c r="M8639" s="35">
        <v>146.44999999999999</v>
      </c>
      <c r="N8639">
        <v>305</v>
      </c>
      <c r="O8639" s="34">
        <f t="shared" si="135"/>
        <v>0.98349083456686137</v>
      </c>
    </row>
    <row r="8640" spans="13:15" x14ac:dyDescent="0.3">
      <c r="M8640" s="35">
        <v>146.68</v>
      </c>
      <c r="N8640">
        <v>305</v>
      </c>
      <c r="O8640" s="34">
        <f t="shared" si="135"/>
        <v>0.98360469088019398</v>
      </c>
    </row>
    <row r="8641" spans="13:15" x14ac:dyDescent="0.3">
      <c r="M8641" s="35">
        <v>146.97999999999999</v>
      </c>
      <c r="N8641">
        <v>305</v>
      </c>
      <c r="O8641" s="34">
        <f t="shared" si="135"/>
        <v>0.98371854719352658</v>
      </c>
    </row>
    <row r="8642" spans="13:15" x14ac:dyDescent="0.3">
      <c r="M8642" s="35">
        <v>147</v>
      </c>
      <c r="N8642">
        <v>305</v>
      </c>
      <c r="O8642" s="34">
        <f t="shared" si="135"/>
        <v>0.98383240350685919</v>
      </c>
    </row>
    <row r="8643" spans="13:15" x14ac:dyDescent="0.3">
      <c r="M8643" s="35">
        <v>147.25</v>
      </c>
      <c r="N8643">
        <v>305</v>
      </c>
      <c r="O8643" s="34">
        <f t="shared" si="135"/>
        <v>0.98394625982019179</v>
      </c>
    </row>
    <row r="8644" spans="13:15" x14ac:dyDescent="0.3">
      <c r="M8644" s="35">
        <v>147.78</v>
      </c>
      <c r="N8644">
        <v>305</v>
      </c>
      <c r="O8644" s="34">
        <f t="shared" ref="O8644:O8707" si="136">O8643+O$2</f>
        <v>0.9840601161335244</v>
      </c>
    </row>
    <row r="8645" spans="13:15" x14ac:dyDescent="0.3">
      <c r="M8645" s="35">
        <v>147.81</v>
      </c>
      <c r="N8645">
        <v>305</v>
      </c>
      <c r="O8645" s="34">
        <f t="shared" si="136"/>
        <v>0.984173972446857</v>
      </c>
    </row>
    <row r="8646" spans="13:15" x14ac:dyDescent="0.3">
      <c r="M8646" s="35">
        <v>148.05000000000001</v>
      </c>
      <c r="N8646">
        <v>305</v>
      </c>
      <c r="O8646" s="34">
        <f t="shared" si="136"/>
        <v>0.98428782876018961</v>
      </c>
    </row>
    <row r="8647" spans="13:15" x14ac:dyDescent="0.3">
      <c r="M8647" s="35">
        <v>148.1</v>
      </c>
      <c r="N8647">
        <v>305</v>
      </c>
      <c r="O8647" s="34">
        <f t="shared" si="136"/>
        <v>0.98440168507352221</v>
      </c>
    </row>
    <row r="8648" spans="13:15" x14ac:dyDescent="0.3">
      <c r="M8648" s="35">
        <v>148.56</v>
      </c>
      <c r="N8648">
        <v>305</v>
      </c>
      <c r="O8648" s="34">
        <f t="shared" si="136"/>
        <v>0.98451554138685482</v>
      </c>
    </row>
    <row r="8649" spans="13:15" x14ac:dyDescent="0.3">
      <c r="M8649" s="35">
        <v>148.81</v>
      </c>
      <c r="N8649">
        <v>305</v>
      </c>
      <c r="O8649" s="34">
        <f t="shared" si="136"/>
        <v>0.98462939770018743</v>
      </c>
    </row>
    <row r="8650" spans="13:15" x14ac:dyDescent="0.3">
      <c r="M8650" s="35">
        <v>149.66</v>
      </c>
      <c r="N8650">
        <v>305</v>
      </c>
      <c r="O8650" s="34">
        <f t="shared" si="136"/>
        <v>0.98474325401352003</v>
      </c>
    </row>
    <row r="8651" spans="13:15" x14ac:dyDescent="0.3">
      <c r="M8651" s="35">
        <v>149.76</v>
      </c>
      <c r="N8651">
        <v>305</v>
      </c>
      <c r="O8651" s="34">
        <f t="shared" si="136"/>
        <v>0.98485711032685264</v>
      </c>
    </row>
    <row r="8652" spans="13:15" x14ac:dyDescent="0.3">
      <c r="M8652" s="35">
        <v>149.78</v>
      </c>
      <c r="N8652">
        <v>305</v>
      </c>
      <c r="O8652" s="34">
        <f t="shared" si="136"/>
        <v>0.98497096664018524</v>
      </c>
    </row>
    <row r="8653" spans="13:15" x14ac:dyDescent="0.3">
      <c r="M8653" s="35">
        <v>149.88</v>
      </c>
      <c r="N8653">
        <v>305</v>
      </c>
      <c r="O8653" s="34">
        <f t="shared" si="136"/>
        <v>0.98508482295351785</v>
      </c>
    </row>
    <row r="8654" spans="13:15" x14ac:dyDescent="0.3">
      <c r="M8654" s="35">
        <v>150.16999999999999</v>
      </c>
      <c r="N8654">
        <v>305</v>
      </c>
      <c r="O8654" s="34">
        <f t="shared" si="136"/>
        <v>0.98519867926685045</v>
      </c>
    </row>
    <row r="8655" spans="13:15" x14ac:dyDescent="0.3">
      <c r="M8655" s="35">
        <v>150.94</v>
      </c>
      <c r="N8655">
        <v>305</v>
      </c>
      <c r="O8655" s="34">
        <f t="shared" si="136"/>
        <v>0.98531253558018306</v>
      </c>
    </row>
    <row r="8656" spans="13:15" x14ac:dyDescent="0.3">
      <c r="M8656" s="35">
        <v>150.94999999999999</v>
      </c>
      <c r="N8656">
        <v>305</v>
      </c>
      <c r="O8656" s="34">
        <f t="shared" si="136"/>
        <v>0.98542639189351566</v>
      </c>
    </row>
    <row r="8657" spans="13:15" x14ac:dyDescent="0.3">
      <c r="M8657" s="35">
        <v>151.47999999999999</v>
      </c>
      <c r="N8657">
        <v>305</v>
      </c>
      <c r="O8657" s="34">
        <f t="shared" si="136"/>
        <v>0.98554024820684827</v>
      </c>
    </row>
    <row r="8658" spans="13:15" x14ac:dyDescent="0.3">
      <c r="M8658" s="35">
        <v>151.66</v>
      </c>
      <c r="N8658">
        <v>305</v>
      </c>
      <c r="O8658" s="34">
        <f t="shared" si="136"/>
        <v>0.98565410452018087</v>
      </c>
    </row>
    <row r="8659" spans="13:15" x14ac:dyDescent="0.3">
      <c r="M8659" s="35">
        <v>151.91999999999999</v>
      </c>
      <c r="N8659">
        <v>305</v>
      </c>
      <c r="O8659" s="34">
        <f t="shared" si="136"/>
        <v>0.98576796083351348</v>
      </c>
    </row>
    <row r="8660" spans="13:15" x14ac:dyDescent="0.3">
      <c r="M8660" s="35">
        <v>152</v>
      </c>
      <c r="N8660">
        <v>305</v>
      </c>
      <c r="O8660" s="34">
        <f t="shared" si="136"/>
        <v>0.98588181714684608</v>
      </c>
    </row>
    <row r="8661" spans="13:15" x14ac:dyDescent="0.3">
      <c r="M8661" s="35">
        <v>152.35</v>
      </c>
      <c r="N8661">
        <v>305</v>
      </c>
      <c r="O8661" s="34">
        <f t="shared" si="136"/>
        <v>0.98599567346017869</v>
      </c>
    </row>
    <row r="8662" spans="13:15" x14ac:dyDescent="0.3">
      <c r="M8662" s="35">
        <v>152.65</v>
      </c>
      <c r="N8662">
        <v>305</v>
      </c>
      <c r="O8662" s="34">
        <f t="shared" si="136"/>
        <v>0.9861095297735113</v>
      </c>
    </row>
    <row r="8663" spans="13:15" x14ac:dyDescent="0.3">
      <c r="M8663" s="35">
        <v>152.80000000000001</v>
      </c>
      <c r="N8663">
        <v>305</v>
      </c>
      <c r="O8663" s="34">
        <f t="shared" si="136"/>
        <v>0.9862233860868439</v>
      </c>
    </row>
    <row r="8664" spans="13:15" x14ac:dyDescent="0.3">
      <c r="M8664" s="35">
        <v>153.51</v>
      </c>
      <c r="N8664">
        <v>305</v>
      </c>
      <c r="O8664" s="34">
        <f t="shared" si="136"/>
        <v>0.98633724240017651</v>
      </c>
    </row>
    <row r="8665" spans="13:15" x14ac:dyDescent="0.3">
      <c r="M8665" s="35">
        <v>153.55000000000001</v>
      </c>
      <c r="N8665">
        <v>305</v>
      </c>
      <c r="O8665" s="34">
        <f t="shared" si="136"/>
        <v>0.98645109871350911</v>
      </c>
    </row>
    <row r="8666" spans="13:15" x14ac:dyDescent="0.3">
      <c r="M8666" s="35">
        <v>153.78</v>
      </c>
      <c r="N8666">
        <v>305</v>
      </c>
      <c r="O8666" s="34">
        <f t="shared" si="136"/>
        <v>0.98656495502684172</v>
      </c>
    </row>
    <row r="8667" spans="13:15" x14ac:dyDescent="0.3">
      <c r="M8667" s="35">
        <v>153.85</v>
      </c>
      <c r="N8667">
        <v>305</v>
      </c>
      <c r="O8667" s="34">
        <f t="shared" si="136"/>
        <v>0.98667881134017432</v>
      </c>
    </row>
    <row r="8668" spans="13:15" x14ac:dyDescent="0.3">
      <c r="M8668" s="35">
        <v>156.88</v>
      </c>
      <c r="N8668">
        <v>305</v>
      </c>
      <c r="O8668" s="34">
        <f t="shared" si="136"/>
        <v>0.98679266765350693</v>
      </c>
    </row>
    <row r="8669" spans="13:15" x14ac:dyDescent="0.3">
      <c r="M8669" s="35">
        <v>157.47999999999999</v>
      </c>
      <c r="N8669">
        <v>305</v>
      </c>
      <c r="O8669" s="34">
        <f t="shared" si="136"/>
        <v>0.98690652396683953</v>
      </c>
    </row>
    <row r="8670" spans="13:15" x14ac:dyDescent="0.3">
      <c r="M8670" s="35">
        <v>158.52000000000001</v>
      </c>
      <c r="N8670">
        <v>305</v>
      </c>
      <c r="O8670" s="34">
        <f t="shared" si="136"/>
        <v>0.98702038028017214</v>
      </c>
    </row>
    <row r="8671" spans="13:15" x14ac:dyDescent="0.3">
      <c r="M8671" s="35">
        <v>160.08000000000001</v>
      </c>
      <c r="N8671">
        <v>305</v>
      </c>
      <c r="O8671" s="34">
        <f t="shared" si="136"/>
        <v>0.98713423659350474</v>
      </c>
    </row>
    <row r="8672" spans="13:15" x14ac:dyDescent="0.3">
      <c r="M8672" s="35">
        <v>160.13999999999999</v>
      </c>
      <c r="N8672">
        <v>305</v>
      </c>
      <c r="O8672" s="34">
        <f t="shared" si="136"/>
        <v>0.98724809290683735</v>
      </c>
    </row>
    <row r="8673" spans="13:15" x14ac:dyDescent="0.3">
      <c r="M8673" s="35">
        <v>160.18</v>
      </c>
      <c r="N8673">
        <v>305</v>
      </c>
      <c r="O8673" s="34">
        <f t="shared" si="136"/>
        <v>0.98736194922016995</v>
      </c>
    </row>
    <row r="8674" spans="13:15" x14ac:dyDescent="0.3">
      <c r="M8674" s="35">
        <v>160.41999999999999</v>
      </c>
      <c r="N8674">
        <v>305</v>
      </c>
      <c r="O8674" s="34">
        <f t="shared" si="136"/>
        <v>0.98747580553350256</v>
      </c>
    </row>
    <row r="8675" spans="13:15" x14ac:dyDescent="0.3">
      <c r="M8675" s="35">
        <v>160.61000000000001</v>
      </c>
      <c r="N8675">
        <v>305</v>
      </c>
      <c r="O8675" s="34">
        <f t="shared" si="136"/>
        <v>0.98758966184683517</v>
      </c>
    </row>
    <row r="8676" spans="13:15" x14ac:dyDescent="0.3">
      <c r="M8676" s="35">
        <v>160.97</v>
      </c>
      <c r="N8676">
        <v>305</v>
      </c>
      <c r="O8676" s="34">
        <f t="shared" si="136"/>
        <v>0.98770351816016777</v>
      </c>
    </row>
    <row r="8677" spans="13:15" x14ac:dyDescent="0.3">
      <c r="M8677" s="35">
        <v>161.08000000000001</v>
      </c>
      <c r="N8677">
        <v>305</v>
      </c>
      <c r="O8677" s="34">
        <f t="shared" si="136"/>
        <v>0.98781737447350038</v>
      </c>
    </row>
    <row r="8678" spans="13:15" x14ac:dyDescent="0.3">
      <c r="M8678" s="35">
        <v>161.22</v>
      </c>
      <c r="N8678">
        <v>305</v>
      </c>
      <c r="O8678" s="34">
        <f t="shared" si="136"/>
        <v>0.98793123078683298</v>
      </c>
    </row>
    <row r="8679" spans="13:15" x14ac:dyDescent="0.3">
      <c r="M8679" s="35">
        <v>161.76</v>
      </c>
      <c r="N8679">
        <v>305</v>
      </c>
      <c r="O8679" s="34">
        <f t="shared" si="136"/>
        <v>0.98804508710016559</v>
      </c>
    </row>
    <row r="8680" spans="13:15" x14ac:dyDescent="0.3">
      <c r="M8680" s="35">
        <v>161.91999999999999</v>
      </c>
      <c r="N8680">
        <v>305</v>
      </c>
      <c r="O8680" s="34">
        <f t="shared" si="136"/>
        <v>0.98815894341349819</v>
      </c>
    </row>
    <row r="8681" spans="13:15" x14ac:dyDescent="0.3">
      <c r="M8681" s="35">
        <v>162.21</v>
      </c>
      <c r="N8681">
        <v>305</v>
      </c>
      <c r="O8681" s="34">
        <f t="shared" si="136"/>
        <v>0.9882727997268308</v>
      </c>
    </row>
    <row r="8682" spans="13:15" x14ac:dyDescent="0.3">
      <c r="M8682" s="35">
        <v>162.56</v>
      </c>
      <c r="N8682">
        <v>305</v>
      </c>
      <c r="O8682" s="34">
        <f t="shared" si="136"/>
        <v>0.9883866560401634</v>
      </c>
    </row>
    <row r="8683" spans="13:15" x14ac:dyDescent="0.3">
      <c r="M8683" s="35">
        <v>163.15</v>
      </c>
      <c r="N8683">
        <v>305</v>
      </c>
      <c r="O8683" s="34">
        <f t="shared" si="136"/>
        <v>0.98850051235349601</v>
      </c>
    </row>
    <row r="8684" spans="13:15" x14ac:dyDescent="0.3">
      <c r="M8684" s="35">
        <v>163.30000000000001</v>
      </c>
      <c r="N8684">
        <v>305</v>
      </c>
      <c r="O8684" s="34">
        <f t="shared" si="136"/>
        <v>0.98861436866682861</v>
      </c>
    </row>
    <row r="8685" spans="13:15" x14ac:dyDescent="0.3">
      <c r="M8685" s="35">
        <v>163.51</v>
      </c>
      <c r="N8685">
        <v>305</v>
      </c>
      <c r="O8685" s="34">
        <f t="shared" si="136"/>
        <v>0.98872822498016122</v>
      </c>
    </row>
    <row r="8686" spans="13:15" x14ac:dyDescent="0.3">
      <c r="M8686" s="35">
        <v>163.54</v>
      </c>
      <c r="N8686">
        <v>305</v>
      </c>
      <c r="O8686" s="34">
        <f t="shared" si="136"/>
        <v>0.98884208129349382</v>
      </c>
    </row>
    <row r="8687" spans="13:15" x14ac:dyDescent="0.3">
      <c r="M8687" s="35">
        <v>165.09</v>
      </c>
      <c r="N8687">
        <v>305</v>
      </c>
      <c r="O8687" s="34">
        <f t="shared" si="136"/>
        <v>0.98895593760682643</v>
      </c>
    </row>
    <row r="8688" spans="13:15" x14ac:dyDescent="0.3">
      <c r="M8688" s="35">
        <v>165.29</v>
      </c>
      <c r="N8688">
        <v>305</v>
      </c>
      <c r="O8688" s="34">
        <f t="shared" si="136"/>
        <v>0.98906979392015903</v>
      </c>
    </row>
    <row r="8689" spans="13:15" x14ac:dyDescent="0.3">
      <c r="M8689" s="35">
        <v>166.08</v>
      </c>
      <c r="N8689">
        <v>305</v>
      </c>
      <c r="O8689" s="34">
        <f t="shared" si="136"/>
        <v>0.98918365023349164</v>
      </c>
    </row>
    <row r="8690" spans="13:15" x14ac:dyDescent="0.3">
      <c r="M8690" s="35">
        <v>166.45</v>
      </c>
      <c r="N8690">
        <v>305</v>
      </c>
      <c r="O8690" s="34">
        <f t="shared" si="136"/>
        <v>0.98929750654682425</v>
      </c>
    </row>
    <row r="8691" spans="13:15" x14ac:dyDescent="0.3">
      <c r="M8691" s="35">
        <v>166.57</v>
      </c>
      <c r="N8691">
        <v>305</v>
      </c>
      <c r="O8691" s="34">
        <f t="shared" si="136"/>
        <v>0.98941136286015685</v>
      </c>
    </row>
    <row r="8692" spans="13:15" x14ac:dyDescent="0.3">
      <c r="M8692" s="35">
        <v>166.84</v>
      </c>
      <c r="N8692">
        <v>305</v>
      </c>
      <c r="O8692" s="34">
        <f t="shared" si="136"/>
        <v>0.98952521917348946</v>
      </c>
    </row>
    <row r="8693" spans="13:15" x14ac:dyDescent="0.3">
      <c r="M8693" s="35">
        <v>168.2</v>
      </c>
      <c r="N8693">
        <v>305</v>
      </c>
      <c r="O8693" s="34">
        <f t="shared" si="136"/>
        <v>0.98963907548682206</v>
      </c>
    </row>
    <row r="8694" spans="13:15" x14ac:dyDescent="0.3">
      <c r="M8694" s="35">
        <v>168.58</v>
      </c>
      <c r="N8694">
        <v>305</v>
      </c>
      <c r="O8694" s="34">
        <f t="shared" si="136"/>
        <v>0.98975293180015467</v>
      </c>
    </row>
    <row r="8695" spans="13:15" x14ac:dyDescent="0.3">
      <c r="M8695" s="35">
        <v>169.24</v>
      </c>
      <c r="N8695">
        <v>305</v>
      </c>
      <c r="O8695" s="34">
        <f t="shared" si="136"/>
        <v>0.98986678811348727</v>
      </c>
    </row>
    <row r="8696" spans="13:15" x14ac:dyDescent="0.3">
      <c r="M8696" s="35">
        <v>171.29</v>
      </c>
      <c r="N8696">
        <v>305</v>
      </c>
      <c r="O8696" s="34">
        <f t="shared" si="136"/>
        <v>0.98998064442681988</v>
      </c>
    </row>
    <row r="8697" spans="13:15" x14ac:dyDescent="0.3">
      <c r="M8697" s="35">
        <v>172.76</v>
      </c>
      <c r="N8697">
        <v>305</v>
      </c>
      <c r="O8697" s="34">
        <f t="shared" si="136"/>
        <v>0.99009450074015248</v>
      </c>
    </row>
    <row r="8698" spans="13:15" x14ac:dyDescent="0.3">
      <c r="M8698" s="35">
        <v>174.02</v>
      </c>
      <c r="N8698">
        <v>305</v>
      </c>
      <c r="O8698" s="34">
        <f t="shared" si="136"/>
        <v>0.99020835705348509</v>
      </c>
    </row>
    <row r="8699" spans="13:15" x14ac:dyDescent="0.3">
      <c r="M8699" s="35">
        <v>174.08</v>
      </c>
      <c r="N8699">
        <v>305</v>
      </c>
      <c r="O8699" s="34">
        <f t="shared" si="136"/>
        <v>0.99032221336681769</v>
      </c>
    </row>
    <row r="8700" spans="13:15" x14ac:dyDescent="0.3">
      <c r="M8700" s="35">
        <v>175.46</v>
      </c>
      <c r="N8700">
        <v>305</v>
      </c>
      <c r="O8700" s="34">
        <f t="shared" si="136"/>
        <v>0.9904360696801503</v>
      </c>
    </row>
    <row r="8701" spans="13:15" x14ac:dyDescent="0.3">
      <c r="M8701" s="35">
        <v>175.78</v>
      </c>
      <c r="N8701">
        <v>305</v>
      </c>
      <c r="O8701" s="34">
        <f t="shared" si="136"/>
        <v>0.9905499259934829</v>
      </c>
    </row>
    <row r="8702" spans="13:15" x14ac:dyDescent="0.3">
      <c r="M8702" s="35">
        <v>176.15</v>
      </c>
      <c r="N8702">
        <v>305</v>
      </c>
      <c r="O8702" s="34">
        <f t="shared" si="136"/>
        <v>0.99066378230681551</v>
      </c>
    </row>
    <row r="8703" spans="13:15" x14ac:dyDescent="0.3">
      <c r="M8703" s="35">
        <v>176.75</v>
      </c>
      <c r="N8703">
        <v>305</v>
      </c>
      <c r="O8703" s="34">
        <f t="shared" si="136"/>
        <v>0.99077763862014812</v>
      </c>
    </row>
    <row r="8704" spans="13:15" x14ac:dyDescent="0.3">
      <c r="M8704" s="35">
        <v>177.38</v>
      </c>
      <c r="N8704">
        <v>305</v>
      </c>
      <c r="O8704" s="34">
        <f t="shared" si="136"/>
        <v>0.99089149493348072</v>
      </c>
    </row>
    <row r="8705" spans="13:15" x14ac:dyDescent="0.3">
      <c r="M8705" s="35">
        <v>177.5</v>
      </c>
      <c r="N8705">
        <v>305</v>
      </c>
      <c r="O8705" s="34">
        <f t="shared" si="136"/>
        <v>0.99100535124681333</v>
      </c>
    </row>
    <row r="8706" spans="13:15" x14ac:dyDescent="0.3">
      <c r="M8706" s="35">
        <v>177.88</v>
      </c>
      <c r="N8706">
        <v>305</v>
      </c>
      <c r="O8706" s="34">
        <f t="shared" si="136"/>
        <v>0.99111920756014593</v>
      </c>
    </row>
    <row r="8707" spans="13:15" x14ac:dyDescent="0.3">
      <c r="M8707" s="35">
        <v>178.26</v>
      </c>
      <c r="N8707">
        <v>305</v>
      </c>
      <c r="O8707" s="34">
        <f t="shared" si="136"/>
        <v>0.99123306387347854</v>
      </c>
    </row>
    <row r="8708" spans="13:15" x14ac:dyDescent="0.3">
      <c r="M8708" s="35">
        <v>179.22</v>
      </c>
      <c r="N8708">
        <v>305</v>
      </c>
      <c r="O8708" s="34">
        <f t="shared" ref="O8708:O8771" si="137">O8707+O$2</f>
        <v>0.99134692018681114</v>
      </c>
    </row>
    <row r="8709" spans="13:15" x14ac:dyDescent="0.3">
      <c r="M8709" s="35">
        <v>179.24</v>
      </c>
      <c r="N8709">
        <v>305</v>
      </c>
      <c r="O8709" s="34">
        <f t="shared" si="137"/>
        <v>0.99146077650014375</v>
      </c>
    </row>
    <row r="8710" spans="13:15" x14ac:dyDescent="0.3">
      <c r="M8710" s="35">
        <v>183</v>
      </c>
      <c r="N8710">
        <v>305</v>
      </c>
      <c r="O8710" s="34">
        <f t="shared" si="137"/>
        <v>0.99157463281347635</v>
      </c>
    </row>
    <row r="8711" spans="13:15" x14ac:dyDescent="0.3">
      <c r="M8711" s="35">
        <v>183.07</v>
      </c>
      <c r="N8711">
        <v>305</v>
      </c>
      <c r="O8711" s="34">
        <f t="shared" si="137"/>
        <v>0.99168848912680896</v>
      </c>
    </row>
    <row r="8712" spans="13:15" x14ac:dyDescent="0.3">
      <c r="M8712" s="35">
        <v>183.58</v>
      </c>
      <c r="N8712">
        <v>305</v>
      </c>
      <c r="O8712" s="34">
        <f t="shared" si="137"/>
        <v>0.99180234544014156</v>
      </c>
    </row>
    <row r="8713" spans="13:15" x14ac:dyDescent="0.3">
      <c r="M8713" s="35">
        <v>185.01</v>
      </c>
      <c r="N8713">
        <v>305</v>
      </c>
      <c r="O8713" s="34">
        <f t="shared" si="137"/>
        <v>0.99191620175347417</v>
      </c>
    </row>
    <row r="8714" spans="13:15" x14ac:dyDescent="0.3">
      <c r="M8714" s="35">
        <v>186.51</v>
      </c>
      <c r="N8714">
        <v>305</v>
      </c>
      <c r="O8714" s="34">
        <f t="shared" si="137"/>
        <v>0.99203005806680677</v>
      </c>
    </row>
    <row r="8715" spans="13:15" x14ac:dyDescent="0.3">
      <c r="M8715" s="35">
        <v>187.36</v>
      </c>
      <c r="N8715">
        <v>305</v>
      </c>
      <c r="O8715" s="34">
        <f t="shared" si="137"/>
        <v>0.99214391438013938</v>
      </c>
    </row>
    <row r="8716" spans="13:15" x14ac:dyDescent="0.3">
      <c r="M8716" s="35">
        <v>187.55</v>
      </c>
      <c r="N8716">
        <v>305</v>
      </c>
      <c r="O8716" s="34">
        <f t="shared" si="137"/>
        <v>0.99225777069347199</v>
      </c>
    </row>
    <row r="8717" spans="13:15" x14ac:dyDescent="0.3">
      <c r="M8717" s="35">
        <v>187.6</v>
      </c>
      <c r="N8717">
        <v>305</v>
      </c>
      <c r="O8717" s="34">
        <f t="shared" si="137"/>
        <v>0.99237162700680459</v>
      </c>
    </row>
    <row r="8718" spans="13:15" x14ac:dyDescent="0.3">
      <c r="M8718" s="35">
        <v>187.66</v>
      </c>
      <c r="N8718">
        <v>305</v>
      </c>
      <c r="O8718" s="34">
        <f t="shared" si="137"/>
        <v>0.9924854833201372</v>
      </c>
    </row>
    <row r="8719" spans="13:15" x14ac:dyDescent="0.3">
      <c r="M8719" s="35">
        <v>189.29</v>
      </c>
      <c r="N8719">
        <v>305</v>
      </c>
      <c r="O8719" s="34">
        <f t="shared" si="137"/>
        <v>0.9925993396334698</v>
      </c>
    </row>
    <row r="8720" spans="13:15" x14ac:dyDescent="0.3">
      <c r="M8720" s="35">
        <v>189.65</v>
      </c>
      <c r="N8720">
        <v>305</v>
      </c>
      <c r="O8720" s="34">
        <f t="shared" si="137"/>
        <v>0.99271319594680241</v>
      </c>
    </row>
    <row r="8721" spans="13:15" x14ac:dyDescent="0.3">
      <c r="M8721" s="35">
        <v>190.05</v>
      </c>
      <c r="N8721">
        <v>305</v>
      </c>
      <c r="O8721" s="34">
        <f t="shared" si="137"/>
        <v>0.99282705226013501</v>
      </c>
    </row>
    <row r="8722" spans="13:15" x14ac:dyDescent="0.3">
      <c r="M8722" s="35">
        <v>191.73</v>
      </c>
      <c r="N8722">
        <v>305</v>
      </c>
      <c r="O8722" s="34">
        <f t="shared" si="137"/>
        <v>0.99294090857346762</v>
      </c>
    </row>
    <row r="8723" spans="13:15" x14ac:dyDescent="0.3">
      <c r="M8723" s="35">
        <v>192.22</v>
      </c>
      <c r="N8723">
        <v>305</v>
      </c>
      <c r="O8723" s="34">
        <f t="shared" si="137"/>
        <v>0.99305476488680022</v>
      </c>
    </row>
    <row r="8724" spans="13:15" x14ac:dyDescent="0.3">
      <c r="M8724" s="35">
        <v>192.39</v>
      </c>
      <c r="N8724">
        <v>305</v>
      </c>
      <c r="O8724" s="34">
        <f t="shared" si="137"/>
        <v>0.99316862120013283</v>
      </c>
    </row>
    <row r="8725" spans="13:15" x14ac:dyDescent="0.3">
      <c r="M8725" s="35">
        <v>192.68</v>
      </c>
      <c r="N8725">
        <v>305</v>
      </c>
      <c r="O8725" s="34">
        <f t="shared" si="137"/>
        <v>0.99328247751346543</v>
      </c>
    </row>
    <row r="8726" spans="13:15" x14ac:dyDescent="0.3">
      <c r="M8726" s="35">
        <v>193</v>
      </c>
      <c r="N8726">
        <v>305</v>
      </c>
      <c r="O8726" s="34">
        <f t="shared" si="137"/>
        <v>0.99339633382679804</v>
      </c>
    </row>
    <row r="8727" spans="13:15" x14ac:dyDescent="0.3">
      <c r="M8727" s="35">
        <v>193.09</v>
      </c>
      <c r="N8727">
        <v>305</v>
      </c>
      <c r="O8727" s="34">
        <f t="shared" si="137"/>
        <v>0.99351019014013064</v>
      </c>
    </row>
    <row r="8728" spans="13:15" x14ac:dyDescent="0.3">
      <c r="M8728" s="35">
        <v>193.92</v>
      </c>
      <c r="N8728">
        <v>305</v>
      </c>
      <c r="O8728" s="34">
        <f t="shared" si="137"/>
        <v>0.99362404645346325</v>
      </c>
    </row>
    <row r="8729" spans="13:15" x14ac:dyDescent="0.3">
      <c r="M8729" s="35">
        <v>193.99</v>
      </c>
      <c r="N8729">
        <v>305</v>
      </c>
      <c r="O8729" s="34">
        <f t="shared" si="137"/>
        <v>0.99373790276679586</v>
      </c>
    </row>
    <row r="8730" spans="13:15" x14ac:dyDescent="0.3">
      <c r="M8730" s="35">
        <v>195.32</v>
      </c>
      <c r="N8730">
        <v>305</v>
      </c>
      <c r="O8730" s="34">
        <f t="shared" si="137"/>
        <v>0.99385175908012846</v>
      </c>
    </row>
    <row r="8731" spans="13:15" x14ac:dyDescent="0.3">
      <c r="M8731" s="35">
        <v>196.15</v>
      </c>
      <c r="N8731">
        <v>305</v>
      </c>
      <c r="O8731" s="34">
        <f t="shared" si="137"/>
        <v>0.99396561539346107</v>
      </c>
    </row>
    <row r="8732" spans="13:15" x14ac:dyDescent="0.3">
      <c r="M8732" s="35">
        <v>196.25</v>
      </c>
      <c r="N8732">
        <v>305</v>
      </c>
      <c r="O8732" s="34">
        <f t="shared" si="137"/>
        <v>0.99407947170679367</v>
      </c>
    </row>
    <row r="8733" spans="13:15" x14ac:dyDescent="0.3">
      <c r="M8733" s="35">
        <v>199.14</v>
      </c>
      <c r="N8733">
        <v>305</v>
      </c>
      <c r="O8733" s="34">
        <f t="shared" si="137"/>
        <v>0.99419332802012628</v>
      </c>
    </row>
    <row r="8734" spans="13:15" x14ac:dyDescent="0.3">
      <c r="M8734" s="35">
        <v>200.23</v>
      </c>
      <c r="N8734">
        <v>305</v>
      </c>
      <c r="O8734" s="34">
        <f t="shared" si="137"/>
        <v>0.99430718433345888</v>
      </c>
    </row>
    <row r="8735" spans="13:15" x14ac:dyDescent="0.3">
      <c r="M8735" s="35">
        <v>200.58</v>
      </c>
      <c r="N8735">
        <v>305</v>
      </c>
      <c r="O8735" s="34">
        <f t="shared" si="137"/>
        <v>0.99442104064679149</v>
      </c>
    </row>
    <row r="8736" spans="13:15" x14ac:dyDescent="0.3">
      <c r="M8736" s="35">
        <v>200.78</v>
      </c>
      <c r="N8736">
        <v>305</v>
      </c>
      <c r="O8736" s="34">
        <f t="shared" si="137"/>
        <v>0.99453489696012409</v>
      </c>
    </row>
    <row r="8737" spans="13:15" x14ac:dyDescent="0.3">
      <c r="M8737" s="35">
        <v>200.83</v>
      </c>
      <c r="N8737">
        <v>305</v>
      </c>
      <c r="O8737" s="34">
        <f t="shared" si="137"/>
        <v>0.9946487532734567</v>
      </c>
    </row>
    <row r="8738" spans="13:15" x14ac:dyDescent="0.3">
      <c r="M8738" s="35">
        <v>200.85</v>
      </c>
      <c r="N8738">
        <v>305</v>
      </c>
      <c r="O8738" s="34">
        <f t="shared" si="137"/>
        <v>0.9947626095867893</v>
      </c>
    </row>
    <row r="8739" spans="13:15" x14ac:dyDescent="0.3">
      <c r="M8739" s="35">
        <v>201.23</v>
      </c>
      <c r="N8739">
        <v>305</v>
      </c>
      <c r="O8739" s="34">
        <f t="shared" si="137"/>
        <v>0.99487646590012191</v>
      </c>
    </row>
    <row r="8740" spans="13:15" x14ac:dyDescent="0.3">
      <c r="M8740" s="35">
        <v>203.74</v>
      </c>
      <c r="N8740">
        <v>305</v>
      </c>
      <c r="O8740" s="34">
        <f t="shared" si="137"/>
        <v>0.99499032221345451</v>
      </c>
    </row>
    <row r="8741" spans="13:15" x14ac:dyDescent="0.3">
      <c r="M8741" s="35">
        <v>205.34</v>
      </c>
      <c r="N8741">
        <v>305</v>
      </c>
      <c r="O8741" s="34">
        <f t="shared" si="137"/>
        <v>0.99510417852678712</v>
      </c>
    </row>
    <row r="8742" spans="13:15" x14ac:dyDescent="0.3">
      <c r="M8742" s="35">
        <v>208.98</v>
      </c>
      <c r="N8742">
        <v>305</v>
      </c>
      <c r="O8742" s="34">
        <f t="shared" si="137"/>
        <v>0.99521803484011973</v>
      </c>
    </row>
    <row r="8743" spans="13:15" x14ac:dyDescent="0.3">
      <c r="M8743" s="35">
        <v>209.52</v>
      </c>
      <c r="N8743">
        <v>305</v>
      </c>
      <c r="O8743" s="34">
        <f t="shared" si="137"/>
        <v>0.99533189115345233</v>
      </c>
    </row>
    <row r="8744" spans="13:15" x14ac:dyDescent="0.3">
      <c r="M8744" s="35">
        <v>211.53</v>
      </c>
      <c r="N8744">
        <v>305</v>
      </c>
      <c r="O8744" s="34">
        <f t="shared" si="137"/>
        <v>0.99544574746678494</v>
      </c>
    </row>
    <row r="8745" spans="13:15" x14ac:dyDescent="0.3">
      <c r="M8745" s="35">
        <v>211.87</v>
      </c>
      <c r="N8745">
        <v>305</v>
      </c>
      <c r="O8745" s="34">
        <f t="shared" si="137"/>
        <v>0.99555960378011754</v>
      </c>
    </row>
    <row r="8746" spans="13:15" x14ac:dyDescent="0.3">
      <c r="M8746" s="35">
        <v>218.5</v>
      </c>
      <c r="N8746">
        <v>305</v>
      </c>
      <c r="O8746" s="34">
        <f t="shared" si="137"/>
        <v>0.99567346009345015</v>
      </c>
    </row>
    <row r="8747" spans="13:15" x14ac:dyDescent="0.3">
      <c r="M8747" s="35">
        <v>219.52</v>
      </c>
      <c r="N8747">
        <v>305</v>
      </c>
      <c r="O8747" s="34">
        <f t="shared" si="137"/>
        <v>0.99578731640678275</v>
      </c>
    </row>
    <row r="8748" spans="13:15" x14ac:dyDescent="0.3">
      <c r="M8748" s="35">
        <v>220.76</v>
      </c>
      <c r="N8748">
        <v>305</v>
      </c>
      <c r="O8748" s="34">
        <f t="shared" si="137"/>
        <v>0.99590117272011536</v>
      </c>
    </row>
    <row r="8749" spans="13:15" x14ac:dyDescent="0.3">
      <c r="M8749" s="35">
        <v>226.63</v>
      </c>
      <c r="N8749">
        <v>305</v>
      </c>
      <c r="O8749" s="34">
        <f t="shared" si="137"/>
        <v>0.99601502903344796</v>
      </c>
    </row>
    <row r="8750" spans="13:15" x14ac:dyDescent="0.3">
      <c r="M8750" s="35">
        <v>227.32</v>
      </c>
      <c r="N8750">
        <v>305</v>
      </c>
      <c r="O8750" s="34">
        <f t="shared" si="137"/>
        <v>0.99612888534678057</v>
      </c>
    </row>
    <row r="8751" spans="13:15" x14ac:dyDescent="0.3">
      <c r="M8751" s="35">
        <v>227.42</v>
      </c>
      <c r="N8751">
        <v>305</v>
      </c>
      <c r="O8751" s="34">
        <f t="shared" si="137"/>
        <v>0.99624274166011317</v>
      </c>
    </row>
    <row r="8752" spans="13:15" x14ac:dyDescent="0.3">
      <c r="M8752" s="35">
        <v>227.65</v>
      </c>
      <c r="N8752">
        <v>305</v>
      </c>
      <c r="O8752" s="34">
        <f t="shared" si="137"/>
        <v>0.99635659797344578</v>
      </c>
    </row>
    <row r="8753" spans="13:15" x14ac:dyDescent="0.3">
      <c r="M8753" s="35">
        <v>228.48</v>
      </c>
      <c r="N8753">
        <v>305</v>
      </c>
      <c r="O8753" s="34">
        <f t="shared" si="137"/>
        <v>0.99647045428677838</v>
      </c>
    </row>
    <row r="8754" spans="13:15" x14ac:dyDescent="0.3">
      <c r="M8754" s="35">
        <v>229.69</v>
      </c>
      <c r="N8754">
        <v>305</v>
      </c>
      <c r="O8754" s="34">
        <f t="shared" si="137"/>
        <v>0.99658431060011099</v>
      </c>
    </row>
    <row r="8755" spans="13:15" x14ac:dyDescent="0.3">
      <c r="M8755" s="35">
        <v>229.8</v>
      </c>
      <c r="N8755">
        <v>305</v>
      </c>
      <c r="O8755" s="34">
        <f t="shared" si="137"/>
        <v>0.9966981669134436</v>
      </c>
    </row>
    <row r="8756" spans="13:15" x14ac:dyDescent="0.3">
      <c r="M8756" s="35">
        <v>233.67</v>
      </c>
      <c r="N8756">
        <v>305</v>
      </c>
      <c r="O8756" s="34">
        <f t="shared" si="137"/>
        <v>0.9968120232267762</v>
      </c>
    </row>
    <row r="8757" spans="13:15" x14ac:dyDescent="0.3">
      <c r="M8757" s="35">
        <v>236.66</v>
      </c>
      <c r="N8757">
        <v>305</v>
      </c>
      <c r="O8757" s="34">
        <f t="shared" si="137"/>
        <v>0.99692587954010881</v>
      </c>
    </row>
    <row r="8758" spans="13:15" x14ac:dyDescent="0.3">
      <c r="M8758" s="35">
        <v>239.17</v>
      </c>
      <c r="N8758">
        <v>305</v>
      </c>
      <c r="O8758" s="34">
        <f t="shared" si="137"/>
        <v>0.99703973585344141</v>
      </c>
    </row>
    <row r="8759" spans="13:15" x14ac:dyDescent="0.3">
      <c r="M8759" s="35">
        <v>240.72</v>
      </c>
      <c r="N8759">
        <v>305</v>
      </c>
      <c r="O8759" s="34">
        <f t="shared" si="137"/>
        <v>0.99715359216677402</v>
      </c>
    </row>
    <row r="8760" spans="13:15" x14ac:dyDescent="0.3">
      <c r="M8760" s="35">
        <v>241.56</v>
      </c>
      <c r="N8760">
        <v>305</v>
      </c>
      <c r="O8760" s="34">
        <f t="shared" si="137"/>
        <v>0.99726744848010662</v>
      </c>
    </row>
    <row r="8761" spans="13:15" x14ac:dyDescent="0.3">
      <c r="M8761" s="35">
        <v>249.87</v>
      </c>
      <c r="N8761">
        <v>305</v>
      </c>
      <c r="O8761" s="34">
        <f t="shared" si="137"/>
        <v>0.99738130479343923</v>
      </c>
    </row>
    <row r="8762" spans="13:15" x14ac:dyDescent="0.3">
      <c r="M8762" s="35">
        <v>253.6</v>
      </c>
      <c r="N8762">
        <v>305</v>
      </c>
      <c r="O8762" s="34">
        <f t="shared" si="137"/>
        <v>0.99749516110677183</v>
      </c>
    </row>
    <row r="8763" spans="13:15" x14ac:dyDescent="0.3">
      <c r="M8763" s="35">
        <v>254.39</v>
      </c>
      <c r="N8763">
        <v>305</v>
      </c>
      <c r="O8763" s="34">
        <f t="shared" si="137"/>
        <v>0.99760901742010444</v>
      </c>
    </row>
    <row r="8764" spans="13:15" x14ac:dyDescent="0.3">
      <c r="M8764" s="35">
        <v>255.15</v>
      </c>
      <c r="N8764">
        <v>305</v>
      </c>
      <c r="O8764" s="34">
        <f t="shared" si="137"/>
        <v>0.99772287373343704</v>
      </c>
    </row>
    <row r="8765" spans="13:15" x14ac:dyDescent="0.3">
      <c r="M8765" s="35">
        <v>260.64</v>
      </c>
      <c r="N8765">
        <v>305</v>
      </c>
      <c r="O8765" s="34">
        <f t="shared" si="137"/>
        <v>0.99783673004676965</v>
      </c>
    </row>
    <row r="8766" spans="13:15" x14ac:dyDescent="0.3">
      <c r="M8766" s="35">
        <v>261.23</v>
      </c>
      <c r="N8766">
        <v>305</v>
      </c>
      <c r="O8766" s="34">
        <f t="shared" si="137"/>
        <v>0.99795058636010225</v>
      </c>
    </row>
    <row r="8767" spans="13:15" x14ac:dyDescent="0.3">
      <c r="M8767" s="35">
        <v>261.37</v>
      </c>
      <c r="N8767">
        <v>305</v>
      </c>
      <c r="O8767" s="34">
        <f t="shared" si="137"/>
        <v>0.99806444267343486</v>
      </c>
    </row>
    <row r="8768" spans="13:15" x14ac:dyDescent="0.3">
      <c r="M8768" s="35">
        <v>262.04000000000002</v>
      </c>
      <c r="N8768">
        <v>305</v>
      </c>
      <c r="O8768" s="34">
        <f t="shared" si="137"/>
        <v>0.99817829898676746</v>
      </c>
    </row>
    <row r="8769" spans="13:15" x14ac:dyDescent="0.3">
      <c r="M8769" s="35">
        <v>265.76</v>
      </c>
      <c r="N8769">
        <v>305</v>
      </c>
      <c r="O8769" s="34">
        <f t="shared" si="137"/>
        <v>0.99829215530010007</v>
      </c>
    </row>
    <row r="8770" spans="13:15" x14ac:dyDescent="0.3">
      <c r="M8770" s="35">
        <v>266.45999999999998</v>
      </c>
      <c r="N8770">
        <v>305</v>
      </c>
      <c r="O8770" s="34">
        <f t="shared" si="137"/>
        <v>0.99840601161343268</v>
      </c>
    </row>
    <row r="8771" spans="13:15" x14ac:dyDescent="0.3">
      <c r="M8771" s="35">
        <v>267.42</v>
      </c>
      <c r="N8771">
        <v>305</v>
      </c>
      <c r="O8771" s="34">
        <f t="shared" si="137"/>
        <v>0.99851986792676528</v>
      </c>
    </row>
    <row r="8772" spans="13:15" x14ac:dyDescent="0.3">
      <c r="M8772" s="35">
        <v>284.48</v>
      </c>
      <c r="N8772">
        <v>305</v>
      </c>
      <c r="O8772" s="34">
        <f t="shared" ref="O8772:O8784" si="138">O8771+O$2</f>
        <v>0.99863372424009789</v>
      </c>
    </row>
    <row r="8773" spans="13:15" x14ac:dyDescent="0.3">
      <c r="M8773" s="35">
        <v>285.49</v>
      </c>
      <c r="N8773">
        <v>305</v>
      </c>
      <c r="O8773" s="34">
        <f t="shared" si="138"/>
        <v>0.99874758055343049</v>
      </c>
    </row>
    <row r="8774" spans="13:15" x14ac:dyDescent="0.3">
      <c r="M8774" s="35">
        <v>289.02</v>
      </c>
      <c r="N8774">
        <v>305</v>
      </c>
      <c r="O8774" s="34">
        <f t="shared" si="138"/>
        <v>0.9988614368667631</v>
      </c>
    </row>
    <row r="8775" spans="13:15" x14ac:dyDescent="0.3">
      <c r="M8775" s="35">
        <v>307.33</v>
      </c>
      <c r="N8775">
        <v>305</v>
      </c>
      <c r="O8775" s="34">
        <f t="shared" si="138"/>
        <v>0.9989752931800957</v>
      </c>
    </row>
    <row r="8776" spans="13:15" x14ac:dyDescent="0.3">
      <c r="M8776" s="35">
        <v>313.95999999999998</v>
      </c>
      <c r="N8776">
        <v>305</v>
      </c>
      <c r="O8776" s="34">
        <f t="shared" si="138"/>
        <v>0.99908914949342831</v>
      </c>
    </row>
    <row r="8777" spans="13:15" x14ac:dyDescent="0.3">
      <c r="M8777" s="35">
        <v>342.26</v>
      </c>
      <c r="N8777">
        <v>305</v>
      </c>
      <c r="O8777" s="34">
        <f t="shared" si="138"/>
        <v>0.99920300580676091</v>
      </c>
    </row>
    <row r="8778" spans="13:15" x14ac:dyDescent="0.3">
      <c r="M8778" s="35">
        <v>386.39</v>
      </c>
      <c r="N8778">
        <v>305</v>
      </c>
      <c r="O8778" s="34">
        <f t="shared" si="138"/>
        <v>0.99931686212009352</v>
      </c>
    </row>
    <row r="8779" spans="13:15" x14ac:dyDescent="0.3">
      <c r="M8779" s="35">
        <v>432.72</v>
      </c>
      <c r="N8779">
        <v>305</v>
      </c>
      <c r="O8779" s="34">
        <f t="shared" si="138"/>
        <v>0.99943071843342612</v>
      </c>
    </row>
    <row r="8780" spans="13:15" x14ac:dyDescent="0.3">
      <c r="M8780" s="35">
        <v>513.45000000000005</v>
      </c>
      <c r="N8780">
        <v>305</v>
      </c>
      <c r="O8780" s="34">
        <f t="shared" si="138"/>
        <v>0.99954457474675873</v>
      </c>
    </row>
    <row r="8781" spans="13:15" x14ac:dyDescent="0.3">
      <c r="M8781" s="35">
        <v>683.56</v>
      </c>
      <c r="N8781">
        <v>305</v>
      </c>
      <c r="O8781" s="34">
        <f t="shared" si="138"/>
        <v>0.99965843106009133</v>
      </c>
    </row>
    <row r="8782" spans="13:15" x14ac:dyDescent="0.3">
      <c r="M8782" s="35">
        <v>771.25</v>
      </c>
      <c r="N8782">
        <v>305</v>
      </c>
      <c r="O8782" s="34">
        <f t="shared" si="138"/>
        <v>0.99977228737342394</v>
      </c>
    </row>
    <row r="8783" spans="13:15" x14ac:dyDescent="0.3">
      <c r="M8783" s="35">
        <v>1137.68</v>
      </c>
      <c r="N8783">
        <v>305</v>
      </c>
      <c r="O8783" s="34">
        <f t="shared" si="138"/>
        <v>0.99988614368675655</v>
      </c>
    </row>
    <row r="8784" spans="13:15" x14ac:dyDescent="0.3">
      <c r="M8784" s="35">
        <v>2173.15</v>
      </c>
      <c r="N8784">
        <v>305</v>
      </c>
      <c r="O8784" s="34">
        <f t="shared" si="138"/>
        <v>1.000000000000089</v>
      </c>
    </row>
    <row r="8785" spans="13:15" x14ac:dyDescent="0.3">
      <c r="M8785" s="35">
        <v>2173.15</v>
      </c>
      <c r="N8785">
        <v>305</v>
      </c>
      <c r="O8785" s="3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691B2-3BF9-47DA-A244-29DDF4DA13E7}">
  <dimension ref="A1:N28"/>
  <sheetViews>
    <sheetView workbookViewId="0">
      <selection activeCell="J3" sqref="J3:N28"/>
    </sheetView>
  </sheetViews>
  <sheetFormatPr defaultRowHeight="14.4" x14ac:dyDescent="0.3"/>
  <sheetData>
    <row r="1" spans="1:14" x14ac:dyDescent="0.3">
      <c r="F1" t="s">
        <v>202</v>
      </c>
      <c r="J1" t="s">
        <v>218</v>
      </c>
      <c r="L1">
        <v>2173.15</v>
      </c>
      <c r="M1">
        <v>57</v>
      </c>
    </row>
    <row r="2" spans="1:14" x14ac:dyDescent="0.3">
      <c r="A2" t="s">
        <v>199</v>
      </c>
      <c r="B2" t="s">
        <v>200</v>
      </c>
      <c r="C2" t="s">
        <v>211</v>
      </c>
      <c r="D2" t="s">
        <v>212</v>
      </c>
      <c r="E2" t="s">
        <v>201</v>
      </c>
      <c r="F2" t="s">
        <v>203</v>
      </c>
      <c r="G2" t="s">
        <v>204</v>
      </c>
    </row>
    <row r="3" spans="1:14" x14ac:dyDescent="0.3">
      <c r="A3">
        <v>0</v>
      </c>
      <c r="B3">
        <v>54.15</v>
      </c>
      <c r="C3">
        <v>34</v>
      </c>
      <c r="D3">
        <v>38</v>
      </c>
      <c r="E3">
        <v>0</v>
      </c>
      <c r="F3" s="3">
        <v>0</v>
      </c>
      <c r="G3" s="3">
        <v>0</v>
      </c>
      <c r="J3" t="s">
        <v>199</v>
      </c>
      <c r="K3" t="s">
        <v>200</v>
      </c>
      <c r="L3" t="s">
        <v>211</v>
      </c>
      <c r="M3" t="s">
        <v>212</v>
      </c>
      <c r="N3" t="s">
        <v>201</v>
      </c>
    </row>
    <row r="4" spans="1:14" x14ac:dyDescent="0.3">
      <c r="A4">
        <v>1</v>
      </c>
      <c r="B4">
        <v>33.5</v>
      </c>
      <c r="C4">
        <v>32</v>
      </c>
      <c r="D4">
        <v>38</v>
      </c>
      <c r="E4">
        <v>0</v>
      </c>
      <c r="F4" s="3">
        <v>0</v>
      </c>
      <c r="G4" s="3">
        <v>0</v>
      </c>
      <c r="J4">
        <v>0</v>
      </c>
      <c r="K4" s="20">
        <f>B3/L$1</f>
        <v>2.4917746128891239E-2</v>
      </c>
      <c r="L4" s="20">
        <f>C3/M$1</f>
        <v>0.59649122807017541</v>
      </c>
      <c r="M4" s="20">
        <f>D3/M$1</f>
        <v>0.66666666666666663</v>
      </c>
      <c r="N4">
        <v>0</v>
      </c>
    </row>
    <row r="5" spans="1:14" x14ac:dyDescent="0.3">
      <c r="A5">
        <v>2</v>
      </c>
      <c r="B5">
        <v>31.46</v>
      </c>
      <c r="C5">
        <v>31</v>
      </c>
      <c r="D5">
        <v>35</v>
      </c>
      <c r="E5">
        <v>0</v>
      </c>
      <c r="F5" s="3">
        <v>0</v>
      </c>
      <c r="G5" s="3">
        <v>0</v>
      </c>
      <c r="J5">
        <v>1</v>
      </c>
      <c r="K5" s="20">
        <f t="shared" ref="K5:K28" si="0">B4/L$1</f>
        <v>1.5415410809194027E-2</v>
      </c>
      <c r="L5" s="20">
        <f t="shared" ref="L5:L28" si="1">C4/M$1</f>
        <v>0.56140350877192979</v>
      </c>
      <c r="M5" s="20">
        <f t="shared" ref="M5:M28" si="2">D4/M$1</f>
        <v>0.66666666666666663</v>
      </c>
      <c r="N5">
        <v>0</v>
      </c>
    </row>
    <row r="6" spans="1:14" x14ac:dyDescent="0.3">
      <c r="A6">
        <v>3</v>
      </c>
      <c r="B6">
        <v>31.8</v>
      </c>
      <c r="C6">
        <v>30</v>
      </c>
      <c r="D6">
        <v>33</v>
      </c>
      <c r="E6">
        <v>0</v>
      </c>
      <c r="F6" s="3">
        <v>0</v>
      </c>
      <c r="G6" s="3">
        <v>0</v>
      </c>
      <c r="J6">
        <v>2</v>
      </c>
      <c r="K6" s="20">
        <f t="shared" si="0"/>
        <v>1.4476681315141614E-2</v>
      </c>
      <c r="L6" s="20">
        <f t="shared" si="1"/>
        <v>0.54385964912280704</v>
      </c>
      <c r="M6" s="20">
        <f t="shared" si="2"/>
        <v>0.61403508771929827</v>
      </c>
      <c r="N6">
        <v>0</v>
      </c>
    </row>
    <row r="7" spans="1:14" x14ac:dyDescent="0.3">
      <c r="A7">
        <v>4</v>
      </c>
      <c r="B7">
        <v>34.94</v>
      </c>
      <c r="C7">
        <v>30</v>
      </c>
      <c r="D7">
        <v>32</v>
      </c>
      <c r="E7">
        <v>0</v>
      </c>
      <c r="F7" s="3">
        <v>0</v>
      </c>
      <c r="G7" s="3">
        <v>0</v>
      </c>
      <c r="J7">
        <v>3</v>
      </c>
      <c r="K7" s="20">
        <f t="shared" si="0"/>
        <v>1.4633136230817016E-2</v>
      </c>
      <c r="L7" s="20">
        <f t="shared" si="1"/>
        <v>0.52631578947368418</v>
      </c>
      <c r="M7" s="20">
        <f t="shared" si="2"/>
        <v>0.57894736842105265</v>
      </c>
      <c r="N7">
        <v>0</v>
      </c>
    </row>
    <row r="8" spans="1:14" x14ac:dyDescent="0.3">
      <c r="A8">
        <v>5</v>
      </c>
      <c r="B8">
        <v>30.88</v>
      </c>
      <c r="C8">
        <v>29</v>
      </c>
      <c r="D8">
        <v>32</v>
      </c>
      <c r="E8">
        <v>0</v>
      </c>
      <c r="F8" s="3">
        <v>0</v>
      </c>
      <c r="G8" s="3">
        <v>0</v>
      </c>
      <c r="J8">
        <v>4</v>
      </c>
      <c r="K8" s="20">
        <f t="shared" si="0"/>
        <v>1.6078043393231021E-2</v>
      </c>
      <c r="L8" s="20">
        <f t="shared" si="1"/>
        <v>0.52631578947368418</v>
      </c>
      <c r="M8" s="20">
        <f t="shared" si="2"/>
        <v>0.56140350877192979</v>
      </c>
      <c r="N8">
        <v>0</v>
      </c>
    </row>
    <row r="9" spans="1:14" x14ac:dyDescent="0.3">
      <c r="A9">
        <v>6</v>
      </c>
      <c r="B9">
        <v>41.91</v>
      </c>
      <c r="C9">
        <v>31</v>
      </c>
      <c r="D9">
        <v>32</v>
      </c>
      <c r="E9">
        <v>0</v>
      </c>
      <c r="F9" s="3">
        <v>0</v>
      </c>
      <c r="G9" s="3">
        <v>0</v>
      </c>
      <c r="J9">
        <v>5</v>
      </c>
      <c r="K9" s="20">
        <f t="shared" si="0"/>
        <v>1.4209787635460045E-2</v>
      </c>
      <c r="L9" s="20">
        <f t="shared" si="1"/>
        <v>0.50877192982456143</v>
      </c>
      <c r="M9" s="20">
        <f t="shared" si="2"/>
        <v>0.56140350877192979</v>
      </c>
      <c r="N9">
        <v>0</v>
      </c>
    </row>
    <row r="10" spans="1:14" x14ac:dyDescent="0.3">
      <c r="A10">
        <v>7</v>
      </c>
      <c r="B10">
        <v>53.33</v>
      </c>
      <c r="C10">
        <v>35</v>
      </c>
      <c r="D10">
        <v>36</v>
      </c>
      <c r="E10">
        <v>0</v>
      </c>
      <c r="F10" s="3">
        <v>0</v>
      </c>
      <c r="G10" s="3">
        <v>0</v>
      </c>
      <c r="J10">
        <v>6</v>
      </c>
      <c r="K10" s="20">
        <f t="shared" si="0"/>
        <v>1.9285369164576766E-2</v>
      </c>
      <c r="L10" s="20">
        <f t="shared" si="1"/>
        <v>0.54385964912280704</v>
      </c>
      <c r="M10" s="20">
        <f t="shared" si="2"/>
        <v>0.56140350877192979</v>
      </c>
      <c r="N10">
        <v>0</v>
      </c>
    </row>
    <row r="11" spans="1:14" x14ac:dyDescent="0.3">
      <c r="A11">
        <v>8</v>
      </c>
      <c r="B11">
        <v>44.61</v>
      </c>
      <c r="C11">
        <v>37</v>
      </c>
      <c r="D11">
        <v>41</v>
      </c>
      <c r="E11">
        <v>0</v>
      </c>
      <c r="F11" s="3">
        <v>0</v>
      </c>
      <c r="G11" s="3">
        <v>0</v>
      </c>
      <c r="J11">
        <v>7</v>
      </c>
      <c r="K11" s="20">
        <f t="shared" si="0"/>
        <v>2.4540413685203506E-2</v>
      </c>
      <c r="L11" s="20">
        <f t="shared" si="1"/>
        <v>0.61403508771929827</v>
      </c>
      <c r="M11" s="20">
        <f t="shared" si="2"/>
        <v>0.63157894736842102</v>
      </c>
      <c r="N11">
        <v>0</v>
      </c>
    </row>
    <row r="12" spans="1:14" x14ac:dyDescent="0.3">
      <c r="A12">
        <v>9</v>
      </c>
      <c r="B12">
        <v>48.83</v>
      </c>
      <c r="C12">
        <v>41</v>
      </c>
      <c r="D12">
        <v>45</v>
      </c>
      <c r="E12">
        <v>0</v>
      </c>
      <c r="F12" s="3">
        <v>0</v>
      </c>
      <c r="G12" s="3">
        <v>0</v>
      </c>
      <c r="J12">
        <v>8</v>
      </c>
      <c r="K12" s="20">
        <f t="shared" si="0"/>
        <v>2.0527805259646134E-2</v>
      </c>
      <c r="L12" s="20">
        <f t="shared" si="1"/>
        <v>0.64912280701754388</v>
      </c>
      <c r="M12" s="20">
        <f t="shared" si="2"/>
        <v>0.7192982456140351</v>
      </c>
      <c r="N12">
        <v>0</v>
      </c>
    </row>
    <row r="13" spans="1:14" x14ac:dyDescent="0.3">
      <c r="A13">
        <v>10</v>
      </c>
      <c r="B13">
        <v>39.33</v>
      </c>
      <c r="C13">
        <v>43</v>
      </c>
      <c r="D13">
        <v>46</v>
      </c>
      <c r="E13">
        <v>0</v>
      </c>
      <c r="F13" s="3">
        <v>0</v>
      </c>
      <c r="G13" s="3">
        <v>0</v>
      </c>
      <c r="J13">
        <v>9</v>
      </c>
      <c r="K13" s="20">
        <f t="shared" si="0"/>
        <v>2.2469686860087889E-2</v>
      </c>
      <c r="L13" s="20">
        <f t="shared" si="1"/>
        <v>0.7192982456140351</v>
      </c>
      <c r="M13" s="20">
        <f t="shared" si="2"/>
        <v>0.78947368421052633</v>
      </c>
      <c r="N13">
        <v>0</v>
      </c>
    </row>
    <row r="14" spans="1:14" x14ac:dyDescent="0.3">
      <c r="A14">
        <v>11</v>
      </c>
      <c r="B14">
        <v>59.71</v>
      </c>
      <c r="C14">
        <v>45</v>
      </c>
      <c r="D14">
        <v>47</v>
      </c>
      <c r="E14">
        <v>0</v>
      </c>
      <c r="F14" s="3">
        <v>0</v>
      </c>
      <c r="G14" s="3">
        <v>0</v>
      </c>
      <c r="J14">
        <v>10</v>
      </c>
      <c r="K14" s="20">
        <f t="shared" si="0"/>
        <v>1.8098152451510478E-2</v>
      </c>
      <c r="L14" s="20">
        <f t="shared" si="1"/>
        <v>0.75438596491228072</v>
      </c>
      <c r="M14" s="20">
        <f t="shared" si="2"/>
        <v>0.80701754385964908</v>
      </c>
      <c r="N14">
        <v>0</v>
      </c>
    </row>
    <row r="15" spans="1:14" x14ac:dyDescent="0.3">
      <c r="A15">
        <v>12</v>
      </c>
      <c r="B15">
        <v>109.72</v>
      </c>
      <c r="C15">
        <v>46</v>
      </c>
      <c r="D15">
        <v>49</v>
      </c>
      <c r="E15">
        <v>0</v>
      </c>
      <c r="F15" s="3">
        <v>0.833569</v>
      </c>
      <c r="G15" s="3">
        <v>3.6439678460090399E-2</v>
      </c>
      <c r="J15">
        <v>11</v>
      </c>
      <c r="K15" s="20">
        <f t="shared" si="0"/>
        <v>2.7476244161700757E-2</v>
      </c>
      <c r="L15" s="20">
        <f t="shared" si="1"/>
        <v>0.78947368421052633</v>
      </c>
      <c r="M15" s="20">
        <f t="shared" si="2"/>
        <v>0.82456140350877194</v>
      </c>
      <c r="N15">
        <v>0</v>
      </c>
    </row>
    <row r="16" spans="1:14" x14ac:dyDescent="0.3">
      <c r="A16">
        <v>13</v>
      </c>
      <c r="B16">
        <v>75.17</v>
      </c>
      <c r="C16">
        <v>46</v>
      </c>
      <c r="D16">
        <v>50</v>
      </c>
      <c r="E16">
        <v>0</v>
      </c>
      <c r="F16" s="3">
        <v>0</v>
      </c>
      <c r="G16" s="3">
        <v>0</v>
      </c>
      <c r="J16">
        <v>12</v>
      </c>
      <c r="K16" s="20">
        <f t="shared" si="0"/>
        <v>5.0488921611485632E-2</v>
      </c>
      <c r="L16" s="20">
        <f t="shared" si="1"/>
        <v>0.80701754385964908</v>
      </c>
      <c r="M16" s="20">
        <f t="shared" si="2"/>
        <v>0.85964912280701755</v>
      </c>
      <c r="N16">
        <v>0</v>
      </c>
    </row>
    <row r="17" spans="1:14" x14ac:dyDescent="0.3">
      <c r="A17">
        <v>14</v>
      </c>
      <c r="B17">
        <v>81.96</v>
      </c>
      <c r="C17">
        <v>47</v>
      </c>
      <c r="D17">
        <v>51</v>
      </c>
      <c r="E17">
        <v>0</v>
      </c>
      <c r="F17" s="3">
        <v>0</v>
      </c>
      <c r="G17" s="3">
        <v>0</v>
      </c>
      <c r="J17">
        <v>13</v>
      </c>
      <c r="K17" s="20">
        <f t="shared" si="0"/>
        <v>3.4590341209764626E-2</v>
      </c>
      <c r="L17" s="20">
        <f t="shared" si="1"/>
        <v>0.80701754385964908</v>
      </c>
      <c r="M17" s="20">
        <f t="shared" si="2"/>
        <v>0.8771929824561403</v>
      </c>
      <c r="N17">
        <v>0</v>
      </c>
    </row>
    <row r="18" spans="1:14" x14ac:dyDescent="0.3">
      <c r="A18">
        <v>15</v>
      </c>
      <c r="B18">
        <v>94.78</v>
      </c>
      <c r="C18">
        <v>49</v>
      </c>
      <c r="D18">
        <v>53</v>
      </c>
      <c r="E18">
        <v>0</v>
      </c>
      <c r="F18" s="3">
        <v>0</v>
      </c>
      <c r="G18" s="3">
        <v>0</v>
      </c>
      <c r="J18">
        <v>14</v>
      </c>
      <c r="K18" s="20">
        <f t="shared" si="0"/>
        <v>3.7714837908105737E-2</v>
      </c>
      <c r="L18" s="20">
        <f t="shared" si="1"/>
        <v>0.82456140350877194</v>
      </c>
      <c r="M18" s="20">
        <f t="shared" si="2"/>
        <v>0.89473684210526316</v>
      </c>
      <c r="N18">
        <v>0</v>
      </c>
    </row>
    <row r="19" spans="1:14" x14ac:dyDescent="0.3">
      <c r="A19">
        <v>16</v>
      </c>
      <c r="B19">
        <v>260.64</v>
      </c>
      <c r="C19">
        <v>51</v>
      </c>
      <c r="D19">
        <v>54</v>
      </c>
      <c r="E19">
        <v>0</v>
      </c>
      <c r="F19" s="3">
        <v>1</v>
      </c>
      <c r="G19" s="3">
        <v>1</v>
      </c>
      <c r="J19">
        <v>15</v>
      </c>
      <c r="K19" s="20">
        <f t="shared" si="0"/>
        <v>4.3614108552101787E-2</v>
      </c>
      <c r="L19" s="20">
        <f t="shared" si="1"/>
        <v>0.85964912280701755</v>
      </c>
      <c r="M19" s="20">
        <f t="shared" si="2"/>
        <v>0.92982456140350878</v>
      </c>
      <c r="N19">
        <v>0</v>
      </c>
    </row>
    <row r="20" spans="1:14" x14ac:dyDescent="0.3">
      <c r="A20">
        <v>17</v>
      </c>
      <c r="B20">
        <v>1137.68</v>
      </c>
      <c r="C20">
        <v>53</v>
      </c>
      <c r="D20">
        <v>57</v>
      </c>
      <c r="E20">
        <v>1</v>
      </c>
      <c r="F20" s="3">
        <v>1</v>
      </c>
      <c r="G20" s="3">
        <v>1</v>
      </c>
      <c r="J20">
        <v>16</v>
      </c>
      <c r="K20" s="20">
        <f t="shared" si="0"/>
        <v>0.11993649771069645</v>
      </c>
      <c r="L20" s="20">
        <f t="shared" si="1"/>
        <v>0.89473684210526316</v>
      </c>
      <c r="M20" s="20">
        <f t="shared" si="2"/>
        <v>0.94736842105263153</v>
      </c>
      <c r="N20">
        <v>0</v>
      </c>
    </row>
    <row r="21" spans="1:14" x14ac:dyDescent="0.3">
      <c r="A21">
        <v>18</v>
      </c>
      <c r="B21">
        <v>2173.15</v>
      </c>
      <c r="C21">
        <v>54</v>
      </c>
      <c r="D21">
        <v>57</v>
      </c>
      <c r="E21">
        <v>1</v>
      </c>
      <c r="F21" s="3">
        <v>1</v>
      </c>
      <c r="G21" s="3">
        <v>1</v>
      </c>
      <c r="J21">
        <v>17</v>
      </c>
      <c r="K21" s="20">
        <f t="shared" si="0"/>
        <v>0.52351655431056299</v>
      </c>
      <c r="L21" s="20">
        <f t="shared" si="1"/>
        <v>0.92982456140350878</v>
      </c>
      <c r="M21" s="20">
        <f t="shared" si="2"/>
        <v>1</v>
      </c>
      <c r="N21">
        <v>1</v>
      </c>
    </row>
    <row r="22" spans="1:14" x14ac:dyDescent="0.3">
      <c r="A22">
        <v>19</v>
      </c>
      <c r="B22">
        <v>683.56</v>
      </c>
      <c r="C22">
        <v>53</v>
      </c>
      <c r="D22">
        <v>55</v>
      </c>
      <c r="E22">
        <v>1</v>
      </c>
      <c r="F22" s="3">
        <v>1</v>
      </c>
      <c r="G22" s="3">
        <v>1</v>
      </c>
      <c r="J22">
        <v>18</v>
      </c>
      <c r="K22" s="20">
        <f t="shared" si="0"/>
        <v>1</v>
      </c>
      <c r="L22" s="20">
        <f t="shared" si="1"/>
        <v>0.94736842105263153</v>
      </c>
      <c r="M22" s="20">
        <f t="shared" si="2"/>
        <v>1</v>
      </c>
      <c r="N22">
        <v>1</v>
      </c>
    </row>
    <row r="23" spans="1:14" x14ac:dyDescent="0.3">
      <c r="A23">
        <v>20</v>
      </c>
      <c r="B23">
        <v>307.33</v>
      </c>
      <c r="C23">
        <v>49</v>
      </c>
      <c r="D23">
        <v>53</v>
      </c>
      <c r="E23">
        <v>0</v>
      </c>
      <c r="F23" s="3">
        <v>1</v>
      </c>
      <c r="G23" s="3">
        <v>1</v>
      </c>
      <c r="J23">
        <v>19</v>
      </c>
      <c r="K23" s="20">
        <f t="shared" si="0"/>
        <v>0.31454800635022889</v>
      </c>
      <c r="L23" s="20">
        <f t="shared" si="1"/>
        <v>0.92982456140350878</v>
      </c>
      <c r="M23" s="20">
        <f t="shared" si="2"/>
        <v>0.96491228070175439</v>
      </c>
      <c r="N23">
        <v>1</v>
      </c>
    </row>
    <row r="24" spans="1:14" x14ac:dyDescent="0.3">
      <c r="A24">
        <v>21</v>
      </c>
      <c r="B24">
        <v>200.58</v>
      </c>
      <c r="C24">
        <v>48</v>
      </c>
      <c r="D24">
        <v>51</v>
      </c>
      <c r="E24">
        <v>0</v>
      </c>
      <c r="F24" s="3">
        <v>1</v>
      </c>
      <c r="G24" s="3">
        <v>0.87291445081157004</v>
      </c>
      <c r="J24">
        <v>20</v>
      </c>
      <c r="K24" s="20">
        <f t="shared" si="0"/>
        <v>0.14142143892506268</v>
      </c>
      <c r="L24" s="20">
        <f t="shared" si="1"/>
        <v>0.85964912280701755</v>
      </c>
      <c r="M24" s="20">
        <f t="shared" si="2"/>
        <v>0.92982456140350878</v>
      </c>
      <c r="N24">
        <v>0</v>
      </c>
    </row>
    <row r="25" spans="1:14" x14ac:dyDescent="0.3">
      <c r="A25">
        <v>22</v>
      </c>
      <c r="B25">
        <v>95.77</v>
      </c>
      <c r="C25">
        <v>45</v>
      </c>
      <c r="D25">
        <v>48</v>
      </c>
      <c r="E25">
        <v>0</v>
      </c>
      <c r="F25" s="3">
        <v>0</v>
      </c>
      <c r="G25" s="3">
        <v>0</v>
      </c>
      <c r="J25">
        <v>21</v>
      </c>
      <c r="K25" s="20">
        <f t="shared" si="0"/>
        <v>9.2299197018153367E-2</v>
      </c>
      <c r="L25" s="20">
        <f t="shared" si="1"/>
        <v>0.84210526315789469</v>
      </c>
      <c r="M25" s="20">
        <f t="shared" si="2"/>
        <v>0.89473684210526316</v>
      </c>
      <c r="N25">
        <v>0</v>
      </c>
    </row>
    <row r="26" spans="1:14" x14ac:dyDescent="0.3">
      <c r="A26">
        <v>23</v>
      </c>
      <c r="B26">
        <v>42.65</v>
      </c>
      <c r="C26">
        <v>40</v>
      </c>
      <c r="D26">
        <v>45</v>
      </c>
      <c r="E26">
        <v>0</v>
      </c>
      <c r="F26" s="3">
        <v>0</v>
      </c>
      <c r="G26" s="3">
        <v>0</v>
      </c>
      <c r="J26">
        <v>22</v>
      </c>
      <c r="K26" s="20">
        <f t="shared" si="0"/>
        <v>4.4069668453627218E-2</v>
      </c>
      <c r="L26" s="20">
        <f t="shared" si="1"/>
        <v>0.78947368421052633</v>
      </c>
      <c r="M26" s="20">
        <f t="shared" si="2"/>
        <v>0.84210526315789469</v>
      </c>
      <c r="N26">
        <v>0</v>
      </c>
    </row>
    <row r="27" spans="1:14" x14ac:dyDescent="0.3">
      <c r="A27">
        <v>24</v>
      </c>
      <c r="B27">
        <v>42.65</v>
      </c>
      <c r="C27">
        <v>40</v>
      </c>
      <c r="D27">
        <v>45</v>
      </c>
      <c r="E27">
        <v>0</v>
      </c>
      <c r="F27" s="3">
        <v>0</v>
      </c>
      <c r="G27" s="3">
        <v>0</v>
      </c>
      <c r="J27">
        <v>23</v>
      </c>
      <c r="K27" s="20">
        <f t="shared" si="0"/>
        <v>1.9625888686929112E-2</v>
      </c>
      <c r="L27" s="20">
        <f t="shared" si="1"/>
        <v>0.70175438596491224</v>
      </c>
      <c r="M27" s="20">
        <f t="shared" si="2"/>
        <v>0.78947368421052633</v>
      </c>
      <c r="N27">
        <v>0</v>
      </c>
    </row>
    <row r="28" spans="1:14" x14ac:dyDescent="0.3">
      <c r="J28">
        <v>24</v>
      </c>
      <c r="K28" s="20">
        <f t="shared" si="0"/>
        <v>1.9625888686929112E-2</v>
      </c>
      <c r="L28" s="20">
        <f t="shared" si="1"/>
        <v>0.70175438596491224</v>
      </c>
      <c r="M28" s="20">
        <f t="shared" si="2"/>
        <v>0.78947368421052633</v>
      </c>
      <c r="N2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6EEF7-6014-4C65-9B29-B60964C90299}">
  <dimension ref="A1:N28"/>
  <sheetViews>
    <sheetView workbookViewId="0">
      <selection activeCell="B20" sqref="B20"/>
    </sheetView>
  </sheetViews>
  <sheetFormatPr defaultRowHeight="14.4" x14ac:dyDescent="0.3"/>
  <sheetData>
    <row r="1" spans="1:14" x14ac:dyDescent="0.3">
      <c r="A1" t="s">
        <v>199</v>
      </c>
      <c r="B1" t="s">
        <v>200</v>
      </c>
      <c r="C1" t="s">
        <v>211</v>
      </c>
      <c r="D1" t="s">
        <v>212</v>
      </c>
      <c r="E1" t="s">
        <v>201</v>
      </c>
      <c r="F1" t="s">
        <v>108</v>
      </c>
      <c r="G1" t="s">
        <v>109</v>
      </c>
      <c r="J1" t="s">
        <v>218</v>
      </c>
      <c r="L1">
        <v>2173.15</v>
      </c>
      <c r="M1">
        <v>57</v>
      </c>
    </row>
    <row r="2" spans="1:14" x14ac:dyDescent="0.3">
      <c r="A2">
        <v>0</v>
      </c>
      <c r="B2">
        <v>35.11</v>
      </c>
      <c r="C2">
        <v>21</v>
      </c>
      <c r="D2">
        <v>38</v>
      </c>
      <c r="E2">
        <v>0</v>
      </c>
      <c r="F2">
        <v>0</v>
      </c>
      <c r="G2">
        <v>0</v>
      </c>
    </row>
    <row r="3" spans="1:14" x14ac:dyDescent="0.3">
      <c r="A3">
        <v>1</v>
      </c>
      <c r="B3">
        <v>55.29</v>
      </c>
      <c r="C3">
        <v>20</v>
      </c>
      <c r="D3">
        <v>38</v>
      </c>
      <c r="E3">
        <v>0</v>
      </c>
      <c r="F3">
        <v>0</v>
      </c>
      <c r="G3">
        <v>0</v>
      </c>
      <c r="J3" t="s">
        <v>199</v>
      </c>
      <c r="K3" t="s">
        <v>200</v>
      </c>
      <c r="L3" t="s">
        <v>211</v>
      </c>
      <c r="M3" t="s">
        <v>212</v>
      </c>
      <c r="N3" t="s">
        <v>201</v>
      </c>
    </row>
    <row r="4" spans="1:14" x14ac:dyDescent="0.3">
      <c r="A4">
        <v>2</v>
      </c>
      <c r="B4">
        <v>31.77</v>
      </c>
      <c r="C4">
        <v>19</v>
      </c>
      <c r="D4">
        <v>35</v>
      </c>
      <c r="E4">
        <v>0</v>
      </c>
      <c r="F4">
        <v>0</v>
      </c>
      <c r="G4">
        <v>0</v>
      </c>
      <c r="J4">
        <v>0</v>
      </c>
      <c r="K4" s="20">
        <f>B2/L$1</f>
        <v>1.6156270851068723E-2</v>
      </c>
      <c r="L4" s="20">
        <f>C2/M$1</f>
        <v>0.36842105263157893</v>
      </c>
      <c r="M4" s="20">
        <f>D2/M$1</f>
        <v>0.66666666666666663</v>
      </c>
      <c r="N4">
        <v>0</v>
      </c>
    </row>
    <row r="5" spans="1:14" x14ac:dyDescent="0.3">
      <c r="A5">
        <v>3</v>
      </c>
      <c r="B5">
        <v>30.98</v>
      </c>
      <c r="C5">
        <v>19</v>
      </c>
      <c r="D5">
        <v>33</v>
      </c>
      <c r="E5">
        <v>0</v>
      </c>
      <c r="F5">
        <v>0</v>
      </c>
      <c r="G5">
        <v>0</v>
      </c>
      <c r="J5">
        <v>1</v>
      </c>
      <c r="K5" s="20">
        <f t="shared" ref="K5:K28" si="0">B3/L$1</f>
        <v>2.5442330257920528E-2</v>
      </c>
      <c r="L5" s="20">
        <f t="shared" ref="L5:L28" si="1">C3/M$1</f>
        <v>0.35087719298245612</v>
      </c>
      <c r="M5" s="20">
        <f t="shared" ref="M5:M28" si="2">D3/M$1</f>
        <v>0.66666666666666663</v>
      </c>
      <c r="N5">
        <v>0</v>
      </c>
    </row>
    <row r="6" spans="1:14" x14ac:dyDescent="0.3">
      <c r="A6">
        <v>4</v>
      </c>
      <c r="B6">
        <v>30.26</v>
      </c>
      <c r="C6">
        <v>19</v>
      </c>
      <c r="D6">
        <v>32</v>
      </c>
      <c r="E6">
        <v>0</v>
      </c>
      <c r="F6">
        <v>0</v>
      </c>
      <c r="G6">
        <v>0</v>
      </c>
      <c r="J6">
        <v>2</v>
      </c>
      <c r="K6" s="20">
        <f t="shared" si="0"/>
        <v>1.4619331385316245E-2</v>
      </c>
      <c r="L6" s="20">
        <f t="shared" si="1"/>
        <v>0.33333333333333331</v>
      </c>
      <c r="M6" s="20">
        <f t="shared" si="2"/>
        <v>0.61403508771929827</v>
      </c>
      <c r="N6">
        <v>0</v>
      </c>
    </row>
    <row r="7" spans="1:14" x14ac:dyDescent="0.3">
      <c r="A7">
        <v>5</v>
      </c>
      <c r="B7">
        <v>31.91</v>
      </c>
      <c r="C7">
        <v>18</v>
      </c>
      <c r="D7">
        <v>32</v>
      </c>
      <c r="E7">
        <v>0</v>
      </c>
      <c r="F7">
        <v>0</v>
      </c>
      <c r="G7">
        <v>0</v>
      </c>
      <c r="J7">
        <v>3</v>
      </c>
      <c r="K7" s="20">
        <f t="shared" si="0"/>
        <v>1.4255803787129283E-2</v>
      </c>
      <c r="L7" s="20">
        <f t="shared" si="1"/>
        <v>0.33333333333333331</v>
      </c>
      <c r="M7" s="20">
        <f t="shared" si="2"/>
        <v>0.57894736842105265</v>
      </c>
      <c r="N7">
        <v>0</v>
      </c>
    </row>
    <row r="8" spans="1:14" x14ac:dyDescent="0.3">
      <c r="A8">
        <v>6</v>
      </c>
      <c r="B8">
        <v>28.53</v>
      </c>
      <c r="C8">
        <v>19</v>
      </c>
      <c r="D8">
        <v>32</v>
      </c>
      <c r="E8">
        <v>0</v>
      </c>
      <c r="F8">
        <v>0</v>
      </c>
      <c r="G8">
        <v>0</v>
      </c>
      <c r="J8">
        <v>4</v>
      </c>
      <c r="K8" s="20">
        <f t="shared" si="0"/>
        <v>1.3924487495110783E-2</v>
      </c>
      <c r="L8" s="20">
        <f t="shared" si="1"/>
        <v>0.33333333333333331</v>
      </c>
      <c r="M8" s="20">
        <f t="shared" si="2"/>
        <v>0.56140350877192979</v>
      </c>
      <c r="N8">
        <v>0</v>
      </c>
    </row>
    <row r="9" spans="1:14" x14ac:dyDescent="0.3">
      <c r="A9">
        <v>7</v>
      </c>
      <c r="B9">
        <v>28.1</v>
      </c>
      <c r="C9">
        <v>22</v>
      </c>
      <c r="D9">
        <v>36</v>
      </c>
      <c r="E9">
        <v>0</v>
      </c>
      <c r="F9">
        <v>0</v>
      </c>
      <c r="G9">
        <v>0</v>
      </c>
      <c r="J9">
        <v>5</v>
      </c>
      <c r="K9" s="20">
        <f t="shared" si="0"/>
        <v>1.4683753997653176E-2</v>
      </c>
      <c r="L9" s="20">
        <f t="shared" si="1"/>
        <v>0.31578947368421051</v>
      </c>
      <c r="M9" s="20">
        <f t="shared" si="2"/>
        <v>0.56140350877192979</v>
      </c>
      <c r="N9">
        <v>0</v>
      </c>
    </row>
    <row r="10" spans="1:14" x14ac:dyDescent="0.3">
      <c r="A10">
        <v>8</v>
      </c>
      <c r="B10">
        <v>29.16</v>
      </c>
      <c r="C10">
        <v>23</v>
      </c>
      <c r="D10">
        <v>41</v>
      </c>
      <c r="E10">
        <v>0</v>
      </c>
      <c r="F10">
        <v>0</v>
      </c>
      <c r="G10">
        <v>0</v>
      </c>
      <c r="J10">
        <v>6</v>
      </c>
      <c r="K10" s="20">
        <f t="shared" si="0"/>
        <v>1.3128408071233003E-2</v>
      </c>
      <c r="L10" s="20">
        <f t="shared" si="1"/>
        <v>0.33333333333333331</v>
      </c>
      <c r="M10" s="20">
        <f t="shared" si="2"/>
        <v>0.56140350877192979</v>
      </c>
      <c r="N10">
        <v>0</v>
      </c>
    </row>
    <row r="11" spans="1:14" x14ac:dyDescent="0.3">
      <c r="A11">
        <v>9</v>
      </c>
      <c r="B11">
        <v>26.97</v>
      </c>
      <c r="C11">
        <v>26</v>
      </c>
      <c r="D11">
        <v>45</v>
      </c>
      <c r="E11">
        <v>0</v>
      </c>
      <c r="F11">
        <v>0</v>
      </c>
      <c r="G11">
        <v>0</v>
      </c>
      <c r="J11">
        <v>7</v>
      </c>
      <c r="K11" s="20">
        <f t="shared" si="0"/>
        <v>1.2930538619055288E-2</v>
      </c>
      <c r="L11" s="20">
        <f t="shared" si="1"/>
        <v>0.38596491228070173</v>
      </c>
      <c r="M11" s="20">
        <f t="shared" si="2"/>
        <v>0.63157894736842102</v>
      </c>
      <c r="N11">
        <v>0</v>
      </c>
    </row>
    <row r="12" spans="1:14" x14ac:dyDescent="0.3">
      <c r="A12">
        <v>10</v>
      </c>
      <c r="B12">
        <v>35.85</v>
      </c>
      <c r="C12">
        <v>26</v>
      </c>
      <c r="D12">
        <v>46</v>
      </c>
      <c r="E12">
        <v>0</v>
      </c>
      <c r="F12">
        <v>0</v>
      </c>
      <c r="G12">
        <v>0</v>
      </c>
      <c r="J12">
        <v>8</v>
      </c>
      <c r="K12" s="20">
        <f t="shared" si="0"/>
        <v>1.3418309826749188E-2</v>
      </c>
      <c r="L12" s="20">
        <f t="shared" si="1"/>
        <v>0.40350877192982454</v>
      </c>
      <c r="M12" s="20">
        <f t="shared" si="2"/>
        <v>0.7192982456140351</v>
      </c>
      <c r="N12">
        <v>0</v>
      </c>
    </row>
    <row r="13" spans="1:14" x14ac:dyDescent="0.3">
      <c r="A13">
        <v>11</v>
      </c>
      <c r="B13">
        <v>35.17</v>
      </c>
      <c r="C13">
        <v>25</v>
      </c>
      <c r="D13">
        <v>47</v>
      </c>
      <c r="E13">
        <v>0</v>
      </c>
      <c r="F13">
        <v>0</v>
      </c>
      <c r="G13">
        <v>0</v>
      </c>
      <c r="J13">
        <v>9</v>
      </c>
      <c r="K13" s="20">
        <f t="shared" si="0"/>
        <v>1.2410556105192922E-2</v>
      </c>
      <c r="L13" s="20">
        <f t="shared" si="1"/>
        <v>0.45614035087719296</v>
      </c>
      <c r="M13" s="20">
        <f t="shared" si="2"/>
        <v>0.78947368421052633</v>
      </c>
      <c r="N13">
        <v>0</v>
      </c>
    </row>
    <row r="14" spans="1:14" x14ac:dyDescent="0.3">
      <c r="A14">
        <v>12</v>
      </c>
      <c r="B14">
        <v>38.479999999999997</v>
      </c>
      <c r="C14">
        <v>26</v>
      </c>
      <c r="D14">
        <v>49</v>
      </c>
      <c r="E14">
        <v>0</v>
      </c>
      <c r="F14">
        <v>0</v>
      </c>
      <c r="G14">
        <v>0</v>
      </c>
      <c r="J14">
        <v>10</v>
      </c>
      <c r="K14" s="20">
        <f t="shared" si="0"/>
        <v>1.6496790373421069E-2</v>
      </c>
      <c r="L14" s="20">
        <f t="shared" si="1"/>
        <v>0.45614035087719296</v>
      </c>
      <c r="M14" s="20">
        <f t="shared" si="2"/>
        <v>0.80701754385964908</v>
      </c>
      <c r="N14">
        <v>0</v>
      </c>
    </row>
    <row r="15" spans="1:14" x14ac:dyDescent="0.3">
      <c r="A15">
        <v>13</v>
      </c>
      <c r="B15">
        <v>53.92</v>
      </c>
      <c r="C15">
        <v>27</v>
      </c>
      <c r="D15">
        <v>50</v>
      </c>
      <c r="E15">
        <v>0</v>
      </c>
      <c r="F15">
        <v>0</v>
      </c>
      <c r="G15">
        <v>0</v>
      </c>
      <c r="J15">
        <v>11</v>
      </c>
      <c r="K15" s="20">
        <f t="shared" si="0"/>
        <v>1.6183880542070268E-2</v>
      </c>
      <c r="L15" s="20">
        <f t="shared" si="1"/>
        <v>0.43859649122807015</v>
      </c>
      <c r="M15" s="20">
        <f t="shared" si="2"/>
        <v>0.82456140350877194</v>
      </c>
      <c r="N15">
        <v>0</v>
      </c>
    </row>
    <row r="16" spans="1:14" x14ac:dyDescent="0.3">
      <c r="A16">
        <v>14</v>
      </c>
      <c r="B16">
        <v>59.25</v>
      </c>
      <c r="C16">
        <v>27</v>
      </c>
      <c r="D16">
        <v>51</v>
      </c>
      <c r="E16">
        <v>0</v>
      </c>
      <c r="F16">
        <v>0</v>
      </c>
      <c r="G16">
        <v>0</v>
      </c>
      <c r="J16">
        <v>12</v>
      </c>
      <c r="K16" s="20">
        <f t="shared" si="0"/>
        <v>1.7707015162321971E-2</v>
      </c>
      <c r="L16" s="20">
        <f t="shared" si="1"/>
        <v>0.45614035087719296</v>
      </c>
      <c r="M16" s="20">
        <f t="shared" si="2"/>
        <v>0.85964912280701755</v>
      </c>
      <c r="N16">
        <v>0</v>
      </c>
    </row>
    <row r="17" spans="1:14" x14ac:dyDescent="0.3">
      <c r="A17">
        <v>15</v>
      </c>
      <c r="B17">
        <v>124.63</v>
      </c>
      <c r="C17">
        <v>28</v>
      </c>
      <c r="D17">
        <v>53</v>
      </c>
      <c r="E17">
        <v>0</v>
      </c>
      <c r="F17">
        <v>1</v>
      </c>
      <c r="G17">
        <v>1</v>
      </c>
      <c r="J17">
        <v>13</v>
      </c>
      <c r="K17" s="20">
        <f t="shared" si="0"/>
        <v>2.4811908980051998E-2</v>
      </c>
      <c r="L17" s="20">
        <f t="shared" si="1"/>
        <v>0.47368421052631576</v>
      </c>
      <c r="M17" s="20">
        <f t="shared" si="2"/>
        <v>0.8771929824561403</v>
      </c>
      <c r="N17">
        <v>0</v>
      </c>
    </row>
    <row r="18" spans="1:14" x14ac:dyDescent="0.3">
      <c r="A18">
        <v>16</v>
      </c>
      <c r="B18">
        <v>71.14</v>
      </c>
      <c r="C18">
        <v>29</v>
      </c>
      <c r="D18">
        <v>54</v>
      </c>
      <c r="E18">
        <v>0</v>
      </c>
      <c r="F18">
        <v>0</v>
      </c>
      <c r="G18">
        <v>0</v>
      </c>
      <c r="J18">
        <v>14</v>
      </c>
      <c r="K18" s="20">
        <f t="shared" si="0"/>
        <v>2.7264569864022269E-2</v>
      </c>
      <c r="L18" s="20">
        <f t="shared" si="1"/>
        <v>0.47368421052631576</v>
      </c>
      <c r="M18" s="20">
        <f t="shared" si="2"/>
        <v>0.89473684210526316</v>
      </c>
      <c r="N18">
        <v>0</v>
      </c>
    </row>
    <row r="19" spans="1:14" x14ac:dyDescent="0.3">
      <c r="A19">
        <v>17</v>
      </c>
      <c r="B19">
        <v>432.72</v>
      </c>
      <c r="C19">
        <v>32</v>
      </c>
      <c r="D19">
        <v>57</v>
      </c>
      <c r="E19">
        <v>1</v>
      </c>
      <c r="F19">
        <v>1</v>
      </c>
      <c r="G19">
        <v>1</v>
      </c>
      <c r="J19">
        <v>15</v>
      </c>
      <c r="K19" s="20">
        <f t="shared" si="0"/>
        <v>5.7349929825368698E-2</v>
      </c>
      <c r="L19" s="20">
        <f t="shared" si="1"/>
        <v>0.49122807017543857</v>
      </c>
      <c r="M19" s="20">
        <f t="shared" si="2"/>
        <v>0.92982456140350878</v>
      </c>
      <c r="N19">
        <v>0</v>
      </c>
    </row>
    <row r="20" spans="1:14" x14ac:dyDescent="0.3">
      <c r="A20">
        <v>18</v>
      </c>
      <c r="B20">
        <v>771.25</v>
      </c>
      <c r="C20">
        <v>33</v>
      </c>
      <c r="D20">
        <v>57</v>
      </c>
      <c r="E20">
        <v>1</v>
      </c>
      <c r="F20">
        <v>1</v>
      </c>
      <c r="G20">
        <v>1</v>
      </c>
      <c r="J20">
        <v>16</v>
      </c>
      <c r="K20" s="20">
        <f t="shared" si="0"/>
        <v>3.2735890297494422E-2</v>
      </c>
      <c r="L20" s="20">
        <f t="shared" si="1"/>
        <v>0.50877192982456143</v>
      </c>
      <c r="M20" s="20">
        <f t="shared" si="2"/>
        <v>0.94736842105263153</v>
      </c>
      <c r="N20">
        <v>0</v>
      </c>
    </row>
    <row r="21" spans="1:14" x14ac:dyDescent="0.3">
      <c r="A21">
        <v>19</v>
      </c>
      <c r="B21">
        <v>255.15</v>
      </c>
      <c r="C21">
        <v>33</v>
      </c>
      <c r="D21">
        <v>55</v>
      </c>
      <c r="E21">
        <v>0</v>
      </c>
      <c r="F21">
        <v>1</v>
      </c>
      <c r="G21">
        <v>1</v>
      </c>
      <c r="J21">
        <v>17</v>
      </c>
      <c r="K21" s="20">
        <f t="shared" si="0"/>
        <v>0.1991210915031176</v>
      </c>
      <c r="L21" s="20">
        <f t="shared" si="1"/>
        <v>0.56140350877192979</v>
      </c>
      <c r="M21" s="20">
        <f t="shared" si="2"/>
        <v>1</v>
      </c>
      <c r="N21">
        <v>1</v>
      </c>
    </row>
    <row r="22" spans="1:14" x14ac:dyDescent="0.3">
      <c r="A22">
        <v>20</v>
      </c>
      <c r="B22">
        <v>192.22</v>
      </c>
      <c r="C22">
        <v>32</v>
      </c>
      <c r="D22">
        <v>53</v>
      </c>
      <c r="E22">
        <v>0</v>
      </c>
      <c r="F22">
        <v>1</v>
      </c>
      <c r="G22">
        <v>1</v>
      </c>
      <c r="J22">
        <v>18</v>
      </c>
      <c r="K22" s="20">
        <f t="shared" si="0"/>
        <v>0.3548995697489819</v>
      </c>
      <c r="L22" s="20">
        <f t="shared" si="1"/>
        <v>0.57894736842105265</v>
      </c>
      <c r="M22" s="20">
        <f t="shared" si="2"/>
        <v>1</v>
      </c>
      <c r="N22">
        <v>1</v>
      </c>
    </row>
    <row r="23" spans="1:14" x14ac:dyDescent="0.3">
      <c r="A23">
        <v>21</v>
      </c>
      <c r="B23">
        <v>127.12</v>
      </c>
      <c r="C23">
        <v>31</v>
      </c>
      <c r="D23">
        <v>51</v>
      </c>
      <c r="E23">
        <v>0</v>
      </c>
      <c r="F23">
        <v>1</v>
      </c>
      <c r="G23">
        <v>1</v>
      </c>
      <c r="J23">
        <v>19</v>
      </c>
      <c r="K23" s="20">
        <f t="shared" si="0"/>
        <v>0.11741021098405541</v>
      </c>
      <c r="L23" s="20">
        <f t="shared" si="1"/>
        <v>0.57894736842105265</v>
      </c>
      <c r="M23" s="20">
        <f t="shared" si="2"/>
        <v>0.96491228070175439</v>
      </c>
      <c r="N23">
        <v>0</v>
      </c>
    </row>
    <row r="24" spans="1:14" x14ac:dyDescent="0.3">
      <c r="A24">
        <v>22</v>
      </c>
      <c r="B24">
        <v>60.32</v>
      </c>
      <c r="C24">
        <v>29</v>
      </c>
      <c r="D24">
        <v>48</v>
      </c>
      <c r="E24">
        <v>0</v>
      </c>
      <c r="F24">
        <v>0</v>
      </c>
      <c r="G24">
        <v>0</v>
      </c>
      <c r="J24">
        <v>20</v>
      </c>
      <c r="K24" s="20">
        <f t="shared" si="0"/>
        <v>8.8452246738605245E-2</v>
      </c>
      <c r="L24" s="20">
        <f t="shared" si="1"/>
        <v>0.56140350877192979</v>
      </c>
      <c r="M24" s="20">
        <f t="shared" si="2"/>
        <v>0.92982456140350878</v>
      </c>
      <c r="N24">
        <v>0</v>
      </c>
    </row>
    <row r="25" spans="1:14" x14ac:dyDescent="0.3">
      <c r="A25">
        <v>23</v>
      </c>
      <c r="B25">
        <v>51.44</v>
      </c>
      <c r="C25">
        <v>25</v>
      </c>
      <c r="D25">
        <v>45</v>
      </c>
      <c r="E25">
        <v>0</v>
      </c>
      <c r="F25">
        <v>0</v>
      </c>
      <c r="G25">
        <v>0</v>
      </c>
      <c r="J25">
        <v>21</v>
      </c>
      <c r="K25" s="20">
        <f t="shared" si="0"/>
        <v>5.8495732001932678E-2</v>
      </c>
      <c r="L25" s="20">
        <f t="shared" si="1"/>
        <v>0.54385964912280704</v>
      </c>
      <c r="M25" s="20">
        <f t="shared" si="2"/>
        <v>0.89473684210526316</v>
      </c>
      <c r="N25">
        <v>0</v>
      </c>
    </row>
    <row r="26" spans="1:14" x14ac:dyDescent="0.3">
      <c r="A26">
        <v>24</v>
      </c>
      <c r="B26">
        <v>51.44</v>
      </c>
      <c r="C26">
        <v>25</v>
      </c>
      <c r="D26">
        <v>45</v>
      </c>
      <c r="E26">
        <v>0</v>
      </c>
      <c r="F26">
        <v>0</v>
      </c>
      <c r="G26">
        <v>0</v>
      </c>
      <c r="J26">
        <v>22</v>
      </c>
      <c r="K26" s="20">
        <f t="shared" si="0"/>
        <v>2.7756942686883095E-2</v>
      </c>
      <c r="L26" s="20">
        <f t="shared" si="1"/>
        <v>0.50877192982456143</v>
      </c>
      <c r="M26" s="20">
        <f t="shared" si="2"/>
        <v>0.84210526315789469</v>
      </c>
      <c r="N26">
        <v>0</v>
      </c>
    </row>
    <row r="27" spans="1:14" x14ac:dyDescent="0.3">
      <c r="J27">
        <v>23</v>
      </c>
      <c r="K27" s="20">
        <f t="shared" si="0"/>
        <v>2.3670708418654946E-2</v>
      </c>
      <c r="L27" s="20">
        <f t="shared" si="1"/>
        <v>0.43859649122807015</v>
      </c>
      <c r="M27" s="20">
        <f t="shared" si="2"/>
        <v>0.78947368421052633</v>
      </c>
      <c r="N27">
        <v>0</v>
      </c>
    </row>
    <row r="28" spans="1:14" x14ac:dyDescent="0.3">
      <c r="J28">
        <v>24</v>
      </c>
      <c r="K28" s="20">
        <f t="shared" si="0"/>
        <v>2.3670708418654946E-2</v>
      </c>
      <c r="L28" s="20">
        <f t="shared" si="1"/>
        <v>0.43859649122807015</v>
      </c>
      <c r="M28" s="20">
        <f t="shared" si="2"/>
        <v>0.78947368421052633</v>
      </c>
      <c r="N2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7D541-8FA1-4A4E-9233-1EE307AD3F42}">
  <dimension ref="A1:M82"/>
  <sheetViews>
    <sheetView workbookViewId="0">
      <selection activeCell="I15" sqref="I15"/>
    </sheetView>
  </sheetViews>
  <sheetFormatPr defaultRowHeight="14.4" x14ac:dyDescent="0.3"/>
  <cols>
    <col min="1" max="1" width="9.33203125" bestFit="1" customWidth="1"/>
  </cols>
  <sheetData>
    <row r="1" spans="1:13" x14ac:dyDescent="0.3">
      <c r="A1" t="s">
        <v>143</v>
      </c>
      <c r="B1" t="s">
        <v>213</v>
      </c>
      <c r="C1" t="s">
        <v>214</v>
      </c>
      <c r="E1" t="s">
        <v>216</v>
      </c>
      <c r="L1" t="s">
        <v>248</v>
      </c>
    </row>
    <row r="2" spans="1:13" x14ac:dyDescent="0.3">
      <c r="A2" s="7">
        <v>2010.5</v>
      </c>
      <c r="B2" s="20">
        <v>4.5</v>
      </c>
      <c r="C2">
        <v>0</v>
      </c>
      <c r="E2" t="s">
        <v>215</v>
      </c>
      <c r="L2" t="s">
        <v>249</v>
      </c>
      <c r="M2" t="s">
        <v>250</v>
      </c>
    </row>
    <row r="3" spans="1:13" x14ac:dyDescent="0.3">
      <c r="A3" s="18">
        <v>2011</v>
      </c>
      <c r="B3" s="20">
        <v>4.5</v>
      </c>
      <c r="C3">
        <v>0</v>
      </c>
      <c r="E3" t="s">
        <v>217</v>
      </c>
      <c r="L3">
        <f xml:space="preserve"> 31 + 28 + 31 + 30 + 31</f>
        <v>151</v>
      </c>
      <c r="M3">
        <f>30 + 31 + 31 + 30 + 31 + 30 +31</f>
        <v>214</v>
      </c>
    </row>
    <row r="4" spans="1:13" x14ac:dyDescent="0.3">
      <c r="A4" s="7">
        <v>2011.5</v>
      </c>
      <c r="B4" s="20">
        <v>3.6</v>
      </c>
      <c r="C4">
        <v>0</v>
      </c>
    </row>
    <row r="5" spans="1:13" x14ac:dyDescent="0.3">
      <c r="A5" s="18">
        <v>2012</v>
      </c>
      <c r="B5" s="20">
        <v>3.6</v>
      </c>
      <c r="C5">
        <v>0</v>
      </c>
    </row>
    <row r="6" spans="1:13" x14ac:dyDescent="0.3">
      <c r="A6" s="7">
        <v>2012.5</v>
      </c>
      <c r="B6" s="20">
        <v>2.9510000000000001</v>
      </c>
      <c r="C6">
        <v>0</v>
      </c>
    </row>
    <row r="7" spans="1:13" x14ac:dyDescent="0.3">
      <c r="A7" s="18">
        <v>2013</v>
      </c>
      <c r="B7" s="20">
        <v>2.9510000000000001</v>
      </c>
      <c r="C7">
        <v>0</v>
      </c>
    </row>
    <row r="8" spans="1:13" x14ac:dyDescent="0.3">
      <c r="A8" s="7">
        <v>2013.5</v>
      </c>
      <c r="B8" s="20">
        <v>2.9510000000000001</v>
      </c>
      <c r="C8">
        <v>0</v>
      </c>
    </row>
    <row r="9" spans="1:13" x14ac:dyDescent="0.3">
      <c r="A9" s="18">
        <v>2014</v>
      </c>
      <c r="B9" s="20">
        <v>2.9510000000000001</v>
      </c>
      <c r="C9">
        <v>0</v>
      </c>
    </row>
    <row r="10" spans="1:13" x14ac:dyDescent="0.3">
      <c r="A10" s="7">
        <v>2014.5</v>
      </c>
      <c r="B10" s="20">
        <v>3.2090000000000001</v>
      </c>
      <c r="C10">
        <v>0</v>
      </c>
    </row>
    <row r="11" spans="1:13" x14ac:dyDescent="0.3">
      <c r="A11" s="18">
        <v>2015</v>
      </c>
      <c r="B11" s="20">
        <v>3.2090000000000001</v>
      </c>
      <c r="C11">
        <v>0</v>
      </c>
    </row>
    <row r="12" spans="1:13" x14ac:dyDescent="0.3">
      <c r="A12" s="7">
        <v>2015.5</v>
      </c>
      <c r="B12" s="20">
        <v>3.4340000000000002</v>
      </c>
      <c r="C12">
        <v>0</v>
      </c>
    </row>
    <row r="13" spans="1:13" x14ac:dyDescent="0.3">
      <c r="A13" s="18">
        <v>2016</v>
      </c>
      <c r="B13" s="20">
        <v>3.4340000000000002</v>
      </c>
      <c r="C13">
        <v>0</v>
      </c>
    </row>
    <row r="14" spans="1:13" x14ac:dyDescent="0.3">
      <c r="A14" s="7">
        <v>2016.5</v>
      </c>
      <c r="B14" s="20">
        <v>3.15</v>
      </c>
      <c r="C14">
        <v>0</v>
      </c>
    </row>
    <row r="15" spans="1:13" x14ac:dyDescent="0.3">
      <c r="A15" s="18">
        <v>2017</v>
      </c>
      <c r="B15" s="20">
        <v>3.15</v>
      </c>
      <c r="C15">
        <v>0</v>
      </c>
    </row>
    <row r="16" spans="1:13" x14ac:dyDescent="0.3">
      <c r="A16" s="7">
        <v>2017.5</v>
      </c>
      <c r="B16" s="20">
        <v>7.0250000000000004</v>
      </c>
      <c r="C16">
        <v>0</v>
      </c>
    </row>
    <row r="17" spans="1:3" x14ac:dyDescent="0.3">
      <c r="A17" s="18">
        <v>2018</v>
      </c>
      <c r="B17" s="20">
        <v>7.0250000000000004</v>
      </c>
      <c r="C17">
        <v>0</v>
      </c>
    </row>
    <row r="18" spans="1:3" x14ac:dyDescent="0.3">
      <c r="A18" s="7">
        <v>2018.5</v>
      </c>
      <c r="B18" s="20">
        <v>11.08</v>
      </c>
      <c r="C18">
        <v>0</v>
      </c>
    </row>
    <row r="19" spans="1:3" x14ac:dyDescent="0.3">
      <c r="A19" s="18">
        <v>2019</v>
      </c>
      <c r="B19" s="20">
        <v>11.08</v>
      </c>
      <c r="C19">
        <v>0</v>
      </c>
    </row>
    <row r="20" spans="1:3" x14ac:dyDescent="0.3">
      <c r="A20" s="7">
        <v>2019.5</v>
      </c>
      <c r="B20" s="20">
        <v>7.03</v>
      </c>
      <c r="C20">
        <v>0</v>
      </c>
    </row>
    <row r="21" spans="1:3" x14ac:dyDescent="0.3">
      <c r="A21" s="18">
        <v>2020</v>
      </c>
      <c r="B21" s="20">
        <v>7.03</v>
      </c>
      <c r="C21">
        <v>0</v>
      </c>
    </row>
    <row r="22" spans="1:3" x14ac:dyDescent="0.3">
      <c r="A22" s="7">
        <v>2020.5</v>
      </c>
      <c r="B22" s="20">
        <v>5.2969999999999997</v>
      </c>
      <c r="C22">
        <v>0</v>
      </c>
    </row>
    <row r="23" spans="1:3" x14ac:dyDescent="0.3">
      <c r="A23" s="18">
        <v>2021</v>
      </c>
      <c r="B23" s="20">
        <v>5.2969999999999997</v>
      </c>
      <c r="C23">
        <v>0</v>
      </c>
    </row>
    <row r="24" spans="1:3" x14ac:dyDescent="0.3">
      <c r="A24" s="7">
        <v>2021.5</v>
      </c>
      <c r="B24" s="20">
        <v>4.6310000000000002</v>
      </c>
      <c r="C24">
        <v>0</v>
      </c>
    </row>
    <row r="25" spans="1:3" x14ac:dyDescent="0.3">
      <c r="A25" s="18">
        <v>2022</v>
      </c>
      <c r="B25" s="20">
        <v>4.6310000000000002</v>
      </c>
      <c r="C25">
        <v>0</v>
      </c>
    </row>
    <row r="26" spans="1:3" x14ac:dyDescent="0.3">
      <c r="A26" s="7">
        <v>2022.5</v>
      </c>
      <c r="B26" s="20">
        <v>3.8</v>
      </c>
      <c r="C26">
        <v>0</v>
      </c>
    </row>
    <row r="27" spans="1:3" x14ac:dyDescent="0.3">
      <c r="A27" s="18">
        <v>2023</v>
      </c>
      <c r="B27" s="20">
        <v>3.8</v>
      </c>
      <c r="C27">
        <v>0</v>
      </c>
    </row>
    <row r="28" spans="1:3" x14ac:dyDescent="0.3">
      <c r="A28" s="7">
        <v>2023.5</v>
      </c>
      <c r="B28" s="20">
        <v>2.0009999999999999</v>
      </c>
      <c r="C28">
        <v>0</v>
      </c>
    </row>
    <row r="29" spans="1:3" x14ac:dyDescent="0.3">
      <c r="A29" s="18">
        <v>2024</v>
      </c>
      <c r="B29" s="20">
        <v>2.0009999999999999</v>
      </c>
      <c r="C29">
        <v>0</v>
      </c>
    </row>
    <row r="30" spans="1:3" x14ac:dyDescent="0.3">
      <c r="A30" s="18">
        <v>2024.5</v>
      </c>
      <c r="B30" s="20">
        <v>3.98</v>
      </c>
      <c r="C30">
        <v>0</v>
      </c>
    </row>
    <row r="31" spans="1:3" x14ac:dyDescent="0.3">
      <c r="A31" s="18">
        <v>2025</v>
      </c>
      <c r="B31" s="20">
        <v>3.98</v>
      </c>
      <c r="C31">
        <v>0</v>
      </c>
    </row>
    <row r="32" spans="1:3" x14ac:dyDescent="0.3">
      <c r="A32" s="18">
        <v>2025.5</v>
      </c>
      <c r="B32" s="20">
        <v>2.6389999999999998</v>
      </c>
      <c r="C32">
        <v>0</v>
      </c>
    </row>
    <row r="33" spans="1:3" x14ac:dyDescent="0.3">
      <c r="A33" s="18">
        <v>2026</v>
      </c>
      <c r="B33" s="20">
        <v>2.6389999999999998</v>
      </c>
      <c r="C33">
        <v>0</v>
      </c>
    </row>
    <row r="34" spans="1:3" x14ac:dyDescent="0.3">
      <c r="A34" s="18">
        <v>2026.5</v>
      </c>
      <c r="B34" s="20">
        <v>2.59</v>
      </c>
      <c r="C34">
        <v>0</v>
      </c>
    </row>
    <row r="35" spans="1:3" x14ac:dyDescent="0.3">
      <c r="A35" s="18">
        <v>2027</v>
      </c>
      <c r="B35" s="20">
        <v>2.59</v>
      </c>
      <c r="C35">
        <v>0</v>
      </c>
    </row>
    <row r="36" spans="1:3" x14ac:dyDescent="0.3">
      <c r="A36" s="18">
        <v>2027.5</v>
      </c>
      <c r="B36" s="20">
        <v>3.58</v>
      </c>
      <c r="C36">
        <v>0</v>
      </c>
    </row>
    <row r="37" spans="1:3" x14ac:dyDescent="0.3">
      <c r="A37" s="18">
        <v>2028</v>
      </c>
      <c r="B37" s="20">
        <v>3.58</v>
      </c>
      <c r="C37">
        <v>0</v>
      </c>
    </row>
    <row r="38" spans="1:3" x14ac:dyDescent="0.3">
      <c r="A38" s="18">
        <v>2028.5</v>
      </c>
      <c r="B38" s="20">
        <f t="shared" ref="B38:B81" si="0">AVERAGE(B$29:B$37)</f>
        <v>3.0643333333333334</v>
      </c>
      <c r="C38">
        <v>1</v>
      </c>
    </row>
    <row r="39" spans="1:3" x14ac:dyDescent="0.3">
      <c r="A39" s="18">
        <v>2029</v>
      </c>
      <c r="B39" s="20">
        <f t="shared" si="0"/>
        <v>3.0643333333333334</v>
      </c>
      <c r="C39">
        <v>1</v>
      </c>
    </row>
    <row r="40" spans="1:3" x14ac:dyDescent="0.3">
      <c r="A40" s="18">
        <v>2029.5</v>
      </c>
      <c r="B40" s="20">
        <f t="shared" si="0"/>
        <v>3.0643333333333334</v>
      </c>
      <c r="C40">
        <v>1</v>
      </c>
    </row>
    <row r="41" spans="1:3" x14ac:dyDescent="0.3">
      <c r="A41" s="18">
        <v>2030</v>
      </c>
      <c r="B41" s="20">
        <f t="shared" si="0"/>
        <v>3.0643333333333334</v>
      </c>
      <c r="C41">
        <v>1</v>
      </c>
    </row>
    <row r="42" spans="1:3" x14ac:dyDescent="0.3">
      <c r="A42" s="18">
        <v>2030.5</v>
      </c>
      <c r="B42" s="20">
        <f t="shared" si="0"/>
        <v>3.0643333333333334</v>
      </c>
      <c r="C42">
        <v>1</v>
      </c>
    </row>
    <row r="43" spans="1:3" x14ac:dyDescent="0.3">
      <c r="A43" s="18">
        <v>2031</v>
      </c>
      <c r="B43" s="20">
        <f t="shared" si="0"/>
        <v>3.0643333333333334</v>
      </c>
      <c r="C43">
        <v>1</v>
      </c>
    </row>
    <row r="44" spans="1:3" x14ac:dyDescent="0.3">
      <c r="A44" s="18">
        <v>2031.5</v>
      </c>
      <c r="B44" s="20">
        <f t="shared" si="0"/>
        <v>3.0643333333333334</v>
      </c>
      <c r="C44">
        <v>1</v>
      </c>
    </row>
    <row r="45" spans="1:3" x14ac:dyDescent="0.3">
      <c r="A45" s="18">
        <v>2032</v>
      </c>
      <c r="B45" s="20">
        <f t="shared" si="0"/>
        <v>3.0643333333333334</v>
      </c>
      <c r="C45">
        <v>1</v>
      </c>
    </row>
    <row r="46" spans="1:3" x14ac:dyDescent="0.3">
      <c r="A46" s="18">
        <v>2032.5</v>
      </c>
      <c r="B46" s="20">
        <f t="shared" si="0"/>
        <v>3.0643333333333334</v>
      </c>
      <c r="C46">
        <v>1</v>
      </c>
    </row>
    <row r="47" spans="1:3" x14ac:dyDescent="0.3">
      <c r="A47" s="18">
        <v>2033</v>
      </c>
      <c r="B47" s="20">
        <f t="shared" si="0"/>
        <v>3.0643333333333334</v>
      </c>
      <c r="C47">
        <v>1</v>
      </c>
    </row>
    <row r="48" spans="1:3" x14ac:dyDescent="0.3">
      <c r="A48" s="18">
        <v>2033.5</v>
      </c>
      <c r="B48" s="20">
        <f t="shared" si="0"/>
        <v>3.0643333333333334</v>
      </c>
      <c r="C48">
        <v>1</v>
      </c>
    </row>
    <row r="49" spans="1:3" x14ac:dyDescent="0.3">
      <c r="A49" s="18">
        <v>2034</v>
      </c>
      <c r="B49" s="20">
        <f t="shared" si="0"/>
        <v>3.0643333333333334</v>
      </c>
      <c r="C49">
        <v>1</v>
      </c>
    </row>
    <row r="50" spans="1:3" x14ac:dyDescent="0.3">
      <c r="A50" s="18">
        <v>2034.5</v>
      </c>
      <c r="B50" s="20">
        <f t="shared" si="0"/>
        <v>3.0643333333333334</v>
      </c>
      <c r="C50">
        <v>1</v>
      </c>
    </row>
    <row r="51" spans="1:3" x14ac:dyDescent="0.3">
      <c r="A51" s="18">
        <v>2035</v>
      </c>
      <c r="B51" s="20">
        <f t="shared" si="0"/>
        <v>3.0643333333333334</v>
      </c>
      <c r="C51">
        <v>1</v>
      </c>
    </row>
    <row r="52" spans="1:3" x14ac:dyDescent="0.3">
      <c r="A52" s="18">
        <v>2035.5</v>
      </c>
      <c r="B52" s="20">
        <f t="shared" si="0"/>
        <v>3.0643333333333334</v>
      </c>
      <c r="C52">
        <v>1</v>
      </c>
    </row>
    <row r="53" spans="1:3" x14ac:dyDescent="0.3">
      <c r="A53" s="18">
        <v>2036</v>
      </c>
      <c r="B53" s="20">
        <f t="shared" si="0"/>
        <v>3.0643333333333334</v>
      </c>
      <c r="C53">
        <v>1</v>
      </c>
    </row>
    <row r="54" spans="1:3" x14ac:dyDescent="0.3">
      <c r="A54" s="18">
        <v>2036.5</v>
      </c>
      <c r="B54" s="20">
        <f t="shared" si="0"/>
        <v>3.0643333333333334</v>
      </c>
      <c r="C54">
        <v>1</v>
      </c>
    </row>
    <row r="55" spans="1:3" x14ac:dyDescent="0.3">
      <c r="A55" s="18">
        <v>2037</v>
      </c>
      <c r="B55" s="20">
        <f t="shared" si="0"/>
        <v>3.0643333333333334</v>
      </c>
      <c r="C55">
        <v>1</v>
      </c>
    </row>
    <row r="56" spans="1:3" x14ac:dyDescent="0.3">
      <c r="A56" s="18">
        <v>2037.5</v>
      </c>
      <c r="B56" s="20">
        <f t="shared" si="0"/>
        <v>3.0643333333333334</v>
      </c>
      <c r="C56">
        <v>1</v>
      </c>
    </row>
    <row r="57" spans="1:3" x14ac:dyDescent="0.3">
      <c r="A57" s="18">
        <v>2038</v>
      </c>
      <c r="B57" s="20">
        <f t="shared" si="0"/>
        <v>3.0643333333333334</v>
      </c>
      <c r="C57">
        <v>1</v>
      </c>
    </row>
    <row r="58" spans="1:3" x14ac:dyDescent="0.3">
      <c r="A58" s="18">
        <v>2038.5</v>
      </c>
      <c r="B58" s="20">
        <f t="shared" si="0"/>
        <v>3.0643333333333334</v>
      </c>
      <c r="C58">
        <v>1</v>
      </c>
    </row>
    <row r="59" spans="1:3" x14ac:dyDescent="0.3">
      <c r="A59" s="18">
        <v>2039</v>
      </c>
      <c r="B59" s="20">
        <f t="shared" si="0"/>
        <v>3.0643333333333334</v>
      </c>
      <c r="C59">
        <v>1</v>
      </c>
    </row>
    <row r="60" spans="1:3" x14ac:dyDescent="0.3">
      <c r="A60" s="18">
        <v>2039.5</v>
      </c>
      <c r="B60" s="20">
        <f t="shared" si="0"/>
        <v>3.0643333333333334</v>
      </c>
      <c r="C60">
        <v>1</v>
      </c>
    </row>
    <row r="61" spans="1:3" x14ac:dyDescent="0.3">
      <c r="A61" s="18">
        <v>2040</v>
      </c>
      <c r="B61" s="20">
        <f t="shared" si="0"/>
        <v>3.0643333333333334</v>
      </c>
      <c r="C61">
        <v>1</v>
      </c>
    </row>
    <row r="62" spans="1:3" x14ac:dyDescent="0.3">
      <c r="A62" s="18">
        <v>2040.5</v>
      </c>
      <c r="B62" s="20">
        <f t="shared" si="0"/>
        <v>3.0643333333333334</v>
      </c>
      <c r="C62">
        <v>1</v>
      </c>
    </row>
    <row r="63" spans="1:3" x14ac:dyDescent="0.3">
      <c r="A63" s="18">
        <v>2041</v>
      </c>
      <c r="B63" s="20">
        <f t="shared" si="0"/>
        <v>3.0643333333333334</v>
      </c>
      <c r="C63">
        <v>1</v>
      </c>
    </row>
    <row r="64" spans="1:3" x14ac:dyDescent="0.3">
      <c r="A64" s="18">
        <v>2041.5</v>
      </c>
      <c r="B64" s="20">
        <f t="shared" si="0"/>
        <v>3.0643333333333334</v>
      </c>
      <c r="C64">
        <v>1</v>
      </c>
    </row>
    <row r="65" spans="1:3" x14ac:dyDescent="0.3">
      <c r="A65" s="18">
        <v>2042</v>
      </c>
      <c r="B65" s="20">
        <f t="shared" si="0"/>
        <v>3.0643333333333334</v>
      </c>
      <c r="C65">
        <v>1</v>
      </c>
    </row>
    <row r="66" spans="1:3" x14ac:dyDescent="0.3">
      <c r="A66" s="18">
        <v>2042.5</v>
      </c>
      <c r="B66" s="20">
        <f t="shared" si="0"/>
        <v>3.0643333333333334</v>
      </c>
      <c r="C66">
        <v>1</v>
      </c>
    </row>
    <row r="67" spans="1:3" x14ac:dyDescent="0.3">
      <c r="A67" s="18">
        <v>2043</v>
      </c>
      <c r="B67" s="20">
        <f t="shared" si="0"/>
        <v>3.0643333333333334</v>
      </c>
      <c r="C67">
        <v>1</v>
      </c>
    </row>
    <row r="68" spans="1:3" x14ac:dyDescent="0.3">
      <c r="A68" s="18">
        <v>2043.5</v>
      </c>
      <c r="B68" s="20">
        <f t="shared" si="0"/>
        <v>3.0643333333333334</v>
      </c>
      <c r="C68">
        <v>1</v>
      </c>
    </row>
    <row r="69" spans="1:3" x14ac:dyDescent="0.3">
      <c r="A69" s="18">
        <v>2044</v>
      </c>
      <c r="B69" s="20">
        <f t="shared" si="0"/>
        <v>3.0643333333333334</v>
      </c>
      <c r="C69">
        <v>1</v>
      </c>
    </row>
    <row r="70" spans="1:3" x14ac:dyDescent="0.3">
      <c r="A70" s="18">
        <v>2044.5</v>
      </c>
      <c r="B70" s="20">
        <f t="shared" si="0"/>
        <v>3.0643333333333334</v>
      </c>
      <c r="C70">
        <v>1</v>
      </c>
    </row>
    <row r="71" spans="1:3" x14ac:dyDescent="0.3">
      <c r="A71" s="18">
        <v>2045</v>
      </c>
      <c r="B71" s="20">
        <f t="shared" si="0"/>
        <v>3.0643333333333334</v>
      </c>
      <c r="C71">
        <v>1</v>
      </c>
    </row>
    <row r="72" spans="1:3" x14ac:dyDescent="0.3">
      <c r="A72" s="18">
        <v>2045.5</v>
      </c>
      <c r="B72" s="20">
        <f t="shared" si="0"/>
        <v>3.0643333333333334</v>
      </c>
      <c r="C72">
        <v>1</v>
      </c>
    </row>
    <row r="73" spans="1:3" x14ac:dyDescent="0.3">
      <c r="A73" s="18">
        <v>2046</v>
      </c>
      <c r="B73" s="20">
        <f t="shared" si="0"/>
        <v>3.0643333333333334</v>
      </c>
      <c r="C73">
        <v>1</v>
      </c>
    </row>
    <row r="74" spans="1:3" x14ac:dyDescent="0.3">
      <c r="A74" s="18">
        <v>2046.5</v>
      </c>
      <c r="B74" s="20">
        <f t="shared" si="0"/>
        <v>3.0643333333333334</v>
      </c>
      <c r="C74">
        <v>1</v>
      </c>
    </row>
    <row r="75" spans="1:3" x14ac:dyDescent="0.3">
      <c r="A75" s="18">
        <v>2047</v>
      </c>
      <c r="B75" s="20">
        <f t="shared" si="0"/>
        <v>3.0643333333333334</v>
      </c>
      <c r="C75">
        <v>1</v>
      </c>
    </row>
    <row r="76" spans="1:3" x14ac:dyDescent="0.3">
      <c r="A76" s="18">
        <v>2047.5</v>
      </c>
      <c r="B76" s="20">
        <f t="shared" si="0"/>
        <v>3.0643333333333334</v>
      </c>
      <c r="C76">
        <v>1</v>
      </c>
    </row>
    <row r="77" spans="1:3" x14ac:dyDescent="0.3">
      <c r="A77" s="18">
        <v>2048</v>
      </c>
      <c r="B77" s="20">
        <f t="shared" si="0"/>
        <v>3.0643333333333334</v>
      </c>
      <c r="C77">
        <v>1</v>
      </c>
    </row>
    <row r="78" spans="1:3" x14ac:dyDescent="0.3">
      <c r="A78" s="18">
        <v>2048.5</v>
      </c>
      <c r="B78" s="20">
        <f t="shared" si="0"/>
        <v>3.0643333333333334</v>
      </c>
      <c r="C78">
        <v>1</v>
      </c>
    </row>
    <row r="79" spans="1:3" x14ac:dyDescent="0.3">
      <c r="A79" s="18">
        <v>2049</v>
      </c>
      <c r="B79" s="20">
        <f t="shared" si="0"/>
        <v>3.0643333333333334</v>
      </c>
      <c r="C79">
        <v>1</v>
      </c>
    </row>
    <row r="80" spans="1:3" x14ac:dyDescent="0.3">
      <c r="A80" s="18">
        <v>2049.5</v>
      </c>
      <c r="B80" s="20">
        <f t="shared" si="0"/>
        <v>3.0643333333333334</v>
      </c>
      <c r="C80">
        <v>1</v>
      </c>
    </row>
    <row r="81" spans="1:3" x14ac:dyDescent="0.3">
      <c r="A81" s="18">
        <v>2050</v>
      </c>
      <c r="B81" s="20">
        <f t="shared" si="0"/>
        <v>3.0643333333333334</v>
      </c>
      <c r="C81">
        <v>1</v>
      </c>
    </row>
    <row r="82" spans="1:3" x14ac:dyDescent="0.3">
      <c r="A82" s="1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4652-74D1-4B3E-96C5-211693738343}">
  <dimension ref="A1:Z60"/>
  <sheetViews>
    <sheetView zoomScaleNormal="100" workbookViewId="0">
      <pane xSplit="1" topLeftCell="I1" activePane="topRight" state="frozen"/>
      <selection pane="topRight" activeCell="U6" sqref="U6"/>
    </sheetView>
  </sheetViews>
  <sheetFormatPr defaultRowHeight="14.4" x14ac:dyDescent="0.3"/>
  <cols>
    <col min="1" max="1" width="30" bestFit="1" customWidth="1"/>
    <col min="2" max="4" width="14.88671875" bestFit="1" customWidth="1"/>
    <col min="5" max="5" width="14.109375" bestFit="1" customWidth="1"/>
    <col min="6" max="6" width="12.109375" bestFit="1" customWidth="1"/>
    <col min="7" max="7" width="11.21875" bestFit="1" customWidth="1"/>
    <col min="8" max="8" width="14.6640625" bestFit="1" customWidth="1"/>
    <col min="9" max="9" width="14.88671875" bestFit="1" customWidth="1"/>
    <col min="10" max="10" width="13.88671875" bestFit="1" customWidth="1"/>
    <col min="11" max="12" width="14.88671875" bestFit="1" customWidth="1"/>
    <col min="13" max="13" width="13.88671875" customWidth="1"/>
    <col min="14" max="14" width="14.88671875" bestFit="1" customWidth="1"/>
    <col min="15" max="23" width="14.88671875" customWidth="1"/>
  </cols>
  <sheetData>
    <row r="1" spans="1:26" x14ac:dyDescent="0.3">
      <c r="A1" s="1" t="s">
        <v>145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12</v>
      </c>
      <c r="J1" s="26">
        <v>8</v>
      </c>
      <c r="K1" s="26">
        <v>9</v>
      </c>
      <c r="L1">
        <v>10</v>
      </c>
      <c r="M1" s="26">
        <v>11</v>
      </c>
      <c r="N1">
        <v>13</v>
      </c>
      <c r="O1" s="26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Y1" t="s">
        <v>174</v>
      </c>
    </row>
    <row r="2" spans="1:26" x14ac:dyDescent="0.3">
      <c r="A2" s="1" t="s">
        <v>6</v>
      </c>
    </row>
    <row r="3" spans="1:26" x14ac:dyDescent="0.3">
      <c r="A3" t="s">
        <v>20</v>
      </c>
      <c r="B3" s="22" t="s">
        <v>79</v>
      </c>
      <c r="C3" s="22" t="s">
        <v>79</v>
      </c>
      <c r="D3" s="22" t="s">
        <v>85</v>
      </c>
      <c r="E3" s="22" t="s">
        <v>79</v>
      </c>
      <c r="F3" s="22" t="s">
        <v>138</v>
      </c>
      <c r="G3" s="22" t="s">
        <v>85</v>
      </c>
      <c r="H3" s="22" t="s">
        <v>85</v>
      </c>
      <c r="I3" s="22" t="s">
        <v>79</v>
      </c>
      <c r="J3" s="29" t="s">
        <v>79</v>
      </c>
      <c r="K3" s="29" t="s">
        <v>85</v>
      </c>
      <c r="L3" s="30" t="s">
        <v>79</v>
      </c>
      <c r="M3" s="29" t="s">
        <v>85</v>
      </c>
      <c r="N3" s="22" t="s">
        <v>79</v>
      </c>
      <c r="O3" s="28" t="s">
        <v>79</v>
      </c>
      <c r="P3" s="31" t="s">
        <v>85</v>
      </c>
      <c r="Q3" s="22" t="s">
        <v>79</v>
      </c>
      <c r="R3" s="22" t="s">
        <v>138</v>
      </c>
      <c r="S3" s="22" t="s">
        <v>85</v>
      </c>
      <c r="T3" s="22" t="s">
        <v>85</v>
      </c>
      <c r="U3" s="22" t="s">
        <v>79</v>
      </c>
      <c r="V3" s="22" t="s">
        <v>85</v>
      </c>
      <c r="W3" s="22" t="s">
        <v>85</v>
      </c>
      <c r="Y3" t="s">
        <v>175</v>
      </c>
    </row>
    <row r="4" spans="1:26" x14ac:dyDescent="0.3">
      <c r="A4" t="s">
        <v>146</v>
      </c>
      <c r="B4" s="3" t="s">
        <v>102</v>
      </c>
      <c r="C4" s="22" t="s">
        <v>102</v>
      </c>
      <c r="D4" s="22" t="s">
        <v>102</v>
      </c>
      <c r="E4" s="22" t="s">
        <v>102</v>
      </c>
      <c r="F4" s="22" t="s">
        <v>102</v>
      </c>
      <c r="G4" s="22" t="s">
        <v>102</v>
      </c>
      <c r="H4" s="22" t="s">
        <v>102</v>
      </c>
      <c r="I4" t="s">
        <v>102</v>
      </c>
      <c r="J4" s="3" t="s">
        <v>102</v>
      </c>
      <c r="K4" s="3" t="s">
        <v>102</v>
      </c>
      <c r="L4" s="3" t="s">
        <v>78</v>
      </c>
      <c r="M4" s="3" t="s">
        <v>78</v>
      </c>
      <c r="N4" s="22" t="s">
        <v>78</v>
      </c>
      <c r="O4" s="22" t="s">
        <v>197</v>
      </c>
      <c r="P4" s="22" t="s">
        <v>102</v>
      </c>
      <c r="Q4" s="22" t="s">
        <v>78</v>
      </c>
      <c r="R4" s="22" t="s">
        <v>78</v>
      </c>
      <c r="S4" s="22" t="s">
        <v>78</v>
      </c>
      <c r="T4" s="22" t="s">
        <v>78</v>
      </c>
      <c r="U4" s="22" t="s">
        <v>78</v>
      </c>
      <c r="V4" s="22" t="s">
        <v>78</v>
      </c>
      <c r="W4" s="22" t="s">
        <v>78</v>
      </c>
      <c r="Y4" t="s">
        <v>176</v>
      </c>
      <c r="Z4" t="s">
        <v>177</v>
      </c>
    </row>
    <row r="5" spans="1:26" x14ac:dyDescent="0.3">
      <c r="A5" s="33" t="s">
        <v>90</v>
      </c>
      <c r="B5" s="3" t="b">
        <v>0</v>
      </c>
      <c r="C5" s="22" t="b">
        <v>0</v>
      </c>
      <c r="D5" s="22" t="b">
        <v>0</v>
      </c>
      <c r="E5" s="22" t="b">
        <v>0</v>
      </c>
      <c r="F5" s="22" t="b">
        <v>0</v>
      </c>
      <c r="G5" s="22" t="b">
        <v>0</v>
      </c>
      <c r="H5" s="22" t="b">
        <v>0</v>
      </c>
      <c r="I5" t="b">
        <v>0</v>
      </c>
      <c r="J5" s="3" t="b">
        <v>0</v>
      </c>
      <c r="K5" s="3" t="b">
        <v>0</v>
      </c>
      <c r="L5" s="3" t="b">
        <v>0</v>
      </c>
      <c r="M5" s="3" t="b">
        <v>0</v>
      </c>
      <c r="N5" s="22" t="b">
        <v>0</v>
      </c>
      <c r="O5" s="22" t="b">
        <v>0</v>
      </c>
      <c r="P5" s="31" t="b">
        <v>0</v>
      </c>
      <c r="Q5" s="22" t="b">
        <v>0</v>
      </c>
      <c r="R5" s="22" t="b">
        <v>0</v>
      </c>
      <c r="S5" s="22" t="b">
        <v>0</v>
      </c>
      <c r="T5" s="22" t="b">
        <v>0</v>
      </c>
      <c r="U5" s="22" t="b">
        <v>0</v>
      </c>
      <c r="V5" s="22" t="b">
        <v>0</v>
      </c>
      <c r="W5" s="22" t="b">
        <v>0</v>
      </c>
      <c r="Z5" t="s">
        <v>178</v>
      </c>
    </row>
    <row r="6" spans="1:26" x14ac:dyDescent="0.3">
      <c r="A6" t="s">
        <v>147</v>
      </c>
      <c r="B6" s="3">
        <v>26578092.437204901</v>
      </c>
      <c r="C6" s="22">
        <v>26578092.437204901</v>
      </c>
      <c r="D6" s="22">
        <v>26578092.437204901</v>
      </c>
      <c r="E6" s="22">
        <v>64000</v>
      </c>
      <c r="F6" s="22">
        <v>64000</v>
      </c>
      <c r="G6" s="22">
        <v>64000</v>
      </c>
      <c r="H6" s="22">
        <v>26578092.437204901</v>
      </c>
      <c r="I6" s="22">
        <v>26578092.437204901</v>
      </c>
      <c r="J6" s="3">
        <v>26578092.437204901</v>
      </c>
      <c r="K6" s="22">
        <v>26578092.437204901</v>
      </c>
      <c r="L6" s="22">
        <v>26578092.437204901</v>
      </c>
      <c r="M6" s="3">
        <v>26578092.437204901</v>
      </c>
      <c r="N6" s="22">
        <v>26578092.437204901</v>
      </c>
      <c r="O6" s="22">
        <v>26578092.437204901</v>
      </c>
      <c r="P6" s="22">
        <v>26578092.437204901</v>
      </c>
      <c r="Q6" s="22">
        <v>64000</v>
      </c>
      <c r="R6" s="22">
        <v>64000</v>
      </c>
      <c r="S6" s="22">
        <v>64000</v>
      </c>
      <c r="T6" s="36">
        <v>26578092.437204901</v>
      </c>
      <c r="U6" s="3">
        <v>64000</v>
      </c>
      <c r="V6" s="3">
        <v>64000</v>
      </c>
      <c r="W6" s="22">
        <v>26578092.437204901</v>
      </c>
    </row>
    <row r="7" spans="1:26" x14ac:dyDescent="0.3">
      <c r="A7" t="s">
        <v>183</v>
      </c>
      <c r="B7" s="3" t="s">
        <v>184</v>
      </c>
      <c r="C7" s="3" t="s">
        <v>184</v>
      </c>
      <c r="D7" s="3" t="s">
        <v>184</v>
      </c>
      <c r="E7" s="3" t="s">
        <v>184</v>
      </c>
      <c r="F7" s="3" t="s">
        <v>184</v>
      </c>
      <c r="G7" s="3" t="s">
        <v>184</v>
      </c>
      <c r="H7" s="22" t="s">
        <v>185</v>
      </c>
      <c r="I7" s="3" t="s">
        <v>185</v>
      </c>
      <c r="J7" s="3" t="s">
        <v>184</v>
      </c>
      <c r="K7" s="3" t="s">
        <v>184</v>
      </c>
      <c r="L7" s="3" t="s">
        <v>184</v>
      </c>
      <c r="M7" s="3" t="s">
        <v>184</v>
      </c>
      <c r="N7" s="22" t="s">
        <v>184</v>
      </c>
      <c r="O7" s="22" t="s">
        <v>184</v>
      </c>
      <c r="P7" s="31" t="s">
        <v>185</v>
      </c>
      <c r="Q7" s="3" t="s">
        <v>184</v>
      </c>
      <c r="R7" s="3" t="s">
        <v>184</v>
      </c>
      <c r="S7" s="3" t="s">
        <v>184</v>
      </c>
      <c r="T7" s="3" t="s">
        <v>184</v>
      </c>
      <c r="U7" s="3" t="s">
        <v>184</v>
      </c>
      <c r="V7" s="3" t="s">
        <v>184</v>
      </c>
      <c r="W7" s="3" t="s">
        <v>184</v>
      </c>
    </row>
    <row r="8" spans="1:26" x14ac:dyDescent="0.3">
      <c r="A8" t="s">
        <v>219</v>
      </c>
      <c r="B8" s="3"/>
      <c r="C8" s="3"/>
      <c r="D8" s="3"/>
      <c r="E8" s="3"/>
      <c r="F8" s="3"/>
      <c r="G8" s="3"/>
      <c r="H8" s="22"/>
      <c r="I8" s="3"/>
      <c r="J8" s="3"/>
      <c r="K8" s="3"/>
      <c r="L8" s="3"/>
      <c r="M8" s="3"/>
      <c r="N8" s="22"/>
      <c r="O8" s="22"/>
      <c r="P8" s="31"/>
      <c r="Q8" s="3"/>
      <c r="R8" s="3"/>
      <c r="S8" s="3"/>
      <c r="T8" s="22">
        <v>3.0638441517386701</v>
      </c>
      <c r="U8" s="36">
        <v>0</v>
      </c>
      <c r="V8" s="36">
        <v>0</v>
      </c>
      <c r="W8" s="22">
        <v>3.0638441517386701</v>
      </c>
    </row>
    <row r="9" spans="1:26" x14ac:dyDescent="0.3">
      <c r="A9" s="1" t="s">
        <v>148</v>
      </c>
      <c r="B9" s="3"/>
      <c r="C9" s="22"/>
      <c r="D9" s="22"/>
      <c r="E9" s="22"/>
      <c r="F9" s="22"/>
      <c r="G9" s="22"/>
      <c r="Y9" t="s">
        <v>179</v>
      </c>
    </row>
    <row r="10" spans="1:26" x14ac:dyDescent="0.3">
      <c r="A10" t="s">
        <v>149</v>
      </c>
      <c r="B10" s="23">
        <v>697.884027378518</v>
      </c>
      <c r="C10" s="23">
        <v>649.65375644307699</v>
      </c>
      <c r="D10" s="23">
        <v>636.35956844237296</v>
      </c>
      <c r="E10" s="23">
        <v>609.24741029683696</v>
      </c>
      <c r="F10" s="23">
        <v>530.23693424619205</v>
      </c>
      <c r="G10" s="23">
        <v>432.544725325797</v>
      </c>
      <c r="H10" s="23">
        <v>662.56661538108006</v>
      </c>
      <c r="I10" s="23">
        <v>680.01065470740298</v>
      </c>
      <c r="J10" s="23">
        <v>647.02551059914197</v>
      </c>
      <c r="K10" s="23">
        <v>633.44103572541201</v>
      </c>
      <c r="L10" s="23">
        <v>647.02551059914197</v>
      </c>
      <c r="M10" s="23">
        <v>629.82325591411598</v>
      </c>
      <c r="N10" s="23">
        <v>687.26309691838196</v>
      </c>
      <c r="O10" s="23">
        <v>678.87426971018499</v>
      </c>
      <c r="P10" s="32">
        <v>659.31035109280197</v>
      </c>
      <c r="Q10" s="32">
        <v>609.22711199579896</v>
      </c>
      <c r="R10" s="32">
        <v>530.17085242485598</v>
      </c>
      <c r="S10" s="32">
        <v>432.17375775875098</v>
      </c>
      <c r="T10" s="37">
        <v>616.68790878557797</v>
      </c>
      <c r="U10" s="37">
        <v>609.22711199579896</v>
      </c>
      <c r="V10" s="37">
        <v>432.17375775875098</v>
      </c>
      <c r="W10" s="43">
        <v>599.41119164034205</v>
      </c>
      <c r="Z10" t="s">
        <v>180</v>
      </c>
    </row>
    <row r="11" spans="1:26" x14ac:dyDescent="0.3">
      <c r="A11" t="s">
        <v>66</v>
      </c>
      <c r="B11" s="22">
        <v>9.4569277763366699</v>
      </c>
      <c r="C11" s="22">
        <v>1300.0746300220401</v>
      </c>
      <c r="D11" s="22">
        <v>1639.87720012664</v>
      </c>
      <c r="E11" s="22">
        <v>3133.4677019119199</v>
      </c>
      <c r="F11" s="22">
        <v>736.43312096595696</v>
      </c>
      <c r="G11" s="22">
        <v>670.26163721084595</v>
      </c>
      <c r="H11" s="22">
        <v>919.16119694709698</v>
      </c>
      <c r="I11" s="22">
        <v>2427.2889068126601</v>
      </c>
      <c r="J11" s="22">
        <v>4211.1156399250003</v>
      </c>
      <c r="K11" s="22">
        <v>4083.08587312698</v>
      </c>
      <c r="L11" s="22">
        <v>39600.609282016703</v>
      </c>
      <c r="M11" s="22">
        <v>17631.037314891801</v>
      </c>
      <c r="N11" s="22">
        <v>4622.76460695266</v>
      </c>
      <c r="O11" s="22">
        <v>52.848302125930701</v>
      </c>
      <c r="P11" s="31">
        <v>886.68696498870804</v>
      </c>
      <c r="Q11" s="31">
        <v>14401.5432479381</v>
      </c>
      <c r="R11" s="31">
        <v>734.936652898788</v>
      </c>
      <c r="S11" s="31">
        <v>682.29324984550396</v>
      </c>
      <c r="T11" s="32">
        <v>2374.32150483131</v>
      </c>
      <c r="U11" s="44">
        <v>14402.060109853701</v>
      </c>
      <c r="V11" s="44">
        <v>651.56380891799904</v>
      </c>
      <c r="W11" s="43">
        <v>20510.1706309318</v>
      </c>
      <c r="Z11" t="s">
        <v>181</v>
      </c>
    </row>
    <row r="12" spans="1:26" x14ac:dyDescent="0.3">
      <c r="A12" t="s">
        <v>150</v>
      </c>
      <c r="B12" s="22">
        <v>4.3985171364821501E-4</v>
      </c>
      <c r="C12" s="22">
        <v>2.69306410232841E-4</v>
      </c>
      <c r="D12" s="22">
        <v>0</v>
      </c>
      <c r="E12" s="22">
        <v>9.2005095908254001E-4</v>
      </c>
      <c r="F12" s="22">
        <v>1.1316593381965E-4</v>
      </c>
      <c r="G12" s="22">
        <v>2.1868853258422401E-11</v>
      </c>
      <c r="H12" s="22">
        <v>1.7408681950279799E-5</v>
      </c>
      <c r="I12" s="22">
        <v>0</v>
      </c>
      <c r="J12" s="22">
        <v>8.9960924271766899E-4</v>
      </c>
      <c r="K12" s="22">
        <v>6.7749548605001298E-13</v>
      </c>
      <c r="L12" s="23">
        <v>8.7232010834425502</v>
      </c>
      <c r="M12" s="23">
        <v>0</v>
      </c>
      <c r="N12" s="22">
        <v>9.8959975402331999E-4</v>
      </c>
      <c r="O12" s="22">
        <v>8.96071358941519E-4</v>
      </c>
      <c r="P12" s="31">
        <v>3.7206736152714702E-7</v>
      </c>
      <c r="Q12" s="31">
        <v>3.5157763764803499E-3</v>
      </c>
      <c r="R12" s="31">
        <v>1.13180037969244E-4</v>
      </c>
      <c r="S12" s="31">
        <v>2.51838709329082E-11</v>
      </c>
      <c r="T12" s="31">
        <v>1.2758176377813799E-12</v>
      </c>
      <c r="U12" s="40">
        <v>3.5157763764803499E-3</v>
      </c>
      <c r="V12" s="40">
        <v>2.51838709329082E-11</v>
      </c>
      <c r="W12" s="38">
        <v>8.5517246293914404E-13</v>
      </c>
      <c r="Z12" t="s">
        <v>182</v>
      </c>
    </row>
    <row r="13" spans="1:26" x14ac:dyDescent="0.3">
      <c r="A13" t="s">
        <v>151</v>
      </c>
      <c r="B13" s="22">
        <v>0</v>
      </c>
      <c r="C13" s="22">
        <v>0</v>
      </c>
      <c r="D13" s="22">
        <v>0</v>
      </c>
      <c r="E13" s="22">
        <v>0</v>
      </c>
      <c r="F13" s="22">
        <v>0</v>
      </c>
      <c r="G13" s="22">
        <v>0</v>
      </c>
      <c r="H13" s="22">
        <v>0</v>
      </c>
      <c r="I13" s="22">
        <v>0</v>
      </c>
      <c r="J13" s="22">
        <v>0</v>
      </c>
      <c r="K13" s="22">
        <v>0</v>
      </c>
      <c r="L13" s="22">
        <v>0</v>
      </c>
      <c r="M13" s="22">
        <v>0</v>
      </c>
      <c r="N13" s="22">
        <v>0</v>
      </c>
      <c r="O13" s="22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40">
        <v>0</v>
      </c>
      <c r="V13" s="40">
        <v>0</v>
      </c>
      <c r="W13" s="31">
        <v>0</v>
      </c>
      <c r="Z13" t="s">
        <v>186</v>
      </c>
    </row>
    <row r="14" spans="1:26" x14ac:dyDescent="0.3">
      <c r="A14" s="1" t="s">
        <v>152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31"/>
      <c r="Q14" s="31"/>
      <c r="R14" s="31"/>
      <c r="S14" s="31"/>
      <c r="T14" s="31"/>
      <c r="U14" s="40"/>
      <c r="V14" s="40"/>
      <c r="W14" s="31"/>
    </row>
    <row r="15" spans="1:26" x14ac:dyDescent="0.3">
      <c r="A15" t="s">
        <v>153</v>
      </c>
      <c r="B15" s="23">
        <v>331.44023745686201</v>
      </c>
      <c r="C15" s="23">
        <v>331.29081741620399</v>
      </c>
      <c r="D15" s="23">
        <v>317.99662941550901</v>
      </c>
      <c r="E15" s="23">
        <v>331.04245855075197</v>
      </c>
      <c r="F15" s="23">
        <v>250.510479148521</v>
      </c>
      <c r="G15" s="23">
        <v>151.41751627727101</v>
      </c>
      <c r="H15" s="23">
        <v>313.85660435563699</v>
      </c>
      <c r="I15" s="23">
        <v>331.30064368195201</v>
      </c>
      <c r="J15" s="23">
        <v>331.24497835393498</v>
      </c>
      <c r="K15" s="23">
        <v>317.660503480204</v>
      </c>
      <c r="L15" s="23">
        <v>331.24497835393498</v>
      </c>
      <c r="M15" s="23">
        <v>331.63212868795</v>
      </c>
      <c r="N15" s="23">
        <v>343.06608870385901</v>
      </c>
      <c r="O15" s="23">
        <v>331.384468922407</v>
      </c>
      <c r="P15" s="32">
        <v>313.50905842858702</v>
      </c>
      <c r="Q15" s="32">
        <v>331.06495318393002</v>
      </c>
      <c r="R15" s="32">
        <v>250.44439732718999</v>
      </c>
      <c r="S15" s="32">
        <v>151.04654871022299</v>
      </c>
      <c r="T15" s="32">
        <v>317.660503480204</v>
      </c>
      <c r="U15" s="44">
        <v>331.06495318393002</v>
      </c>
      <c r="V15" s="44">
        <v>151.04654871022299</v>
      </c>
      <c r="W15" s="32">
        <v>331.63305611792202</v>
      </c>
      <c r="Y15" t="s">
        <v>190</v>
      </c>
    </row>
    <row r="16" spans="1:26" x14ac:dyDescent="0.3">
      <c r="A16" s="21" t="s">
        <v>154</v>
      </c>
      <c r="B16" s="22">
        <v>331.464587111637</v>
      </c>
      <c r="C16" s="22">
        <v>331.464587111637</v>
      </c>
      <c r="D16" s="22">
        <v>317.97127753128899</v>
      </c>
      <c r="E16" s="22">
        <v>331.464587111637</v>
      </c>
      <c r="F16" s="22">
        <v>247.712926974433</v>
      </c>
      <c r="G16" s="22">
        <v>137.636196975807</v>
      </c>
      <c r="H16" s="22">
        <v>313.79475885947801</v>
      </c>
      <c r="I16" s="22">
        <v>331.464587111637</v>
      </c>
      <c r="J16" s="22">
        <v>331.464587111637</v>
      </c>
      <c r="K16" s="22">
        <v>317.63477994612202</v>
      </c>
      <c r="L16" s="22">
        <v>331.464587111637</v>
      </c>
      <c r="M16" s="22">
        <v>319.10475744885002</v>
      </c>
      <c r="N16" s="22">
        <v>331.42500933695999</v>
      </c>
      <c r="O16" s="22">
        <v>331.464587111637</v>
      </c>
      <c r="P16" s="31">
        <v>313.44591357708299</v>
      </c>
      <c r="Q16" s="31">
        <v>331.464587111637</v>
      </c>
      <c r="R16" s="31">
        <v>247.64685019457701</v>
      </c>
      <c r="S16" s="31">
        <v>137.308322409797</v>
      </c>
      <c r="T16" s="38">
        <v>317.634779946121</v>
      </c>
      <c r="U16" s="39">
        <v>331.464587111637</v>
      </c>
      <c r="V16" s="39">
        <v>137.308322409797</v>
      </c>
      <c r="W16" s="38">
        <v>319.10475744885002</v>
      </c>
    </row>
    <row r="17" spans="1:25" x14ac:dyDescent="0.3">
      <c r="A17" s="21" t="s">
        <v>155</v>
      </c>
      <c r="B17" s="22">
        <v>331.342838837768</v>
      </c>
      <c r="C17" s="22">
        <v>330.59573863447901</v>
      </c>
      <c r="D17" s="22">
        <v>318.09803695238003</v>
      </c>
      <c r="E17" s="22">
        <v>329.35394430721402</v>
      </c>
      <c r="F17" s="22">
        <v>261.70068784487302</v>
      </c>
      <c r="G17" s="22">
        <v>206.54279348312801</v>
      </c>
      <c r="H17" s="22">
        <v>314.10398634026598</v>
      </c>
      <c r="I17" s="22">
        <v>330.64486996321602</v>
      </c>
      <c r="J17" s="22">
        <v>330.36654332313299</v>
      </c>
      <c r="K17" s="22">
        <v>317.76339761653099</v>
      </c>
      <c r="L17" s="22">
        <v>330.36654332313299</v>
      </c>
      <c r="M17" s="22">
        <v>381.741613644344</v>
      </c>
      <c r="N17" s="22">
        <v>389.63040617145202</v>
      </c>
      <c r="O17" s="22">
        <v>331.06399616549299</v>
      </c>
      <c r="P17" s="31">
        <v>313.76163783459498</v>
      </c>
      <c r="Q17" s="31">
        <v>329.466417473104</v>
      </c>
      <c r="R17" s="31">
        <v>261.63458585764403</v>
      </c>
      <c r="S17" s="31">
        <v>205.999453911925</v>
      </c>
      <c r="T17" s="31">
        <v>317.76339761653099</v>
      </c>
      <c r="U17" s="40">
        <v>329.466417473104</v>
      </c>
      <c r="V17" s="40">
        <v>205.999453911925</v>
      </c>
      <c r="W17" s="38">
        <v>381.74625079420503</v>
      </c>
      <c r="Y17" t="s">
        <v>191</v>
      </c>
    </row>
    <row r="18" spans="1:25" x14ac:dyDescent="0.3">
      <c r="A18" t="s">
        <v>156</v>
      </c>
      <c r="B18" s="23">
        <v>366.44378992165201</v>
      </c>
      <c r="C18" s="23">
        <v>318.36293902687498</v>
      </c>
      <c r="D18" s="23">
        <v>318.36293902687697</v>
      </c>
      <c r="E18" s="23">
        <v>278.20495174608698</v>
      </c>
      <c r="F18" s="23">
        <v>279.72645509766602</v>
      </c>
      <c r="G18" s="23">
        <v>281.12720904852603</v>
      </c>
      <c r="H18" s="23">
        <v>348.71001102545301</v>
      </c>
      <c r="I18" s="23">
        <v>348.71001102545398</v>
      </c>
      <c r="J18" s="23">
        <v>315.78053224520499</v>
      </c>
      <c r="K18" s="23">
        <v>315.78053224520499</v>
      </c>
      <c r="L18" s="23">
        <v>315.78053224520499</v>
      </c>
      <c r="M18" s="23">
        <v>298.191127226167</v>
      </c>
      <c r="N18" s="22">
        <v>344.19700821451897</v>
      </c>
      <c r="O18" s="22">
        <v>347.48980078777402</v>
      </c>
      <c r="P18" s="31">
        <v>345.80129266420602</v>
      </c>
      <c r="Q18" s="31">
        <v>278.16215881186702</v>
      </c>
      <c r="R18" s="31">
        <v>279.72645509766602</v>
      </c>
      <c r="S18" s="31">
        <v>281.12720904852603</v>
      </c>
      <c r="T18" s="31">
        <v>315.78053224520897</v>
      </c>
      <c r="U18" s="40">
        <v>278.16215881186702</v>
      </c>
      <c r="V18" s="40">
        <v>281.12720904852603</v>
      </c>
      <c r="W18" s="31">
        <v>298.191127226167</v>
      </c>
    </row>
    <row r="19" spans="1:25" x14ac:dyDescent="0.3">
      <c r="A19" s="21" t="s">
        <v>187</v>
      </c>
      <c r="B19" s="23"/>
      <c r="C19" s="23"/>
      <c r="D19" s="23"/>
      <c r="E19" s="23"/>
      <c r="F19" s="23"/>
      <c r="G19" s="23"/>
      <c r="H19" s="23"/>
      <c r="I19" s="23"/>
      <c r="J19" s="27">
        <v>0</v>
      </c>
      <c r="K19" s="27">
        <v>0</v>
      </c>
      <c r="L19" s="23">
        <v>0</v>
      </c>
      <c r="M19" s="27">
        <v>89.450802844688596</v>
      </c>
      <c r="N19" s="22">
        <v>138.664128583436</v>
      </c>
      <c r="O19" s="28">
        <v>0</v>
      </c>
      <c r="P19" s="28">
        <v>0</v>
      </c>
      <c r="Q19" s="28">
        <v>0</v>
      </c>
      <c r="R19" s="28">
        <v>0</v>
      </c>
      <c r="S19" s="28">
        <v>0</v>
      </c>
      <c r="T19" s="31">
        <v>0</v>
      </c>
      <c r="U19" s="40">
        <v>0</v>
      </c>
      <c r="V19" s="40">
        <v>0</v>
      </c>
      <c r="W19" s="38">
        <v>89.450802844688596</v>
      </c>
      <c r="Y19" t="s">
        <v>192</v>
      </c>
    </row>
    <row r="20" spans="1:25" x14ac:dyDescent="0.3">
      <c r="A20" s="21" t="s">
        <v>157</v>
      </c>
      <c r="B20" s="22">
        <v>366.44378992165201</v>
      </c>
      <c r="C20" s="22">
        <v>277.99184063021897</v>
      </c>
      <c r="D20" s="22">
        <v>277.99184063021897</v>
      </c>
      <c r="E20" s="22">
        <v>277.99184063021897</v>
      </c>
      <c r="F20" s="22">
        <v>277.99184063021897</v>
      </c>
      <c r="G20" s="22">
        <v>277.99184063021897</v>
      </c>
      <c r="H20" s="22">
        <v>277.99184063021897</v>
      </c>
      <c r="I20" s="22">
        <v>277.99184063021897</v>
      </c>
      <c r="J20" s="22">
        <v>277.99184063021897</v>
      </c>
      <c r="K20" s="22">
        <v>277.99184063021897</v>
      </c>
      <c r="L20" s="22">
        <v>277.99184063021897</v>
      </c>
      <c r="M20" s="23">
        <v>183.22189496082601</v>
      </c>
      <c r="N20" s="23">
        <v>183.22189496082601</v>
      </c>
      <c r="O20" s="23">
        <v>347.48980078777402</v>
      </c>
      <c r="P20" s="32">
        <v>277.99184063021897</v>
      </c>
      <c r="Q20" s="32">
        <v>277.99184063021897</v>
      </c>
      <c r="R20" s="32">
        <v>277.99184063021897</v>
      </c>
      <c r="S20" s="32">
        <v>277.99184063021897</v>
      </c>
      <c r="T20" s="31">
        <v>277.99184063021897</v>
      </c>
      <c r="U20" s="40">
        <v>277.99184063021897</v>
      </c>
      <c r="V20" s="40">
        <v>277.99184063021897</v>
      </c>
      <c r="W20" s="31">
        <v>183.22189496082601</v>
      </c>
    </row>
    <row r="21" spans="1:25" x14ac:dyDescent="0.3">
      <c r="A21" s="21" t="s">
        <v>158</v>
      </c>
      <c r="B21" s="22">
        <v>0</v>
      </c>
      <c r="C21" s="23">
        <v>40.371098396656002</v>
      </c>
      <c r="D21" s="22">
        <v>40.371098396657999</v>
      </c>
      <c r="E21" s="22">
        <v>0.21311111586798201</v>
      </c>
      <c r="F21" s="22">
        <v>1.73461446744706</v>
      </c>
      <c r="G21" s="22">
        <v>3.1353684183071202</v>
      </c>
      <c r="H21" s="23">
        <v>70.718170395233699</v>
      </c>
      <c r="I21" s="22">
        <v>70.718170395235305</v>
      </c>
      <c r="J21" s="23">
        <v>37.7886916149859</v>
      </c>
      <c r="K21" s="23">
        <v>37.788691614986099</v>
      </c>
      <c r="L21" s="23">
        <v>37.7886916149859</v>
      </c>
      <c r="M21" s="23">
        <v>25.5184294206529</v>
      </c>
      <c r="N21" s="22">
        <v>22.310984670256001</v>
      </c>
      <c r="O21" s="28">
        <v>0</v>
      </c>
      <c r="P21" s="31">
        <v>67.809452033986702</v>
      </c>
      <c r="Q21" s="31">
        <v>0.17031818164843701</v>
      </c>
      <c r="R21" s="31">
        <v>1.73461446744707</v>
      </c>
      <c r="S21" s="31">
        <v>3.1353684183071202</v>
      </c>
      <c r="T21" s="32">
        <v>37.788691614989901</v>
      </c>
      <c r="U21" s="44">
        <v>0.17031818164843701</v>
      </c>
      <c r="V21" s="44">
        <v>3.1353684183071202</v>
      </c>
      <c r="W21" s="32">
        <v>25.5184294206529</v>
      </c>
      <c r="Y21" t="s">
        <v>196</v>
      </c>
    </row>
    <row r="22" spans="1:25" x14ac:dyDescent="0.3">
      <c r="A22" s="21" t="s">
        <v>251</v>
      </c>
      <c r="B22" s="22"/>
      <c r="C22" s="23"/>
      <c r="D22" s="22"/>
      <c r="E22" s="22"/>
      <c r="F22" s="22"/>
      <c r="G22" s="22"/>
      <c r="H22" s="23"/>
      <c r="I22" s="22"/>
      <c r="J22" s="23"/>
      <c r="K22" s="23"/>
      <c r="L22" s="23"/>
      <c r="M22" s="23"/>
      <c r="N22" s="22"/>
      <c r="O22" s="31"/>
      <c r="P22" s="31"/>
      <c r="Q22" s="31"/>
      <c r="R22" s="31"/>
      <c r="S22" s="31"/>
      <c r="T22" s="31">
        <v>16.753126939836399</v>
      </c>
      <c r="U22" s="40">
        <v>0</v>
      </c>
      <c r="V22" s="40">
        <v>0</v>
      </c>
      <c r="W22" s="38">
        <v>30.412991703747899</v>
      </c>
    </row>
    <row r="23" spans="1:25" x14ac:dyDescent="0.3">
      <c r="A23" s="21" t="s">
        <v>187</v>
      </c>
      <c r="B23" s="22"/>
      <c r="C23" s="23"/>
      <c r="D23" s="22"/>
      <c r="E23" s="22"/>
      <c r="F23" s="22"/>
      <c r="G23" s="22"/>
      <c r="H23" s="23"/>
      <c r="I23" s="22"/>
      <c r="J23" s="23"/>
      <c r="K23" s="23"/>
      <c r="L23" s="23"/>
      <c r="M23" s="23"/>
      <c r="N23" s="22"/>
      <c r="O23" s="31"/>
      <c r="P23" s="31"/>
      <c r="Q23" s="31"/>
      <c r="R23" s="31"/>
      <c r="S23" s="31"/>
      <c r="T23" s="31">
        <v>7.1257546557813702</v>
      </c>
      <c r="U23" s="40">
        <v>0</v>
      </c>
      <c r="V23" s="40">
        <v>0</v>
      </c>
      <c r="W23" s="31">
        <v>23.137521307693099</v>
      </c>
    </row>
    <row r="24" spans="1:25" x14ac:dyDescent="0.3">
      <c r="A24" s="21" t="s">
        <v>157</v>
      </c>
      <c r="B24" s="22"/>
      <c r="C24" s="23"/>
      <c r="D24" s="22"/>
      <c r="E24" s="22"/>
      <c r="F24" s="22"/>
      <c r="G24" s="22"/>
      <c r="H24" s="23"/>
      <c r="I24" s="22"/>
      <c r="J24" s="23"/>
      <c r="K24" s="23"/>
      <c r="L24" s="23"/>
      <c r="M24" s="23"/>
      <c r="N24" s="22"/>
      <c r="O24" s="31"/>
      <c r="P24" s="31"/>
      <c r="Q24" s="31"/>
      <c r="R24" s="31"/>
      <c r="S24" s="31"/>
      <c r="T24" s="31">
        <v>0</v>
      </c>
      <c r="U24" s="40">
        <v>0</v>
      </c>
      <c r="V24" s="40">
        <v>0</v>
      </c>
      <c r="W24" s="31">
        <v>0</v>
      </c>
    </row>
    <row r="25" spans="1:25" x14ac:dyDescent="0.3">
      <c r="A25" s="21" t="s">
        <v>158</v>
      </c>
      <c r="B25" s="22"/>
      <c r="C25" s="23"/>
      <c r="D25" s="22"/>
      <c r="E25" s="22"/>
      <c r="F25" s="22"/>
      <c r="G25" s="22"/>
      <c r="H25" s="23"/>
      <c r="I25" s="22"/>
      <c r="J25" s="23"/>
      <c r="K25" s="23"/>
      <c r="L25" s="23"/>
      <c r="M25" s="23"/>
      <c r="N25" s="22"/>
      <c r="O25" s="31"/>
      <c r="P25" s="31"/>
      <c r="Q25" s="31"/>
      <c r="R25" s="31"/>
      <c r="S25" s="31"/>
      <c r="T25" s="31">
        <v>9.6273722840551095</v>
      </c>
      <c r="U25" s="40">
        <v>0</v>
      </c>
      <c r="V25" s="40">
        <v>0</v>
      </c>
      <c r="W25" s="31">
        <v>7.2754703960547804</v>
      </c>
    </row>
    <row r="26" spans="1:25" x14ac:dyDescent="0.3">
      <c r="A26" s="1" t="s">
        <v>145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31"/>
      <c r="Q26" s="31"/>
      <c r="R26" s="31"/>
      <c r="S26" s="31"/>
      <c r="T26" s="31"/>
      <c r="U26" s="40"/>
      <c r="V26" s="40"/>
      <c r="W26" s="31"/>
    </row>
    <row r="27" spans="1:25" x14ac:dyDescent="0.3">
      <c r="A27" t="s">
        <v>188</v>
      </c>
      <c r="B27" s="22"/>
      <c r="C27" s="22"/>
      <c r="D27" s="22"/>
      <c r="E27" s="22"/>
      <c r="F27" s="22"/>
      <c r="G27" s="22"/>
      <c r="H27" s="22"/>
      <c r="I27" s="22"/>
      <c r="J27" s="22">
        <v>0</v>
      </c>
      <c r="K27" s="22">
        <v>0</v>
      </c>
      <c r="L27" s="22">
        <v>0</v>
      </c>
      <c r="M27" s="23">
        <v>6.5130000000000097</v>
      </c>
      <c r="N27" s="22">
        <v>13.5389999999999</v>
      </c>
      <c r="O27" s="22">
        <v>0</v>
      </c>
      <c r="P27" s="31">
        <v>0</v>
      </c>
      <c r="Q27" s="31">
        <v>0</v>
      </c>
      <c r="R27" s="31">
        <v>0</v>
      </c>
      <c r="S27" s="31">
        <v>0</v>
      </c>
      <c r="T27" s="31">
        <v>0</v>
      </c>
      <c r="U27" s="40">
        <v>0</v>
      </c>
      <c r="V27" s="40">
        <v>0</v>
      </c>
      <c r="W27" s="31">
        <v>6.5129999999999901</v>
      </c>
    </row>
    <row r="28" spans="1:25" x14ac:dyDescent="0.3">
      <c r="A28" s="21" t="s">
        <v>159</v>
      </c>
      <c r="B28" s="23">
        <v>160</v>
      </c>
      <c r="C28" s="23">
        <v>120</v>
      </c>
      <c r="D28" s="23">
        <v>120</v>
      </c>
      <c r="E28" s="23">
        <v>120</v>
      </c>
      <c r="F28" s="23">
        <v>120</v>
      </c>
      <c r="G28" s="23">
        <v>120</v>
      </c>
      <c r="H28" s="23">
        <v>120</v>
      </c>
      <c r="I28" s="23">
        <v>120</v>
      </c>
      <c r="J28" s="23">
        <v>120</v>
      </c>
      <c r="K28" s="23">
        <v>120</v>
      </c>
      <c r="L28" s="23">
        <v>120</v>
      </c>
      <c r="M28" s="23">
        <v>120</v>
      </c>
      <c r="N28" s="22">
        <v>120</v>
      </c>
      <c r="O28" s="22">
        <v>160</v>
      </c>
      <c r="P28" s="22">
        <v>120</v>
      </c>
      <c r="Q28" s="22">
        <v>120</v>
      </c>
      <c r="R28" s="22">
        <v>120</v>
      </c>
      <c r="S28" s="22">
        <v>120</v>
      </c>
      <c r="T28" s="31">
        <v>120</v>
      </c>
      <c r="U28" s="40">
        <v>120</v>
      </c>
      <c r="V28" s="40">
        <v>120</v>
      </c>
      <c r="W28" s="31">
        <v>120</v>
      </c>
    </row>
    <row r="29" spans="1:25" x14ac:dyDescent="0.3">
      <c r="A29" s="21" t="s">
        <v>160</v>
      </c>
      <c r="B29" s="24">
        <v>0</v>
      </c>
      <c r="C29" s="23">
        <v>19.317999999998101</v>
      </c>
      <c r="D29" s="23">
        <v>19.318000000000001</v>
      </c>
      <c r="E29" s="23">
        <v>19.1075386063049</v>
      </c>
      <c r="F29" s="23">
        <v>122.205999583386</v>
      </c>
      <c r="G29" s="23">
        <v>247.92105228839</v>
      </c>
      <c r="H29" s="23">
        <v>37.899794392882598</v>
      </c>
      <c r="I29" s="23">
        <v>37.899794392882598</v>
      </c>
      <c r="J29" s="23">
        <v>19.317999999998499</v>
      </c>
      <c r="K29" s="23">
        <v>19.317999999999</v>
      </c>
      <c r="L29" s="23">
        <v>19.317999999998499</v>
      </c>
      <c r="M29" s="23">
        <v>11.5709999999999</v>
      </c>
      <c r="N29" s="22">
        <v>10</v>
      </c>
      <c r="O29" s="22">
        <v>0</v>
      </c>
      <c r="P29" s="22">
        <v>37.899794392882498</v>
      </c>
      <c r="Q29" s="22">
        <v>19.2894767679634</v>
      </c>
      <c r="R29" s="22">
        <v>122.205999583386</v>
      </c>
      <c r="S29" s="22">
        <v>247.921052288391</v>
      </c>
      <c r="T29" s="22">
        <v>19.318000000000701</v>
      </c>
      <c r="U29" s="45">
        <v>19.2894767679634</v>
      </c>
      <c r="V29" s="41">
        <v>247.921052288391</v>
      </c>
      <c r="W29" s="31">
        <v>11.571</v>
      </c>
    </row>
    <row r="30" spans="1:25" x14ac:dyDescent="0.3">
      <c r="A30" s="21" t="s">
        <v>189</v>
      </c>
      <c r="B30" s="24"/>
      <c r="C30" s="23"/>
      <c r="D30" s="23"/>
      <c r="E30" s="23"/>
      <c r="F30" s="23"/>
      <c r="G30" s="23"/>
      <c r="H30" s="23"/>
      <c r="I30" s="23"/>
      <c r="J30" s="23">
        <v>0</v>
      </c>
      <c r="K30" s="23">
        <v>0</v>
      </c>
      <c r="L30" s="23">
        <v>0</v>
      </c>
      <c r="M30" s="27">
        <v>22.260649999999998</v>
      </c>
      <c r="N30" s="22">
        <v>35.286649999999902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41">
        <v>0</v>
      </c>
      <c r="V30" s="41">
        <v>0</v>
      </c>
      <c r="W30" s="22">
        <v>22.260649999999998</v>
      </c>
    </row>
    <row r="31" spans="1:25" x14ac:dyDescent="0.3">
      <c r="A31" t="s">
        <v>161</v>
      </c>
      <c r="B31" s="22">
        <v>160</v>
      </c>
      <c r="C31" s="22">
        <v>120</v>
      </c>
      <c r="D31" s="22">
        <v>120</v>
      </c>
      <c r="E31" s="22">
        <v>120</v>
      </c>
      <c r="F31" s="22">
        <v>120</v>
      </c>
      <c r="G31" s="22">
        <v>120</v>
      </c>
      <c r="H31" s="22">
        <v>120</v>
      </c>
      <c r="I31" s="22">
        <v>120</v>
      </c>
      <c r="J31" s="22">
        <v>120</v>
      </c>
      <c r="K31" s="22">
        <v>120</v>
      </c>
      <c r="L31" s="22">
        <v>120</v>
      </c>
      <c r="M31" s="22">
        <v>120</v>
      </c>
      <c r="N31" s="22">
        <v>120</v>
      </c>
      <c r="O31" s="22">
        <v>160</v>
      </c>
      <c r="P31" s="22">
        <v>120</v>
      </c>
      <c r="Q31" s="22">
        <v>120</v>
      </c>
      <c r="R31" s="22">
        <v>120</v>
      </c>
      <c r="S31" s="22">
        <v>120</v>
      </c>
      <c r="T31" s="22">
        <v>120</v>
      </c>
      <c r="U31" s="41">
        <v>120</v>
      </c>
      <c r="V31" s="41">
        <v>120</v>
      </c>
      <c r="W31" s="22">
        <v>120</v>
      </c>
    </row>
    <row r="32" spans="1:25" x14ac:dyDescent="0.3">
      <c r="A32" t="s">
        <v>162</v>
      </c>
      <c r="B32" s="22">
        <v>0</v>
      </c>
      <c r="C32" s="22">
        <v>19.317999999998101</v>
      </c>
      <c r="D32" s="22">
        <v>19.318000000000001</v>
      </c>
      <c r="E32" s="23">
        <v>26.638889483497699</v>
      </c>
      <c r="F32" s="23">
        <v>216.82680843088301</v>
      </c>
      <c r="G32" s="23">
        <v>391.92105228839</v>
      </c>
      <c r="H32" s="22">
        <v>37.899794392882598</v>
      </c>
      <c r="I32" s="22">
        <v>37.899794392882598</v>
      </c>
      <c r="J32" s="28">
        <v>19.317999999998399</v>
      </c>
      <c r="K32" s="28">
        <v>19.317999999999</v>
      </c>
      <c r="L32" s="22">
        <v>19.317999999998399</v>
      </c>
      <c r="M32" s="28">
        <v>11.5709999999999</v>
      </c>
      <c r="N32" s="22">
        <v>10</v>
      </c>
      <c r="O32" s="22">
        <v>0</v>
      </c>
      <c r="P32" s="28">
        <v>37.899794392882498</v>
      </c>
      <c r="Q32" s="28">
        <v>21.289772706054599</v>
      </c>
      <c r="R32" s="28">
        <v>216.82680843088301</v>
      </c>
      <c r="S32" s="28">
        <v>391.92105228839102</v>
      </c>
      <c r="T32" s="22">
        <v>19.318000000000701</v>
      </c>
      <c r="U32" s="45">
        <v>21.289772706054599</v>
      </c>
      <c r="V32" s="41">
        <v>391.92105228839102</v>
      </c>
      <c r="W32" s="22">
        <v>11.571</v>
      </c>
    </row>
    <row r="33" spans="1:23" x14ac:dyDescent="0.3">
      <c r="A33" s="1" t="s">
        <v>163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31"/>
      <c r="U33" s="40"/>
      <c r="V33" s="40"/>
      <c r="W33" s="22"/>
    </row>
    <row r="34" spans="1:23" x14ac:dyDescent="0.3">
      <c r="A34" t="s">
        <v>164</v>
      </c>
      <c r="B34" s="22">
        <v>295.000317319891</v>
      </c>
      <c r="C34" s="22">
        <v>295.000317319891</v>
      </c>
      <c r="D34" s="22">
        <v>295.000317319891</v>
      </c>
      <c r="E34" s="22">
        <v>295.000317319891</v>
      </c>
      <c r="F34" s="22">
        <v>295.000317319891</v>
      </c>
      <c r="G34" s="22">
        <v>295.000317319891</v>
      </c>
      <c r="H34" s="22">
        <v>295.000317319891</v>
      </c>
      <c r="I34" s="22">
        <v>295.000317319891</v>
      </c>
      <c r="J34" s="22">
        <v>295.000317319891</v>
      </c>
      <c r="K34" s="22">
        <v>295.000317319891</v>
      </c>
      <c r="L34" s="22">
        <v>295.000317319891</v>
      </c>
      <c r="M34" s="22">
        <v>295.000317319891</v>
      </c>
      <c r="N34" s="22">
        <v>295.000317319891</v>
      </c>
      <c r="O34" s="22">
        <v>295.000317319891</v>
      </c>
      <c r="P34" s="22">
        <v>295.000317319891</v>
      </c>
      <c r="Q34" s="22">
        <v>295.000317319891</v>
      </c>
      <c r="R34" s="22">
        <v>295.000317319891</v>
      </c>
      <c r="S34" s="22">
        <v>295.000317319891</v>
      </c>
      <c r="T34" s="22">
        <v>295.000317319891</v>
      </c>
      <c r="U34" s="41">
        <v>295.000317319891</v>
      </c>
      <c r="V34" s="41">
        <v>483.82489212517697</v>
      </c>
      <c r="W34" s="31">
        <v>295.01205172744898</v>
      </c>
    </row>
    <row r="35" spans="1:23" x14ac:dyDescent="0.3">
      <c r="A35" t="s">
        <v>165</v>
      </c>
      <c r="B35" s="22">
        <v>0</v>
      </c>
      <c r="C35" s="22">
        <v>0</v>
      </c>
      <c r="D35" s="22">
        <v>0</v>
      </c>
      <c r="E35" s="22">
        <v>0</v>
      </c>
      <c r="F35" s="22">
        <v>0</v>
      </c>
      <c r="G35" s="23">
        <v>188.79867977994701</v>
      </c>
      <c r="H35" s="23">
        <v>0.24840661296942801</v>
      </c>
      <c r="I35" s="22">
        <v>0</v>
      </c>
      <c r="J35" s="22">
        <v>0</v>
      </c>
      <c r="K35" s="22">
        <v>0</v>
      </c>
      <c r="L35" s="22">
        <v>0</v>
      </c>
      <c r="M35" s="28">
        <v>1.2147022941970301E-2</v>
      </c>
      <c r="N35" s="22">
        <v>0</v>
      </c>
      <c r="O35" s="22">
        <v>0</v>
      </c>
      <c r="P35" s="22">
        <v>0.248406612969475</v>
      </c>
      <c r="Q35" s="22">
        <v>0</v>
      </c>
      <c r="R35" s="22">
        <v>0</v>
      </c>
      <c r="S35" s="22">
        <v>188.82457480528501</v>
      </c>
      <c r="T35" s="22">
        <v>0</v>
      </c>
      <c r="U35" s="41">
        <v>0</v>
      </c>
      <c r="V35" s="41">
        <v>188.82457480528501</v>
      </c>
      <c r="W35" s="22">
        <v>1.1734407557354901E-2</v>
      </c>
    </row>
    <row r="36" spans="1:23" x14ac:dyDescent="0.3">
      <c r="A36" t="s">
        <v>166</v>
      </c>
      <c r="B36" s="22">
        <v>295.000317319891</v>
      </c>
      <c r="C36" s="22">
        <v>295.000317319891</v>
      </c>
      <c r="D36" s="22">
        <v>308.68374473584799</v>
      </c>
      <c r="E36" s="22">
        <v>295.000317319891</v>
      </c>
      <c r="F36" s="22">
        <v>448.09020719371603</v>
      </c>
      <c r="G36" s="22">
        <v>791.61530740721696</v>
      </c>
      <c r="H36" s="22">
        <v>316.112270034147</v>
      </c>
      <c r="I36" s="22">
        <v>295.000317319891</v>
      </c>
      <c r="J36" s="22">
        <v>295.000317319891</v>
      </c>
      <c r="K36" s="22">
        <v>308.23727072792798</v>
      </c>
      <c r="L36" s="22">
        <v>295.000317319891</v>
      </c>
      <c r="M36" s="22">
        <v>305.015817616074</v>
      </c>
      <c r="N36" s="22">
        <v>295.01643115561097</v>
      </c>
      <c r="O36" s="22">
        <v>295.000317319891</v>
      </c>
      <c r="P36" s="22">
        <v>315.60675449025399</v>
      </c>
      <c r="Q36" s="22">
        <v>295.000317319891</v>
      </c>
      <c r="R36" s="22">
        <v>448.09020719371603</v>
      </c>
      <c r="S36" s="22">
        <v>791.64120243255502</v>
      </c>
      <c r="T36" s="22">
        <v>295.000317319891</v>
      </c>
      <c r="U36" s="41">
        <v>295.000317319891</v>
      </c>
      <c r="V36" s="41">
        <v>295.000317319891</v>
      </c>
      <c r="W36" s="22">
        <v>295.000317319891</v>
      </c>
    </row>
    <row r="37" spans="1:23" x14ac:dyDescent="0.3">
      <c r="A37" s="21" t="s">
        <v>187</v>
      </c>
      <c r="B37" s="22"/>
      <c r="C37" s="22"/>
      <c r="D37" s="22"/>
      <c r="E37" s="22"/>
      <c r="F37" s="22"/>
      <c r="G37" s="22"/>
      <c r="H37" s="22"/>
      <c r="I37" s="22"/>
      <c r="J37" s="22">
        <v>0</v>
      </c>
      <c r="K37" s="22">
        <v>7.4546250000000105E-2</v>
      </c>
      <c r="L37" s="22">
        <v>0</v>
      </c>
      <c r="M37" s="22">
        <v>0.24193586538461401</v>
      </c>
      <c r="N37" s="22">
        <v>0</v>
      </c>
      <c r="O37" s="22">
        <v>0</v>
      </c>
      <c r="P37" s="22">
        <v>7.4546250000000105E-2</v>
      </c>
      <c r="Q37" s="22">
        <v>0</v>
      </c>
      <c r="R37" s="22">
        <v>4.1295274628879797E-3</v>
      </c>
      <c r="S37" s="22">
        <v>2.8985241059379101E-2</v>
      </c>
      <c r="T37" s="22">
        <v>13.2369534080383</v>
      </c>
      <c r="U37" s="41">
        <v>0</v>
      </c>
      <c r="V37" s="41">
        <v>307.81631030742801</v>
      </c>
      <c r="W37" s="22">
        <v>10.003353273235801</v>
      </c>
    </row>
    <row r="38" spans="1:23" x14ac:dyDescent="0.3">
      <c r="A38" s="21" t="s">
        <v>157</v>
      </c>
      <c r="B38" s="22">
        <v>295.000317319891</v>
      </c>
      <c r="C38" s="22">
        <v>295.000317319891</v>
      </c>
      <c r="D38" s="22">
        <v>297.27766382815599</v>
      </c>
      <c r="E38" s="22">
        <v>295.000317319891</v>
      </c>
      <c r="F38" s="22">
        <v>320.47922078145899</v>
      </c>
      <c r="G38" s="22">
        <v>535.02917344055004</v>
      </c>
      <c r="H38" s="22">
        <v>298.72106477403702</v>
      </c>
      <c r="I38" s="22">
        <v>295.000317319891</v>
      </c>
      <c r="J38" s="22">
        <v>295.000317319891</v>
      </c>
      <c r="K38" s="22">
        <v>297.128810462545</v>
      </c>
      <c r="L38" s="22">
        <v>295.000317319891</v>
      </c>
      <c r="M38" s="22">
        <v>296.43539656607197</v>
      </c>
      <c r="N38" s="22">
        <v>295.00299916168399</v>
      </c>
      <c r="O38" s="22">
        <v>295.000317319891</v>
      </c>
      <c r="P38" s="22">
        <v>298.562385066552</v>
      </c>
      <c r="Q38" s="22">
        <v>295.000317319891</v>
      </c>
      <c r="R38" s="22">
        <v>320.47509125399603</v>
      </c>
      <c r="S38" s="22">
        <v>535.02608322482797</v>
      </c>
      <c r="T38" s="22">
        <v>297.20335671254497</v>
      </c>
      <c r="U38" s="41">
        <v>295.000317319891</v>
      </c>
      <c r="V38" s="41">
        <v>535.05506846588798</v>
      </c>
      <c r="W38" s="22">
        <v>296.67691981607197</v>
      </c>
    </row>
    <row r="39" spans="1:23" x14ac:dyDescent="0.3">
      <c r="A39" s="21" t="s">
        <v>158</v>
      </c>
      <c r="B39" s="22">
        <v>0</v>
      </c>
      <c r="C39" s="22">
        <v>0</v>
      </c>
      <c r="D39" s="22">
        <v>11.406080907692299</v>
      </c>
      <c r="E39" s="22">
        <v>0</v>
      </c>
      <c r="F39" s="23">
        <v>127.61098641225701</v>
      </c>
      <c r="G39" s="22">
        <v>256.58613396666601</v>
      </c>
      <c r="H39" s="22">
        <v>17.391205260109299</v>
      </c>
      <c r="I39" s="22">
        <v>0</v>
      </c>
      <c r="J39" s="22">
        <v>0</v>
      </c>
      <c r="K39" s="22">
        <v>11.033914015382599</v>
      </c>
      <c r="L39" s="22">
        <v>0</v>
      </c>
      <c r="M39" s="22">
        <v>8.3384851846172197</v>
      </c>
      <c r="N39" s="22">
        <v>1.3431993927125701E-2</v>
      </c>
      <c r="O39" s="22">
        <v>0</v>
      </c>
      <c r="P39" s="22">
        <v>16.9698231737021</v>
      </c>
      <c r="Q39" s="22">
        <v>0</v>
      </c>
      <c r="R39" s="22">
        <v>127.61098641225701</v>
      </c>
      <c r="S39" s="22">
        <v>256.58613396666601</v>
      </c>
      <c r="T39" s="22">
        <v>7.4546249999996497E-2</v>
      </c>
      <c r="U39" s="41">
        <v>0</v>
      </c>
      <c r="V39" s="41">
        <v>2.8985241059379101E-2</v>
      </c>
      <c r="W39" s="22">
        <v>0.24193586538461501</v>
      </c>
    </row>
    <row r="40" spans="1:23" x14ac:dyDescent="0.3">
      <c r="A40" t="s">
        <v>167</v>
      </c>
      <c r="B40" s="22">
        <v>0</v>
      </c>
      <c r="C40" s="22">
        <v>0</v>
      </c>
      <c r="D40" s="22">
        <v>0</v>
      </c>
      <c r="E40" s="22">
        <v>0</v>
      </c>
      <c r="F40" s="22">
        <v>0</v>
      </c>
      <c r="G40" s="23">
        <v>110.673766150169</v>
      </c>
      <c r="H40" s="22">
        <v>0.24840661296942801</v>
      </c>
      <c r="I40" s="22">
        <v>0</v>
      </c>
      <c r="J40" s="22">
        <v>0</v>
      </c>
      <c r="K40" s="22">
        <v>0</v>
      </c>
      <c r="L40" s="22">
        <v>0</v>
      </c>
      <c r="M40" s="28">
        <v>1.2147022941970301E-2</v>
      </c>
      <c r="N40" s="22">
        <v>0</v>
      </c>
      <c r="O40" s="22">
        <v>0</v>
      </c>
      <c r="P40" s="22">
        <v>0.248406612969475</v>
      </c>
      <c r="Q40" s="22">
        <v>0</v>
      </c>
      <c r="R40" s="22">
        <v>0</v>
      </c>
      <c r="S40" s="22">
        <v>110.712525756633</v>
      </c>
      <c r="T40" s="22">
        <v>297.128810462545</v>
      </c>
      <c r="U40" s="41">
        <v>295.000317319891</v>
      </c>
      <c r="V40" s="41">
        <v>535.02608322482797</v>
      </c>
      <c r="W40" s="22">
        <v>296.43498395068798</v>
      </c>
    </row>
    <row r="41" spans="1:23" x14ac:dyDescent="0.3">
      <c r="A41" t="s">
        <v>168</v>
      </c>
      <c r="B41" s="22">
        <v>295.04511308241899</v>
      </c>
      <c r="C41" s="22">
        <v>295.41590260856299</v>
      </c>
      <c r="D41" s="22">
        <v>308.68374473584902</v>
      </c>
      <c r="E41" s="22">
        <v>296.299332627843</v>
      </c>
      <c r="F41" s="22">
        <v>419.81106855205098</v>
      </c>
      <c r="G41" s="22">
        <v>608.26854485884803</v>
      </c>
      <c r="H41" s="22">
        <v>316.10567720205302</v>
      </c>
      <c r="I41" s="22">
        <v>295.37940902635</v>
      </c>
      <c r="J41" s="22">
        <v>295.59740687470497</v>
      </c>
      <c r="K41" s="22">
        <v>308.23727072792798</v>
      </c>
      <c r="L41" s="22">
        <v>295.59740687470497</v>
      </c>
      <c r="M41" s="22">
        <v>305.01581761606599</v>
      </c>
      <c r="N41" s="22">
        <v>296.679587391876</v>
      </c>
      <c r="O41" s="22">
        <v>295.23957968766501</v>
      </c>
      <c r="P41" s="22">
        <v>315.60016165816103</v>
      </c>
      <c r="Q41" s="22">
        <v>296.25677745253802</v>
      </c>
      <c r="R41" s="22">
        <v>419.81106855205098</v>
      </c>
      <c r="S41" s="22">
        <v>608.33240551905601</v>
      </c>
      <c r="T41" s="22">
        <v>11.033914015384299</v>
      </c>
      <c r="U41" s="41">
        <v>0</v>
      </c>
      <c r="V41" s="41">
        <v>256.58613396666601</v>
      </c>
      <c r="W41" s="22">
        <v>8.3384851846172303</v>
      </c>
    </row>
    <row r="42" spans="1:23" x14ac:dyDescent="0.3">
      <c r="A42" s="21" t="s">
        <v>187</v>
      </c>
      <c r="B42" s="22"/>
      <c r="C42" s="22"/>
      <c r="D42" s="22"/>
      <c r="E42" s="22"/>
      <c r="F42" s="22"/>
      <c r="G42" s="22"/>
      <c r="H42" s="22"/>
      <c r="I42" s="22"/>
      <c r="J42" s="23">
        <v>2.7764718623481802E-2</v>
      </c>
      <c r="K42" s="23">
        <v>7.4895800607287399E-2</v>
      </c>
      <c r="L42" s="22">
        <v>2.7764718623481802E-2</v>
      </c>
      <c r="M42" s="22">
        <v>9.4308724290674295</v>
      </c>
      <c r="N42" s="22">
        <v>9.2420105496544291</v>
      </c>
      <c r="O42" s="22">
        <v>2.7950089743589701E-2</v>
      </c>
      <c r="P42" s="22">
        <v>7.5486781871036704E-2</v>
      </c>
      <c r="Q42" s="22">
        <v>9.7270674387141508E-3</v>
      </c>
      <c r="R42" s="22">
        <v>4.6068136154709697E-3</v>
      </c>
      <c r="S42" s="22">
        <v>6.8145711638221695E-2</v>
      </c>
      <c r="T42" s="22"/>
      <c r="U42" s="41"/>
      <c r="V42" s="41"/>
      <c r="W42" s="22"/>
    </row>
    <row r="43" spans="1:23" x14ac:dyDescent="0.3">
      <c r="A43" s="21" t="s">
        <v>157</v>
      </c>
      <c r="B43" s="22">
        <v>295.00777272344402</v>
      </c>
      <c r="C43" s="22">
        <v>295.06948359506799</v>
      </c>
      <c r="D43" s="22">
        <v>297.27766382815702</v>
      </c>
      <c r="E43" s="22">
        <v>295.21651373660501</v>
      </c>
      <c r="F43" s="22">
        <v>315.772695458187</v>
      </c>
      <c r="G43" s="22">
        <v>439.392082273413</v>
      </c>
      <c r="H43" s="22">
        <v>298.7199675224</v>
      </c>
      <c r="I43" s="22">
        <v>295.06340993169198</v>
      </c>
      <c r="J43" s="22">
        <v>295.07192681296402</v>
      </c>
      <c r="K43" s="22">
        <v>297.12846091193802</v>
      </c>
      <c r="L43" s="22">
        <v>295.07192681296402</v>
      </c>
      <c r="M43" s="22">
        <v>287.24646000238101</v>
      </c>
      <c r="N43" s="22">
        <v>286.03778936758499</v>
      </c>
      <c r="O43" s="22">
        <v>295.01218790527599</v>
      </c>
      <c r="P43" s="22">
        <v>298.56034728304297</v>
      </c>
      <c r="Q43" s="22">
        <v>295.19970416880102</v>
      </c>
      <c r="R43" s="22">
        <v>315.76808864457098</v>
      </c>
      <c r="S43" s="22">
        <v>439.366873761715</v>
      </c>
      <c r="T43" s="22">
        <v>295.000317319891</v>
      </c>
      <c r="U43" s="41">
        <v>295.000317319891</v>
      </c>
      <c r="V43" s="41">
        <v>405.71284307652502</v>
      </c>
      <c r="W43" s="22">
        <v>295.01205172744898</v>
      </c>
    </row>
    <row r="44" spans="1:23" x14ac:dyDescent="0.3">
      <c r="A44" s="21" t="s">
        <v>158</v>
      </c>
      <c r="B44" s="22">
        <v>3.7340358974359403E-2</v>
      </c>
      <c r="C44" s="23">
        <v>0.34641901349521398</v>
      </c>
      <c r="D44" s="23">
        <v>11.406080907692299</v>
      </c>
      <c r="E44" s="23">
        <v>1.08281889123819</v>
      </c>
      <c r="F44" s="23">
        <v>104.038373093864</v>
      </c>
      <c r="G44" s="22">
        <v>168.87646258543501</v>
      </c>
      <c r="H44" s="22">
        <v>17.3857096796539</v>
      </c>
      <c r="I44" s="22">
        <v>0.315999094657965</v>
      </c>
      <c r="J44" s="23">
        <v>0.49771534311736398</v>
      </c>
      <c r="K44" s="23">
        <v>11.033914015382599</v>
      </c>
      <c r="L44" s="23">
        <v>0.49771534311736398</v>
      </c>
      <c r="M44" s="23">
        <v>8.3384851846171699</v>
      </c>
      <c r="N44" s="22">
        <v>1.3997874746368799</v>
      </c>
      <c r="O44" s="22">
        <v>0.199441692645074</v>
      </c>
      <c r="P44" s="22">
        <v>16.964327593246701</v>
      </c>
      <c r="Q44" s="22">
        <v>1.0473462162976599</v>
      </c>
      <c r="R44" s="22">
        <v>104.038373093864</v>
      </c>
      <c r="S44" s="22">
        <v>168.89738604570201</v>
      </c>
      <c r="T44" s="22">
        <v>0</v>
      </c>
      <c r="U44" s="41">
        <v>0</v>
      </c>
      <c r="V44" s="41">
        <v>110.712525756633</v>
      </c>
      <c r="W44" s="22">
        <v>1.1734407557354901E-2</v>
      </c>
    </row>
    <row r="45" spans="1:23" x14ac:dyDescent="0.3">
      <c r="A45" s="1" t="s">
        <v>169</v>
      </c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>
        <v>295.000317319891</v>
      </c>
      <c r="U45" s="41">
        <v>295.000317319891</v>
      </c>
      <c r="V45" s="41">
        <v>295.000317319891</v>
      </c>
      <c r="W45" s="22">
        <v>295.000317319891</v>
      </c>
    </row>
    <row r="46" spans="1:23" x14ac:dyDescent="0.3">
      <c r="A46" t="s">
        <v>170</v>
      </c>
      <c r="B46" s="22">
        <v>0</v>
      </c>
      <c r="C46" s="22">
        <v>0</v>
      </c>
      <c r="D46" s="22">
        <v>149.99999999999901</v>
      </c>
      <c r="E46" s="22">
        <v>0</v>
      </c>
      <c r="F46" s="22">
        <v>128.182183752193</v>
      </c>
      <c r="G46" s="22">
        <v>146.874011439464</v>
      </c>
      <c r="H46" s="22">
        <v>149.99909976143601</v>
      </c>
      <c r="I46" s="22">
        <v>0</v>
      </c>
      <c r="J46" s="22">
        <v>0</v>
      </c>
      <c r="K46" s="22">
        <v>150.00000000000099</v>
      </c>
      <c r="L46" s="22">
        <v>0</v>
      </c>
      <c r="M46" s="22">
        <v>149.99999999999901</v>
      </c>
      <c r="N46" s="22">
        <v>0.17850165768583101</v>
      </c>
      <c r="O46" s="22">
        <v>0</v>
      </c>
      <c r="P46" s="22">
        <v>149.99909976143499</v>
      </c>
      <c r="Q46" s="22">
        <v>0</v>
      </c>
      <c r="R46" s="22">
        <v>118.474592786435</v>
      </c>
      <c r="S46" s="22">
        <v>145.295276013603</v>
      </c>
      <c r="T46" s="22">
        <v>13.2369534080382</v>
      </c>
      <c r="U46" s="41">
        <v>1.2564601326317599</v>
      </c>
      <c r="V46" s="41">
        <v>202.61956244258701</v>
      </c>
      <c r="W46" s="22">
        <v>10.0033532732357</v>
      </c>
    </row>
    <row r="47" spans="1:23" x14ac:dyDescent="0.3">
      <c r="A47" t="s">
        <v>171</v>
      </c>
      <c r="B47" s="22">
        <v>0</v>
      </c>
      <c r="C47" s="22">
        <v>0</v>
      </c>
      <c r="D47" s="22">
        <v>150.00000000000401</v>
      </c>
      <c r="E47" s="22">
        <v>0</v>
      </c>
      <c r="F47" s="22">
        <v>150.00000000000199</v>
      </c>
      <c r="G47" s="22">
        <v>150.00000000000199</v>
      </c>
      <c r="H47" s="22">
        <v>149.99909976144099</v>
      </c>
      <c r="I47" s="22">
        <v>0</v>
      </c>
      <c r="J47" s="22">
        <v>0</v>
      </c>
      <c r="K47" s="22">
        <v>150.00000000000401</v>
      </c>
      <c r="L47" s="22">
        <v>0</v>
      </c>
      <c r="M47" s="22">
        <v>150.00000000000199</v>
      </c>
      <c r="N47" s="22">
        <v>1.39912761092217</v>
      </c>
      <c r="O47" s="22">
        <v>0</v>
      </c>
      <c r="P47" s="22">
        <v>149.999099761438</v>
      </c>
      <c r="Q47" s="22">
        <v>0</v>
      </c>
      <c r="R47" s="22">
        <v>150.00000000000199</v>
      </c>
      <c r="S47" s="22">
        <v>150.00000000000199</v>
      </c>
      <c r="T47" s="22">
        <v>297.203356712546</v>
      </c>
      <c r="U47" s="41">
        <v>295.20943123623999</v>
      </c>
      <c r="V47" s="41">
        <v>439.43501947335398</v>
      </c>
      <c r="W47" s="22">
        <v>296.67691981606401</v>
      </c>
    </row>
    <row r="48" spans="1:23" x14ac:dyDescent="0.3">
      <c r="A48" t="s">
        <v>172</v>
      </c>
      <c r="B48" s="22">
        <v>0.85205273307684004</v>
      </c>
      <c r="C48" s="22">
        <v>3.5365920176916799</v>
      </c>
      <c r="D48" s="22">
        <v>149.99999999999901</v>
      </c>
      <c r="E48" s="22">
        <v>6.6893613468302</v>
      </c>
      <c r="F48" s="22">
        <v>107.772794592032</v>
      </c>
      <c r="G48" s="22">
        <v>106.777007183226</v>
      </c>
      <c r="H48" s="22">
        <v>149.977517696262</v>
      </c>
      <c r="I48" s="22">
        <v>2.1860572090588901</v>
      </c>
      <c r="J48" s="22">
        <v>7.0509048193495198</v>
      </c>
      <c r="K48" s="22">
        <v>150.00000000000099</v>
      </c>
      <c r="L48" s="22">
        <v>7.0509048193495198</v>
      </c>
      <c r="M48" s="22">
        <v>149.99999999999901</v>
      </c>
      <c r="N48" s="22">
        <v>27.398042115645399</v>
      </c>
      <c r="O48" s="22">
        <v>4.5509696204151702</v>
      </c>
      <c r="P48" s="22">
        <v>149.977517696261</v>
      </c>
      <c r="Q48" s="22">
        <v>7.6216828559801701</v>
      </c>
      <c r="R48" s="22">
        <v>100.219393901804</v>
      </c>
      <c r="S48" s="22">
        <v>105.870230874006</v>
      </c>
      <c r="T48" s="22">
        <v>7.4895800607283999E-2</v>
      </c>
      <c r="U48" s="41">
        <v>9.7270674387141508E-3</v>
      </c>
      <c r="V48" s="41">
        <v>6.8145711638221695E-2</v>
      </c>
      <c r="W48" s="22">
        <v>9.4313132882776092</v>
      </c>
    </row>
    <row r="49" spans="1:23" x14ac:dyDescent="0.3">
      <c r="A49" t="s">
        <v>173</v>
      </c>
      <c r="B49" s="22">
        <v>1.9927268884149201</v>
      </c>
      <c r="C49" s="22">
        <v>8.2309193489321792</v>
      </c>
      <c r="D49" s="22">
        <v>150.00000000000401</v>
      </c>
      <c r="E49" s="22">
        <v>8.7662722674693505</v>
      </c>
      <c r="F49" s="22">
        <v>150</v>
      </c>
      <c r="G49" s="22">
        <v>150.00000000000199</v>
      </c>
      <c r="H49" s="22">
        <v>149.999099761438</v>
      </c>
      <c r="I49" s="22">
        <v>3.4343188852731101</v>
      </c>
      <c r="J49" s="22">
        <v>8.6561938543647905</v>
      </c>
      <c r="K49" s="22">
        <v>150.00000000000401</v>
      </c>
      <c r="L49" s="22">
        <v>8.6561938543647905</v>
      </c>
      <c r="M49" s="22">
        <v>150.00000000000199</v>
      </c>
      <c r="N49" s="22">
        <v>47.748216004691301</v>
      </c>
      <c r="O49" s="22">
        <v>8.6561938543647905</v>
      </c>
      <c r="P49" s="22">
        <v>149.999099761438</v>
      </c>
      <c r="Q49" s="22">
        <v>9.0570240920713907</v>
      </c>
      <c r="R49" s="22">
        <v>150</v>
      </c>
      <c r="S49" s="22">
        <v>150.00000000000199</v>
      </c>
      <c r="T49" s="22">
        <v>297.12846091193802</v>
      </c>
      <c r="U49" s="41">
        <v>295.19970416880102</v>
      </c>
      <c r="V49" s="41">
        <v>439.366873761715</v>
      </c>
      <c r="W49" s="22">
        <v>287.24560652778598</v>
      </c>
    </row>
    <row r="50" spans="1:23" x14ac:dyDescent="0.3">
      <c r="A50" s="1" t="s">
        <v>205</v>
      </c>
      <c r="T50" s="22">
        <v>11.033914015384299</v>
      </c>
      <c r="U50" s="41">
        <v>1.0473462162976599</v>
      </c>
      <c r="V50" s="41">
        <v>168.89738604570201</v>
      </c>
      <c r="W50" s="22">
        <v>8.3384851846172499</v>
      </c>
    </row>
    <row r="51" spans="1:23" x14ac:dyDescent="0.3">
      <c r="A51" t="s">
        <v>206</v>
      </c>
      <c r="K51" s="22">
        <v>0.999999999999998</v>
      </c>
      <c r="U51" s="20"/>
      <c r="V51" s="20"/>
      <c r="W51" s="22"/>
    </row>
    <row r="52" spans="1:23" x14ac:dyDescent="0.3">
      <c r="A52" t="s">
        <v>207</v>
      </c>
      <c r="K52" s="22">
        <v>1</v>
      </c>
      <c r="T52">
        <v>149.99999999999801</v>
      </c>
      <c r="U52" s="20">
        <v>0</v>
      </c>
      <c r="V52" s="20">
        <v>145.295276013603</v>
      </c>
      <c r="W52" s="42">
        <v>150</v>
      </c>
    </row>
    <row r="53" spans="1:23" x14ac:dyDescent="0.3">
      <c r="A53" t="s">
        <v>208</v>
      </c>
      <c r="K53" s="22">
        <v>0.999999999999999</v>
      </c>
      <c r="T53">
        <v>150.000000000005</v>
      </c>
      <c r="U53" s="20">
        <v>0</v>
      </c>
      <c r="V53" s="20">
        <v>150.00000000000199</v>
      </c>
      <c r="W53" s="42">
        <v>150.00000000000099</v>
      </c>
    </row>
    <row r="54" spans="1:23" x14ac:dyDescent="0.3">
      <c r="A54" t="s">
        <v>209</v>
      </c>
      <c r="K54" s="22">
        <v>1</v>
      </c>
      <c r="T54">
        <v>149.99999999999801</v>
      </c>
      <c r="U54" s="20">
        <v>7.6216828559801701</v>
      </c>
      <c r="V54" s="20">
        <v>105.870230874006</v>
      </c>
      <c r="W54" s="42">
        <v>150</v>
      </c>
    </row>
    <row r="55" spans="1:23" x14ac:dyDescent="0.3">
      <c r="T55">
        <v>150.00000000000099</v>
      </c>
      <c r="U55" s="20">
        <v>9.0570240920713907</v>
      </c>
      <c r="V55" s="20">
        <v>150.00000000000199</v>
      </c>
      <c r="W55" s="42">
        <v>150.00000000000099</v>
      </c>
    </row>
    <row r="56" spans="1:23" x14ac:dyDescent="0.3">
      <c r="U56" s="20"/>
      <c r="V56" s="20"/>
      <c r="W56" s="42"/>
    </row>
    <row r="57" spans="1:23" x14ac:dyDescent="0.3">
      <c r="T57">
        <v>0.99999999999993705</v>
      </c>
      <c r="U57" s="20">
        <v>0</v>
      </c>
      <c r="V57" s="20">
        <v>0</v>
      </c>
      <c r="W57" s="42">
        <v>0.999999999999998</v>
      </c>
    </row>
    <row r="58" spans="1:23" x14ac:dyDescent="0.3">
      <c r="T58">
        <v>0.99999999999992295</v>
      </c>
      <c r="U58" s="20">
        <v>0</v>
      </c>
      <c r="V58" s="20">
        <v>0.48339714784036097</v>
      </c>
      <c r="W58" s="42">
        <v>1</v>
      </c>
    </row>
    <row r="59" spans="1:23" x14ac:dyDescent="0.3">
      <c r="T59">
        <v>0.99999999999993805</v>
      </c>
      <c r="U59" s="20">
        <v>0</v>
      </c>
      <c r="V59" s="20">
        <v>0</v>
      </c>
      <c r="W59" s="42">
        <v>0.999999999999998</v>
      </c>
    </row>
    <row r="60" spans="1:23" x14ac:dyDescent="0.3">
      <c r="T60">
        <v>0.99999999999992295</v>
      </c>
      <c r="U60" s="20">
        <v>0</v>
      </c>
      <c r="V60" s="20">
        <v>1.17230054302423E-2</v>
      </c>
      <c r="W60" s="4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6"/>
  <sheetViews>
    <sheetView workbookViewId="0">
      <selection activeCell="A47" sqref="A47"/>
    </sheetView>
  </sheetViews>
  <sheetFormatPr defaultRowHeight="14.4" x14ac:dyDescent="0.3"/>
  <cols>
    <col min="1" max="1" width="29.33203125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19</v>
      </c>
    </row>
    <row r="4" spans="1:10" x14ac:dyDescent="0.3">
      <c r="A4" t="s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3">
      <c r="A5" t="s">
        <v>1</v>
      </c>
      <c r="B5">
        <v>0</v>
      </c>
      <c r="C5">
        <v>0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3">
      <c r="A6" t="s">
        <v>2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</row>
    <row r="7" spans="1:10" x14ac:dyDescent="0.3">
      <c r="A7" s="2" t="s">
        <v>20</v>
      </c>
    </row>
    <row r="8" spans="1:10" x14ac:dyDescent="0.3">
      <c r="A8" t="s">
        <v>8</v>
      </c>
      <c r="B8" t="s">
        <v>18</v>
      </c>
      <c r="C8">
        <v>0</v>
      </c>
      <c r="D8">
        <v>1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</row>
    <row r="9" spans="1:10" x14ac:dyDescent="0.3">
      <c r="A9" t="s">
        <v>3</v>
      </c>
      <c r="B9" t="s">
        <v>18</v>
      </c>
      <c r="C9">
        <v>0</v>
      </c>
      <c r="D9">
        <v>0</v>
      </c>
      <c r="E9">
        <v>1</v>
      </c>
      <c r="F9">
        <v>1</v>
      </c>
      <c r="G9">
        <v>1</v>
      </c>
      <c r="H9">
        <v>0</v>
      </c>
      <c r="I9">
        <v>1</v>
      </c>
      <c r="J9">
        <v>1</v>
      </c>
    </row>
    <row r="10" spans="1:10" x14ac:dyDescent="0.3">
      <c r="A10" t="s">
        <v>4</v>
      </c>
      <c r="B10" t="s">
        <v>18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</row>
    <row r="11" spans="1:10" x14ac:dyDescent="0.3">
      <c r="A11" t="s">
        <v>5</v>
      </c>
      <c r="B11" t="s">
        <v>18</v>
      </c>
      <c r="C11" t="s">
        <v>18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1</v>
      </c>
    </row>
    <row r="12" spans="1:10" x14ac:dyDescent="0.3">
      <c r="A12" s="1" t="s">
        <v>9</v>
      </c>
      <c r="E12" s="1"/>
      <c r="H12" s="1"/>
    </row>
    <row r="13" spans="1:10" x14ac:dyDescent="0.3">
      <c r="A13" t="s">
        <v>10</v>
      </c>
    </row>
    <row r="14" spans="1:10" x14ac:dyDescent="0.3">
      <c r="A14" t="s">
        <v>14</v>
      </c>
    </row>
    <row r="15" spans="1:10" x14ac:dyDescent="0.3">
      <c r="A15" t="s">
        <v>17</v>
      </c>
    </row>
    <row r="16" spans="1:10" x14ac:dyDescent="0.3">
      <c r="A16" t="s">
        <v>21</v>
      </c>
    </row>
    <row r="17" spans="1:1" x14ac:dyDescent="0.3">
      <c r="A17" s="2" t="s">
        <v>11</v>
      </c>
    </row>
    <row r="18" spans="1:1" x14ac:dyDescent="0.3">
      <c r="A18" t="s">
        <v>2</v>
      </c>
    </row>
    <row r="19" spans="1:1" x14ac:dyDescent="0.3">
      <c r="A19" t="s">
        <v>0</v>
      </c>
    </row>
    <row r="20" spans="1:1" x14ac:dyDescent="0.3">
      <c r="A20" t="s">
        <v>1</v>
      </c>
    </row>
    <row r="21" spans="1:1" x14ac:dyDescent="0.3">
      <c r="A21" t="s">
        <v>13</v>
      </c>
    </row>
    <row r="22" spans="1:1" x14ac:dyDescent="0.3">
      <c r="A22" t="s">
        <v>12</v>
      </c>
    </row>
    <row r="23" spans="1:1" x14ac:dyDescent="0.3">
      <c r="A23" s="2" t="s">
        <v>15</v>
      </c>
    </row>
    <row r="24" spans="1:1" x14ac:dyDescent="0.3">
      <c r="A24" t="s">
        <v>2</v>
      </c>
    </row>
    <row r="25" spans="1:1" x14ac:dyDescent="0.3">
      <c r="A25" t="s">
        <v>0</v>
      </c>
    </row>
    <row r="26" spans="1:1" x14ac:dyDescent="0.3">
      <c r="A26" t="s">
        <v>1</v>
      </c>
    </row>
    <row r="27" spans="1:1" x14ac:dyDescent="0.3">
      <c r="A27" s="2" t="s">
        <v>16</v>
      </c>
    </row>
    <row r="28" spans="1:1" x14ac:dyDescent="0.3">
      <c r="A28" t="s">
        <v>2</v>
      </c>
    </row>
    <row r="29" spans="1:1" x14ac:dyDescent="0.3">
      <c r="A29" t="s">
        <v>0</v>
      </c>
    </row>
    <row r="30" spans="1:1" x14ac:dyDescent="0.3">
      <c r="A30" t="s">
        <v>1</v>
      </c>
    </row>
    <row r="31" spans="1:1" x14ac:dyDescent="0.3">
      <c r="A31" s="2" t="s">
        <v>23</v>
      </c>
    </row>
    <row r="32" spans="1:1" x14ac:dyDescent="0.3">
      <c r="A32" t="s">
        <v>2</v>
      </c>
    </row>
    <row r="33" spans="1:1" x14ac:dyDescent="0.3">
      <c r="A33" t="s">
        <v>0</v>
      </c>
    </row>
    <row r="34" spans="1:1" x14ac:dyDescent="0.3">
      <c r="A34" t="s">
        <v>1</v>
      </c>
    </row>
    <row r="35" spans="1:1" x14ac:dyDescent="0.3">
      <c r="A35" s="2" t="s">
        <v>22</v>
      </c>
    </row>
    <row r="36" spans="1:1" x14ac:dyDescent="0.3">
      <c r="A36" t="s">
        <v>0</v>
      </c>
    </row>
    <row r="37" spans="1:1" x14ac:dyDescent="0.3">
      <c r="A37" t="s">
        <v>24</v>
      </c>
    </row>
    <row r="38" spans="1:1" x14ac:dyDescent="0.3">
      <c r="A38" t="s">
        <v>1</v>
      </c>
    </row>
    <row r="39" spans="1:1" x14ac:dyDescent="0.3">
      <c r="A39" s="2" t="s">
        <v>25</v>
      </c>
    </row>
    <row r="40" spans="1:1" x14ac:dyDescent="0.3">
      <c r="A40" t="s">
        <v>2</v>
      </c>
    </row>
    <row r="41" spans="1:1" x14ac:dyDescent="0.3">
      <c r="A41" t="s">
        <v>0</v>
      </c>
    </row>
    <row r="42" spans="1:1" x14ac:dyDescent="0.3">
      <c r="A42" t="s">
        <v>1</v>
      </c>
    </row>
    <row r="43" spans="1:1" x14ac:dyDescent="0.3">
      <c r="A43" s="2" t="s">
        <v>26</v>
      </c>
    </row>
    <row r="44" spans="1:1" x14ac:dyDescent="0.3">
      <c r="A44" t="s">
        <v>0</v>
      </c>
    </row>
    <row r="45" spans="1:1" x14ac:dyDescent="0.3">
      <c r="A45" t="s">
        <v>24</v>
      </c>
    </row>
    <row r="46" spans="1:1" x14ac:dyDescent="0.3">
      <c r="A46" t="s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170D9-F7C2-442C-BFB6-35612215F0C3}">
  <dimension ref="A1:W30"/>
  <sheetViews>
    <sheetView zoomScale="90" zoomScaleNormal="90" workbookViewId="0">
      <selection activeCell="H3" sqref="H3"/>
    </sheetView>
  </sheetViews>
  <sheetFormatPr defaultRowHeight="14.4" x14ac:dyDescent="0.3"/>
  <cols>
    <col min="1" max="1" width="11.88671875" bestFit="1" customWidth="1"/>
  </cols>
  <sheetData>
    <row r="1" spans="1:23" x14ac:dyDescent="0.3">
      <c r="A1" t="s">
        <v>110</v>
      </c>
      <c r="B1" t="s">
        <v>85</v>
      </c>
      <c r="C1" t="s">
        <v>85</v>
      </c>
      <c r="D1" t="s">
        <v>112</v>
      </c>
      <c r="E1" t="s">
        <v>112</v>
      </c>
      <c r="F1" t="s">
        <v>85</v>
      </c>
      <c r="G1" t="s">
        <v>85</v>
      </c>
      <c r="H1" t="s">
        <v>112</v>
      </c>
      <c r="I1" t="s">
        <v>112</v>
      </c>
      <c r="T1" t="s">
        <v>49</v>
      </c>
      <c r="U1" t="s">
        <v>133</v>
      </c>
      <c r="V1" t="s">
        <v>134</v>
      </c>
      <c r="W1" t="s">
        <v>117</v>
      </c>
    </row>
    <row r="2" spans="1:23" x14ac:dyDescent="0.3">
      <c r="A2" t="s">
        <v>111</v>
      </c>
      <c r="B2" t="s">
        <v>113</v>
      </c>
      <c r="C2" t="s">
        <v>113</v>
      </c>
      <c r="D2" t="s">
        <v>113</v>
      </c>
      <c r="E2" t="s">
        <v>113</v>
      </c>
      <c r="F2" t="s">
        <v>114</v>
      </c>
      <c r="G2" t="s">
        <v>114</v>
      </c>
      <c r="H2" t="s">
        <v>114</v>
      </c>
      <c r="I2" t="s">
        <v>114</v>
      </c>
      <c r="K2" t="s">
        <v>125</v>
      </c>
      <c r="T2">
        <v>2025</v>
      </c>
      <c r="U2" s="17">
        <v>40</v>
      </c>
      <c r="V2" s="17">
        <v>40</v>
      </c>
      <c r="W2" s="18">
        <v>0</v>
      </c>
    </row>
    <row r="3" spans="1:23" x14ac:dyDescent="0.3">
      <c r="A3" t="s">
        <v>115</v>
      </c>
      <c r="B3" t="s">
        <v>116</v>
      </c>
      <c r="C3" t="s">
        <v>117</v>
      </c>
      <c r="D3" t="s">
        <v>116</v>
      </c>
      <c r="E3" t="s">
        <v>117</v>
      </c>
      <c r="F3" t="s">
        <v>116</v>
      </c>
      <c r="G3" t="s">
        <v>117</v>
      </c>
      <c r="H3" t="s">
        <v>116</v>
      </c>
      <c r="I3" t="s">
        <v>117</v>
      </c>
      <c r="K3" t="s">
        <v>124</v>
      </c>
      <c r="T3">
        <v>2026</v>
      </c>
      <c r="U3" s="7">
        <v>0</v>
      </c>
      <c r="V3" s="7">
        <v>0</v>
      </c>
      <c r="W3" s="18">
        <v>0</v>
      </c>
    </row>
    <row r="4" spans="1:23" x14ac:dyDescent="0.3">
      <c r="A4" t="s">
        <v>49</v>
      </c>
      <c r="L4" t="s">
        <v>119</v>
      </c>
      <c r="T4">
        <v>2027</v>
      </c>
      <c r="U4" s="7">
        <v>0</v>
      </c>
      <c r="V4" s="7">
        <v>0</v>
      </c>
      <c r="W4" s="18">
        <v>0</v>
      </c>
    </row>
    <row r="5" spans="1:23" x14ac:dyDescent="0.3">
      <c r="A5">
        <v>2025</v>
      </c>
      <c r="B5" s="1">
        <v>40</v>
      </c>
      <c r="C5" s="3">
        <v>0</v>
      </c>
      <c r="D5" s="1">
        <v>40</v>
      </c>
      <c r="E5" s="3">
        <v>0</v>
      </c>
      <c r="F5" s="1">
        <v>40</v>
      </c>
      <c r="G5">
        <v>0</v>
      </c>
      <c r="H5" s="1">
        <v>40</v>
      </c>
      <c r="I5">
        <v>0</v>
      </c>
      <c r="K5" s="14">
        <f>C5*(A$30-A5+1)</f>
        <v>0</v>
      </c>
      <c r="L5" s="14">
        <f>SUM(K5:K30)</f>
        <v>180.68099999996281</v>
      </c>
      <c r="T5">
        <v>2028</v>
      </c>
      <c r="U5" s="7">
        <v>0</v>
      </c>
      <c r="V5" s="7">
        <v>0</v>
      </c>
      <c r="W5" s="18">
        <v>0</v>
      </c>
    </row>
    <row r="6" spans="1:23" x14ac:dyDescent="0.3">
      <c r="A6">
        <v>2026</v>
      </c>
      <c r="B6">
        <v>0</v>
      </c>
      <c r="C6" s="3">
        <v>0</v>
      </c>
      <c r="D6">
        <v>0</v>
      </c>
      <c r="E6" s="3">
        <v>0</v>
      </c>
      <c r="F6">
        <v>0</v>
      </c>
      <c r="G6">
        <v>0</v>
      </c>
      <c r="H6">
        <v>0</v>
      </c>
      <c r="I6">
        <v>0</v>
      </c>
      <c r="K6" s="14">
        <f t="shared" ref="K6:K30" si="0">C6*(A$30-A6+1)</f>
        <v>0</v>
      </c>
      <c r="T6">
        <v>2029</v>
      </c>
      <c r="U6" s="7">
        <v>0</v>
      </c>
      <c r="V6" s="7">
        <v>0</v>
      </c>
      <c r="W6" s="18">
        <v>0</v>
      </c>
    </row>
    <row r="7" spans="1:23" x14ac:dyDescent="0.3">
      <c r="A7">
        <v>2027</v>
      </c>
      <c r="B7">
        <v>0</v>
      </c>
      <c r="C7" s="3">
        <v>0</v>
      </c>
      <c r="D7">
        <v>0</v>
      </c>
      <c r="E7" s="3">
        <v>0</v>
      </c>
      <c r="F7">
        <v>0</v>
      </c>
      <c r="G7">
        <v>0</v>
      </c>
      <c r="H7">
        <v>0</v>
      </c>
      <c r="I7">
        <v>0</v>
      </c>
      <c r="K7" s="14">
        <f t="shared" si="0"/>
        <v>0</v>
      </c>
      <c r="T7">
        <v>2030</v>
      </c>
      <c r="U7" s="7">
        <v>0</v>
      </c>
      <c r="V7" s="7">
        <v>0</v>
      </c>
      <c r="W7" s="18">
        <v>0</v>
      </c>
    </row>
    <row r="8" spans="1:23" x14ac:dyDescent="0.3">
      <c r="A8">
        <v>2028</v>
      </c>
      <c r="B8">
        <v>0</v>
      </c>
      <c r="C8" s="3">
        <v>0</v>
      </c>
      <c r="D8">
        <v>0</v>
      </c>
      <c r="E8" s="3">
        <v>0</v>
      </c>
      <c r="F8">
        <v>0</v>
      </c>
      <c r="G8">
        <v>0</v>
      </c>
      <c r="H8">
        <v>0</v>
      </c>
      <c r="I8">
        <v>0</v>
      </c>
      <c r="K8" s="14">
        <f t="shared" si="0"/>
        <v>0</v>
      </c>
      <c r="T8">
        <v>2031</v>
      </c>
      <c r="U8" s="7">
        <v>0</v>
      </c>
      <c r="V8" s="7">
        <v>0</v>
      </c>
      <c r="W8" s="18">
        <v>0</v>
      </c>
    </row>
    <row r="9" spans="1:23" x14ac:dyDescent="0.3">
      <c r="A9">
        <v>2029</v>
      </c>
      <c r="B9">
        <v>0</v>
      </c>
      <c r="C9" s="3">
        <v>0</v>
      </c>
      <c r="D9">
        <v>0</v>
      </c>
      <c r="E9" s="3">
        <v>0</v>
      </c>
      <c r="F9">
        <v>0</v>
      </c>
      <c r="G9">
        <v>0</v>
      </c>
      <c r="H9">
        <v>0</v>
      </c>
      <c r="I9">
        <v>0</v>
      </c>
      <c r="K9" s="14">
        <f t="shared" si="0"/>
        <v>0</v>
      </c>
      <c r="T9">
        <v>2032</v>
      </c>
      <c r="U9" s="7">
        <v>0</v>
      </c>
      <c r="V9" s="7">
        <v>0</v>
      </c>
      <c r="W9" s="18">
        <v>0</v>
      </c>
    </row>
    <row r="10" spans="1:23" x14ac:dyDescent="0.3">
      <c r="A10">
        <v>2030</v>
      </c>
      <c r="B10">
        <v>0</v>
      </c>
      <c r="C10" s="3">
        <v>0</v>
      </c>
      <c r="D10">
        <v>0</v>
      </c>
      <c r="E10" s="3">
        <v>0</v>
      </c>
      <c r="F10">
        <v>0</v>
      </c>
      <c r="G10">
        <v>0</v>
      </c>
      <c r="H10">
        <v>0</v>
      </c>
      <c r="I10">
        <v>0</v>
      </c>
      <c r="K10" s="14">
        <f t="shared" si="0"/>
        <v>0</v>
      </c>
      <c r="T10">
        <v>2033</v>
      </c>
      <c r="U10" s="7">
        <v>0</v>
      </c>
      <c r="V10" s="7">
        <v>0</v>
      </c>
      <c r="W10" s="18">
        <v>0</v>
      </c>
    </row>
    <row r="11" spans="1:23" x14ac:dyDescent="0.3">
      <c r="A11">
        <v>2031</v>
      </c>
      <c r="B11">
        <v>0</v>
      </c>
      <c r="C11" s="3">
        <v>0</v>
      </c>
      <c r="D11">
        <v>0</v>
      </c>
      <c r="E11" s="3">
        <v>0</v>
      </c>
      <c r="F11">
        <v>0</v>
      </c>
      <c r="G11">
        <v>0</v>
      </c>
      <c r="H11">
        <v>0</v>
      </c>
      <c r="I11">
        <v>0</v>
      </c>
      <c r="K11" s="14">
        <f t="shared" si="0"/>
        <v>0</v>
      </c>
      <c r="T11">
        <v>2034</v>
      </c>
      <c r="U11" s="7">
        <v>0</v>
      </c>
      <c r="V11" s="7">
        <v>0</v>
      </c>
      <c r="W11" s="18">
        <v>0</v>
      </c>
    </row>
    <row r="12" spans="1:23" x14ac:dyDescent="0.3">
      <c r="A12">
        <v>2032</v>
      </c>
      <c r="B12">
        <v>0</v>
      </c>
      <c r="C12" s="3">
        <v>0</v>
      </c>
      <c r="D12">
        <v>0</v>
      </c>
      <c r="E12" s="3">
        <v>0</v>
      </c>
      <c r="F12">
        <v>0</v>
      </c>
      <c r="G12">
        <v>0</v>
      </c>
      <c r="H12">
        <v>0</v>
      </c>
      <c r="I12">
        <v>0</v>
      </c>
      <c r="K12" s="14">
        <f t="shared" si="0"/>
        <v>0</v>
      </c>
      <c r="T12">
        <v>2035</v>
      </c>
      <c r="U12" s="7">
        <v>0</v>
      </c>
      <c r="V12" s="7">
        <v>0</v>
      </c>
      <c r="W12" s="18">
        <v>0</v>
      </c>
    </row>
    <row r="13" spans="1:23" x14ac:dyDescent="0.3">
      <c r="A13">
        <v>2033</v>
      </c>
      <c r="B13">
        <v>0</v>
      </c>
      <c r="C13" s="3">
        <v>0</v>
      </c>
      <c r="D13">
        <v>0</v>
      </c>
      <c r="E13" s="3">
        <v>0</v>
      </c>
      <c r="F13">
        <v>0</v>
      </c>
      <c r="G13">
        <v>0</v>
      </c>
      <c r="H13">
        <v>0</v>
      </c>
      <c r="I13">
        <v>0</v>
      </c>
      <c r="K13" s="14">
        <f t="shared" si="0"/>
        <v>0</v>
      </c>
      <c r="T13">
        <v>2036</v>
      </c>
      <c r="U13" s="17">
        <v>40</v>
      </c>
      <c r="V13" s="7">
        <v>0</v>
      </c>
      <c r="W13" s="19">
        <v>2.2079999999918898</v>
      </c>
    </row>
    <row r="14" spans="1:23" x14ac:dyDescent="0.3">
      <c r="A14">
        <v>2034</v>
      </c>
      <c r="B14">
        <v>0</v>
      </c>
      <c r="C14" s="3">
        <v>0</v>
      </c>
      <c r="D14">
        <v>0</v>
      </c>
      <c r="E14" s="3">
        <v>0</v>
      </c>
      <c r="F14">
        <v>0</v>
      </c>
      <c r="G14">
        <v>0</v>
      </c>
      <c r="H14">
        <v>0</v>
      </c>
      <c r="I14">
        <v>0</v>
      </c>
      <c r="K14" s="14">
        <f t="shared" si="0"/>
        <v>0</v>
      </c>
      <c r="T14">
        <v>2037</v>
      </c>
      <c r="U14" s="7">
        <v>0</v>
      </c>
      <c r="V14" s="17">
        <v>40</v>
      </c>
      <c r="W14" s="18">
        <v>0</v>
      </c>
    </row>
    <row r="15" spans="1:23" x14ac:dyDescent="0.3">
      <c r="A15">
        <v>2035</v>
      </c>
      <c r="B15">
        <v>0</v>
      </c>
      <c r="C15" s="3">
        <v>0</v>
      </c>
      <c r="D15">
        <v>0</v>
      </c>
      <c r="E15" s="3">
        <v>0</v>
      </c>
      <c r="F15">
        <v>0</v>
      </c>
      <c r="G15">
        <v>0</v>
      </c>
      <c r="H15">
        <v>0</v>
      </c>
      <c r="I15">
        <v>0</v>
      </c>
      <c r="K15" s="14">
        <f t="shared" si="0"/>
        <v>0</v>
      </c>
      <c r="T15">
        <v>2038</v>
      </c>
      <c r="U15" s="17">
        <v>40</v>
      </c>
      <c r="V15" s="7">
        <v>0</v>
      </c>
      <c r="W15" s="18">
        <v>0</v>
      </c>
    </row>
    <row r="16" spans="1:23" x14ac:dyDescent="0.3">
      <c r="A16">
        <v>2036</v>
      </c>
      <c r="B16">
        <v>0</v>
      </c>
      <c r="C16" s="5">
        <v>2.2079999999918898</v>
      </c>
      <c r="D16">
        <v>0</v>
      </c>
      <c r="E16" s="5">
        <v>2.20799999999999</v>
      </c>
      <c r="F16" s="1">
        <v>40</v>
      </c>
      <c r="G16">
        <v>0</v>
      </c>
      <c r="H16" s="1">
        <v>40</v>
      </c>
      <c r="I16">
        <v>0</v>
      </c>
      <c r="K16" s="14">
        <f t="shared" si="0"/>
        <v>33.119999999878345</v>
      </c>
      <c r="T16">
        <v>2039</v>
      </c>
      <c r="U16" s="7">
        <v>0</v>
      </c>
      <c r="V16" s="7">
        <v>0</v>
      </c>
      <c r="W16" s="18">
        <v>0</v>
      </c>
    </row>
    <row r="17" spans="1:23" x14ac:dyDescent="0.3">
      <c r="A17">
        <v>2037</v>
      </c>
      <c r="B17" s="1">
        <v>40</v>
      </c>
      <c r="C17" s="3">
        <v>0</v>
      </c>
      <c r="D17" s="1">
        <v>40</v>
      </c>
      <c r="E17" s="3">
        <v>0</v>
      </c>
      <c r="F17">
        <v>0</v>
      </c>
      <c r="G17">
        <v>0</v>
      </c>
      <c r="H17">
        <v>0</v>
      </c>
      <c r="I17">
        <v>0</v>
      </c>
      <c r="K17" s="14">
        <f t="shared" si="0"/>
        <v>0</v>
      </c>
      <c r="T17">
        <v>2040</v>
      </c>
      <c r="U17" s="7">
        <v>0</v>
      </c>
      <c r="V17" s="7">
        <v>0</v>
      </c>
      <c r="W17" s="19">
        <v>7.9150000000074998</v>
      </c>
    </row>
    <row r="18" spans="1:23" x14ac:dyDescent="0.3">
      <c r="A18">
        <v>2038</v>
      </c>
      <c r="B18">
        <v>0</v>
      </c>
      <c r="C18" s="3">
        <v>0</v>
      </c>
      <c r="D18">
        <v>0</v>
      </c>
      <c r="E18" s="3">
        <v>0</v>
      </c>
      <c r="F18" s="1">
        <v>40</v>
      </c>
      <c r="G18">
        <v>0</v>
      </c>
      <c r="H18" s="1">
        <v>40</v>
      </c>
      <c r="I18">
        <v>0</v>
      </c>
      <c r="K18" s="14">
        <f t="shared" si="0"/>
        <v>0</v>
      </c>
      <c r="T18">
        <v>2041</v>
      </c>
      <c r="U18" s="7">
        <v>0</v>
      </c>
      <c r="V18" s="7">
        <v>0</v>
      </c>
      <c r="W18" s="19">
        <v>2.6819999999999302</v>
      </c>
    </row>
    <row r="19" spans="1:23" x14ac:dyDescent="0.3">
      <c r="A19">
        <v>2039</v>
      </c>
      <c r="B19">
        <v>0</v>
      </c>
      <c r="C19" s="3">
        <v>0</v>
      </c>
      <c r="D19">
        <v>0</v>
      </c>
      <c r="E19" s="3">
        <v>0</v>
      </c>
      <c r="F19">
        <v>0</v>
      </c>
      <c r="G19">
        <v>0</v>
      </c>
      <c r="H19">
        <v>0</v>
      </c>
      <c r="I19">
        <v>0</v>
      </c>
      <c r="K19" s="14">
        <f t="shared" si="0"/>
        <v>0</v>
      </c>
      <c r="T19">
        <v>2042</v>
      </c>
      <c r="U19" s="7">
        <v>0</v>
      </c>
      <c r="V19" s="7">
        <v>0</v>
      </c>
      <c r="W19" s="18">
        <v>0</v>
      </c>
    </row>
    <row r="20" spans="1:23" x14ac:dyDescent="0.3">
      <c r="A20">
        <v>2040</v>
      </c>
      <c r="B20">
        <v>0</v>
      </c>
      <c r="C20" s="5">
        <v>7.9150000000074998</v>
      </c>
      <c r="D20">
        <v>0</v>
      </c>
      <c r="E20" s="5">
        <v>7.91499999999954</v>
      </c>
      <c r="F20">
        <v>0</v>
      </c>
      <c r="G20">
        <v>0</v>
      </c>
      <c r="H20">
        <v>0</v>
      </c>
      <c r="I20">
        <v>0</v>
      </c>
      <c r="K20" s="14">
        <f t="shared" si="0"/>
        <v>87.065000000082492</v>
      </c>
      <c r="T20">
        <v>2043</v>
      </c>
      <c r="U20" s="7">
        <v>0</v>
      </c>
      <c r="V20" s="7">
        <v>0</v>
      </c>
      <c r="W20" s="19">
        <v>2.2990000000009898</v>
      </c>
    </row>
    <row r="21" spans="1:23" x14ac:dyDescent="0.3">
      <c r="A21">
        <v>2041</v>
      </c>
      <c r="B21">
        <v>0</v>
      </c>
      <c r="C21" s="5">
        <v>2.6819999999999302</v>
      </c>
      <c r="D21">
        <v>0</v>
      </c>
      <c r="E21" s="5">
        <v>2.6819999999995301</v>
      </c>
      <c r="F21">
        <v>0</v>
      </c>
      <c r="G21">
        <v>0</v>
      </c>
      <c r="H21">
        <v>0</v>
      </c>
      <c r="I21">
        <v>0</v>
      </c>
      <c r="K21" s="14">
        <f t="shared" si="0"/>
        <v>26.819999999999304</v>
      </c>
      <c r="T21">
        <v>2044</v>
      </c>
      <c r="U21" s="7">
        <v>0</v>
      </c>
      <c r="V21" s="7">
        <v>0</v>
      </c>
      <c r="W21" s="18">
        <v>0</v>
      </c>
    </row>
    <row r="22" spans="1:23" x14ac:dyDescent="0.3">
      <c r="A22">
        <v>2042</v>
      </c>
      <c r="B22">
        <v>0</v>
      </c>
      <c r="C22" s="3">
        <v>0</v>
      </c>
      <c r="D22">
        <v>0</v>
      </c>
      <c r="E22" s="3">
        <v>0</v>
      </c>
      <c r="F22">
        <v>0</v>
      </c>
      <c r="G22">
        <v>0</v>
      </c>
      <c r="H22">
        <v>0</v>
      </c>
      <c r="I22">
        <v>0</v>
      </c>
      <c r="K22" s="14">
        <f t="shared" si="0"/>
        <v>0</v>
      </c>
      <c r="T22">
        <v>2045</v>
      </c>
      <c r="U22" s="7">
        <v>0</v>
      </c>
      <c r="V22" s="7">
        <v>0</v>
      </c>
      <c r="W22" s="19">
        <v>2.2139999999991198</v>
      </c>
    </row>
    <row r="23" spans="1:23" x14ac:dyDescent="0.3">
      <c r="A23">
        <v>2043</v>
      </c>
      <c r="B23">
        <v>0</v>
      </c>
      <c r="C23" s="5">
        <v>2.2990000000009898</v>
      </c>
      <c r="D23">
        <v>0</v>
      </c>
      <c r="E23" s="5">
        <v>2.29900000000077</v>
      </c>
      <c r="F23">
        <v>0</v>
      </c>
      <c r="G23">
        <v>0</v>
      </c>
      <c r="H23">
        <v>0</v>
      </c>
      <c r="I23">
        <v>0</v>
      </c>
      <c r="K23" s="14">
        <f t="shared" si="0"/>
        <v>18.392000000007918</v>
      </c>
      <c r="T23">
        <v>2046</v>
      </c>
      <c r="U23" s="7">
        <v>0</v>
      </c>
      <c r="V23" s="7">
        <v>0</v>
      </c>
      <c r="W23" s="18">
        <v>0</v>
      </c>
    </row>
    <row r="24" spans="1:23" x14ac:dyDescent="0.3">
      <c r="A24">
        <v>2044</v>
      </c>
      <c r="B24">
        <v>0</v>
      </c>
      <c r="C24" s="3">
        <v>0</v>
      </c>
      <c r="D24">
        <v>0</v>
      </c>
      <c r="E24" s="3">
        <v>0</v>
      </c>
      <c r="F24">
        <v>0</v>
      </c>
      <c r="G24">
        <v>0</v>
      </c>
      <c r="H24">
        <v>0</v>
      </c>
      <c r="I24">
        <v>0</v>
      </c>
      <c r="K24" s="14">
        <f t="shared" si="0"/>
        <v>0</v>
      </c>
      <c r="T24">
        <v>2047</v>
      </c>
      <c r="U24" s="17">
        <v>40</v>
      </c>
      <c r="V24" s="17">
        <v>40</v>
      </c>
      <c r="W24" s="18">
        <v>0</v>
      </c>
    </row>
    <row r="25" spans="1:23" x14ac:dyDescent="0.3">
      <c r="A25">
        <v>2045</v>
      </c>
      <c r="B25">
        <v>0</v>
      </c>
      <c r="C25" s="5">
        <v>2.2139999999991198</v>
      </c>
      <c r="D25">
        <v>0</v>
      </c>
      <c r="E25" s="5">
        <v>2.21399999999996</v>
      </c>
      <c r="F25">
        <v>0</v>
      </c>
      <c r="G25">
        <v>0</v>
      </c>
      <c r="H25">
        <v>0</v>
      </c>
      <c r="I25">
        <v>0</v>
      </c>
      <c r="K25" s="14">
        <f t="shared" si="0"/>
        <v>13.28399999999472</v>
      </c>
      <c r="T25">
        <v>2048</v>
      </c>
      <c r="U25" s="7">
        <v>0</v>
      </c>
      <c r="V25" s="7">
        <v>0</v>
      </c>
      <c r="W25" s="18">
        <v>0</v>
      </c>
    </row>
    <row r="26" spans="1:23" x14ac:dyDescent="0.3">
      <c r="A26">
        <v>2046</v>
      </c>
      <c r="B26">
        <v>0</v>
      </c>
      <c r="C26" s="3">
        <v>0</v>
      </c>
      <c r="D26">
        <v>0</v>
      </c>
      <c r="E26" s="3">
        <v>0</v>
      </c>
      <c r="F26">
        <v>0</v>
      </c>
      <c r="G26">
        <v>0</v>
      </c>
      <c r="H26">
        <v>0</v>
      </c>
      <c r="I26">
        <v>0</v>
      </c>
      <c r="K26" s="14">
        <f t="shared" si="0"/>
        <v>0</v>
      </c>
      <c r="T26">
        <v>2049</v>
      </c>
      <c r="U26" s="7">
        <v>0</v>
      </c>
      <c r="V26" s="7">
        <v>0</v>
      </c>
      <c r="W26" s="18">
        <v>0</v>
      </c>
    </row>
    <row r="27" spans="1:23" x14ac:dyDescent="0.3">
      <c r="A27">
        <v>2047</v>
      </c>
      <c r="B27" s="1">
        <v>40</v>
      </c>
      <c r="C27" s="3">
        <v>0</v>
      </c>
      <c r="D27" s="1">
        <v>40</v>
      </c>
      <c r="E27" s="3">
        <v>0</v>
      </c>
      <c r="F27" s="1">
        <v>40</v>
      </c>
      <c r="G27">
        <v>0</v>
      </c>
      <c r="H27" s="1">
        <v>40</v>
      </c>
      <c r="I27">
        <v>0</v>
      </c>
      <c r="K27" s="14">
        <f t="shared" si="0"/>
        <v>0</v>
      </c>
      <c r="T27">
        <v>2050</v>
      </c>
      <c r="U27" s="7">
        <v>0</v>
      </c>
      <c r="V27" s="7">
        <v>0</v>
      </c>
      <c r="W27" s="18">
        <v>2</v>
      </c>
    </row>
    <row r="28" spans="1:23" x14ac:dyDescent="0.3">
      <c r="A28">
        <v>2048</v>
      </c>
      <c r="B28">
        <v>0</v>
      </c>
      <c r="C28" s="3">
        <v>0</v>
      </c>
      <c r="D28">
        <v>0</v>
      </c>
      <c r="E28" s="3">
        <v>0</v>
      </c>
      <c r="F28">
        <v>0</v>
      </c>
      <c r="G28">
        <v>0</v>
      </c>
      <c r="H28">
        <v>0</v>
      </c>
      <c r="I28">
        <v>0</v>
      </c>
      <c r="K28" s="14">
        <f t="shared" si="0"/>
        <v>0</v>
      </c>
    </row>
    <row r="29" spans="1:23" x14ac:dyDescent="0.3">
      <c r="A29">
        <v>2049</v>
      </c>
      <c r="B29">
        <v>0</v>
      </c>
      <c r="C29" s="3">
        <v>0</v>
      </c>
      <c r="D29">
        <v>0</v>
      </c>
      <c r="E29" s="3">
        <v>0</v>
      </c>
      <c r="F29">
        <v>0</v>
      </c>
      <c r="G29">
        <v>0</v>
      </c>
      <c r="H29">
        <v>0</v>
      </c>
      <c r="I29">
        <v>0</v>
      </c>
      <c r="K29" s="14">
        <f t="shared" si="0"/>
        <v>0</v>
      </c>
    </row>
    <row r="30" spans="1:23" x14ac:dyDescent="0.3">
      <c r="A30">
        <v>2050</v>
      </c>
      <c r="B30">
        <v>0</v>
      </c>
      <c r="C30" s="3">
        <v>2</v>
      </c>
      <c r="D30">
        <v>0</v>
      </c>
      <c r="E30" s="3">
        <v>2</v>
      </c>
      <c r="F30">
        <v>0</v>
      </c>
      <c r="G30">
        <v>0</v>
      </c>
      <c r="H30">
        <v>0</v>
      </c>
      <c r="I30">
        <v>0</v>
      </c>
      <c r="K30" s="14">
        <f t="shared" si="0"/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77188-4C54-4D05-A0BB-AB8E292CE16E}">
  <dimension ref="A1:BQ96"/>
  <sheetViews>
    <sheetView workbookViewId="0">
      <pane xSplit="1" topLeftCell="BG1" activePane="topRight" state="frozen"/>
      <selection pane="topRight" activeCell="BH17" sqref="BH17"/>
    </sheetView>
  </sheetViews>
  <sheetFormatPr defaultRowHeight="14.4" x14ac:dyDescent="0.3"/>
  <cols>
    <col min="1" max="1" width="45" customWidth="1"/>
    <col min="2" max="13" width="18" bestFit="1" customWidth="1"/>
    <col min="14" max="16" width="19" bestFit="1" customWidth="1"/>
    <col min="17" max="56" width="18" bestFit="1" customWidth="1"/>
    <col min="57" max="57" width="19.5546875" customWidth="1"/>
    <col min="58" max="58" width="18.33203125" customWidth="1"/>
    <col min="59" max="60" width="18.33203125" bestFit="1" customWidth="1"/>
    <col min="61" max="66" width="17.6640625" customWidth="1"/>
    <col min="68" max="68" width="17.33203125" bestFit="1" customWidth="1"/>
    <col min="69" max="69" width="14.88671875" bestFit="1" customWidth="1"/>
  </cols>
  <sheetData>
    <row r="1" spans="1:69" x14ac:dyDescent="0.3">
      <c r="A1" t="s">
        <v>95</v>
      </c>
      <c r="BL1" t="s">
        <v>140</v>
      </c>
    </row>
    <row r="2" spans="1:69" x14ac:dyDescent="0.3">
      <c r="A2" s="1" t="s">
        <v>7</v>
      </c>
      <c r="G2">
        <v>250617</v>
      </c>
      <c r="J2">
        <v>250618</v>
      </c>
      <c r="M2">
        <v>250623</v>
      </c>
      <c r="V2">
        <v>250624</v>
      </c>
      <c r="AD2">
        <v>250625</v>
      </c>
      <c r="AF2">
        <v>250707</v>
      </c>
      <c r="AJ2">
        <v>250708</v>
      </c>
      <c r="AR2">
        <v>250713</v>
      </c>
      <c r="AU2">
        <v>250714</v>
      </c>
      <c r="AY2" t="s">
        <v>105</v>
      </c>
      <c r="BA2">
        <v>250715</v>
      </c>
      <c r="BE2">
        <v>250721</v>
      </c>
      <c r="BI2">
        <v>250807</v>
      </c>
      <c r="BK2">
        <v>250808</v>
      </c>
    </row>
    <row r="3" spans="1:69" x14ac:dyDescent="0.3">
      <c r="A3" s="1" t="s">
        <v>6</v>
      </c>
      <c r="I3" t="s">
        <v>86</v>
      </c>
      <c r="J3" t="s">
        <v>87</v>
      </c>
      <c r="M3" t="s">
        <v>88</v>
      </c>
      <c r="Q3" t="s">
        <v>89</v>
      </c>
      <c r="AA3" t="s">
        <v>91</v>
      </c>
      <c r="AD3" t="s">
        <v>92</v>
      </c>
      <c r="AF3" t="s">
        <v>94</v>
      </c>
      <c r="AJ3" t="s">
        <v>96</v>
      </c>
      <c r="AR3" t="s">
        <v>101</v>
      </c>
      <c r="AU3" t="s">
        <v>103</v>
      </c>
      <c r="AY3" t="s">
        <v>104</v>
      </c>
      <c r="BA3" t="s">
        <v>103</v>
      </c>
      <c r="BE3" t="s">
        <v>118</v>
      </c>
      <c r="BI3" t="s">
        <v>139</v>
      </c>
    </row>
    <row r="4" spans="1:69" x14ac:dyDescent="0.3">
      <c r="A4" t="s">
        <v>62</v>
      </c>
      <c r="B4" s="3">
        <v>150</v>
      </c>
      <c r="C4" s="3">
        <v>0</v>
      </c>
      <c r="D4" s="3">
        <v>366</v>
      </c>
      <c r="E4" s="3">
        <v>150</v>
      </c>
      <c r="F4" s="3">
        <v>366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150</v>
      </c>
      <c r="X4" s="3">
        <v>366</v>
      </c>
      <c r="Y4" s="3">
        <v>0</v>
      </c>
      <c r="Z4" s="3">
        <v>150</v>
      </c>
      <c r="AA4" s="3">
        <v>0</v>
      </c>
      <c r="AB4" s="3">
        <v>150</v>
      </c>
      <c r="AC4" s="3">
        <v>366</v>
      </c>
      <c r="AD4" s="3">
        <v>0</v>
      </c>
      <c r="AE4" s="3">
        <v>150</v>
      </c>
      <c r="AF4" s="3">
        <v>150</v>
      </c>
      <c r="AG4" s="3">
        <v>0</v>
      </c>
      <c r="AH4" s="3">
        <v>365</v>
      </c>
      <c r="AI4" s="3">
        <v>150</v>
      </c>
      <c r="AJ4" s="3">
        <v>150</v>
      </c>
      <c r="AK4" s="3">
        <v>150</v>
      </c>
      <c r="AL4" s="3">
        <v>150</v>
      </c>
      <c r="AM4" s="3">
        <v>150</v>
      </c>
      <c r="AN4" s="3">
        <v>150</v>
      </c>
      <c r="AO4" s="3">
        <v>150</v>
      </c>
      <c r="AP4" s="3">
        <v>150</v>
      </c>
      <c r="AQ4" s="3">
        <v>150</v>
      </c>
      <c r="AR4" s="3">
        <v>150</v>
      </c>
      <c r="AS4" s="3">
        <v>150</v>
      </c>
      <c r="AT4" s="3">
        <v>150</v>
      </c>
      <c r="AU4" s="3">
        <v>150</v>
      </c>
      <c r="AV4" s="3">
        <v>150</v>
      </c>
      <c r="AW4" s="3">
        <v>150</v>
      </c>
      <c r="AX4" s="3">
        <v>150</v>
      </c>
      <c r="AY4" s="3">
        <v>150</v>
      </c>
      <c r="AZ4" s="3">
        <v>150</v>
      </c>
      <c r="BA4" s="3">
        <v>150</v>
      </c>
      <c r="BB4" s="3">
        <v>150</v>
      </c>
      <c r="BC4" s="3">
        <v>150</v>
      </c>
      <c r="BD4" s="3">
        <v>150</v>
      </c>
      <c r="BE4" s="3">
        <v>150</v>
      </c>
      <c r="BF4" s="3">
        <v>150</v>
      </c>
      <c r="BG4" s="3">
        <v>150</v>
      </c>
      <c r="BH4" s="3">
        <v>150</v>
      </c>
      <c r="BI4" s="3">
        <v>150</v>
      </c>
      <c r="BJ4" s="3">
        <v>150</v>
      </c>
      <c r="BK4" s="3">
        <v>150</v>
      </c>
      <c r="BL4" s="3">
        <v>150</v>
      </c>
      <c r="BM4" s="3">
        <v>150</v>
      </c>
      <c r="BN4" s="3">
        <v>150</v>
      </c>
      <c r="BP4" t="s">
        <v>107</v>
      </c>
    </row>
    <row r="5" spans="1:69" x14ac:dyDescent="0.3">
      <c r="A5" t="s">
        <v>63</v>
      </c>
      <c r="B5" s="3">
        <v>2500</v>
      </c>
      <c r="C5" s="3">
        <v>2500</v>
      </c>
      <c r="D5" s="3">
        <v>2500</v>
      </c>
      <c r="E5" s="3">
        <v>2500</v>
      </c>
      <c r="F5" s="3">
        <v>2500</v>
      </c>
      <c r="G5" s="3">
        <v>2500</v>
      </c>
      <c r="H5" s="3">
        <v>2500</v>
      </c>
      <c r="I5" s="3">
        <v>2500</v>
      </c>
      <c r="J5" s="3">
        <v>2500</v>
      </c>
      <c r="K5" s="3">
        <v>10000</v>
      </c>
      <c r="L5" s="3">
        <v>10000</v>
      </c>
      <c r="M5" s="3">
        <v>10000</v>
      </c>
      <c r="N5" s="3">
        <v>20000</v>
      </c>
      <c r="O5" s="3">
        <v>50000</v>
      </c>
      <c r="P5" s="3">
        <v>100000</v>
      </c>
      <c r="Q5" s="3">
        <v>10000</v>
      </c>
      <c r="R5" s="3">
        <v>10000</v>
      </c>
      <c r="S5" s="3">
        <v>10000</v>
      </c>
      <c r="T5" s="3">
        <v>10000</v>
      </c>
      <c r="U5" s="3">
        <v>10000</v>
      </c>
      <c r="V5" s="3">
        <v>10000</v>
      </c>
      <c r="W5" s="3">
        <v>10000</v>
      </c>
      <c r="X5" s="3">
        <v>10000</v>
      </c>
      <c r="Y5" s="3">
        <v>10000</v>
      </c>
      <c r="Z5" s="3">
        <v>10000</v>
      </c>
      <c r="AA5" s="3">
        <v>10000</v>
      </c>
      <c r="AB5" s="3">
        <v>10000</v>
      </c>
      <c r="AC5" s="3">
        <v>10000</v>
      </c>
      <c r="AD5" s="3">
        <v>10000</v>
      </c>
      <c r="AE5" s="3">
        <v>10000</v>
      </c>
      <c r="AF5" s="3">
        <v>10000</v>
      </c>
      <c r="AG5" s="3">
        <v>10000</v>
      </c>
      <c r="AH5" s="3">
        <v>10000</v>
      </c>
      <c r="AI5" s="3">
        <v>10000</v>
      </c>
      <c r="AJ5" s="3">
        <v>10000</v>
      </c>
      <c r="AK5" s="3">
        <v>10000</v>
      </c>
      <c r="AL5" s="3">
        <v>10000</v>
      </c>
      <c r="AM5" s="3">
        <v>10000</v>
      </c>
      <c r="AN5" s="3">
        <v>10000</v>
      </c>
      <c r="AO5" s="3">
        <v>10000</v>
      </c>
      <c r="AP5" s="3">
        <v>10000</v>
      </c>
      <c r="AQ5" s="3">
        <v>10000</v>
      </c>
      <c r="AR5" s="3">
        <v>10000</v>
      </c>
      <c r="AS5" s="3">
        <v>10000</v>
      </c>
      <c r="AT5" s="3">
        <v>10000</v>
      </c>
      <c r="AU5" s="3">
        <v>10000</v>
      </c>
      <c r="AV5" s="3">
        <v>10000</v>
      </c>
      <c r="AW5" s="3">
        <v>10000</v>
      </c>
      <c r="AX5" s="3">
        <v>10000</v>
      </c>
      <c r="AY5" s="3">
        <v>10000</v>
      </c>
      <c r="AZ5" s="3">
        <v>10000</v>
      </c>
      <c r="BA5" s="3">
        <v>10000</v>
      </c>
      <c r="BB5" s="3">
        <v>10000</v>
      </c>
      <c r="BC5" s="3">
        <v>10000</v>
      </c>
      <c r="BD5" s="3">
        <v>10000</v>
      </c>
      <c r="BE5" s="3">
        <v>10000</v>
      </c>
      <c r="BF5" s="3">
        <v>10000</v>
      </c>
      <c r="BG5" s="3">
        <v>10000</v>
      </c>
      <c r="BH5" s="3">
        <v>10000</v>
      </c>
      <c r="BI5" s="3">
        <v>0</v>
      </c>
      <c r="BJ5" s="3">
        <v>0</v>
      </c>
      <c r="BK5" s="3">
        <v>0</v>
      </c>
      <c r="BL5" s="3">
        <v>0</v>
      </c>
      <c r="BM5" s="3">
        <v>0</v>
      </c>
      <c r="BN5" s="3">
        <v>0</v>
      </c>
      <c r="BP5" t="s">
        <v>121</v>
      </c>
      <c r="BQ5" t="s">
        <v>122</v>
      </c>
    </row>
    <row r="6" spans="1:69" x14ac:dyDescent="0.3">
      <c r="A6" t="s">
        <v>90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 t="b">
        <v>0</v>
      </c>
      <c r="V6" s="3" t="b">
        <v>1</v>
      </c>
      <c r="W6" s="3" t="b">
        <v>1</v>
      </c>
      <c r="X6" s="3" t="b">
        <v>1</v>
      </c>
      <c r="Y6" s="3" t="b">
        <v>1</v>
      </c>
      <c r="Z6" s="3" t="b">
        <v>1</v>
      </c>
      <c r="AA6" s="3" t="b">
        <v>0</v>
      </c>
      <c r="AB6" s="3" t="b">
        <v>0</v>
      </c>
      <c r="AC6" s="3" t="b">
        <v>0</v>
      </c>
      <c r="AD6" s="3" t="b">
        <v>0</v>
      </c>
      <c r="AE6" s="3" t="b">
        <v>0</v>
      </c>
      <c r="AF6" s="3" t="b">
        <v>0</v>
      </c>
      <c r="AG6" s="3" t="b">
        <v>0</v>
      </c>
      <c r="AH6" s="3" t="b">
        <v>0</v>
      </c>
      <c r="AI6" s="3" t="b">
        <v>0</v>
      </c>
      <c r="AJ6" s="3" t="b">
        <v>0</v>
      </c>
      <c r="AK6" s="3" t="b">
        <v>0</v>
      </c>
      <c r="AL6" s="3" t="b">
        <v>0</v>
      </c>
      <c r="AM6" s="3" t="b">
        <v>0</v>
      </c>
      <c r="AN6" s="3" t="b">
        <v>0</v>
      </c>
      <c r="AO6" s="3" t="b">
        <v>0</v>
      </c>
      <c r="AP6" s="3" t="b">
        <v>0</v>
      </c>
      <c r="AQ6" s="3" t="b">
        <v>0</v>
      </c>
      <c r="AR6" s="3" t="b">
        <v>0</v>
      </c>
      <c r="AS6" s="3" t="b">
        <v>0</v>
      </c>
      <c r="AT6" s="3" t="b">
        <v>0</v>
      </c>
      <c r="AU6" s="3" t="b">
        <v>0</v>
      </c>
      <c r="AV6" s="3" t="b">
        <v>0</v>
      </c>
      <c r="AW6" s="3" t="b">
        <v>0</v>
      </c>
      <c r="AX6" s="3" t="b">
        <v>0</v>
      </c>
      <c r="AY6" s="3" t="b">
        <v>0</v>
      </c>
      <c r="AZ6" s="3" t="b">
        <v>0</v>
      </c>
      <c r="BA6" s="3" t="b">
        <v>0</v>
      </c>
      <c r="BB6" s="3" t="b">
        <v>0</v>
      </c>
      <c r="BC6" s="3" t="b">
        <v>0</v>
      </c>
      <c r="BD6" s="3" t="b">
        <v>0</v>
      </c>
      <c r="BE6" s="3" t="b">
        <v>0</v>
      </c>
      <c r="BF6" s="3" t="b">
        <v>0</v>
      </c>
      <c r="BG6" s="3" t="b">
        <v>0</v>
      </c>
      <c r="BH6" s="3" t="b">
        <v>0</v>
      </c>
      <c r="BI6" s="3" t="b">
        <v>0</v>
      </c>
      <c r="BJ6" s="3" t="b">
        <v>0</v>
      </c>
      <c r="BK6" s="3" t="b">
        <v>0</v>
      </c>
      <c r="BL6" s="3" t="b">
        <v>0</v>
      </c>
      <c r="BM6" s="3" t="b">
        <v>0</v>
      </c>
      <c r="BN6" s="3" t="b">
        <v>0</v>
      </c>
      <c r="BP6" t="s">
        <v>119</v>
      </c>
    </row>
    <row r="7" spans="1:69" x14ac:dyDescent="0.3">
      <c r="A7" t="s">
        <v>57</v>
      </c>
      <c r="B7" s="3">
        <v>8783</v>
      </c>
      <c r="C7" s="3">
        <v>8783</v>
      </c>
      <c r="D7" s="3">
        <v>8783</v>
      </c>
      <c r="E7" s="3">
        <v>8783</v>
      </c>
      <c r="F7" s="3">
        <v>8783</v>
      </c>
      <c r="G7" s="3">
        <v>8783</v>
      </c>
      <c r="H7" s="3">
        <v>8783</v>
      </c>
      <c r="I7" s="3">
        <v>8783</v>
      </c>
      <c r="J7" s="3">
        <v>8783</v>
      </c>
      <c r="K7" s="3">
        <v>8783</v>
      </c>
      <c r="L7" s="3">
        <v>8783</v>
      </c>
      <c r="M7" s="3">
        <v>8783</v>
      </c>
      <c r="N7" s="3">
        <v>8783</v>
      </c>
      <c r="O7" s="3">
        <v>8783</v>
      </c>
      <c r="P7" s="3">
        <v>8783</v>
      </c>
      <c r="Q7" s="3">
        <v>8783</v>
      </c>
      <c r="R7" s="3">
        <v>8783</v>
      </c>
      <c r="S7" s="3">
        <v>8783</v>
      </c>
      <c r="T7" s="3">
        <v>8783</v>
      </c>
      <c r="U7" s="3">
        <v>8783</v>
      </c>
      <c r="V7" s="3">
        <v>8783</v>
      </c>
      <c r="W7" s="3">
        <v>8783</v>
      </c>
      <c r="X7" s="3">
        <v>8783</v>
      </c>
      <c r="Y7" s="3">
        <v>8783</v>
      </c>
      <c r="Z7" s="3">
        <v>8783</v>
      </c>
      <c r="AA7" s="3">
        <v>8783</v>
      </c>
      <c r="AB7" s="3">
        <v>8783</v>
      </c>
      <c r="AC7" s="3">
        <v>8783</v>
      </c>
      <c r="AD7" s="3">
        <v>24</v>
      </c>
      <c r="AE7" s="3">
        <v>24</v>
      </c>
      <c r="AF7" s="3">
        <v>24</v>
      </c>
      <c r="AG7" s="3">
        <v>24</v>
      </c>
      <c r="AH7" s="3">
        <v>24</v>
      </c>
      <c r="AI7" s="3">
        <v>24</v>
      </c>
      <c r="AJ7" s="3">
        <v>24</v>
      </c>
      <c r="AK7" s="3">
        <v>24</v>
      </c>
      <c r="AL7" s="3">
        <v>24</v>
      </c>
      <c r="AM7" s="3">
        <v>24</v>
      </c>
      <c r="AN7" s="3">
        <v>24</v>
      </c>
      <c r="AO7" s="3">
        <v>24</v>
      </c>
      <c r="AP7" s="3">
        <v>24</v>
      </c>
      <c r="AQ7" s="3">
        <v>24</v>
      </c>
      <c r="AR7" s="3">
        <v>24</v>
      </c>
      <c r="AS7" s="3">
        <v>24</v>
      </c>
      <c r="AT7" s="3">
        <v>24</v>
      </c>
      <c r="AU7" s="3">
        <v>24</v>
      </c>
      <c r="AV7" s="3">
        <v>24</v>
      </c>
      <c r="AW7" s="3">
        <v>24</v>
      </c>
      <c r="AX7" s="3">
        <v>24</v>
      </c>
      <c r="AY7" s="3">
        <v>24</v>
      </c>
      <c r="AZ7" s="3">
        <v>24</v>
      </c>
      <c r="BA7" s="3">
        <v>24</v>
      </c>
      <c r="BB7" s="3">
        <v>24</v>
      </c>
      <c r="BC7" s="3">
        <v>24</v>
      </c>
      <c r="BD7" s="3">
        <v>24</v>
      </c>
      <c r="BE7" s="3">
        <v>24</v>
      </c>
      <c r="BF7" s="3">
        <v>24</v>
      </c>
      <c r="BG7" s="3">
        <v>24</v>
      </c>
      <c r="BH7" s="3">
        <v>24</v>
      </c>
      <c r="BI7" s="3">
        <v>8783</v>
      </c>
      <c r="BJ7" s="3">
        <v>8783</v>
      </c>
      <c r="BK7" s="3">
        <v>8783</v>
      </c>
      <c r="BL7" s="3">
        <v>24</v>
      </c>
      <c r="BM7" s="3">
        <v>24</v>
      </c>
      <c r="BN7" s="3">
        <v>24</v>
      </c>
      <c r="BP7" s="3">
        <f>BG10*BP9/100+BG9*BP11/100</f>
        <v>13532045.806827499</v>
      </c>
      <c r="BQ7" s="3">
        <f>BH10*BQ9/100+BH9*BQ11/100</f>
        <v>4543046.5541842831</v>
      </c>
    </row>
    <row r="8" spans="1:69" x14ac:dyDescent="0.3">
      <c r="A8" t="s">
        <v>93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365</v>
      </c>
      <c r="AE8" s="3">
        <v>365</v>
      </c>
      <c r="AF8" s="5">
        <v>73</v>
      </c>
      <c r="AG8" s="5">
        <v>73</v>
      </c>
      <c r="AH8" s="5">
        <v>73</v>
      </c>
      <c r="AI8" s="5">
        <v>31</v>
      </c>
      <c r="AJ8" s="5">
        <v>8</v>
      </c>
      <c r="AK8" s="5">
        <v>16</v>
      </c>
      <c r="AL8" s="5">
        <v>31</v>
      </c>
      <c r="AM8" s="5">
        <v>61</v>
      </c>
      <c r="AN8" s="5">
        <v>92</v>
      </c>
      <c r="AO8" s="5">
        <v>122</v>
      </c>
      <c r="AP8" s="5">
        <v>183</v>
      </c>
      <c r="AQ8" s="5">
        <v>365</v>
      </c>
      <c r="AR8" s="3">
        <v>183</v>
      </c>
      <c r="AS8" s="3">
        <v>183</v>
      </c>
      <c r="AT8" s="3">
        <v>365</v>
      </c>
      <c r="AU8" s="3">
        <v>183</v>
      </c>
      <c r="AV8" s="3">
        <v>183</v>
      </c>
      <c r="AW8" s="3">
        <v>365</v>
      </c>
      <c r="AX8" s="3">
        <v>365</v>
      </c>
      <c r="AY8" s="3">
        <v>183</v>
      </c>
      <c r="AZ8" s="3">
        <v>365</v>
      </c>
      <c r="BA8" s="3">
        <v>365</v>
      </c>
      <c r="BB8" s="3">
        <v>365</v>
      </c>
      <c r="BC8" s="3">
        <v>365</v>
      </c>
      <c r="BD8" s="3">
        <v>365</v>
      </c>
      <c r="BE8" s="3">
        <v>365</v>
      </c>
      <c r="BF8" s="3">
        <v>365</v>
      </c>
      <c r="BG8" s="3">
        <v>365</v>
      </c>
      <c r="BH8" s="3">
        <v>365</v>
      </c>
      <c r="BI8" s="3">
        <v>1</v>
      </c>
      <c r="BJ8" s="3">
        <v>1</v>
      </c>
      <c r="BK8" s="3">
        <v>1</v>
      </c>
      <c r="BL8" s="3">
        <v>365</v>
      </c>
      <c r="BM8" s="3">
        <v>365</v>
      </c>
      <c r="BN8" s="3">
        <v>365</v>
      </c>
      <c r="BP8" t="s">
        <v>108</v>
      </c>
    </row>
    <row r="9" spans="1:69" x14ac:dyDescent="0.3">
      <c r="A9" t="s">
        <v>81</v>
      </c>
      <c r="B9" s="3">
        <v>0.2</v>
      </c>
      <c r="C9" s="3">
        <v>0.2</v>
      </c>
      <c r="D9" s="3">
        <v>0.2</v>
      </c>
      <c r="E9" s="3">
        <v>20</v>
      </c>
      <c r="F9" s="3">
        <v>20</v>
      </c>
      <c r="G9" s="3">
        <v>20</v>
      </c>
      <c r="H9" s="3">
        <v>20</v>
      </c>
      <c r="I9" s="3">
        <v>20</v>
      </c>
      <c r="J9" s="3">
        <v>20</v>
      </c>
      <c r="K9" s="3">
        <v>20</v>
      </c>
      <c r="L9" s="3">
        <v>50</v>
      </c>
      <c r="M9" s="3">
        <v>50</v>
      </c>
      <c r="N9" s="3">
        <v>50</v>
      </c>
      <c r="O9" s="3">
        <v>50</v>
      </c>
      <c r="P9" s="3">
        <v>50</v>
      </c>
      <c r="Q9" s="3">
        <v>50</v>
      </c>
      <c r="R9" s="3">
        <v>50</v>
      </c>
      <c r="S9" s="3">
        <v>50</v>
      </c>
      <c r="T9" s="3">
        <v>10</v>
      </c>
      <c r="U9" s="3">
        <v>20</v>
      </c>
      <c r="V9" s="3">
        <v>20</v>
      </c>
      <c r="W9" s="3">
        <v>20</v>
      </c>
      <c r="X9" s="3">
        <v>20</v>
      </c>
      <c r="Y9" s="3">
        <v>20</v>
      </c>
      <c r="Z9" s="3">
        <v>20</v>
      </c>
      <c r="AA9" s="3">
        <v>20</v>
      </c>
      <c r="AB9" s="3">
        <v>20</v>
      </c>
      <c r="AC9" s="3">
        <v>20</v>
      </c>
      <c r="AD9" s="3">
        <v>20.000000000003102</v>
      </c>
      <c r="AE9" s="3">
        <v>20.000000000003102</v>
      </c>
      <c r="AF9" s="3">
        <v>19.9999999999993</v>
      </c>
      <c r="AG9" s="3">
        <v>19.9999999999993</v>
      </c>
      <c r="AH9" s="3">
        <v>19.9999999999993</v>
      </c>
      <c r="AI9" s="3">
        <v>19.999999999999901</v>
      </c>
      <c r="AJ9" s="3">
        <v>20</v>
      </c>
      <c r="AK9" s="3">
        <v>20.000000000000099</v>
      </c>
      <c r="AL9" s="3">
        <v>19.999999999999901</v>
      </c>
      <c r="AM9" s="3">
        <v>19.9999999999994</v>
      </c>
      <c r="AN9" s="3">
        <v>19.999999999999201</v>
      </c>
      <c r="AO9" s="3">
        <v>20.000000000000199</v>
      </c>
      <c r="AP9" s="3">
        <v>20.000000000001599</v>
      </c>
      <c r="AQ9" s="3">
        <v>20.000000000003102</v>
      </c>
      <c r="AR9" s="3">
        <v>20.000000000001599</v>
      </c>
      <c r="AS9" s="3">
        <v>20.000000000001599</v>
      </c>
      <c r="AT9" s="3">
        <v>20.000000000003102</v>
      </c>
      <c r="AU9" s="3">
        <v>20.000000000001599</v>
      </c>
      <c r="AV9" s="3">
        <v>20.000000000001599</v>
      </c>
      <c r="AW9" s="3">
        <v>20.000000000003102</v>
      </c>
      <c r="AX9" s="3">
        <v>20.000000000003102</v>
      </c>
      <c r="AY9" s="3">
        <v>20.000000000001599</v>
      </c>
      <c r="AZ9" s="3">
        <v>20.000000000003102</v>
      </c>
      <c r="BA9" s="3">
        <v>20.000000000003102</v>
      </c>
      <c r="BB9" s="3">
        <v>20.000000000003102</v>
      </c>
      <c r="BC9" s="3">
        <v>20.000000000003102</v>
      </c>
      <c r="BD9" s="3">
        <v>20.000000000003102</v>
      </c>
      <c r="BE9" s="3">
        <v>20.000000000003102</v>
      </c>
      <c r="BF9" s="3">
        <v>20.000000000003102</v>
      </c>
      <c r="BG9" s="3">
        <v>20.000000000003102</v>
      </c>
      <c r="BH9" s="3">
        <v>20.000000000003102</v>
      </c>
      <c r="BI9" s="3">
        <v>20</v>
      </c>
      <c r="BJ9" s="3">
        <v>20</v>
      </c>
      <c r="BK9" s="3">
        <v>20</v>
      </c>
      <c r="BL9" s="3">
        <v>20.000000000003102</v>
      </c>
      <c r="BM9" s="3">
        <v>20.000000000003102</v>
      </c>
      <c r="BN9" s="3">
        <v>20.000000000003102</v>
      </c>
      <c r="BP9" s="14">
        <f>BG25-BH25</f>
        <v>13732381.696135998</v>
      </c>
      <c r="BQ9" s="14">
        <f>BF25-BE25</f>
        <v>4567672.5717809796</v>
      </c>
    </row>
    <row r="10" spans="1:69" x14ac:dyDescent="0.3">
      <c r="A10" t="s">
        <v>82</v>
      </c>
      <c r="B10" s="3">
        <v>1</v>
      </c>
      <c r="C10" s="3">
        <v>1</v>
      </c>
      <c r="D10" s="3">
        <v>1</v>
      </c>
      <c r="E10" s="3">
        <v>100</v>
      </c>
      <c r="F10" s="3">
        <v>100</v>
      </c>
      <c r="G10" s="3">
        <v>80</v>
      </c>
      <c r="H10" s="3">
        <v>80</v>
      </c>
      <c r="I10" s="3">
        <v>80</v>
      </c>
      <c r="J10" s="3">
        <v>80</v>
      </c>
      <c r="K10" s="3">
        <v>80</v>
      </c>
      <c r="L10" s="3">
        <v>50</v>
      </c>
      <c r="M10" s="3">
        <v>50</v>
      </c>
      <c r="N10" s="3">
        <v>50</v>
      </c>
      <c r="O10" s="3">
        <v>50</v>
      </c>
      <c r="P10" s="3">
        <v>50</v>
      </c>
      <c r="Q10" s="3">
        <v>50</v>
      </c>
      <c r="R10" s="3">
        <v>50</v>
      </c>
      <c r="S10" s="3">
        <v>50</v>
      </c>
      <c r="T10" s="3">
        <v>89.999999999999901</v>
      </c>
      <c r="U10" s="3">
        <v>80</v>
      </c>
      <c r="V10" s="3">
        <v>80</v>
      </c>
      <c r="W10" s="3">
        <v>80</v>
      </c>
      <c r="X10" s="3">
        <v>80</v>
      </c>
      <c r="Y10" s="3">
        <v>80</v>
      </c>
      <c r="Z10" s="3">
        <v>80</v>
      </c>
      <c r="AA10" s="3">
        <v>80</v>
      </c>
      <c r="AB10" s="3">
        <v>80</v>
      </c>
      <c r="AC10" s="3">
        <v>80</v>
      </c>
      <c r="AD10" s="3">
        <v>80.000000000012406</v>
      </c>
      <c r="AE10" s="3">
        <v>80.000000000012406</v>
      </c>
      <c r="AF10" s="3">
        <v>79.9999999999972</v>
      </c>
      <c r="AG10" s="3">
        <v>79.9999999999972</v>
      </c>
      <c r="AH10" s="3">
        <v>79.9999999999972</v>
      </c>
      <c r="AI10" s="3">
        <v>79.999999999999602</v>
      </c>
      <c r="AJ10" s="3">
        <v>80.000000000000099</v>
      </c>
      <c r="AK10" s="3">
        <v>80.000000000000597</v>
      </c>
      <c r="AL10" s="3">
        <v>79.999999999999602</v>
      </c>
      <c r="AM10" s="3">
        <v>79.999999999997598</v>
      </c>
      <c r="AN10" s="3">
        <v>79.999999999996803</v>
      </c>
      <c r="AO10" s="3">
        <v>80.000000000000895</v>
      </c>
      <c r="AP10" s="3">
        <v>80.000000000006594</v>
      </c>
      <c r="AQ10" s="3">
        <v>80.000000000012406</v>
      </c>
      <c r="AR10" s="3">
        <v>80.000000000006594</v>
      </c>
      <c r="AS10" s="3">
        <v>80.000000000006594</v>
      </c>
      <c r="AT10" s="3">
        <v>80.000000000012406</v>
      </c>
      <c r="AU10" s="3">
        <v>80.000000000006594</v>
      </c>
      <c r="AV10" s="3">
        <v>80.000000000006594</v>
      </c>
      <c r="AW10" s="3">
        <v>80.000000000012406</v>
      </c>
      <c r="AX10" s="3">
        <v>80.000000000012406</v>
      </c>
      <c r="AY10" s="3">
        <v>80.000000000006594</v>
      </c>
      <c r="AZ10" s="3">
        <v>80.000000000012406</v>
      </c>
      <c r="BA10" s="3">
        <v>80.000000000012406</v>
      </c>
      <c r="BB10" s="3">
        <v>80.000000000012406</v>
      </c>
      <c r="BC10" s="3">
        <v>80.000000000012406</v>
      </c>
      <c r="BD10" s="3">
        <v>80.000000000012406</v>
      </c>
      <c r="BE10" s="3">
        <v>80.000000000012406</v>
      </c>
      <c r="BF10" s="3">
        <v>80.000000000012406</v>
      </c>
      <c r="BG10" s="3">
        <v>80.000000000012406</v>
      </c>
      <c r="BH10" s="3">
        <v>80.000000000012406</v>
      </c>
      <c r="BI10" s="3">
        <v>20</v>
      </c>
      <c r="BJ10" s="3">
        <v>20</v>
      </c>
      <c r="BK10" s="3">
        <v>20</v>
      </c>
      <c r="BL10" s="3">
        <v>80.000000000012406</v>
      </c>
      <c r="BM10" s="3">
        <v>80.000000000012406</v>
      </c>
      <c r="BN10" s="3">
        <v>80.000000000012406</v>
      </c>
      <c r="BP10" t="s">
        <v>109</v>
      </c>
    </row>
    <row r="11" spans="1:69" x14ac:dyDescent="0.3">
      <c r="A11" t="s">
        <v>64</v>
      </c>
      <c r="B11" s="3" t="s">
        <v>78</v>
      </c>
      <c r="C11" s="3" t="s">
        <v>78</v>
      </c>
      <c r="D11" s="3" t="s">
        <v>78</v>
      </c>
      <c r="E11" s="3" t="s">
        <v>78</v>
      </c>
      <c r="F11" s="3" t="s">
        <v>78</v>
      </c>
      <c r="G11" s="3" t="s">
        <v>78</v>
      </c>
      <c r="H11" s="3" t="s">
        <v>78</v>
      </c>
      <c r="I11" s="3" t="s">
        <v>78</v>
      </c>
      <c r="J11" s="3" t="s">
        <v>78</v>
      </c>
      <c r="K11" s="3" t="s">
        <v>78</v>
      </c>
      <c r="L11" s="3" t="s">
        <v>78</v>
      </c>
      <c r="M11" s="3" t="s">
        <v>78</v>
      </c>
      <c r="N11" s="3" t="s">
        <v>78</v>
      </c>
      <c r="O11" s="3" t="s">
        <v>78</v>
      </c>
      <c r="P11" s="3" t="s">
        <v>78</v>
      </c>
      <c r="Q11" s="3" t="s">
        <v>78</v>
      </c>
      <c r="R11" s="3" t="s">
        <v>78</v>
      </c>
      <c r="S11" s="3" t="s">
        <v>78</v>
      </c>
      <c r="T11" s="3" t="s">
        <v>78</v>
      </c>
      <c r="U11" s="3" t="s">
        <v>78</v>
      </c>
      <c r="V11" s="3" t="s">
        <v>78</v>
      </c>
      <c r="W11" s="3" t="s">
        <v>78</v>
      </c>
      <c r="X11" s="3" t="s">
        <v>78</v>
      </c>
      <c r="Y11" s="3" t="s">
        <v>78</v>
      </c>
      <c r="Z11" s="3" t="s">
        <v>78</v>
      </c>
      <c r="AA11" s="3" t="s">
        <v>78</v>
      </c>
      <c r="AB11" s="3" t="s">
        <v>78</v>
      </c>
      <c r="AC11" s="3" t="s">
        <v>78</v>
      </c>
      <c r="AD11" s="3" t="s">
        <v>78</v>
      </c>
      <c r="AE11" s="3" t="s">
        <v>78</v>
      </c>
      <c r="AF11" s="3" t="s">
        <v>78</v>
      </c>
      <c r="AG11" s="3" t="s">
        <v>78</v>
      </c>
      <c r="AH11" s="3" t="s">
        <v>78</v>
      </c>
      <c r="AI11" s="3" t="s">
        <v>78</v>
      </c>
      <c r="AJ11" s="3" t="s">
        <v>78</v>
      </c>
      <c r="AK11" s="3" t="s">
        <v>78</v>
      </c>
      <c r="AL11" s="3" t="s">
        <v>78</v>
      </c>
      <c r="AM11" s="3" t="s">
        <v>78</v>
      </c>
      <c r="AN11" s="3" t="s">
        <v>78</v>
      </c>
      <c r="AO11" s="3" t="s">
        <v>78</v>
      </c>
      <c r="AP11" s="3" t="s">
        <v>78</v>
      </c>
      <c r="AQ11" s="3" t="s">
        <v>78</v>
      </c>
      <c r="AR11" s="3" t="s">
        <v>102</v>
      </c>
      <c r="AS11" s="3" t="s">
        <v>102</v>
      </c>
      <c r="AT11" s="3" t="s">
        <v>102</v>
      </c>
      <c r="AU11" s="3" t="s">
        <v>102</v>
      </c>
      <c r="AV11" s="3" t="s">
        <v>102</v>
      </c>
      <c r="AW11" s="3" t="s">
        <v>102</v>
      </c>
      <c r="AX11" s="3" t="s">
        <v>102</v>
      </c>
      <c r="AY11" s="3" t="s">
        <v>78</v>
      </c>
      <c r="AZ11" s="3" t="s">
        <v>78</v>
      </c>
      <c r="BA11" s="3" t="s">
        <v>102</v>
      </c>
      <c r="BB11" s="3" t="s">
        <v>102</v>
      </c>
      <c r="BC11" s="3" t="s">
        <v>102</v>
      </c>
      <c r="BD11" s="3" t="s">
        <v>102</v>
      </c>
      <c r="BE11" s="3" t="s">
        <v>102</v>
      </c>
      <c r="BF11" s="3" t="s">
        <v>102</v>
      </c>
      <c r="BG11" s="3" t="s">
        <v>102</v>
      </c>
      <c r="BH11" s="3" t="s">
        <v>102</v>
      </c>
      <c r="BI11" s="3" t="s">
        <v>102</v>
      </c>
      <c r="BJ11" s="3" t="s">
        <v>102</v>
      </c>
      <c r="BK11" s="3" t="s">
        <v>102</v>
      </c>
      <c r="BL11" s="3" t="s">
        <v>102</v>
      </c>
      <c r="BM11" s="3" t="s">
        <v>102</v>
      </c>
      <c r="BN11" s="3" t="s">
        <v>102</v>
      </c>
      <c r="BP11" s="14">
        <f>BG26-BH26</f>
        <v>12730702.249583006</v>
      </c>
      <c r="BQ11" s="14">
        <f>BF26-BE26</f>
        <v>4444542.4837939739</v>
      </c>
    </row>
    <row r="12" spans="1:69" x14ac:dyDescent="0.3">
      <c r="A12" t="s">
        <v>135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 t="s">
        <v>136</v>
      </c>
      <c r="BJ12" s="3" t="s">
        <v>136</v>
      </c>
      <c r="BK12" s="3" t="s">
        <v>136</v>
      </c>
      <c r="BL12" s="3" t="s">
        <v>136</v>
      </c>
      <c r="BM12" s="3" t="s">
        <v>136</v>
      </c>
      <c r="BN12" s="3" t="s">
        <v>136</v>
      </c>
      <c r="BP12" s="14"/>
      <c r="BQ12" s="14"/>
    </row>
    <row r="13" spans="1:69" x14ac:dyDescent="0.3">
      <c r="A13" t="s">
        <v>137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>
        <v>1000</v>
      </c>
      <c r="BJ13" s="3">
        <v>1000</v>
      </c>
      <c r="BK13" s="3">
        <v>1000</v>
      </c>
      <c r="BL13" s="3">
        <v>1000</v>
      </c>
      <c r="BM13" s="3">
        <v>1000</v>
      </c>
      <c r="BN13" s="3">
        <v>1000</v>
      </c>
      <c r="BP13" s="14"/>
      <c r="BQ13" s="14"/>
    </row>
    <row r="14" spans="1:69" x14ac:dyDescent="0.3">
      <c r="A14" t="s">
        <v>20</v>
      </c>
      <c r="B14" s="3" t="s">
        <v>79</v>
      </c>
      <c r="C14" s="3" t="s">
        <v>79</v>
      </c>
      <c r="D14" s="3" t="s">
        <v>79</v>
      </c>
      <c r="E14" s="3" t="s">
        <v>85</v>
      </c>
      <c r="F14" s="3" t="s">
        <v>85</v>
      </c>
      <c r="G14" s="3" t="s">
        <v>85</v>
      </c>
      <c r="H14" s="3" t="s">
        <v>79</v>
      </c>
      <c r="I14" s="3" t="s">
        <v>79</v>
      </c>
      <c r="J14" s="3" t="s">
        <v>85</v>
      </c>
      <c r="K14" s="3" t="s">
        <v>85</v>
      </c>
      <c r="L14" s="3" t="s">
        <v>85</v>
      </c>
      <c r="M14" s="3" t="s">
        <v>85</v>
      </c>
      <c r="N14" s="3" t="s">
        <v>85</v>
      </c>
      <c r="O14" s="3" t="s">
        <v>85</v>
      </c>
      <c r="P14" s="3" t="s">
        <v>85</v>
      </c>
      <c r="Q14" s="3" t="s">
        <v>85</v>
      </c>
      <c r="R14" s="3" t="s">
        <v>85</v>
      </c>
      <c r="S14" s="3" t="s">
        <v>85</v>
      </c>
      <c r="T14" s="3" t="s">
        <v>85</v>
      </c>
      <c r="U14" s="3" t="s">
        <v>85</v>
      </c>
      <c r="V14" s="3" t="s">
        <v>85</v>
      </c>
      <c r="W14" s="3" t="s">
        <v>85</v>
      </c>
      <c r="X14" s="3" t="s">
        <v>85</v>
      </c>
      <c r="Y14" s="3" t="s">
        <v>79</v>
      </c>
      <c r="Z14" s="3" t="s">
        <v>79</v>
      </c>
      <c r="AA14" s="3" t="s">
        <v>85</v>
      </c>
      <c r="AB14" s="3" t="s">
        <v>85</v>
      </c>
      <c r="AC14" s="3" t="s">
        <v>85</v>
      </c>
      <c r="AD14" s="3" t="s">
        <v>85</v>
      </c>
      <c r="AE14" s="3" t="s">
        <v>85</v>
      </c>
      <c r="AF14" s="3" t="s">
        <v>85</v>
      </c>
      <c r="AG14" s="3" t="s">
        <v>85</v>
      </c>
      <c r="AH14" s="3" t="s">
        <v>85</v>
      </c>
      <c r="AI14" s="3" t="s">
        <v>85</v>
      </c>
      <c r="AJ14" s="3" t="s">
        <v>79</v>
      </c>
      <c r="AK14" s="3" t="s">
        <v>79</v>
      </c>
      <c r="AL14" s="3" t="s">
        <v>79</v>
      </c>
      <c r="AM14" s="3" t="s">
        <v>79</v>
      </c>
      <c r="AN14" s="3" t="s">
        <v>79</v>
      </c>
      <c r="AO14" s="3" t="s">
        <v>79</v>
      </c>
      <c r="AP14" s="3" t="s">
        <v>79</v>
      </c>
      <c r="AQ14" s="3" t="s">
        <v>79</v>
      </c>
      <c r="AR14" s="3" t="s">
        <v>85</v>
      </c>
      <c r="AS14" s="3" t="s">
        <v>79</v>
      </c>
      <c r="AT14" s="3" t="s">
        <v>85</v>
      </c>
      <c r="AU14" s="3" t="s">
        <v>85</v>
      </c>
      <c r="AV14" s="3" t="s">
        <v>79</v>
      </c>
      <c r="AW14" s="3" t="s">
        <v>85</v>
      </c>
      <c r="AX14" s="3" t="s">
        <v>79</v>
      </c>
      <c r="AY14" s="3" t="s">
        <v>85</v>
      </c>
      <c r="AZ14" s="3" t="s">
        <v>85</v>
      </c>
      <c r="BA14" s="3" t="s">
        <v>85</v>
      </c>
      <c r="BB14" s="3" t="s">
        <v>79</v>
      </c>
      <c r="BC14" s="3" t="s">
        <v>85</v>
      </c>
      <c r="BD14" s="3" t="s">
        <v>79</v>
      </c>
      <c r="BE14" s="3" t="s">
        <v>85</v>
      </c>
      <c r="BF14" s="3" t="s">
        <v>79</v>
      </c>
      <c r="BG14" s="3" t="s">
        <v>79</v>
      </c>
      <c r="BH14" s="3" t="s">
        <v>85</v>
      </c>
      <c r="BI14" s="3" t="s">
        <v>85</v>
      </c>
      <c r="BJ14" s="3" t="s">
        <v>138</v>
      </c>
      <c r="BK14" s="3" t="s">
        <v>79</v>
      </c>
      <c r="BL14" s="3" t="s">
        <v>85</v>
      </c>
      <c r="BM14" s="3" t="s">
        <v>138</v>
      </c>
      <c r="BN14" s="3" t="s">
        <v>79</v>
      </c>
      <c r="BP14" t="s">
        <v>106</v>
      </c>
    </row>
    <row r="15" spans="1:69" x14ac:dyDescent="0.3">
      <c r="A15" t="s">
        <v>65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0</v>
      </c>
      <c r="BK15" s="3">
        <v>0</v>
      </c>
      <c r="BL15" s="3">
        <v>0</v>
      </c>
      <c r="BM15" s="3">
        <v>0</v>
      </c>
      <c r="BN15" s="3">
        <v>0</v>
      </c>
      <c r="BP15" s="14">
        <f>BF29-BG29</f>
        <v>38523714.222420037</v>
      </c>
      <c r="BQ15" s="14">
        <f>BF29-BE29</f>
        <v>0</v>
      </c>
    </row>
    <row r="16" spans="1:69" x14ac:dyDescent="0.3">
      <c r="A16" s="1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</row>
    <row r="17" spans="1:69" x14ac:dyDescent="0.3">
      <c r="A17" t="s">
        <v>67</v>
      </c>
      <c r="B17" s="3">
        <v>19914533339.040901</v>
      </c>
      <c r="C17" s="3">
        <v>19809841481.080101</v>
      </c>
      <c r="D17" s="3">
        <v>19914698719.838902</v>
      </c>
      <c r="E17" s="3">
        <v>21802857320.342499</v>
      </c>
      <c r="F17" s="3">
        <v>21810624237.791698</v>
      </c>
      <c r="G17" s="3">
        <v>17975494486.410198</v>
      </c>
      <c r="H17" s="3">
        <v>16426865420.537399</v>
      </c>
      <c r="I17" s="3">
        <v>17974426085.787498</v>
      </c>
      <c r="J17" s="3">
        <v>18593036278.072899</v>
      </c>
      <c r="K17" s="3">
        <v>76224539327.009293</v>
      </c>
      <c r="L17" s="3">
        <v>76217736292.399704</v>
      </c>
      <c r="M17" s="3">
        <v>76165214305.257706</v>
      </c>
      <c r="N17" s="3">
        <v>153032254731.38199</v>
      </c>
      <c r="O17" s="3">
        <v>383571698888.06702</v>
      </c>
      <c r="P17" s="3">
        <v>767724129880.96497</v>
      </c>
      <c r="Q17" s="3">
        <v>76124934482.425995</v>
      </c>
      <c r="R17" s="3">
        <v>76173580853.066895</v>
      </c>
      <c r="S17" s="3">
        <v>76173580853.066895</v>
      </c>
      <c r="T17" s="3">
        <v>76164262211.796997</v>
      </c>
      <c r="U17" s="3">
        <v>76172224499.505005</v>
      </c>
      <c r="V17" s="3">
        <v>76221904746.816803</v>
      </c>
      <c r="W17" s="3">
        <v>76279751670.357697</v>
      </c>
      <c r="X17" s="3">
        <v>76272374589.318405</v>
      </c>
      <c r="Y17" s="3">
        <v>76227703228.492203</v>
      </c>
      <c r="Z17" s="3">
        <v>53815076863.977097</v>
      </c>
      <c r="AA17" s="5">
        <v>76172224499.505005</v>
      </c>
      <c r="AB17" s="5">
        <v>76190255242.415695</v>
      </c>
      <c r="AC17" s="5">
        <v>76219795510.2565</v>
      </c>
      <c r="AD17" s="5">
        <v>76009855468.741898</v>
      </c>
      <c r="AE17" s="5">
        <v>76010832135.069199</v>
      </c>
      <c r="AF17" s="5">
        <v>76703210009.574402</v>
      </c>
      <c r="AG17" s="5">
        <v>76685878734.335007</v>
      </c>
      <c r="AH17" s="5">
        <v>76734526981.604401</v>
      </c>
      <c r="AI17" s="5">
        <v>75466664528.569199</v>
      </c>
      <c r="AJ17" s="5">
        <v>80348048910.696899</v>
      </c>
      <c r="AK17" s="5">
        <v>77792956759.908997</v>
      </c>
      <c r="AL17" s="5">
        <v>75489803133.828903</v>
      </c>
      <c r="AM17" s="5">
        <v>75911219997.949707</v>
      </c>
      <c r="AN17" s="5">
        <v>76144326710.2052</v>
      </c>
      <c r="AO17" s="5">
        <v>76148220420.443405</v>
      </c>
      <c r="AP17" s="5">
        <v>75773314787.084</v>
      </c>
      <c r="AQ17" s="5">
        <v>75978820499.906204</v>
      </c>
      <c r="AR17" s="5">
        <v>75782031705.381897</v>
      </c>
      <c r="AS17" s="5">
        <v>75735074506.153198</v>
      </c>
      <c r="AT17" s="5">
        <v>75995963340.847595</v>
      </c>
      <c r="AU17" s="5">
        <v>75806177393.352905</v>
      </c>
      <c r="AV17" s="5">
        <v>75790646421.535095</v>
      </c>
      <c r="AW17" s="5">
        <v>76054556803.439194</v>
      </c>
      <c r="AX17" s="5">
        <v>76036916539.554596</v>
      </c>
      <c r="AY17" s="5" t="s">
        <v>144</v>
      </c>
      <c r="AZ17" s="5">
        <v>76059504933.349899</v>
      </c>
      <c r="BA17" s="5">
        <v>76056090504.707596</v>
      </c>
      <c r="BB17" s="5">
        <v>76042535168.811905</v>
      </c>
      <c r="BC17" s="5">
        <v>76008537277.977295</v>
      </c>
      <c r="BD17" s="5">
        <v>76003994231.423096</v>
      </c>
      <c r="BE17" s="5">
        <v>76008537277.977295</v>
      </c>
      <c r="BF17" s="5">
        <v>76003994231.423096</v>
      </c>
      <c r="BG17" s="5">
        <v>76042668766.540298</v>
      </c>
      <c r="BH17" s="5">
        <v>76056200812.347504</v>
      </c>
      <c r="BI17" s="5">
        <v>-381345407.33642799</v>
      </c>
      <c r="BJ17" s="5">
        <v>-502069865.02486098</v>
      </c>
      <c r="BK17" s="5">
        <v>-606622189.14133501</v>
      </c>
      <c r="BL17" s="5">
        <v>-423622435.56663299</v>
      </c>
      <c r="BM17" s="5">
        <v>-525293340.18129599</v>
      </c>
      <c r="BN17" s="5">
        <v>-607684781.88519204</v>
      </c>
      <c r="BP17" s="14" t="s">
        <v>120</v>
      </c>
    </row>
    <row r="18" spans="1:69" x14ac:dyDescent="0.3">
      <c r="A18" t="s">
        <v>66</v>
      </c>
      <c r="B18" s="3">
        <v>15341.212288856501</v>
      </c>
      <c r="C18" s="3">
        <v>700.15005302429199</v>
      </c>
      <c r="D18" s="3">
        <v>30195.948692083301</v>
      </c>
      <c r="E18" s="3">
        <v>6552.0655179023697</v>
      </c>
      <c r="F18" s="3">
        <v>9986.4023299217206</v>
      </c>
      <c r="G18" s="3">
        <v>355.74099993705698</v>
      </c>
      <c r="H18" s="3">
        <v>2013.36700010299</v>
      </c>
      <c r="I18" s="3">
        <v>639.23342490196205</v>
      </c>
      <c r="J18" s="3">
        <v>900.37050890922501</v>
      </c>
      <c r="K18" s="3">
        <v>273.27420210838301</v>
      </c>
      <c r="L18" s="3">
        <v>896.81816506385803</v>
      </c>
      <c r="M18" s="3">
        <v>900.37372994422901</v>
      </c>
      <c r="N18" s="3">
        <v>131.198789834976</v>
      </c>
      <c r="O18" s="3">
        <v>113.707083940505</v>
      </c>
      <c r="P18" s="3">
        <v>106.06011509895301</v>
      </c>
      <c r="Q18" s="3">
        <v>153.08726406097401</v>
      </c>
      <c r="R18" s="3">
        <v>632.70238184928803</v>
      </c>
      <c r="S18" s="3">
        <v>918.17074990272499</v>
      </c>
      <c r="T18" s="3">
        <v>868.10124802589405</v>
      </c>
      <c r="U18" s="3">
        <v>252.44026494026099</v>
      </c>
      <c r="V18" s="3">
        <v>629.23786497115998</v>
      </c>
      <c r="W18" s="3">
        <v>4156.1715669631903</v>
      </c>
      <c r="X18" s="3">
        <v>12264.8970048427</v>
      </c>
      <c r="Y18" s="3">
        <v>3198.97225499153</v>
      </c>
      <c r="Z18" s="3">
        <v>28835.2907481193</v>
      </c>
      <c r="AA18" s="5">
        <v>214.88944911956699</v>
      </c>
      <c r="AB18" s="5">
        <v>7721.0674748420697</v>
      </c>
      <c r="AC18" s="5">
        <v>698.39465379714898</v>
      </c>
      <c r="AD18" s="5">
        <v>1511.50255513191</v>
      </c>
      <c r="AE18" s="5">
        <v>7202.4497830867704</v>
      </c>
      <c r="AF18" s="5">
        <v>274.04798603057799</v>
      </c>
      <c r="AG18" s="5">
        <v>51.221930027008</v>
      </c>
      <c r="AH18" s="5">
        <v>358.34765005111598</v>
      </c>
      <c r="AI18" s="5">
        <v>82.082669973373399</v>
      </c>
      <c r="AJ18" s="5">
        <v>33.474738836288402</v>
      </c>
      <c r="AK18" s="5">
        <v>91.536086797714205</v>
      </c>
      <c r="AL18" s="5">
        <v>609.251305103302</v>
      </c>
      <c r="AM18" s="5">
        <v>1369.1989958286199</v>
      </c>
      <c r="AN18" s="5">
        <v>3760.6898629665302</v>
      </c>
      <c r="AO18" s="5">
        <v>4332.8456928730002</v>
      </c>
      <c r="AP18" s="5">
        <v>13099.7239570617</v>
      </c>
      <c r="AQ18" s="5">
        <v>41532.982882022799</v>
      </c>
      <c r="AR18" s="5">
        <v>176.44134807586599</v>
      </c>
      <c r="AS18" s="5">
        <v>119.42701101303101</v>
      </c>
      <c r="AT18" s="5">
        <v>390.318123102188</v>
      </c>
      <c r="AU18" s="5">
        <v>254.60152578353799</v>
      </c>
      <c r="AV18" s="5">
        <v>264.71024703979401</v>
      </c>
      <c r="AW18" s="5">
        <v>2050.3553199767998</v>
      </c>
      <c r="AX18" s="5">
        <v>718.28705191612198</v>
      </c>
      <c r="AY18" s="5">
        <v>2271.0799810886301</v>
      </c>
      <c r="AZ18" s="5">
        <v>5864.1845259666397</v>
      </c>
      <c r="BA18" s="5">
        <v>3874.6648027896799</v>
      </c>
      <c r="BB18" s="5">
        <v>2720.983689785</v>
      </c>
      <c r="BC18" s="3">
        <v>32.641910791397002</v>
      </c>
      <c r="BD18" s="3">
        <v>25.8672258853912</v>
      </c>
      <c r="BE18" s="3">
        <v>13.968295097351</v>
      </c>
      <c r="BF18" s="3">
        <v>9.6783800125121999</v>
      </c>
      <c r="BG18" s="3">
        <v>1302.3335788249899</v>
      </c>
      <c r="BH18" s="3">
        <v>2997.5191881656601</v>
      </c>
      <c r="BI18" s="3">
        <v>652.71997976303101</v>
      </c>
      <c r="BJ18" s="3">
        <v>428.86366796493502</v>
      </c>
      <c r="BK18" s="13">
        <v>11910.0523951053</v>
      </c>
      <c r="BL18" s="3">
        <v>784.941906929016</v>
      </c>
      <c r="BM18" s="3">
        <v>469.51246690750099</v>
      </c>
      <c r="BN18" s="3">
        <v>3738.2014219760799</v>
      </c>
      <c r="BP18" s="14">
        <f>BP7</f>
        <v>13532045.806827499</v>
      </c>
      <c r="BQ18" s="14">
        <f>BQ7</f>
        <v>4543046.5541842831</v>
      </c>
    </row>
    <row r="19" spans="1:69" x14ac:dyDescent="0.3">
      <c r="A19" t="s">
        <v>80</v>
      </c>
      <c r="B19" s="3">
        <v>5.0159819466078998E-3</v>
      </c>
      <c r="C19" s="3">
        <v>9.8979050308841496E-3</v>
      </c>
      <c r="D19" s="3">
        <v>5.7506383446094596E-3</v>
      </c>
      <c r="E19" s="3">
        <v>5.1153643556451998E-3</v>
      </c>
      <c r="F19" s="3">
        <v>6.7193071307100902E-3</v>
      </c>
      <c r="G19" s="3">
        <v>7.0103128127448901E-4</v>
      </c>
      <c r="H19" s="3">
        <v>3.0872638561538399E-3</v>
      </c>
      <c r="I19" s="3">
        <v>7.9187216723792002E-4</v>
      </c>
      <c r="J19" s="3">
        <v>0.46124892082726399</v>
      </c>
      <c r="K19" s="3">
        <v>8.9406250560400302E-2</v>
      </c>
      <c r="L19" s="3">
        <v>5.36780805316764E-2</v>
      </c>
      <c r="M19" s="3">
        <v>0.13957344871392799</v>
      </c>
      <c r="N19" s="3">
        <v>7.2096942926495294E-2</v>
      </c>
      <c r="O19" s="3">
        <v>3.6623316735996697E-2</v>
      </c>
      <c r="P19" s="3">
        <v>3.6270064287868303E-2</v>
      </c>
      <c r="Q19" s="3">
        <v>0.17372019824815901</v>
      </c>
      <c r="R19" s="3">
        <v>8.7765403753448906E-2</v>
      </c>
      <c r="S19" s="3">
        <v>8.7664105567513195E-2</v>
      </c>
      <c r="T19" s="3">
        <v>9.1096398205322393E-2</v>
      </c>
      <c r="U19" s="3">
        <v>9.0839974476340596E-2</v>
      </c>
      <c r="V19" s="3">
        <v>9.0134151442800597E-2</v>
      </c>
      <c r="W19" s="3">
        <v>5.15270011449772E-2</v>
      </c>
      <c r="X19" s="3">
        <v>6.9087570613454705E-2</v>
      </c>
      <c r="Y19" s="3">
        <v>7.9086900279371902E-2</v>
      </c>
      <c r="Z19" s="3">
        <v>41.816229661111997</v>
      </c>
      <c r="AA19" s="5">
        <v>9.0839974476340596E-2</v>
      </c>
      <c r="AB19" s="5">
        <v>9.7156968396968094E-2</v>
      </c>
      <c r="AC19" s="5">
        <v>9.9384278111478597E-2</v>
      </c>
      <c r="AD19" s="5">
        <v>8.6299951014144199E-2</v>
      </c>
      <c r="AE19" s="5">
        <v>0.111294348732161</v>
      </c>
      <c r="AF19" s="5">
        <v>9.4278487706546302E-2</v>
      </c>
      <c r="AG19" s="5">
        <v>9.9899615685289295E-2</v>
      </c>
      <c r="AH19" s="5">
        <v>5.2792080663985198E-2</v>
      </c>
      <c r="AI19" s="5">
        <v>8.5320634778948398E-2</v>
      </c>
      <c r="AJ19" s="5">
        <v>6.2993654033391203E-2</v>
      </c>
      <c r="AK19" s="5">
        <v>9.8230637327631695E-2</v>
      </c>
      <c r="AL19" s="5">
        <v>7.2780797586374193E-2</v>
      </c>
      <c r="AM19" s="5">
        <v>9.1965468685320698E-2</v>
      </c>
      <c r="AN19" s="5">
        <v>9.1867765788054501E-2</v>
      </c>
      <c r="AO19" s="5">
        <v>9.9240102473112699E-2</v>
      </c>
      <c r="AP19" s="5">
        <v>9.7016347395388794E-2</v>
      </c>
      <c r="AQ19" s="5">
        <v>0.172875483053822</v>
      </c>
      <c r="AR19" s="5">
        <v>5.1328254728459602E-2</v>
      </c>
      <c r="AS19" s="5">
        <v>9.7308277561418896E-2</v>
      </c>
      <c r="AT19" s="5">
        <v>9.8112912386183096E-2</v>
      </c>
      <c r="AU19" s="5">
        <v>5.7470911815349201E-3</v>
      </c>
      <c r="AV19" s="5">
        <v>4.0122701148495301E-3</v>
      </c>
      <c r="AW19" s="5">
        <v>7.3808074722430004E-3</v>
      </c>
      <c r="AX19" s="5">
        <v>9.8871127009175202E-3</v>
      </c>
      <c r="AY19" s="5">
        <v>9.7384256526910195E-3</v>
      </c>
      <c r="AZ19" s="3">
        <v>1.35094521307029E-3</v>
      </c>
      <c r="BA19" s="3">
        <v>4.8822517031525502E-4</v>
      </c>
      <c r="BB19" s="3">
        <v>2.8201050966829999E-4</v>
      </c>
      <c r="BC19" s="3">
        <v>0</v>
      </c>
      <c r="BD19" s="3">
        <v>4.0387927972019303E-6</v>
      </c>
      <c r="BE19" s="3">
        <v>0</v>
      </c>
      <c r="BF19" s="3">
        <v>3.2218444283797901E-6</v>
      </c>
      <c r="BG19" s="3">
        <v>2.8486122333844401E-5</v>
      </c>
      <c r="BH19" s="3">
        <v>2.1089876990466498E-5</v>
      </c>
      <c r="BI19" s="3">
        <v>9.2686456088939404E-12</v>
      </c>
      <c r="BJ19" s="3">
        <v>9.0225550635375701E-13</v>
      </c>
      <c r="BK19" s="3">
        <v>9.0427404752907003E-4</v>
      </c>
      <c r="BL19" s="3">
        <v>1.2211326181060301E-4</v>
      </c>
      <c r="BM19" s="3">
        <v>9.7508422984112792E-6</v>
      </c>
      <c r="BN19" s="3">
        <v>8.1318162268899895E-4</v>
      </c>
      <c r="BP19" s="3"/>
    </row>
    <row r="20" spans="1:69" x14ac:dyDescent="0.3">
      <c r="A20" t="s">
        <v>83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3">
        <v>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0</v>
      </c>
      <c r="BK20" s="3">
        <v>0</v>
      </c>
      <c r="BL20" s="3">
        <v>0</v>
      </c>
      <c r="BM20" s="3">
        <v>0</v>
      </c>
      <c r="BN20" s="3">
        <v>0</v>
      </c>
      <c r="BP20" s="3" t="s">
        <v>123</v>
      </c>
      <c r="BQ20" t="s">
        <v>132</v>
      </c>
    </row>
    <row r="21" spans="1:69" x14ac:dyDescent="0.3">
      <c r="A21" t="s">
        <v>97</v>
      </c>
      <c r="B21" s="3">
        <v>60.420364466636798</v>
      </c>
      <c r="C21" s="3" t="s">
        <v>84</v>
      </c>
      <c r="D21" s="3">
        <v>60.453825953486898</v>
      </c>
      <c r="E21" s="3">
        <v>136.32216282309801</v>
      </c>
      <c r="F21" s="3">
        <v>249.106177578238</v>
      </c>
      <c r="G21" s="3" t="s">
        <v>84</v>
      </c>
      <c r="H21" s="3" t="s">
        <v>84</v>
      </c>
      <c r="I21" s="3" t="s">
        <v>84</v>
      </c>
      <c r="J21" s="3" t="s">
        <v>84</v>
      </c>
      <c r="K21" s="3" t="s">
        <v>84</v>
      </c>
      <c r="L21" s="3" t="s">
        <v>84</v>
      </c>
      <c r="M21" s="3" t="s">
        <v>84</v>
      </c>
      <c r="N21" s="3" t="s">
        <v>84</v>
      </c>
      <c r="O21" s="3" t="s">
        <v>84</v>
      </c>
      <c r="P21" s="3" t="s">
        <v>84</v>
      </c>
      <c r="Q21" s="3" t="s">
        <v>84</v>
      </c>
      <c r="R21" s="3" t="s">
        <v>84</v>
      </c>
      <c r="S21" s="3" t="s">
        <v>84</v>
      </c>
      <c r="T21" s="3" t="s">
        <v>84</v>
      </c>
      <c r="U21" s="3" t="s">
        <v>84</v>
      </c>
      <c r="V21" s="3" t="s">
        <v>84</v>
      </c>
      <c r="W21" s="3" t="s">
        <v>84</v>
      </c>
      <c r="X21" s="3" t="s">
        <v>84</v>
      </c>
      <c r="Y21" s="3" t="s">
        <v>84</v>
      </c>
      <c r="Z21" s="3" t="s">
        <v>84</v>
      </c>
      <c r="AA21" s="3">
        <v>0</v>
      </c>
      <c r="AB21" s="3">
        <v>149.99999999999699</v>
      </c>
      <c r="AC21" s="3">
        <v>366.00000000000301</v>
      </c>
      <c r="AD21" s="3">
        <v>0</v>
      </c>
      <c r="AE21" s="3">
        <v>109.615384615382</v>
      </c>
      <c r="AF21" s="3">
        <v>86.538461538461306</v>
      </c>
      <c r="AG21" s="3">
        <v>0</v>
      </c>
      <c r="AH21" s="3">
        <v>294.807692307693</v>
      </c>
      <c r="AI21" s="3">
        <v>109.615384615384</v>
      </c>
      <c r="AJ21" s="3">
        <v>0.48793109975197602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150.00000000000099</v>
      </c>
      <c r="AS21" s="3">
        <v>0</v>
      </c>
      <c r="AT21" s="3">
        <v>86.5384615384597</v>
      </c>
      <c r="AU21" s="3">
        <v>150</v>
      </c>
      <c r="AV21" s="3">
        <v>0</v>
      </c>
      <c r="AW21" s="3">
        <v>149.99999999999901</v>
      </c>
      <c r="AX21" s="3">
        <v>0</v>
      </c>
      <c r="AY21" s="3">
        <v>150.00000000000099</v>
      </c>
      <c r="AZ21" s="3">
        <v>149.99999999999801</v>
      </c>
      <c r="BA21" s="3">
        <v>149.99999999999801</v>
      </c>
      <c r="BB21" s="3">
        <v>0</v>
      </c>
      <c r="BC21" s="3">
        <v>86.5384615384597</v>
      </c>
      <c r="BD21" s="3">
        <v>0</v>
      </c>
      <c r="BE21" s="3">
        <v>86.5384615384597</v>
      </c>
      <c r="BF21" s="3">
        <v>0</v>
      </c>
      <c r="BG21" s="3">
        <v>0</v>
      </c>
      <c r="BH21" s="3">
        <v>149.99999999999699</v>
      </c>
      <c r="BI21" s="3">
        <v>130.23878659692099</v>
      </c>
      <c r="BJ21" s="3">
        <v>79.360228286980799</v>
      </c>
      <c r="BK21" s="3">
        <v>0</v>
      </c>
      <c r="BL21" s="3">
        <v>136.309150960653</v>
      </c>
      <c r="BM21" s="3">
        <v>115.391295741608</v>
      </c>
      <c r="BN21" s="3">
        <v>0</v>
      </c>
      <c r="BP21" s="14">
        <f>'250718_investment'!L5</f>
        <v>180.68099999996281</v>
      </c>
      <c r="BQ21" s="3">
        <f>BP15/(BP18-BQ18)</f>
        <v>4.2856510652275484</v>
      </c>
    </row>
    <row r="22" spans="1:69" x14ac:dyDescent="0.3">
      <c r="A22" t="s">
        <v>98</v>
      </c>
      <c r="B22" s="3">
        <v>117.511996639882</v>
      </c>
      <c r="C22" s="3" t="s">
        <v>84</v>
      </c>
      <c r="D22" s="3">
        <v>121.52741218059001</v>
      </c>
      <c r="E22" s="3">
        <v>150.00000000000301</v>
      </c>
      <c r="F22" s="3">
        <v>366.000000000017</v>
      </c>
      <c r="G22" s="3" t="s">
        <v>84</v>
      </c>
      <c r="H22" s="3" t="s">
        <v>84</v>
      </c>
      <c r="I22" s="3" t="s">
        <v>84</v>
      </c>
      <c r="J22" s="3" t="s">
        <v>84</v>
      </c>
      <c r="K22" s="3" t="s">
        <v>84</v>
      </c>
      <c r="L22" s="3" t="s">
        <v>84</v>
      </c>
      <c r="M22" s="3" t="s">
        <v>84</v>
      </c>
      <c r="N22" s="3" t="s">
        <v>84</v>
      </c>
      <c r="O22" s="3" t="s">
        <v>84</v>
      </c>
      <c r="P22" s="3" t="s">
        <v>84</v>
      </c>
      <c r="Q22" s="3" t="s">
        <v>84</v>
      </c>
      <c r="R22" s="3" t="s">
        <v>84</v>
      </c>
      <c r="S22" s="3" t="s">
        <v>84</v>
      </c>
      <c r="T22" s="3" t="s">
        <v>84</v>
      </c>
      <c r="U22" s="3" t="s">
        <v>84</v>
      </c>
      <c r="V22" s="3" t="s">
        <v>84</v>
      </c>
      <c r="W22" s="3" t="s">
        <v>84</v>
      </c>
      <c r="X22" s="3" t="s">
        <v>84</v>
      </c>
      <c r="Y22" s="3" t="s">
        <v>84</v>
      </c>
      <c r="Z22" s="3" t="s">
        <v>84</v>
      </c>
      <c r="AA22" s="3">
        <v>0</v>
      </c>
      <c r="AB22" s="3">
        <v>149.99999999999901</v>
      </c>
      <c r="AC22" s="3">
        <v>366.00000000001199</v>
      </c>
      <c r="AD22" s="3">
        <v>0</v>
      </c>
      <c r="AE22" s="3">
        <v>149.99999999999901</v>
      </c>
      <c r="AF22" s="3">
        <v>149.99999999999901</v>
      </c>
      <c r="AG22" s="3">
        <v>0</v>
      </c>
      <c r="AH22" s="3">
        <v>365.00000000000603</v>
      </c>
      <c r="AI22" s="3">
        <v>150</v>
      </c>
      <c r="AJ22" s="3">
        <v>6.0224303966438102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150.00000000000199</v>
      </c>
      <c r="AS22" s="3">
        <v>0</v>
      </c>
      <c r="AT22" s="3">
        <v>149.99999999999599</v>
      </c>
      <c r="AU22" s="3">
        <v>150.00000000000199</v>
      </c>
      <c r="AV22" s="3">
        <v>0</v>
      </c>
      <c r="AW22" s="3">
        <v>150.000000000005</v>
      </c>
      <c r="AX22" s="3">
        <v>0</v>
      </c>
      <c r="AY22" s="3">
        <v>150.00000000000199</v>
      </c>
      <c r="AZ22" s="3">
        <v>150.00000000000199</v>
      </c>
      <c r="BA22" s="3">
        <v>150.00000000000401</v>
      </c>
      <c r="BB22" s="3">
        <v>0</v>
      </c>
      <c r="BC22" s="3">
        <v>149.99999999999599</v>
      </c>
      <c r="BD22" s="3">
        <v>0</v>
      </c>
      <c r="BE22" s="3">
        <v>149.99999999999599</v>
      </c>
      <c r="BF22" s="3">
        <v>0</v>
      </c>
      <c r="BG22" s="3">
        <v>0</v>
      </c>
      <c r="BH22" s="3">
        <v>150.000000000005</v>
      </c>
      <c r="BI22" s="3">
        <v>150.00000000000199</v>
      </c>
      <c r="BJ22" s="3">
        <v>150.00000000000099</v>
      </c>
      <c r="BK22" s="3">
        <v>0</v>
      </c>
      <c r="BL22" s="3">
        <v>150.00000000000199</v>
      </c>
      <c r="BM22" s="3">
        <v>150.00000000000099</v>
      </c>
      <c r="BN22" s="3">
        <v>0</v>
      </c>
    </row>
    <row r="23" spans="1:69" x14ac:dyDescent="0.3">
      <c r="A23" t="s">
        <v>99</v>
      </c>
      <c r="B23" s="3">
        <v>75.955726389845793</v>
      </c>
      <c r="C23" s="3" t="s">
        <v>84</v>
      </c>
      <c r="D23" s="3">
        <v>77.744130515221698</v>
      </c>
      <c r="E23" s="3">
        <v>127.609476445046</v>
      </c>
      <c r="F23" s="3">
        <v>212.36105235593601</v>
      </c>
      <c r="G23" s="3" t="s">
        <v>84</v>
      </c>
      <c r="H23" s="3" t="s">
        <v>84</v>
      </c>
      <c r="I23" s="3" t="s">
        <v>84</v>
      </c>
      <c r="J23" s="3" t="s">
        <v>84</v>
      </c>
      <c r="K23" s="3" t="s">
        <v>84</v>
      </c>
      <c r="L23" s="3" t="s">
        <v>84</v>
      </c>
      <c r="M23" s="3" t="s">
        <v>84</v>
      </c>
      <c r="N23" s="3" t="s">
        <v>84</v>
      </c>
      <c r="O23" s="3" t="s">
        <v>84</v>
      </c>
      <c r="P23" s="3" t="s">
        <v>84</v>
      </c>
      <c r="Q23" s="3" t="s">
        <v>84</v>
      </c>
      <c r="R23" s="3" t="s">
        <v>84</v>
      </c>
      <c r="S23" s="3" t="s">
        <v>84</v>
      </c>
      <c r="T23" s="3" t="s">
        <v>84</v>
      </c>
      <c r="U23" s="3" t="s">
        <v>84</v>
      </c>
      <c r="V23" s="3" t="s">
        <v>84</v>
      </c>
      <c r="W23" s="3" t="s">
        <v>84</v>
      </c>
      <c r="X23" s="3" t="s">
        <v>84</v>
      </c>
      <c r="Y23" s="3" t="s">
        <v>84</v>
      </c>
      <c r="Z23" s="3" t="s">
        <v>84</v>
      </c>
      <c r="AA23" s="3">
        <v>0</v>
      </c>
      <c r="AB23" s="3">
        <v>149.99999999999699</v>
      </c>
      <c r="AC23" s="3">
        <v>366.00000000000301</v>
      </c>
      <c r="AD23" s="3">
        <v>0</v>
      </c>
      <c r="AE23" s="3">
        <v>109.615384615382</v>
      </c>
      <c r="AF23" s="3">
        <v>86.538461538461306</v>
      </c>
      <c r="AG23" s="3">
        <v>0</v>
      </c>
      <c r="AH23" s="3">
        <v>293.509213550651</v>
      </c>
      <c r="AI23" s="3">
        <v>109.615384615384</v>
      </c>
      <c r="AJ23" s="3">
        <v>15.436822181531699</v>
      </c>
      <c r="AK23" s="3">
        <v>10.3403818266356</v>
      </c>
      <c r="AL23" s="3">
        <v>4.64137485285893</v>
      </c>
      <c r="AM23" s="3">
        <v>17.138369690872</v>
      </c>
      <c r="AN23" s="3">
        <v>7.4963002476406704</v>
      </c>
      <c r="AO23" s="3">
        <v>11.216330059432501</v>
      </c>
      <c r="AP23" s="3">
        <v>9.8119212302309293</v>
      </c>
      <c r="AQ23" s="3">
        <v>3.8172441275996301E-3</v>
      </c>
      <c r="AR23" s="3">
        <v>150.00000000000099</v>
      </c>
      <c r="AS23" s="3">
        <v>1.9073996655494E-3</v>
      </c>
      <c r="AT23" s="3">
        <v>86.5384615384597</v>
      </c>
      <c r="AU23" s="3">
        <v>150</v>
      </c>
      <c r="AV23" s="3">
        <v>3.69933259123076</v>
      </c>
      <c r="AW23" s="3">
        <v>149.99999999999901</v>
      </c>
      <c r="AX23" s="3">
        <v>3.2362526863760599</v>
      </c>
      <c r="AY23" s="3">
        <v>150.00000000000099</v>
      </c>
      <c r="AZ23" s="3">
        <v>149.99999999999801</v>
      </c>
      <c r="BA23" s="3">
        <v>149.99999999999801</v>
      </c>
      <c r="BB23" s="3">
        <v>3.4608016950840002</v>
      </c>
      <c r="BC23" s="3">
        <v>86.5384615384597</v>
      </c>
      <c r="BD23" s="3">
        <v>0.845569723151255</v>
      </c>
      <c r="BE23" s="3">
        <v>86.5384615384597</v>
      </c>
      <c r="BF23" s="3">
        <v>0.845569723151255</v>
      </c>
      <c r="BG23" s="3">
        <v>3.51403103384777</v>
      </c>
      <c r="BH23" s="3">
        <v>149.99999999999699</v>
      </c>
      <c r="BI23" s="3">
        <v>98.091933629672994</v>
      </c>
      <c r="BJ23" s="3">
        <v>68.578081151739397</v>
      </c>
      <c r="BK23" s="3">
        <v>3.2919992086239298</v>
      </c>
      <c r="BL23" s="3">
        <v>100.173950233754</v>
      </c>
      <c r="BM23" s="3">
        <v>95.019791232856306</v>
      </c>
      <c r="BN23" s="3">
        <v>6.2946653740599796</v>
      </c>
      <c r="BP23" t="s">
        <v>127</v>
      </c>
    </row>
    <row r="24" spans="1:69" x14ac:dyDescent="0.3">
      <c r="A24" t="s">
        <v>100</v>
      </c>
      <c r="B24" s="3">
        <v>149.99999999999699</v>
      </c>
      <c r="C24" s="3" t="s">
        <v>84</v>
      </c>
      <c r="D24" s="3">
        <v>152.83528225048701</v>
      </c>
      <c r="E24" s="3">
        <v>150</v>
      </c>
      <c r="F24" s="3">
        <v>366.00000000001398</v>
      </c>
      <c r="G24" s="3" t="s">
        <v>84</v>
      </c>
      <c r="H24" s="3" t="s">
        <v>84</v>
      </c>
      <c r="I24" s="3" t="s">
        <v>84</v>
      </c>
      <c r="J24" s="3" t="s">
        <v>84</v>
      </c>
      <c r="K24" s="3" t="s">
        <v>84</v>
      </c>
      <c r="L24" s="3" t="s">
        <v>84</v>
      </c>
      <c r="M24" s="3" t="s">
        <v>84</v>
      </c>
      <c r="N24" s="3" t="s">
        <v>84</v>
      </c>
      <c r="O24" s="3" t="s">
        <v>84</v>
      </c>
      <c r="P24" s="3" t="s">
        <v>84</v>
      </c>
      <c r="Q24" s="3" t="s">
        <v>84</v>
      </c>
      <c r="R24" s="3" t="s">
        <v>84</v>
      </c>
      <c r="S24" s="3" t="s">
        <v>84</v>
      </c>
      <c r="T24" s="3" t="s">
        <v>84</v>
      </c>
      <c r="U24" s="3" t="s">
        <v>84</v>
      </c>
      <c r="V24" s="3" t="s">
        <v>84</v>
      </c>
      <c r="W24" s="3" t="s">
        <v>84</v>
      </c>
      <c r="X24" s="3" t="s">
        <v>84</v>
      </c>
      <c r="Y24" s="3" t="s">
        <v>84</v>
      </c>
      <c r="Z24" s="3" t="s">
        <v>84</v>
      </c>
      <c r="AA24" s="3">
        <v>0</v>
      </c>
      <c r="AB24" s="3">
        <v>149.99999999999901</v>
      </c>
      <c r="AC24" s="3">
        <v>366.00000000001199</v>
      </c>
      <c r="AD24" s="3">
        <v>0</v>
      </c>
      <c r="AE24" s="3">
        <v>149.99999999999901</v>
      </c>
      <c r="AF24" s="3">
        <v>150</v>
      </c>
      <c r="AG24" s="3">
        <v>0</v>
      </c>
      <c r="AH24" s="3">
        <v>365.00000000000603</v>
      </c>
      <c r="AI24" s="3">
        <v>150</v>
      </c>
      <c r="AJ24" s="3">
        <v>49.066885964912203</v>
      </c>
      <c r="AK24" s="3">
        <v>23.3202108064011</v>
      </c>
      <c r="AL24" s="3">
        <v>21.4589170203731</v>
      </c>
      <c r="AM24" s="3">
        <v>45.325050155681502</v>
      </c>
      <c r="AN24" s="3">
        <v>27.8075629489603</v>
      </c>
      <c r="AO24" s="3">
        <v>28.0804315784784</v>
      </c>
      <c r="AP24" s="3">
        <v>26.134002474785699</v>
      </c>
      <c r="AQ24" s="3">
        <v>9.9248347317590593E-2</v>
      </c>
      <c r="AR24" s="3">
        <v>150.00000000000199</v>
      </c>
      <c r="AS24" s="3">
        <v>4.9592391304284597E-2</v>
      </c>
      <c r="AT24" s="3">
        <v>149.99999999999599</v>
      </c>
      <c r="AU24" s="3">
        <v>150.00000000000199</v>
      </c>
      <c r="AV24" s="3">
        <v>8.4255329488747801</v>
      </c>
      <c r="AW24" s="3">
        <v>150.000000000005</v>
      </c>
      <c r="AX24" s="3">
        <v>7.7939723320161498</v>
      </c>
      <c r="AY24" s="3">
        <v>150.00000000000199</v>
      </c>
      <c r="AZ24" s="3">
        <v>150.00000000000199</v>
      </c>
      <c r="BA24" s="3">
        <v>150.00000000000401</v>
      </c>
      <c r="BB24" s="3">
        <v>7.6368224929282302</v>
      </c>
      <c r="BC24" s="3">
        <v>149.99999999999599</v>
      </c>
      <c r="BD24" s="3">
        <v>1.97756483600307</v>
      </c>
      <c r="BE24" s="3">
        <v>149.99999999999599</v>
      </c>
      <c r="BF24" s="3">
        <v>1.97756483600307</v>
      </c>
      <c r="BG24" s="3">
        <v>7.6368224929280597</v>
      </c>
      <c r="BH24" s="3">
        <v>150.00000000000401</v>
      </c>
      <c r="BI24" s="3">
        <v>150.00000000000199</v>
      </c>
      <c r="BJ24" s="3">
        <v>150.00000000000099</v>
      </c>
      <c r="BK24" s="3">
        <v>7.0472548814924503</v>
      </c>
      <c r="BL24" s="3">
        <v>150.00000000000199</v>
      </c>
      <c r="BM24" s="3">
        <v>150.00000000000099</v>
      </c>
      <c r="BN24" s="3">
        <v>8.7448226815953607</v>
      </c>
      <c r="BP24" s="5">
        <f>(BP18-BQ18)/BP21/1000</f>
        <v>49.750661401282187</v>
      </c>
    </row>
    <row r="25" spans="1:69" x14ac:dyDescent="0.3">
      <c r="A25" t="s">
        <v>68</v>
      </c>
      <c r="B25" s="3">
        <v>2276815636.0092702</v>
      </c>
      <c r="C25" s="3">
        <v>2256215991.8481898</v>
      </c>
      <c r="D25" s="3">
        <v>2277144130.8397799</v>
      </c>
      <c r="E25" s="3">
        <v>695164386.753407</v>
      </c>
      <c r="F25" s="3">
        <v>688058509.35971904</v>
      </c>
      <c r="G25" s="3">
        <v>781249111.00424302</v>
      </c>
      <c r="H25" s="3">
        <v>2254809792.5641699</v>
      </c>
      <c r="I25" s="3">
        <v>782559226.24499905</v>
      </c>
      <c r="J25" s="3">
        <v>330621930.02920002</v>
      </c>
      <c r="K25" s="3">
        <v>331006591.66265798</v>
      </c>
      <c r="L25" s="3">
        <v>330994041.82959598</v>
      </c>
      <c r="M25" s="3">
        <v>330994041.82959598</v>
      </c>
      <c r="N25" s="3">
        <v>330994041.82959598</v>
      </c>
      <c r="O25" s="3">
        <v>330994041.82959598</v>
      </c>
      <c r="P25" s="3">
        <v>330994041.82959598</v>
      </c>
      <c r="Q25" s="3">
        <v>329990111.97349298</v>
      </c>
      <c r="R25" s="3">
        <v>329962306.48000401</v>
      </c>
      <c r="S25" s="3">
        <v>329962306.48000401</v>
      </c>
      <c r="T25" s="3">
        <v>327936407.60196102</v>
      </c>
      <c r="U25" s="3">
        <v>329802700.98608899</v>
      </c>
      <c r="V25" s="3">
        <v>330611517.45265698</v>
      </c>
      <c r="W25" s="3">
        <v>322874126.04612899</v>
      </c>
      <c r="X25" s="3">
        <v>316523181.08404899</v>
      </c>
      <c r="Y25" s="3">
        <v>331771021.28870797</v>
      </c>
      <c r="Z25" s="3">
        <v>260665530.39608899</v>
      </c>
      <c r="AA25" s="3">
        <v>329802700.98608899</v>
      </c>
      <c r="AB25" s="3">
        <v>311781514.42136002</v>
      </c>
      <c r="AC25" s="3">
        <v>294068403.80888098</v>
      </c>
      <c r="AD25" s="3">
        <v>328055343.473961</v>
      </c>
      <c r="AE25" s="3">
        <v>321781422.91922402</v>
      </c>
      <c r="AF25" s="3">
        <v>342347551.07335502</v>
      </c>
      <c r="AG25" s="3">
        <v>346789114.358648</v>
      </c>
      <c r="AH25" s="3">
        <v>338250676.99282497</v>
      </c>
      <c r="AI25" s="3">
        <v>341095916.39237797</v>
      </c>
      <c r="AJ25" s="3">
        <v>445384864.54277402</v>
      </c>
      <c r="AK25" s="3">
        <v>431447564.16910702</v>
      </c>
      <c r="AL25" s="3">
        <v>351808996.53383201</v>
      </c>
      <c r="AM25" s="3">
        <v>333523585.99850601</v>
      </c>
      <c r="AN25" s="3">
        <v>380189251.57179201</v>
      </c>
      <c r="AO25" s="3">
        <v>326831944.91225201</v>
      </c>
      <c r="AP25" s="3">
        <v>341287726.17254299</v>
      </c>
      <c r="AQ25" s="3">
        <v>331464587.11156601</v>
      </c>
      <c r="AR25" s="3">
        <v>321195123.62479901</v>
      </c>
      <c r="AS25" s="3">
        <v>341287726.17254299</v>
      </c>
      <c r="AT25" s="3">
        <v>326896914.53985</v>
      </c>
      <c r="AU25" s="3">
        <v>325908952.656555</v>
      </c>
      <c r="AV25" s="3">
        <v>341287726.17254299</v>
      </c>
      <c r="AW25" s="3">
        <v>317355520.34808803</v>
      </c>
      <c r="AX25" s="3">
        <v>331464587.11163098</v>
      </c>
      <c r="AY25" s="3">
        <v>325141274.67285299</v>
      </c>
      <c r="AZ25" s="3">
        <v>317366318.5079</v>
      </c>
      <c r="BA25" s="3">
        <v>317710687.31554198</v>
      </c>
      <c r="BB25" s="3">
        <v>331464587.11163098</v>
      </c>
      <c r="BC25" s="3">
        <v>326896914.53985</v>
      </c>
      <c r="BD25" s="3">
        <v>331464587.11163098</v>
      </c>
      <c r="BE25" s="3">
        <v>326896914.53985</v>
      </c>
      <c r="BF25" s="3">
        <v>331464587.11163098</v>
      </c>
      <c r="BG25" s="3">
        <v>331464587.11163098</v>
      </c>
      <c r="BH25" s="3">
        <v>317732205.41549498</v>
      </c>
      <c r="BI25" s="3">
        <v>91031503.832326993</v>
      </c>
      <c r="BJ25" s="3">
        <v>222505239.304602</v>
      </c>
      <c r="BK25" s="3">
        <v>331027758.79087698</v>
      </c>
      <c r="BL25" s="3">
        <v>132416238.484796</v>
      </c>
      <c r="BM25" s="3">
        <v>245536194.188411</v>
      </c>
      <c r="BN25" s="3">
        <v>331464587.11163098</v>
      </c>
    </row>
    <row r="26" spans="1:69" x14ac:dyDescent="0.3">
      <c r="A26" t="s">
        <v>69</v>
      </c>
      <c r="B26" s="3">
        <v>2314736549.2487898</v>
      </c>
      <c r="C26" s="3">
        <v>2281123150.7440901</v>
      </c>
      <c r="D26" s="3">
        <v>2313654764.43961</v>
      </c>
      <c r="E26" s="3">
        <v>1558489537.16799</v>
      </c>
      <c r="F26" s="3">
        <v>1546565315.5455699</v>
      </c>
      <c r="G26" s="3">
        <v>1552886671.3623099</v>
      </c>
      <c r="H26" s="3">
        <v>2280278499.1943102</v>
      </c>
      <c r="I26" s="3">
        <v>1552464869.32584</v>
      </c>
      <c r="J26" s="3">
        <v>358593463.57974303</v>
      </c>
      <c r="K26" s="3">
        <v>359443995.13158298</v>
      </c>
      <c r="L26" s="3">
        <v>330184107.53514099</v>
      </c>
      <c r="M26" s="3">
        <v>330791618.59320599</v>
      </c>
      <c r="N26" s="3">
        <v>330795394.83175099</v>
      </c>
      <c r="O26" s="3">
        <v>330894906.50536197</v>
      </c>
      <c r="P26" s="3">
        <v>330818140.491925</v>
      </c>
      <c r="Q26" s="3">
        <v>370935323.57837898</v>
      </c>
      <c r="R26" s="3">
        <v>331270901.09938103</v>
      </c>
      <c r="S26" s="3">
        <v>331270901.09938103</v>
      </c>
      <c r="T26" s="3">
        <v>502522863.426009</v>
      </c>
      <c r="U26" s="3">
        <v>331373976.621975</v>
      </c>
      <c r="V26" s="3">
        <v>404450931.45313901</v>
      </c>
      <c r="W26" s="3">
        <v>344280244.53454697</v>
      </c>
      <c r="X26" s="3">
        <v>320055008.37155902</v>
      </c>
      <c r="Y26" s="3">
        <v>344343230.45489401</v>
      </c>
      <c r="Z26" s="3">
        <v>162304542.981278</v>
      </c>
      <c r="AA26" s="3">
        <v>331373976.621975</v>
      </c>
      <c r="AB26" s="3">
        <v>314094436.03966099</v>
      </c>
      <c r="AC26" s="3">
        <v>294404965.476376</v>
      </c>
      <c r="AD26" s="3">
        <v>502640836.17179698</v>
      </c>
      <c r="AE26" s="3">
        <v>332518319.14445502</v>
      </c>
      <c r="AF26" s="3">
        <v>362832966.49123698</v>
      </c>
      <c r="AG26" s="3">
        <v>348605505.75335002</v>
      </c>
      <c r="AH26" s="3">
        <v>363484144.10867101</v>
      </c>
      <c r="AI26" s="3">
        <v>362229658.04327297</v>
      </c>
      <c r="AJ26" s="3">
        <v>536021286.85959601</v>
      </c>
      <c r="AK26" s="3">
        <v>460586779.718243</v>
      </c>
      <c r="AL26" s="3">
        <v>355012188.52074897</v>
      </c>
      <c r="AM26" s="3">
        <v>350361321.09619802</v>
      </c>
      <c r="AN26" s="3">
        <v>379594776.64917201</v>
      </c>
      <c r="AO26" s="3">
        <v>329099395.46098399</v>
      </c>
      <c r="AP26" s="3">
        <v>341869994.67594999</v>
      </c>
      <c r="AQ26" s="3">
        <v>331470220.01673001</v>
      </c>
      <c r="AR26" s="3">
        <v>321368757.37180197</v>
      </c>
      <c r="AS26" s="3">
        <v>341287804.88261598</v>
      </c>
      <c r="AT26" s="3">
        <v>326897074.889341</v>
      </c>
      <c r="AU26" s="3">
        <v>326054995.69194901</v>
      </c>
      <c r="AV26" s="3">
        <v>339864580.35255897</v>
      </c>
      <c r="AW26" s="3">
        <v>317483522.54990101</v>
      </c>
      <c r="AX26" s="3">
        <v>330594342.69532299</v>
      </c>
      <c r="AY26" s="3">
        <v>325265666.21797502</v>
      </c>
      <c r="AZ26" s="3">
        <v>317494578.07677799</v>
      </c>
      <c r="BA26" s="3">
        <v>317835911.64261001</v>
      </c>
      <c r="BB26" s="3">
        <v>330596991.93365598</v>
      </c>
      <c r="BC26" s="3">
        <v>326897758.52137703</v>
      </c>
      <c r="BD26" s="3">
        <v>331342301.005171</v>
      </c>
      <c r="BE26" s="3">
        <v>326897758.52137703</v>
      </c>
      <c r="BF26" s="3">
        <v>331342301.005171</v>
      </c>
      <c r="BG26" s="3">
        <v>330588196.53068</v>
      </c>
      <c r="BH26" s="3">
        <v>317857494.28109699</v>
      </c>
      <c r="BI26" s="3">
        <v>156332897.10822099</v>
      </c>
      <c r="BJ26" s="3">
        <v>234060243.661291</v>
      </c>
      <c r="BK26" s="3">
        <v>324129883.19314897</v>
      </c>
      <c r="BL26" s="3">
        <v>203091040.53803399</v>
      </c>
      <c r="BM26" s="3">
        <v>259924674.949826</v>
      </c>
      <c r="BN26" s="3">
        <v>329263368.95488399</v>
      </c>
      <c r="BP26" t="s">
        <v>126</v>
      </c>
    </row>
    <row r="27" spans="1:69" x14ac:dyDescent="0.3">
      <c r="A27" t="s">
        <v>71</v>
      </c>
      <c r="B27" s="3">
        <v>16882345.0438595</v>
      </c>
      <c r="C27" s="3">
        <v>41060829.7149124</v>
      </c>
      <c r="D27" s="3">
        <v>15874476.1923769</v>
      </c>
      <c r="E27" s="3">
        <v>2344171.40350876</v>
      </c>
      <c r="F27" s="3">
        <v>2520216.1403508801</v>
      </c>
      <c r="G27" s="3">
        <v>4910932.8070173999</v>
      </c>
      <c r="H27" s="3">
        <v>52885090.855262503</v>
      </c>
      <c r="I27" s="3">
        <v>4910932.8070171699</v>
      </c>
      <c r="J27" s="3">
        <v>8056899.64912281</v>
      </c>
      <c r="K27" s="3">
        <v>4.1389114358025803E-8</v>
      </c>
      <c r="L27" s="3">
        <v>3.7125857943465202E-8</v>
      </c>
      <c r="M27" s="3">
        <v>3.14415160573844E-8</v>
      </c>
      <c r="N27" s="3">
        <v>6.28830321147688E-8</v>
      </c>
      <c r="O27" s="3">
        <v>1.5720758028692201E-7</v>
      </c>
      <c r="P27" s="3">
        <v>3.1441516057384401E-7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3.14415160573844E-8</v>
      </c>
      <c r="W27" s="3">
        <v>3.14415160573844E-8</v>
      </c>
      <c r="X27" s="3">
        <v>3.1157298963080301E-8</v>
      </c>
      <c r="Y27" s="3">
        <v>1.9575452370190701E-8</v>
      </c>
      <c r="Z27" s="3">
        <v>16985244411.447201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0</v>
      </c>
      <c r="BK27" s="3">
        <v>0</v>
      </c>
      <c r="BL27" s="3">
        <v>0</v>
      </c>
      <c r="BM27" s="3">
        <v>0</v>
      </c>
      <c r="BN27" s="3">
        <v>0</v>
      </c>
      <c r="BP27" s="15">
        <f>BP24/8</f>
        <v>6.2188326751602734</v>
      </c>
    </row>
    <row r="28" spans="1:69" x14ac:dyDescent="0.3">
      <c r="A28" t="s">
        <v>70</v>
      </c>
      <c r="B28" s="3">
        <v>53005356.477268197</v>
      </c>
      <c r="C28" s="3">
        <v>143139719.29824501</v>
      </c>
      <c r="D28" s="3">
        <v>62065398.029189803</v>
      </c>
      <c r="E28" s="3">
        <v>50075728.700554296</v>
      </c>
      <c r="F28" s="3">
        <v>66086422.465755902</v>
      </c>
      <c r="G28" s="3">
        <v>292109571.36183399</v>
      </c>
      <c r="H28" s="3">
        <v>150615745.52630201</v>
      </c>
      <c r="I28" s="3">
        <v>296474483.20394403</v>
      </c>
      <c r="J28" s="3">
        <v>546027524.90788198</v>
      </c>
      <c r="K28" s="3">
        <v>449542641.58762902</v>
      </c>
      <c r="L28" s="3">
        <v>67318308.771929905</v>
      </c>
      <c r="M28" s="3">
        <v>46014033.429824598</v>
      </c>
      <c r="N28" s="3">
        <v>92028066.859649196</v>
      </c>
      <c r="O28" s="3">
        <v>139576972.017544</v>
      </c>
      <c r="P28" s="3">
        <v>332914698.42105299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261717013.51757899</v>
      </c>
      <c r="W28" s="3">
        <v>221174537.903456</v>
      </c>
      <c r="X28" s="3">
        <v>50141214.087810501</v>
      </c>
      <c r="Y28" s="3">
        <v>78993762.5350862</v>
      </c>
      <c r="Z28" s="3">
        <v>46062139636.980499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0</v>
      </c>
      <c r="BK28" s="3">
        <v>0</v>
      </c>
      <c r="BL28" s="3">
        <v>0</v>
      </c>
      <c r="BM28" s="3">
        <v>0</v>
      </c>
      <c r="BN28" s="3">
        <v>0</v>
      </c>
    </row>
    <row r="29" spans="1:69" x14ac:dyDescent="0.3">
      <c r="A29" t="s">
        <v>72</v>
      </c>
      <c r="B29" s="3">
        <v>375804542.65472698</v>
      </c>
      <c r="C29" s="3">
        <v>465613367.24283397</v>
      </c>
      <c r="D29" s="3">
        <v>374722884.53010398</v>
      </c>
      <c r="E29" s="3">
        <v>235505312.222462</v>
      </c>
      <c r="F29" s="3">
        <v>233850933.002204</v>
      </c>
      <c r="G29" s="3">
        <v>241231766.574619</v>
      </c>
      <c r="H29" s="3">
        <v>455453360.36141002</v>
      </c>
      <c r="I29" s="3">
        <v>240463453.04391801</v>
      </c>
      <c r="J29" s="3">
        <v>169749997.06638101</v>
      </c>
      <c r="K29" s="3">
        <v>207472218.63668799</v>
      </c>
      <c r="L29" s="3">
        <v>276629624.84891802</v>
      </c>
      <c r="M29" s="3">
        <v>339499994.13276303</v>
      </c>
      <c r="N29" s="3">
        <v>308064809.49084097</v>
      </c>
      <c r="O29" s="3">
        <v>320638883.34761</v>
      </c>
      <c r="P29" s="3">
        <v>364648141.84630102</v>
      </c>
      <c r="Q29" s="3">
        <v>383216946.11499298</v>
      </c>
      <c r="R29" s="3">
        <v>354416689.46027398</v>
      </c>
      <c r="S29" s="3">
        <v>354416689.46027398</v>
      </c>
      <c r="T29" s="3">
        <v>348956881.34175003</v>
      </c>
      <c r="U29" s="3">
        <v>356272690.69953698</v>
      </c>
      <c r="V29" s="3">
        <v>238986596.544714</v>
      </c>
      <c r="W29" s="3">
        <v>207472218.63668799</v>
      </c>
      <c r="X29" s="3">
        <v>258981767.64016399</v>
      </c>
      <c r="Y29" s="3">
        <v>280826702.19711101</v>
      </c>
      <c r="Z29" s="3">
        <v>1920492.86937599</v>
      </c>
      <c r="AA29" s="3">
        <v>356272690.69953698</v>
      </c>
      <c r="AB29" s="3">
        <v>356114805.157166</v>
      </c>
      <c r="AC29" s="3">
        <v>344682919.91881299</v>
      </c>
      <c r="AD29" s="3">
        <v>327254592.40371102</v>
      </c>
      <c r="AE29" s="3">
        <v>365321565.92585099</v>
      </c>
      <c r="AF29" s="3">
        <v>334774858.02310598</v>
      </c>
      <c r="AG29" s="3">
        <v>351398374.78187197</v>
      </c>
      <c r="AH29" s="3">
        <v>306605149.73399103</v>
      </c>
      <c r="AI29" s="3">
        <v>342803520.57327098</v>
      </c>
      <c r="AJ29" s="3">
        <v>307544149.06881702</v>
      </c>
      <c r="AK29" s="3">
        <v>349626177.43916398</v>
      </c>
      <c r="AL29" s="3">
        <v>312537945.10486901</v>
      </c>
      <c r="AM29" s="3">
        <v>325381984.30439699</v>
      </c>
      <c r="AN29" s="3">
        <v>327316252.01008898</v>
      </c>
      <c r="AO29" s="3">
        <v>345787031.06114799</v>
      </c>
      <c r="AP29" s="3">
        <v>345152533.742212</v>
      </c>
      <c r="AQ29" s="3">
        <v>389796289.55983901</v>
      </c>
      <c r="AR29" s="3">
        <v>356609944.94310701</v>
      </c>
      <c r="AS29" s="3">
        <v>383509252.631455</v>
      </c>
      <c r="AT29" s="3">
        <v>377222215.70306998</v>
      </c>
      <c r="AU29" s="3">
        <v>327755946.08269399</v>
      </c>
      <c r="AV29" s="3">
        <v>328221982.155626</v>
      </c>
      <c r="AW29" s="3">
        <v>328144578.93234497</v>
      </c>
      <c r="AX29" s="3">
        <v>331875425.37673599</v>
      </c>
      <c r="AY29" s="3">
        <v>329595563.79689097</v>
      </c>
      <c r="AZ29" s="3">
        <v>323185599.387169</v>
      </c>
      <c r="BA29" s="3">
        <v>326256266.27174997</v>
      </c>
      <c r="BB29" s="3">
        <v>326256266.271761</v>
      </c>
      <c r="BC29" s="3">
        <v>364648141.84630102</v>
      </c>
      <c r="BD29" s="3">
        <v>364648141.84630102</v>
      </c>
      <c r="BE29" s="3">
        <v>364648141.84630102</v>
      </c>
      <c r="BF29" s="3">
        <v>364648141.84630102</v>
      </c>
      <c r="BG29" s="3">
        <v>326124427.62388098</v>
      </c>
      <c r="BH29" s="3">
        <v>326124427.623869</v>
      </c>
      <c r="BI29" s="3">
        <v>277253624.84891802</v>
      </c>
      <c r="BJ29" s="3">
        <v>277253624.84891802</v>
      </c>
      <c r="BK29" s="3">
        <v>276974005.47001302</v>
      </c>
      <c r="BL29" s="3">
        <v>277071236.67118299</v>
      </c>
      <c r="BM29" s="3">
        <v>276879449.84059697</v>
      </c>
      <c r="BN29" s="3">
        <v>276660438.404908</v>
      </c>
      <c r="BP29" t="s">
        <v>128</v>
      </c>
    </row>
    <row r="30" spans="1:69" x14ac:dyDescent="0.3">
      <c r="A30" s="2" t="s">
        <v>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P30" s="15">
        <f>BP27*20</f>
        <v>124.37665350320546</v>
      </c>
    </row>
    <row r="31" spans="1:69" x14ac:dyDescent="0.3">
      <c r="A31" t="s">
        <v>2</v>
      </c>
      <c r="B31" s="3">
        <v>53.3439298245614</v>
      </c>
      <c r="C31" s="3">
        <v>84.317824561403498</v>
      </c>
      <c r="D31" s="3">
        <v>53.3439298245614</v>
      </c>
      <c r="E31" s="3">
        <v>53.3439298245614</v>
      </c>
      <c r="F31" s="3">
        <v>54.917894736842101</v>
      </c>
      <c r="G31" s="3">
        <v>84.317824561403498</v>
      </c>
      <c r="H31" s="3">
        <v>84.317824561403498</v>
      </c>
      <c r="I31" s="3">
        <v>84.317824561403498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58.083999999991399</v>
      </c>
      <c r="R31" s="3">
        <v>19.954999999999899</v>
      </c>
      <c r="S31" s="3">
        <v>19.954999999999899</v>
      </c>
      <c r="T31" s="3">
        <v>59.317999999996601</v>
      </c>
      <c r="U31" s="3">
        <v>18.084</v>
      </c>
      <c r="V31" s="3">
        <v>30</v>
      </c>
      <c r="W31" s="3">
        <v>0</v>
      </c>
      <c r="X31" s="3">
        <v>0</v>
      </c>
      <c r="Y31" s="3">
        <v>8</v>
      </c>
      <c r="Z31" s="3">
        <v>0</v>
      </c>
      <c r="AA31" s="3">
        <v>18.084</v>
      </c>
      <c r="AB31" s="3">
        <v>0</v>
      </c>
      <c r="AC31" s="3">
        <v>0</v>
      </c>
      <c r="AD31" s="3">
        <v>58.083999999980797</v>
      </c>
      <c r="AE31" s="3">
        <v>0</v>
      </c>
      <c r="AF31" s="3">
        <v>0</v>
      </c>
      <c r="AG31" s="3">
        <v>14.6424561403508</v>
      </c>
      <c r="AH31" s="3">
        <v>4.0982456140350996</v>
      </c>
      <c r="AI31" s="3">
        <v>2.8052631578947498</v>
      </c>
      <c r="AJ31" s="3">
        <v>15.006105263157799</v>
      </c>
      <c r="AK31" s="3">
        <v>3.5230751438585299</v>
      </c>
      <c r="AL31" s="3">
        <v>14.642456140350401</v>
      </c>
      <c r="AM31" s="3">
        <v>14.6424561403508</v>
      </c>
      <c r="AN31" s="3">
        <v>16.3632280701752</v>
      </c>
      <c r="AO31" s="3">
        <v>0</v>
      </c>
      <c r="AP31" s="3">
        <v>20.552210526021199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0</v>
      </c>
      <c r="BK31" s="3">
        <v>0</v>
      </c>
      <c r="BL31" s="3">
        <v>0</v>
      </c>
      <c r="BM31" s="3">
        <v>0</v>
      </c>
      <c r="BN31" s="3">
        <v>0</v>
      </c>
    </row>
    <row r="32" spans="1:69" x14ac:dyDescent="0.3">
      <c r="A32" t="s">
        <v>0</v>
      </c>
      <c r="B32" s="10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80</v>
      </c>
      <c r="K32" s="3">
        <v>120</v>
      </c>
      <c r="L32" s="3">
        <v>120</v>
      </c>
      <c r="M32" s="3">
        <v>120</v>
      </c>
      <c r="N32" s="3">
        <v>120</v>
      </c>
      <c r="O32" s="3">
        <v>160</v>
      </c>
      <c r="P32" s="3">
        <v>160</v>
      </c>
      <c r="Q32" s="3">
        <v>80</v>
      </c>
      <c r="R32" s="3">
        <v>120</v>
      </c>
      <c r="S32" s="3">
        <v>120</v>
      </c>
      <c r="T32" s="3">
        <v>80</v>
      </c>
      <c r="U32" s="3">
        <v>120</v>
      </c>
      <c r="V32" s="3">
        <v>80</v>
      </c>
      <c r="W32" s="3">
        <v>120</v>
      </c>
      <c r="X32" s="3">
        <v>120</v>
      </c>
      <c r="Y32" s="3">
        <v>120</v>
      </c>
      <c r="Z32" s="3">
        <v>0</v>
      </c>
      <c r="AA32" s="3">
        <v>120</v>
      </c>
      <c r="AB32" s="3">
        <v>120</v>
      </c>
      <c r="AC32" s="3">
        <v>120</v>
      </c>
      <c r="AD32" s="3">
        <v>80</v>
      </c>
      <c r="AE32" s="3">
        <v>160</v>
      </c>
      <c r="AF32" s="3">
        <v>160</v>
      </c>
      <c r="AG32" s="3">
        <v>120</v>
      </c>
      <c r="AH32" s="3">
        <v>120</v>
      </c>
      <c r="AI32" s="3">
        <v>120</v>
      </c>
      <c r="AJ32" s="3">
        <v>120</v>
      </c>
      <c r="AK32" s="3">
        <v>160</v>
      </c>
      <c r="AL32" s="3">
        <v>120</v>
      </c>
      <c r="AM32" s="3">
        <v>120</v>
      </c>
      <c r="AN32" s="3">
        <v>120</v>
      </c>
      <c r="AO32" s="3">
        <v>160</v>
      </c>
      <c r="AP32" s="3">
        <v>120</v>
      </c>
      <c r="AQ32" s="13">
        <v>160</v>
      </c>
      <c r="AR32" s="5">
        <v>120.000000000014</v>
      </c>
      <c r="AS32" s="5">
        <v>160</v>
      </c>
      <c r="AT32" s="5">
        <v>160</v>
      </c>
      <c r="AU32" s="5">
        <v>120</v>
      </c>
      <c r="AV32" s="5">
        <v>120</v>
      </c>
      <c r="AW32" s="5">
        <v>120</v>
      </c>
      <c r="AX32" s="5">
        <v>120</v>
      </c>
      <c r="AY32" s="5">
        <v>160</v>
      </c>
      <c r="AZ32" s="5">
        <v>120</v>
      </c>
      <c r="BA32" s="5">
        <v>120</v>
      </c>
      <c r="BB32" s="5">
        <v>120</v>
      </c>
      <c r="BC32" s="3">
        <v>160</v>
      </c>
      <c r="BD32" s="3">
        <v>160</v>
      </c>
      <c r="BE32" s="3">
        <v>160</v>
      </c>
      <c r="BF32" s="3">
        <v>160</v>
      </c>
      <c r="BG32" s="5">
        <v>120</v>
      </c>
      <c r="BH32" s="3">
        <v>120</v>
      </c>
      <c r="BI32" s="3">
        <v>120</v>
      </c>
      <c r="BJ32" s="3">
        <v>120</v>
      </c>
      <c r="BK32" s="3">
        <v>120</v>
      </c>
      <c r="BL32" s="3">
        <v>120</v>
      </c>
      <c r="BM32" s="3">
        <v>120</v>
      </c>
      <c r="BN32" s="3">
        <v>120</v>
      </c>
      <c r="BP32" t="s">
        <v>129</v>
      </c>
    </row>
    <row r="33" spans="1:68" x14ac:dyDescent="0.3">
      <c r="A33" t="s">
        <v>1</v>
      </c>
      <c r="B33" s="3">
        <v>32.769017543859597</v>
      </c>
      <c r="C33" s="3">
        <v>0</v>
      </c>
      <c r="D33" s="3">
        <v>32.694666666666599</v>
      </c>
      <c r="E33" s="3">
        <v>34.4154385964912</v>
      </c>
      <c r="F33" s="3">
        <v>33.104912280701697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7.7593684210526401</v>
      </c>
      <c r="Y33" s="3">
        <v>0</v>
      </c>
      <c r="Z33" s="3">
        <v>2</v>
      </c>
      <c r="AA33" s="3">
        <v>0</v>
      </c>
      <c r="AB33" s="3">
        <v>18.083999999993299</v>
      </c>
      <c r="AC33" s="3">
        <v>19.87</v>
      </c>
      <c r="AD33" s="3">
        <v>0</v>
      </c>
      <c r="AE33" s="3">
        <v>17.317999999999898</v>
      </c>
      <c r="AF33" s="3">
        <v>0</v>
      </c>
      <c r="AG33" s="3">
        <v>0</v>
      </c>
      <c r="AH33" s="3">
        <v>10.5442105263157</v>
      </c>
      <c r="AI33" s="3">
        <v>11.8371929824561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0</v>
      </c>
      <c r="AR33" s="5">
        <v>18.0839999999857</v>
      </c>
      <c r="AS33" s="3">
        <v>0</v>
      </c>
      <c r="AT33" s="3">
        <v>0</v>
      </c>
      <c r="AU33" s="5">
        <v>18.083999999990301</v>
      </c>
      <c r="AV33" s="5">
        <v>18.9284912280689</v>
      </c>
      <c r="AW33" s="5">
        <v>19.103999999993601</v>
      </c>
      <c r="AX33" s="5">
        <v>18.928491228068498</v>
      </c>
      <c r="AY33" s="5">
        <v>17.87</v>
      </c>
      <c r="AZ33" s="5">
        <v>19.103999999999001</v>
      </c>
      <c r="BA33" s="5">
        <v>19.317999999990899</v>
      </c>
      <c r="BB33" s="5">
        <v>19.317999999999302</v>
      </c>
      <c r="BC33" s="3">
        <v>0</v>
      </c>
      <c r="BD33" s="3">
        <v>0</v>
      </c>
      <c r="BE33" s="3">
        <v>0</v>
      </c>
      <c r="BF33" s="3">
        <v>0</v>
      </c>
      <c r="BG33" s="5">
        <v>19.317999999999699</v>
      </c>
      <c r="BH33" s="3">
        <v>19.317999999999401</v>
      </c>
      <c r="BI33" s="3">
        <v>480</v>
      </c>
      <c r="BJ33" s="3">
        <v>480</v>
      </c>
      <c r="BK33" s="3">
        <v>200.380621095148</v>
      </c>
      <c r="BL33" s="5">
        <v>297.61182226493798</v>
      </c>
      <c r="BM33" s="5">
        <v>141.45337170994901</v>
      </c>
      <c r="BN33" s="5">
        <v>20.423198173646899</v>
      </c>
      <c r="BP33" s="14">
        <f>BG41</f>
        <v>49494802.774962798</v>
      </c>
    </row>
    <row r="34" spans="1:68" x14ac:dyDescent="0.3">
      <c r="A34" s="2" t="s">
        <v>15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5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</row>
    <row r="35" spans="1:68" x14ac:dyDescent="0.3">
      <c r="A35" t="s">
        <v>2</v>
      </c>
      <c r="B35" s="3">
        <v>73.744847937405396</v>
      </c>
      <c r="C35" s="3">
        <v>128.32412368421001</v>
      </c>
      <c r="D35" s="3">
        <v>74.336303590696502</v>
      </c>
      <c r="E35" s="3">
        <v>53.3439298245614</v>
      </c>
      <c r="F35" s="3">
        <v>54.917894736842101</v>
      </c>
      <c r="G35" s="3">
        <v>84.317824561403498</v>
      </c>
      <c r="H35" s="3">
        <v>129.55468508771901</v>
      </c>
      <c r="I35" s="3">
        <v>84.317824561403498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58.083999999991399</v>
      </c>
      <c r="R35" s="3">
        <v>21.954999999999899</v>
      </c>
      <c r="S35" s="3">
        <v>21.954999999999899</v>
      </c>
      <c r="T35" s="5">
        <v>80.513649999996602</v>
      </c>
      <c r="U35" s="5">
        <v>25.149650000000001</v>
      </c>
      <c r="V35" s="5">
        <v>37.852141228067602</v>
      </c>
      <c r="W35" s="5">
        <v>0</v>
      </c>
      <c r="X35" s="5">
        <v>0</v>
      </c>
      <c r="Y35" s="5">
        <v>10</v>
      </c>
      <c r="Z35" s="5">
        <v>0</v>
      </c>
      <c r="AA35" s="5">
        <v>25.149650000000001</v>
      </c>
      <c r="AB35" s="5">
        <v>9.0656499999999802</v>
      </c>
      <c r="AC35" s="5">
        <v>0</v>
      </c>
      <c r="AD35" s="5">
        <v>82.3446499999785</v>
      </c>
      <c r="AE35" s="5">
        <v>13.2806499999999</v>
      </c>
      <c r="AF35" s="3">
        <v>14.2146149122807</v>
      </c>
      <c r="AG35" s="3">
        <v>20.642456140350799</v>
      </c>
      <c r="AH35" s="5">
        <v>17.692860526315702</v>
      </c>
      <c r="AI35" s="5">
        <v>15.6928605263157</v>
      </c>
      <c r="AJ35" s="5">
        <v>33.963702631578897</v>
      </c>
      <c r="AK35" s="5">
        <v>23.737690056139201</v>
      </c>
      <c r="AL35" s="5">
        <v>14.642456140350401</v>
      </c>
      <c r="AM35" s="5">
        <v>31.2654421403508</v>
      </c>
      <c r="AN35" s="5">
        <v>16.3632280701752</v>
      </c>
      <c r="AO35" s="5">
        <v>0</v>
      </c>
      <c r="AP35" s="5">
        <v>20.552210526021899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>
        <v>0</v>
      </c>
      <c r="BL35" s="3">
        <v>0</v>
      </c>
      <c r="BM35" s="3">
        <v>0</v>
      </c>
      <c r="BN35" s="3">
        <v>0</v>
      </c>
      <c r="BP35" t="s">
        <v>130</v>
      </c>
    </row>
    <row r="36" spans="1:68" x14ac:dyDescent="0.3">
      <c r="A36" t="s">
        <v>0</v>
      </c>
      <c r="B36" s="10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80</v>
      </c>
      <c r="K36" s="3">
        <v>120</v>
      </c>
      <c r="L36" s="3">
        <v>120</v>
      </c>
      <c r="M36" s="3">
        <v>120</v>
      </c>
      <c r="N36" s="3">
        <v>120</v>
      </c>
      <c r="O36" s="3">
        <v>160</v>
      </c>
      <c r="P36" s="3">
        <v>160</v>
      </c>
      <c r="Q36" s="3">
        <v>80</v>
      </c>
      <c r="R36" s="3">
        <v>120</v>
      </c>
      <c r="S36" s="3">
        <v>120</v>
      </c>
      <c r="T36" s="5">
        <v>80</v>
      </c>
      <c r="U36" s="5">
        <v>120</v>
      </c>
      <c r="V36" s="5">
        <v>80</v>
      </c>
      <c r="W36" s="5">
        <v>120</v>
      </c>
      <c r="X36" s="5">
        <v>120</v>
      </c>
      <c r="Y36" s="5">
        <v>120</v>
      </c>
      <c r="Z36" s="5">
        <v>0</v>
      </c>
      <c r="AA36" s="5">
        <v>120</v>
      </c>
      <c r="AB36" s="5">
        <v>120</v>
      </c>
      <c r="AC36" s="5">
        <v>120</v>
      </c>
      <c r="AD36" s="5">
        <v>80</v>
      </c>
      <c r="AE36" s="5">
        <v>160</v>
      </c>
      <c r="AF36" s="3">
        <v>160</v>
      </c>
      <c r="AG36" s="3">
        <v>120</v>
      </c>
      <c r="AH36" s="5">
        <v>120</v>
      </c>
      <c r="AI36" s="5">
        <v>120</v>
      </c>
      <c r="AJ36" s="5">
        <v>120</v>
      </c>
      <c r="AK36" s="5">
        <v>160</v>
      </c>
      <c r="AL36" s="5">
        <v>120</v>
      </c>
      <c r="AM36" s="5">
        <v>120</v>
      </c>
      <c r="AN36" s="5">
        <v>120</v>
      </c>
      <c r="AO36" s="5">
        <v>160</v>
      </c>
      <c r="AP36" s="5">
        <v>120</v>
      </c>
      <c r="AQ36" s="5">
        <v>160</v>
      </c>
      <c r="AR36" s="5">
        <v>120.000000000014</v>
      </c>
      <c r="AS36" s="5">
        <v>160</v>
      </c>
      <c r="AT36" s="5">
        <v>160</v>
      </c>
      <c r="AU36" s="5">
        <v>120</v>
      </c>
      <c r="AV36" s="5">
        <v>120</v>
      </c>
      <c r="AW36" s="5">
        <v>120</v>
      </c>
      <c r="AX36" s="5">
        <v>120</v>
      </c>
      <c r="AY36" s="5">
        <v>160</v>
      </c>
      <c r="AZ36" s="5">
        <v>120</v>
      </c>
      <c r="BA36" s="5">
        <v>120</v>
      </c>
      <c r="BB36" s="5">
        <v>120</v>
      </c>
      <c r="BC36" s="3">
        <v>160</v>
      </c>
      <c r="BD36" s="3">
        <v>160</v>
      </c>
      <c r="BE36" s="3">
        <v>160</v>
      </c>
      <c r="BF36" s="3">
        <v>160</v>
      </c>
      <c r="BG36" s="3">
        <v>120</v>
      </c>
      <c r="BH36" s="3">
        <v>120</v>
      </c>
      <c r="BI36" s="3">
        <v>120</v>
      </c>
      <c r="BJ36" s="3">
        <v>120</v>
      </c>
      <c r="BK36" s="3">
        <v>120</v>
      </c>
      <c r="BL36" s="3">
        <v>120</v>
      </c>
      <c r="BM36" s="3">
        <v>120</v>
      </c>
      <c r="BN36" s="3">
        <v>120</v>
      </c>
      <c r="BP36" s="14">
        <f>BP15+BP7</f>
        <v>52055760.029247537</v>
      </c>
    </row>
    <row r="37" spans="1:68" x14ac:dyDescent="0.3">
      <c r="A37" t="s">
        <v>1</v>
      </c>
      <c r="B37" s="3">
        <v>52.207959957331397</v>
      </c>
      <c r="C37" s="3">
        <v>0</v>
      </c>
      <c r="D37" s="3">
        <v>52.213951928716703</v>
      </c>
      <c r="E37" s="3">
        <v>34.4154385964912</v>
      </c>
      <c r="F37" s="3">
        <v>33.104912280701697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5">
        <v>0</v>
      </c>
      <c r="U37" s="5">
        <v>0</v>
      </c>
      <c r="V37" s="5">
        <v>0</v>
      </c>
      <c r="W37" s="5">
        <v>0</v>
      </c>
      <c r="X37" s="5">
        <v>7.7593684206214801</v>
      </c>
      <c r="Y37" s="5">
        <v>0</v>
      </c>
      <c r="Z37" s="5">
        <v>2</v>
      </c>
      <c r="AA37" s="5">
        <v>0</v>
      </c>
      <c r="AB37" s="5">
        <v>18.083999999993299</v>
      </c>
      <c r="AC37" s="5">
        <v>19.87</v>
      </c>
      <c r="AD37" s="5">
        <v>0</v>
      </c>
      <c r="AE37" s="5">
        <v>17.317999999999898</v>
      </c>
      <c r="AF37" s="3">
        <v>0</v>
      </c>
      <c r="AG37" s="3">
        <v>0</v>
      </c>
      <c r="AH37" s="5">
        <v>10.5442105263157</v>
      </c>
      <c r="AI37" s="5">
        <v>11.8371929824561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3">
        <v>0</v>
      </c>
      <c r="AQ37" s="3">
        <v>0</v>
      </c>
      <c r="AR37" s="5">
        <v>18.0839999999857</v>
      </c>
      <c r="AS37" s="3">
        <v>0</v>
      </c>
      <c r="AT37" s="3">
        <v>0</v>
      </c>
      <c r="AU37" s="5">
        <v>18.083999999987899</v>
      </c>
      <c r="AV37" s="5">
        <v>18.928491228067099</v>
      </c>
      <c r="AW37" s="5">
        <v>19.103999999993601</v>
      </c>
      <c r="AX37" s="5">
        <v>18.928491228068498</v>
      </c>
      <c r="AY37" s="5">
        <v>17.87</v>
      </c>
      <c r="AZ37" s="5">
        <v>19.103999999999001</v>
      </c>
      <c r="BA37" s="5">
        <v>19.317999999995699</v>
      </c>
      <c r="BB37" s="5">
        <v>19.3179999999989</v>
      </c>
      <c r="BC37" s="3">
        <v>0</v>
      </c>
      <c r="BD37" s="3">
        <v>0</v>
      </c>
      <c r="BE37" s="3">
        <v>0</v>
      </c>
      <c r="BF37" s="3">
        <v>0</v>
      </c>
      <c r="BG37" s="3">
        <v>19.317999999999799</v>
      </c>
      <c r="BH37" s="3">
        <v>19.317999999999401</v>
      </c>
      <c r="BI37" s="3">
        <v>624</v>
      </c>
      <c r="BJ37" s="3">
        <v>624</v>
      </c>
      <c r="BK37" s="3">
        <v>344.380621095148</v>
      </c>
      <c r="BL37" s="3">
        <v>441.61182226493798</v>
      </c>
      <c r="BM37" s="3">
        <v>249.824991678424</v>
      </c>
      <c r="BN37" s="3">
        <v>30.8135559896226</v>
      </c>
    </row>
    <row r="38" spans="1:68" x14ac:dyDescent="0.3">
      <c r="A38" s="2" t="s">
        <v>74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P38" t="s">
        <v>131</v>
      </c>
    </row>
    <row r="39" spans="1:68" x14ac:dyDescent="0.3">
      <c r="A39" t="s">
        <v>2</v>
      </c>
      <c r="B39" s="3">
        <v>257202585.734635</v>
      </c>
      <c r="C39" s="3">
        <v>465613367.24283397</v>
      </c>
      <c r="D39" s="3">
        <v>256538397.61669999</v>
      </c>
      <c r="E39" s="3">
        <v>158079603.55687699</v>
      </c>
      <c r="F39" s="3">
        <v>158108334.629866</v>
      </c>
      <c r="G39" s="3">
        <v>241231766.574619</v>
      </c>
      <c r="H39" s="3">
        <v>455453360.36141002</v>
      </c>
      <c r="I39" s="3">
        <v>240463453.04391801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87726210.480921701</v>
      </c>
      <c r="R39" s="3">
        <v>52638916.897818103</v>
      </c>
      <c r="S39" s="3">
        <v>52638916.897818103</v>
      </c>
      <c r="T39" s="3">
        <v>235790216.63082799</v>
      </c>
      <c r="U39" s="3">
        <v>60781955.0654651</v>
      </c>
      <c r="V39" s="3">
        <v>56662525.621563897</v>
      </c>
      <c r="W39" s="13">
        <v>0</v>
      </c>
      <c r="X39" s="13">
        <v>0</v>
      </c>
      <c r="Y39" s="13">
        <v>16771151.204962101</v>
      </c>
      <c r="Z39" s="13">
        <v>0</v>
      </c>
      <c r="AA39" s="13">
        <v>60781955.0654651</v>
      </c>
      <c r="AB39" s="13">
        <v>37083265.102747403</v>
      </c>
      <c r="AC39" s="13">
        <v>0</v>
      </c>
      <c r="AD39" s="13">
        <v>214087927.69279</v>
      </c>
      <c r="AE39" s="13">
        <v>54324826.6463852</v>
      </c>
      <c r="AF39" s="3">
        <v>58145233.174187496</v>
      </c>
      <c r="AG39" s="3">
        <v>43333565.291031599</v>
      </c>
      <c r="AH39" s="3">
        <v>64601085.816029102</v>
      </c>
      <c r="AI39" s="3">
        <v>64192033.347615398</v>
      </c>
      <c r="AJ39" s="3">
        <v>125220078.145666</v>
      </c>
      <c r="AK39" s="3">
        <v>85570626.447014704</v>
      </c>
      <c r="AL39" s="3">
        <v>29621283.3275664</v>
      </c>
      <c r="AM39" s="3">
        <v>80187544.097401798</v>
      </c>
      <c r="AN39" s="3">
        <v>31825516.376017202</v>
      </c>
      <c r="AO39" s="3">
        <v>0</v>
      </c>
      <c r="AP39" s="3">
        <v>43374761.1797553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>
        <v>0</v>
      </c>
      <c r="BL39" s="3">
        <v>0</v>
      </c>
      <c r="BM39" s="3">
        <v>0</v>
      </c>
      <c r="BN39" s="3">
        <v>0</v>
      </c>
      <c r="BP39" s="16">
        <f>(BP18-BQ18)/BP33</f>
        <v>0.18161501306537883</v>
      </c>
    </row>
    <row r="40" spans="1:68" x14ac:dyDescent="0.3">
      <c r="A40" t="s">
        <v>0</v>
      </c>
      <c r="B40" s="10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169749997.06638101</v>
      </c>
      <c r="K40" s="3">
        <v>207472218.63668799</v>
      </c>
      <c r="L40" s="3">
        <v>276629624.84891802</v>
      </c>
      <c r="M40" s="3">
        <v>339499994.13276303</v>
      </c>
      <c r="N40" s="3">
        <v>308064809.49084097</v>
      </c>
      <c r="O40" s="3">
        <v>320638883.34761</v>
      </c>
      <c r="P40" s="3">
        <v>364648141.84630102</v>
      </c>
      <c r="Q40" s="3">
        <v>295490735.63407201</v>
      </c>
      <c r="R40" s="3">
        <v>301777772.56245601</v>
      </c>
      <c r="S40" s="3">
        <v>301777772.56245601</v>
      </c>
      <c r="T40" s="3">
        <v>113166664.710921</v>
      </c>
      <c r="U40" s="3">
        <v>295490735.63407201</v>
      </c>
      <c r="V40" s="3">
        <v>182324070.92315</v>
      </c>
      <c r="W40" s="13">
        <v>207472218.63668799</v>
      </c>
      <c r="X40" s="13">
        <v>251481477.13538</v>
      </c>
      <c r="Y40" s="13">
        <v>264055550.992149</v>
      </c>
      <c r="Z40" s="13">
        <v>0</v>
      </c>
      <c r="AA40" s="13">
        <v>295490735.63407201</v>
      </c>
      <c r="AB40" s="13">
        <v>289203698.70568699</v>
      </c>
      <c r="AC40" s="13">
        <v>282916661.77730298</v>
      </c>
      <c r="AD40" s="13">
        <v>113166664.710921</v>
      </c>
      <c r="AE40" s="13">
        <v>295490735.63407201</v>
      </c>
      <c r="AF40" s="3">
        <v>276629624.84891802</v>
      </c>
      <c r="AG40" s="3">
        <v>308064809.49084097</v>
      </c>
      <c r="AH40" s="3">
        <v>232620366.35022601</v>
      </c>
      <c r="AI40" s="3">
        <v>270342587.92053401</v>
      </c>
      <c r="AJ40" s="3">
        <v>182324070.92315</v>
      </c>
      <c r="AK40" s="3">
        <v>264055550.992149</v>
      </c>
      <c r="AL40" s="3">
        <v>282916661.77730298</v>
      </c>
      <c r="AM40" s="3">
        <v>245194440.20699599</v>
      </c>
      <c r="AN40" s="3">
        <v>295490735.63407201</v>
      </c>
      <c r="AO40" s="3">
        <v>345787031.06114799</v>
      </c>
      <c r="AP40" s="3">
        <v>301777772.56245601</v>
      </c>
      <c r="AQ40" s="3">
        <v>389796289.55983901</v>
      </c>
      <c r="AR40" s="3">
        <v>276629624.84891999</v>
      </c>
      <c r="AS40" s="3">
        <v>383509252.631455</v>
      </c>
      <c r="AT40" s="3">
        <v>377222215.70306998</v>
      </c>
      <c r="AU40" s="3">
        <v>276629624.84891802</v>
      </c>
      <c r="AV40" s="3">
        <v>276629624.84891802</v>
      </c>
      <c r="AW40" s="3">
        <v>276629624.84891802</v>
      </c>
      <c r="AX40" s="3">
        <v>276629624.84891802</v>
      </c>
      <c r="AY40" s="3">
        <v>282916661.77730298</v>
      </c>
      <c r="AZ40" s="3">
        <v>276629624.84891802</v>
      </c>
      <c r="BA40" s="13">
        <v>276629624.84891802</v>
      </c>
      <c r="BB40" s="3">
        <v>276629624.84891802</v>
      </c>
      <c r="BC40" s="3">
        <v>364648141.84630102</v>
      </c>
      <c r="BD40" s="3">
        <v>364648141.84630102</v>
      </c>
      <c r="BE40" s="3">
        <v>364648141.84630102</v>
      </c>
      <c r="BF40" s="3">
        <v>364648141.84630102</v>
      </c>
      <c r="BG40" s="3">
        <v>276629624.84891802</v>
      </c>
      <c r="BH40" s="3">
        <v>276629624.84891802</v>
      </c>
      <c r="BI40" s="3">
        <v>276629624.84891802</v>
      </c>
      <c r="BJ40" s="3">
        <v>276629624.84891802</v>
      </c>
      <c r="BK40" s="3">
        <v>276629624.84891802</v>
      </c>
      <c r="BL40" s="3">
        <v>276629624.84891802</v>
      </c>
      <c r="BM40" s="3">
        <v>276629624.84891802</v>
      </c>
      <c r="BN40" s="3">
        <v>276629624.84891802</v>
      </c>
    </row>
    <row r="41" spans="1:68" x14ac:dyDescent="0.3">
      <c r="A41" t="s">
        <v>1</v>
      </c>
      <c r="B41" s="3">
        <v>118601956.920092</v>
      </c>
      <c r="C41" s="3">
        <v>0</v>
      </c>
      <c r="D41" s="3">
        <v>118184486.913404</v>
      </c>
      <c r="E41" s="3">
        <v>77425708.665584803</v>
      </c>
      <c r="F41" s="13">
        <v>75742598.372338593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13">
        <v>0</v>
      </c>
      <c r="X41" s="13">
        <v>7500290.5047842097</v>
      </c>
      <c r="Y41" s="13">
        <v>0</v>
      </c>
      <c r="Z41" s="13">
        <v>1920492.86937599</v>
      </c>
      <c r="AA41" s="13">
        <v>0</v>
      </c>
      <c r="AB41" s="13">
        <v>29827841.348731399</v>
      </c>
      <c r="AC41" s="13">
        <v>61766258.141509898</v>
      </c>
      <c r="AD41" s="13">
        <v>0</v>
      </c>
      <c r="AE41" s="13">
        <v>15506003.6453945</v>
      </c>
      <c r="AF41" s="3">
        <v>0</v>
      </c>
      <c r="AG41" s="3">
        <v>0</v>
      </c>
      <c r="AH41" s="3">
        <v>9383697.5677356105</v>
      </c>
      <c r="AI41" s="3">
        <v>8268899.3051215401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79980320.094186097</v>
      </c>
      <c r="AS41" s="3">
        <v>0</v>
      </c>
      <c r="AT41" s="3">
        <v>0</v>
      </c>
      <c r="AU41" s="3">
        <v>51126321.233776003</v>
      </c>
      <c r="AV41" s="3">
        <v>51592357.306707896</v>
      </c>
      <c r="AW41" s="3">
        <v>51514954.083426997</v>
      </c>
      <c r="AX41" s="3">
        <v>55245800.527817801</v>
      </c>
      <c r="AY41" s="3">
        <v>46678902.019588701</v>
      </c>
      <c r="AZ41" s="3">
        <v>46555974.538251102</v>
      </c>
      <c r="BA41" s="3">
        <v>49626641.422832303</v>
      </c>
      <c r="BB41" s="3">
        <v>49626641.4228433</v>
      </c>
      <c r="BC41" s="3">
        <v>0</v>
      </c>
      <c r="BD41" s="3">
        <v>0</v>
      </c>
      <c r="BE41" s="3">
        <v>0</v>
      </c>
      <c r="BF41" s="3">
        <v>0</v>
      </c>
      <c r="BG41" s="3">
        <v>49494802.774962798</v>
      </c>
      <c r="BH41" s="3">
        <v>49494802.774951302</v>
      </c>
      <c r="BI41" s="3">
        <v>624000</v>
      </c>
      <c r="BJ41" s="3">
        <v>624000</v>
      </c>
      <c r="BK41" s="3">
        <v>344380.62109514797</v>
      </c>
      <c r="BL41" s="3">
        <v>441611.82226493797</v>
      </c>
      <c r="BM41" s="3">
        <v>249824.991678424</v>
      </c>
      <c r="BN41" s="3">
        <v>30813.5559896226</v>
      </c>
    </row>
    <row r="42" spans="1:68" x14ac:dyDescent="0.3">
      <c r="A42" s="9" t="s">
        <v>76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</row>
    <row r="43" spans="1:68" x14ac:dyDescent="0.3">
      <c r="A43" s="2" t="s">
        <v>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</row>
    <row r="44" spans="1:68" x14ac:dyDescent="0.3">
      <c r="A44" t="s">
        <v>2</v>
      </c>
      <c r="B44" s="3">
        <v>53.3439298245614</v>
      </c>
      <c r="C44" s="3">
        <v>84.317824561403498</v>
      </c>
      <c r="D44" s="3">
        <v>54.168491228070103</v>
      </c>
      <c r="E44" s="3">
        <v>53.3439298245614</v>
      </c>
      <c r="F44" s="3">
        <v>54.917894736842101</v>
      </c>
      <c r="G44" s="3">
        <v>84.317824561403498</v>
      </c>
      <c r="H44" s="3">
        <v>84.317824561403498</v>
      </c>
      <c r="I44" s="3">
        <v>84.317824561403498</v>
      </c>
      <c r="J44" s="3">
        <v>12.92135</v>
      </c>
      <c r="K44" s="3">
        <v>12.92135</v>
      </c>
      <c r="L44" s="3">
        <v>12.92135</v>
      </c>
      <c r="M44" s="3">
        <v>12.92135</v>
      </c>
      <c r="N44" s="3">
        <v>12.92135</v>
      </c>
      <c r="O44" s="3">
        <v>12.92135</v>
      </c>
      <c r="P44" s="3">
        <v>12.92135</v>
      </c>
      <c r="Q44" s="3">
        <v>58.083999999991399</v>
      </c>
      <c r="R44" s="3">
        <v>26.876349999999899</v>
      </c>
      <c r="S44" s="3">
        <v>26.876349999999899</v>
      </c>
      <c r="T44" s="3">
        <v>75.150649999998507</v>
      </c>
      <c r="U44" s="3">
        <v>28.02535</v>
      </c>
      <c r="V44" s="3">
        <v>30</v>
      </c>
      <c r="W44" s="3">
        <v>12.92135</v>
      </c>
      <c r="X44" s="3">
        <v>12.92135</v>
      </c>
      <c r="Y44" s="3">
        <v>0</v>
      </c>
      <c r="Z44" s="3">
        <v>12.921350000002301</v>
      </c>
      <c r="AA44" s="3">
        <v>28.02535</v>
      </c>
      <c r="AB44" s="3">
        <v>21.986999999999899</v>
      </c>
      <c r="AC44" s="3">
        <v>12.92135</v>
      </c>
      <c r="AD44" s="3">
        <v>65.7263499999939</v>
      </c>
      <c r="AE44" s="3">
        <v>26.201999999999899</v>
      </c>
      <c r="AF44" s="3">
        <v>0</v>
      </c>
      <c r="AG44" s="3">
        <v>0</v>
      </c>
      <c r="AH44" s="3">
        <v>0</v>
      </c>
      <c r="AI44" s="3">
        <v>28.614210526315802</v>
      </c>
      <c r="AJ44" s="3">
        <v>0</v>
      </c>
      <c r="AK44" s="3">
        <v>0</v>
      </c>
      <c r="AL44" s="3">
        <v>0</v>
      </c>
      <c r="AM44" s="3">
        <v>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12.92135</v>
      </c>
      <c r="AZ44" s="3">
        <v>12.92135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0</v>
      </c>
      <c r="BK44" s="3">
        <v>0</v>
      </c>
      <c r="BL44" s="3">
        <v>0</v>
      </c>
      <c r="BM44" s="3">
        <v>0</v>
      </c>
      <c r="BN44" s="3">
        <v>0</v>
      </c>
    </row>
    <row r="45" spans="1:68" x14ac:dyDescent="0.3">
      <c r="A45" t="s">
        <v>0</v>
      </c>
      <c r="B45" s="10">
        <v>38</v>
      </c>
      <c r="C45" s="3">
        <v>38</v>
      </c>
      <c r="D45" s="3">
        <v>38</v>
      </c>
      <c r="E45" s="3">
        <v>74</v>
      </c>
      <c r="F45" s="12">
        <v>74</v>
      </c>
      <c r="G45" s="3">
        <v>74</v>
      </c>
      <c r="H45" s="3">
        <v>38</v>
      </c>
      <c r="I45" s="3">
        <v>74</v>
      </c>
      <c r="J45" s="3">
        <v>95.019999999999897</v>
      </c>
      <c r="K45" s="3">
        <v>98.084000000000003</v>
      </c>
      <c r="L45" s="3">
        <v>98.084000000000003</v>
      </c>
      <c r="M45" s="3">
        <v>98.084000000000003</v>
      </c>
      <c r="N45" s="3">
        <v>98.084000000000003</v>
      </c>
      <c r="O45" s="3">
        <v>98.084000000000003</v>
      </c>
      <c r="P45" s="3">
        <v>98.084000000000003</v>
      </c>
      <c r="Q45" s="3">
        <v>95.02</v>
      </c>
      <c r="R45" s="3">
        <v>98.084000000000003</v>
      </c>
      <c r="S45" s="3">
        <v>98.084000000000003</v>
      </c>
      <c r="T45" s="3">
        <v>80</v>
      </c>
      <c r="U45" s="3">
        <v>98.084000000000003</v>
      </c>
      <c r="V45" s="3">
        <v>95.02</v>
      </c>
      <c r="W45" s="3">
        <v>98.084000000000003</v>
      </c>
      <c r="X45" s="3">
        <v>98.084000000000003</v>
      </c>
      <c r="Y45" s="3">
        <v>98.084000000000003</v>
      </c>
      <c r="Z45" s="3">
        <v>74</v>
      </c>
      <c r="AA45" s="3">
        <v>98.084000000000003</v>
      </c>
      <c r="AB45" s="3">
        <v>98.084000000000003</v>
      </c>
      <c r="AC45" s="3">
        <v>109.350140350877</v>
      </c>
      <c r="AD45" s="3">
        <v>80</v>
      </c>
      <c r="AE45" s="3">
        <v>106.79814035087701</v>
      </c>
      <c r="AF45" s="3">
        <v>94.642456140350802</v>
      </c>
      <c r="AG45" s="3">
        <v>94.642456140350802</v>
      </c>
      <c r="AH45" s="3">
        <v>100.02435087719201</v>
      </c>
      <c r="AI45" s="3">
        <v>94.642456140350802</v>
      </c>
      <c r="AJ45" s="3">
        <v>92.921684210526294</v>
      </c>
      <c r="AK45" s="3">
        <v>94.642456140350802</v>
      </c>
      <c r="AL45" s="3">
        <v>94.642456140350802</v>
      </c>
      <c r="AM45" s="3">
        <v>94.642456140350802</v>
      </c>
      <c r="AN45" s="3">
        <v>96.363228069863297</v>
      </c>
      <c r="AO45" s="3">
        <v>98.084000000000003</v>
      </c>
      <c r="AP45" s="3">
        <v>98.084000000000003</v>
      </c>
      <c r="AQ45" s="3">
        <v>98.083999999999406</v>
      </c>
      <c r="AR45" s="3">
        <v>104.122596491213</v>
      </c>
      <c r="AS45" s="3">
        <v>98.084000000000003</v>
      </c>
      <c r="AT45" s="3">
        <v>98.084000000000003</v>
      </c>
      <c r="AU45" s="3">
        <v>104.122596491218</v>
      </c>
      <c r="AV45" s="3">
        <v>98.084000000000003</v>
      </c>
      <c r="AW45" s="3">
        <v>108.58414035087</v>
      </c>
      <c r="AX45" s="3">
        <v>98.084000000000003</v>
      </c>
      <c r="AY45" s="3">
        <v>103.908596491228</v>
      </c>
      <c r="AZ45" s="3">
        <v>108.584140350876</v>
      </c>
      <c r="BA45" s="3">
        <v>108.798140350868</v>
      </c>
      <c r="BB45" s="3">
        <v>98.084000000000003</v>
      </c>
      <c r="BC45" s="3">
        <v>98.084000000000003</v>
      </c>
      <c r="BD45" s="3">
        <v>98.084000000000003</v>
      </c>
      <c r="BE45" s="3">
        <v>98.084000000000003</v>
      </c>
      <c r="BF45" s="3">
        <v>98.084000000000003</v>
      </c>
      <c r="BG45" s="3">
        <v>98.084000000000003</v>
      </c>
      <c r="BH45" s="3">
        <v>108.798140350876</v>
      </c>
      <c r="BI45" s="3">
        <v>120</v>
      </c>
      <c r="BJ45" s="3">
        <v>120</v>
      </c>
      <c r="BK45" s="3">
        <v>120</v>
      </c>
      <c r="BL45" s="3">
        <v>120</v>
      </c>
      <c r="BM45" s="3">
        <v>120</v>
      </c>
      <c r="BN45" s="3">
        <v>98.084000000000003</v>
      </c>
    </row>
    <row r="46" spans="1:68" x14ac:dyDescent="0.3">
      <c r="A46" t="s">
        <v>1</v>
      </c>
      <c r="B46" s="3">
        <v>32.769017543859597</v>
      </c>
      <c r="C46" s="3">
        <v>0</v>
      </c>
      <c r="D46" s="3">
        <v>34.694666666666599</v>
      </c>
      <c r="E46" s="3">
        <v>34.4154385964912</v>
      </c>
      <c r="F46" s="3">
        <v>33.104912280701697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6</v>
      </c>
      <c r="X46" s="3">
        <v>7.7593684210526401</v>
      </c>
      <c r="Y46" s="3">
        <v>0</v>
      </c>
      <c r="Z46" s="3">
        <v>6</v>
      </c>
      <c r="AA46" s="3">
        <v>0</v>
      </c>
      <c r="AB46" s="3">
        <v>18.083999999993299</v>
      </c>
      <c r="AC46" s="3">
        <v>19.87</v>
      </c>
      <c r="AD46" s="3">
        <v>0</v>
      </c>
      <c r="AE46" s="3">
        <v>17.318000000000001</v>
      </c>
      <c r="AF46" s="3">
        <v>6</v>
      </c>
      <c r="AG46" s="3">
        <v>0</v>
      </c>
      <c r="AH46" s="3">
        <v>10.5442105263157</v>
      </c>
      <c r="AI46" s="3">
        <v>11.8371929824561</v>
      </c>
      <c r="AJ46" s="3">
        <v>3.6707368421052702</v>
      </c>
      <c r="AK46" s="3">
        <v>0</v>
      </c>
      <c r="AL46" s="3">
        <v>0</v>
      </c>
      <c r="AM46" s="3">
        <v>0</v>
      </c>
      <c r="AN46" s="3">
        <v>0</v>
      </c>
      <c r="AO46" s="3">
        <v>0</v>
      </c>
      <c r="AP46" s="3">
        <v>0</v>
      </c>
      <c r="AQ46" s="3">
        <v>0</v>
      </c>
      <c r="AR46" s="3">
        <v>24.083999999980801</v>
      </c>
      <c r="AS46" s="3">
        <v>0</v>
      </c>
      <c r="AT46" s="3">
        <v>6</v>
      </c>
      <c r="AU46" s="3">
        <v>18.083999999990301</v>
      </c>
      <c r="AV46" s="3">
        <v>0</v>
      </c>
      <c r="AW46" s="3">
        <v>19.103999999993601</v>
      </c>
      <c r="AX46" s="3">
        <v>0</v>
      </c>
      <c r="AY46" s="3">
        <v>17.87</v>
      </c>
      <c r="AZ46" s="3">
        <v>19.103999999999001</v>
      </c>
      <c r="BA46" s="3">
        <v>19.317999999990899</v>
      </c>
      <c r="BB46" s="3">
        <v>0</v>
      </c>
      <c r="BC46" s="3">
        <v>6</v>
      </c>
      <c r="BD46" s="3">
        <v>0</v>
      </c>
      <c r="BE46" s="3">
        <v>6</v>
      </c>
      <c r="BF46" s="3">
        <v>0</v>
      </c>
      <c r="BG46" s="3">
        <v>0</v>
      </c>
      <c r="BH46" s="3">
        <v>19.317999999999401</v>
      </c>
      <c r="BI46" s="3">
        <v>216.36322807017501</v>
      </c>
      <c r="BJ46" s="3">
        <v>98.084000000000003</v>
      </c>
      <c r="BK46" s="3">
        <v>0</v>
      </c>
      <c r="BL46" s="3">
        <v>216.36322807017501</v>
      </c>
      <c r="BM46" s="3">
        <v>98.084000000000003</v>
      </c>
      <c r="BN46" s="3">
        <v>0</v>
      </c>
    </row>
    <row r="47" spans="1:68" x14ac:dyDescent="0.3">
      <c r="A47" t="s">
        <v>75</v>
      </c>
      <c r="B47" s="3">
        <v>13.0106842105263</v>
      </c>
      <c r="C47" s="3">
        <v>19.725350877193002</v>
      </c>
      <c r="D47" s="3">
        <v>12.68270432582</v>
      </c>
      <c r="E47" s="3">
        <v>12.026631578947301</v>
      </c>
      <c r="F47" s="3">
        <v>12.721192982456101</v>
      </c>
      <c r="G47" s="3">
        <v>15.366</v>
      </c>
      <c r="H47" s="3">
        <v>22.4947894736842</v>
      </c>
      <c r="I47" s="3">
        <v>15.366</v>
      </c>
      <c r="J47" s="3">
        <v>18.084</v>
      </c>
      <c r="K47" s="3">
        <v>1.4210854715202001E-14</v>
      </c>
      <c r="L47" s="3">
        <v>1.4210854715202001E-14</v>
      </c>
      <c r="M47" s="3">
        <v>7.1054273576010003E-15</v>
      </c>
      <c r="N47" s="3">
        <v>7.1054273576010003E-15</v>
      </c>
      <c r="O47" s="3">
        <v>7.1054273576010003E-15</v>
      </c>
      <c r="P47" s="3">
        <v>7.1054273576010003E-15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7.1054273576010003E-15</v>
      </c>
      <c r="W47" s="3">
        <v>7.1054273576010003E-15</v>
      </c>
      <c r="X47" s="3">
        <v>7.1054273576010003E-15</v>
      </c>
      <c r="Y47" s="3">
        <v>7.1054273576010003E-15</v>
      </c>
      <c r="Z47" s="3">
        <v>98.084000000000003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  <c r="AL47" s="3">
        <v>0</v>
      </c>
      <c r="AM47" s="3">
        <v>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3">
        <v>0</v>
      </c>
      <c r="BM47" s="3">
        <v>0</v>
      </c>
      <c r="BN47" s="3">
        <v>0</v>
      </c>
    </row>
    <row r="48" spans="1:68" x14ac:dyDescent="0.3">
      <c r="A48" s="2" t="s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6" x14ac:dyDescent="0.3">
      <c r="A49" t="s">
        <v>0</v>
      </c>
      <c r="B49" s="10">
        <v>32.533356835617603</v>
      </c>
      <c r="C49" s="3">
        <v>34.577473684210503</v>
      </c>
      <c r="D49" s="3">
        <v>31.9702956741795</v>
      </c>
      <c r="E49" s="3">
        <v>38</v>
      </c>
      <c r="F49" s="3">
        <v>38</v>
      </c>
      <c r="G49" s="3">
        <v>30.0063157894736</v>
      </c>
      <c r="H49" s="3">
        <v>33.555754385964903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24.474877192972698</v>
      </c>
      <c r="R49" s="3">
        <v>0</v>
      </c>
      <c r="S49" s="3">
        <v>0</v>
      </c>
      <c r="T49" s="3">
        <v>42.482579824558499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6.0729649122806801</v>
      </c>
      <c r="AC49" s="3">
        <v>0</v>
      </c>
      <c r="AD49" s="3">
        <v>36.150209649115602</v>
      </c>
      <c r="AE49" s="3">
        <v>8.8093684210525893</v>
      </c>
      <c r="AF49" s="3">
        <v>0</v>
      </c>
      <c r="AG49" s="3">
        <v>0</v>
      </c>
      <c r="AH49" s="3">
        <v>0</v>
      </c>
      <c r="AI49" s="3">
        <v>5.7028070175438703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5.6894561403317097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120</v>
      </c>
      <c r="BJ49" s="3">
        <v>0</v>
      </c>
      <c r="BK49" s="3">
        <v>0</v>
      </c>
      <c r="BL49" s="3">
        <v>120</v>
      </c>
      <c r="BM49" s="3">
        <v>0</v>
      </c>
      <c r="BN49" s="3">
        <v>0</v>
      </c>
    </row>
    <row r="50" spans="1:66" x14ac:dyDescent="0.3">
      <c r="A50" t="s">
        <v>24</v>
      </c>
      <c r="B50" s="3">
        <v>95.02</v>
      </c>
      <c r="C50" s="3">
        <v>95.02</v>
      </c>
      <c r="D50" s="3">
        <v>95.02</v>
      </c>
      <c r="E50" s="3">
        <v>95.02</v>
      </c>
      <c r="F50" s="12">
        <v>95.02</v>
      </c>
      <c r="G50" s="3">
        <v>95.02</v>
      </c>
      <c r="H50" s="3">
        <v>95.02</v>
      </c>
      <c r="I50" s="3">
        <v>95.02</v>
      </c>
      <c r="J50" s="3">
        <v>95.02</v>
      </c>
      <c r="K50" s="3">
        <v>98.084000000000003</v>
      </c>
      <c r="L50" s="3">
        <v>98.084000000000003</v>
      </c>
      <c r="M50" s="3">
        <v>98.084000000000003</v>
      </c>
      <c r="N50" s="3">
        <v>98.084000000000003</v>
      </c>
      <c r="O50" s="3">
        <v>98.084000000000003</v>
      </c>
      <c r="P50" s="3">
        <v>98.084000000000003</v>
      </c>
      <c r="Q50" s="3">
        <v>98.084000000000003</v>
      </c>
      <c r="R50" s="3">
        <v>98.084000000000003</v>
      </c>
      <c r="S50" s="3">
        <v>98.084000000000003</v>
      </c>
      <c r="T50" s="3">
        <v>98.084000000000003</v>
      </c>
      <c r="U50" s="3">
        <v>98.084000000000003</v>
      </c>
      <c r="V50" s="3">
        <v>98.084000000000003</v>
      </c>
      <c r="W50" s="3">
        <v>98.084000000000003</v>
      </c>
      <c r="X50" s="3">
        <v>98.084000000000003</v>
      </c>
      <c r="Y50" s="3">
        <v>98.084000000000003</v>
      </c>
      <c r="Z50" s="3">
        <v>80.653000000000006</v>
      </c>
      <c r="AA50" s="3">
        <v>98.084000000000003</v>
      </c>
      <c r="AB50" s="3">
        <v>98.084000000000003</v>
      </c>
      <c r="AC50" s="3">
        <v>98.084000000000003</v>
      </c>
      <c r="AD50" s="3">
        <v>98.084000000000003</v>
      </c>
      <c r="AE50" s="3">
        <v>98.084000000000003</v>
      </c>
      <c r="AF50" s="3">
        <v>94.642456140350802</v>
      </c>
      <c r="AG50" s="3">
        <v>94.642456140350802</v>
      </c>
      <c r="AH50" s="3">
        <v>94.642456140350802</v>
      </c>
      <c r="AI50" s="3">
        <v>94.642456140350802</v>
      </c>
      <c r="AJ50" s="3">
        <v>92.921684210526294</v>
      </c>
      <c r="AK50" s="3">
        <v>94.642456140350802</v>
      </c>
      <c r="AL50" s="3">
        <v>94.642456140350802</v>
      </c>
      <c r="AM50" s="3">
        <v>94.642456140350802</v>
      </c>
      <c r="AN50" s="3">
        <v>96.363228070175396</v>
      </c>
      <c r="AO50" s="3">
        <v>98.084000000000003</v>
      </c>
      <c r="AP50" s="3">
        <v>98.084000000000003</v>
      </c>
      <c r="AQ50" s="3">
        <v>98.084000000000003</v>
      </c>
      <c r="AR50" s="3">
        <v>98.084000000000003</v>
      </c>
      <c r="AS50" s="3">
        <v>98.084000000000003</v>
      </c>
      <c r="AT50" s="3">
        <v>98.084000000000003</v>
      </c>
      <c r="AU50" s="3">
        <v>98.084000000000003</v>
      </c>
      <c r="AV50" s="3">
        <v>98.084000000000003</v>
      </c>
      <c r="AW50" s="3">
        <v>98.084000000000003</v>
      </c>
      <c r="AX50" s="3">
        <v>98.084000000000003</v>
      </c>
      <c r="AY50" s="3">
        <v>98.084000000000003</v>
      </c>
      <c r="AZ50" s="3">
        <v>98.084000000000003</v>
      </c>
      <c r="BA50" s="3">
        <v>98.084000000000003</v>
      </c>
      <c r="BB50" s="3">
        <v>98.084000000000003</v>
      </c>
      <c r="BC50" s="3">
        <v>98.084000000000003</v>
      </c>
      <c r="BD50" s="3">
        <v>98.084000000000003</v>
      </c>
      <c r="BE50" s="3">
        <v>98.084000000000003</v>
      </c>
      <c r="BF50" s="3">
        <v>98.084000000000003</v>
      </c>
      <c r="BG50" s="3">
        <v>98.084000000000003</v>
      </c>
      <c r="BH50" s="3">
        <v>98.084000000000003</v>
      </c>
      <c r="BI50" s="3">
        <v>98.084000000000003</v>
      </c>
      <c r="BJ50" s="3">
        <v>98.084000000000003</v>
      </c>
      <c r="BK50" s="3">
        <v>98.084000000000003</v>
      </c>
      <c r="BL50" s="3">
        <v>98.084000000000003</v>
      </c>
      <c r="BM50" s="3">
        <v>98.084000000000003</v>
      </c>
      <c r="BN50" s="3">
        <v>98.084000000000003</v>
      </c>
    </row>
    <row r="51" spans="1:66" x14ac:dyDescent="0.3">
      <c r="A51" t="s">
        <v>1</v>
      </c>
      <c r="B51" s="3">
        <v>32.694666666666599</v>
      </c>
      <c r="C51" s="3">
        <v>0</v>
      </c>
      <c r="D51" s="3">
        <v>32.694666666666599</v>
      </c>
      <c r="E51" s="3">
        <v>34.4154385964912</v>
      </c>
      <c r="F51" s="3">
        <v>33.104912280701697</v>
      </c>
      <c r="G51" s="3">
        <v>6</v>
      </c>
      <c r="H51" s="3">
        <v>0</v>
      </c>
      <c r="I51" s="3">
        <v>6</v>
      </c>
      <c r="J51" s="3">
        <v>6</v>
      </c>
      <c r="K51" s="3">
        <v>6</v>
      </c>
      <c r="L51" s="3">
        <v>6</v>
      </c>
      <c r="M51" s="3">
        <v>6</v>
      </c>
      <c r="N51" s="3">
        <v>6</v>
      </c>
      <c r="O51" s="3">
        <v>6</v>
      </c>
      <c r="P51" s="3">
        <v>6</v>
      </c>
      <c r="Q51" s="3">
        <v>6</v>
      </c>
      <c r="R51" s="3">
        <v>6</v>
      </c>
      <c r="S51" s="3">
        <v>6</v>
      </c>
      <c r="T51" s="3">
        <v>6</v>
      </c>
      <c r="U51" s="3">
        <v>6</v>
      </c>
      <c r="V51" s="3">
        <v>6</v>
      </c>
      <c r="W51" s="3">
        <v>6</v>
      </c>
      <c r="X51" s="3">
        <v>7.7593684210526401</v>
      </c>
      <c r="Y51" s="3">
        <v>6</v>
      </c>
      <c r="Z51" s="3">
        <v>6</v>
      </c>
      <c r="AA51" s="3">
        <v>6</v>
      </c>
      <c r="AB51" s="3">
        <v>18.083999999993299</v>
      </c>
      <c r="AC51" s="3">
        <v>19.87</v>
      </c>
      <c r="AD51" s="3">
        <v>0</v>
      </c>
      <c r="AE51" s="3">
        <v>17.318000000000001</v>
      </c>
      <c r="AF51" s="3">
        <v>6</v>
      </c>
      <c r="AG51" s="3">
        <v>0</v>
      </c>
      <c r="AH51" s="3">
        <v>10.544210526316</v>
      </c>
      <c r="AI51" s="3">
        <v>11.8371929824561</v>
      </c>
      <c r="AJ51" s="3">
        <v>6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  <c r="AQ51" s="3">
        <v>0</v>
      </c>
      <c r="AR51" s="3">
        <v>24.083999999980801</v>
      </c>
      <c r="AS51" s="3">
        <v>0</v>
      </c>
      <c r="AT51" s="3">
        <v>6</v>
      </c>
      <c r="AU51" s="3">
        <v>18.083999999990301</v>
      </c>
      <c r="AV51" s="3">
        <v>0</v>
      </c>
      <c r="AW51" s="3">
        <v>19.103999999993601</v>
      </c>
      <c r="AX51" s="3">
        <v>0</v>
      </c>
      <c r="AY51" s="3">
        <v>17.87</v>
      </c>
      <c r="AZ51" s="3">
        <v>19.1039999999991</v>
      </c>
      <c r="BA51" s="3">
        <v>19.317999999990899</v>
      </c>
      <c r="BB51" s="3">
        <v>0</v>
      </c>
      <c r="BC51" s="3">
        <v>6</v>
      </c>
      <c r="BD51" s="3">
        <v>0</v>
      </c>
      <c r="BE51" s="3">
        <v>6</v>
      </c>
      <c r="BF51" s="3">
        <v>0</v>
      </c>
      <c r="BG51" s="3">
        <v>0</v>
      </c>
      <c r="BH51" s="3">
        <v>19.317999999999401</v>
      </c>
      <c r="BI51" s="3">
        <v>103.547894736842</v>
      </c>
      <c r="BJ51" s="3">
        <v>102.10268421052599</v>
      </c>
      <c r="BK51" s="3">
        <v>99.212263157894796</v>
      </c>
      <c r="BL51" s="3">
        <v>102.10268421052599</v>
      </c>
      <c r="BM51" s="3">
        <v>102.10268421052599</v>
      </c>
      <c r="BN51" s="3">
        <v>0</v>
      </c>
    </row>
    <row r="52" spans="1:66" x14ac:dyDescent="0.3">
      <c r="A52" s="2" t="s">
        <v>23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6" x14ac:dyDescent="0.3">
      <c r="A53" t="s">
        <v>2</v>
      </c>
      <c r="B53" s="3">
        <v>7403403.0786220701</v>
      </c>
      <c r="C53" s="3">
        <v>7335264.4874104904</v>
      </c>
      <c r="D53" s="3">
        <v>7404304.3690989399</v>
      </c>
      <c r="E53" s="3">
        <v>1509732.8352443599</v>
      </c>
      <c r="F53" s="3">
        <v>1510482.5054732601</v>
      </c>
      <c r="G53" s="3">
        <v>1741284.06034232</v>
      </c>
      <c r="H53" s="3">
        <v>7330402.46816481</v>
      </c>
      <c r="I53" s="3">
        <v>1736743.8276142499</v>
      </c>
      <c r="J53" s="3">
        <v>2095.8063421052598</v>
      </c>
      <c r="K53" s="3">
        <v>1993.33316666666</v>
      </c>
      <c r="L53" s="3">
        <v>1938.2025000000001</v>
      </c>
      <c r="M53" s="3">
        <v>1938.2025000000001</v>
      </c>
      <c r="N53" s="3">
        <v>1938.2025000000001</v>
      </c>
      <c r="O53" s="3">
        <v>1938.2025000000001</v>
      </c>
      <c r="P53" s="3">
        <v>1938.2025000000001</v>
      </c>
      <c r="Q53" s="3">
        <v>9299.9844999957495</v>
      </c>
      <c r="R53" s="3">
        <v>4511.9024999999901</v>
      </c>
      <c r="S53" s="3">
        <v>4511.9024999999901</v>
      </c>
      <c r="T53" s="3">
        <v>20203.975131574</v>
      </c>
      <c r="U53" s="3">
        <v>4910.0439999999999</v>
      </c>
      <c r="V53" s="3">
        <v>7836.3034122801901</v>
      </c>
      <c r="W53" s="3">
        <v>1938.2025000000001</v>
      </c>
      <c r="X53" s="3">
        <v>1938.2025000000001</v>
      </c>
      <c r="Y53" s="3">
        <v>0</v>
      </c>
      <c r="Z53" s="3">
        <v>26412.406416667302</v>
      </c>
      <c r="AA53" s="3">
        <v>4910.0439999999999</v>
      </c>
      <c r="AB53" s="3">
        <v>3751.33249999996</v>
      </c>
      <c r="AC53" s="3">
        <v>1938.2025000000001</v>
      </c>
      <c r="AD53" s="3">
        <v>19142.874631574101</v>
      </c>
      <c r="AE53" s="3">
        <v>4594.3324999999804</v>
      </c>
      <c r="AF53" s="3">
        <v>0</v>
      </c>
      <c r="AG53" s="3">
        <v>0</v>
      </c>
      <c r="AH53" s="3">
        <v>0</v>
      </c>
      <c r="AI53" s="3">
        <v>17932.478041171398</v>
      </c>
      <c r="AJ53" s="3">
        <v>0</v>
      </c>
      <c r="AK53" s="3">
        <v>0</v>
      </c>
      <c r="AL53" s="3">
        <v>0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5">
        <v>3479.2323565573802</v>
      </c>
      <c r="AZ53" s="5">
        <v>1938.2025000000001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0</v>
      </c>
      <c r="BK53" s="3">
        <v>0</v>
      </c>
      <c r="BL53" s="3">
        <v>0</v>
      </c>
      <c r="BM53" s="3">
        <v>0</v>
      </c>
      <c r="BN53" s="3">
        <v>0</v>
      </c>
    </row>
    <row r="54" spans="1:66" x14ac:dyDescent="0.3">
      <c r="A54" t="s">
        <v>0</v>
      </c>
      <c r="B54" s="3">
        <v>337164.63573730801</v>
      </c>
      <c r="C54" s="3">
        <v>336761.958438578</v>
      </c>
      <c r="D54" s="3">
        <v>336872.86486429803</v>
      </c>
      <c r="E54" s="3">
        <v>6278182.9098127401</v>
      </c>
      <c r="F54" s="12">
        <v>6336354.5687585501</v>
      </c>
      <c r="G54" s="3">
        <v>5943980.3882502103</v>
      </c>
      <c r="H54" s="3">
        <v>335961.87677191099</v>
      </c>
      <c r="I54" s="3">
        <v>5947935.8225923199</v>
      </c>
      <c r="J54" s="3">
        <v>7681325.4571270896</v>
      </c>
      <c r="K54" s="3">
        <v>7684650.6901621604</v>
      </c>
      <c r="L54" s="3">
        <v>7684705.8208288299</v>
      </c>
      <c r="M54" s="3">
        <v>7684705.8208288299</v>
      </c>
      <c r="N54" s="3">
        <v>7684705.8208288299</v>
      </c>
      <c r="O54" s="3">
        <v>7684705.8208288299</v>
      </c>
      <c r="P54" s="3">
        <v>7684705.8208288299</v>
      </c>
      <c r="Q54" s="3">
        <v>7677538.35377621</v>
      </c>
      <c r="R54" s="3">
        <v>7682132.1208288204</v>
      </c>
      <c r="S54" s="3">
        <v>7682132.1208288204</v>
      </c>
      <c r="T54" s="3">
        <v>7667881.3627358396</v>
      </c>
      <c r="U54" s="3">
        <v>7681733.9793288196</v>
      </c>
      <c r="V54" s="3">
        <v>7678807.7199165598</v>
      </c>
      <c r="W54" s="3">
        <v>7701954.5164809404</v>
      </c>
      <c r="X54" s="3">
        <v>7742856.9584058197</v>
      </c>
      <c r="Y54" s="3">
        <v>7686644.0233288202</v>
      </c>
      <c r="Z54" s="3">
        <v>5964037.8031871403</v>
      </c>
      <c r="AA54" s="3">
        <v>7681733.9793288196</v>
      </c>
      <c r="AB54" s="3">
        <v>7723147.0301441904</v>
      </c>
      <c r="AC54" s="3">
        <v>7834183.0799589399</v>
      </c>
      <c r="AD54" s="3">
        <v>7651860.8748363797</v>
      </c>
      <c r="AE54" s="3">
        <v>7696561.1029538801</v>
      </c>
      <c r="AF54" s="3">
        <v>7756474.2545233704</v>
      </c>
      <c r="AG54" s="3">
        <v>7738442.9501755601</v>
      </c>
      <c r="AH54" s="3">
        <v>7801298.3489856403</v>
      </c>
      <c r="AI54" s="3">
        <v>7623012.1342303902</v>
      </c>
      <c r="AJ54" s="3">
        <v>8112012.18704974</v>
      </c>
      <c r="AK54" s="3">
        <v>7857985.8344626203</v>
      </c>
      <c r="AL54" s="3">
        <v>7615479.0713864798</v>
      </c>
      <c r="AM54" s="3">
        <v>7657349.3115268704</v>
      </c>
      <c r="AN54" s="3">
        <v>7685171.3318801597</v>
      </c>
      <c r="AO54" s="3">
        <v>7682129.2886530804</v>
      </c>
      <c r="AP54" s="3">
        <v>7645987.1500695003</v>
      </c>
      <c r="AQ54" s="3">
        <v>7670008.2503163796</v>
      </c>
      <c r="AR54" s="3">
        <v>7718560.1127042398</v>
      </c>
      <c r="AS54" s="3">
        <v>7645987.1500695003</v>
      </c>
      <c r="AT54" s="3">
        <v>7688039.5546650495</v>
      </c>
      <c r="AU54" s="3">
        <v>7701385.7281562602</v>
      </c>
      <c r="AV54" s="3">
        <v>7645987.1500695003</v>
      </c>
      <c r="AW54" s="3">
        <v>7725720.7734476104</v>
      </c>
      <c r="AX54" s="3">
        <v>7670008.2503171796</v>
      </c>
      <c r="AY54" s="3">
        <v>7695137.8891912401</v>
      </c>
      <c r="AZ54" s="3">
        <v>7720674.3747738795</v>
      </c>
      <c r="BA54" s="3">
        <v>7724323.5477085998</v>
      </c>
      <c r="BB54" s="3">
        <v>7670008.2503171796</v>
      </c>
      <c r="BC54" s="3">
        <v>7688039.5546650495</v>
      </c>
      <c r="BD54" s="3">
        <v>7670008.2503171796</v>
      </c>
      <c r="BE54" s="3">
        <v>7688039.5546650495</v>
      </c>
      <c r="BF54" s="3">
        <v>7670008.2503171796</v>
      </c>
      <c r="BG54" s="3">
        <v>7670008.2503171796</v>
      </c>
      <c r="BH54" s="3">
        <v>7724238.60023019</v>
      </c>
      <c r="BI54" s="3">
        <v>14242404.9120172</v>
      </c>
      <c r="BJ54" s="3">
        <v>8348098.97574641</v>
      </c>
      <c r="BK54" s="3">
        <v>7737357.5964027597</v>
      </c>
      <c r="BL54" s="3">
        <v>14018677.077594901</v>
      </c>
      <c r="BM54" s="3">
        <v>8303305.3775849203</v>
      </c>
      <c r="BN54" s="3">
        <v>7670008.2503171796</v>
      </c>
    </row>
    <row r="55" spans="1:66" x14ac:dyDescent="0.3">
      <c r="A55" t="s">
        <v>1</v>
      </c>
      <c r="B55" s="11">
        <v>324696.16976015997</v>
      </c>
      <c r="C55" s="3">
        <v>0</v>
      </c>
      <c r="D55" s="3">
        <v>327715.63633730198</v>
      </c>
      <c r="E55" s="3">
        <v>559330.96795197902</v>
      </c>
      <c r="F55" s="3">
        <v>881256.44645368401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99359.999999997905</v>
      </c>
      <c r="X55" s="3">
        <v>324749.497688164</v>
      </c>
      <c r="Y55" s="3">
        <v>0</v>
      </c>
      <c r="Z55" s="3">
        <v>13771.3531754377</v>
      </c>
      <c r="AA55" s="3">
        <v>0</v>
      </c>
      <c r="AB55" s="3">
        <v>225883.31279995001</v>
      </c>
      <c r="AC55" s="3">
        <v>827994.48000002</v>
      </c>
      <c r="AD55" s="3">
        <v>0</v>
      </c>
      <c r="AE55" s="3">
        <v>170972.06399999399</v>
      </c>
      <c r="AF55" s="3">
        <v>99359.999999999898</v>
      </c>
      <c r="AG55" s="3">
        <v>0</v>
      </c>
      <c r="AH55" s="3">
        <v>346359.43719299103</v>
      </c>
      <c r="AI55" s="3">
        <v>137867.519999999</v>
      </c>
      <c r="AJ55" s="3">
        <v>560.22297149122903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398831.03999970399</v>
      </c>
      <c r="AS55" s="3">
        <v>0</v>
      </c>
      <c r="AT55" s="3">
        <v>99359.999999997701</v>
      </c>
      <c r="AU55" s="3">
        <v>305269.24799992499</v>
      </c>
      <c r="AV55" s="3">
        <v>0</v>
      </c>
      <c r="AW55" s="3">
        <v>306999.21599986602</v>
      </c>
      <c r="AX55" s="3">
        <v>0</v>
      </c>
      <c r="AY55" s="3">
        <v>290013.07200001698</v>
      </c>
      <c r="AZ55" s="3">
        <v>289871.75999992999</v>
      </c>
      <c r="BA55" s="5">
        <v>299299.91999988299</v>
      </c>
      <c r="BB55" s="5">
        <v>0</v>
      </c>
      <c r="BC55" s="3">
        <v>99359.999999997701</v>
      </c>
      <c r="BD55" s="3">
        <v>0</v>
      </c>
      <c r="BE55" s="3">
        <v>99359.999999997701</v>
      </c>
      <c r="BF55" s="3">
        <v>0</v>
      </c>
      <c r="BG55" s="3">
        <v>0</v>
      </c>
      <c r="BH55" s="3">
        <v>298831.823999941</v>
      </c>
      <c r="BI55" s="3">
        <v>7109528.0036944197</v>
      </c>
      <c r="BJ55" s="3">
        <v>3649204.89405635</v>
      </c>
      <c r="BK55" s="3">
        <v>0</v>
      </c>
      <c r="BL55" s="3">
        <v>6912967.7710731504</v>
      </c>
      <c r="BM55" s="3">
        <v>3489731.0450522099</v>
      </c>
      <c r="BN55" s="3">
        <v>0</v>
      </c>
    </row>
    <row r="56" spans="1:66" x14ac:dyDescent="0.3">
      <c r="A56" t="s">
        <v>35</v>
      </c>
      <c r="B56" s="3">
        <v>6752.93801754385</v>
      </c>
      <c r="C56" s="3">
        <v>16424.331885964901</v>
      </c>
      <c r="D56" s="3">
        <v>6349.7904769507604</v>
      </c>
      <c r="E56" s="3">
        <v>937.66856140350899</v>
      </c>
      <c r="F56" s="3">
        <v>1008.08645614035</v>
      </c>
      <c r="G56" s="3">
        <v>1964.3731228069501</v>
      </c>
      <c r="H56" s="3">
        <v>21154.036342104999</v>
      </c>
      <c r="I56" s="3">
        <v>1964.37312280688</v>
      </c>
      <c r="J56" s="3">
        <v>3222.7598596491198</v>
      </c>
      <c r="K56" s="3">
        <v>4.1389114358025804E-12</v>
      </c>
      <c r="L56" s="3">
        <v>3.7125857943465202E-12</v>
      </c>
      <c r="M56" s="3">
        <v>3.1441516057384401E-12</v>
      </c>
      <c r="N56" s="3">
        <v>3.1441516057384401E-12</v>
      </c>
      <c r="O56" s="3">
        <v>3.1441516057384401E-12</v>
      </c>
      <c r="P56" s="3">
        <v>3.1441516057384401E-12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3.1441516057384401E-12</v>
      </c>
      <c r="W56" s="3">
        <v>3.1441516057384401E-12</v>
      </c>
      <c r="X56" s="3">
        <v>3.11572989630803E-12</v>
      </c>
      <c r="Y56" s="3">
        <v>1.95754523701907E-12</v>
      </c>
      <c r="Z56" s="3">
        <v>1698524.44114494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0</v>
      </c>
      <c r="BK56" s="3">
        <v>0</v>
      </c>
      <c r="BL56" s="3">
        <v>0</v>
      </c>
      <c r="BM56" s="3">
        <v>0</v>
      </c>
      <c r="BN56" s="3">
        <v>0</v>
      </c>
    </row>
    <row r="57" spans="1:66" x14ac:dyDescent="0.3">
      <c r="A57" s="2" t="s">
        <v>22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</row>
    <row r="58" spans="1:66" x14ac:dyDescent="0.3">
      <c r="A58" t="s">
        <v>0</v>
      </c>
      <c r="B58" s="3">
        <v>2535.1691318804301</v>
      </c>
      <c r="C58" s="3">
        <v>2589.3631017543798</v>
      </c>
      <c r="D58" s="3">
        <v>2193.5850658356599</v>
      </c>
      <c r="E58" s="3">
        <v>1487.7023433096799</v>
      </c>
      <c r="F58" s="3">
        <v>2058.1905548631398</v>
      </c>
      <c r="G58" s="3">
        <v>584.79838596491197</v>
      </c>
      <c r="H58" s="3">
        <v>1656.9666456140301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194.31494736827901</v>
      </c>
      <c r="R58" s="3">
        <v>0</v>
      </c>
      <c r="S58" s="3">
        <v>0</v>
      </c>
      <c r="T58" s="3">
        <v>1441.3145385963601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44.891245614034702</v>
      </c>
      <c r="AC58" s="3">
        <v>0</v>
      </c>
      <c r="AD58" s="3">
        <v>995.49915087643501</v>
      </c>
      <c r="AE58" s="3">
        <v>120.118701754385</v>
      </c>
      <c r="AF58" s="3">
        <v>0</v>
      </c>
      <c r="AG58" s="3">
        <v>0</v>
      </c>
      <c r="AH58" s="3">
        <v>0</v>
      </c>
      <c r="AI58" s="3">
        <v>446.10436332767398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195.30698254971401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5266345.5987945404</v>
      </c>
      <c r="BJ58" s="3">
        <v>0</v>
      </c>
      <c r="BK58" s="3">
        <v>0</v>
      </c>
      <c r="BL58" s="3">
        <v>5094141.5947218696</v>
      </c>
      <c r="BM58" s="3">
        <v>0</v>
      </c>
      <c r="BN58" s="3">
        <v>0</v>
      </c>
    </row>
    <row r="59" spans="1:66" x14ac:dyDescent="0.3">
      <c r="A59" t="s">
        <v>24</v>
      </c>
      <c r="B59" s="3">
        <v>7679108.4766157903</v>
      </c>
      <c r="C59" s="3">
        <v>7669437.0827471996</v>
      </c>
      <c r="D59" s="3">
        <v>7679511.6241560802</v>
      </c>
      <c r="E59" s="3">
        <v>7684923.7460718304</v>
      </c>
      <c r="F59" s="3">
        <v>7684853.3281770796</v>
      </c>
      <c r="G59" s="3">
        <v>7683897.04151031</v>
      </c>
      <c r="H59" s="3">
        <v>7664707.3782909596</v>
      </c>
      <c r="I59" s="3">
        <v>7683897.04151031</v>
      </c>
      <c r="J59" s="3">
        <v>7682638.6547735296</v>
      </c>
      <c r="K59" s="3">
        <v>7685861.4146331698</v>
      </c>
      <c r="L59" s="3">
        <v>7685861.4146331698</v>
      </c>
      <c r="M59" s="3">
        <v>7685861.4146331698</v>
      </c>
      <c r="N59" s="3">
        <v>7685861.4146331698</v>
      </c>
      <c r="O59" s="3">
        <v>7685861.4146331698</v>
      </c>
      <c r="P59" s="3">
        <v>7685861.4146331698</v>
      </c>
      <c r="Q59" s="3">
        <v>7685861.4146331698</v>
      </c>
      <c r="R59" s="3">
        <v>7685861.4146331698</v>
      </c>
      <c r="S59" s="3">
        <v>7685861.4146331698</v>
      </c>
      <c r="T59" s="3">
        <v>7685861.4146331698</v>
      </c>
      <c r="U59" s="3">
        <v>7685861.4146331698</v>
      </c>
      <c r="V59" s="3">
        <v>7685861.4146331698</v>
      </c>
      <c r="W59" s="3">
        <v>7685861.4146331698</v>
      </c>
      <c r="X59" s="3">
        <v>7685861.4146331698</v>
      </c>
      <c r="Y59" s="3">
        <v>7685861.4146331698</v>
      </c>
      <c r="Z59" s="3">
        <v>5987336.9734887797</v>
      </c>
      <c r="AA59" s="3">
        <v>7685861.4146331698</v>
      </c>
      <c r="AB59" s="3">
        <v>7685861.4146331698</v>
      </c>
      <c r="AC59" s="3">
        <v>7685861.4146331698</v>
      </c>
      <c r="AD59" s="3">
        <v>7670008.2503171796</v>
      </c>
      <c r="AE59" s="3">
        <v>7670008.2503171796</v>
      </c>
      <c r="AF59" s="3">
        <v>7738442.9501755601</v>
      </c>
      <c r="AG59" s="3">
        <v>7738442.9501755601</v>
      </c>
      <c r="AH59" s="3">
        <v>7738442.9501755601</v>
      </c>
      <c r="AI59" s="3">
        <v>7615479.0713864798</v>
      </c>
      <c r="AJ59" s="3">
        <v>8111910.5208772197</v>
      </c>
      <c r="AK59" s="3">
        <v>7857985.8344626203</v>
      </c>
      <c r="AL59" s="3">
        <v>7615479.0713864798</v>
      </c>
      <c r="AM59" s="3">
        <v>7657349.3115268704</v>
      </c>
      <c r="AN59" s="3">
        <v>7685171.3318804</v>
      </c>
      <c r="AO59" s="3">
        <v>7682129.2886527795</v>
      </c>
      <c r="AP59" s="3">
        <v>7645987.1500695003</v>
      </c>
      <c r="AQ59" s="3">
        <v>7670008.2503171796</v>
      </c>
      <c r="AR59" s="3">
        <v>7645987.1500695003</v>
      </c>
      <c r="AS59" s="3">
        <v>7645987.1500695003</v>
      </c>
      <c r="AT59" s="3">
        <v>7670008.2503171796</v>
      </c>
      <c r="AU59" s="3">
        <v>7645987.1500695003</v>
      </c>
      <c r="AV59" s="3">
        <v>7645987.1500695003</v>
      </c>
      <c r="AW59" s="3">
        <v>7670008.2503171796</v>
      </c>
      <c r="AX59" s="3">
        <v>7670008.2503171796</v>
      </c>
      <c r="AY59" s="3">
        <v>7645987.1500695003</v>
      </c>
      <c r="AZ59" s="3">
        <v>7670008.2503171796</v>
      </c>
      <c r="BA59" s="3">
        <v>7670008.2503171796</v>
      </c>
      <c r="BB59" s="3">
        <v>7670008.2503171796</v>
      </c>
      <c r="BC59" s="3">
        <v>7670008.2503171796</v>
      </c>
      <c r="BD59" s="3">
        <v>7670008.2503171796</v>
      </c>
      <c r="BE59" s="3">
        <v>7670008.2503171796</v>
      </c>
      <c r="BF59" s="3">
        <v>7670008.2503171796</v>
      </c>
      <c r="BG59" s="3">
        <v>7670008.2503171796</v>
      </c>
      <c r="BH59" s="3">
        <v>7670008.2503171796</v>
      </c>
      <c r="BI59" s="3">
        <v>7685861.4146331698</v>
      </c>
      <c r="BJ59" s="3">
        <v>7685861.4146331698</v>
      </c>
      <c r="BK59" s="3">
        <v>7685861.4146331698</v>
      </c>
      <c r="BL59" s="3">
        <v>7670008.2503171796</v>
      </c>
      <c r="BM59" s="3">
        <v>7670008.2503171796</v>
      </c>
      <c r="BN59" s="3">
        <v>7670008.2503171796</v>
      </c>
    </row>
    <row r="60" spans="1:66" x14ac:dyDescent="0.3">
      <c r="A60" t="s">
        <v>1</v>
      </c>
      <c r="B60" s="11">
        <v>383620.23837449402</v>
      </c>
      <c r="C60" s="3">
        <v>0</v>
      </c>
      <c r="D60" s="3">
        <v>387187.66107901599</v>
      </c>
      <c r="E60" s="3">
        <v>660835.264593623</v>
      </c>
      <c r="F60" s="3">
        <v>1041182.00195373</v>
      </c>
      <c r="G60" s="3">
        <v>782.60869565217297</v>
      </c>
      <c r="H60" s="3">
        <v>0</v>
      </c>
      <c r="I60" s="3">
        <v>782.60869565217297</v>
      </c>
      <c r="J60" s="3">
        <v>782.60869565217297</v>
      </c>
      <c r="K60" s="3">
        <v>782.60869565217297</v>
      </c>
      <c r="L60" s="3">
        <v>782.60869565217297</v>
      </c>
      <c r="M60" s="3">
        <v>782.60869565217297</v>
      </c>
      <c r="N60" s="3">
        <v>782.60869565217297</v>
      </c>
      <c r="O60" s="3">
        <v>782.60869565217297</v>
      </c>
      <c r="P60" s="3">
        <v>782.60869565217297</v>
      </c>
      <c r="Q60" s="3">
        <v>782.60869565217297</v>
      </c>
      <c r="R60" s="3">
        <v>782.60869565217297</v>
      </c>
      <c r="S60" s="3">
        <v>782.60869565217297</v>
      </c>
      <c r="T60" s="3">
        <v>782.60869565217297</v>
      </c>
      <c r="U60" s="3">
        <v>782.60869565217297</v>
      </c>
      <c r="V60" s="3">
        <v>782.60869565217297</v>
      </c>
      <c r="W60" s="3">
        <v>117391.304347823</v>
      </c>
      <c r="X60" s="3">
        <v>383683.243960477</v>
      </c>
      <c r="Y60" s="3">
        <v>782.60869565217297</v>
      </c>
      <c r="Z60" s="3">
        <v>16884.589290453299</v>
      </c>
      <c r="AA60" s="3">
        <v>782.60869565217297</v>
      </c>
      <c r="AB60" s="3">
        <v>266875.36956515198</v>
      </c>
      <c r="AC60" s="3">
        <v>978254.34782616596</v>
      </c>
      <c r="AD60" s="3">
        <v>0</v>
      </c>
      <c r="AE60" s="3">
        <v>201999.13043478501</v>
      </c>
      <c r="AF60" s="3">
        <v>117391.30434782599</v>
      </c>
      <c r="AG60" s="3">
        <v>0</v>
      </c>
      <c r="AH60" s="3">
        <v>409214.83600306098</v>
      </c>
      <c r="AI60" s="3">
        <v>162886.956521741</v>
      </c>
      <c r="AJ60" s="3">
        <v>661.88914401137595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471208.69565183698</v>
      </c>
      <c r="AS60" s="3">
        <v>0</v>
      </c>
      <c r="AT60" s="3">
        <v>117391.304347824</v>
      </c>
      <c r="AU60" s="3">
        <v>360667.82608691702</v>
      </c>
      <c r="AV60" s="3">
        <v>0</v>
      </c>
      <c r="AW60" s="3">
        <v>362711.73913027602</v>
      </c>
      <c r="AX60" s="3">
        <v>0</v>
      </c>
      <c r="AY60" s="3">
        <v>342643.04347831698</v>
      </c>
      <c r="AZ60" s="3">
        <v>342476.08695644501</v>
      </c>
      <c r="BA60" s="3">
        <v>353615.21739113302</v>
      </c>
      <c r="BB60" s="3">
        <v>0</v>
      </c>
      <c r="BC60" s="3">
        <v>117391.304347824</v>
      </c>
      <c r="BD60" s="3">
        <v>0</v>
      </c>
      <c r="BE60" s="3">
        <v>117391.304347824</v>
      </c>
      <c r="BF60" s="3">
        <v>0</v>
      </c>
      <c r="BG60" s="3">
        <v>0</v>
      </c>
      <c r="BH60" s="3">
        <v>353062.173912998</v>
      </c>
      <c r="BI60" s="3">
        <v>8399725.9022852294</v>
      </c>
      <c r="BJ60" s="3">
        <v>4311442.4551709602</v>
      </c>
      <c r="BK60" s="3">
        <v>51496.181769622497</v>
      </c>
      <c r="BL60" s="3">
        <v>8167495.0036304398</v>
      </c>
      <c r="BM60" s="3">
        <v>4123028.1723211999</v>
      </c>
      <c r="BN60" s="3">
        <v>0</v>
      </c>
    </row>
    <row r="61" spans="1:66" x14ac:dyDescent="0.3">
      <c r="A61" s="2" t="s">
        <v>27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</row>
    <row r="62" spans="1:66" x14ac:dyDescent="0.3">
      <c r="A62" t="s">
        <v>2</v>
      </c>
      <c r="B62" s="3">
        <v>2260249288.6444201</v>
      </c>
      <c r="C62" s="3">
        <v>2239446665.75877</v>
      </c>
      <c r="D62" s="3">
        <v>2260524451.4497299</v>
      </c>
      <c r="E62" s="3">
        <v>460919462.39662403</v>
      </c>
      <c r="F62" s="3">
        <v>461148335.73813999</v>
      </c>
      <c r="G62" s="3">
        <v>531611748.93757701</v>
      </c>
      <c r="H62" s="3">
        <v>2237962297.6343999</v>
      </c>
      <c r="I62" s="3">
        <v>530225621.81672299</v>
      </c>
      <c r="J62" s="3">
        <v>639846.93843812495</v>
      </c>
      <c r="K62" s="3">
        <v>608562.01184010797</v>
      </c>
      <c r="L62" s="3">
        <v>591730.69132540701</v>
      </c>
      <c r="M62" s="3">
        <v>591730.69132540701</v>
      </c>
      <c r="N62" s="3">
        <v>591730.69132540701</v>
      </c>
      <c r="O62" s="3">
        <v>591730.69132540701</v>
      </c>
      <c r="P62" s="3">
        <v>591730.69132540701</v>
      </c>
      <c r="Q62" s="3">
        <v>2839273.1190358298</v>
      </c>
      <c r="R62" s="3">
        <v>1377477.9392338099</v>
      </c>
      <c r="S62" s="3">
        <v>1377477.9392338099</v>
      </c>
      <c r="T62" s="3">
        <v>6168247.2146886503</v>
      </c>
      <c r="U62" s="3">
        <v>1499030.01908116</v>
      </c>
      <c r="V62" s="3">
        <v>2392413.1950011398</v>
      </c>
      <c r="W62" s="3">
        <v>591730.69132540701</v>
      </c>
      <c r="X62" s="3">
        <v>591730.69132540701</v>
      </c>
      <c r="Y62" s="3">
        <v>0</v>
      </c>
      <c r="Z62" s="3">
        <v>8063673.1757917404</v>
      </c>
      <c r="AA62" s="3">
        <v>1499030.01908116</v>
      </c>
      <c r="AB62" s="3">
        <v>1145276.9117862701</v>
      </c>
      <c r="AC62" s="3">
        <v>591730.69132540701</v>
      </c>
      <c r="AD62" s="3">
        <v>5844294.6181820296</v>
      </c>
      <c r="AE62" s="3">
        <v>1402643.7105533399</v>
      </c>
      <c r="AF62" s="3">
        <v>0</v>
      </c>
      <c r="AG62" s="3">
        <v>0</v>
      </c>
      <c r="AH62" s="3">
        <v>0</v>
      </c>
      <c r="AI62" s="3">
        <v>5474762.1203048099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1062205.09344478</v>
      </c>
      <c r="AZ62" s="3">
        <v>591730.69132540701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0</v>
      </c>
      <c r="BK62" s="3">
        <v>0</v>
      </c>
      <c r="BL62" s="3">
        <v>0</v>
      </c>
      <c r="BM62" s="3">
        <v>0</v>
      </c>
      <c r="BN62" s="3">
        <v>0</v>
      </c>
    </row>
    <row r="63" spans="1:66" x14ac:dyDescent="0.3">
      <c r="A63" t="s">
        <v>0</v>
      </c>
      <c r="B63" s="3">
        <v>18371882.370204199</v>
      </c>
      <c r="C63" s="3">
        <v>18146873.031422999</v>
      </c>
      <c r="D63" s="3">
        <v>18289531.5125539</v>
      </c>
      <c r="E63" s="3">
        <v>234763710.57674</v>
      </c>
      <c r="F63" s="3">
        <v>227413103.07681701</v>
      </c>
      <c r="G63" s="3">
        <v>249860024.891193</v>
      </c>
      <c r="H63" s="3">
        <v>17521742.9570923</v>
      </c>
      <c r="I63" s="3">
        <v>252333604.42830101</v>
      </c>
      <c r="J63" s="3">
        <v>329982083.09076297</v>
      </c>
      <c r="K63" s="3">
        <v>330398029.65081698</v>
      </c>
      <c r="L63" s="3">
        <v>330402311.13827002</v>
      </c>
      <c r="M63" s="3">
        <v>330402311.13827002</v>
      </c>
      <c r="N63" s="3">
        <v>330402311.13827002</v>
      </c>
      <c r="O63" s="3">
        <v>330402311.13827002</v>
      </c>
      <c r="P63" s="3">
        <v>330402311.13827002</v>
      </c>
      <c r="Q63" s="3">
        <v>327219838.05708098</v>
      </c>
      <c r="R63" s="3">
        <v>328584828.54076999</v>
      </c>
      <c r="S63" s="3">
        <v>328584828.54076999</v>
      </c>
      <c r="T63" s="3">
        <v>322334999.496795</v>
      </c>
      <c r="U63" s="3">
        <v>328303670.96700698</v>
      </c>
      <c r="V63" s="3">
        <v>328219104.25765502</v>
      </c>
      <c r="W63" s="3">
        <v>322282395.35480398</v>
      </c>
      <c r="X63" s="3">
        <v>315931450.39272302</v>
      </c>
      <c r="Y63" s="3">
        <v>331771021.28870797</v>
      </c>
      <c r="Z63" s="3">
        <v>252601857.22029799</v>
      </c>
      <c r="AA63" s="3">
        <v>328303670.96700698</v>
      </c>
      <c r="AB63" s="3">
        <v>310651371.83779597</v>
      </c>
      <c r="AC63" s="3">
        <v>293476673.11755598</v>
      </c>
      <c r="AD63" s="3">
        <v>322569681.484052</v>
      </c>
      <c r="AE63" s="3">
        <v>320418933.44793701</v>
      </c>
      <c r="AF63" s="3">
        <v>342347551.07335502</v>
      </c>
      <c r="AG63" s="3">
        <v>346789114.358648</v>
      </c>
      <c r="AH63" s="3">
        <v>338250676.99282497</v>
      </c>
      <c r="AI63" s="3">
        <v>335761213.19798303</v>
      </c>
      <c r="AJ63" s="3">
        <v>445384864.54277402</v>
      </c>
      <c r="AK63" s="3">
        <v>431447564.16910702</v>
      </c>
      <c r="AL63" s="3">
        <v>351808996.53383201</v>
      </c>
      <c r="AM63" s="3">
        <v>333523585.99850601</v>
      </c>
      <c r="AN63" s="3">
        <v>380189251.57179201</v>
      </c>
      <c r="AO63" s="3">
        <v>326831944.91225201</v>
      </c>
      <c r="AP63" s="3">
        <v>341287726.17254299</v>
      </c>
      <c r="AQ63" s="3">
        <v>331464587.11156601</v>
      </c>
      <c r="AR63" s="3">
        <v>321206562.43709701</v>
      </c>
      <c r="AS63" s="3">
        <v>341287726.17254299</v>
      </c>
      <c r="AT63" s="3">
        <v>326896914.53985</v>
      </c>
      <c r="AU63" s="3">
        <v>325908952.656555</v>
      </c>
      <c r="AV63" s="3">
        <v>341287726.17254299</v>
      </c>
      <c r="AW63" s="3">
        <v>317355520.34808803</v>
      </c>
      <c r="AX63" s="3">
        <v>331464587.11163098</v>
      </c>
      <c r="AY63" s="3">
        <v>324079069.57940698</v>
      </c>
      <c r="AZ63" s="3">
        <v>316774587.81657398</v>
      </c>
      <c r="BA63" s="3">
        <v>317710687.31554198</v>
      </c>
      <c r="BB63" s="3">
        <v>331464587.11163098</v>
      </c>
      <c r="BC63" s="3">
        <v>326896914.53985</v>
      </c>
      <c r="BD63" s="3">
        <v>331464587.11163098</v>
      </c>
      <c r="BE63" s="3">
        <v>326896914.53985</v>
      </c>
      <c r="BF63" s="3">
        <v>331464587.11163098</v>
      </c>
      <c r="BG63" s="3">
        <v>331464587.11163098</v>
      </c>
      <c r="BH63" s="3">
        <v>317732205.41549498</v>
      </c>
      <c r="BI63" s="3">
        <v>436171842.51725698</v>
      </c>
      <c r="BJ63" s="3">
        <v>222505239.304602</v>
      </c>
      <c r="BK63" s="3">
        <v>331027758.79087698</v>
      </c>
      <c r="BL63" s="3">
        <v>452712446.33587801</v>
      </c>
      <c r="BM63" s="3">
        <v>245536194.188411</v>
      </c>
      <c r="BN63" s="3">
        <v>331464587.11163098</v>
      </c>
    </row>
    <row r="64" spans="1:66" x14ac:dyDescent="0.3">
      <c r="A64" t="s">
        <v>1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>
        <v>0</v>
      </c>
      <c r="BL64" s="3">
        <v>0</v>
      </c>
      <c r="BM64" s="3">
        <v>0</v>
      </c>
      <c r="BN64" s="3">
        <v>0</v>
      </c>
    </row>
    <row r="65" spans="1:66" x14ac:dyDescent="0.3">
      <c r="A65" s="2" t="s">
        <v>28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</row>
    <row r="66" spans="1:66" x14ac:dyDescent="0.3">
      <c r="A66" t="s">
        <v>0</v>
      </c>
      <c r="B66" s="3">
        <v>1805535.0043492101</v>
      </c>
      <c r="C66" s="3">
        <v>1377546.9412949099</v>
      </c>
      <c r="D66" s="3">
        <v>1669852.12173551</v>
      </c>
      <c r="E66" s="3">
        <v>518786.21999804798</v>
      </c>
      <c r="F66" s="3">
        <v>502929.45532035403</v>
      </c>
      <c r="G66" s="3">
        <v>222662.824504385</v>
      </c>
      <c r="H66" s="3">
        <v>674248.02661492105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68999.202625197096</v>
      </c>
      <c r="R66" s="3">
        <v>0</v>
      </c>
      <c r="S66" s="3">
        <v>0</v>
      </c>
      <c r="T66" s="3">
        <v>566839.10952401999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15134.328222105099</v>
      </c>
      <c r="AC66" s="3">
        <v>0</v>
      </c>
      <c r="AD66" s="3">
        <v>358632.62827266002</v>
      </c>
      <c r="AE66" s="3">
        <v>40154.239265964701</v>
      </c>
      <c r="AF66" s="3">
        <v>0</v>
      </c>
      <c r="AG66" s="3">
        <v>0</v>
      </c>
      <c r="AH66" s="3">
        <v>0</v>
      </c>
      <c r="AI66" s="3">
        <v>140058.92591035599</v>
      </c>
      <c r="AJ66" s="3">
        <v>0</v>
      </c>
      <c r="AK66" s="3">
        <v>0</v>
      </c>
      <c r="AL66" s="3">
        <v>0</v>
      </c>
      <c r="AM66" s="3">
        <v>0</v>
      </c>
      <c r="AN66" s="3">
        <v>0</v>
      </c>
      <c r="AO66" s="3">
        <v>0</v>
      </c>
      <c r="AP66" s="3">
        <v>0</v>
      </c>
      <c r="AQ66" s="3">
        <v>0</v>
      </c>
      <c r="AR66" s="3">
        <v>11438.8122982648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345140338.68491501</v>
      </c>
      <c r="BJ66" s="3">
        <v>0</v>
      </c>
      <c r="BK66" s="3">
        <v>0</v>
      </c>
      <c r="BL66" s="3">
        <v>320296207.85106802</v>
      </c>
      <c r="BM66" s="3">
        <v>0</v>
      </c>
      <c r="BN66" s="3">
        <v>0</v>
      </c>
    </row>
    <row r="67" spans="1:66" x14ac:dyDescent="0.3">
      <c r="A67" t="s">
        <v>24</v>
      </c>
      <c r="B67" s="3">
        <v>19197771191.536098</v>
      </c>
      <c r="C67" s="3">
        <v>19173592706.863701</v>
      </c>
      <c r="D67" s="3">
        <v>19198779060.3866</v>
      </c>
      <c r="E67" s="3">
        <v>19212309365.176102</v>
      </c>
      <c r="F67" s="3">
        <v>19212133320.439201</v>
      </c>
      <c r="G67" s="3">
        <v>19209742603.772499</v>
      </c>
      <c r="H67" s="3">
        <v>19161768445.724098</v>
      </c>
      <c r="I67" s="3">
        <v>19209742603.772499</v>
      </c>
      <c r="J67" s="3">
        <v>19206596636.9305</v>
      </c>
      <c r="K67" s="3">
        <v>76858614146.318405</v>
      </c>
      <c r="L67" s="3">
        <v>76858614146.318405</v>
      </c>
      <c r="M67" s="3">
        <v>76858614146.318405</v>
      </c>
      <c r="N67" s="3">
        <v>153717228292.63599</v>
      </c>
      <c r="O67" s="3">
        <v>384293070731.54797</v>
      </c>
      <c r="P67" s="3">
        <v>768586141463.09595</v>
      </c>
      <c r="Q67" s="3">
        <v>76858614146.318405</v>
      </c>
      <c r="R67" s="3">
        <v>76858614146.318405</v>
      </c>
      <c r="S67" s="3">
        <v>76858614146.318405</v>
      </c>
      <c r="T67" s="3">
        <v>76858614146.318405</v>
      </c>
      <c r="U67" s="3">
        <v>76858614146.318405</v>
      </c>
      <c r="V67" s="3">
        <v>76858614146.318405</v>
      </c>
      <c r="W67" s="3">
        <v>76858614146.318405</v>
      </c>
      <c r="X67" s="3">
        <v>76858614146.318405</v>
      </c>
      <c r="Y67" s="3">
        <v>76858614146.318405</v>
      </c>
      <c r="Z67" s="3">
        <v>59873369734.866302</v>
      </c>
      <c r="AA67" s="3">
        <v>76858614146.318405</v>
      </c>
      <c r="AB67" s="3">
        <v>76858614146.318405</v>
      </c>
      <c r="AC67" s="3">
        <v>76858614146.318405</v>
      </c>
      <c r="AD67" s="3">
        <v>76700082503.154099</v>
      </c>
      <c r="AE67" s="3">
        <v>76700082503.154099</v>
      </c>
      <c r="AF67" s="3">
        <v>77384429501.756805</v>
      </c>
      <c r="AG67" s="3">
        <v>77384429501.756805</v>
      </c>
      <c r="AH67" s="3">
        <v>77384429501.756805</v>
      </c>
      <c r="AI67" s="3">
        <v>76154790713.864807</v>
      </c>
      <c r="AJ67" s="3">
        <v>81119105208.772095</v>
      </c>
      <c r="AK67" s="3">
        <v>78579858344.627502</v>
      </c>
      <c r="AL67" s="3">
        <v>76154790713.864807</v>
      </c>
      <c r="AM67" s="3">
        <v>76573493115.274597</v>
      </c>
      <c r="AN67" s="3">
        <v>76851713318.801193</v>
      </c>
      <c r="AO67" s="3">
        <v>76821292886.530594</v>
      </c>
      <c r="AP67" s="3">
        <v>76459871500.705399</v>
      </c>
      <c r="AQ67" s="3">
        <v>76700082503.154099</v>
      </c>
      <c r="AR67" s="3">
        <v>76459871500.705399</v>
      </c>
      <c r="AS67" s="3">
        <v>76459871500.705399</v>
      </c>
      <c r="AT67" s="3">
        <v>76700082503.154099</v>
      </c>
      <c r="AU67" s="3">
        <v>76459871500.705399</v>
      </c>
      <c r="AV67" s="3">
        <v>76459871500.705399</v>
      </c>
      <c r="AW67" s="3">
        <v>76700082503.154099</v>
      </c>
      <c r="AX67" s="3">
        <v>76700082503.154099</v>
      </c>
      <c r="AY67" s="3">
        <v>76459871500.705399</v>
      </c>
      <c r="AZ67" s="3">
        <v>76700082503.154099</v>
      </c>
      <c r="BA67" s="3">
        <v>76700082503.154099</v>
      </c>
      <c r="BB67" s="3">
        <v>76700082503.154099</v>
      </c>
      <c r="BC67" s="3">
        <v>76700082503.154099</v>
      </c>
      <c r="BD67" s="3">
        <v>76700082503.154099</v>
      </c>
      <c r="BE67" s="3">
        <v>76700082503.154099</v>
      </c>
      <c r="BF67" s="3">
        <v>76700082503.154099</v>
      </c>
      <c r="BG67" s="3">
        <v>76700082503.154099</v>
      </c>
      <c r="BH67" s="3">
        <v>76700082503.154099</v>
      </c>
      <c r="BI67" s="3">
        <v>0</v>
      </c>
      <c r="BJ67" s="3">
        <v>0</v>
      </c>
      <c r="BK67" s="3">
        <v>0</v>
      </c>
      <c r="BL67" s="3">
        <v>0</v>
      </c>
      <c r="BM67" s="3">
        <v>0</v>
      </c>
      <c r="BN67" s="3">
        <v>0</v>
      </c>
    </row>
    <row r="68" spans="1:66" x14ac:dyDescent="0.3">
      <c r="A68" t="s">
        <v>1</v>
      </c>
      <c r="B68" s="3">
        <v>0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0</v>
      </c>
      <c r="BK68" s="3">
        <v>0</v>
      </c>
      <c r="BL68" s="3">
        <v>0</v>
      </c>
      <c r="BM68" s="3">
        <v>0</v>
      </c>
      <c r="BN68" s="3">
        <v>0</v>
      </c>
    </row>
    <row r="69" spans="1:66" x14ac:dyDescent="0.3">
      <c r="A69" s="9" t="s">
        <v>77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</row>
    <row r="70" spans="1:66" x14ac:dyDescent="0.3">
      <c r="A70" s="2" t="s">
        <v>45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</row>
    <row r="71" spans="1:66" x14ac:dyDescent="0.3">
      <c r="A71" t="s">
        <v>2</v>
      </c>
      <c r="B71" s="3">
        <v>53.3439298245614</v>
      </c>
      <c r="C71" s="3">
        <v>84.317824561403498</v>
      </c>
      <c r="D71" s="3">
        <v>54.168491228070103</v>
      </c>
      <c r="E71" s="3">
        <v>53.3439298245614</v>
      </c>
      <c r="F71" s="3">
        <v>54.917894736842101</v>
      </c>
      <c r="G71" s="3">
        <v>84.317824561403498</v>
      </c>
      <c r="H71" s="3">
        <v>84.317824561403498</v>
      </c>
      <c r="I71" s="3">
        <v>84.317824561403498</v>
      </c>
      <c r="J71" s="3">
        <v>12.9213500000059</v>
      </c>
      <c r="K71" s="3">
        <v>12.921350000011</v>
      </c>
      <c r="L71" s="3">
        <v>12.92135</v>
      </c>
      <c r="M71" s="3">
        <v>12.92135</v>
      </c>
      <c r="N71" s="3">
        <v>12.92135</v>
      </c>
      <c r="O71" s="3">
        <v>12.92135</v>
      </c>
      <c r="P71" s="3">
        <v>12.92135</v>
      </c>
      <c r="Q71" s="3">
        <v>58.083999999997602</v>
      </c>
      <c r="R71" s="3">
        <v>26.876349999999899</v>
      </c>
      <c r="S71" s="3">
        <v>26.876349999999899</v>
      </c>
      <c r="T71" s="3">
        <v>75.150649999998507</v>
      </c>
      <c r="U71" s="3">
        <v>28.02535</v>
      </c>
      <c r="V71" s="3">
        <v>30</v>
      </c>
      <c r="W71" s="3">
        <v>12.9213500000086</v>
      </c>
      <c r="X71" s="3">
        <v>12.92135</v>
      </c>
      <c r="Y71" s="3">
        <v>14.92135</v>
      </c>
      <c r="Z71" s="3">
        <v>12.9213500000025</v>
      </c>
      <c r="AA71" s="3">
        <v>28.02535</v>
      </c>
      <c r="AB71" s="3">
        <v>21.986999999999998</v>
      </c>
      <c r="AC71" s="3">
        <v>12.92135</v>
      </c>
      <c r="AD71" s="3">
        <v>65.7263499999939</v>
      </c>
      <c r="AE71" s="3">
        <v>26.201999999999899</v>
      </c>
      <c r="AF71" s="3">
        <v>27.135964912280699</v>
      </c>
      <c r="AG71" s="3">
        <v>14.6424561403508</v>
      </c>
      <c r="AH71" s="3">
        <v>28.614210526315699</v>
      </c>
      <c r="AI71" s="3">
        <v>28.614210526315802</v>
      </c>
      <c r="AJ71" s="3">
        <v>46.885052631578901</v>
      </c>
      <c r="AK71" s="3">
        <v>33.135964912280699</v>
      </c>
      <c r="AL71" s="3">
        <v>14.6424561403505</v>
      </c>
      <c r="AM71" s="3">
        <v>29.544335999999898</v>
      </c>
      <c r="AN71" s="3">
        <v>16.363228070175399</v>
      </c>
      <c r="AO71" s="3">
        <v>12.921350000001601</v>
      </c>
      <c r="AP71" s="3">
        <v>18.552210526315701</v>
      </c>
      <c r="AQ71" s="3">
        <v>4.3828070175438896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12.92135</v>
      </c>
      <c r="AZ71" s="3">
        <v>12.92135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>
        <v>0</v>
      </c>
      <c r="BL71" s="3">
        <v>0</v>
      </c>
      <c r="BM71" s="3">
        <v>0</v>
      </c>
      <c r="BN71" s="3">
        <v>0</v>
      </c>
    </row>
    <row r="72" spans="1:66" x14ac:dyDescent="0.3">
      <c r="A72" t="s">
        <v>0</v>
      </c>
      <c r="B72" s="11">
        <v>36</v>
      </c>
      <c r="C72" s="3">
        <v>36</v>
      </c>
      <c r="D72" s="3">
        <v>36</v>
      </c>
      <c r="E72" s="3">
        <v>36</v>
      </c>
      <c r="F72" s="3">
        <v>36</v>
      </c>
      <c r="G72" s="3">
        <v>36</v>
      </c>
      <c r="H72" s="3">
        <v>36</v>
      </c>
      <c r="I72" s="3">
        <v>36</v>
      </c>
      <c r="J72" s="3">
        <v>78</v>
      </c>
      <c r="K72" s="3">
        <v>80</v>
      </c>
      <c r="L72" s="3">
        <v>80</v>
      </c>
      <c r="M72" s="3">
        <v>95.02</v>
      </c>
      <c r="N72" s="3">
        <v>95.02</v>
      </c>
      <c r="O72" s="3">
        <v>98.084000000000003</v>
      </c>
      <c r="P72" s="3">
        <v>98.084000000000003</v>
      </c>
      <c r="Q72" s="3">
        <v>80.653000000000006</v>
      </c>
      <c r="R72" s="3">
        <v>95.02</v>
      </c>
      <c r="S72" s="3">
        <v>95.02</v>
      </c>
      <c r="T72" s="3">
        <v>40</v>
      </c>
      <c r="U72" s="3">
        <v>95.02</v>
      </c>
      <c r="V72" s="3">
        <v>78</v>
      </c>
      <c r="W72" s="3">
        <v>80</v>
      </c>
      <c r="X72" s="3">
        <v>80</v>
      </c>
      <c r="Y72" s="3">
        <v>95.02</v>
      </c>
      <c r="Z72" s="3">
        <v>36</v>
      </c>
      <c r="AA72" s="3">
        <v>95.02</v>
      </c>
      <c r="AB72" s="3">
        <v>95.02</v>
      </c>
      <c r="AC72" s="3">
        <v>83.578175438596404</v>
      </c>
      <c r="AD72" s="3">
        <v>40</v>
      </c>
      <c r="AE72" s="3">
        <v>106.79814035087701</v>
      </c>
      <c r="AF72" s="3">
        <v>94.642456140350802</v>
      </c>
      <c r="AG72" s="3">
        <v>91.685964912280696</v>
      </c>
      <c r="AH72" s="3">
        <v>91.685964912280696</v>
      </c>
      <c r="AI72" s="3">
        <v>91.685964912280696</v>
      </c>
      <c r="AJ72" s="3">
        <v>80</v>
      </c>
      <c r="AK72" s="3">
        <v>94.642456140350802</v>
      </c>
      <c r="AL72" s="3">
        <v>80</v>
      </c>
      <c r="AM72" s="3">
        <v>80</v>
      </c>
      <c r="AN72" s="3">
        <v>80</v>
      </c>
      <c r="AO72" s="3">
        <v>98.084000000000003</v>
      </c>
      <c r="AP72" s="3">
        <v>95.02</v>
      </c>
      <c r="AQ72" s="3">
        <v>98.083999999995996</v>
      </c>
      <c r="AR72" s="3">
        <v>80.000000000015802</v>
      </c>
      <c r="AS72" s="3">
        <v>98.084000000000003</v>
      </c>
      <c r="AT72" s="3">
        <v>98.084000000000003</v>
      </c>
      <c r="AU72" s="3">
        <v>80</v>
      </c>
      <c r="AV72" s="3">
        <v>79.7713684210526</v>
      </c>
      <c r="AW72" s="3">
        <v>80</v>
      </c>
      <c r="AX72" s="3">
        <v>79.155508771931395</v>
      </c>
      <c r="AY72" s="3">
        <v>103.908596491228</v>
      </c>
      <c r="AZ72" s="3">
        <v>80</v>
      </c>
      <c r="BA72" s="3">
        <v>80</v>
      </c>
      <c r="BB72" s="3">
        <v>80</v>
      </c>
      <c r="BC72" s="3">
        <v>98.084000000000003</v>
      </c>
      <c r="BD72" s="3">
        <v>98.084000000000003</v>
      </c>
      <c r="BE72" s="3">
        <v>98.084000000000003</v>
      </c>
      <c r="BF72" s="3">
        <v>98.084000000000003</v>
      </c>
      <c r="BG72" s="3">
        <v>80</v>
      </c>
      <c r="BH72" s="3">
        <v>80</v>
      </c>
      <c r="BI72" s="3">
        <v>80</v>
      </c>
      <c r="BJ72" s="3">
        <v>80</v>
      </c>
      <c r="BK72" s="3">
        <v>65.810415091664197</v>
      </c>
      <c r="BL72" s="3">
        <v>80</v>
      </c>
      <c r="BM72" s="3">
        <v>80</v>
      </c>
      <c r="BN72" s="3">
        <v>77.976804403882795</v>
      </c>
    </row>
    <row r="73" spans="1:66" x14ac:dyDescent="0.3">
      <c r="A73" t="s">
        <v>1</v>
      </c>
      <c r="B73" s="3">
        <v>32.769017543859597</v>
      </c>
      <c r="C73" s="3">
        <v>0</v>
      </c>
      <c r="D73" s="3">
        <v>34.694666666666599</v>
      </c>
      <c r="E73" s="3">
        <v>34.4154385964912</v>
      </c>
      <c r="F73" s="3">
        <v>33.104912280701697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6</v>
      </c>
      <c r="X73" s="3">
        <v>7.7593684210526401</v>
      </c>
      <c r="Y73" s="3">
        <v>0</v>
      </c>
      <c r="Z73" s="3">
        <v>6</v>
      </c>
      <c r="AA73" s="3">
        <v>0</v>
      </c>
      <c r="AB73" s="3">
        <v>18.083999999993299</v>
      </c>
      <c r="AC73" s="3">
        <v>19.87</v>
      </c>
      <c r="AD73" s="3">
        <v>0</v>
      </c>
      <c r="AE73" s="3">
        <v>17.318000000000001</v>
      </c>
      <c r="AF73" s="3">
        <v>6</v>
      </c>
      <c r="AG73" s="3">
        <v>0</v>
      </c>
      <c r="AH73" s="3">
        <v>10.5442105263157</v>
      </c>
      <c r="AI73" s="3">
        <v>11.8371929824561</v>
      </c>
      <c r="AJ73" s="3">
        <v>6</v>
      </c>
      <c r="AK73" s="3">
        <v>6</v>
      </c>
      <c r="AL73" s="3">
        <v>6</v>
      </c>
      <c r="AM73" s="3">
        <v>6</v>
      </c>
      <c r="AN73" s="3">
        <v>6</v>
      </c>
      <c r="AO73" s="3">
        <v>6</v>
      </c>
      <c r="AP73" s="3">
        <v>6</v>
      </c>
      <c r="AQ73" s="3">
        <v>4.3828070175448</v>
      </c>
      <c r="AR73" s="3">
        <v>24.083999999980801</v>
      </c>
      <c r="AS73" s="3">
        <v>1.0979999999986001</v>
      </c>
      <c r="AT73" s="3">
        <v>6</v>
      </c>
      <c r="AU73" s="3">
        <v>18.083999999990301</v>
      </c>
      <c r="AV73" s="3">
        <v>18.9284912280689</v>
      </c>
      <c r="AW73" s="3">
        <v>19.103999999993601</v>
      </c>
      <c r="AX73" s="3">
        <v>18.928491228068498</v>
      </c>
      <c r="AY73" s="3">
        <v>17.87</v>
      </c>
      <c r="AZ73" s="3">
        <v>19.103999999999001</v>
      </c>
      <c r="BA73" s="3">
        <v>19.317999999990899</v>
      </c>
      <c r="BB73" s="3">
        <v>18.9284912280702</v>
      </c>
      <c r="BC73" s="3">
        <v>6</v>
      </c>
      <c r="BD73" s="3">
        <v>6</v>
      </c>
      <c r="BE73" s="3">
        <v>6</v>
      </c>
      <c r="BF73" s="3">
        <v>6</v>
      </c>
      <c r="BG73" s="3">
        <v>18.928491228070101</v>
      </c>
      <c r="BH73" s="3">
        <v>19.317999999999401</v>
      </c>
      <c r="BI73" s="3">
        <v>176.36322807017601</v>
      </c>
      <c r="BJ73" s="3">
        <v>98.084000000000003</v>
      </c>
      <c r="BK73" s="3">
        <v>32.485621477995601</v>
      </c>
      <c r="BL73" s="3">
        <v>172.921684210526</v>
      </c>
      <c r="BM73" s="3">
        <v>94.105543859649103</v>
      </c>
      <c r="BN73" s="3">
        <v>20.2601351596863</v>
      </c>
    </row>
    <row r="74" spans="1:66" x14ac:dyDescent="0.3">
      <c r="A74" t="s">
        <v>75</v>
      </c>
      <c r="B74" s="3">
        <v>26.4866431643824</v>
      </c>
      <c r="C74" s="3">
        <v>34.1799122807017</v>
      </c>
      <c r="D74" s="3">
        <v>26.349473684210501</v>
      </c>
      <c r="E74" s="3">
        <v>23.117388576681101</v>
      </c>
      <c r="F74" s="3">
        <v>24.891352674537298</v>
      </c>
      <c r="G74" s="3">
        <v>34.685052631578898</v>
      </c>
      <c r="H74" s="3">
        <v>33.602350877192897</v>
      </c>
      <c r="I74" s="3">
        <v>34.685052631578898</v>
      </c>
      <c r="J74" s="3">
        <v>58.084000000000003</v>
      </c>
      <c r="K74" s="3">
        <v>30.007649999998101</v>
      </c>
      <c r="L74" s="3">
        <v>18.084</v>
      </c>
      <c r="M74" s="3">
        <v>18.084</v>
      </c>
      <c r="N74" s="3">
        <v>18.084</v>
      </c>
      <c r="O74" s="3">
        <v>16.744</v>
      </c>
      <c r="P74" s="3">
        <v>15.87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28.084</v>
      </c>
      <c r="W74" s="3">
        <v>24.007649999999899</v>
      </c>
      <c r="X74" s="3">
        <v>15.1039999972038</v>
      </c>
      <c r="Y74" s="3">
        <v>17.280649999999699</v>
      </c>
      <c r="Z74" s="3">
        <v>98.084000000000003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3">
        <v>0</v>
      </c>
      <c r="BM74" s="3">
        <v>0</v>
      </c>
      <c r="BN74" s="3">
        <v>0</v>
      </c>
    </row>
    <row r="75" spans="1:66" x14ac:dyDescent="0.3">
      <c r="A75" s="2" t="s">
        <v>46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</row>
    <row r="76" spans="1:66" x14ac:dyDescent="0.3">
      <c r="A76" t="s">
        <v>0</v>
      </c>
      <c r="B76" s="3">
        <v>31.918315789471698</v>
      </c>
      <c r="C76" s="3">
        <v>34.577473684210503</v>
      </c>
      <c r="D76" s="3">
        <v>31.9702956741802</v>
      </c>
      <c r="E76" s="3">
        <v>23.7619649122806</v>
      </c>
      <c r="F76" s="3">
        <v>20.737122807017499</v>
      </c>
      <c r="G76" s="3">
        <v>30.0063157894736</v>
      </c>
      <c r="H76" s="3">
        <v>33.555754385964903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24.474877192971501</v>
      </c>
      <c r="R76" s="3">
        <v>0</v>
      </c>
      <c r="S76" s="3">
        <v>0</v>
      </c>
      <c r="T76" s="3">
        <v>38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6.0729649122806801</v>
      </c>
      <c r="AC76" s="3">
        <v>0</v>
      </c>
      <c r="AD76" s="3">
        <v>36.150209649112703</v>
      </c>
      <c r="AE76" s="3">
        <v>8.8093684210525893</v>
      </c>
      <c r="AF76" s="3">
        <v>0</v>
      </c>
      <c r="AG76" s="3">
        <v>0</v>
      </c>
      <c r="AH76" s="3">
        <v>0</v>
      </c>
      <c r="AI76" s="3">
        <v>5.7028070175438703</v>
      </c>
      <c r="AJ76" s="3">
        <v>0</v>
      </c>
      <c r="AK76" s="3">
        <v>0</v>
      </c>
      <c r="AL76" s="3">
        <v>0</v>
      </c>
      <c r="AM76" s="3">
        <v>0</v>
      </c>
      <c r="AN76" s="3">
        <v>0</v>
      </c>
      <c r="AO76" s="3">
        <v>0</v>
      </c>
      <c r="AP76" s="3">
        <v>0</v>
      </c>
      <c r="AQ76" s="3">
        <v>0</v>
      </c>
      <c r="AR76" s="3">
        <v>5.6894561403317097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80</v>
      </c>
      <c r="BJ76" s="3">
        <v>0</v>
      </c>
      <c r="BK76" s="3">
        <v>0</v>
      </c>
      <c r="BL76" s="3">
        <v>80</v>
      </c>
      <c r="BM76" s="3">
        <v>0</v>
      </c>
      <c r="BN76" s="3">
        <v>0</v>
      </c>
    </row>
    <row r="77" spans="1:66" x14ac:dyDescent="0.3">
      <c r="A77" t="s">
        <v>24</v>
      </c>
      <c r="B77" s="3">
        <v>86.112947368421004</v>
      </c>
      <c r="C77" s="3">
        <v>84.317824561403498</v>
      </c>
      <c r="D77" s="3">
        <v>86.863157894736801</v>
      </c>
      <c r="E77" s="3">
        <v>87.759368421052599</v>
      </c>
      <c r="F77" s="3">
        <v>88.022807017543798</v>
      </c>
      <c r="G77" s="3">
        <v>84.317824561403498</v>
      </c>
      <c r="H77" s="3">
        <v>84.317824561403498</v>
      </c>
      <c r="I77" s="3">
        <v>84.317824561403498</v>
      </c>
      <c r="J77" s="3">
        <v>86.207999999999998</v>
      </c>
      <c r="K77" s="3">
        <v>86.207999999999998</v>
      </c>
      <c r="L77" s="3">
        <v>86.207999999999998</v>
      </c>
      <c r="M77" s="3">
        <v>95.02</v>
      </c>
      <c r="N77" s="3">
        <v>95.02</v>
      </c>
      <c r="O77" s="3">
        <v>98.084000000000003</v>
      </c>
      <c r="P77" s="3">
        <v>98.084000000000003</v>
      </c>
      <c r="Q77" s="3">
        <v>98.084000000000003</v>
      </c>
      <c r="R77" s="3">
        <v>98.084000000000003</v>
      </c>
      <c r="S77" s="3">
        <v>98.084000000000003</v>
      </c>
      <c r="T77" s="3">
        <v>98.084000000000003</v>
      </c>
      <c r="U77" s="3">
        <v>98.084000000000003</v>
      </c>
      <c r="V77" s="3">
        <v>86.207999999999998</v>
      </c>
      <c r="W77" s="3">
        <v>86.207999999999998</v>
      </c>
      <c r="X77" s="3">
        <v>87.759368421052599</v>
      </c>
      <c r="Y77" s="3">
        <v>95.02</v>
      </c>
      <c r="Z77" s="3">
        <v>54.9213500000048</v>
      </c>
      <c r="AA77" s="3">
        <v>98.084000000000003</v>
      </c>
      <c r="AB77" s="3">
        <v>98.084000000000003</v>
      </c>
      <c r="AC77" s="3">
        <v>98.084000000000003</v>
      </c>
      <c r="AD77" s="3">
        <v>98.084000000000003</v>
      </c>
      <c r="AE77" s="3">
        <v>98.084000000000003</v>
      </c>
      <c r="AF77" s="3">
        <v>94.642456140350802</v>
      </c>
      <c r="AG77" s="3">
        <v>94.642456140350802</v>
      </c>
      <c r="AH77" s="3">
        <v>94.642456140350802</v>
      </c>
      <c r="AI77" s="3">
        <v>94.642456140350802</v>
      </c>
      <c r="AJ77" s="3">
        <v>92.921684210526294</v>
      </c>
      <c r="AK77" s="3">
        <v>94.642456140350802</v>
      </c>
      <c r="AL77" s="3">
        <v>94.642456140350802</v>
      </c>
      <c r="AM77" s="3">
        <v>94.642456140350802</v>
      </c>
      <c r="AN77" s="3">
        <v>96.363228070175396</v>
      </c>
      <c r="AO77" s="3">
        <v>98.084000000000003</v>
      </c>
      <c r="AP77" s="3">
        <v>98.084000000000003</v>
      </c>
      <c r="AQ77" s="3">
        <v>98.084000000000003</v>
      </c>
      <c r="AR77" s="3">
        <v>98.084000000000003</v>
      </c>
      <c r="AS77" s="3">
        <v>98.084000000000003</v>
      </c>
      <c r="AT77" s="3">
        <v>98.084000000000003</v>
      </c>
      <c r="AU77" s="3">
        <v>98.084000000000003</v>
      </c>
      <c r="AV77" s="3">
        <v>98.084000000000003</v>
      </c>
      <c r="AW77" s="3">
        <v>98.084000000000003</v>
      </c>
      <c r="AX77" s="3">
        <v>98.084000000000003</v>
      </c>
      <c r="AY77" s="3">
        <v>98.084000000000003</v>
      </c>
      <c r="AZ77" s="3">
        <v>98.084000000000003</v>
      </c>
      <c r="BA77" s="3">
        <v>98.084000000000003</v>
      </c>
      <c r="BB77" s="3">
        <v>98.084000000000003</v>
      </c>
      <c r="BC77" s="3">
        <v>98.084000000000003</v>
      </c>
      <c r="BD77" s="3">
        <v>98.084000000000003</v>
      </c>
      <c r="BE77" s="3">
        <v>98.084000000000003</v>
      </c>
      <c r="BF77" s="3">
        <v>98.084000000000003</v>
      </c>
      <c r="BG77" s="3">
        <v>98.084000000000003</v>
      </c>
      <c r="BH77" s="3">
        <v>98.084000000000003</v>
      </c>
      <c r="BI77" s="3">
        <v>98.084000000000003</v>
      </c>
      <c r="BJ77" s="3">
        <v>98.084000000000003</v>
      </c>
      <c r="BK77" s="3">
        <v>98.084000000000003</v>
      </c>
      <c r="BL77" s="3">
        <v>98.084000000000003</v>
      </c>
      <c r="BM77" s="3">
        <v>98.084000000000003</v>
      </c>
      <c r="BN77" s="3">
        <v>98.084000000000003</v>
      </c>
    </row>
    <row r="78" spans="1:66" x14ac:dyDescent="0.3">
      <c r="A78" t="s">
        <v>1</v>
      </c>
      <c r="B78" s="3">
        <v>32.769017543859597</v>
      </c>
      <c r="C78" s="3">
        <v>0</v>
      </c>
      <c r="D78" s="3">
        <v>32.694666666666599</v>
      </c>
      <c r="E78" s="3">
        <v>34.4154385964912</v>
      </c>
      <c r="F78" s="3">
        <v>32.547859649122799</v>
      </c>
      <c r="G78" s="3">
        <v>6</v>
      </c>
      <c r="H78" s="3">
        <v>0</v>
      </c>
      <c r="I78" s="3">
        <v>6</v>
      </c>
      <c r="J78" s="3">
        <v>6</v>
      </c>
      <c r="K78" s="3">
        <v>6</v>
      </c>
      <c r="L78" s="3">
        <v>6</v>
      </c>
      <c r="M78" s="3">
        <v>6</v>
      </c>
      <c r="N78" s="3">
        <v>6</v>
      </c>
      <c r="O78" s="3">
        <v>6</v>
      </c>
      <c r="P78" s="3">
        <v>6</v>
      </c>
      <c r="Q78" s="3">
        <v>6</v>
      </c>
      <c r="R78" s="3">
        <v>6</v>
      </c>
      <c r="S78" s="3">
        <v>6</v>
      </c>
      <c r="T78" s="3">
        <v>6</v>
      </c>
      <c r="U78" s="3">
        <v>6</v>
      </c>
      <c r="V78" s="3">
        <v>6</v>
      </c>
      <c r="W78" s="3">
        <v>6</v>
      </c>
      <c r="X78" s="3">
        <v>7.7593684210526401</v>
      </c>
      <c r="Y78" s="3">
        <v>6</v>
      </c>
      <c r="Z78" s="3">
        <v>6</v>
      </c>
      <c r="AA78" s="3">
        <v>6</v>
      </c>
      <c r="AB78" s="3">
        <v>18.083999999993299</v>
      </c>
      <c r="AC78" s="3">
        <v>19.87</v>
      </c>
      <c r="AD78" s="3">
        <v>0</v>
      </c>
      <c r="AE78" s="3">
        <v>17.318000000000001</v>
      </c>
      <c r="AF78" s="3">
        <v>6</v>
      </c>
      <c r="AG78" s="3">
        <v>0</v>
      </c>
      <c r="AH78" s="3">
        <v>10.5442105263157</v>
      </c>
      <c r="AI78" s="3">
        <v>11.8371929824561</v>
      </c>
      <c r="AJ78" s="3">
        <v>6</v>
      </c>
      <c r="AK78" s="3">
        <v>6</v>
      </c>
      <c r="AL78" s="3">
        <v>6</v>
      </c>
      <c r="AM78" s="3">
        <v>6</v>
      </c>
      <c r="AN78" s="3">
        <v>6</v>
      </c>
      <c r="AO78" s="3">
        <v>6</v>
      </c>
      <c r="AP78" s="3">
        <v>6</v>
      </c>
      <c r="AQ78" s="3">
        <v>2.98677113388483</v>
      </c>
      <c r="AR78" s="3">
        <v>24.083999999980801</v>
      </c>
      <c r="AS78" s="3">
        <v>1.07775020725311</v>
      </c>
      <c r="AT78" s="3">
        <v>6</v>
      </c>
      <c r="AU78" s="3">
        <v>18.083999999990301</v>
      </c>
      <c r="AV78" s="3">
        <v>18.9284912280689</v>
      </c>
      <c r="AW78" s="3">
        <v>19.103999999993601</v>
      </c>
      <c r="AX78" s="3">
        <v>18.928491228068498</v>
      </c>
      <c r="AY78" s="3">
        <v>17.87</v>
      </c>
      <c r="AZ78" s="3">
        <v>19.103999999999001</v>
      </c>
      <c r="BA78" s="3">
        <v>19.317999999990899</v>
      </c>
      <c r="BB78" s="3">
        <v>19.317999999999302</v>
      </c>
      <c r="BC78" s="3">
        <v>6</v>
      </c>
      <c r="BD78" s="3">
        <v>6</v>
      </c>
      <c r="BE78" s="3">
        <v>6</v>
      </c>
      <c r="BF78" s="3">
        <v>6</v>
      </c>
      <c r="BG78" s="3">
        <v>19.317999999999699</v>
      </c>
      <c r="BH78" s="3">
        <v>19.317999999999401</v>
      </c>
      <c r="BI78" s="3">
        <v>66.556350877193594</v>
      </c>
      <c r="BJ78" s="3">
        <v>62.102684210526299</v>
      </c>
      <c r="BK78" s="3">
        <v>43.440380003944497</v>
      </c>
      <c r="BL78" s="3">
        <v>66.556350877193196</v>
      </c>
      <c r="BM78" s="3">
        <v>62.102684210526299</v>
      </c>
      <c r="BN78" s="3">
        <v>33.417737113869002</v>
      </c>
    </row>
    <row r="79" spans="1:66" x14ac:dyDescent="0.3">
      <c r="A79" s="2" t="s">
        <v>23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</row>
    <row r="80" spans="1:66" x14ac:dyDescent="0.3">
      <c r="A80" t="s">
        <v>2</v>
      </c>
      <c r="B80" s="3">
        <v>7551914.9355758801</v>
      </c>
      <c r="C80" s="3">
        <v>7441851.4173080102</v>
      </c>
      <c r="D80" s="3">
        <v>7548317.40107805</v>
      </c>
      <c r="E80" s="3">
        <v>4709370.5991895003</v>
      </c>
      <c r="F80" s="3">
        <v>4695316.8599934299</v>
      </c>
      <c r="G80" s="3">
        <v>4690467.1677328302</v>
      </c>
      <c r="H80" s="3">
        <v>7438674.0150634302</v>
      </c>
      <c r="I80" s="3">
        <v>4687607.1544554103</v>
      </c>
      <c r="J80" s="3">
        <v>161205.78516666399</v>
      </c>
      <c r="K80" s="3">
        <v>127240.23469737</v>
      </c>
      <c r="L80" s="3">
        <v>2271.6272543858399</v>
      </c>
      <c r="M80" s="3">
        <v>3655.7006833333298</v>
      </c>
      <c r="N80" s="3">
        <v>3672.1242096491201</v>
      </c>
      <c r="O80" s="3">
        <v>3163.6046385964901</v>
      </c>
      <c r="P80" s="3">
        <v>3147.1811122806998</v>
      </c>
      <c r="Q80" s="3">
        <v>169282.024271809</v>
      </c>
      <c r="R80" s="3">
        <v>10135.2488333333</v>
      </c>
      <c r="S80" s="3">
        <v>10135.2488333333</v>
      </c>
      <c r="T80" s="3">
        <v>701317.29067674396</v>
      </c>
      <c r="U80" s="3">
        <v>11637.4284385964</v>
      </c>
      <c r="V80" s="3">
        <v>304889.459424456</v>
      </c>
      <c r="W80" s="3">
        <v>83292.406516670002</v>
      </c>
      <c r="X80" s="3">
        <v>18546.3380008772</v>
      </c>
      <c r="Y80" s="3">
        <v>56077.524044736499</v>
      </c>
      <c r="Z80" s="3">
        <v>129573.199616677</v>
      </c>
      <c r="AA80" s="3">
        <v>11637.4284385964</v>
      </c>
      <c r="AB80" s="3">
        <v>11753.176635087601</v>
      </c>
      <c r="AC80" s="3">
        <v>3295.8037982456199</v>
      </c>
      <c r="AD80" s="3">
        <v>700270.28601730801</v>
      </c>
      <c r="AE80" s="3">
        <v>45792.229685784703</v>
      </c>
      <c r="AF80" s="3">
        <v>79429.331952780296</v>
      </c>
      <c r="AG80" s="3">
        <v>7587.0842982456097</v>
      </c>
      <c r="AH80" s="3">
        <v>97550.908488644694</v>
      </c>
      <c r="AI80" s="3">
        <v>96589.410716585699</v>
      </c>
      <c r="AJ80" s="3">
        <v>358180.011412911</v>
      </c>
      <c r="AK80" s="3">
        <v>114435.099597758</v>
      </c>
      <c r="AL80" s="3">
        <v>13017.5249940064</v>
      </c>
      <c r="AM80" s="3">
        <v>66480.374027198093</v>
      </c>
      <c r="AN80" s="3">
        <v>14009.789790531901</v>
      </c>
      <c r="AO80" s="3">
        <v>10904.490845226101</v>
      </c>
      <c r="AP80" s="3">
        <v>12102.8770382291</v>
      </c>
      <c r="AQ80" s="3">
        <v>35.0624561403515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3489.6831977998299</v>
      </c>
      <c r="AZ80" s="3">
        <v>1947.2908157894699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</row>
    <row r="81" spans="1:66" x14ac:dyDescent="0.3">
      <c r="A81" t="s">
        <v>0</v>
      </c>
      <c r="B81" s="3">
        <v>189951.98703510599</v>
      </c>
      <c r="C81" s="3">
        <v>189757.69019297301</v>
      </c>
      <c r="D81" s="3">
        <v>189951.03815598899</v>
      </c>
      <c r="E81" s="3">
        <v>3049066.5912629198</v>
      </c>
      <c r="F81" s="3">
        <v>3092471.8310868102</v>
      </c>
      <c r="G81" s="3">
        <v>2879761.3036968498</v>
      </c>
      <c r="H81" s="3">
        <v>188598.06800528901</v>
      </c>
      <c r="I81" s="3">
        <v>2880290.5538512398</v>
      </c>
      <c r="J81" s="3">
        <v>7307027.2281987704</v>
      </c>
      <c r="K81" s="3">
        <v>7514449.5244724201</v>
      </c>
      <c r="L81" s="3">
        <v>7677640.5651971698</v>
      </c>
      <c r="M81" s="3">
        <v>7678386.9193024999</v>
      </c>
      <c r="N81" s="3">
        <v>7678370.4957761904</v>
      </c>
      <c r="O81" s="3">
        <v>7680688.8792498698</v>
      </c>
      <c r="P81" s="3">
        <v>7680167.6952323196</v>
      </c>
      <c r="Q81" s="3">
        <v>7517556.31400433</v>
      </c>
      <c r="R81" s="3">
        <v>7676508.7744954899</v>
      </c>
      <c r="S81" s="3">
        <v>7676508.7744954899</v>
      </c>
      <c r="T81" s="3">
        <v>6986753.9513499904</v>
      </c>
      <c r="U81" s="3">
        <v>7675006.5948902201</v>
      </c>
      <c r="V81" s="3">
        <v>7355582.8625523997</v>
      </c>
      <c r="W81" s="3">
        <v>7598482.8586737802</v>
      </c>
      <c r="X81" s="3">
        <v>7721234.7014960796</v>
      </c>
      <c r="Y81" s="3">
        <v>7622667.1230305498</v>
      </c>
      <c r="Z81" s="3">
        <v>2962920.4938157098</v>
      </c>
      <c r="AA81" s="3">
        <v>7675006.5948902201</v>
      </c>
      <c r="AB81" s="3">
        <v>7715145.1860090699</v>
      </c>
      <c r="AC81" s="3">
        <v>7832825.4786606897</v>
      </c>
      <c r="AD81" s="3">
        <v>6970733.4634505101</v>
      </c>
      <c r="AE81" s="3">
        <v>7655363.2057680301</v>
      </c>
      <c r="AF81" s="3">
        <v>7677044.9225705899</v>
      </c>
      <c r="AG81" s="3">
        <v>7730855.8658773201</v>
      </c>
      <c r="AH81" s="3">
        <v>7703476.8872049497</v>
      </c>
      <c r="AI81" s="3">
        <v>7544355.2015550602</v>
      </c>
      <c r="AJ81" s="3">
        <v>7756946.9525807202</v>
      </c>
      <c r="AK81" s="3">
        <v>7745705.2748055002</v>
      </c>
      <c r="AL81" s="3">
        <v>7603428.6313284496</v>
      </c>
      <c r="AM81" s="3">
        <v>7594439.9180144696</v>
      </c>
      <c r="AN81" s="3">
        <v>7672723.4842454204</v>
      </c>
      <c r="AO81" s="3">
        <v>7673561.85184603</v>
      </c>
      <c r="AP81" s="3">
        <v>7635928.7020027703</v>
      </c>
      <c r="AQ81" s="3">
        <v>7669973.9832275799</v>
      </c>
      <c r="AR81" s="3">
        <v>7718560.1127040498</v>
      </c>
      <c r="AS81" s="3">
        <v>7645987.5474986099</v>
      </c>
      <c r="AT81" s="3">
        <v>7688039.5546650495</v>
      </c>
      <c r="AU81" s="3">
        <v>7701385.7281561298</v>
      </c>
      <c r="AV81" s="3">
        <v>7647772.8690141803</v>
      </c>
      <c r="AW81" s="3">
        <v>7725720.7734477501</v>
      </c>
      <c r="AX81" s="3">
        <v>7671740.7152322195</v>
      </c>
      <c r="AY81" s="3">
        <v>7695127.43834987</v>
      </c>
      <c r="AZ81" s="3">
        <v>7720665.2864581002</v>
      </c>
      <c r="BA81" s="3">
        <v>7724323.5477082897</v>
      </c>
      <c r="BB81" s="3">
        <v>7671613.4336484103</v>
      </c>
      <c r="BC81" s="3">
        <v>7688039.5546650495</v>
      </c>
      <c r="BD81" s="3">
        <v>7670184.4346952504</v>
      </c>
      <c r="BE81" s="3">
        <v>7688039.5546650495</v>
      </c>
      <c r="BF81" s="3">
        <v>7670184.4346952504</v>
      </c>
      <c r="BG81" s="3">
        <v>7671643.96688262</v>
      </c>
      <c r="BH81" s="3">
        <v>7724238.6002300996</v>
      </c>
      <c r="BI81" s="3">
        <v>11663698.2053065</v>
      </c>
      <c r="BJ81" s="3">
        <v>8227029.5159309097</v>
      </c>
      <c r="BK81" s="3">
        <v>7710700.2683432698</v>
      </c>
      <c r="BL81" s="3">
        <v>11442406.393465901</v>
      </c>
      <c r="BM81" s="3">
        <v>8174998.0465153297</v>
      </c>
      <c r="BN81" s="3">
        <v>7675385.5236858204</v>
      </c>
    </row>
    <row r="82" spans="1:66" x14ac:dyDescent="0.3">
      <c r="A82" t="s">
        <v>1</v>
      </c>
      <c r="B82" s="3">
        <v>411819.21304413403</v>
      </c>
      <c r="C82" s="3">
        <v>0</v>
      </c>
      <c r="D82" s="3">
        <v>412166.738262809</v>
      </c>
      <c r="E82" s="3">
        <v>507733.34651742602</v>
      </c>
      <c r="F82" s="3">
        <v>704228.27824355895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99359.999999996697</v>
      </c>
      <c r="X82" s="3">
        <v>324749.49768816098</v>
      </c>
      <c r="Y82" s="3">
        <v>0</v>
      </c>
      <c r="Z82" s="3">
        <v>70409.784421051794</v>
      </c>
      <c r="AA82" s="3">
        <v>0</v>
      </c>
      <c r="AB82" s="3">
        <v>225883.31279994699</v>
      </c>
      <c r="AC82" s="3">
        <v>827994.48000002</v>
      </c>
      <c r="AD82" s="3">
        <v>0</v>
      </c>
      <c r="AE82" s="3">
        <v>170972.063999993</v>
      </c>
      <c r="AF82" s="3">
        <v>99359.999999999796</v>
      </c>
      <c r="AG82" s="3">
        <v>0</v>
      </c>
      <c r="AH82" s="3">
        <v>344868.57582330698</v>
      </c>
      <c r="AI82" s="3">
        <v>137867.519999999</v>
      </c>
      <c r="AJ82" s="3">
        <v>17723.941755947399</v>
      </c>
      <c r="AK82" s="3">
        <v>11872.4127980699</v>
      </c>
      <c r="AL82" s="3">
        <v>5329.0409510585096</v>
      </c>
      <c r="AM82" s="3">
        <v>19677.590544271501</v>
      </c>
      <c r="AN82" s="3">
        <v>8606.9520923311102</v>
      </c>
      <c r="AO82" s="3">
        <v>12878.141521038</v>
      </c>
      <c r="AP82" s="3">
        <v>11265.655479702</v>
      </c>
      <c r="AQ82" s="3">
        <v>4.3828070175448</v>
      </c>
      <c r="AR82" s="3">
        <v>398831.03999970399</v>
      </c>
      <c r="AS82" s="3">
        <v>2.1899999999972</v>
      </c>
      <c r="AT82" s="3">
        <v>99359.999999997701</v>
      </c>
      <c r="AU82" s="3">
        <v>305269.24799992499</v>
      </c>
      <c r="AV82" s="3">
        <v>9840.0554352409108</v>
      </c>
      <c r="AW82" s="3">
        <v>306999.21599986602</v>
      </c>
      <c r="AX82" s="3">
        <v>9546.6035438602194</v>
      </c>
      <c r="AY82" s="3">
        <v>290013.07200001599</v>
      </c>
      <c r="AZ82" s="3">
        <v>289871.75999993098</v>
      </c>
      <c r="BA82" s="5">
        <v>299299.919999882</v>
      </c>
      <c r="BB82" s="3">
        <v>8845.22898245529</v>
      </c>
      <c r="BC82" s="3">
        <v>99359.999999997701</v>
      </c>
      <c r="BD82" s="3">
        <v>970.84933333334595</v>
      </c>
      <c r="BE82" s="3">
        <v>99359.999999997701</v>
      </c>
      <c r="BF82" s="3">
        <v>970.84933333334595</v>
      </c>
      <c r="BG82" s="3">
        <v>9013.4798245611</v>
      </c>
      <c r="BH82" s="3">
        <v>298831.82399994001</v>
      </c>
      <c r="BI82" s="3">
        <v>4702616.4429896995</v>
      </c>
      <c r="BJ82" s="3">
        <v>2982061.72486516</v>
      </c>
      <c r="BK82" s="3">
        <v>132489.805127036</v>
      </c>
      <c r="BL82" s="3">
        <v>4504377.0382893896</v>
      </c>
      <c r="BM82" s="3">
        <v>2782704.18947108</v>
      </c>
      <c r="BN82" s="3">
        <v>29631.016788748901</v>
      </c>
    </row>
    <row r="83" spans="1:66" x14ac:dyDescent="0.3">
      <c r="A83" t="s">
        <v>35</v>
      </c>
      <c r="B83" s="3">
        <v>21202.142590907199</v>
      </c>
      <c r="C83" s="3">
        <v>57255.887719298596</v>
      </c>
      <c r="D83" s="3">
        <v>24826.1592116758</v>
      </c>
      <c r="E83" s="3">
        <v>20030.2914802216</v>
      </c>
      <c r="F83" s="3">
        <v>26434.568986302202</v>
      </c>
      <c r="G83" s="3">
        <v>116843.828544738</v>
      </c>
      <c r="H83" s="3">
        <v>60246.298210522204</v>
      </c>
      <c r="I83" s="3">
        <v>118589.79328158101</v>
      </c>
      <c r="J83" s="3">
        <v>218411.00996315401</v>
      </c>
      <c r="K83" s="3">
        <v>44954.264158763101</v>
      </c>
      <c r="L83" s="3">
        <v>6731.8308771929796</v>
      </c>
      <c r="M83" s="3">
        <v>4601.4033429824503</v>
      </c>
      <c r="N83" s="3">
        <v>4601.4033429824503</v>
      </c>
      <c r="O83" s="3">
        <v>2791.5394403508699</v>
      </c>
      <c r="P83" s="3">
        <v>3329.1469842105198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26171.701351757802</v>
      </c>
      <c r="W83" s="3">
        <v>22117.4537903454</v>
      </c>
      <c r="X83" s="3">
        <v>5014.1214087810504</v>
      </c>
      <c r="Y83" s="3">
        <v>7899.3762535086098</v>
      </c>
      <c r="Z83" s="3">
        <v>4606213.96369908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</row>
    <row r="84" spans="1:66" x14ac:dyDescent="0.3">
      <c r="A84" s="2" t="s">
        <v>22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</row>
    <row r="85" spans="1:66" x14ac:dyDescent="0.3">
      <c r="A85" t="s">
        <v>0</v>
      </c>
      <c r="B85" s="3">
        <v>2472.9729662621198</v>
      </c>
      <c r="C85" s="3">
        <v>3003.5805877192902</v>
      </c>
      <c r="D85" s="3">
        <v>2435.4392505638398</v>
      </c>
      <c r="E85" s="3">
        <v>465.42218602278001</v>
      </c>
      <c r="F85" s="3">
        <v>562.38473322931497</v>
      </c>
      <c r="G85" s="3">
        <v>584.79838596491197</v>
      </c>
      <c r="H85" s="3">
        <v>1656.9666456140101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194.31494736824601</v>
      </c>
      <c r="R85" s="3">
        <v>0</v>
      </c>
      <c r="S85" s="3">
        <v>0</v>
      </c>
      <c r="T85" s="3">
        <v>1427.21869824544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44.891245614034801</v>
      </c>
      <c r="AC85" s="3">
        <v>0</v>
      </c>
      <c r="AD85" s="3">
        <v>995.49915087635304</v>
      </c>
      <c r="AE85" s="3">
        <v>120.118701754385</v>
      </c>
      <c r="AF85" s="3">
        <v>0</v>
      </c>
      <c r="AG85" s="3">
        <v>0</v>
      </c>
      <c r="AH85" s="3">
        <v>0</v>
      </c>
      <c r="AI85" s="3">
        <v>446.10436332767398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195.30698254971401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3124431.9163325899</v>
      </c>
      <c r="BJ85" s="3">
        <v>0</v>
      </c>
      <c r="BK85" s="3">
        <v>0</v>
      </c>
      <c r="BL85" s="3">
        <v>2954968.6617214298</v>
      </c>
      <c r="BM85" s="3">
        <v>0</v>
      </c>
      <c r="BN85" s="3">
        <v>0</v>
      </c>
    </row>
    <row r="86" spans="1:66" x14ac:dyDescent="0.3">
      <c r="A86" t="s">
        <v>24</v>
      </c>
      <c r="B86" s="3">
        <v>7664659.2720423704</v>
      </c>
      <c r="C86" s="3">
        <v>7628605.5269133803</v>
      </c>
      <c r="D86" s="3">
        <v>7661035.2554214699</v>
      </c>
      <c r="E86" s="3">
        <v>7665831.1231528902</v>
      </c>
      <c r="F86" s="3">
        <v>7659426.8456469998</v>
      </c>
      <c r="G86" s="3">
        <v>7569017.5860898104</v>
      </c>
      <c r="H86" s="3">
        <v>7625615.1164232604</v>
      </c>
      <c r="I86" s="3">
        <v>7567271.6213527499</v>
      </c>
      <c r="J86" s="3">
        <v>7467450.4046713598</v>
      </c>
      <c r="K86" s="3">
        <v>7640907.1504754797</v>
      </c>
      <c r="L86" s="3">
        <v>7679129.5837559802</v>
      </c>
      <c r="M86" s="3">
        <v>7681260.0112901898</v>
      </c>
      <c r="N86" s="3">
        <v>7681260.0112901898</v>
      </c>
      <c r="O86" s="3">
        <v>7683069.8751928201</v>
      </c>
      <c r="P86" s="3">
        <v>7682532.2676489502</v>
      </c>
      <c r="Q86" s="3">
        <v>7685861.4146331698</v>
      </c>
      <c r="R86" s="3">
        <v>7685861.4146331698</v>
      </c>
      <c r="S86" s="3">
        <v>7685861.4146331698</v>
      </c>
      <c r="T86" s="3">
        <v>7685861.4146331698</v>
      </c>
      <c r="U86" s="3">
        <v>7685861.4146331698</v>
      </c>
      <c r="V86" s="3">
        <v>7659689.7132813698</v>
      </c>
      <c r="W86" s="3">
        <v>7663743.9608433601</v>
      </c>
      <c r="X86" s="3">
        <v>7680847.2932246402</v>
      </c>
      <c r="Y86" s="3">
        <v>7677962.0383798797</v>
      </c>
      <c r="Z86" s="3">
        <v>3079647.45093212</v>
      </c>
      <c r="AA86" s="3">
        <v>7685861.4146331698</v>
      </c>
      <c r="AB86" s="3">
        <v>7685861.4146331698</v>
      </c>
      <c r="AC86" s="3">
        <v>7685861.4146331698</v>
      </c>
      <c r="AD86" s="3">
        <v>7670008.2503171796</v>
      </c>
      <c r="AE86" s="3">
        <v>7670008.2503171796</v>
      </c>
      <c r="AF86" s="3">
        <v>7738442.9501755601</v>
      </c>
      <c r="AG86" s="3">
        <v>7738442.9501755601</v>
      </c>
      <c r="AH86" s="3">
        <v>7738442.9501755601</v>
      </c>
      <c r="AI86" s="3">
        <v>7615479.0713864798</v>
      </c>
      <c r="AJ86" s="3">
        <v>8111910.5208772197</v>
      </c>
      <c r="AK86" s="3">
        <v>7857985.8344626203</v>
      </c>
      <c r="AL86" s="3">
        <v>7615479.0713864798</v>
      </c>
      <c r="AM86" s="3">
        <v>7657349.3115268704</v>
      </c>
      <c r="AN86" s="3">
        <v>7685171.3318804</v>
      </c>
      <c r="AO86" s="3">
        <v>7682129.2886527795</v>
      </c>
      <c r="AP86" s="3">
        <v>7645987.1500695003</v>
      </c>
      <c r="AQ86" s="3">
        <v>7670008.2503171796</v>
      </c>
      <c r="AR86" s="3">
        <v>7645987.1500695003</v>
      </c>
      <c r="AS86" s="3">
        <v>7645987.1500695003</v>
      </c>
      <c r="AT86" s="3">
        <v>7670008.2503171796</v>
      </c>
      <c r="AU86" s="3">
        <v>7645987.1500695003</v>
      </c>
      <c r="AV86" s="3">
        <v>7645987.1500695003</v>
      </c>
      <c r="AW86" s="3">
        <v>7670008.2503171796</v>
      </c>
      <c r="AX86" s="3">
        <v>7670008.2503171796</v>
      </c>
      <c r="AY86" s="3">
        <v>7645987.1500695003</v>
      </c>
      <c r="AZ86" s="3">
        <v>7670008.2503171796</v>
      </c>
      <c r="BA86" s="3">
        <v>7670008.2503171796</v>
      </c>
      <c r="BB86" s="3">
        <v>7670008.2503171796</v>
      </c>
      <c r="BC86" s="3">
        <v>7670008.2503171796</v>
      </c>
      <c r="BD86" s="3">
        <v>7670008.2503171796</v>
      </c>
      <c r="BE86" s="3">
        <v>7670008.2503171796</v>
      </c>
      <c r="BF86" s="3">
        <v>7670008.2503171796</v>
      </c>
      <c r="BG86" s="3">
        <v>7670008.2503171796</v>
      </c>
      <c r="BH86" s="3">
        <v>7670008.2503171796</v>
      </c>
      <c r="BI86" s="3">
        <v>7685861.4146331698</v>
      </c>
      <c r="BJ86" s="3">
        <v>7685861.4146331698</v>
      </c>
      <c r="BK86" s="3">
        <v>7685861.4146331698</v>
      </c>
      <c r="BL86" s="3">
        <v>7670008.2503171796</v>
      </c>
      <c r="BM86" s="3">
        <v>7670008.2503171796</v>
      </c>
      <c r="BN86" s="3">
        <v>7670008.2503171796</v>
      </c>
    </row>
    <row r="87" spans="1:66" x14ac:dyDescent="0.3">
      <c r="A87" t="s">
        <v>1</v>
      </c>
      <c r="B87" s="3">
        <v>486553.890647683</v>
      </c>
      <c r="C87" s="3">
        <v>0</v>
      </c>
      <c r="D87" s="3">
        <v>486964.48282476899</v>
      </c>
      <c r="E87" s="3">
        <v>599873.99163205398</v>
      </c>
      <c r="F87" s="3">
        <v>832027.73894551501</v>
      </c>
      <c r="G87" s="3">
        <v>626.08695652173901</v>
      </c>
      <c r="H87" s="3">
        <v>0</v>
      </c>
      <c r="I87" s="3">
        <v>626.08695652173901</v>
      </c>
      <c r="J87" s="3">
        <v>782.60869565217297</v>
      </c>
      <c r="K87" s="3">
        <v>782.60869565217297</v>
      </c>
      <c r="L87" s="3">
        <v>782.60869565217297</v>
      </c>
      <c r="M87" s="3">
        <v>782.60869565217297</v>
      </c>
      <c r="N87" s="3">
        <v>782.60869565217297</v>
      </c>
      <c r="O87" s="3">
        <v>782.60869565217297</v>
      </c>
      <c r="P87" s="3">
        <v>782.60869565217297</v>
      </c>
      <c r="Q87" s="3">
        <v>782.60869565217297</v>
      </c>
      <c r="R87" s="3">
        <v>782.60869565217297</v>
      </c>
      <c r="S87" s="3">
        <v>782.60869565217297</v>
      </c>
      <c r="T87" s="3">
        <v>782.60869565217297</v>
      </c>
      <c r="U87" s="3">
        <v>782.60869565217297</v>
      </c>
      <c r="V87" s="3">
        <v>782.60869565217297</v>
      </c>
      <c r="W87" s="3">
        <v>117391.304347823</v>
      </c>
      <c r="X87" s="3">
        <v>383683.24396047101</v>
      </c>
      <c r="Y87" s="3">
        <v>782.60869565217297</v>
      </c>
      <c r="Z87" s="3">
        <v>83256.0269210353</v>
      </c>
      <c r="AA87" s="3">
        <v>782.60869565217297</v>
      </c>
      <c r="AB87" s="3">
        <v>266875.36956515198</v>
      </c>
      <c r="AC87" s="3">
        <v>978254.34782616305</v>
      </c>
      <c r="AD87" s="3">
        <v>0</v>
      </c>
      <c r="AE87" s="3">
        <v>201999.13043478399</v>
      </c>
      <c r="AF87" s="3">
        <v>117391.30434782599</v>
      </c>
      <c r="AG87" s="3">
        <v>0</v>
      </c>
      <c r="AH87" s="3">
        <v>407453.42134133697</v>
      </c>
      <c r="AI87" s="3">
        <v>162886.95652174001</v>
      </c>
      <c r="AJ87" s="3">
        <v>20940.3848723386</v>
      </c>
      <c r="AK87" s="3">
        <v>14026.9527387502</v>
      </c>
      <c r="AL87" s="3">
        <v>6296.1258873564102</v>
      </c>
      <c r="AM87" s="3">
        <v>23248.571058922</v>
      </c>
      <c r="AN87" s="3">
        <v>10168.8942489734</v>
      </c>
      <c r="AO87" s="3">
        <v>15215.1955588822</v>
      </c>
      <c r="AP87" s="3">
        <v>13310.084451444</v>
      </c>
      <c r="AQ87" s="3">
        <v>5.1781746426569004</v>
      </c>
      <c r="AR87" s="3">
        <v>471208.69565184298</v>
      </c>
      <c r="AS87" s="3">
        <v>2.5874291115096399</v>
      </c>
      <c r="AT87" s="3">
        <v>117391.304347824</v>
      </c>
      <c r="AU87" s="3">
        <v>360667.82608691801</v>
      </c>
      <c r="AV87" s="3">
        <v>11625.7743800105</v>
      </c>
      <c r="AW87" s="3">
        <v>362711.739130278</v>
      </c>
      <c r="AX87" s="3">
        <v>11279.0684591919</v>
      </c>
      <c r="AY87" s="3">
        <v>342643.04347832</v>
      </c>
      <c r="AZ87" s="3">
        <v>342476.08695644798</v>
      </c>
      <c r="BA87" s="3">
        <v>353615.21739113599</v>
      </c>
      <c r="BB87" s="3">
        <v>10450.412313864799</v>
      </c>
      <c r="BC87" s="3">
        <v>117391.304347824</v>
      </c>
      <c r="BD87" s="3">
        <v>1147.0337114051799</v>
      </c>
      <c r="BE87" s="3">
        <v>117391.304347824</v>
      </c>
      <c r="BF87" s="3">
        <v>1147.0337114051799</v>
      </c>
      <c r="BG87" s="3">
        <v>10649.196390076901</v>
      </c>
      <c r="BH87" s="3">
        <v>353062.17391299497</v>
      </c>
      <c r="BI87" s="3">
        <v>5556021.3173316903</v>
      </c>
      <c r="BJ87" s="3">
        <v>3523229.82616458</v>
      </c>
      <c r="BK87" s="3">
        <v>157328.658836071</v>
      </c>
      <c r="BL87" s="3">
        <v>5321806.5197182</v>
      </c>
      <c r="BM87" s="3">
        <v>3287693.9856702201</v>
      </c>
      <c r="BN87" s="3">
        <v>35008.290156839299</v>
      </c>
    </row>
    <row r="88" spans="1:66" x14ac:dyDescent="0.3">
      <c r="A88" s="2" t="s">
        <v>27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</row>
    <row r="89" spans="1:66" x14ac:dyDescent="0.3">
      <c r="A89" t="s">
        <v>2</v>
      </c>
      <c r="B89" s="3">
        <v>2305589764.5666699</v>
      </c>
      <c r="C89" s="3">
        <v>2271987516.2199101</v>
      </c>
      <c r="D89" s="3">
        <v>2304491441.9846501</v>
      </c>
      <c r="E89" s="3">
        <v>1437764691.9583001</v>
      </c>
      <c r="F89" s="3">
        <v>1433474103.7413399</v>
      </c>
      <c r="G89" s="3">
        <v>1431993499.0292101</v>
      </c>
      <c r="H89" s="3">
        <v>2271017459.4651499</v>
      </c>
      <c r="I89" s="3">
        <v>1431120340.7116201</v>
      </c>
      <c r="J89" s="3">
        <v>49215915.624048501</v>
      </c>
      <c r="K89" s="3">
        <v>38846277.435859099</v>
      </c>
      <c r="L89" s="3">
        <v>693524.83327793004</v>
      </c>
      <c r="M89" s="3">
        <v>1116080.6430843</v>
      </c>
      <c r="N89" s="3">
        <v>1121094.72421403</v>
      </c>
      <c r="O89" s="3">
        <v>965844.36346406897</v>
      </c>
      <c r="P89" s="3">
        <v>960830.28233434097</v>
      </c>
      <c r="Q89" s="3">
        <v>51681580.872651801</v>
      </c>
      <c r="R89" s="3">
        <v>3094278.2288761698</v>
      </c>
      <c r="S89" s="3">
        <v>3094278.2288761698</v>
      </c>
      <c r="T89" s="3">
        <v>214111252.69451299</v>
      </c>
      <c r="U89" s="3">
        <v>3552891.7000265201</v>
      </c>
      <c r="V89" s="3">
        <v>93082353.677220806</v>
      </c>
      <c r="W89" s="3">
        <v>25429062.9024923</v>
      </c>
      <c r="X89" s="3">
        <v>5662172.7641016003</v>
      </c>
      <c r="Y89" s="3">
        <v>17120394.8353227</v>
      </c>
      <c r="Z89" s="3">
        <v>39558528.578106299</v>
      </c>
      <c r="AA89" s="3">
        <v>3552891.7000265201</v>
      </c>
      <c r="AB89" s="3">
        <v>3588229.4732103799</v>
      </c>
      <c r="AC89" s="3">
        <v>1006204.59420972</v>
      </c>
      <c r="AD89" s="3">
        <v>213791603.53970399</v>
      </c>
      <c r="AE89" s="3">
        <v>13980307.903483201</v>
      </c>
      <c r="AF89" s="3">
        <v>24249671.284570999</v>
      </c>
      <c r="AG89" s="3">
        <v>2316326.9250478302</v>
      </c>
      <c r="AH89" s="3">
        <v>29782164.9282814</v>
      </c>
      <c r="AI89" s="3">
        <v>29488620.914501499</v>
      </c>
      <c r="AJ89" s="3">
        <v>109351889.58444899</v>
      </c>
      <c r="AK89" s="3">
        <v>34936886.417633399</v>
      </c>
      <c r="AL89" s="3">
        <v>3974233.3755369699</v>
      </c>
      <c r="AM89" s="3">
        <v>20296371.345453098</v>
      </c>
      <c r="AN89" s="3">
        <v>4277170.5216947598</v>
      </c>
      <c r="AO89" s="3">
        <v>3329126.81022608</v>
      </c>
      <c r="AP89" s="3">
        <v>3694992.5494666998</v>
      </c>
      <c r="AQ89" s="3">
        <v>10704.522056646199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1065395.7216238901</v>
      </c>
      <c r="AZ89" s="3">
        <v>594505.34226362896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0</v>
      </c>
      <c r="BJ89" s="3">
        <v>0</v>
      </c>
      <c r="BK89" s="3">
        <v>0</v>
      </c>
      <c r="BL89" s="3">
        <v>0</v>
      </c>
      <c r="BM89" s="3">
        <v>0</v>
      </c>
      <c r="BN89" s="3">
        <v>0</v>
      </c>
    </row>
    <row r="90" spans="1:66" x14ac:dyDescent="0.3">
      <c r="A90" t="s">
        <v>0</v>
      </c>
      <c r="B90" s="3">
        <v>11084614.929826399</v>
      </c>
      <c r="C90" s="3">
        <v>10906171.4334148</v>
      </c>
      <c r="D90" s="3">
        <v>11086811.791450201</v>
      </c>
      <c r="E90" s="3">
        <v>120960970.15776899</v>
      </c>
      <c r="F90" s="3">
        <v>113312298.149334</v>
      </c>
      <c r="G90" s="3">
        <v>121115835.15784</v>
      </c>
      <c r="H90" s="3">
        <v>9935287.7570965104</v>
      </c>
      <c r="I90" s="3">
        <v>121344528.61445101</v>
      </c>
      <c r="J90" s="3">
        <v>309377547.95568901</v>
      </c>
      <c r="K90" s="3">
        <v>320597717.69572097</v>
      </c>
      <c r="L90" s="3">
        <v>329490582.70186299</v>
      </c>
      <c r="M90" s="3">
        <v>329675537.950122</v>
      </c>
      <c r="N90" s="3">
        <v>329674300.10753798</v>
      </c>
      <c r="O90" s="3">
        <v>329929062.14189899</v>
      </c>
      <c r="P90" s="3">
        <v>329857310.20959097</v>
      </c>
      <c r="Q90" s="3">
        <v>319322741.90834802</v>
      </c>
      <c r="R90" s="3">
        <v>328176622.87050301</v>
      </c>
      <c r="S90" s="3">
        <v>328176622.87050301</v>
      </c>
      <c r="T90" s="3">
        <v>288973625.39870203</v>
      </c>
      <c r="U90" s="3">
        <v>327821084.92194599</v>
      </c>
      <c r="V90" s="3">
        <v>311368577.775922</v>
      </c>
      <c r="W90" s="3">
        <v>318851181.63205397</v>
      </c>
      <c r="X90" s="3">
        <v>314392835.60745698</v>
      </c>
      <c r="Y90" s="3">
        <v>327222835.619569</v>
      </c>
      <c r="Z90" s="3">
        <v>122746014.403165</v>
      </c>
      <c r="AA90" s="3">
        <v>327821084.92194599</v>
      </c>
      <c r="AB90" s="3">
        <v>310521340.89467198</v>
      </c>
      <c r="AC90" s="3">
        <v>293398760.88216501</v>
      </c>
      <c r="AD90" s="3">
        <v>289207865.26038402</v>
      </c>
      <c r="AE90" s="3">
        <v>318578165.48023999</v>
      </c>
      <c r="AF90" s="3">
        <v>338583295.20666301</v>
      </c>
      <c r="AG90" s="3">
        <v>346289178.82830203</v>
      </c>
      <c r="AH90" s="3">
        <v>333701979.18038899</v>
      </c>
      <c r="AI90" s="3">
        <v>332881096.054681</v>
      </c>
      <c r="AJ90" s="3">
        <v>426669397.27514702</v>
      </c>
      <c r="AK90" s="3">
        <v>425649893.30061001</v>
      </c>
      <c r="AL90" s="3">
        <v>351037955.14521199</v>
      </c>
      <c r="AM90" s="3">
        <v>330064949.75074601</v>
      </c>
      <c r="AN90" s="3">
        <v>375317606.127478</v>
      </c>
      <c r="AO90" s="3">
        <v>325770268.65075803</v>
      </c>
      <c r="AP90" s="3">
        <v>338175002.12648302</v>
      </c>
      <c r="AQ90" s="3">
        <v>331459515.49467301</v>
      </c>
      <c r="AR90" s="3">
        <v>321380196.18409997</v>
      </c>
      <c r="AS90" s="3">
        <v>341287804.88261598</v>
      </c>
      <c r="AT90" s="3">
        <v>326897074.889341</v>
      </c>
      <c r="AU90" s="3">
        <v>326054995.69194901</v>
      </c>
      <c r="AV90" s="3">
        <v>339864580.35255897</v>
      </c>
      <c r="AW90" s="3">
        <v>317483522.54990101</v>
      </c>
      <c r="AX90" s="3">
        <v>330594342.69532299</v>
      </c>
      <c r="AY90" s="3">
        <v>324200270.49634999</v>
      </c>
      <c r="AZ90" s="3">
        <v>316900072.73451501</v>
      </c>
      <c r="BA90" s="3">
        <v>317835911.64261001</v>
      </c>
      <c r="BB90" s="3">
        <v>330596991.93365598</v>
      </c>
      <c r="BC90" s="3">
        <v>326897758.52137703</v>
      </c>
      <c r="BD90" s="3">
        <v>331342301.005171</v>
      </c>
      <c r="BE90" s="3">
        <v>326897758.52137703</v>
      </c>
      <c r="BF90" s="3">
        <v>331342301.005171</v>
      </c>
      <c r="BG90" s="3">
        <v>330588196.53068</v>
      </c>
      <c r="BH90" s="3">
        <v>317857494.28109699</v>
      </c>
      <c r="BI90" s="3">
        <v>369738733.10140699</v>
      </c>
      <c r="BJ90" s="3">
        <v>234060243.661291</v>
      </c>
      <c r="BK90" s="3">
        <v>324129883.19314897</v>
      </c>
      <c r="BL90" s="3">
        <v>387158870.48873401</v>
      </c>
      <c r="BM90" s="3">
        <v>259924674.949826</v>
      </c>
      <c r="BN90" s="3">
        <v>329263368.95488399</v>
      </c>
    </row>
    <row r="91" spans="1:66" x14ac:dyDescent="0.3">
      <c r="A91" t="s">
        <v>1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>
        <v>0</v>
      </c>
      <c r="BM91" s="3">
        <v>0</v>
      </c>
      <c r="BN91" s="3">
        <v>0</v>
      </c>
    </row>
    <row r="92" spans="1:66" x14ac:dyDescent="0.3">
      <c r="A92" s="2" t="s">
        <v>28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</row>
    <row r="93" spans="1:66" x14ac:dyDescent="0.3">
      <c r="A93" t="s">
        <v>0</v>
      </c>
      <c r="B93" s="3">
        <v>1937830.24850617</v>
      </c>
      <c r="C93" s="3">
        <v>1770536.9079175801</v>
      </c>
      <c r="D93" s="3">
        <v>1923489.33599052</v>
      </c>
      <c r="E93" s="3">
        <v>236124.94824217999</v>
      </c>
      <c r="F93" s="3">
        <v>221086.345003836</v>
      </c>
      <c r="G93" s="3">
        <v>222662.824504385</v>
      </c>
      <c r="H93" s="3">
        <v>674248.02661490894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68999.202625181701</v>
      </c>
      <c r="R93" s="3">
        <v>0</v>
      </c>
      <c r="S93" s="3">
        <v>0</v>
      </c>
      <c r="T93" s="3">
        <v>562014.66720550996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15134.328222105099</v>
      </c>
      <c r="AC93" s="3">
        <v>0</v>
      </c>
      <c r="AD93" s="3">
        <v>358632.62827261799</v>
      </c>
      <c r="AE93" s="3">
        <v>40154.239265964701</v>
      </c>
      <c r="AF93" s="3">
        <v>0</v>
      </c>
      <c r="AG93" s="3">
        <v>0</v>
      </c>
      <c r="AH93" s="3">
        <v>0</v>
      </c>
      <c r="AI93" s="3">
        <v>140058.92591035599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11438.8122982648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213405835.99316001</v>
      </c>
      <c r="BJ93" s="3">
        <v>0</v>
      </c>
      <c r="BK93" s="3">
        <v>0</v>
      </c>
      <c r="BL93" s="3">
        <v>184067829.950708</v>
      </c>
      <c r="BM93" s="3">
        <v>0</v>
      </c>
      <c r="BN93" s="3">
        <v>0</v>
      </c>
    </row>
    <row r="94" spans="1:66" x14ac:dyDescent="0.3">
      <c r="A94" t="s">
        <v>24</v>
      </c>
      <c r="B94" s="3">
        <v>19161648180.101898</v>
      </c>
      <c r="C94" s="3">
        <v>19071513817.2785</v>
      </c>
      <c r="D94" s="3">
        <v>19152588138.550098</v>
      </c>
      <c r="E94" s="3">
        <v>19164577807.8797</v>
      </c>
      <c r="F94" s="3">
        <v>19148567114.1133</v>
      </c>
      <c r="G94" s="3">
        <v>18922543965.2178</v>
      </c>
      <c r="H94" s="3">
        <v>19064037791.0508</v>
      </c>
      <c r="I94" s="3">
        <v>18918179053.377602</v>
      </c>
      <c r="J94" s="3">
        <v>18668626011.671001</v>
      </c>
      <c r="K94" s="3">
        <v>76409071504.731094</v>
      </c>
      <c r="L94" s="3">
        <v>76791295837.546799</v>
      </c>
      <c r="M94" s="3">
        <v>76812600112.888901</v>
      </c>
      <c r="N94" s="3">
        <v>153625200225.77701</v>
      </c>
      <c r="O94" s="3">
        <v>384153493759.52899</v>
      </c>
      <c r="P94" s="3">
        <v>768253226764.672</v>
      </c>
      <c r="Q94" s="3">
        <v>76858614146.318405</v>
      </c>
      <c r="R94" s="3">
        <v>76858614146.318405</v>
      </c>
      <c r="S94" s="3">
        <v>76858614146.318405</v>
      </c>
      <c r="T94" s="3">
        <v>76858614146.318405</v>
      </c>
      <c r="U94" s="3">
        <v>76858614146.318405</v>
      </c>
      <c r="V94" s="3">
        <v>76596897132.794098</v>
      </c>
      <c r="W94" s="3">
        <v>76637439608.415298</v>
      </c>
      <c r="X94" s="3">
        <v>76808472932.230804</v>
      </c>
      <c r="Y94" s="3">
        <v>76779620383.783096</v>
      </c>
      <c r="Z94" s="3">
        <v>30796474509.321899</v>
      </c>
      <c r="AA94" s="3">
        <v>76858614146.318405</v>
      </c>
      <c r="AB94" s="3">
        <v>76858614146.318405</v>
      </c>
      <c r="AC94" s="3">
        <v>76858614146.318405</v>
      </c>
      <c r="AD94" s="3">
        <v>76700082503.154099</v>
      </c>
      <c r="AE94" s="3">
        <v>76700082503.154099</v>
      </c>
      <c r="AF94" s="3">
        <v>77384429501.756805</v>
      </c>
      <c r="AG94" s="3">
        <v>77384429501.756805</v>
      </c>
      <c r="AH94" s="3">
        <v>77384429501.756805</v>
      </c>
      <c r="AI94" s="3">
        <v>76154790713.864807</v>
      </c>
      <c r="AJ94" s="3">
        <v>81119105208.772095</v>
      </c>
      <c r="AK94" s="3">
        <v>78579858344.627502</v>
      </c>
      <c r="AL94" s="3">
        <v>76154790713.864807</v>
      </c>
      <c r="AM94" s="3">
        <v>76573493115.274597</v>
      </c>
      <c r="AN94" s="3">
        <v>76851713318.801193</v>
      </c>
      <c r="AO94" s="3">
        <v>76821292886.530594</v>
      </c>
      <c r="AP94" s="3">
        <v>76459871500.705399</v>
      </c>
      <c r="AQ94" s="3">
        <v>76700082503.154099</v>
      </c>
      <c r="AR94" s="3">
        <v>76459871500.705399</v>
      </c>
      <c r="AS94" s="3">
        <v>76459871500.705399</v>
      </c>
      <c r="AT94" s="3">
        <v>76700082503.154099</v>
      </c>
      <c r="AU94" s="3">
        <v>76459871500.705399</v>
      </c>
      <c r="AV94" s="3">
        <v>76459871500.705399</v>
      </c>
      <c r="AW94" s="3">
        <v>76700082503.154099</v>
      </c>
      <c r="AX94" s="3">
        <v>76700082503.154099</v>
      </c>
      <c r="AY94" s="3">
        <v>76459871500.705399</v>
      </c>
      <c r="AZ94" s="3">
        <v>76700082503.154099</v>
      </c>
      <c r="BA94" s="3">
        <v>76700082503.154099</v>
      </c>
      <c r="BB94" s="3">
        <v>76700082503.154099</v>
      </c>
      <c r="BC94" s="3">
        <v>76700082503.154099</v>
      </c>
      <c r="BD94" s="3">
        <v>76700082503.154099</v>
      </c>
      <c r="BE94" s="3">
        <v>76700082503.154099</v>
      </c>
      <c r="BF94" s="3">
        <v>76700082503.154099</v>
      </c>
      <c r="BG94" s="3">
        <v>76700082503.154099</v>
      </c>
      <c r="BH94" s="3">
        <v>76700082503.154099</v>
      </c>
      <c r="BI94" s="3">
        <v>0</v>
      </c>
      <c r="BJ94" s="3">
        <v>0</v>
      </c>
      <c r="BK94" s="3">
        <v>0</v>
      </c>
      <c r="BL94" s="3">
        <v>0</v>
      </c>
      <c r="BM94" s="3">
        <v>0</v>
      </c>
      <c r="BN94" s="3">
        <v>0</v>
      </c>
    </row>
    <row r="95" spans="1:66" x14ac:dyDescent="0.3">
      <c r="A95" t="s">
        <v>1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>
        <v>0</v>
      </c>
      <c r="BM95" s="3">
        <v>0</v>
      </c>
      <c r="BN95" s="3">
        <v>0</v>
      </c>
    </row>
    <row r="96" spans="1:66" x14ac:dyDescent="0.3">
      <c r="V96" s="3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6BB-A2D1-4791-8AAC-69869F785713}">
  <dimension ref="A1:M52"/>
  <sheetViews>
    <sheetView topLeftCell="A15" zoomScale="90" zoomScaleNormal="90" workbookViewId="0">
      <selection activeCell="A22" sqref="A22:A52"/>
    </sheetView>
  </sheetViews>
  <sheetFormatPr defaultRowHeight="14.4" x14ac:dyDescent="0.3"/>
  <cols>
    <col min="1" max="1" width="32" customWidth="1"/>
    <col min="4" max="5" width="18.44140625" bestFit="1" customWidth="1"/>
    <col min="7" max="8" width="9.33203125" customWidth="1"/>
    <col min="11" max="13" width="19.6640625" bestFit="1" customWidth="1"/>
  </cols>
  <sheetData>
    <row r="1" spans="1:13" x14ac:dyDescent="0.3">
      <c r="A1" s="1" t="s">
        <v>7</v>
      </c>
    </row>
    <row r="2" spans="1:13" x14ac:dyDescent="0.3">
      <c r="A2" s="1" t="s">
        <v>6</v>
      </c>
    </row>
    <row r="3" spans="1:13" x14ac:dyDescent="0.3">
      <c r="A3" s="2" t="s">
        <v>33</v>
      </c>
    </row>
    <row r="4" spans="1:13" x14ac:dyDescent="0.3">
      <c r="A4" t="s">
        <v>34</v>
      </c>
      <c r="D4">
        <v>0</v>
      </c>
      <c r="E4">
        <v>0</v>
      </c>
      <c r="K4">
        <v>0</v>
      </c>
      <c r="L4">
        <v>0</v>
      </c>
      <c r="M4">
        <v>0</v>
      </c>
    </row>
    <row r="5" spans="1:13" x14ac:dyDescent="0.3">
      <c r="A5" t="s">
        <v>38</v>
      </c>
      <c r="K5" s="4">
        <v>10000</v>
      </c>
      <c r="L5" s="4">
        <v>10000</v>
      </c>
      <c r="M5" s="4">
        <v>10000</v>
      </c>
    </row>
    <row r="6" spans="1:13" x14ac:dyDescent="0.3">
      <c r="A6" t="s">
        <v>36</v>
      </c>
      <c r="K6">
        <v>40</v>
      </c>
      <c r="L6">
        <v>40</v>
      </c>
      <c r="M6">
        <v>40</v>
      </c>
    </row>
    <row r="7" spans="1:13" x14ac:dyDescent="0.3">
      <c r="A7" t="s">
        <v>37</v>
      </c>
      <c r="K7">
        <v>0.2</v>
      </c>
      <c r="L7">
        <v>0.2</v>
      </c>
      <c r="M7">
        <v>0.2</v>
      </c>
    </row>
    <row r="8" spans="1:13" x14ac:dyDescent="0.3">
      <c r="A8" s="2" t="s">
        <v>19</v>
      </c>
    </row>
    <row r="9" spans="1:13" x14ac:dyDescent="0.3">
      <c r="A9" t="s">
        <v>0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3" x14ac:dyDescent="0.3">
      <c r="A10" t="s">
        <v>1</v>
      </c>
      <c r="B10">
        <v>0</v>
      </c>
      <c r="C10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3" x14ac:dyDescent="0.3">
      <c r="A11" t="s">
        <v>2</v>
      </c>
      <c r="B11">
        <v>0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</row>
    <row r="12" spans="1:13" x14ac:dyDescent="0.3">
      <c r="A12" s="2" t="s">
        <v>20</v>
      </c>
    </row>
    <row r="13" spans="1:13" x14ac:dyDescent="0.3">
      <c r="A13" t="s">
        <v>8</v>
      </c>
      <c r="B13" t="s">
        <v>18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0</v>
      </c>
      <c r="M13">
        <v>0</v>
      </c>
    </row>
    <row r="14" spans="1:13" x14ac:dyDescent="0.3">
      <c r="A14" t="s">
        <v>3</v>
      </c>
      <c r="B14" t="s">
        <v>18</v>
      </c>
      <c r="C14">
        <v>0</v>
      </c>
      <c r="D14">
        <v>0</v>
      </c>
      <c r="E14">
        <v>1</v>
      </c>
      <c r="F14">
        <v>1</v>
      </c>
      <c r="G14">
        <v>1</v>
      </c>
      <c r="H14">
        <v>0</v>
      </c>
      <c r="I14">
        <v>1</v>
      </c>
      <c r="J14">
        <v>1</v>
      </c>
      <c r="K14">
        <v>0</v>
      </c>
      <c r="L14">
        <v>1</v>
      </c>
      <c r="M14">
        <v>0</v>
      </c>
    </row>
    <row r="15" spans="1:13" x14ac:dyDescent="0.3">
      <c r="A15" t="s">
        <v>4</v>
      </c>
      <c r="B15" t="s">
        <v>18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5</v>
      </c>
      <c r="B16" t="s">
        <v>18</v>
      </c>
      <c r="C16" t="s">
        <v>18</v>
      </c>
      <c r="D16">
        <v>0</v>
      </c>
      <c r="E16">
        <v>0</v>
      </c>
      <c r="F16">
        <v>0</v>
      </c>
      <c r="G16">
        <v>1</v>
      </c>
      <c r="H16">
        <v>0</v>
      </c>
      <c r="I16">
        <v>0</v>
      </c>
      <c r="J16">
        <v>1</v>
      </c>
      <c r="K16">
        <v>0</v>
      </c>
      <c r="L16">
        <v>0</v>
      </c>
      <c r="M16">
        <v>1</v>
      </c>
    </row>
    <row r="17" spans="1:13" x14ac:dyDescent="0.3">
      <c r="A17" s="1" t="s">
        <v>9</v>
      </c>
      <c r="E17" s="3"/>
      <c r="H17" s="1"/>
    </row>
    <row r="18" spans="1:13" x14ac:dyDescent="0.3">
      <c r="A18" t="s">
        <v>10</v>
      </c>
      <c r="D18" s="4">
        <v>-1816246557.4803801</v>
      </c>
      <c r="E18" s="4">
        <v>-1816151942.22171</v>
      </c>
      <c r="K18" s="3">
        <v>-13464876360.058001</v>
      </c>
      <c r="L18" s="3">
        <v>-13464792750.8997</v>
      </c>
      <c r="M18" s="3">
        <v>-13456893997.0168</v>
      </c>
    </row>
    <row r="19" spans="1:13" x14ac:dyDescent="0.3">
      <c r="A19" t="s">
        <v>32</v>
      </c>
      <c r="D19" s="4">
        <v>3.3900001049041699</v>
      </c>
      <c r="E19" s="4">
        <v>3.0910000801086399</v>
      </c>
      <c r="K19" s="3">
        <v>7.2590000629425004</v>
      </c>
      <c r="L19" s="3">
        <v>8.6590001583099294</v>
      </c>
      <c r="M19" s="3">
        <v>34.491999864578197</v>
      </c>
    </row>
    <row r="20" spans="1:13" x14ac:dyDescent="0.3">
      <c r="A20" t="s">
        <v>17</v>
      </c>
      <c r="D20" s="4">
        <v>0</v>
      </c>
      <c r="E20" s="4">
        <v>9.8172251951082401E-5</v>
      </c>
      <c r="K20" s="3">
        <v>2.4509630770603201E-5</v>
      </c>
      <c r="L20" s="3">
        <v>1.94134036118058E-5</v>
      </c>
      <c r="M20" s="3">
        <v>8.0815127926575099E-5</v>
      </c>
    </row>
    <row r="21" spans="1:13" x14ac:dyDescent="0.3">
      <c r="A21" t="s">
        <v>31</v>
      </c>
      <c r="D21" s="4">
        <v>0</v>
      </c>
      <c r="E21" s="4">
        <v>0</v>
      </c>
      <c r="K21" s="3">
        <v>0</v>
      </c>
      <c r="L21" s="3">
        <v>0</v>
      </c>
      <c r="M21" s="3">
        <v>0</v>
      </c>
    </row>
    <row r="22" spans="1:13" x14ac:dyDescent="0.3">
      <c r="A22" s="2" t="s">
        <v>11</v>
      </c>
      <c r="D22" s="4"/>
      <c r="E22" s="4"/>
      <c r="K22" s="3"/>
      <c r="L22" s="3"/>
      <c r="M22" s="3"/>
    </row>
    <row r="23" spans="1:13" x14ac:dyDescent="0.3">
      <c r="A23" t="s">
        <v>2</v>
      </c>
      <c r="D23" s="4">
        <v>0</v>
      </c>
      <c r="E23" s="4">
        <v>0</v>
      </c>
      <c r="K23" s="3">
        <v>0</v>
      </c>
      <c r="L23" s="3">
        <v>0</v>
      </c>
      <c r="M23" s="3">
        <v>0</v>
      </c>
    </row>
    <row r="24" spans="1:13" x14ac:dyDescent="0.3">
      <c r="A24" t="s">
        <v>0</v>
      </c>
      <c r="D24" s="4">
        <v>120</v>
      </c>
      <c r="E24" s="4">
        <v>120</v>
      </c>
      <c r="K24" s="3">
        <v>120</v>
      </c>
      <c r="L24" s="3">
        <v>120</v>
      </c>
      <c r="M24" s="3">
        <v>120</v>
      </c>
    </row>
    <row r="25" spans="1:13" x14ac:dyDescent="0.3">
      <c r="A25" t="s">
        <v>1</v>
      </c>
      <c r="D25" s="4">
        <v>0</v>
      </c>
      <c r="E25" s="4">
        <v>0</v>
      </c>
      <c r="K25" s="3">
        <v>15.427141887889199</v>
      </c>
      <c r="L25" s="3">
        <v>15.4271418878891</v>
      </c>
      <c r="M25" s="3">
        <v>15.427141887890601</v>
      </c>
    </row>
    <row r="26" spans="1:13" x14ac:dyDescent="0.3">
      <c r="A26" t="s">
        <v>29</v>
      </c>
      <c r="D26" s="4">
        <v>98.084000000000003</v>
      </c>
      <c r="E26" s="4">
        <v>98.084000000000003</v>
      </c>
      <c r="K26" s="3">
        <v>98.084000000000003</v>
      </c>
      <c r="L26" s="3">
        <v>98.084000000000003</v>
      </c>
      <c r="M26" s="3">
        <v>98.084000000000003</v>
      </c>
    </row>
    <row r="27" spans="1:13" x14ac:dyDescent="0.3">
      <c r="A27" t="s">
        <v>30</v>
      </c>
      <c r="D27" s="4">
        <v>18.084</v>
      </c>
      <c r="E27" s="4">
        <v>18.084</v>
      </c>
      <c r="K27" s="3">
        <v>2.6568581121100401</v>
      </c>
      <c r="L27" s="3">
        <v>2.6568581121102</v>
      </c>
      <c r="M27" s="3">
        <v>2.65685811210931</v>
      </c>
    </row>
    <row r="28" spans="1:13" x14ac:dyDescent="0.3">
      <c r="A28" s="2" t="s">
        <v>15</v>
      </c>
      <c r="D28" s="4"/>
      <c r="E28" s="4"/>
      <c r="K28" s="3"/>
      <c r="L28" s="3"/>
      <c r="M28" s="3"/>
    </row>
    <row r="29" spans="1:13" x14ac:dyDescent="0.3">
      <c r="A29" t="s">
        <v>2</v>
      </c>
      <c r="D29" s="4">
        <v>0</v>
      </c>
      <c r="E29" s="4">
        <v>0</v>
      </c>
      <c r="K29" s="3">
        <v>0</v>
      </c>
      <c r="L29" s="3">
        <v>0</v>
      </c>
      <c r="M29" s="3">
        <v>0</v>
      </c>
    </row>
    <row r="30" spans="1:13" x14ac:dyDescent="0.3">
      <c r="A30" t="s">
        <v>0</v>
      </c>
      <c r="D30" s="4">
        <v>120</v>
      </c>
      <c r="E30" s="4">
        <v>120</v>
      </c>
      <c r="K30" s="3">
        <v>120</v>
      </c>
      <c r="L30" s="3">
        <v>120</v>
      </c>
      <c r="M30" s="3">
        <v>120</v>
      </c>
    </row>
    <row r="31" spans="1:13" x14ac:dyDescent="0.3">
      <c r="A31" t="s">
        <v>1</v>
      </c>
      <c r="D31" s="4">
        <v>0</v>
      </c>
      <c r="E31" s="4">
        <v>0</v>
      </c>
      <c r="K31" s="3">
        <v>15.427141887889199</v>
      </c>
      <c r="L31" s="3">
        <v>15.4271418878891</v>
      </c>
      <c r="M31" s="3">
        <v>15.427141887890601</v>
      </c>
    </row>
    <row r="32" spans="1:13" x14ac:dyDescent="0.3">
      <c r="A32" s="2" t="s">
        <v>16</v>
      </c>
      <c r="D32" s="4"/>
      <c r="E32" s="4"/>
      <c r="K32" s="3"/>
      <c r="L32" s="3"/>
      <c r="M32" s="3"/>
    </row>
    <row r="33" spans="1:13" x14ac:dyDescent="0.3">
      <c r="A33" t="s">
        <v>2</v>
      </c>
      <c r="D33" s="4">
        <v>0</v>
      </c>
      <c r="E33" s="4">
        <v>0</v>
      </c>
      <c r="K33" s="3">
        <v>0</v>
      </c>
      <c r="L33" s="3">
        <v>0</v>
      </c>
      <c r="M33" s="3">
        <v>0</v>
      </c>
    </row>
    <row r="34" spans="1:13" x14ac:dyDescent="0.3">
      <c r="A34" t="s">
        <v>0</v>
      </c>
      <c r="D34" s="4">
        <v>174732082.43857899</v>
      </c>
      <c r="E34" s="4">
        <v>168491650.922916</v>
      </c>
      <c r="K34" s="3">
        <v>243376829.110879</v>
      </c>
      <c r="L34" s="3">
        <v>243376829.110879</v>
      </c>
      <c r="M34" s="3">
        <v>249617260.626542</v>
      </c>
    </row>
    <row r="35" spans="1:13" x14ac:dyDescent="0.3">
      <c r="A35" t="s">
        <v>1</v>
      </c>
      <c r="D35" s="4">
        <v>0</v>
      </c>
      <c r="E35" s="4">
        <v>0</v>
      </c>
      <c r="K35" s="3">
        <v>30455887.5617279</v>
      </c>
      <c r="L35" s="3">
        <v>30544228.586333599</v>
      </c>
      <c r="M35" s="3">
        <v>30544228.586336799</v>
      </c>
    </row>
    <row r="36" spans="1:13" x14ac:dyDescent="0.3">
      <c r="A36" s="2" t="s">
        <v>23</v>
      </c>
      <c r="D36" s="4"/>
      <c r="E36" s="4"/>
      <c r="K36" s="3"/>
      <c r="L36" s="3"/>
      <c r="M36" s="3"/>
    </row>
    <row r="37" spans="1:13" x14ac:dyDescent="0.3">
      <c r="A37" t="s">
        <v>2</v>
      </c>
      <c r="D37" s="4">
        <v>5567.7598935788701</v>
      </c>
      <c r="E37" s="4">
        <v>5567.7598935788701</v>
      </c>
      <c r="K37" s="3">
        <v>4826.3183783554796</v>
      </c>
      <c r="L37" s="3">
        <v>4826.3183783554896</v>
      </c>
      <c r="M37" s="3">
        <v>3421.3094646414202</v>
      </c>
    </row>
    <row r="38" spans="1:13" x14ac:dyDescent="0.3">
      <c r="A38" t="s">
        <v>0</v>
      </c>
      <c r="D38" s="4">
        <v>978304.363808266</v>
      </c>
      <c r="E38" s="4">
        <v>808132.80189079896</v>
      </c>
      <c r="K38" s="3">
        <v>2051061.57238617</v>
      </c>
      <c r="L38" s="3">
        <v>1386880.28540422</v>
      </c>
      <c r="M38" s="3">
        <v>1772151.2791056901</v>
      </c>
    </row>
    <row r="39" spans="1:13" x14ac:dyDescent="0.3">
      <c r="A39" t="s">
        <v>1</v>
      </c>
      <c r="D39" s="4">
        <v>9311.3535690200606</v>
      </c>
      <c r="E39" s="4">
        <v>9311.3535690200606</v>
      </c>
      <c r="K39" s="3">
        <v>57042.475334709103</v>
      </c>
      <c r="L39" s="3">
        <v>57044.315022773</v>
      </c>
      <c r="M39" s="3">
        <v>7524.5956312832805</v>
      </c>
    </row>
    <row r="40" spans="1:13" x14ac:dyDescent="0.3">
      <c r="A40" s="2" t="s">
        <v>22</v>
      </c>
      <c r="D40" s="4"/>
      <c r="E40" s="4"/>
      <c r="K40" s="3"/>
      <c r="L40" s="3"/>
      <c r="M40" s="3"/>
    </row>
    <row r="41" spans="1:13" x14ac:dyDescent="0.3">
      <c r="A41" t="s">
        <v>0</v>
      </c>
      <c r="D41" s="4">
        <v>167570.938196884</v>
      </c>
      <c r="E41" s="4">
        <v>0</v>
      </c>
      <c r="K41" s="3">
        <v>664182.13855842699</v>
      </c>
      <c r="L41" s="3">
        <v>0</v>
      </c>
      <c r="M41" s="3">
        <v>392888.13096246601</v>
      </c>
    </row>
    <row r="42" spans="1:13" x14ac:dyDescent="0.3">
      <c r="A42" t="s">
        <v>24</v>
      </c>
      <c r="D42" s="4">
        <v>814611.41245651699</v>
      </c>
      <c r="E42" s="4">
        <v>812010.78873593605</v>
      </c>
      <c r="K42" s="3">
        <v>1381353.9986481899</v>
      </c>
      <c r="L42" s="3">
        <v>1381354.5163682399</v>
      </c>
      <c r="M42" s="3">
        <v>1381318.93552733</v>
      </c>
    </row>
    <row r="43" spans="1:13" x14ac:dyDescent="0.3">
      <c r="A43" t="s">
        <v>35</v>
      </c>
      <c r="D43" s="4">
        <v>9497.9028860672006</v>
      </c>
      <c r="E43" s="4">
        <v>12098.5266066486</v>
      </c>
      <c r="K43" s="3">
        <v>2487.6785658501699</v>
      </c>
      <c r="L43" s="3">
        <v>2487.16084580499</v>
      </c>
      <c r="M43" s="3">
        <v>2522.7416867100901</v>
      </c>
    </row>
    <row r="44" spans="1:13" x14ac:dyDescent="0.3">
      <c r="A44" t="s">
        <v>1</v>
      </c>
      <c r="D44" s="4">
        <v>11001.1266174622</v>
      </c>
      <c r="E44" s="4">
        <v>11001.1266174622</v>
      </c>
      <c r="K44" s="3">
        <v>67394.228892614701</v>
      </c>
      <c r="L44" s="3">
        <v>67396.402437113706</v>
      </c>
      <c r="M44" s="3">
        <v>8890.1177118186097</v>
      </c>
    </row>
    <row r="45" spans="1:13" x14ac:dyDescent="0.3">
      <c r="A45" s="2" t="s">
        <v>27</v>
      </c>
      <c r="D45" s="4"/>
      <c r="E45" s="4"/>
      <c r="K45" s="3"/>
      <c r="L45" s="3"/>
      <c r="M45" s="3"/>
    </row>
    <row r="46" spans="1:13" x14ac:dyDescent="0.3">
      <c r="A46" t="s">
        <v>2</v>
      </c>
      <c r="D46" s="4">
        <v>1699829.82219933</v>
      </c>
      <c r="E46" s="4">
        <v>1699829.82219933</v>
      </c>
      <c r="K46" s="3">
        <v>1473468.6961660599</v>
      </c>
      <c r="L46" s="3">
        <v>1473468.6961660599</v>
      </c>
      <c r="M46" s="3">
        <v>1044521.3102090301</v>
      </c>
    </row>
    <row r="47" spans="1:13" x14ac:dyDescent="0.3">
      <c r="A47" t="s">
        <v>0</v>
      </c>
      <c r="D47" s="4">
        <v>52575087.091096699</v>
      </c>
      <c r="E47" s="4">
        <v>43683548.873010099</v>
      </c>
      <c r="K47" s="3">
        <v>107871853.336619</v>
      </c>
      <c r="L47" s="3">
        <v>73357886.389309898</v>
      </c>
      <c r="M47" s="3">
        <v>96512651.699123099</v>
      </c>
    </row>
    <row r="48" spans="1:13" x14ac:dyDescent="0.3">
      <c r="A48" t="s">
        <v>1</v>
      </c>
      <c r="D48" s="4">
        <v>0</v>
      </c>
      <c r="E48" s="4">
        <v>0</v>
      </c>
      <c r="K48" s="3">
        <v>0</v>
      </c>
      <c r="L48" s="3">
        <v>0</v>
      </c>
      <c r="M48" s="3">
        <v>0</v>
      </c>
    </row>
    <row r="49" spans="1:13" x14ac:dyDescent="0.3">
      <c r="A49" s="2" t="s">
        <v>28</v>
      </c>
      <c r="D49" s="4"/>
      <c r="E49" s="4"/>
      <c r="K49" s="3"/>
      <c r="L49" s="3"/>
      <c r="M49" s="3"/>
    </row>
    <row r="50" spans="1:13" x14ac:dyDescent="0.3">
      <c r="A50" t="s">
        <v>0</v>
      </c>
      <c r="D50" s="4">
        <v>8725025.6909637991</v>
      </c>
      <c r="E50" s="4">
        <v>0</v>
      </c>
      <c r="K50" s="3">
        <v>34514412.281520903</v>
      </c>
      <c r="L50" s="3">
        <v>0</v>
      </c>
      <c r="M50" s="3">
        <v>21423303.9657369</v>
      </c>
    </row>
    <row r="51" spans="1:13" x14ac:dyDescent="0.3">
      <c r="A51" t="s">
        <v>24</v>
      </c>
      <c r="D51" s="4">
        <v>2036528531.1412899</v>
      </c>
      <c r="E51" s="4">
        <v>2030026971.8398399</v>
      </c>
      <c r="K51" s="3">
        <v>13813539986.481899</v>
      </c>
      <c r="L51" s="3">
        <v>13813545163.6824</v>
      </c>
      <c r="M51" s="3">
        <v>13813189355.2733</v>
      </c>
    </row>
    <row r="52" spans="1:13" x14ac:dyDescent="0.3">
      <c r="A52" t="s">
        <v>1</v>
      </c>
      <c r="D52" s="4">
        <v>0</v>
      </c>
      <c r="E52" s="4">
        <v>0</v>
      </c>
      <c r="K52" s="3">
        <v>0</v>
      </c>
      <c r="L52" s="3">
        <v>0</v>
      </c>
      <c r="M52" s="3">
        <v>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E227-4F2F-4766-80E7-4A0C11DC1BA8}">
  <dimension ref="A1:J48"/>
  <sheetViews>
    <sheetView zoomScale="90" zoomScaleNormal="90" workbookViewId="0">
      <selection activeCell="A5" sqref="A5"/>
    </sheetView>
  </sheetViews>
  <sheetFormatPr defaultRowHeight="14.4" x14ac:dyDescent="0.3"/>
  <cols>
    <col min="1" max="1" width="29.33203125" customWidth="1"/>
    <col min="4" max="4" width="16.6640625" bestFit="1" customWidth="1"/>
    <col min="5" max="5" width="16.88671875" bestFit="1" customWidth="1"/>
    <col min="7" max="8" width="9.33203125" customWidth="1"/>
  </cols>
  <sheetData>
    <row r="1" spans="1:10" x14ac:dyDescent="0.3">
      <c r="A1" s="1" t="s">
        <v>7</v>
      </c>
    </row>
    <row r="2" spans="1:10" x14ac:dyDescent="0.3">
      <c r="A2" s="1" t="s">
        <v>6</v>
      </c>
    </row>
    <row r="3" spans="1:10" x14ac:dyDescent="0.3">
      <c r="A3" s="2" t="s">
        <v>33</v>
      </c>
    </row>
    <row r="4" spans="1:10" x14ac:dyDescent="0.3">
      <c r="A4" t="s">
        <v>34</v>
      </c>
      <c r="D4">
        <v>6.8500000000000005E-2</v>
      </c>
      <c r="E4">
        <v>6.8500000000000005E-2</v>
      </c>
    </row>
    <row r="5" spans="1:10" x14ac:dyDescent="0.3">
      <c r="A5" s="2" t="s">
        <v>19</v>
      </c>
    </row>
    <row r="6" spans="1:10" x14ac:dyDescent="0.3">
      <c r="A6" t="s">
        <v>0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3">
      <c r="A7" t="s">
        <v>1</v>
      </c>
      <c r="B7">
        <v>0</v>
      </c>
      <c r="C7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3">
      <c r="A8" t="s">
        <v>2</v>
      </c>
      <c r="B8">
        <v>0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</row>
    <row r="9" spans="1:10" x14ac:dyDescent="0.3">
      <c r="A9" s="2" t="s">
        <v>20</v>
      </c>
    </row>
    <row r="10" spans="1:10" x14ac:dyDescent="0.3">
      <c r="A10" t="s">
        <v>8</v>
      </c>
      <c r="B10" t="s">
        <v>18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</row>
    <row r="11" spans="1:10" x14ac:dyDescent="0.3">
      <c r="A11" t="s">
        <v>3</v>
      </c>
      <c r="B11" t="s">
        <v>18</v>
      </c>
      <c r="C11">
        <v>0</v>
      </c>
      <c r="D11">
        <v>0</v>
      </c>
      <c r="E11">
        <v>1</v>
      </c>
      <c r="F11">
        <v>1</v>
      </c>
      <c r="G11">
        <v>1</v>
      </c>
      <c r="H11">
        <v>0</v>
      </c>
      <c r="I11">
        <v>1</v>
      </c>
      <c r="J11">
        <v>1</v>
      </c>
    </row>
    <row r="12" spans="1:10" x14ac:dyDescent="0.3">
      <c r="A12" t="s">
        <v>4</v>
      </c>
      <c r="B12" t="s">
        <v>18</v>
      </c>
      <c r="C12">
        <v>1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</row>
    <row r="13" spans="1:10" x14ac:dyDescent="0.3">
      <c r="A13" t="s">
        <v>5</v>
      </c>
      <c r="B13" t="s">
        <v>18</v>
      </c>
      <c r="C13" t="s">
        <v>18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1</v>
      </c>
    </row>
    <row r="14" spans="1:10" x14ac:dyDescent="0.3">
      <c r="A14" s="1" t="s">
        <v>9</v>
      </c>
      <c r="E14" s="3"/>
      <c r="H14" s="1"/>
    </row>
    <row r="15" spans="1:10" x14ac:dyDescent="0.3">
      <c r="A15" t="s">
        <v>10</v>
      </c>
      <c r="D15" s="3">
        <v>-566684168.67891097</v>
      </c>
      <c r="E15" s="3">
        <v>-566684168.67891097</v>
      </c>
    </row>
    <row r="16" spans="1:10" x14ac:dyDescent="0.3">
      <c r="A16" t="s">
        <v>32</v>
      </c>
      <c r="D16" s="3">
        <v>6.1319999694824201</v>
      </c>
      <c r="E16" s="3">
        <v>2.5789999961853001</v>
      </c>
    </row>
    <row r="17" spans="1:5" x14ac:dyDescent="0.3">
      <c r="A17" t="s">
        <v>17</v>
      </c>
      <c r="D17" s="3">
        <v>0</v>
      </c>
      <c r="E17" s="3">
        <v>9.2925621330612702E-5</v>
      </c>
    </row>
    <row r="18" spans="1:5" x14ac:dyDescent="0.3">
      <c r="A18" t="s">
        <v>31</v>
      </c>
      <c r="D18" s="3">
        <v>0</v>
      </c>
      <c r="E18" s="3">
        <v>0</v>
      </c>
    </row>
    <row r="19" spans="1:5" x14ac:dyDescent="0.3">
      <c r="A19" s="2" t="s">
        <v>11</v>
      </c>
      <c r="D19" s="3"/>
      <c r="E19" s="3"/>
    </row>
    <row r="20" spans="1:5" x14ac:dyDescent="0.3">
      <c r="A20" t="s">
        <v>2</v>
      </c>
      <c r="D20" s="3">
        <v>0</v>
      </c>
      <c r="E20" s="3">
        <v>0</v>
      </c>
    </row>
    <row r="21" spans="1:5" x14ac:dyDescent="0.3">
      <c r="A21" t="s">
        <v>0</v>
      </c>
      <c r="D21" s="3">
        <v>80</v>
      </c>
      <c r="E21" s="3">
        <v>80</v>
      </c>
    </row>
    <row r="22" spans="1:5" x14ac:dyDescent="0.3">
      <c r="A22" t="s">
        <v>1</v>
      </c>
      <c r="D22" s="3">
        <v>0</v>
      </c>
      <c r="E22" s="3">
        <v>0</v>
      </c>
    </row>
    <row r="23" spans="1:5" x14ac:dyDescent="0.3">
      <c r="A23" t="s">
        <v>29</v>
      </c>
      <c r="D23" s="3">
        <v>80</v>
      </c>
      <c r="E23" s="3">
        <v>80</v>
      </c>
    </row>
    <row r="24" spans="1:5" x14ac:dyDescent="0.3">
      <c r="A24" t="s">
        <v>30</v>
      </c>
      <c r="D24" s="3">
        <v>58.084000000000003</v>
      </c>
      <c r="E24" s="3">
        <v>58.084000000000003</v>
      </c>
    </row>
    <row r="25" spans="1:5" x14ac:dyDescent="0.3">
      <c r="A25" s="2" t="s">
        <v>15</v>
      </c>
      <c r="D25" s="3"/>
      <c r="E25" s="3"/>
    </row>
    <row r="26" spans="1:5" x14ac:dyDescent="0.3">
      <c r="A26" t="s">
        <v>2</v>
      </c>
      <c r="D26" s="3">
        <v>0</v>
      </c>
      <c r="E26" s="3">
        <v>0</v>
      </c>
    </row>
    <row r="27" spans="1:5" x14ac:dyDescent="0.3">
      <c r="A27" t="s">
        <v>0</v>
      </c>
      <c r="D27" s="3">
        <v>80</v>
      </c>
      <c r="E27" s="3">
        <v>80</v>
      </c>
    </row>
    <row r="28" spans="1:5" x14ac:dyDescent="0.3">
      <c r="A28" t="s">
        <v>1</v>
      </c>
      <c r="D28" s="3">
        <v>0</v>
      </c>
      <c r="E28" s="3">
        <v>0</v>
      </c>
    </row>
    <row r="29" spans="1:5" x14ac:dyDescent="0.3">
      <c r="A29" s="2" t="s">
        <v>16</v>
      </c>
      <c r="D29" s="3"/>
      <c r="E29" s="3"/>
    </row>
    <row r="30" spans="1:5" x14ac:dyDescent="0.3">
      <c r="A30" t="s">
        <v>2</v>
      </c>
      <c r="D30" s="3">
        <v>0</v>
      </c>
      <c r="E30" s="3">
        <v>0</v>
      </c>
    </row>
    <row r="31" spans="1:5" x14ac:dyDescent="0.3">
      <c r="A31" t="s">
        <v>0</v>
      </c>
      <c r="D31" s="3">
        <v>93383545.771093696</v>
      </c>
      <c r="E31" s="3">
        <v>93383545.771093696</v>
      </c>
    </row>
    <row r="32" spans="1:5" x14ac:dyDescent="0.3">
      <c r="A32" t="s">
        <v>1</v>
      </c>
      <c r="D32" s="3">
        <v>0</v>
      </c>
      <c r="E32" s="3">
        <v>0</v>
      </c>
    </row>
    <row r="33" spans="1:5" x14ac:dyDescent="0.3">
      <c r="A33" s="2" t="s">
        <v>23</v>
      </c>
      <c r="D33" s="3"/>
      <c r="E33" s="3"/>
    </row>
    <row r="34" spans="1:5" x14ac:dyDescent="0.3">
      <c r="A34" t="s">
        <v>2</v>
      </c>
      <c r="D34" s="3">
        <v>10839.670693578801</v>
      </c>
      <c r="E34" s="3">
        <v>10839.670693578801</v>
      </c>
    </row>
    <row r="35" spans="1:5" x14ac:dyDescent="0.3">
      <c r="A35" t="s">
        <v>0</v>
      </c>
      <c r="D35" s="3">
        <v>820924.35254566895</v>
      </c>
      <c r="E35" s="3">
        <v>755352.36146108399</v>
      </c>
    </row>
    <row r="36" spans="1:5" x14ac:dyDescent="0.3">
      <c r="A36" t="s">
        <v>1</v>
      </c>
      <c r="D36" s="3">
        <v>8697.9159292100703</v>
      </c>
      <c r="E36" s="3">
        <v>8697.9159292100794</v>
      </c>
    </row>
    <row r="37" spans="1:5" x14ac:dyDescent="0.3">
      <c r="A37" s="2" t="s">
        <v>22</v>
      </c>
      <c r="D37" s="3"/>
      <c r="E37" s="3"/>
    </row>
    <row r="38" spans="1:5" x14ac:dyDescent="0.3">
      <c r="A38" t="s">
        <v>0</v>
      </c>
      <c r="D38" s="3">
        <v>65571.991084584399</v>
      </c>
      <c r="E38" s="3">
        <v>0</v>
      </c>
    </row>
    <row r="39" spans="1:5" x14ac:dyDescent="0.3">
      <c r="A39" t="s">
        <v>24</v>
      </c>
      <c r="D39" s="3">
        <v>764613.58238300995</v>
      </c>
      <c r="E39" s="3">
        <v>764613.58238300995</v>
      </c>
    </row>
    <row r="40" spans="1:5" x14ac:dyDescent="0.3">
      <c r="A40" t="s">
        <v>1</v>
      </c>
      <c r="D40" s="3">
        <v>10276.3657008625</v>
      </c>
      <c r="E40" s="3">
        <v>10276.3657008625</v>
      </c>
    </row>
    <row r="41" spans="1:5" x14ac:dyDescent="0.3">
      <c r="A41" s="2" t="s">
        <v>27</v>
      </c>
      <c r="D41" s="3"/>
      <c r="E41" s="3"/>
    </row>
    <row r="42" spans="1:5" x14ac:dyDescent="0.3">
      <c r="A42" t="s">
        <v>2</v>
      </c>
      <c r="D42" s="3">
        <v>1636903.5360916599</v>
      </c>
      <c r="E42" s="3">
        <v>1636903.5360916599</v>
      </c>
    </row>
    <row r="43" spans="1:5" x14ac:dyDescent="0.3">
      <c r="A43" t="s">
        <v>0</v>
      </c>
      <c r="D43" s="3">
        <v>15934518.027864</v>
      </c>
      <c r="E43" s="3">
        <v>14194345.611482101</v>
      </c>
    </row>
    <row r="44" spans="1:5" x14ac:dyDescent="0.3">
      <c r="A44" t="s">
        <v>1</v>
      </c>
      <c r="D44" s="3">
        <v>0</v>
      </c>
      <c r="E44" s="3">
        <v>0</v>
      </c>
    </row>
    <row r="45" spans="1:5" x14ac:dyDescent="0.3">
      <c r="A45" s="2" t="s">
        <v>28</v>
      </c>
      <c r="D45" s="3"/>
      <c r="E45" s="3"/>
    </row>
    <row r="46" spans="1:5" x14ac:dyDescent="0.3">
      <c r="A46" t="s">
        <v>0</v>
      </c>
      <c r="D46" s="3">
        <v>1740172.41638191</v>
      </c>
      <c r="E46" s="3">
        <v>0</v>
      </c>
    </row>
    <row r="47" spans="1:5" x14ac:dyDescent="0.3">
      <c r="A47" t="s">
        <v>24</v>
      </c>
      <c r="D47" s="3">
        <v>675898963.597579</v>
      </c>
      <c r="E47" s="3">
        <v>675898963.597579</v>
      </c>
    </row>
    <row r="48" spans="1:5" x14ac:dyDescent="0.3">
      <c r="A48" t="s">
        <v>1</v>
      </c>
      <c r="D48" s="3">
        <v>0</v>
      </c>
      <c r="E48" s="3">
        <v>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E5EF9-418E-4572-AF84-E6DEF6E71829}">
  <dimension ref="A1:M49"/>
  <sheetViews>
    <sheetView topLeftCell="A20" zoomScale="120" zoomScaleNormal="120" workbookViewId="0">
      <selection sqref="A1:A48"/>
    </sheetView>
  </sheetViews>
  <sheetFormatPr defaultRowHeight="14.4" x14ac:dyDescent="0.3"/>
  <cols>
    <col min="1" max="1" width="32" customWidth="1"/>
    <col min="2" max="3" width="15.33203125" bestFit="1" customWidth="1"/>
    <col min="4" max="5" width="18.44140625" bestFit="1" customWidth="1"/>
    <col min="6" max="7" width="15.33203125" bestFit="1" customWidth="1"/>
    <col min="8" max="8" width="16.44140625" bestFit="1" customWidth="1"/>
    <col min="9" max="9" width="14.33203125" bestFit="1" customWidth="1"/>
    <col min="10" max="10" width="15.33203125" bestFit="1" customWidth="1"/>
    <col min="11" max="13" width="19.6640625" bestFit="1" customWidth="1"/>
  </cols>
  <sheetData>
    <row r="1" spans="1:10" x14ac:dyDescent="0.3">
      <c r="A1" s="1" t="s">
        <v>7</v>
      </c>
      <c r="H1" s="6">
        <v>45810</v>
      </c>
    </row>
    <row r="2" spans="1:10" x14ac:dyDescent="0.3">
      <c r="A2" s="1" t="s">
        <v>6</v>
      </c>
    </row>
    <row r="3" spans="1:10" x14ac:dyDescent="0.3">
      <c r="A3" t="s">
        <v>52</v>
      </c>
      <c r="E3" t="s">
        <v>53</v>
      </c>
      <c r="H3" s="4">
        <v>2500</v>
      </c>
      <c r="I3" s="4">
        <v>2500</v>
      </c>
      <c r="J3" s="4">
        <v>10000</v>
      </c>
    </row>
    <row r="4" spans="1:10" x14ac:dyDescent="0.3">
      <c r="A4" t="s">
        <v>51</v>
      </c>
      <c r="H4" t="s">
        <v>49</v>
      </c>
      <c r="I4" t="s">
        <v>50</v>
      </c>
      <c r="J4" t="s">
        <v>50</v>
      </c>
    </row>
    <row r="5" spans="1:10" x14ac:dyDescent="0.3">
      <c r="A5" s="2" t="s">
        <v>44</v>
      </c>
      <c r="C5" s="3"/>
    </row>
    <row r="6" spans="1:10" x14ac:dyDescent="0.3">
      <c r="A6" t="s">
        <v>2</v>
      </c>
      <c r="B6" s="3">
        <v>12.92135</v>
      </c>
      <c r="C6" s="3">
        <v>12.92135</v>
      </c>
      <c r="D6" s="3">
        <v>12.92135</v>
      </c>
      <c r="E6" s="3">
        <v>12.92135</v>
      </c>
      <c r="F6" s="3">
        <v>12.92135</v>
      </c>
      <c r="G6" s="3">
        <v>12.92135</v>
      </c>
      <c r="H6" s="3">
        <v>12.920999999999999</v>
      </c>
      <c r="I6" s="3">
        <v>12.920999999999999</v>
      </c>
      <c r="J6">
        <v>12.920999999999999</v>
      </c>
    </row>
    <row r="7" spans="1:10" x14ac:dyDescent="0.3">
      <c r="A7" t="s">
        <v>0</v>
      </c>
      <c r="B7" s="3">
        <v>74</v>
      </c>
      <c r="C7" s="3">
        <v>74</v>
      </c>
      <c r="D7" s="3">
        <v>74</v>
      </c>
      <c r="E7" s="3">
        <v>36</v>
      </c>
      <c r="F7" s="3">
        <v>36</v>
      </c>
      <c r="G7" s="3">
        <v>36</v>
      </c>
      <c r="H7" s="3">
        <v>36</v>
      </c>
      <c r="I7" s="3">
        <v>36</v>
      </c>
      <c r="J7" s="7">
        <v>36</v>
      </c>
    </row>
    <row r="8" spans="1:10" x14ac:dyDescent="0.3">
      <c r="A8" t="s">
        <v>1</v>
      </c>
      <c r="B8" s="3">
        <v>6</v>
      </c>
      <c r="C8" s="3">
        <v>6</v>
      </c>
      <c r="D8" s="3">
        <v>6</v>
      </c>
      <c r="E8" s="3">
        <v>6</v>
      </c>
      <c r="F8" s="3">
        <v>6</v>
      </c>
      <c r="G8" s="3">
        <v>6</v>
      </c>
      <c r="H8" s="3">
        <v>6</v>
      </c>
      <c r="I8" s="3">
        <v>6</v>
      </c>
      <c r="J8" s="7">
        <v>6</v>
      </c>
    </row>
    <row r="9" spans="1:10" x14ac:dyDescent="0.3">
      <c r="A9" s="2" t="s">
        <v>20</v>
      </c>
      <c r="B9" s="3"/>
      <c r="C9" s="3"/>
      <c r="D9" s="3"/>
      <c r="E9" s="3"/>
      <c r="F9" s="3"/>
      <c r="G9" s="3"/>
      <c r="H9" s="3"/>
      <c r="I9" s="3"/>
    </row>
    <row r="10" spans="1:10" x14ac:dyDescent="0.3">
      <c r="A10" t="s">
        <v>8</v>
      </c>
      <c r="B10" s="3">
        <v>1</v>
      </c>
      <c r="C10" s="3">
        <v>0</v>
      </c>
      <c r="D10" s="3">
        <v>0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</row>
    <row r="11" spans="1:10" x14ac:dyDescent="0.3">
      <c r="A11" t="s">
        <v>3</v>
      </c>
      <c r="B11" s="3">
        <v>0</v>
      </c>
      <c r="C11" s="3">
        <v>1</v>
      </c>
      <c r="D11" s="3">
        <v>0</v>
      </c>
      <c r="E11" s="3">
        <v>0</v>
      </c>
      <c r="F11" s="3">
        <v>1</v>
      </c>
      <c r="G11" s="3">
        <v>0</v>
      </c>
      <c r="H11" s="3">
        <v>1</v>
      </c>
      <c r="I11" s="3">
        <v>1</v>
      </c>
      <c r="J11" s="3">
        <v>1</v>
      </c>
    </row>
    <row r="12" spans="1:10" x14ac:dyDescent="0.3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</row>
    <row r="13" spans="1:10" x14ac:dyDescent="0.3">
      <c r="A13" t="s">
        <v>47</v>
      </c>
      <c r="B13" s="3">
        <v>0</v>
      </c>
      <c r="C13" s="3">
        <v>0</v>
      </c>
      <c r="D13" s="3">
        <v>1</v>
      </c>
      <c r="E13" s="3">
        <v>0</v>
      </c>
      <c r="F13" s="3">
        <v>0</v>
      </c>
      <c r="G13" s="3">
        <v>1</v>
      </c>
      <c r="H13" s="3">
        <v>0</v>
      </c>
      <c r="I13" s="3">
        <v>0</v>
      </c>
      <c r="J13" s="3">
        <v>0</v>
      </c>
    </row>
    <row r="14" spans="1:10" x14ac:dyDescent="0.3">
      <c r="A14" s="2" t="s">
        <v>39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3">
      <c r="A15" t="s">
        <v>40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</row>
    <row r="16" spans="1:10" x14ac:dyDescent="0.3">
      <c r="A16" s="2" t="s">
        <v>42</v>
      </c>
      <c r="B16" s="3"/>
      <c r="C16" s="3"/>
      <c r="D16" s="3"/>
      <c r="E16" s="3"/>
      <c r="F16" s="3"/>
      <c r="G16" s="3"/>
      <c r="H16" s="3"/>
      <c r="I16" s="3"/>
      <c r="J16" s="3"/>
    </row>
    <row r="17" spans="1:13" x14ac:dyDescent="0.3">
      <c r="A17" t="s">
        <v>43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</row>
    <row r="18" spans="1:13" x14ac:dyDescent="0.3">
      <c r="A18" s="1" t="s">
        <v>9</v>
      </c>
      <c r="B18" s="3"/>
      <c r="C18" s="3"/>
      <c r="D18" s="3"/>
      <c r="E18" s="3"/>
      <c r="F18" s="3"/>
      <c r="G18" s="3"/>
      <c r="H18" s="5"/>
      <c r="I18" s="3"/>
      <c r="J18" s="3"/>
    </row>
    <row r="19" spans="1:13" x14ac:dyDescent="0.3">
      <c r="A19" t="s">
        <v>48</v>
      </c>
      <c r="B19" s="3">
        <v>-11748713.5580501</v>
      </c>
      <c r="C19" s="3">
        <v>-11748713.5580501</v>
      </c>
      <c r="D19" s="3">
        <v>-11747043.401719</v>
      </c>
      <c r="E19" s="3">
        <v>-11124177.386580201</v>
      </c>
      <c r="F19" s="3">
        <v>-11124177.386580201</v>
      </c>
      <c r="G19" s="3">
        <v>-10722897.898614399</v>
      </c>
      <c r="H19" s="3">
        <v>-503511503.88285297</v>
      </c>
      <c r="I19" s="3">
        <v>-2573028.8945680601</v>
      </c>
      <c r="J19" s="3">
        <v>-10626251.394568</v>
      </c>
      <c r="K19" s="3"/>
      <c r="L19" s="3"/>
      <c r="M19" s="3"/>
    </row>
    <row r="20" spans="1:13" x14ac:dyDescent="0.3">
      <c r="A20" t="s">
        <v>32</v>
      </c>
      <c r="B20" s="3">
        <v>4.9998760223388602E-3</v>
      </c>
      <c r="C20" s="3">
        <v>7.0002079010009696E-3</v>
      </c>
      <c r="D20" s="3">
        <v>5.0001144409179601E-3</v>
      </c>
      <c r="E20" s="3">
        <v>3.9999485015869097E-3</v>
      </c>
      <c r="F20" s="3">
        <v>0</v>
      </c>
      <c r="G20" s="3">
        <v>2.6999950408935498E-2</v>
      </c>
      <c r="H20" s="3">
        <v>0.53500008583068803</v>
      </c>
      <c r="I20" s="3">
        <v>7.9998970031738195E-3</v>
      </c>
      <c r="J20" s="3">
        <v>2.000093460083E-3</v>
      </c>
      <c r="K20" s="3"/>
      <c r="L20" s="3"/>
      <c r="M20" s="3"/>
    </row>
    <row r="21" spans="1:13" x14ac:dyDescent="0.3">
      <c r="A21" t="s">
        <v>17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1.7370725403173299E-16</v>
      </c>
      <c r="H21" s="3">
        <v>0</v>
      </c>
      <c r="I21" s="3">
        <v>0</v>
      </c>
      <c r="J21" s="3">
        <v>0</v>
      </c>
      <c r="K21" s="3"/>
      <c r="L21" s="3"/>
      <c r="M21" s="3"/>
    </row>
    <row r="22" spans="1:13" x14ac:dyDescent="0.3">
      <c r="A2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</row>
    <row r="23" spans="1:13" x14ac:dyDescent="0.3">
      <c r="A23" t="s">
        <v>41</v>
      </c>
      <c r="B23" s="3">
        <v>0.27173913043478198</v>
      </c>
      <c r="C23" s="3">
        <v>0.27173913043478198</v>
      </c>
      <c r="D23" s="3">
        <v>0</v>
      </c>
      <c r="E23" s="3">
        <v>0</v>
      </c>
      <c r="F23" s="3">
        <v>0</v>
      </c>
      <c r="G23" s="3">
        <v>0</v>
      </c>
      <c r="H23" s="3">
        <v>0.27173913043478198</v>
      </c>
      <c r="I23" s="3">
        <v>0</v>
      </c>
      <c r="J23" s="3">
        <v>0</v>
      </c>
      <c r="K23" s="3"/>
      <c r="L23" s="3"/>
      <c r="M23" s="3"/>
    </row>
    <row r="24" spans="1:13" x14ac:dyDescent="0.3">
      <c r="A24" s="2" t="s">
        <v>45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3">
      <c r="A25" t="s">
        <v>2</v>
      </c>
      <c r="B25" s="3">
        <v>0</v>
      </c>
      <c r="C25" s="3">
        <v>0</v>
      </c>
      <c r="D25" s="3">
        <v>0</v>
      </c>
      <c r="E25" s="3">
        <v>12.92135</v>
      </c>
      <c r="F25" s="3">
        <v>12.92135</v>
      </c>
      <c r="G25" s="3">
        <v>12.92135</v>
      </c>
      <c r="H25" s="3">
        <v>12.920999999999999</v>
      </c>
      <c r="I25" s="3">
        <v>12.920999999999999</v>
      </c>
      <c r="J25" s="3">
        <v>12.920999999999999</v>
      </c>
      <c r="K25" s="3"/>
      <c r="L25" s="3"/>
      <c r="M25" s="3"/>
    </row>
    <row r="26" spans="1:13" x14ac:dyDescent="0.3">
      <c r="A26" t="s">
        <v>0</v>
      </c>
      <c r="B26" s="3">
        <v>74</v>
      </c>
      <c r="C26" s="3">
        <v>59.025551892380903</v>
      </c>
      <c r="D26" s="3">
        <v>62.454999999999998</v>
      </c>
      <c r="E26" s="3">
        <v>36</v>
      </c>
      <c r="F26" s="3">
        <v>36</v>
      </c>
      <c r="G26" s="3">
        <v>36</v>
      </c>
      <c r="H26" s="3">
        <v>36</v>
      </c>
      <c r="I26" s="3">
        <v>36</v>
      </c>
      <c r="J26" s="3">
        <v>36</v>
      </c>
      <c r="K26" s="3"/>
      <c r="L26" s="3"/>
      <c r="M26" s="3"/>
    </row>
    <row r="27" spans="1:13" x14ac:dyDescent="0.3">
      <c r="A27" t="s">
        <v>1</v>
      </c>
      <c r="B27" s="3">
        <v>6</v>
      </c>
      <c r="C27" s="3">
        <v>6</v>
      </c>
      <c r="D27" s="3">
        <v>0</v>
      </c>
      <c r="E27" s="3">
        <v>6</v>
      </c>
      <c r="F27" s="3">
        <v>6</v>
      </c>
      <c r="G27" s="3">
        <v>2.3815138030285001</v>
      </c>
      <c r="H27" s="3">
        <v>6</v>
      </c>
      <c r="I27" s="3">
        <v>6</v>
      </c>
      <c r="J27" s="3">
        <v>6</v>
      </c>
      <c r="K27" s="3"/>
      <c r="L27" s="3"/>
      <c r="M27" s="3"/>
    </row>
    <row r="28" spans="1:13" x14ac:dyDescent="0.3">
      <c r="A28" s="2" t="s">
        <v>46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 x14ac:dyDescent="0.3">
      <c r="A29" t="s">
        <v>0</v>
      </c>
      <c r="B29" s="3">
        <v>38.363688734486203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/>
      <c r="L29" s="3"/>
      <c r="M29" s="3"/>
    </row>
    <row r="30" spans="1:13" x14ac:dyDescent="0.3">
      <c r="A30" t="s">
        <v>24</v>
      </c>
      <c r="B30" s="3">
        <v>62.454999999999998</v>
      </c>
      <c r="C30" s="3">
        <v>62.454999999999998</v>
      </c>
      <c r="D30" s="3">
        <v>62.454999999999998</v>
      </c>
      <c r="E30" s="3">
        <v>54.921349999999997</v>
      </c>
      <c r="F30" s="3">
        <v>54.921349999999997</v>
      </c>
      <c r="G30" s="3">
        <v>51.302863803028501</v>
      </c>
      <c r="H30" s="3">
        <v>54.920999999999999</v>
      </c>
      <c r="I30" s="3">
        <v>54.920999999999999</v>
      </c>
      <c r="J30" s="3">
        <v>54.920999999999999</v>
      </c>
      <c r="K30" s="3"/>
      <c r="L30" s="3"/>
      <c r="M30" s="3"/>
    </row>
    <row r="31" spans="1:13" x14ac:dyDescent="0.3">
      <c r="A31" t="s">
        <v>1</v>
      </c>
      <c r="B31" s="3">
        <v>6</v>
      </c>
      <c r="C31" s="3">
        <v>6</v>
      </c>
      <c r="D31" s="3">
        <v>0</v>
      </c>
      <c r="E31" s="3">
        <v>6</v>
      </c>
      <c r="F31" s="3">
        <v>6</v>
      </c>
      <c r="G31" s="3">
        <v>0.93789926080202601</v>
      </c>
      <c r="H31" s="3">
        <v>6</v>
      </c>
      <c r="I31" s="3">
        <v>6</v>
      </c>
      <c r="J31" s="3">
        <v>6</v>
      </c>
      <c r="K31" s="3"/>
      <c r="L31" s="3"/>
      <c r="M31" s="3"/>
    </row>
    <row r="32" spans="1:13" x14ac:dyDescent="0.3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3">
      <c r="A33" t="s">
        <v>2</v>
      </c>
      <c r="B33" s="3">
        <v>0</v>
      </c>
      <c r="C33" s="3">
        <v>0</v>
      </c>
      <c r="D33" s="3">
        <v>0</v>
      </c>
      <c r="E33" s="3">
        <v>269.15315180360801</v>
      </c>
      <c r="F33" s="3">
        <v>269.15315180360801</v>
      </c>
      <c r="G33" s="3">
        <v>219.96891611468601</v>
      </c>
      <c r="H33" s="3">
        <v>3098.5730090737102</v>
      </c>
      <c r="I33" s="3">
        <v>216.39643667296701</v>
      </c>
      <c r="J33" s="3">
        <v>216.39643667296701</v>
      </c>
      <c r="K33" s="3"/>
      <c r="L33" s="3"/>
      <c r="M33" s="3"/>
    </row>
    <row r="34" spans="1:13" x14ac:dyDescent="0.3">
      <c r="A34" t="s">
        <v>0</v>
      </c>
      <c r="B34" s="3">
        <v>1448.3702360141299</v>
      </c>
      <c r="C34" s="3">
        <v>1190.09916106232</v>
      </c>
      <c r="D34" s="3">
        <v>1181.1636480188399</v>
      </c>
      <c r="E34" s="3">
        <v>864</v>
      </c>
      <c r="F34" s="3">
        <v>864</v>
      </c>
      <c r="G34" s="3">
        <v>864</v>
      </c>
      <c r="H34" s="3">
        <v>204910.501150094</v>
      </c>
      <c r="I34" s="3">
        <v>864</v>
      </c>
      <c r="J34" s="3">
        <v>864</v>
      </c>
      <c r="K34" s="3"/>
      <c r="L34" s="3"/>
      <c r="M34" s="3"/>
    </row>
    <row r="35" spans="1:13" x14ac:dyDescent="0.3">
      <c r="A35" t="s">
        <v>1</v>
      </c>
      <c r="B35" s="3">
        <v>49.238399999999999</v>
      </c>
      <c r="C35" s="3">
        <v>49.238399999999999</v>
      </c>
      <c r="D35" s="3">
        <v>0</v>
      </c>
      <c r="E35" s="3">
        <v>44.011050890132303</v>
      </c>
      <c r="F35" s="3">
        <v>44.011050890132303</v>
      </c>
      <c r="G35" s="3">
        <v>2.3815138030285001</v>
      </c>
      <c r="H35" s="3">
        <v>16205.8221999999</v>
      </c>
      <c r="I35" s="3">
        <v>36.552999999999997</v>
      </c>
      <c r="J35" s="3">
        <v>36.552999999999997</v>
      </c>
      <c r="K35" s="3"/>
      <c r="L35" s="3"/>
      <c r="M35" s="3"/>
    </row>
    <row r="36" spans="1:13" x14ac:dyDescent="0.3">
      <c r="A36" s="2" t="s">
        <v>22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3">
      <c r="A37" t="s">
        <v>0</v>
      </c>
      <c r="B37" s="3">
        <v>258.27107495181002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/>
      <c r="L37" s="3"/>
      <c r="M37" s="3"/>
    </row>
    <row r="38" spans="1:13" x14ac:dyDescent="0.3">
      <c r="A38" t="s">
        <v>24</v>
      </c>
      <c r="B38" s="3">
        <v>1181.1636480188399</v>
      </c>
      <c r="C38" s="3">
        <v>1181.1636480188399</v>
      </c>
      <c r="D38" s="3">
        <v>1181.1636480188399</v>
      </c>
      <c r="E38" s="3">
        <v>1125.1662692224099</v>
      </c>
      <c r="F38" s="3">
        <v>1125.1662692224099</v>
      </c>
      <c r="G38" s="3">
        <v>1083.5367321353001</v>
      </c>
      <c r="H38" s="3">
        <v>205068.13099999999</v>
      </c>
      <c r="I38" s="3">
        <v>1073.7629999999999</v>
      </c>
      <c r="J38" s="3">
        <v>1073.7629999999999</v>
      </c>
      <c r="K38" s="3"/>
      <c r="L38" s="3"/>
      <c r="M38" s="3"/>
    </row>
    <row r="39" spans="1:13" x14ac:dyDescent="0.3">
      <c r="A39" t="s">
        <v>1</v>
      </c>
      <c r="B39" s="3">
        <v>58.173913043478201</v>
      </c>
      <c r="C39" s="3">
        <v>58.173913043478201</v>
      </c>
      <c r="D39" s="3">
        <v>0</v>
      </c>
      <c r="E39" s="3">
        <v>51.997933471328302</v>
      </c>
      <c r="F39" s="3">
        <v>51.997933471328302</v>
      </c>
      <c r="G39" s="3">
        <v>2.8136977824060798</v>
      </c>
      <c r="H39" s="3">
        <v>19146.765359168199</v>
      </c>
      <c r="I39" s="3">
        <v>43.186436672967801</v>
      </c>
      <c r="J39" s="3">
        <v>43.186436672967801</v>
      </c>
      <c r="K39" s="3"/>
      <c r="L39" s="3"/>
      <c r="M39" s="3"/>
    </row>
    <row r="40" spans="1:13" x14ac:dyDescent="0.3">
      <c r="A40" t="s">
        <v>35</v>
      </c>
      <c r="B40" s="3">
        <v>0</v>
      </c>
      <c r="C40" s="3">
        <v>0</v>
      </c>
      <c r="D40" s="3">
        <v>0</v>
      </c>
      <c r="E40" s="3">
        <v>55.997378796433999</v>
      </c>
      <c r="F40" s="3">
        <v>55.997378796433999</v>
      </c>
      <c r="G40" s="3">
        <v>97.626915883537805</v>
      </c>
      <c r="H40" s="3">
        <v>8.8689999999999998</v>
      </c>
      <c r="I40" s="3">
        <v>4.2370000000000001</v>
      </c>
      <c r="J40" s="3">
        <v>4.2370000000000001</v>
      </c>
      <c r="K40" s="3"/>
      <c r="L40" s="3"/>
      <c r="M40" s="3"/>
    </row>
    <row r="41" spans="1:13" x14ac:dyDescent="0.3">
      <c r="A41" s="2" t="s">
        <v>27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spans="1:13" x14ac:dyDescent="0.3">
      <c r="A42" t="s">
        <v>2</v>
      </c>
      <c r="B42" s="3">
        <v>0</v>
      </c>
      <c r="C42" s="3">
        <v>0</v>
      </c>
      <c r="D42" s="3">
        <v>0</v>
      </c>
      <c r="E42" s="3">
        <v>82172.105643843504</v>
      </c>
      <c r="F42" s="3">
        <v>82172.105643843504</v>
      </c>
      <c r="G42" s="3">
        <v>67156.222738668395</v>
      </c>
      <c r="H42" s="3">
        <v>945990.291923285</v>
      </c>
      <c r="I42" s="3">
        <v>66065.549431934996</v>
      </c>
      <c r="J42" s="3">
        <v>66065.549431934996</v>
      </c>
      <c r="K42" s="3"/>
      <c r="L42" s="3"/>
      <c r="M42" s="3"/>
    </row>
    <row r="43" spans="1:13" x14ac:dyDescent="0.3">
      <c r="A43" t="s">
        <v>0</v>
      </c>
      <c r="B43" s="3">
        <v>78665.906333971507</v>
      </c>
      <c r="C43" s="3">
        <v>62922.922138276503</v>
      </c>
      <c r="D43" s="3">
        <v>64593.078469406901</v>
      </c>
      <c r="E43" s="3">
        <v>45313.2</v>
      </c>
      <c r="F43" s="3">
        <v>45313.2</v>
      </c>
      <c r="G43" s="3">
        <v>45313.2</v>
      </c>
      <c r="H43" s="3">
        <v>8212833.3252236303</v>
      </c>
      <c r="I43" s="3">
        <v>45313.055999999997</v>
      </c>
      <c r="J43" s="3">
        <v>45313.055999999997</v>
      </c>
      <c r="K43" s="3"/>
      <c r="L43" s="3"/>
      <c r="M43" s="3"/>
    </row>
    <row r="44" spans="1:13" x14ac:dyDescent="0.3">
      <c r="A44" t="s">
        <v>1</v>
      </c>
      <c r="B44" s="3">
        <v>0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</row>
    <row r="45" spans="1:13" x14ac:dyDescent="0.3">
      <c r="A45" s="2" t="s">
        <v>28</v>
      </c>
      <c r="B45" s="3"/>
      <c r="C45" s="3"/>
      <c r="D45" s="3"/>
      <c r="E45" s="3"/>
      <c r="F45" s="3"/>
      <c r="G45" s="3"/>
      <c r="H45" s="3"/>
      <c r="I45" s="3"/>
      <c r="J45" s="3"/>
    </row>
    <row r="46" spans="1:13" x14ac:dyDescent="0.3">
      <c r="A46" t="s">
        <v>0</v>
      </c>
      <c r="B46" s="3">
        <v>15742.984195695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</row>
    <row r="47" spans="1:13" x14ac:dyDescent="0.3">
      <c r="A47" t="s">
        <v>24</v>
      </c>
      <c r="B47" s="3">
        <v>11811636.4801884</v>
      </c>
      <c r="C47" s="3">
        <v>11811636.4801884</v>
      </c>
      <c r="D47" s="3">
        <v>11811636.4801884</v>
      </c>
      <c r="E47" s="3">
        <v>11251662.6922241</v>
      </c>
      <c r="F47" s="3">
        <v>11251662.6922241</v>
      </c>
      <c r="G47" s="3">
        <v>10835367.321353</v>
      </c>
      <c r="H47" s="3">
        <v>512670327.5</v>
      </c>
      <c r="I47" s="3">
        <v>2684407.5</v>
      </c>
      <c r="J47" s="3">
        <v>10737630</v>
      </c>
    </row>
    <row r="48" spans="1:13" x14ac:dyDescent="0.3">
      <c r="A48" t="s">
        <v>1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</row>
    <row r="49" spans="4:4" x14ac:dyDescent="0.3">
      <c r="D49" s="3"/>
    </row>
  </sheetData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0EF5-9E64-45A3-AF76-8FD0E53934FE}">
  <dimension ref="A1:G53"/>
  <sheetViews>
    <sheetView topLeftCell="A13" zoomScale="85" zoomScaleNormal="85" workbookViewId="0">
      <selection sqref="A1:A53"/>
    </sheetView>
  </sheetViews>
  <sheetFormatPr defaultRowHeight="14.4" x14ac:dyDescent="0.3"/>
  <cols>
    <col min="1" max="1" width="36.5546875" bestFit="1" customWidth="1"/>
    <col min="2" max="2" width="13.109375" customWidth="1"/>
    <col min="3" max="3" width="14" bestFit="1" customWidth="1"/>
    <col min="4" max="5" width="16" bestFit="1" customWidth="1"/>
    <col min="6" max="6" width="13.88671875" customWidth="1"/>
  </cols>
  <sheetData>
    <row r="1" spans="1:6" x14ac:dyDescent="0.3">
      <c r="A1" s="1" t="s">
        <v>7</v>
      </c>
      <c r="B1" t="s">
        <v>61</v>
      </c>
    </row>
    <row r="2" spans="1:6" x14ac:dyDescent="0.3">
      <c r="A2" s="1" t="s">
        <v>6</v>
      </c>
    </row>
    <row r="3" spans="1:6" x14ac:dyDescent="0.3">
      <c r="A3" t="s">
        <v>55</v>
      </c>
      <c r="E3" s="4">
        <v>6624</v>
      </c>
    </row>
    <row r="4" spans="1:6" x14ac:dyDescent="0.3">
      <c r="A4" t="s">
        <v>52</v>
      </c>
      <c r="B4" s="4">
        <v>10000</v>
      </c>
      <c r="C4" s="4">
        <v>2500</v>
      </c>
      <c r="D4" s="4">
        <v>2500</v>
      </c>
      <c r="E4" s="4">
        <v>2500</v>
      </c>
      <c r="F4" s="4">
        <v>2500</v>
      </c>
    </row>
    <row r="5" spans="1:6" x14ac:dyDescent="0.3">
      <c r="A5" t="s">
        <v>57</v>
      </c>
      <c r="B5" s="4">
        <v>24</v>
      </c>
      <c r="C5" s="4">
        <v>24</v>
      </c>
      <c r="D5" s="4">
        <v>8783</v>
      </c>
      <c r="E5" s="4">
        <v>8783</v>
      </c>
      <c r="F5" s="4">
        <v>8783</v>
      </c>
    </row>
    <row r="6" spans="1:6" x14ac:dyDescent="0.3">
      <c r="A6" t="s">
        <v>58</v>
      </c>
      <c r="B6" s="4"/>
      <c r="C6" s="4"/>
      <c r="D6" s="4">
        <v>66</v>
      </c>
      <c r="E6" s="4">
        <v>66</v>
      </c>
      <c r="F6" s="8">
        <v>66</v>
      </c>
    </row>
    <row r="7" spans="1:6" x14ac:dyDescent="0.3">
      <c r="A7" s="2" t="s">
        <v>44</v>
      </c>
      <c r="B7" s="4"/>
      <c r="C7" s="4"/>
      <c r="D7" s="4"/>
      <c r="E7" s="4"/>
      <c r="F7" s="4"/>
    </row>
    <row r="8" spans="1:6" x14ac:dyDescent="0.3">
      <c r="A8" t="s">
        <v>2</v>
      </c>
      <c r="B8" s="4">
        <v>12.920999999999999</v>
      </c>
      <c r="C8" s="4">
        <v>12.920999999999999</v>
      </c>
      <c r="D8" s="4">
        <v>12.920999999999999</v>
      </c>
      <c r="E8" s="4">
        <v>12.920999999999999</v>
      </c>
      <c r="F8" s="4">
        <v>12.920999999999999</v>
      </c>
    </row>
    <row r="9" spans="1:6" x14ac:dyDescent="0.3">
      <c r="A9" t="s">
        <v>0</v>
      </c>
      <c r="B9" s="4">
        <v>36</v>
      </c>
      <c r="C9" s="4">
        <v>36</v>
      </c>
      <c r="D9" s="4">
        <v>36</v>
      </c>
      <c r="E9" s="4">
        <v>36</v>
      </c>
      <c r="F9" s="4">
        <v>36</v>
      </c>
    </row>
    <row r="10" spans="1:6" x14ac:dyDescent="0.3">
      <c r="A10" t="s">
        <v>1</v>
      </c>
      <c r="B10" s="4">
        <v>6</v>
      </c>
      <c r="C10" s="4">
        <v>6</v>
      </c>
      <c r="D10" s="4">
        <v>6</v>
      </c>
      <c r="E10" s="4">
        <v>6</v>
      </c>
      <c r="F10" s="4">
        <v>6</v>
      </c>
    </row>
    <row r="11" spans="1:6" x14ac:dyDescent="0.3">
      <c r="A11" s="2" t="s">
        <v>20</v>
      </c>
      <c r="B11" s="4"/>
      <c r="C11" s="4"/>
      <c r="D11" s="4"/>
      <c r="E11" s="4"/>
      <c r="F11" s="4"/>
    </row>
    <row r="12" spans="1:6" x14ac:dyDescent="0.3">
      <c r="A12" t="s">
        <v>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</row>
    <row r="13" spans="1:6" x14ac:dyDescent="0.3">
      <c r="A13" t="s">
        <v>3</v>
      </c>
      <c r="B13" s="4">
        <v>1</v>
      </c>
      <c r="C13" s="4">
        <v>1</v>
      </c>
      <c r="D13" s="4">
        <v>1</v>
      </c>
      <c r="E13" s="4">
        <v>1</v>
      </c>
      <c r="F13" s="4">
        <v>0</v>
      </c>
    </row>
    <row r="14" spans="1:6" x14ac:dyDescent="0.3">
      <c r="A14" t="s">
        <v>4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</row>
    <row r="15" spans="1:6" x14ac:dyDescent="0.3">
      <c r="A15" t="s">
        <v>47</v>
      </c>
      <c r="B15" s="4">
        <v>0</v>
      </c>
      <c r="C15" s="4">
        <v>0</v>
      </c>
      <c r="D15" s="4">
        <v>0</v>
      </c>
      <c r="E15" s="4">
        <v>0</v>
      </c>
      <c r="F15" s="4">
        <v>1</v>
      </c>
    </row>
    <row r="16" spans="1:6" x14ac:dyDescent="0.3">
      <c r="A16" s="2" t="s">
        <v>39</v>
      </c>
      <c r="B16" s="4"/>
      <c r="C16" s="4"/>
      <c r="D16" s="4"/>
      <c r="E16" s="4"/>
      <c r="F16" s="4"/>
    </row>
    <row r="17" spans="1:7" x14ac:dyDescent="0.3">
      <c r="A17" t="s">
        <v>40</v>
      </c>
      <c r="B17" s="4">
        <v>1</v>
      </c>
      <c r="C17" s="4">
        <v>1</v>
      </c>
      <c r="D17" s="4">
        <v>1</v>
      </c>
      <c r="E17" s="4">
        <v>1</v>
      </c>
      <c r="F17" s="4">
        <v>1</v>
      </c>
    </row>
    <row r="18" spans="1:7" x14ac:dyDescent="0.3">
      <c r="A18" s="2" t="s">
        <v>42</v>
      </c>
      <c r="B18" s="4"/>
      <c r="C18" s="4"/>
      <c r="D18" s="4"/>
      <c r="E18" s="4"/>
      <c r="F18" s="4"/>
    </row>
    <row r="19" spans="1:7" x14ac:dyDescent="0.3">
      <c r="A19" t="s">
        <v>43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</row>
    <row r="20" spans="1:7" x14ac:dyDescent="0.3">
      <c r="A20" s="1" t="s">
        <v>9</v>
      </c>
      <c r="B20" s="4"/>
      <c r="C20" s="4"/>
      <c r="D20" s="4"/>
      <c r="E20" s="4"/>
      <c r="F20" s="4"/>
    </row>
    <row r="21" spans="1:7" x14ac:dyDescent="0.3">
      <c r="A21" t="s">
        <v>48</v>
      </c>
      <c r="B21" s="4">
        <v>-10626251.394568</v>
      </c>
      <c r="C21" s="4">
        <v>-2573028.8945680601</v>
      </c>
      <c r="D21" s="4">
        <v>-503511503.88285297</v>
      </c>
      <c r="E21" s="4">
        <v>-503428701.306997</v>
      </c>
      <c r="F21" s="4">
        <v>-503145897.59350002</v>
      </c>
    </row>
    <row r="22" spans="1:7" x14ac:dyDescent="0.3">
      <c r="A22" t="s">
        <v>54</v>
      </c>
      <c r="B22" s="4">
        <v>153748.605431934</v>
      </c>
      <c r="C22" s="4">
        <v>121971.105431934</v>
      </c>
      <c r="D22" s="8">
        <v>9180996.1171469297</v>
      </c>
      <c r="E22" s="8">
        <v>9263798.6930023599</v>
      </c>
      <c r="F22" s="8">
        <v>9546602.4064993802</v>
      </c>
    </row>
    <row r="23" spans="1:7" x14ac:dyDescent="0.3">
      <c r="A23" t="s">
        <v>32</v>
      </c>
      <c r="B23" s="4">
        <v>4.0001869201660104E-3</v>
      </c>
      <c r="C23" s="4">
        <v>0</v>
      </c>
      <c r="D23" s="4">
        <v>0.480999946594238</v>
      </c>
      <c r="E23" s="4">
        <v>0.56500005722045898</v>
      </c>
      <c r="F23" s="4">
        <v>0.26200008392333901</v>
      </c>
    </row>
    <row r="24" spans="1:7" x14ac:dyDescent="0.3">
      <c r="A24" t="s">
        <v>17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</row>
    <row r="25" spans="1:7" x14ac:dyDescent="0.3">
      <c r="A25" t="s">
        <v>31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</row>
    <row r="26" spans="1:7" x14ac:dyDescent="0.3">
      <c r="A26" t="s">
        <v>41</v>
      </c>
      <c r="B26" s="4">
        <v>0</v>
      </c>
      <c r="C26" s="4">
        <v>0</v>
      </c>
      <c r="D26" s="4">
        <v>0.27173913043478198</v>
      </c>
      <c r="E26" s="4">
        <v>0.89913043478260801</v>
      </c>
      <c r="F26" s="4">
        <v>0</v>
      </c>
    </row>
    <row r="27" spans="1:7" x14ac:dyDescent="0.3">
      <c r="A27" t="s">
        <v>56</v>
      </c>
      <c r="D27" s="1">
        <v>366</v>
      </c>
      <c r="E27" s="1">
        <v>301</v>
      </c>
      <c r="F27" s="8">
        <v>66</v>
      </c>
    </row>
    <row r="28" spans="1:7" x14ac:dyDescent="0.3">
      <c r="A28" t="s">
        <v>59</v>
      </c>
      <c r="D28" s="1">
        <v>366</v>
      </c>
      <c r="E28" s="1">
        <v>306</v>
      </c>
      <c r="F28" s="8">
        <v>76</v>
      </c>
      <c r="G28" t="s">
        <v>60</v>
      </c>
    </row>
    <row r="29" spans="1:7" x14ac:dyDescent="0.3">
      <c r="A29" s="2" t="s">
        <v>45</v>
      </c>
      <c r="B29" s="4"/>
      <c r="C29" s="4"/>
      <c r="D29" s="4"/>
      <c r="E29" s="4"/>
      <c r="F29" s="4"/>
    </row>
    <row r="30" spans="1:7" x14ac:dyDescent="0.3">
      <c r="A30" t="s">
        <v>2</v>
      </c>
      <c r="B30" s="4">
        <v>12.920999999999999</v>
      </c>
      <c r="C30" s="4">
        <v>12.920999999999999</v>
      </c>
      <c r="D30" s="4">
        <v>12.920999999999999</v>
      </c>
      <c r="E30" s="4">
        <v>12.920999999999999</v>
      </c>
      <c r="F30" s="4">
        <v>12.920999999999999</v>
      </c>
    </row>
    <row r="31" spans="1:7" x14ac:dyDescent="0.3">
      <c r="A31" t="s">
        <v>0</v>
      </c>
      <c r="B31" s="4">
        <v>36</v>
      </c>
      <c r="C31" s="4">
        <v>36</v>
      </c>
      <c r="D31" s="4">
        <v>36</v>
      </c>
      <c r="E31" s="4">
        <v>36</v>
      </c>
      <c r="F31" s="4">
        <v>36</v>
      </c>
    </row>
    <row r="32" spans="1:7" x14ac:dyDescent="0.3">
      <c r="A32" t="s">
        <v>1</v>
      </c>
      <c r="B32" s="4">
        <v>6</v>
      </c>
      <c r="C32" s="4">
        <v>6</v>
      </c>
      <c r="D32" s="4">
        <v>6</v>
      </c>
      <c r="E32" s="4">
        <v>6</v>
      </c>
      <c r="F32" s="4">
        <v>6</v>
      </c>
    </row>
    <row r="33" spans="1:6" x14ac:dyDescent="0.3">
      <c r="A33" s="2" t="s">
        <v>46</v>
      </c>
      <c r="B33" s="4"/>
      <c r="C33" s="4"/>
      <c r="D33" s="4"/>
      <c r="E33" s="4"/>
      <c r="F33" s="4"/>
    </row>
    <row r="34" spans="1:6" x14ac:dyDescent="0.3">
      <c r="A34" t="s">
        <v>0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</row>
    <row r="35" spans="1:6" x14ac:dyDescent="0.3">
      <c r="A35" t="s">
        <v>24</v>
      </c>
      <c r="B35" s="4">
        <v>54.920999999999999</v>
      </c>
      <c r="C35" s="4">
        <v>54.920999999999999</v>
      </c>
      <c r="D35" s="4">
        <v>54.920999999999999</v>
      </c>
      <c r="E35" s="4">
        <v>54.920999999999999</v>
      </c>
      <c r="F35" s="4">
        <v>54.920999999999999</v>
      </c>
    </row>
    <row r="36" spans="1:6" x14ac:dyDescent="0.3">
      <c r="A36" t="s">
        <v>1</v>
      </c>
      <c r="B36" s="4">
        <v>6</v>
      </c>
      <c r="C36" s="4">
        <v>6</v>
      </c>
      <c r="D36" s="4">
        <v>6</v>
      </c>
      <c r="E36" s="4">
        <v>6</v>
      </c>
      <c r="F36" s="4">
        <v>6</v>
      </c>
    </row>
    <row r="37" spans="1:6" x14ac:dyDescent="0.3">
      <c r="A37" s="2" t="s">
        <v>23</v>
      </c>
      <c r="B37" s="4"/>
      <c r="C37" s="4"/>
      <c r="D37" s="4"/>
      <c r="E37" s="4"/>
      <c r="F37" s="4"/>
    </row>
    <row r="38" spans="1:6" x14ac:dyDescent="0.3">
      <c r="A38" t="s">
        <v>2</v>
      </c>
      <c r="B38" s="4">
        <v>216.39643667296701</v>
      </c>
      <c r="C38" s="4">
        <v>216.39643667296701</v>
      </c>
      <c r="D38" s="4">
        <v>3098.5730090737102</v>
      </c>
      <c r="E38" s="4">
        <v>3098.5730090737102</v>
      </c>
      <c r="F38" s="4">
        <v>3000.0191999999902</v>
      </c>
    </row>
    <row r="39" spans="1:6" x14ac:dyDescent="0.3">
      <c r="A39" t="s">
        <v>0</v>
      </c>
      <c r="B39" s="4">
        <v>864</v>
      </c>
      <c r="C39" s="4">
        <v>864</v>
      </c>
      <c r="D39" s="4">
        <v>204910.501150094</v>
      </c>
      <c r="E39" s="4">
        <v>203171.64494744799</v>
      </c>
      <c r="F39" s="4">
        <v>202367.83931946999</v>
      </c>
    </row>
    <row r="40" spans="1:6" x14ac:dyDescent="0.3">
      <c r="A40" t="s">
        <v>1</v>
      </c>
      <c r="B40" s="4">
        <v>36.552999999999997</v>
      </c>
      <c r="C40" s="4">
        <v>36.552999999999997</v>
      </c>
      <c r="D40" s="8">
        <v>16205.8221999999</v>
      </c>
      <c r="E40" s="8">
        <v>6623.99999999989</v>
      </c>
      <c r="F40" s="8">
        <v>1685.0463999999899</v>
      </c>
    </row>
    <row r="41" spans="1:6" x14ac:dyDescent="0.3">
      <c r="A41" s="2" t="s">
        <v>22</v>
      </c>
      <c r="B41" s="4"/>
      <c r="C41" s="4"/>
      <c r="D41" s="4"/>
      <c r="E41" s="4"/>
      <c r="F41" s="4"/>
    </row>
    <row r="42" spans="1:6" x14ac:dyDescent="0.3">
      <c r="A42" t="s">
        <v>0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</row>
    <row r="43" spans="1:6" x14ac:dyDescent="0.3">
      <c r="A43" t="s">
        <v>24</v>
      </c>
      <c r="B43" s="4">
        <v>1073.7629999999999</v>
      </c>
      <c r="C43" s="4">
        <v>1073.7629999999999</v>
      </c>
      <c r="D43" s="4">
        <v>205068.13099999999</v>
      </c>
      <c r="E43" s="4">
        <v>205068.13099999999</v>
      </c>
      <c r="F43" s="4">
        <v>205050.0656</v>
      </c>
    </row>
    <row r="44" spans="1:6" x14ac:dyDescent="0.3">
      <c r="A44" t="s">
        <v>1</v>
      </c>
      <c r="B44" s="4">
        <v>43.186436672967801</v>
      </c>
      <c r="C44" s="4">
        <v>43.186436672967801</v>
      </c>
      <c r="D44" s="4">
        <v>19146.765359168199</v>
      </c>
      <c r="E44" s="4">
        <v>7826.0869565215899</v>
      </c>
      <c r="F44" s="4">
        <v>2002.83931947069</v>
      </c>
    </row>
    <row r="45" spans="1:6" x14ac:dyDescent="0.3">
      <c r="A45" t="s">
        <v>35</v>
      </c>
      <c r="B45" s="4">
        <v>4.2370000000000001</v>
      </c>
      <c r="C45" s="4">
        <v>4.2370000000000001</v>
      </c>
      <c r="D45" s="4">
        <v>8.8689999999999998</v>
      </c>
      <c r="E45" s="4">
        <v>8.8689999999999998</v>
      </c>
      <c r="F45" s="4">
        <v>26.9344</v>
      </c>
    </row>
    <row r="46" spans="1:6" x14ac:dyDescent="0.3">
      <c r="A46" s="2" t="s">
        <v>27</v>
      </c>
      <c r="B46" s="4"/>
      <c r="C46" s="4"/>
      <c r="D46" s="4"/>
      <c r="E46" s="4"/>
      <c r="F46" s="4"/>
    </row>
    <row r="47" spans="1:6" x14ac:dyDescent="0.3">
      <c r="A47" t="s">
        <v>2</v>
      </c>
      <c r="B47" s="4">
        <v>66065.549431934996</v>
      </c>
      <c r="C47" s="4">
        <v>66065.549431934996</v>
      </c>
      <c r="D47" s="4">
        <v>945990.291923285</v>
      </c>
      <c r="E47" s="4">
        <v>945990.291923285</v>
      </c>
      <c r="F47" s="4">
        <v>915901.94275649404</v>
      </c>
    </row>
    <row r="48" spans="1:6" x14ac:dyDescent="0.3">
      <c r="A48" t="s">
        <v>0</v>
      </c>
      <c r="B48" s="4">
        <v>45313.055999999997</v>
      </c>
      <c r="C48" s="4">
        <v>45313.055999999997</v>
      </c>
      <c r="D48" s="4">
        <v>8212833.3252236303</v>
      </c>
      <c r="E48" s="4">
        <v>8295635.9010790698</v>
      </c>
      <c r="F48" s="4">
        <v>8563364.4637428895</v>
      </c>
    </row>
    <row r="49" spans="1:6" x14ac:dyDescent="0.3">
      <c r="A49" t="s">
        <v>1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</row>
    <row r="50" spans="1:6" x14ac:dyDescent="0.3">
      <c r="A50" s="2" t="s">
        <v>28</v>
      </c>
      <c r="B50" s="4"/>
      <c r="C50" s="4"/>
      <c r="D50" s="4"/>
      <c r="E50" s="4"/>
      <c r="F50" s="4"/>
    </row>
    <row r="51" spans="1:6" x14ac:dyDescent="0.3">
      <c r="A51" t="s">
        <v>0</v>
      </c>
      <c r="B51" s="4">
        <v>0</v>
      </c>
      <c r="C51" s="4">
        <v>0</v>
      </c>
      <c r="D51" s="4">
        <v>0</v>
      </c>
      <c r="E51" s="4">
        <v>0</v>
      </c>
      <c r="F51" s="4">
        <v>0</v>
      </c>
    </row>
    <row r="52" spans="1:6" x14ac:dyDescent="0.3">
      <c r="A52" t="s">
        <v>24</v>
      </c>
      <c r="B52" s="4">
        <v>10737630</v>
      </c>
      <c r="C52" s="4">
        <v>2684407.5</v>
      </c>
      <c r="D52" s="4">
        <v>512670327.5</v>
      </c>
      <c r="E52" s="4">
        <v>512670327.5</v>
      </c>
      <c r="F52" s="4">
        <v>512625164</v>
      </c>
    </row>
    <row r="53" spans="1:6" x14ac:dyDescent="0.3">
      <c r="A53" t="s">
        <v>1</v>
      </c>
      <c r="B53" s="4">
        <v>0</v>
      </c>
      <c r="C53" s="4">
        <v>0</v>
      </c>
      <c r="D53" s="4">
        <v>0</v>
      </c>
      <c r="E53" s="4">
        <v>0</v>
      </c>
      <c r="F53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experimentslist</vt:lpstr>
      <vt:lpstr>Parameters</vt:lpstr>
      <vt:lpstr>scarcity_Aug1st</vt:lpstr>
      <vt:lpstr>scarcity_Jun18</vt:lpstr>
      <vt:lpstr>isone_fcm</vt:lpstr>
      <vt:lpstr>250901</vt:lpstr>
      <vt:lpstr>Experiments</vt:lpstr>
      <vt:lpstr>250718_investment</vt:lpstr>
      <vt:lpstr>250616_plan</vt:lpstr>
      <vt:lpstr>20250425</vt:lpstr>
      <vt:lpstr>20250424</vt:lpstr>
      <vt:lpstr>20250505_Ops</vt:lpstr>
      <vt:lpstr>250601_ops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2015-06-05T18:17:20Z</dcterms:created>
  <dcterms:modified xsi:type="dcterms:W3CDTF">2025-09-23T17:06:56Z</dcterms:modified>
</cp:coreProperties>
</file>