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4E594360-CE99-4A9A-83B6-49FF7941686D}" xr6:coauthVersionLast="47" xr6:coauthVersionMax="47" xr10:uidLastSave="{00000000-0000-0000-0000-000000000000}"/>
  <bookViews>
    <workbookView xWindow="-11955" yWindow="-16320" windowWidth="29040" windowHeight="15720" firstSheet="5" activeTab="7" xr2:uid="{00000000-000D-0000-FFFF-FFFF00000000}"/>
  </bookViews>
  <sheets>
    <sheet name="experimentslist" sheetId="13" r:id="rId1"/>
    <sheet name="NG" sheetId="14" r:id="rId2"/>
    <sheet name="Parameters" sheetId="8" r:id="rId3"/>
    <sheet name="scarcity_Aug1st" sheetId="10" r:id="rId4"/>
    <sheet name="scarcity_Jun18" sheetId="11" r:id="rId5"/>
    <sheet name="isone_fcm" sheetId="12" r:id="rId6"/>
    <sheet name="250901" sheetId="9" r:id="rId7"/>
    <sheet name="investment_decisions" sheetId="15" r:id="rId8"/>
    <sheet name="Experiments" sheetId="1" r:id="rId9"/>
    <sheet name="250718_investment" sheetId="7" r:id="rId10"/>
    <sheet name="250616_plan" sheetId="6" r:id="rId11"/>
    <sheet name="20250425" sheetId="3" r:id="rId12"/>
    <sheet name="20250424" sheetId="2" r:id="rId13"/>
    <sheet name="20250505_Ops" sheetId="4" r:id="rId14"/>
    <sheet name="250601_ops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8" l="1"/>
  <c r="I13" i="8"/>
  <c r="I14" i="8"/>
  <c r="I24" i="8"/>
  <c r="I25" i="8"/>
  <c r="I26" i="8"/>
  <c r="H3" i="8"/>
  <c r="I3" i="8" s="1"/>
  <c r="H4" i="8"/>
  <c r="I4" i="8" s="1"/>
  <c r="H5" i="8"/>
  <c r="I5" i="8" s="1"/>
  <c r="H6" i="8"/>
  <c r="I6" i="8" s="1"/>
  <c r="H7" i="8"/>
  <c r="I7" i="8" s="1"/>
  <c r="H8" i="8"/>
  <c r="I8" i="8" s="1"/>
  <c r="H9" i="8"/>
  <c r="I9" i="8" s="1"/>
  <c r="H10" i="8"/>
  <c r="I10" i="8" s="1"/>
  <c r="H11" i="8"/>
  <c r="I11" i="8" s="1"/>
  <c r="H12" i="8"/>
  <c r="H13" i="8"/>
  <c r="H14" i="8"/>
  <c r="H15" i="8"/>
  <c r="I15" i="8" s="1"/>
  <c r="H16" i="8"/>
  <c r="I16" i="8" s="1"/>
  <c r="H17" i="8"/>
  <c r="I17" i="8" s="1"/>
  <c r="H18" i="8"/>
  <c r="I18" i="8" s="1"/>
  <c r="H19" i="8"/>
  <c r="I19" i="8" s="1"/>
  <c r="H20" i="8"/>
  <c r="I20" i="8" s="1"/>
  <c r="H21" i="8"/>
  <c r="I21" i="8" s="1"/>
  <c r="H22" i="8"/>
  <c r="I22" i="8" s="1"/>
  <c r="H23" i="8"/>
  <c r="I23" i="8" s="1"/>
  <c r="H24" i="8"/>
  <c r="H25" i="8"/>
  <c r="H26" i="8"/>
  <c r="H27" i="8"/>
  <c r="I27" i="8" s="1"/>
  <c r="H28" i="8"/>
  <c r="I28" i="8" s="1"/>
  <c r="H2" i="8"/>
  <c r="I2" i="8" s="1"/>
  <c r="I30" i="13"/>
  <c r="J30" i="13"/>
  <c r="I26" i="13"/>
  <c r="J26" i="13"/>
  <c r="H30" i="13"/>
  <c r="H26" i="13"/>
  <c r="E30" i="13"/>
  <c r="E26" i="13"/>
  <c r="M3" i="12"/>
  <c r="L3" i="12"/>
  <c r="C30" i="13"/>
  <c r="D30" i="13"/>
  <c r="F30" i="13"/>
  <c r="G30" i="13"/>
  <c r="B30" i="13"/>
  <c r="C26" i="13"/>
  <c r="D26" i="13"/>
  <c r="F26" i="13"/>
  <c r="G26" i="13"/>
  <c r="B26" i="13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4" i="10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4" i="1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38" i="12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 s="1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" i="8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R123" i="8" s="1"/>
  <c r="R124" i="8" s="1"/>
  <c r="R125" i="8" s="1"/>
  <c r="R126" i="8" s="1"/>
  <c r="R127" i="8" s="1"/>
  <c r="R128" i="8" s="1"/>
  <c r="R129" i="8" s="1"/>
  <c r="R130" i="8" s="1"/>
  <c r="R131" i="8" s="1"/>
  <c r="R132" i="8" s="1"/>
  <c r="R133" i="8" s="1"/>
  <c r="R134" i="8" s="1"/>
  <c r="R135" i="8" s="1"/>
  <c r="R136" i="8" s="1"/>
  <c r="R137" i="8" s="1"/>
  <c r="R138" i="8" s="1"/>
  <c r="R139" i="8" s="1"/>
  <c r="R140" i="8" s="1"/>
  <c r="R141" i="8" s="1"/>
  <c r="R142" i="8" s="1"/>
  <c r="R143" i="8" s="1"/>
  <c r="R144" i="8" s="1"/>
  <c r="R145" i="8" s="1"/>
  <c r="R146" i="8" s="1"/>
  <c r="R147" i="8" s="1"/>
  <c r="R148" i="8" s="1"/>
  <c r="R149" i="8" s="1"/>
  <c r="R150" i="8" s="1"/>
  <c r="R151" i="8" s="1"/>
  <c r="R152" i="8" s="1"/>
  <c r="R153" i="8" s="1"/>
  <c r="R154" i="8" s="1"/>
  <c r="R155" i="8" s="1"/>
  <c r="R156" i="8" s="1"/>
  <c r="R157" i="8" s="1"/>
  <c r="R158" i="8" s="1"/>
  <c r="R159" i="8" s="1"/>
  <c r="R160" i="8" s="1"/>
  <c r="R161" i="8" s="1"/>
  <c r="R162" i="8" s="1"/>
  <c r="R163" i="8" s="1"/>
  <c r="R164" i="8" s="1"/>
  <c r="R165" i="8" s="1"/>
  <c r="R166" i="8" s="1"/>
  <c r="R167" i="8" s="1"/>
  <c r="R168" i="8" s="1"/>
  <c r="R169" i="8" s="1"/>
  <c r="R170" i="8" s="1"/>
  <c r="R171" i="8" s="1"/>
  <c r="R172" i="8" s="1"/>
  <c r="R173" i="8" s="1"/>
  <c r="R174" i="8" s="1"/>
  <c r="R175" i="8" s="1"/>
  <c r="R176" i="8" s="1"/>
  <c r="R177" i="8" s="1"/>
  <c r="R178" i="8" s="1"/>
  <c r="R179" i="8" s="1"/>
  <c r="R180" i="8" s="1"/>
  <c r="R181" i="8" s="1"/>
  <c r="R182" i="8" s="1"/>
  <c r="R183" i="8" s="1"/>
  <c r="R184" i="8" s="1"/>
  <c r="R185" i="8" s="1"/>
  <c r="R186" i="8" s="1"/>
  <c r="R187" i="8" s="1"/>
  <c r="R188" i="8" s="1"/>
  <c r="R189" i="8" s="1"/>
  <c r="R190" i="8" s="1"/>
  <c r="R191" i="8" s="1"/>
  <c r="R192" i="8" s="1"/>
  <c r="R193" i="8" s="1"/>
  <c r="R194" i="8" s="1"/>
  <c r="R195" i="8" s="1"/>
  <c r="R196" i="8" s="1"/>
  <c r="R197" i="8" s="1"/>
  <c r="R198" i="8" s="1"/>
  <c r="R199" i="8" s="1"/>
  <c r="R200" i="8" s="1"/>
  <c r="R201" i="8" s="1"/>
  <c r="R202" i="8" s="1"/>
  <c r="R203" i="8" s="1"/>
  <c r="R204" i="8" s="1"/>
  <c r="R205" i="8" s="1"/>
  <c r="R206" i="8" s="1"/>
  <c r="R207" i="8" s="1"/>
  <c r="R208" i="8" s="1"/>
  <c r="R209" i="8" s="1"/>
  <c r="R210" i="8" s="1"/>
  <c r="R211" i="8" s="1"/>
  <c r="R212" i="8" s="1"/>
  <c r="R213" i="8" s="1"/>
  <c r="R214" i="8" s="1"/>
  <c r="R215" i="8" s="1"/>
  <c r="R216" i="8" s="1"/>
  <c r="R217" i="8" s="1"/>
  <c r="R218" i="8" s="1"/>
  <c r="R219" i="8" s="1"/>
  <c r="R220" i="8" s="1"/>
  <c r="R221" i="8" s="1"/>
  <c r="R222" i="8" s="1"/>
  <c r="R223" i="8" s="1"/>
  <c r="R224" i="8" s="1"/>
  <c r="R225" i="8" s="1"/>
  <c r="R226" i="8" s="1"/>
  <c r="R227" i="8" s="1"/>
  <c r="R228" i="8" s="1"/>
  <c r="R229" i="8" s="1"/>
  <c r="R230" i="8" s="1"/>
  <c r="R231" i="8" s="1"/>
  <c r="R232" i="8" s="1"/>
  <c r="R233" i="8" s="1"/>
  <c r="R234" i="8" s="1"/>
  <c r="R235" i="8" s="1"/>
  <c r="R236" i="8" s="1"/>
  <c r="R237" i="8" s="1"/>
  <c r="R238" i="8" s="1"/>
  <c r="R239" i="8" s="1"/>
  <c r="R240" i="8" s="1"/>
  <c r="R241" i="8" s="1"/>
  <c r="R242" i="8" s="1"/>
  <c r="R243" i="8" s="1"/>
  <c r="R244" i="8" s="1"/>
  <c r="R245" i="8" s="1"/>
  <c r="R246" i="8" s="1"/>
  <c r="R247" i="8" s="1"/>
  <c r="R248" i="8" s="1"/>
  <c r="R249" i="8" s="1"/>
  <c r="R250" i="8" s="1"/>
  <c r="R251" i="8" s="1"/>
  <c r="R252" i="8" s="1"/>
  <c r="R253" i="8" s="1"/>
  <c r="R254" i="8" s="1"/>
  <c r="R255" i="8" s="1"/>
  <c r="R256" i="8" s="1"/>
  <c r="R257" i="8" s="1"/>
  <c r="R258" i="8" s="1"/>
  <c r="R259" i="8" s="1"/>
  <c r="R260" i="8" s="1"/>
  <c r="R261" i="8" s="1"/>
  <c r="R262" i="8" s="1"/>
  <c r="R263" i="8" s="1"/>
  <c r="R264" i="8" s="1"/>
  <c r="R265" i="8" s="1"/>
  <c r="R266" i="8" s="1"/>
  <c r="R267" i="8" s="1"/>
  <c r="R268" i="8" s="1"/>
  <c r="R269" i="8" s="1"/>
  <c r="R270" i="8" s="1"/>
  <c r="R271" i="8" s="1"/>
  <c r="R272" i="8" s="1"/>
  <c r="R273" i="8" s="1"/>
  <c r="R274" i="8" s="1"/>
  <c r="R275" i="8" s="1"/>
  <c r="R276" i="8" s="1"/>
  <c r="R277" i="8" s="1"/>
  <c r="R278" i="8" s="1"/>
  <c r="R279" i="8" s="1"/>
  <c r="R280" i="8" s="1"/>
  <c r="R281" i="8" s="1"/>
  <c r="R282" i="8" s="1"/>
  <c r="R283" i="8" s="1"/>
  <c r="R284" i="8" s="1"/>
  <c r="R285" i="8" s="1"/>
  <c r="R286" i="8" s="1"/>
  <c r="R287" i="8" s="1"/>
  <c r="R288" i="8" s="1"/>
  <c r="R289" i="8" s="1"/>
  <c r="R290" i="8" s="1"/>
  <c r="R291" i="8" s="1"/>
  <c r="R292" i="8" s="1"/>
  <c r="R293" i="8" s="1"/>
  <c r="R294" i="8" s="1"/>
  <c r="R295" i="8" s="1"/>
  <c r="R296" i="8" s="1"/>
  <c r="R297" i="8" s="1"/>
  <c r="R298" i="8" s="1"/>
  <c r="R299" i="8" s="1"/>
  <c r="R300" i="8" s="1"/>
  <c r="R301" i="8" s="1"/>
  <c r="R302" i="8" s="1"/>
  <c r="R303" i="8" s="1"/>
  <c r="R304" i="8" s="1"/>
  <c r="R305" i="8" s="1"/>
  <c r="R306" i="8" s="1"/>
  <c r="R307" i="8" s="1"/>
  <c r="R308" i="8" s="1"/>
  <c r="R309" i="8" s="1"/>
  <c r="R310" i="8" s="1"/>
  <c r="R311" i="8" s="1"/>
  <c r="R312" i="8" s="1"/>
  <c r="R313" i="8" s="1"/>
  <c r="R314" i="8" s="1"/>
  <c r="R315" i="8" s="1"/>
  <c r="R316" i="8" s="1"/>
  <c r="R317" i="8" s="1"/>
  <c r="R318" i="8" s="1"/>
  <c r="R319" i="8" s="1"/>
  <c r="R320" i="8" s="1"/>
  <c r="R321" i="8" s="1"/>
  <c r="R322" i="8" s="1"/>
  <c r="R323" i="8" s="1"/>
  <c r="R324" i="8" s="1"/>
  <c r="R325" i="8" s="1"/>
  <c r="R326" i="8" s="1"/>
  <c r="R327" i="8" s="1"/>
  <c r="R328" i="8" s="1"/>
  <c r="R329" i="8" s="1"/>
  <c r="R330" i="8" s="1"/>
  <c r="R331" i="8" s="1"/>
  <c r="R332" i="8" s="1"/>
  <c r="R333" i="8" s="1"/>
  <c r="R334" i="8" s="1"/>
  <c r="R335" i="8" s="1"/>
  <c r="R336" i="8" s="1"/>
  <c r="R337" i="8" s="1"/>
  <c r="R338" i="8" s="1"/>
  <c r="R339" i="8" s="1"/>
  <c r="R340" i="8" s="1"/>
  <c r="R341" i="8" s="1"/>
  <c r="R342" i="8" s="1"/>
  <c r="R343" i="8" s="1"/>
  <c r="R344" i="8" s="1"/>
  <c r="R345" i="8" s="1"/>
  <c r="R346" i="8" s="1"/>
  <c r="R347" i="8" s="1"/>
  <c r="R348" i="8" s="1"/>
  <c r="R349" i="8" s="1"/>
  <c r="R350" i="8" s="1"/>
  <c r="R351" i="8" s="1"/>
  <c r="R352" i="8" s="1"/>
  <c r="R353" i="8" s="1"/>
  <c r="R354" i="8" s="1"/>
  <c r="R355" i="8" s="1"/>
  <c r="R356" i="8" s="1"/>
  <c r="R357" i="8" s="1"/>
  <c r="R358" i="8" s="1"/>
  <c r="R359" i="8" s="1"/>
  <c r="R360" i="8" s="1"/>
  <c r="R361" i="8" s="1"/>
  <c r="R362" i="8" s="1"/>
  <c r="R363" i="8" s="1"/>
  <c r="R364" i="8" s="1"/>
  <c r="R365" i="8" s="1"/>
  <c r="R366" i="8" s="1"/>
  <c r="R367" i="8" s="1"/>
  <c r="R368" i="8" s="1"/>
  <c r="R369" i="8" s="1"/>
  <c r="R370" i="8" s="1"/>
  <c r="R371" i="8" s="1"/>
  <c r="R372" i="8" s="1"/>
  <c r="R373" i="8" s="1"/>
  <c r="R374" i="8" s="1"/>
  <c r="R375" i="8" s="1"/>
  <c r="R376" i="8" s="1"/>
  <c r="R377" i="8" s="1"/>
  <c r="R378" i="8" s="1"/>
  <c r="R379" i="8" s="1"/>
  <c r="R380" i="8" s="1"/>
  <c r="R381" i="8" s="1"/>
  <c r="R382" i="8" s="1"/>
  <c r="R383" i="8" s="1"/>
  <c r="R384" i="8" s="1"/>
  <c r="R385" i="8" s="1"/>
  <c r="R386" i="8" s="1"/>
  <c r="R387" i="8" s="1"/>
  <c r="R388" i="8" s="1"/>
  <c r="R389" i="8" s="1"/>
  <c r="R390" i="8" s="1"/>
  <c r="R391" i="8" s="1"/>
  <c r="R392" i="8" s="1"/>
  <c r="R393" i="8" s="1"/>
  <c r="R394" i="8" s="1"/>
  <c r="R395" i="8" s="1"/>
  <c r="R396" i="8" s="1"/>
  <c r="R397" i="8" s="1"/>
  <c r="R398" i="8" s="1"/>
  <c r="R399" i="8" s="1"/>
  <c r="R400" i="8" s="1"/>
  <c r="R401" i="8" s="1"/>
  <c r="R402" i="8" s="1"/>
  <c r="R403" i="8" s="1"/>
  <c r="R404" i="8" s="1"/>
  <c r="R405" i="8" s="1"/>
  <c r="R406" i="8" s="1"/>
  <c r="R407" i="8" s="1"/>
  <c r="R408" i="8" s="1"/>
  <c r="R409" i="8" s="1"/>
  <c r="R410" i="8" s="1"/>
  <c r="R411" i="8" s="1"/>
  <c r="R412" i="8" s="1"/>
  <c r="R413" i="8" s="1"/>
  <c r="R414" i="8" s="1"/>
  <c r="R415" i="8" s="1"/>
  <c r="R416" i="8" s="1"/>
  <c r="R417" i="8" s="1"/>
  <c r="R418" i="8" s="1"/>
  <c r="R419" i="8" s="1"/>
  <c r="R420" i="8" s="1"/>
  <c r="R421" i="8" s="1"/>
  <c r="R422" i="8" s="1"/>
  <c r="R423" i="8" s="1"/>
  <c r="R424" i="8" s="1"/>
  <c r="R425" i="8" s="1"/>
  <c r="R426" i="8" s="1"/>
  <c r="R427" i="8" s="1"/>
  <c r="R428" i="8" s="1"/>
  <c r="R429" i="8" s="1"/>
  <c r="R430" i="8" s="1"/>
  <c r="R431" i="8" s="1"/>
  <c r="R432" i="8" s="1"/>
  <c r="R433" i="8" s="1"/>
  <c r="R434" i="8" s="1"/>
  <c r="R435" i="8" s="1"/>
  <c r="R436" i="8" s="1"/>
  <c r="R437" i="8" s="1"/>
  <c r="R438" i="8" s="1"/>
  <c r="R439" i="8" s="1"/>
  <c r="R440" i="8" s="1"/>
  <c r="R441" i="8" s="1"/>
  <c r="R442" i="8" s="1"/>
  <c r="R443" i="8" s="1"/>
  <c r="R444" i="8" s="1"/>
  <c r="R445" i="8" s="1"/>
  <c r="R446" i="8" s="1"/>
  <c r="R447" i="8" s="1"/>
  <c r="R448" i="8" s="1"/>
  <c r="R449" i="8" s="1"/>
  <c r="R450" i="8" s="1"/>
  <c r="R451" i="8" s="1"/>
  <c r="R452" i="8" s="1"/>
  <c r="R453" i="8" s="1"/>
  <c r="R454" i="8" s="1"/>
  <c r="R455" i="8" s="1"/>
  <c r="R456" i="8" s="1"/>
  <c r="R457" i="8" s="1"/>
  <c r="R458" i="8" s="1"/>
  <c r="R459" i="8" s="1"/>
  <c r="R460" i="8" s="1"/>
  <c r="R461" i="8" s="1"/>
  <c r="R462" i="8" s="1"/>
  <c r="R463" i="8" s="1"/>
  <c r="R464" i="8" s="1"/>
  <c r="R465" i="8" s="1"/>
  <c r="R466" i="8" s="1"/>
  <c r="R467" i="8" s="1"/>
  <c r="R468" i="8" s="1"/>
  <c r="R469" i="8" s="1"/>
  <c r="R470" i="8" s="1"/>
  <c r="R471" i="8" s="1"/>
  <c r="R472" i="8" s="1"/>
  <c r="R473" i="8" s="1"/>
  <c r="R474" i="8" s="1"/>
  <c r="R475" i="8" s="1"/>
  <c r="R476" i="8" s="1"/>
  <c r="R477" i="8" s="1"/>
  <c r="R478" i="8" s="1"/>
  <c r="R479" i="8" s="1"/>
  <c r="R480" i="8" s="1"/>
  <c r="R481" i="8" s="1"/>
  <c r="R482" i="8" s="1"/>
  <c r="R483" i="8" s="1"/>
  <c r="R484" i="8" s="1"/>
  <c r="R485" i="8" s="1"/>
  <c r="R486" i="8" s="1"/>
  <c r="R487" i="8" s="1"/>
  <c r="R488" i="8" s="1"/>
  <c r="R489" i="8" s="1"/>
  <c r="R490" i="8" s="1"/>
  <c r="R491" i="8" s="1"/>
  <c r="R492" i="8" s="1"/>
  <c r="R493" i="8" s="1"/>
  <c r="R494" i="8" s="1"/>
  <c r="R495" i="8" s="1"/>
  <c r="R496" i="8" s="1"/>
  <c r="R497" i="8" s="1"/>
  <c r="R498" i="8" s="1"/>
  <c r="R499" i="8" s="1"/>
  <c r="R500" i="8" s="1"/>
  <c r="R501" i="8" s="1"/>
  <c r="R502" i="8" s="1"/>
  <c r="R503" i="8" s="1"/>
  <c r="R504" i="8" s="1"/>
  <c r="R505" i="8" s="1"/>
  <c r="R506" i="8" s="1"/>
  <c r="R507" i="8" s="1"/>
  <c r="R508" i="8" s="1"/>
  <c r="R509" i="8" s="1"/>
  <c r="R510" i="8" s="1"/>
  <c r="R511" i="8" s="1"/>
  <c r="R512" i="8" s="1"/>
  <c r="R513" i="8" s="1"/>
  <c r="R514" i="8" s="1"/>
  <c r="R515" i="8" s="1"/>
  <c r="R516" i="8" s="1"/>
  <c r="R517" i="8" s="1"/>
  <c r="R518" i="8" s="1"/>
  <c r="R519" i="8" s="1"/>
  <c r="R520" i="8" s="1"/>
  <c r="R521" i="8" s="1"/>
  <c r="R522" i="8" s="1"/>
  <c r="R523" i="8" s="1"/>
  <c r="R524" i="8" s="1"/>
  <c r="R525" i="8" s="1"/>
  <c r="R526" i="8" s="1"/>
  <c r="R527" i="8" s="1"/>
  <c r="R528" i="8" s="1"/>
  <c r="R529" i="8" s="1"/>
  <c r="R530" i="8" s="1"/>
  <c r="R531" i="8" s="1"/>
  <c r="R532" i="8" s="1"/>
  <c r="R533" i="8" s="1"/>
  <c r="R534" i="8" s="1"/>
  <c r="R535" i="8" s="1"/>
  <c r="R536" i="8" s="1"/>
  <c r="R537" i="8" s="1"/>
  <c r="R538" i="8" s="1"/>
  <c r="R539" i="8" s="1"/>
  <c r="R540" i="8" s="1"/>
  <c r="R541" i="8" s="1"/>
  <c r="R542" i="8" s="1"/>
  <c r="R543" i="8" s="1"/>
  <c r="R544" i="8" s="1"/>
  <c r="R545" i="8" s="1"/>
  <c r="R546" i="8" s="1"/>
  <c r="R547" i="8" s="1"/>
  <c r="R548" i="8" s="1"/>
  <c r="R549" i="8" s="1"/>
  <c r="R550" i="8" s="1"/>
  <c r="R551" i="8" s="1"/>
  <c r="R552" i="8" s="1"/>
  <c r="R553" i="8" s="1"/>
  <c r="R554" i="8" s="1"/>
  <c r="R555" i="8" s="1"/>
  <c r="R556" i="8" s="1"/>
  <c r="R557" i="8" s="1"/>
  <c r="R558" i="8" s="1"/>
  <c r="R559" i="8" s="1"/>
  <c r="R560" i="8" s="1"/>
  <c r="R561" i="8" s="1"/>
  <c r="R562" i="8" s="1"/>
  <c r="R563" i="8" s="1"/>
  <c r="R564" i="8" s="1"/>
  <c r="R565" i="8" s="1"/>
  <c r="R566" i="8" s="1"/>
  <c r="R567" i="8" s="1"/>
  <c r="R568" i="8" s="1"/>
  <c r="R569" i="8" s="1"/>
  <c r="R570" i="8" s="1"/>
  <c r="R571" i="8" s="1"/>
  <c r="R572" i="8" s="1"/>
  <c r="R573" i="8" s="1"/>
  <c r="R574" i="8" s="1"/>
  <c r="R575" i="8" s="1"/>
  <c r="R576" i="8" s="1"/>
  <c r="R577" i="8" s="1"/>
  <c r="R578" i="8" s="1"/>
  <c r="R579" i="8" s="1"/>
  <c r="R580" i="8" s="1"/>
  <c r="R581" i="8" s="1"/>
  <c r="R582" i="8" s="1"/>
  <c r="R583" i="8" s="1"/>
  <c r="R584" i="8" s="1"/>
  <c r="R585" i="8" s="1"/>
  <c r="R586" i="8" s="1"/>
  <c r="R587" i="8" s="1"/>
  <c r="R588" i="8" s="1"/>
  <c r="R589" i="8" s="1"/>
  <c r="R590" i="8" s="1"/>
  <c r="R591" i="8" s="1"/>
  <c r="R592" i="8" s="1"/>
  <c r="R593" i="8" s="1"/>
  <c r="R594" i="8" s="1"/>
  <c r="R595" i="8" s="1"/>
  <c r="R596" i="8" s="1"/>
  <c r="R597" i="8" s="1"/>
  <c r="R598" i="8" s="1"/>
  <c r="R599" i="8" s="1"/>
  <c r="R600" i="8" s="1"/>
  <c r="R601" i="8" s="1"/>
  <c r="R602" i="8" s="1"/>
  <c r="R603" i="8" s="1"/>
  <c r="R604" i="8" s="1"/>
  <c r="R605" i="8" s="1"/>
  <c r="R606" i="8" s="1"/>
  <c r="R607" i="8" s="1"/>
  <c r="R608" i="8" s="1"/>
  <c r="R609" i="8" s="1"/>
  <c r="R610" i="8" s="1"/>
  <c r="R611" i="8" s="1"/>
  <c r="R612" i="8" s="1"/>
  <c r="R613" i="8" s="1"/>
  <c r="R614" i="8" s="1"/>
  <c r="R615" i="8" s="1"/>
  <c r="R616" i="8" s="1"/>
  <c r="R617" i="8" s="1"/>
  <c r="R618" i="8" s="1"/>
  <c r="R619" i="8" s="1"/>
  <c r="R620" i="8" s="1"/>
  <c r="R621" i="8" s="1"/>
  <c r="R622" i="8" s="1"/>
  <c r="R623" i="8" s="1"/>
  <c r="R624" i="8" s="1"/>
  <c r="R625" i="8" s="1"/>
  <c r="R626" i="8" s="1"/>
  <c r="R627" i="8" s="1"/>
  <c r="R628" i="8" s="1"/>
  <c r="R629" i="8" s="1"/>
  <c r="R630" i="8" s="1"/>
  <c r="R631" i="8" s="1"/>
  <c r="R632" i="8" s="1"/>
  <c r="R633" i="8" s="1"/>
  <c r="R634" i="8" s="1"/>
  <c r="R635" i="8" s="1"/>
  <c r="R636" i="8" s="1"/>
  <c r="R637" i="8" s="1"/>
  <c r="R638" i="8" s="1"/>
  <c r="R639" i="8" s="1"/>
  <c r="R640" i="8" s="1"/>
  <c r="R641" i="8" s="1"/>
  <c r="R642" i="8" s="1"/>
  <c r="R643" i="8" s="1"/>
  <c r="R644" i="8" s="1"/>
  <c r="R645" i="8" s="1"/>
  <c r="R646" i="8" s="1"/>
  <c r="R647" i="8" s="1"/>
  <c r="R648" i="8" s="1"/>
  <c r="R649" i="8" s="1"/>
  <c r="R650" i="8" s="1"/>
  <c r="R651" i="8" s="1"/>
  <c r="R652" i="8" s="1"/>
  <c r="R653" i="8" s="1"/>
  <c r="R654" i="8" s="1"/>
  <c r="R655" i="8" s="1"/>
  <c r="R656" i="8" s="1"/>
  <c r="R657" i="8" s="1"/>
  <c r="R658" i="8" s="1"/>
  <c r="R659" i="8" s="1"/>
  <c r="R660" i="8" s="1"/>
  <c r="R661" i="8" s="1"/>
  <c r="R662" i="8" s="1"/>
  <c r="R663" i="8" s="1"/>
  <c r="R664" i="8" s="1"/>
  <c r="R665" i="8" s="1"/>
  <c r="R666" i="8" s="1"/>
  <c r="R667" i="8" s="1"/>
  <c r="R668" i="8" s="1"/>
  <c r="R669" i="8" s="1"/>
  <c r="R670" i="8" s="1"/>
  <c r="R671" i="8" s="1"/>
  <c r="R672" i="8" s="1"/>
  <c r="R673" i="8" s="1"/>
  <c r="R674" i="8" s="1"/>
  <c r="R675" i="8" s="1"/>
  <c r="R676" i="8" s="1"/>
  <c r="R677" i="8" s="1"/>
  <c r="R678" i="8" s="1"/>
  <c r="R679" i="8" s="1"/>
  <c r="R680" i="8" s="1"/>
  <c r="R681" i="8" s="1"/>
  <c r="R682" i="8" s="1"/>
  <c r="R683" i="8" s="1"/>
  <c r="R684" i="8" s="1"/>
  <c r="R685" i="8" s="1"/>
  <c r="R686" i="8" s="1"/>
  <c r="R687" i="8" s="1"/>
  <c r="R688" i="8" s="1"/>
  <c r="R689" i="8" s="1"/>
  <c r="R690" i="8" s="1"/>
  <c r="R691" i="8" s="1"/>
  <c r="R692" i="8" s="1"/>
  <c r="R693" i="8" s="1"/>
  <c r="R694" i="8" s="1"/>
  <c r="R695" i="8" s="1"/>
  <c r="R696" i="8" s="1"/>
  <c r="R697" i="8" s="1"/>
  <c r="R698" i="8" s="1"/>
  <c r="R699" i="8" s="1"/>
  <c r="R700" i="8" s="1"/>
  <c r="R701" i="8" s="1"/>
  <c r="R702" i="8" s="1"/>
  <c r="R703" i="8" s="1"/>
  <c r="R704" i="8" s="1"/>
  <c r="R705" i="8" s="1"/>
  <c r="R706" i="8" s="1"/>
  <c r="R707" i="8" s="1"/>
  <c r="R708" i="8" s="1"/>
  <c r="R709" i="8" s="1"/>
  <c r="R710" i="8" s="1"/>
  <c r="R711" i="8" s="1"/>
  <c r="R712" i="8" s="1"/>
  <c r="R713" i="8" s="1"/>
  <c r="R714" i="8" s="1"/>
  <c r="R715" i="8" s="1"/>
  <c r="R716" i="8" s="1"/>
  <c r="R717" i="8" s="1"/>
  <c r="R718" i="8" s="1"/>
  <c r="R719" i="8" s="1"/>
  <c r="R720" i="8" s="1"/>
  <c r="R721" i="8" s="1"/>
  <c r="R722" i="8" s="1"/>
  <c r="R723" i="8" s="1"/>
  <c r="R724" i="8" s="1"/>
  <c r="R725" i="8" s="1"/>
  <c r="R726" i="8" s="1"/>
  <c r="R727" i="8" s="1"/>
  <c r="R728" i="8" s="1"/>
  <c r="R729" i="8" s="1"/>
  <c r="R730" i="8" s="1"/>
  <c r="R731" i="8" s="1"/>
  <c r="R732" i="8" s="1"/>
  <c r="R733" i="8" s="1"/>
  <c r="R734" i="8" s="1"/>
  <c r="R735" i="8" s="1"/>
  <c r="R736" i="8" s="1"/>
  <c r="R737" i="8" s="1"/>
  <c r="R738" i="8" s="1"/>
  <c r="R739" i="8" s="1"/>
  <c r="R740" i="8" s="1"/>
  <c r="R741" i="8" s="1"/>
  <c r="R742" i="8" s="1"/>
  <c r="R743" i="8" s="1"/>
  <c r="R744" i="8" s="1"/>
  <c r="R745" i="8" s="1"/>
  <c r="R746" i="8" s="1"/>
  <c r="R747" i="8" s="1"/>
  <c r="R748" i="8" s="1"/>
  <c r="R749" i="8" s="1"/>
  <c r="R750" i="8" s="1"/>
  <c r="R751" i="8" s="1"/>
  <c r="R752" i="8" s="1"/>
  <c r="R753" i="8" s="1"/>
  <c r="R754" i="8" s="1"/>
  <c r="R755" i="8" s="1"/>
  <c r="R756" i="8" s="1"/>
  <c r="R757" i="8" s="1"/>
  <c r="R758" i="8" s="1"/>
  <c r="R759" i="8" s="1"/>
  <c r="R760" i="8" s="1"/>
  <c r="R761" i="8" s="1"/>
  <c r="R762" i="8" s="1"/>
  <c r="R763" i="8" s="1"/>
  <c r="R764" i="8" s="1"/>
  <c r="R765" i="8" s="1"/>
  <c r="R766" i="8" s="1"/>
  <c r="R767" i="8" s="1"/>
  <c r="R768" i="8" s="1"/>
  <c r="R769" i="8" s="1"/>
  <c r="R770" i="8" s="1"/>
  <c r="R771" i="8" s="1"/>
  <c r="R772" i="8" s="1"/>
  <c r="R773" i="8" s="1"/>
  <c r="R774" i="8" s="1"/>
  <c r="R775" i="8" s="1"/>
  <c r="R776" i="8" s="1"/>
  <c r="R777" i="8" s="1"/>
  <c r="R778" i="8" s="1"/>
  <c r="R779" i="8" s="1"/>
  <c r="R780" i="8" s="1"/>
  <c r="R781" i="8" s="1"/>
  <c r="R782" i="8" s="1"/>
  <c r="R783" i="8" s="1"/>
  <c r="R784" i="8" s="1"/>
  <c r="R785" i="8" s="1"/>
  <c r="R786" i="8" s="1"/>
  <c r="R787" i="8" s="1"/>
  <c r="R788" i="8" s="1"/>
  <c r="R789" i="8" s="1"/>
  <c r="R790" i="8" s="1"/>
  <c r="R791" i="8" s="1"/>
  <c r="R792" i="8" s="1"/>
  <c r="R793" i="8" s="1"/>
  <c r="R794" i="8" s="1"/>
  <c r="R795" i="8" s="1"/>
  <c r="R796" i="8" s="1"/>
  <c r="R797" i="8" s="1"/>
  <c r="R798" i="8" s="1"/>
  <c r="R799" i="8" s="1"/>
  <c r="R800" i="8" s="1"/>
  <c r="R801" i="8" s="1"/>
  <c r="R802" i="8" s="1"/>
  <c r="R803" i="8" s="1"/>
  <c r="R804" i="8" s="1"/>
  <c r="R805" i="8" s="1"/>
  <c r="R806" i="8" s="1"/>
  <c r="R807" i="8" s="1"/>
  <c r="R808" i="8" s="1"/>
  <c r="R809" i="8" s="1"/>
  <c r="R810" i="8" s="1"/>
  <c r="R811" i="8" s="1"/>
  <c r="R812" i="8" s="1"/>
  <c r="R813" i="8" s="1"/>
  <c r="R814" i="8" s="1"/>
  <c r="R815" i="8" s="1"/>
  <c r="R816" i="8" s="1"/>
  <c r="R817" i="8" s="1"/>
  <c r="R818" i="8" s="1"/>
  <c r="R819" i="8" s="1"/>
  <c r="R820" i="8" s="1"/>
  <c r="R821" i="8" s="1"/>
  <c r="R822" i="8" s="1"/>
  <c r="R823" i="8" s="1"/>
  <c r="R824" i="8" s="1"/>
  <c r="R825" i="8" s="1"/>
  <c r="R826" i="8" s="1"/>
  <c r="R827" i="8" s="1"/>
  <c r="R828" i="8" s="1"/>
  <c r="R829" i="8" s="1"/>
  <c r="R830" i="8" s="1"/>
  <c r="R831" i="8" s="1"/>
  <c r="R832" i="8" s="1"/>
  <c r="R833" i="8" s="1"/>
  <c r="R834" i="8" s="1"/>
  <c r="R835" i="8" s="1"/>
  <c r="R836" i="8" s="1"/>
  <c r="R837" i="8" s="1"/>
  <c r="R838" i="8" s="1"/>
  <c r="R839" i="8" s="1"/>
  <c r="R840" i="8" s="1"/>
  <c r="R841" i="8" s="1"/>
  <c r="R842" i="8" s="1"/>
  <c r="R843" i="8" s="1"/>
  <c r="R844" i="8" s="1"/>
  <c r="R845" i="8" s="1"/>
  <c r="R846" i="8" s="1"/>
  <c r="R847" i="8" s="1"/>
  <c r="R848" i="8" s="1"/>
  <c r="R849" i="8" s="1"/>
  <c r="R850" i="8" s="1"/>
  <c r="R851" i="8" s="1"/>
  <c r="R852" i="8" s="1"/>
  <c r="R853" i="8" s="1"/>
  <c r="R854" i="8" s="1"/>
  <c r="R855" i="8" s="1"/>
  <c r="R856" i="8" s="1"/>
  <c r="R857" i="8" s="1"/>
  <c r="R858" i="8" s="1"/>
  <c r="R859" i="8" s="1"/>
  <c r="R860" i="8" s="1"/>
  <c r="R861" i="8" s="1"/>
  <c r="R862" i="8" s="1"/>
  <c r="R863" i="8" s="1"/>
  <c r="R864" i="8" s="1"/>
  <c r="R865" i="8" s="1"/>
  <c r="R866" i="8" s="1"/>
  <c r="R867" i="8" s="1"/>
  <c r="R868" i="8" s="1"/>
  <c r="R869" i="8" s="1"/>
  <c r="R870" i="8" s="1"/>
  <c r="R871" i="8" s="1"/>
  <c r="R872" i="8" s="1"/>
  <c r="R873" i="8" s="1"/>
  <c r="R874" i="8" s="1"/>
  <c r="R875" i="8" s="1"/>
  <c r="R876" i="8" s="1"/>
  <c r="R877" i="8" s="1"/>
  <c r="R878" i="8" s="1"/>
  <c r="R879" i="8" s="1"/>
  <c r="R880" i="8" s="1"/>
  <c r="R881" i="8" s="1"/>
  <c r="R882" i="8" s="1"/>
  <c r="R883" i="8" s="1"/>
  <c r="R884" i="8" s="1"/>
  <c r="R885" i="8" s="1"/>
  <c r="R886" i="8" s="1"/>
  <c r="R887" i="8" s="1"/>
  <c r="R888" i="8" s="1"/>
  <c r="R889" i="8" s="1"/>
  <c r="R890" i="8" s="1"/>
  <c r="R891" i="8" s="1"/>
  <c r="R892" i="8" s="1"/>
  <c r="R893" i="8" s="1"/>
  <c r="R894" i="8" s="1"/>
  <c r="R895" i="8" s="1"/>
  <c r="R896" i="8" s="1"/>
  <c r="R897" i="8" s="1"/>
  <c r="R898" i="8" s="1"/>
  <c r="R899" i="8" s="1"/>
  <c r="R900" i="8" s="1"/>
  <c r="R901" i="8" s="1"/>
  <c r="R902" i="8" s="1"/>
  <c r="R903" i="8" s="1"/>
  <c r="R904" i="8" s="1"/>
  <c r="R905" i="8" s="1"/>
  <c r="R906" i="8" s="1"/>
  <c r="R907" i="8" s="1"/>
  <c r="R908" i="8" s="1"/>
  <c r="R909" i="8" s="1"/>
  <c r="R910" i="8" s="1"/>
  <c r="R911" i="8" s="1"/>
  <c r="R912" i="8" s="1"/>
  <c r="R913" i="8" s="1"/>
  <c r="R914" i="8" s="1"/>
  <c r="R915" i="8" s="1"/>
  <c r="R916" i="8" s="1"/>
  <c r="R917" i="8" s="1"/>
  <c r="R918" i="8" s="1"/>
  <c r="R919" i="8" s="1"/>
  <c r="R920" i="8" s="1"/>
  <c r="R921" i="8" s="1"/>
  <c r="R922" i="8" s="1"/>
  <c r="R923" i="8" s="1"/>
  <c r="R924" i="8" s="1"/>
  <c r="R925" i="8" s="1"/>
  <c r="R926" i="8" s="1"/>
  <c r="R927" i="8" s="1"/>
  <c r="R928" i="8" s="1"/>
  <c r="R929" i="8" s="1"/>
  <c r="R930" i="8" s="1"/>
  <c r="R931" i="8" s="1"/>
  <c r="R932" i="8" s="1"/>
  <c r="R933" i="8" s="1"/>
  <c r="R934" i="8" s="1"/>
  <c r="R935" i="8" s="1"/>
  <c r="R936" i="8" s="1"/>
  <c r="R937" i="8" s="1"/>
  <c r="R938" i="8" s="1"/>
  <c r="R939" i="8" s="1"/>
  <c r="R940" i="8" s="1"/>
  <c r="R941" i="8" s="1"/>
  <c r="R942" i="8" s="1"/>
  <c r="R943" i="8" s="1"/>
  <c r="R944" i="8" s="1"/>
  <c r="R945" i="8" s="1"/>
  <c r="R946" i="8" s="1"/>
  <c r="R947" i="8" s="1"/>
  <c r="R948" i="8" s="1"/>
  <c r="R949" i="8" s="1"/>
  <c r="R950" i="8" s="1"/>
  <c r="R951" i="8" s="1"/>
  <c r="R952" i="8" s="1"/>
  <c r="R953" i="8" s="1"/>
  <c r="R954" i="8" s="1"/>
  <c r="R955" i="8" s="1"/>
  <c r="R956" i="8" s="1"/>
  <c r="R957" i="8" s="1"/>
  <c r="R958" i="8" s="1"/>
  <c r="R959" i="8" s="1"/>
  <c r="R960" i="8" s="1"/>
  <c r="R961" i="8" s="1"/>
  <c r="R962" i="8" s="1"/>
  <c r="R963" i="8" s="1"/>
  <c r="R964" i="8" s="1"/>
  <c r="R965" i="8" s="1"/>
  <c r="R966" i="8" s="1"/>
  <c r="R967" i="8" s="1"/>
  <c r="R968" i="8" s="1"/>
  <c r="R969" i="8" s="1"/>
  <c r="R970" i="8" s="1"/>
  <c r="R971" i="8" s="1"/>
  <c r="R972" i="8" s="1"/>
  <c r="R973" i="8" s="1"/>
  <c r="R974" i="8" s="1"/>
  <c r="R975" i="8" s="1"/>
  <c r="R976" i="8" s="1"/>
  <c r="R977" i="8" s="1"/>
  <c r="R978" i="8" s="1"/>
  <c r="R979" i="8" s="1"/>
  <c r="R980" i="8" s="1"/>
  <c r="R981" i="8" s="1"/>
  <c r="R982" i="8" s="1"/>
  <c r="R983" i="8" s="1"/>
  <c r="R984" i="8" s="1"/>
  <c r="R985" i="8" s="1"/>
  <c r="R986" i="8" s="1"/>
  <c r="R987" i="8" s="1"/>
  <c r="R988" i="8" s="1"/>
  <c r="R989" i="8" s="1"/>
  <c r="R990" i="8" s="1"/>
  <c r="R991" i="8" s="1"/>
  <c r="R992" i="8" s="1"/>
  <c r="R993" i="8" s="1"/>
  <c r="R994" i="8" s="1"/>
  <c r="R995" i="8" s="1"/>
  <c r="R996" i="8" s="1"/>
  <c r="R997" i="8" s="1"/>
  <c r="R998" i="8" s="1"/>
  <c r="R999" i="8" s="1"/>
  <c r="R1000" i="8" s="1"/>
  <c r="R1001" i="8" s="1"/>
  <c r="R1002" i="8" s="1"/>
  <c r="R1003" i="8" s="1"/>
  <c r="R1004" i="8" s="1"/>
  <c r="R1005" i="8" s="1"/>
  <c r="R1006" i="8" s="1"/>
  <c r="R1007" i="8" s="1"/>
  <c r="R1008" i="8" s="1"/>
  <c r="R1009" i="8" s="1"/>
  <c r="R1010" i="8" s="1"/>
  <c r="R1011" i="8" s="1"/>
  <c r="R1012" i="8" s="1"/>
  <c r="R1013" i="8" s="1"/>
  <c r="R1014" i="8" s="1"/>
  <c r="R1015" i="8" s="1"/>
  <c r="R1016" i="8" s="1"/>
  <c r="R1017" i="8" s="1"/>
  <c r="R1018" i="8" s="1"/>
  <c r="R1019" i="8" s="1"/>
  <c r="R1020" i="8" s="1"/>
  <c r="R1021" i="8" s="1"/>
  <c r="R1022" i="8" s="1"/>
  <c r="R1023" i="8" s="1"/>
  <c r="R1024" i="8" s="1"/>
  <c r="R1025" i="8" s="1"/>
  <c r="R1026" i="8" s="1"/>
  <c r="R1027" i="8" s="1"/>
  <c r="R1028" i="8" s="1"/>
  <c r="R1029" i="8" s="1"/>
  <c r="R1030" i="8" s="1"/>
  <c r="R1031" i="8" s="1"/>
  <c r="R1032" i="8" s="1"/>
  <c r="R1033" i="8" s="1"/>
  <c r="R1034" i="8" s="1"/>
  <c r="R1035" i="8" s="1"/>
  <c r="R1036" i="8" s="1"/>
  <c r="R1037" i="8" s="1"/>
  <c r="R1038" i="8" s="1"/>
  <c r="R1039" i="8" s="1"/>
  <c r="R1040" i="8" s="1"/>
  <c r="R1041" i="8" s="1"/>
  <c r="R1042" i="8" s="1"/>
  <c r="R1043" i="8" s="1"/>
  <c r="R1044" i="8" s="1"/>
  <c r="R1045" i="8" s="1"/>
  <c r="R1046" i="8" s="1"/>
  <c r="R1047" i="8" s="1"/>
  <c r="R1048" i="8" s="1"/>
  <c r="R1049" i="8" s="1"/>
  <c r="R1050" i="8" s="1"/>
  <c r="R1051" i="8" s="1"/>
  <c r="R1052" i="8" s="1"/>
  <c r="R1053" i="8" s="1"/>
  <c r="R1054" i="8" s="1"/>
  <c r="R1055" i="8" s="1"/>
  <c r="R1056" i="8" s="1"/>
  <c r="R1057" i="8" s="1"/>
  <c r="R1058" i="8" s="1"/>
  <c r="R1059" i="8" s="1"/>
  <c r="R1060" i="8" s="1"/>
  <c r="R1061" i="8" s="1"/>
  <c r="R1062" i="8" s="1"/>
  <c r="R1063" i="8" s="1"/>
  <c r="R1064" i="8" s="1"/>
  <c r="R1065" i="8" s="1"/>
  <c r="R1066" i="8" s="1"/>
  <c r="R1067" i="8" s="1"/>
  <c r="R1068" i="8" s="1"/>
  <c r="R1069" i="8" s="1"/>
  <c r="R1070" i="8" s="1"/>
  <c r="R1071" i="8" s="1"/>
  <c r="R1072" i="8" s="1"/>
  <c r="R1073" i="8" s="1"/>
  <c r="R1074" i="8" s="1"/>
  <c r="R1075" i="8" s="1"/>
  <c r="R1076" i="8" s="1"/>
  <c r="R1077" i="8" s="1"/>
  <c r="R1078" i="8" s="1"/>
  <c r="R1079" i="8" s="1"/>
  <c r="R1080" i="8" s="1"/>
  <c r="R1081" i="8" s="1"/>
  <c r="R1082" i="8" s="1"/>
  <c r="R1083" i="8" s="1"/>
  <c r="R1084" i="8" s="1"/>
  <c r="R1085" i="8" s="1"/>
  <c r="R1086" i="8" s="1"/>
  <c r="R1087" i="8" s="1"/>
  <c r="R1088" i="8" s="1"/>
  <c r="R1089" i="8" s="1"/>
  <c r="R1090" i="8" s="1"/>
  <c r="R1091" i="8" s="1"/>
  <c r="R1092" i="8" s="1"/>
  <c r="R1093" i="8" s="1"/>
  <c r="R1094" i="8" s="1"/>
  <c r="R1095" i="8" s="1"/>
  <c r="R1096" i="8" s="1"/>
  <c r="R1097" i="8" s="1"/>
  <c r="R1098" i="8" s="1"/>
  <c r="R1099" i="8" s="1"/>
  <c r="R1100" i="8" s="1"/>
  <c r="R1101" i="8" s="1"/>
  <c r="R1102" i="8" s="1"/>
  <c r="R1103" i="8" s="1"/>
  <c r="R1104" i="8" s="1"/>
  <c r="R1105" i="8" s="1"/>
  <c r="R1106" i="8" s="1"/>
  <c r="R1107" i="8" s="1"/>
  <c r="R1108" i="8" s="1"/>
  <c r="R1109" i="8" s="1"/>
  <c r="R1110" i="8" s="1"/>
  <c r="R1111" i="8" s="1"/>
  <c r="R1112" i="8" s="1"/>
  <c r="R1113" i="8" s="1"/>
  <c r="R1114" i="8" s="1"/>
  <c r="R1115" i="8" s="1"/>
  <c r="R1116" i="8" s="1"/>
  <c r="R1117" i="8" s="1"/>
  <c r="R1118" i="8" s="1"/>
  <c r="R1119" i="8" s="1"/>
  <c r="R1120" i="8" s="1"/>
  <c r="R1121" i="8" s="1"/>
  <c r="R1122" i="8" s="1"/>
  <c r="R1123" i="8" s="1"/>
  <c r="R1124" i="8" s="1"/>
  <c r="R1125" i="8" s="1"/>
  <c r="R1126" i="8" s="1"/>
  <c r="R1127" i="8" s="1"/>
  <c r="R1128" i="8" s="1"/>
  <c r="R1129" i="8" s="1"/>
  <c r="R1130" i="8" s="1"/>
  <c r="R1131" i="8" s="1"/>
  <c r="R1132" i="8" s="1"/>
  <c r="R1133" i="8" s="1"/>
  <c r="R1134" i="8" s="1"/>
  <c r="R1135" i="8" s="1"/>
  <c r="R1136" i="8" s="1"/>
  <c r="R1137" i="8" s="1"/>
  <c r="R1138" i="8" s="1"/>
  <c r="R1139" i="8" s="1"/>
  <c r="R1140" i="8" s="1"/>
  <c r="R1141" i="8" s="1"/>
  <c r="R1142" i="8" s="1"/>
  <c r="R1143" i="8" s="1"/>
  <c r="R1144" i="8" s="1"/>
  <c r="R1145" i="8" s="1"/>
  <c r="R1146" i="8" s="1"/>
  <c r="R1147" i="8" s="1"/>
  <c r="R1148" i="8" s="1"/>
  <c r="R1149" i="8" s="1"/>
  <c r="R1150" i="8" s="1"/>
  <c r="R1151" i="8" s="1"/>
  <c r="R1152" i="8" s="1"/>
  <c r="R1153" i="8" s="1"/>
  <c r="R1154" i="8" s="1"/>
  <c r="R1155" i="8" s="1"/>
  <c r="R1156" i="8" s="1"/>
  <c r="R1157" i="8" s="1"/>
  <c r="R1158" i="8" s="1"/>
  <c r="R1159" i="8" s="1"/>
  <c r="R1160" i="8" s="1"/>
  <c r="R1161" i="8" s="1"/>
  <c r="R1162" i="8" s="1"/>
  <c r="R1163" i="8" s="1"/>
  <c r="R1164" i="8" s="1"/>
  <c r="R1165" i="8" s="1"/>
  <c r="R1166" i="8" s="1"/>
  <c r="R1167" i="8" s="1"/>
  <c r="R1168" i="8" s="1"/>
  <c r="R1169" i="8" s="1"/>
  <c r="R1170" i="8" s="1"/>
  <c r="R1171" i="8" s="1"/>
  <c r="R1172" i="8" s="1"/>
  <c r="R1173" i="8" s="1"/>
  <c r="R1174" i="8" s="1"/>
  <c r="R1175" i="8" s="1"/>
  <c r="R1176" i="8" s="1"/>
  <c r="R1177" i="8" s="1"/>
  <c r="R1178" i="8" s="1"/>
  <c r="R1179" i="8" s="1"/>
  <c r="R1180" i="8" s="1"/>
  <c r="R1181" i="8" s="1"/>
  <c r="R1182" i="8" s="1"/>
  <c r="R1183" i="8" s="1"/>
  <c r="R1184" i="8" s="1"/>
  <c r="R1185" i="8" s="1"/>
  <c r="R1186" i="8" s="1"/>
  <c r="R1187" i="8" s="1"/>
  <c r="R1188" i="8" s="1"/>
  <c r="R1189" i="8" s="1"/>
  <c r="R1190" i="8" s="1"/>
  <c r="R1191" i="8" s="1"/>
  <c r="R1192" i="8" s="1"/>
  <c r="R1193" i="8" s="1"/>
  <c r="R1194" i="8" s="1"/>
  <c r="R1195" i="8" s="1"/>
  <c r="R1196" i="8" s="1"/>
  <c r="R1197" i="8" s="1"/>
  <c r="R1198" i="8" s="1"/>
  <c r="R1199" i="8" s="1"/>
  <c r="R1200" i="8" s="1"/>
  <c r="R1201" i="8" s="1"/>
  <c r="R1202" i="8" s="1"/>
  <c r="R1203" i="8" s="1"/>
  <c r="R1204" i="8" s="1"/>
  <c r="R1205" i="8" s="1"/>
  <c r="R1206" i="8" s="1"/>
  <c r="R1207" i="8" s="1"/>
  <c r="R1208" i="8" s="1"/>
  <c r="R1209" i="8" s="1"/>
  <c r="R1210" i="8" s="1"/>
  <c r="R1211" i="8" s="1"/>
  <c r="R1212" i="8" s="1"/>
  <c r="R1213" i="8" s="1"/>
  <c r="R1214" i="8" s="1"/>
  <c r="R1215" i="8" s="1"/>
  <c r="R1216" i="8" s="1"/>
  <c r="R1217" i="8" s="1"/>
  <c r="R1218" i="8" s="1"/>
  <c r="R1219" i="8" s="1"/>
  <c r="R1220" i="8" s="1"/>
  <c r="R1221" i="8" s="1"/>
  <c r="R1222" i="8" s="1"/>
  <c r="R1223" i="8" s="1"/>
  <c r="R1224" i="8" s="1"/>
  <c r="R1225" i="8" s="1"/>
  <c r="R1226" i="8" s="1"/>
  <c r="R1227" i="8" s="1"/>
  <c r="R1228" i="8" s="1"/>
  <c r="R1229" i="8" s="1"/>
  <c r="R1230" i="8" s="1"/>
  <c r="R1231" i="8" s="1"/>
  <c r="R1232" i="8" s="1"/>
  <c r="R1233" i="8" s="1"/>
  <c r="R1234" i="8" s="1"/>
  <c r="R1235" i="8" s="1"/>
  <c r="R1236" i="8" s="1"/>
  <c r="R1237" i="8" s="1"/>
  <c r="R1238" i="8" s="1"/>
  <c r="R1239" i="8" s="1"/>
  <c r="R1240" i="8" s="1"/>
  <c r="R1241" i="8" s="1"/>
  <c r="R1242" i="8" s="1"/>
  <c r="R1243" i="8" s="1"/>
  <c r="R1244" i="8" s="1"/>
  <c r="R1245" i="8" s="1"/>
  <c r="R1246" i="8" s="1"/>
  <c r="R1247" i="8" s="1"/>
  <c r="R1248" i="8" s="1"/>
  <c r="R1249" i="8" s="1"/>
  <c r="R1250" i="8" s="1"/>
  <c r="R1251" i="8" s="1"/>
  <c r="R1252" i="8" s="1"/>
  <c r="R1253" i="8" s="1"/>
  <c r="R1254" i="8" s="1"/>
  <c r="R1255" i="8" s="1"/>
  <c r="R1256" i="8" s="1"/>
  <c r="R1257" i="8" s="1"/>
  <c r="R1258" i="8" s="1"/>
  <c r="R1259" i="8" s="1"/>
  <c r="R1260" i="8" s="1"/>
  <c r="R1261" i="8" s="1"/>
  <c r="R1262" i="8" s="1"/>
  <c r="R1263" i="8" s="1"/>
  <c r="R1264" i="8" s="1"/>
  <c r="R1265" i="8" s="1"/>
  <c r="R1266" i="8" s="1"/>
  <c r="R1267" i="8" s="1"/>
  <c r="R1268" i="8" s="1"/>
  <c r="R1269" i="8" s="1"/>
  <c r="R1270" i="8" s="1"/>
  <c r="R1271" i="8" s="1"/>
  <c r="R1272" i="8" s="1"/>
  <c r="R1273" i="8" s="1"/>
  <c r="R1274" i="8" s="1"/>
  <c r="R1275" i="8" s="1"/>
  <c r="R1276" i="8" s="1"/>
  <c r="R1277" i="8" s="1"/>
  <c r="R1278" i="8" s="1"/>
  <c r="R1279" i="8" s="1"/>
  <c r="R1280" i="8" s="1"/>
  <c r="R1281" i="8" s="1"/>
  <c r="R1282" i="8" s="1"/>
  <c r="R1283" i="8" s="1"/>
  <c r="R1284" i="8" s="1"/>
  <c r="R1285" i="8" s="1"/>
  <c r="R1286" i="8" s="1"/>
  <c r="R1287" i="8" s="1"/>
  <c r="R1288" i="8" s="1"/>
  <c r="R1289" i="8" s="1"/>
  <c r="R1290" i="8" s="1"/>
  <c r="R1291" i="8" s="1"/>
  <c r="R1292" i="8" s="1"/>
  <c r="R1293" i="8" s="1"/>
  <c r="R1294" i="8" s="1"/>
  <c r="R1295" i="8" s="1"/>
  <c r="R1296" i="8" s="1"/>
  <c r="R1297" i="8" s="1"/>
  <c r="R1298" i="8" s="1"/>
  <c r="R1299" i="8" s="1"/>
  <c r="R1300" i="8" s="1"/>
  <c r="R1301" i="8" s="1"/>
  <c r="R1302" i="8" s="1"/>
  <c r="R1303" i="8" s="1"/>
  <c r="R1304" i="8" s="1"/>
  <c r="R1305" i="8" s="1"/>
  <c r="R1306" i="8" s="1"/>
  <c r="R1307" i="8" s="1"/>
  <c r="R1308" i="8" s="1"/>
  <c r="R1309" i="8" s="1"/>
  <c r="R1310" i="8" s="1"/>
  <c r="R1311" i="8" s="1"/>
  <c r="R1312" i="8" s="1"/>
  <c r="R1313" i="8" s="1"/>
  <c r="R1314" i="8" s="1"/>
  <c r="R1315" i="8" s="1"/>
  <c r="R1316" i="8" s="1"/>
  <c r="R1317" i="8" s="1"/>
  <c r="R1318" i="8" s="1"/>
  <c r="R1319" i="8" s="1"/>
  <c r="R1320" i="8" s="1"/>
  <c r="R1321" i="8" s="1"/>
  <c r="R1322" i="8" s="1"/>
  <c r="R1323" i="8" s="1"/>
  <c r="R1324" i="8" s="1"/>
  <c r="R1325" i="8" s="1"/>
  <c r="R1326" i="8" s="1"/>
  <c r="R1327" i="8" s="1"/>
  <c r="R1328" i="8" s="1"/>
  <c r="R1329" i="8" s="1"/>
  <c r="R1330" i="8" s="1"/>
  <c r="R1331" i="8" s="1"/>
  <c r="R1332" i="8" s="1"/>
  <c r="R1333" i="8" s="1"/>
  <c r="R1334" i="8" s="1"/>
  <c r="R1335" i="8" s="1"/>
  <c r="R1336" i="8" s="1"/>
  <c r="R1337" i="8" s="1"/>
  <c r="R1338" i="8" s="1"/>
  <c r="R1339" i="8" s="1"/>
  <c r="R1340" i="8" s="1"/>
  <c r="R1341" i="8" s="1"/>
  <c r="R1342" i="8" s="1"/>
  <c r="R1343" i="8" s="1"/>
  <c r="R1344" i="8" s="1"/>
  <c r="R1345" i="8" s="1"/>
  <c r="R1346" i="8" s="1"/>
  <c r="R1347" i="8" s="1"/>
  <c r="R1348" i="8" s="1"/>
  <c r="R1349" i="8" s="1"/>
  <c r="R1350" i="8" s="1"/>
  <c r="R1351" i="8" s="1"/>
  <c r="R1352" i="8" s="1"/>
  <c r="R1353" i="8" s="1"/>
  <c r="R1354" i="8" s="1"/>
  <c r="R1355" i="8" s="1"/>
  <c r="R1356" i="8" s="1"/>
  <c r="R1357" i="8" s="1"/>
  <c r="R1358" i="8" s="1"/>
  <c r="R1359" i="8" s="1"/>
  <c r="R1360" i="8" s="1"/>
  <c r="R1361" i="8" s="1"/>
  <c r="R1362" i="8" s="1"/>
  <c r="R1363" i="8" s="1"/>
  <c r="R1364" i="8" s="1"/>
  <c r="R1365" i="8" s="1"/>
  <c r="R1366" i="8" s="1"/>
  <c r="R1367" i="8" s="1"/>
  <c r="R1368" i="8" s="1"/>
  <c r="R1369" i="8" s="1"/>
  <c r="R1370" i="8" s="1"/>
  <c r="R1371" i="8" s="1"/>
  <c r="R1372" i="8" s="1"/>
  <c r="R1373" i="8" s="1"/>
  <c r="R1374" i="8" s="1"/>
  <c r="R1375" i="8" s="1"/>
  <c r="R1376" i="8" s="1"/>
  <c r="R1377" i="8" s="1"/>
  <c r="R1378" i="8" s="1"/>
  <c r="R1379" i="8" s="1"/>
  <c r="R1380" i="8" s="1"/>
  <c r="R1381" i="8" s="1"/>
  <c r="R1382" i="8" s="1"/>
  <c r="R1383" i="8" s="1"/>
  <c r="R1384" i="8" s="1"/>
  <c r="R1385" i="8" s="1"/>
  <c r="R1386" i="8" s="1"/>
  <c r="R1387" i="8" s="1"/>
  <c r="R1388" i="8" s="1"/>
  <c r="R1389" i="8" s="1"/>
  <c r="R1390" i="8" s="1"/>
  <c r="R1391" i="8" s="1"/>
  <c r="R1392" i="8" s="1"/>
  <c r="R1393" i="8" s="1"/>
  <c r="R1394" i="8" s="1"/>
  <c r="R1395" i="8" s="1"/>
  <c r="R1396" i="8" s="1"/>
  <c r="R1397" i="8" s="1"/>
  <c r="R1398" i="8" s="1"/>
  <c r="R1399" i="8" s="1"/>
  <c r="R1400" i="8" s="1"/>
  <c r="R1401" i="8" s="1"/>
  <c r="R1402" i="8" s="1"/>
  <c r="R1403" i="8" s="1"/>
  <c r="R1404" i="8" s="1"/>
  <c r="R1405" i="8" s="1"/>
  <c r="R1406" i="8" s="1"/>
  <c r="R1407" i="8" s="1"/>
  <c r="R1408" i="8" s="1"/>
  <c r="R1409" i="8" s="1"/>
  <c r="R1410" i="8" s="1"/>
  <c r="R1411" i="8" s="1"/>
  <c r="R1412" i="8" s="1"/>
  <c r="R1413" i="8" s="1"/>
  <c r="R1414" i="8" s="1"/>
  <c r="R1415" i="8" s="1"/>
  <c r="R1416" i="8" s="1"/>
  <c r="R1417" i="8" s="1"/>
  <c r="R1418" i="8" s="1"/>
  <c r="R1419" i="8" s="1"/>
  <c r="R1420" i="8" s="1"/>
  <c r="R1421" i="8" s="1"/>
  <c r="R1422" i="8" s="1"/>
  <c r="R1423" i="8" s="1"/>
  <c r="R1424" i="8" s="1"/>
  <c r="R1425" i="8" s="1"/>
  <c r="R1426" i="8" s="1"/>
  <c r="R1427" i="8" s="1"/>
  <c r="R1428" i="8" s="1"/>
  <c r="R1429" i="8" s="1"/>
  <c r="R1430" i="8" s="1"/>
  <c r="R1431" i="8" s="1"/>
  <c r="R1432" i="8" s="1"/>
  <c r="R1433" i="8" s="1"/>
  <c r="R1434" i="8" s="1"/>
  <c r="R1435" i="8" s="1"/>
  <c r="R1436" i="8" s="1"/>
  <c r="R1437" i="8" s="1"/>
  <c r="R1438" i="8" s="1"/>
  <c r="R1439" i="8" s="1"/>
  <c r="R1440" i="8" s="1"/>
  <c r="R1441" i="8" s="1"/>
  <c r="R1442" i="8" s="1"/>
  <c r="R1443" i="8" s="1"/>
  <c r="R1444" i="8" s="1"/>
  <c r="R1445" i="8" s="1"/>
  <c r="R1446" i="8" s="1"/>
  <c r="R1447" i="8" s="1"/>
  <c r="R1448" i="8" s="1"/>
  <c r="R1449" i="8" s="1"/>
  <c r="R1450" i="8" s="1"/>
  <c r="R1451" i="8" s="1"/>
  <c r="R1452" i="8" s="1"/>
  <c r="R1453" i="8" s="1"/>
  <c r="R1454" i="8" s="1"/>
  <c r="R1455" i="8" s="1"/>
  <c r="R1456" i="8" s="1"/>
  <c r="R1457" i="8" s="1"/>
  <c r="R1458" i="8" s="1"/>
  <c r="R1459" i="8" s="1"/>
  <c r="R1460" i="8" s="1"/>
  <c r="R1461" i="8" s="1"/>
  <c r="R1462" i="8" s="1"/>
  <c r="R1463" i="8" s="1"/>
  <c r="R1464" i="8" s="1"/>
  <c r="R1465" i="8" s="1"/>
  <c r="R1466" i="8" s="1"/>
  <c r="R1467" i="8" s="1"/>
  <c r="R1468" i="8" s="1"/>
  <c r="R1469" i="8" s="1"/>
  <c r="R1470" i="8" s="1"/>
  <c r="R1471" i="8" s="1"/>
  <c r="R1472" i="8" s="1"/>
  <c r="R1473" i="8" s="1"/>
  <c r="R1474" i="8" s="1"/>
  <c r="R1475" i="8" s="1"/>
  <c r="R1476" i="8" s="1"/>
  <c r="R1477" i="8" s="1"/>
  <c r="R1478" i="8" s="1"/>
  <c r="R1479" i="8" s="1"/>
  <c r="R1480" i="8" s="1"/>
  <c r="R1481" i="8" s="1"/>
  <c r="R1482" i="8" s="1"/>
  <c r="R1483" i="8" s="1"/>
  <c r="R1484" i="8" s="1"/>
  <c r="R1485" i="8" s="1"/>
  <c r="R1486" i="8" s="1"/>
  <c r="R1487" i="8" s="1"/>
  <c r="R1488" i="8" s="1"/>
  <c r="R1489" i="8" s="1"/>
  <c r="R1490" i="8" s="1"/>
  <c r="R1491" i="8" s="1"/>
  <c r="R1492" i="8" s="1"/>
  <c r="R1493" i="8" s="1"/>
  <c r="R1494" i="8" s="1"/>
  <c r="R1495" i="8" s="1"/>
  <c r="R1496" i="8" s="1"/>
  <c r="R1497" i="8" s="1"/>
  <c r="R1498" i="8" s="1"/>
  <c r="R1499" i="8" s="1"/>
  <c r="R1500" i="8" s="1"/>
  <c r="R1501" i="8" s="1"/>
  <c r="R1502" i="8" s="1"/>
  <c r="R1503" i="8" s="1"/>
  <c r="R1504" i="8" s="1"/>
  <c r="R1505" i="8" s="1"/>
  <c r="R1506" i="8" s="1"/>
  <c r="R1507" i="8" s="1"/>
  <c r="R1508" i="8" s="1"/>
  <c r="R1509" i="8" s="1"/>
  <c r="R1510" i="8" s="1"/>
  <c r="R1511" i="8" s="1"/>
  <c r="R1512" i="8" s="1"/>
  <c r="R1513" i="8" s="1"/>
  <c r="R1514" i="8" s="1"/>
  <c r="R1515" i="8" s="1"/>
  <c r="R1516" i="8" s="1"/>
  <c r="R1517" i="8" s="1"/>
  <c r="R1518" i="8" s="1"/>
  <c r="R1519" i="8" s="1"/>
  <c r="R1520" i="8" s="1"/>
  <c r="R1521" i="8" s="1"/>
  <c r="R1522" i="8" s="1"/>
  <c r="R1523" i="8" s="1"/>
  <c r="R1524" i="8" s="1"/>
  <c r="R1525" i="8" s="1"/>
  <c r="R1526" i="8" s="1"/>
  <c r="R1527" i="8" s="1"/>
  <c r="R1528" i="8" s="1"/>
  <c r="R1529" i="8" s="1"/>
  <c r="R1530" i="8" s="1"/>
  <c r="R1531" i="8" s="1"/>
  <c r="R1532" i="8" s="1"/>
  <c r="R1533" i="8" s="1"/>
  <c r="R1534" i="8" s="1"/>
  <c r="R1535" i="8" s="1"/>
  <c r="R1536" i="8" s="1"/>
  <c r="R1537" i="8" s="1"/>
  <c r="R1538" i="8" s="1"/>
  <c r="R1539" i="8" s="1"/>
  <c r="R1540" i="8" s="1"/>
  <c r="R1541" i="8" s="1"/>
  <c r="R1542" i="8" s="1"/>
  <c r="R1543" i="8" s="1"/>
  <c r="R1544" i="8" s="1"/>
  <c r="R1545" i="8" s="1"/>
  <c r="R1546" i="8" s="1"/>
  <c r="R1547" i="8" s="1"/>
  <c r="R1548" i="8" s="1"/>
  <c r="R1549" i="8" s="1"/>
  <c r="R1550" i="8" s="1"/>
  <c r="R1551" i="8" s="1"/>
  <c r="R1552" i="8" s="1"/>
  <c r="R1553" i="8" s="1"/>
  <c r="R1554" i="8" s="1"/>
  <c r="R1555" i="8" s="1"/>
  <c r="R1556" i="8" s="1"/>
  <c r="R1557" i="8" s="1"/>
  <c r="R1558" i="8" s="1"/>
  <c r="R1559" i="8" s="1"/>
  <c r="R1560" i="8" s="1"/>
  <c r="R1561" i="8" s="1"/>
  <c r="R1562" i="8" s="1"/>
  <c r="R1563" i="8" s="1"/>
  <c r="R1564" i="8" s="1"/>
  <c r="R1565" i="8" s="1"/>
  <c r="R1566" i="8" s="1"/>
  <c r="R1567" i="8" s="1"/>
  <c r="R1568" i="8" s="1"/>
  <c r="R1569" i="8" s="1"/>
  <c r="R1570" i="8" s="1"/>
  <c r="R1571" i="8" s="1"/>
  <c r="R1572" i="8" s="1"/>
  <c r="R1573" i="8" s="1"/>
  <c r="R1574" i="8" s="1"/>
  <c r="R1575" i="8" s="1"/>
  <c r="R1576" i="8" s="1"/>
  <c r="R1577" i="8" s="1"/>
  <c r="R1578" i="8" s="1"/>
  <c r="R1579" i="8" s="1"/>
  <c r="R1580" i="8" s="1"/>
  <c r="R1581" i="8" s="1"/>
  <c r="R1582" i="8" s="1"/>
  <c r="R1583" i="8" s="1"/>
  <c r="R1584" i="8" s="1"/>
  <c r="R1585" i="8" s="1"/>
  <c r="R1586" i="8" s="1"/>
  <c r="R1587" i="8" s="1"/>
  <c r="R1588" i="8" s="1"/>
  <c r="R1589" i="8" s="1"/>
  <c r="R1590" i="8" s="1"/>
  <c r="R1591" i="8" s="1"/>
  <c r="R1592" i="8" s="1"/>
  <c r="R1593" i="8" s="1"/>
  <c r="R1594" i="8" s="1"/>
  <c r="R1595" i="8" s="1"/>
  <c r="R1596" i="8" s="1"/>
  <c r="R1597" i="8" s="1"/>
  <c r="R1598" i="8" s="1"/>
  <c r="R1599" i="8" s="1"/>
  <c r="R1600" i="8" s="1"/>
  <c r="R1601" i="8" s="1"/>
  <c r="R1602" i="8" s="1"/>
  <c r="R1603" i="8" s="1"/>
  <c r="R1604" i="8" s="1"/>
  <c r="R1605" i="8" s="1"/>
  <c r="R1606" i="8" s="1"/>
  <c r="R1607" i="8" s="1"/>
  <c r="R1608" i="8" s="1"/>
  <c r="R1609" i="8" s="1"/>
  <c r="R1610" i="8" s="1"/>
  <c r="R1611" i="8" s="1"/>
  <c r="R1612" i="8" s="1"/>
  <c r="R1613" i="8" s="1"/>
  <c r="R1614" i="8" s="1"/>
  <c r="R1615" i="8" s="1"/>
  <c r="R1616" i="8" s="1"/>
  <c r="R1617" i="8" s="1"/>
  <c r="R1618" i="8" s="1"/>
  <c r="R1619" i="8" s="1"/>
  <c r="R1620" i="8" s="1"/>
  <c r="R1621" i="8" s="1"/>
  <c r="R1622" i="8" s="1"/>
  <c r="R1623" i="8" s="1"/>
  <c r="R1624" i="8" s="1"/>
  <c r="R1625" i="8" s="1"/>
  <c r="R1626" i="8" s="1"/>
  <c r="R1627" i="8" s="1"/>
  <c r="R1628" i="8" s="1"/>
  <c r="R1629" i="8" s="1"/>
  <c r="R1630" i="8" s="1"/>
  <c r="R1631" i="8" s="1"/>
  <c r="R1632" i="8" s="1"/>
  <c r="R1633" i="8" s="1"/>
  <c r="R1634" i="8" s="1"/>
  <c r="R1635" i="8" s="1"/>
  <c r="R1636" i="8" s="1"/>
  <c r="R1637" i="8" s="1"/>
  <c r="R1638" i="8" s="1"/>
  <c r="R1639" i="8" s="1"/>
  <c r="R1640" i="8" s="1"/>
  <c r="R1641" i="8" s="1"/>
  <c r="R1642" i="8" s="1"/>
  <c r="R1643" i="8" s="1"/>
  <c r="R1644" i="8" s="1"/>
  <c r="R1645" i="8" s="1"/>
  <c r="R1646" i="8" s="1"/>
  <c r="R1647" i="8" s="1"/>
  <c r="R1648" i="8" s="1"/>
  <c r="R1649" i="8" s="1"/>
  <c r="R1650" i="8" s="1"/>
  <c r="R1651" i="8" s="1"/>
  <c r="R1652" i="8" s="1"/>
  <c r="R1653" i="8" s="1"/>
  <c r="R1654" i="8" s="1"/>
  <c r="R1655" i="8" s="1"/>
  <c r="R1656" i="8" s="1"/>
  <c r="R1657" i="8" s="1"/>
  <c r="R1658" i="8" s="1"/>
  <c r="R1659" i="8" s="1"/>
  <c r="R1660" i="8" s="1"/>
  <c r="R1661" i="8" s="1"/>
  <c r="R1662" i="8" s="1"/>
  <c r="R1663" i="8" s="1"/>
  <c r="R1664" i="8" s="1"/>
  <c r="R1665" i="8" s="1"/>
  <c r="R1666" i="8" s="1"/>
  <c r="R1667" i="8" s="1"/>
  <c r="R1668" i="8" s="1"/>
  <c r="R1669" i="8" s="1"/>
  <c r="R1670" i="8" s="1"/>
  <c r="R1671" i="8" s="1"/>
  <c r="R1672" i="8" s="1"/>
  <c r="R1673" i="8" s="1"/>
  <c r="R1674" i="8" s="1"/>
  <c r="R1675" i="8" s="1"/>
  <c r="R1676" i="8" s="1"/>
  <c r="R1677" i="8" s="1"/>
  <c r="R1678" i="8" s="1"/>
  <c r="R1679" i="8" s="1"/>
  <c r="R1680" i="8" s="1"/>
  <c r="R1681" i="8" s="1"/>
  <c r="R1682" i="8" s="1"/>
  <c r="R1683" i="8" s="1"/>
  <c r="R1684" i="8" s="1"/>
  <c r="R1685" i="8" s="1"/>
  <c r="R1686" i="8" s="1"/>
  <c r="R1687" i="8" s="1"/>
  <c r="R1688" i="8" s="1"/>
  <c r="R1689" i="8" s="1"/>
  <c r="R1690" i="8" s="1"/>
  <c r="R1691" i="8" s="1"/>
  <c r="R1692" i="8" s="1"/>
  <c r="R1693" i="8" s="1"/>
  <c r="R1694" i="8" s="1"/>
  <c r="R1695" i="8" s="1"/>
  <c r="R1696" i="8" s="1"/>
  <c r="R1697" i="8" s="1"/>
  <c r="R1698" i="8" s="1"/>
  <c r="R1699" i="8" s="1"/>
  <c r="R1700" i="8" s="1"/>
  <c r="R1701" i="8" s="1"/>
  <c r="R1702" i="8" s="1"/>
  <c r="R1703" i="8" s="1"/>
  <c r="R1704" i="8" s="1"/>
  <c r="R1705" i="8" s="1"/>
  <c r="R1706" i="8" s="1"/>
  <c r="R1707" i="8" s="1"/>
  <c r="R1708" i="8" s="1"/>
  <c r="R1709" i="8" s="1"/>
  <c r="R1710" i="8" s="1"/>
  <c r="R1711" i="8" s="1"/>
  <c r="R1712" i="8" s="1"/>
  <c r="R1713" i="8" s="1"/>
  <c r="R1714" i="8" s="1"/>
  <c r="R1715" i="8" s="1"/>
  <c r="R1716" i="8" s="1"/>
  <c r="R1717" i="8" s="1"/>
  <c r="R1718" i="8" s="1"/>
  <c r="R1719" i="8" s="1"/>
  <c r="R1720" i="8" s="1"/>
  <c r="R1721" i="8" s="1"/>
  <c r="R1722" i="8" s="1"/>
  <c r="R1723" i="8" s="1"/>
  <c r="R1724" i="8" s="1"/>
  <c r="R1725" i="8" s="1"/>
  <c r="R1726" i="8" s="1"/>
  <c r="R1727" i="8" s="1"/>
  <c r="R1728" i="8" s="1"/>
  <c r="R1729" i="8" s="1"/>
  <c r="R1730" i="8" s="1"/>
  <c r="R1731" i="8" s="1"/>
  <c r="R1732" i="8" s="1"/>
  <c r="R1733" i="8" s="1"/>
  <c r="R1734" i="8" s="1"/>
  <c r="R1735" i="8" s="1"/>
  <c r="R1736" i="8" s="1"/>
  <c r="R1737" i="8" s="1"/>
  <c r="R1738" i="8" s="1"/>
  <c r="R1739" i="8" s="1"/>
  <c r="R1740" i="8" s="1"/>
  <c r="R1741" i="8" s="1"/>
  <c r="R1742" i="8" s="1"/>
  <c r="R1743" i="8" s="1"/>
  <c r="R1744" i="8" s="1"/>
  <c r="R1745" i="8" s="1"/>
  <c r="R1746" i="8" s="1"/>
  <c r="R1747" i="8" s="1"/>
  <c r="R1748" i="8" s="1"/>
  <c r="R1749" i="8" s="1"/>
  <c r="R1750" i="8" s="1"/>
  <c r="R1751" i="8" s="1"/>
  <c r="R1752" i="8" s="1"/>
  <c r="R1753" i="8" s="1"/>
  <c r="R1754" i="8" s="1"/>
  <c r="R1755" i="8" s="1"/>
  <c r="R1756" i="8" s="1"/>
  <c r="R1757" i="8" s="1"/>
  <c r="R1758" i="8" s="1"/>
  <c r="R1759" i="8" s="1"/>
  <c r="R1760" i="8" s="1"/>
  <c r="R1761" i="8" s="1"/>
  <c r="R1762" i="8" s="1"/>
  <c r="R1763" i="8" s="1"/>
  <c r="R1764" i="8" s="1"/>
  <c r="R1765" i="8" s="1"/>
  <c r="R1766" i="8" s="1"/>
  <c r="R1767" i="8" s="1"/>
  <c r="R1768" i="8" s="1"/>
  <c r="R1769" i="8" s="1"/>
  <c r="R1770" i="8" s="1"/>
  <c r="R1771" i="8" s="1"/>
  <c r="R1772" i="8" s="1"/>
  <c r="R1773" i="8" s="1"/>
  <c r="R1774" i="8" s="1"/>
  <c r="R1775" i="8" s="1"/>
  <c r="R1776" i="8" s="1"/>
  <c r="R1777" i="8" s="1"/>
  <c r="R1778" i="8" s="1"/>
  <c r="R1779" i="8" s="1"/>
  <c r="R1780" i="8" s="1"/>
  <c r="R1781" i="8" s="1"/>
  <c r="R1782" i="8" s="1"/>
  <c r="R1783" i="8" s="1"/>
  <c r="R1784" i="8" s="1"/>
  <c r="R1785" i="8" s="1"/>
  <c r="R1786" i="8" s="1"/>
  <c r="R1787" i="8" s="1"/>
  <c r="R1788" i="8" s="1"/>
  <c r="R1789" i="8" s="1"/>
  <c r="R1790" i="8" s="1"/>
  <c r="R1791" i="8" s="1"/>
  <c r="R1792" i="8" s="1"/>
  <c r="R1793" i="8" s="1"/>
  <c r="R1794" i="8" s="1"/>
  <c r="R1795" i="8" s="1"/>
  <c r="R1796" i="8" s="1"/>
  <c r="R1797" i="8" s="1"/>
  <c r="R1798" i="8" s="1"/>
  <c r="R1799" i="8" s="1"/>
  <c r="R1800" i="8" s="1"/>
  <c r="R1801" i="8" s="1"/>
  <c r="R1802" i="8" s="1"/>
  <c r="R1803" i="8" s="1"/>
  <c r="R1804" i="8" s="1"/>
  <c r="R1805" i="8" s="1"/>
  <c r="R1806" i="8" s="1"/>
  <c r="R1807" i="8" s="1"/>
  <c r="R1808" i="8" s="1"/>
  <c r="R1809" i="8" s="1"/>
  <c r="R1810" i="8" s="1"/>
  <c r="R1811" i="8" s="1"/>
  <c r="R1812" i="8" s="1"/>
  <c r="R1813" i="8" s="1"/>
  <c r="R1814" i="8" s="1"/>
  <c r="R1815" i="8" s="1"/>
  <c r="R1816" i="8" s="1"/>
  <c r="R1817" i="8" s="1"/>
  <c r="R1818" i="8" s="1"/>
  <c r="R1819" i="8" s="1"/>
  <c r="R1820" i="8" s="1"/>
  <c r="R1821" i="8" s="1"/>
  <c r="R1822" i="8" s="1"/>
  <c r="R1823" i="8" s="1"/>
  <c r="R1824" i="8" s="1"/>
  <c r="R1825" i="8" s="1"/>
  <c r="R1826" i="8" s="1"/>
  <c r="R1827" i="8" s="1"/>
  <c r="R1828" i="8" s="1"/>
  <c r="R1829" i="8" s="1"/>
  <c r="R1830" i="8" s="1"/>
  <c r="R1831" i="8" s="1"/>
  <c r="R1832" i="8" s="1"/>
  <c r="R1833" i="8" s="1"/>
  <c r="R1834" i="8" s="1"/>
  <c r="R1835" i="8" s="1"/>
  <c r="R1836" i="8" s="1"/>
  <c r="R1837" i="8" s="1"/>
  <c r="R1838" i="8" s="1"/>
  <c r="R1839" i="8" s="1"/>
  <c r="R1840" i="8" s="1"/>
  <c r="R1841" i="8" s="1"/>
  <c r="R1842" i="8" s="1"/>
  <c r="R1843" i="8" s="1"/>
  <c r="R1844" i="8" s="1"/>
  <c r="R1845" i="8" s="1"/>
  <c r="R1846" i="8" s="1"/>
  <c r="R1847" i="8" s="1"/>
  <c r="R1848" i="8" s="1"/>
  <c r="R1849" i="8" s="1"/>
  <c r="R1850" i="8" s="1"/>
  <c r="R1851" i="8" s="1"/>
  <c r="R1852" i="8" s="1"/>
  <c r="R1853" i="8" s="1"/>
  <c r="R1854" i="8" s="1"/>
  <c r="R1855" i="8" s="1"/>
  <c r="R1856" i="8" s="1"/>
  <c r="R1857" i="8" s="1"/>
  <c r="R1858" i="8" s="1"/>
  <c r="R1859" i="8" s="1"/>
  <c r="R1860" i="8" s="1"/>
  <c r="R1861" i="8" s="1"/>
  <c r="R1862" i="8" s="1"/>
  <c r="R1863" i="8" s="1"/>
  <c r="R1864" i="8" s="1"/>
  <c r="R1865" i="8" s="1"/>
  <c r="R1866" i="8" s="1"/>
  <c r="R1867" i="8" s="1"/>
  <c r="R1868" i="8" s="1"/>
  <c r="R1869" i="8" s="1"/>
  <c r="R1870" i="8" s="1"/>
  <c r="R1871" i="8" s="1"/>
  <c r="R1872" i="8" s="1"/>
  <c r="R1873" i="8" s="1"/>
  <c r="R1874" i="8" s="1"/>
  <c r="R1875" i="8" s="1"/>
  <c r="R1876" i="8" s="1"/>
  <c r="R1877" i="8" s="1"/>
  <c r="R1878" i="8" s="1"/>
  <c r="R1879" i="8" s="1"/>
  <c r="R1880" i="8" s="1"/>
  <c r="R1881" i="8" s="1"/>
  <c r="R1882" i="8" s="1"/>
  <c r="R1883" i="8" s="1"/>
  <c r="R1884" i="8" s="1"/>
  <c r="R1885" i="8" s="1"/>
  <c r="R1886" i="8" s="1"/>
  <c r="R1887" i="8" s="1"/>
  <c r="R1888" i="8" s="1"/>
  <c r="R1889" i="8" s="1"/>
  <c r="R1890" i="8" s="1"/>
  <c r="R1891" i="8" s="1"/>
  <c r="R1892" i="8" s="1"/>
  <c r="R1893" i="8" s="1"/>
  <c r="R1894" i="8" s="1"/>
  <c r="R1895" i="8" s="1"/>
  <c r="R1896" i="8" s="1"/>
  <c r="R1897" i="8" s="1"/>
  <c r="R1898" i="8" s="1"/>
  <c r="R1899" i="8" s="1"/>
  <c r="R1900" i="8" s="1"/>
  <c r="R1901" i="8" s="1"/>
  <c r="R1902" i="8" s="1"/>
  <c r="R1903" i="8" s="1"/>
  <c r="R1904" i="8" s="1"/>
  <c r="R1905" i="8" s="1"/>
  <c r="R1906" i="8" s="1"/>
  <c r="R1907" i="8" s="1"/>
  <c r="R1908" i="8" s="1"/>
  <c r="R1909" i="8" s="1"/>
  <c r="R1910" i="8" s="1"/>
  <c r="R1911" i="8" s="1"/>
  <c r="R1912" i="8" s="1"/>
  <c r="R1913" i="8" s="1"/>
  <c r="R1914" i="8" s="1"/>
  <c r="R1915" i="8" s="1"/>
  <c r="R1916" i="8" s="1"/>
  <c r="R1917" i="8" s="1"/>
  <c r="R1918" i="8" s="1"/>
  <c r="R1919" i="8" s="1"/>
  <c r="R1920" i="8" s="1"/>
  <c r="R1921" i="8" s="1"/>
  <c r="R1922" i="8" s="1"/>
  <c r="R1923" i="8" s="1"/>
  <c r="R1924" i="8" s="1"/>
  <c r="R1925" i="8" s="1"/>
  <c r="R1926" i="8" s="1"/>
  <c r="R1927" i="8" s="1"/>
  <c r="R1928" i="8" s="1"/>
  <c r="R1929" i="8" s="1"/>
  <c r="R1930" i="8" s="1"/>
  <c r="R1931" i="8" s="1"/>
  <c r="R1932" i="8" s="1"/>
  <c r="R1933" i="8" s="1"/>
  <c r="R1934" i="8" s="1"/>
  <c r="R1935" i="8" s="1"/>
  <c r="R1936" i="8" s="1"/>
  <c r="R1937" i="8" s="1"/>
  <c r="R1938" i="8" s="1"/>
  <c r="R1939" i="8" s="1"/>
  <c r="R1940" i="8" s="1"/>
  <c r="R1941" i="8" s="1"/>
  <c r="R1942" i="8" s="1"/>
  <c r="R1943" i="8" s="1"/>
  <c r="R1944" i="8" s="1"/>
  <c r="R1945" i="8" s="1"/>
  <c r="R1946" i="8" s="1"/>
  <c r="R1947" i="8" s="1"/>
  <c r="R1948" i="8" s="1"/>
  <c r="R1949" i="8" s="1"/>
  <c r="R1950" i="8" s="1"/>
  <c r="R1951" i="8" s="1"/>
  <c r="R1952" i="8" s="1"/>
  <c r="R1953" i="8" s="1"/>
  <c r="R1954" i="8" s="1"/>
  <c r="R1955" i="8" s="1"/>
  <c r="R1956" i="8" s="1"/>
  <c r="R1957" i="8" s="1"/>
  <c r="R1958" i="8" s="1"/>
  <c r="R1959" i="8" s="1"/>
  <c r="R1960" i="8" s="1"/>
  <c r="R1961" i="8" s="1"/>
  <c r="R1962" i="8" s="1"/>
  <c r="R1963" i="8" s="1"/>
  <c r="R1964" i="8" s="1"/>
  <c r="R1965" i="8" s="1"/>
  <c r="R1966" i="8" s="1"/>
  <c r="R1967" i="8" s="1"/>
  <c r="R1968" i="8" s="1"/>
  <c r="R1969" i="8" s="1"/>
  <c r="R1970" i="8" s="1"/>
  <c r="R1971" i="8" s="1"/>
  <c r="R1972" i="8" s="1"/>
  <c r="R1973" i="8" s="1"/>
  <c r="R1974" i="8" s="1"/>
  <c r="R1975" i="8" s="1"/>
  <c r="R1976" i="8" s="1"/>
  <c r="R1977" i="8" s="1"/>
  <c r="R1978" i="8" s="1"/>
  <c r="R1979" i="8" s="1"/>
  <c r="R1980" i="8" s="1"/>
  <c r="R1981" i="8" s="1"/>
  <c r="R1982" i="8" s="1"/>
  <c r="R1983" i="8" s="1"/>
  <c r="R1984" i="8" s="1"/>
  <c r="R1985" i="8" s="1"/>
  <c r="R1986" i="8" s="1"/>
  <c r="R1987" i="8" s="1"/>
  <c r="R1988" i="8" s="1"/>
  <c r="R1989" i="8" s="1"/>
  <c r="R1990" i="8" s="1"/>
  <c r="R1991" i="8" s="1"/>
  <c r="R1992" i="8" s="1"/>
  <c r="R1993" i="8" s="1"/>
  <c r="R1994" i="8" s="1"/>
  <c r="R1995" i="8" s="1"/>
  <c r="R1996" i="8" s="1"/>
  <c r="R1997" i="8" s="1"/>
  <c r="R1998" i="8" s="1"/>
  <c r="R1999" i="8" s="1"/>
  <c r="R2000" i="8" s="1"/>
  <c r="R2001" i="8" s="1"/>
  <c r="R2002" i="8" s="1"/>
  <c r="R2003" i="8" s="1"/>
  <c r="R2004" i="8" s="1"/>
  <c r="R2005" i="8" s="1"/>
  <c r="R2006" i="8" s="1"/>
  <c r="R2007" i="8" s="1"/>
  <c r="R2008" i="8" s="1"/>
  <c r="R2009" i="8" s="1"/>
  <c r="R2010" i="8" s="1"/>
  <c r="R2011" i="8" s="1"/>
  <c r="R2012" i="8" s="1"/>
  <c r="R2013" i="8" s="1"/>
  <c r="R2014" i="8" s="1"/>
  <c r="R2015" i="8" s="1"/>
  <c r="R2016" i="8" s="1"/>
  <c r="R2017" i="8" s="1"/>
  <c r="R2018" i="8" s="1"/>
  <c r="R2019" i="8" s="1"/>
  <c r="R2020" i="8" s="1"/>
  <c r="R2021" i="8" s="1"/>
  <c r="R2022" i="8" s="1"/>
  <c r="R2023" i="8" s="1"/>
  <c r="R2024" i="8" s="1"/>
  <c r="R2025" i="8" s="1"/>
  <c r="R2026" i="8" s="1"/>
  <c r="R2027" i="8" s="1"/>
  <c r="R2028" i="8" s="1"/>
  <c r="R2029" i="8" s="1"/>
  <c r="R2030" i="8" s="1"/>
  <c r="R2031" i="8" s="1"/>
  <c r="R2032" i="8" s="1"/>
  <c r="R2033" i="8" s="1"/>
  <c r="R2034" i="8" s="1"/>
  <c r="R2035" i="8" s="1"/>
  <c r="R2036" i="8" s="1"/>
  <c r="R2037" i="8" s="1"/>
  <c r="R2038" i="8" s="1"/>
  <c r="R2039" i="8" s="1"/>
  <c r="R2040" i="8" s="1"/>
  <c r="R2041" i="8" s="1"/>
  <c r="R2042" i="8" s="1"/>
  <c r="R2043" i="8" s="1"/>
  <c r="R2044" i="8" s="1"/>
  <c r="R2045" i="8" s="1"/>
  <c r="R2046" i="8" s="1"/>
  <c r="R2047" i="8" s="1"/>
  <c r="R2048" i="8" s="1"/>
  <c r="R2049" i="8" s="1"/>
  <c r="R2050" i="8" s="1"/>
  <c r="R2051" i="8" s="1"/>
  <c r="R2052" i="8" s="1"/>
  <c r="R2053" i="8" s="1"/>
  <c r="R2054" i="8" s="1"/>
  <c r="R2055" i="8" s="1"/>
  <c r="R2056" i="8" s="1"/>
  <c r="R2057" i="8" s="1"/>
  <c r="R2058" i="8" s="1"/>
  <c r="R2059" i="8" s="1"/>
  <c r="R2060" i="8" s="1"/>
  <c r="R2061" i="8" s="1"/>
  <c r="R2062" i="8" s="1"/>
  <c r="R2063" i="8" s="1"/>
  <c r="R2064" i="8" s="1"/>
  <c r="R2065" i="8" s="1"/>
  <c r="R2066" i="8" s="1"/>
  <c r="R2067" i="8" s="1"/>
  <c r="R2068" i="8" s="1"/>
  <c r="R2069" i="8" s="1"/>
  <c r="R2070" i="8" s="1"/>
  <c r="R2071" i="8" s="1"/>
  <c r="R2072" i="8" s="1"/>
  <c r="R2073" i="8" s="1"/>
  <c r="R2074" i="8" s="1"/>
  <c r="R2075" i="8" s="1"/>
  <c r="R2076" i="8" s="1"/>
  <c r="R2077" i="8" s="1"/>
  <c r="R2078" i="8" s="1"/>
  <c r="R2079" i="8" s="1"/>
  <c r="R2080" i="8" s="1"/>
  <c r="R2081" i="8" s="1"/>
  <c r="R2082" i="8" s="1"/>
  <c r="R2083" i="8" s="1"/>
  <c r="R2084" i="8" s="1"/>
  <c r="R2085" i="8" s="1"/>
  <c r="R2086" i="8" s="1"/>
  <c r="R2087" i="8" s="1"/>
  <c r="R2088" i="8" s="1"/>
  <c r="R2089" i="8" s="1"/>
  <c r="R2090" i="8" s="1"/>
  <c r="R2091" i="8" s="1"/>
  <c r="R2092" i="8" s="1"/>
  <c r="R2093" i="8" s="1"/>
  <c r="R2094" i="8" s="1"/>
  <c r="R2095" i="8" s="1"/>
  <c r="R2096" i="8" s="1"/>
  <c r="R2097" i="8" s="1"/>
  <c r="R2098" i="8" s="1"/>
  <c r="R2099" i="8" s="1"/>
  <c r="R2100" i="8" s="1"/>
  <c r="R2101" i="8" s="1"/>
  <c r="R2102" i="8" s="1"/>
  <c r="R2103" i="8" s="1"/>
  <c r="R2104" i="8" s="1"/>
  <c r="R2105" i="8" s="1"/>
  <c r="R2106" i="8" s="1"/>
  <c r="R2107" i="8" s="1"/>
  <c r="R2108" i="8" s="1"/>
  <c r="R2109" i="8" s="1"/>
  <c r="R2110" i="8" s="1"/>
  <c r="R2111" i="8" s="1"/>
  <c r="R2112" i="8" s="1"/>
  <c r="R2113" i="8" s="1"/>
  <c r="R2114" i="8" s="1"/>
  <c r="R2115" i="8" s="1"/>
  <c r="R2116" i="8" s="1"/>
  <c r="R2117" i="8" s="1"/>
  <c r="R2118" i="8" s="1"/>
  <c r="R2119" i="8" s="1"/>
  <c r="R2120" i="8" s="1"/>
  <c r="R2121" i="8" s="1"/>
  <c r="R2122" i="8" s="1"/>
  <c r="R2123" i="8" s="1"/>
  <c r="R2124" i="8" s="1"/>
  <c r="R2125" i="8" s="1"/>
  <c r="R2126" i="8" s="1"/>
  <c r="R2127" i="8" s="1"/>
  <c r="R2128" i="8" s="1"/>
  <c r="R2129" i="8" s="1"/>
  <c r="R2130" i="8" s="1"/>
  <c r="R2131" i="8" s="1"/>
  <c r="R2132" i="8" s="1"/>
  <c r="R2133" i="8" s="1"/>
  <c r="R2134" i="8" s="1"/>
  <c r="R2135" i="8" s="1"/>
  <c r="R2136" i="8" s="1"/>
  <c r="R2137" i="8" s="1"/>
  <c r="R2138" i="8" s="1"/>
  <c r="R2139" i="8" s="1"/>
  <c r="R2140" i="8" s="1"/>
  <c r="R2141" i="8" s="1"/>
  <c r="R2142" i="8" s="1"/>
  <c r="R2143" i="8" s="1"/>
  <c r="R2144" i="8" s="1"/>
  <c r="R2145" i="8" s="1"/>
  <c r="R2146" i="8" s="1"/>
  <c r="R2147" i="8" s="1"/>
  <c r="R2148" i="8" s="1"/>
  <c r="R2149" i="8" s="1"/>
  <c r="R2150" i="8" s="1"/>
  <c r="R2151" i="8" s="1"/>
  <c r="R2152" i="8" s="1"/>
  <c r="R2153" i="8" s="1"/>
  <c r="R2154" i="8" s="1"/>
  <c r="R2155" i="8" s="1"/>
  <c r="R2156" i="8" s="1"/>
  <c r="R2157" i="8" s="1"/>
  <c r="R2158" i="8" s="1"/>
  <c r="R2159" i="8" s="1"/>
  <c r="R2160" i="8" s="1"/>
  <c r="R2161" i="8" s="1"/>
  <c r="R2162" i="8" s="1"/>
  <c r="R2163" i="8" s="1"/>
  <c r="R2164" i="8" s="1"/>
  <c r="R2165" i="8" s="1"/>
  <c r="R2166" i="8" s="1"/>
  <c r="R2167" i="8" s="1"/>
  <c r="R2168" i="8" s="1"/>
  <c r="R2169" i="8" s="1"/>
  <c r="R2170" i="8" s="1"/>
  <c r="R2171" i="8" s="1"/>
  <c r="R2172" i="8" s="1"/>
  <c r="R2173" i="8" s="1"/>
  <c r="R2174" i="8" s="1"/>
  <c r="R2175" i="8" s="1"/>
  <c r="R2176" i="8" s="1"/>
  <c r="R2177" i="8" s="1"/>
  <c r="R2178" i="8" s="1"/>
  <c r="R2179" i="8" s="1"/>
  <c r="R2180" i="8" s="1"/>
  <c r="R2181" i="8" s="1"/>
  <c r="R2182" i="8" s="1"/>
  <c r="R2183" i="8" s="1"/>
  <c r="R2184" i="8" s="1"/>
  <c r="R2185" i="8" s="1"/>
  <c r="R2186" i="8" s="1"/>
  <c r="R2187" i="8" s="1"/>
  <c r="R2188" i="8" s="1"/>
  <c r="R2189" i="8" s="1"/>
  <c r="R2190" i="8" s="1"/>
  <c r="R2191" i="8" s="1"/>
  <c r="R2192" i="8" s="1"/>
  <c r="R2193" i="8" s="1"/>
  <c r="R2194" i="8" s="1"/>
  <c r="R2195" i="8" s="1"/>
  <c r="R2196" i="8" s="1"/>
  <c r="R2197" i="8" s="1"/>
  <c r="R2198" i="8" s="1"/>
  <c r="R2199" i="8" s="1"/>
  <c r="R2200" i="8" s="1"/>
  <c r="R2201" i="8" s="1"/>
  <c r="R2202" i="8" s="1"/>
  <c r="R2203" i="8" s="1"/>
  <c r="R2204" i="8" s="1"/>
  <c r="R2205" i="8" s="1"/>
  <c r="R2206" i="8" s="1"/>
  <c r="R2207" i="8" s="1"/>
  <c r="R2208" i="8" s="1"/>
  <c r="R2209" i="8" s="1"/>
  <c r="R2210" i="8" s="1"/>
  <c r="R2211" i="8" s="1"/>
  <c r="R2212" i="8" s="1"/>
  <c r="R2213" i="8" s="1"/>
  <c r="R2214" i="8" s="1"/>
  <c r="R2215" i="8" s="1"/>
  <c r="R2216" i="8" s="1"/>
  <c r="R2217" i="8" s="1"/>
  <c r="R2218" i="8" s="1"/>
  <c r="R2219" i="8" s="1"/>
  <c r="R2220" i="8" s="1"/>
  <c r="R2221" i="8" s="1"/>
  <c r="R2222" i="8" s="1"/>
  <c r="R2223" i="8" s="1"/>
  <c r="R2224" i="8" s="1"/>
  <c r="R2225" i="8" s="1"/>
  <c r="R2226" i="8" s="1"/>
  <c r="R2227" i="8" s="1"/>
  <c r="R2228" i="8" s="1"/>
  <c r="R2229" i="8" s="1"/>
  <c r="R2230" i="8" s="1"/>
  <c r="R2231" i="8" s="1"/>
  <c r="R2232" i="8" s="1"/>
  <c r="R2233" i="8" s="1"/>
  <c r="R2234" i="8" s="1"/>
  <c r="R2235" i="8" s="1"/>
  <c r="R2236" i="8" s="1"/>
  <c r="R2237" i="8" s="1"/>
  <c r="R2238" i="8" s="1"/>
  <c r="R2239" i="8" s="1"/>
  <c r="R2240" i="8" s="1"/>
  <c r="R2241" i="8" s="1"/>
  <c r="R2242" i="8" s="1"/>
  <c r="R2243" i="8" s="1"/>
  <c r="R2244" i="8" s="1"/>
  <c r="R2245" i="8" s="1"/>
  <c r="R2246" i="8" s="1"/>
  <c r="R2247" i="8" s="1"/>
  <c r="R2248" i="8" s="1"/>
  <c r="R2249" i="8" s="1"/>
  <c r="R2250" i="8" s="1"/>
  <c r="R2251" i="8" s="1"/>
  <c r="R2252" i="8" s="1"/>
  <c r="R2253" i="8" s="1"/>
  <c r="R2254" i="8" s="1"/>
  <c r="R2255" i="8" s="1"/>
  <c r="R2256" i="8" s="1"/>
  <c r="R2257" i="8" s="1"/>
  <c r="R2258" i="8" s="1"/>
  <c r="R2259" i="8" s="1"/>
  <c r="R2260" i="8" s="1"/>
  <c r="R2261" i="8" s="1"/>
  <c r="R2262" i="8" s="1"/>
  <c r="R2263" i="8" s="1"/>
  <c r="R2264" i="8" s="1"/>
  <c r="R2265" i="8" s="1"/>
  <c r="R2266" i="8" s="1"/>
  <c r="R2267" i="8" s="1"/>
  <c r="R2268" i="8" s="1"/>
  <c r="R2269" i="8" s="1"/>
  <c r="R2270" i="8" s="1"/>
  <c r="R2271" i="8" s="1"/>
  <c r="R2272" i="8" s="1"/>
  <c r="R2273" i="8" s="1"/>
  <c r="R2274" i="8" s="1"/>
  <c r="R2275" i="8" s="1"/>
  <c r="R2276" i="8" s="1"/>
  <c r="R2277" i="8" s="1"/>
  <c r="R2278" i="8" s="1"/>
  <c r="R2279" i="8" s="1"/>
  <c r="R2280" i="8" s="1"/>
  <c r="R2281" i="8" s="1"/>
  <c r="R2282" i="8" s="1"/>
  <c r="R2283" i="8" s="1"/>
  <c r="R2284" i="8" s="1"/>
  <c r="R2285" i="8" s="1"/>
  <c r="R2286" i="8" s="1"/>
  <c r="R2287" i="8" s="1"/>
  <c r="R2288" i="8" s="1"/>
  <c r="R2289" i="8" s="1"/>
  <c r="R2290" i="8" s="1"/>
  <c r="R2291" i="8" s="1"/>
  <c r="R2292" i="8" s="1"/>
  <c r="R2293" i="8" s="1"/>
  <c r="R2294" i="8" s="1"/>
  <c r="R2295" i="8" s="1"/>
  <c r="R2296" i="8" s="1"/>
  <c r="R2297" i="8" s="1"/>
  <c r="R2298" i="8" s="1"/>
  <c r="R2299" i="8" s="1"/>
  <c r="R2300" i="8" s="1"/>
  <c r="R2301" i="8" s="1"/>
  <c r="R2302" i="8" s="1"/>
  <c r="R2303" i="8" s="1"/>
  <c r="R2304" i="8" s="1"/>
  <c r="R2305" i="8" s="1"/>
  <c r="R2306" i="8" s="1"/>
  <c r="R2307" i="8" s="1"/>
  <c r="R2308" i="8" s="1"/>
  <c r="R2309" i="8" s="1"/>
  <c r="R2310" i="8" s="1"/>
  <c r="R2311" i="8" s="1"/>
  <c r="R2312" i="8" s="1"/>
  <c r="R2313" i="8" s="1"/>
  <c r="R2314" i="8" s="1"/>
  <c r="R2315" i="8" s="1"/>
  <c r="R2316" i="8" s="1"/>
  <c r="R2317" i="8" s="1"/>
  <c r="R2318" i="8" s="1"/>
  <c r="R2319" i="8" s="1"/>
  <c r="R2320" i="8" s="1"/>
  <c r="R2321" i="8" s="1"/>
  <c r="R2322" i="8" s="1"/>
  <c r="R2323" i="8" s="1"/>
  <c r="R2324" i="8" s="1"/>
  <c r="R2325" i="8" s="1"/>
  <c r="R2326" i="8" s="1"/>
  <c r="R2327" i="8" s="1"/>
  <c r="R2328" i="8" s="1"/>
  <c r="R2329" i="8" s="1"/>
  <c r="R2330" i="8" s="1"/>
  <c r="R2331" i="8" s="1"/>
  <c r="R2332" i="8" s="1"/>
  <c r="R2333" i="8" s="1"/>
  <c r="R2334" i="8" s="1"/>
  <c r="R2335" i="8" s="1"/>
  <c r="R2336" i="8" s="1"/>
  <c r="R2337" i="8" s="1"/>
  <c r="R2338" i="8" s="1"/>
  <c r="R2339" i="8" s="1"/>
  <c r="R2340" i="8" s="1"/>
  <c r="R2341" i="8" s="1"/>
  <c r="R2342" i="8" s="1"/>
  <c r="R2343" i="8" s="1"/>
  <c r="R2344" i="8" s="1"/>
  <c r="R2345" i="8" s="1"/>
  <c r="R2346" i="8" s="1"/>
  <c r="R2347" i="8" s="1"/>
  <c r="R2348" i="8" s="1"/>
  <c r="R2349" i="8" s="1"/>
  <c r="R2350" i="8" s="1"/>
  <c r="R2351" i="8" s="1"/>
  <c r="R2352" i="8" s="1"/>
  <c r="R2353" i="8" s="1"/>
  <c r="R2354" i="8" s="1"/>
  <c r="R2355" i="8" s="1"/>
  <c r="R2356" i="8" s="1"/>
  <c r="R2357" i="8" s="1"/>
  <c r="R2358" i="8" s="1"/>
  <c r="R2359" i="8" s="1"/>
  <c r="R2360" i="8" s="1"/>
  <c r="R2361" i="8" s="1"/>
  <c r="R2362" i="8" s="1"/>
  <c r="R2363" i="8" s="1"/>
  <c r="R2364" i="8" s="1"/>
  <c r="R2365" i="8" s="1"/>
  <c r="R2366" i="8" s="1"/>
  <c r="R2367" i="8" s="1"/>
  <c r="R2368" i="8" s="1"/>
  <c r="R2369" i="8" s="1"/>
  <c r="R2370" i="8" s="1"/>
  <c r="R2371" i="8" s="1"/>
  <c r="R2372" i="8" s="1"/>
  <c r="R2373" i="8" s="1"/>
  <c r="R2374" i="8" s="1"/>
  <c r="R2375" i="8" s="1"/>
  <c r="R2376" i="8" s="1"/>
  <c r="R2377" i="8" s="1"/>
  <c r="R2378" i="8" s="1"/>
  <c r="R2379" i="8" s="1"/>
  <c r="R2380" i="8" s="1"/>
  <c r="R2381" i="8" s="1"/>
  <c r="R2382" i="8" s="1"/>
  <c r="R2383" i="8" s="1"/>
  <c r="R2384" i="8" s="1"/>
  <c r="R2385" i="8" s="1"/>
  <c r="R2386" i="8" s="1"/>
  <c r="R2387" i="8" s="1"/>
  <c r="R2388" i="8" s="1"/>
  <c r="R2389" i="8" s="1"/>
  <c r="R2390" i="8" s="1"/>
  <c r="R2391" i="8" s="1"/>
  <c r="R2392" i="8" s="1"/>
  <c r="R2393" i="8" s="1"/>
  <c r="R2394" i="8" s="1"/>
  <c r="R2395" i="8" s="1"/>
  <c r="R2396" i="8" s="1"/>
  <c r="R2397" i="8" s="1"/>
  <c r="R2398" i="8" s="1"/>
  <c r="R2399" i="8" s="1"/>
  <c r="R2400" i="8" s="1"/>
  <c r="R2401" i="8" s="1"/>
  <c r="R2402" i="8" s="1"/>
  <c r="R2403" i="8" s="1"/>
  <c r="R2404" i="8" s="1"/>
  <c r="R2405" i="8" s="1"/>
  <c r="R2406" i="8" s="1"/>
  <c r="R2407" i="8" s="1"/>
  <c r="R2408" i="8" s="1"/>
  <c r="R2409" i="8" s="1"/>
  <c r="R2410" i="8" s="1"/>
  <c r="R2411" i="8" s="1"/>
  <c r="R2412" i="8" s="1"/>
  <c r="R2413" i="8" s="1"/>
  <c r="R2414" i="8" s="1"/>
  <c r="R2415" i="8" s="1"/>
  <c r="R2416" i="8" s="1"/>
  <c r="R2417" i="8" s="1"/>
  <c r="R2418" i="8" s="1"/>
  <c r="R2419" i="8" s="1"/>
  <c r="R2420" i="8" s="1"/>
  <c r="R2421" i="8" s="1"/>
  <c r="R2422" i="8" s="1"/>
  <c r="R2423" i="8" s="1"/>
  <c r="R2424" i="8" s="1"/>
  <c r="R2425" i="8" s="1"/>
  <c r="R2426" i="8" s="1"/>
  <c r="R2427" i="8" s="1"/>
  <c r="R2428" i="8" s="1"/>
  <c r="R2429" i="8" s="1"/>
  <c r="R2430" i="8" s="1"/>
  <c r="R2431" i="8" s="1"/>
  <c r="R2432" i="8" s="1"/>
  <c r="R2433" i="8" s="1"/>
  <c r="R2434" i="8" s="1"/>
  <c r="R2435" i="8" s="1"/>
  <c r="R2436" i="8" s="1"/>
  <c r="R2437" i="8" s="1"/>
  <c r="R2438" i="8" s="1"/>
  <c r="R2439" i="8" s="1"/>
  <c r="R2440" i="8" s="1"/>
  <c r="R2441" i="8" s="1"/>
  <c r="R2442" i="8" s="1"/>
  <c r="R2443" i="8" s="1"/>
  <c r="R2444" i="8" s="1"/>
  <c r="R2445" i="8" s="1"/>
  <c r="R2446" i="8" s="1"/>
  <c r="R2447" i="8" s="1"/>
  <c r="R2448" i="8" s="1"/>
  <c r="R2449" i="8" s="1"/>
  <c r="R2450" i="8" s="1"/>
  <c r="R2451" i="8" s="1"/>
  <c r="R2452" i="8" s="1"/>
  <c r="R2453" i="8" s="1"/>
  <c r="R2454" i="8" s="1"/>
  <c r="R2455" i="8" s="1"/>
  <c r="R2456" i="8" s="1"/>
  <c r="R2457" i="8" s="1"/>
  <c r="R2458" i="8" s="1"/>
  <c r="R2459" i="8" s="1"/>
  <c r="R2460" i="8" s="1"/>
  <c r="R2461" i="8" s="1"/>
  <c r="R2462" i="8" s="1"/>
  <c r="R2463" i="8" s="1"/>
  <c r="R2464" i="8" s="1"/>
  <c r="R2465" i="8" s="1"/>
  <c r="R2466" i="8" s="1"/>
  <c r="R2467" i="8" s="1"/>
  <c r="R2468" i="8" s="1"/>
  <c r="R2469" i="8" s="1"/>
  <c r="R2470" i="8" s="1"/>
  <c r="R2471" i="8" s="1"/>
  <c r="R2472" i="8" s="1"/>
  <c r="R2473" i="8" s="1"/>
  <c r="R2474" i="8" s="1"/>
  <c r="R2475" i="8" s="1"/>
  <c r="R2476" i="8" s="1"/>
  <c r="R2477" i="8" s="1"/>
  <c r="R2478" i="8" s="1"/>
  <c r="R2479" i="8" s="1"/>
  <c r="R2480" i="8" s="1"/>
  <c r="R2481" i="8" s="1"/>
  <c r="R2482" i="8" s="1"/>
  <c r="R2483" i="8" s="1"/>
  <c r="R2484" i="8" s="1"/>
  <c r="R2485" i="8" s="1"/>
  <c r="R2486" i="8" s="1"/>
  <c r="R2487" i="8" s="1"/>
  <c r="R2488" i="8" s="1"/>
  <c r="R2489" i="8" s="1"/>
  <c r="R2490" i="8" s="1"/>
  <c r="R2491" i="8" s="1"/>
  <c r="R2492" i="8" s="1"/>
  <c r="R2493" i="8" s="1"/>
  <c r="R2494" i="8" s="1"/>
  <c r="R2495" i="8" s="1"/>
  <c r="R2496" i="8" s="1"/>
  <c r="R2497" i="8" s="1"/>
  <c r="R2498" i="8" s="1"/>
  <c r="R2499" i="8" s="1"/>
  <c r="R2500" i="8" s="1"/>
  <c r="R2501" i="8" s="1"/>
  <c r="R2502" i="8" s="1"/>
  <c r="R2503" i="8" s="1"/>
  <c r="R2504" i="8" s="1"/>
  <c r="R2505" i="8" s="1"/>
  <c r="R2506" i="8" s="1"/>
  <c r="R2507" i="8" s="1"/>
  <c r="R2508" i="8" s="1"/>
  <c r="R2509" i="8" s="1"/>
  <c r="R2510" i="8" s="1"/>
  <c r="R2511" i="8" s="1"/>
  <c r="R2512" i="8" s="1"/>
  <c r="R2513" i="8" s="1"/>
  <c r="R2514" i="8" s="1"/>
  <c r="R2515" i="8" s="1"/>
  <c r="R2516" i="8" s="1"/>
  <c r="R2517" i="8" s="1"/>
  <c r="R2518" i="8" s="1"/>
  <c r="R2519" i="8" s="1"/>
  <c r="R2520" i="8" s="1"/>
  <c r="R2521" i="8" s="1"/>
  <c r="R2522" i="8" s="1"/>
  <c r="R2523" i="8" s="1"/>
  <c r="R2524" i="8" s="1"/>
  <c r="R2525" i="8" s="1"/>
  <c r="R2526" i="8" s="1"/>
  <c r="R2527" i="8" s="1"/>
  <c r="R2528" i="8" s="1"/>
  <c r="R2529" i="8" s="1"/>
  <c r="R2530" i="8" s="1"/>
  <c r="R2531" i="8" s="1"/>
  <c r="R2532" i="8" s="1"/>
  <c r="R2533" i="8" s="1"/>
  <c r="R2534" i="8" s="1"/>
  <c r="R2535" i="8" s="1"/>
  <c r="R2536" i="8" s="1"/>
  <c r="R2537" i="8" s="1"/>
  <c r="R2538" i="8" s="1"/>
  <c r="R2539" i="8" s="1"/>
  <c r="R2540" i="8" s="1"/>
  <c r="R2541" i="8" s="1"/>
  <c r="R2542" i="8" s="1"/>
  <c r="R2543" i="8" s="1"/>
  <c r="R2544" i="8" s="1"/>
  <c r="R2545" i="8" s="1"/>
  <c r="R2546" i="8" s="1"/>
  <c r="R2547" i="8" s="1"/>
  <c r="R2548" i="8" s="1"/>
  <c r="R2549" i="8" s="1"/>
  <c r="R2550" i="8" s="1"/>
  <c r="R2551" i="8" s="1"/>
  <c r="R2552" i="8" s="1"/>
  <c r="R2553" i="8" s="1"/>
  <c r="R2554" i="8" s="1"/>
  <c r="R2555" i="8" s="1"/>
  <c r="R2556" i="8" s="1"/>
  <c r="R2557" i="8" s="1"/>
  <c r="R2558" i="8" s="1"/>
  <c r="R2559" i="8" s="1"/>
  <c r="R2560" i="8" s="1"/>
  <c r="R2561" i="8" s="1"/>
  <c r="R2562" i="8" s="1"/>
  <c r="R2563" i="8" s="1"/>
  <c r="R2564" i="8" s="1"/>
  <c r="R2565" i="8" s="1"/>
  <c r="R2566" i="8" s="1"/>
  <c r="R2567" i="8" s="1"/>
  <c r="R2568" i="8" s="1"/>
  <c r="R2569" i="8" s="1"/>
  <c r="R2570" i="8" s="1"/>
  <c r="R2571" i="8" s="1"/>
  <c r="R2572" i="8" s="1"/>
  <c r="R2573" i="8" s="1"/>
  <c r="R2574" i="8" s="1"/>
  <c r="R2575" i="8" s="1"/>
  <c r="R2576" i="8" s="1"/>
  <c r="R2577" i="8" s="1"/>
  <c r="R2578" i="8" s="1"/>
  <c r="R2579" i="8" s="1"/>
  <c r="R2580" i="8" s="1"/>
  <c r="R2581" i="8" s="1"/>
  <c r="R2582" i="8" s="1"/>
  <c r="R2583" i="8" s="1"/>
  <c r="R2584" i="8" s="1"/>
  <c r="R2585" i="8" s="1"/>
  <c r="R2586" i="8" s="1"/>
  <c r="R2587" i="8" s="1"/>
  <c r="R2588" i="8" s="1"/>
  <c r="R2589" i="8" s="1"/>
  <c r="R2590" i="8" s="1"/>
  <c r="R2591" i="8" s="1"/>
  <c r="R2592" i="8" s="1"/>
  <c r="R2593" i="8" s="1"/>
  <c r="R2594" i="8" s="1"/>
  <c r="R2595" i="8" s="1"/>
  <c r="R2596" i="8" s="1"/>
  <c r="R2597" i="8" s="1"/>
  <c r="R2598" i="8" s="1"/>
  <c r="R2599" i="8" s="1"/>
  <c r="R2600" i="8" s="1"/>
  <c r="R2601" i="8" s="1"/>
  <c r="R2602" i="8" s="1"/>
  <c r="R2603" i="8" s="1"/>
  <c r="R2604" i="8" s="1"/>
  <c r="R2605" i="8" s="1"/>
  <c r="R2606" i="8" s="1"/>
  <c r="R2607" i="8" s="1"/>
  <c r="R2608" i="8" s="1"/>
  <c r="R2609" i="8" s="1"/>
  <c r="R2610" i="8" s="1"/>
  <c r="R2611" i="8" s="1"/>
  <c r="R2612" i="8" s="1"/>
  <c r="R2613" i="8" s="1"/>
  <c r="R2614" i="8" s="1"/>
  <c r="R2615" i="8" s="1"/>
  <c r="R2616" i="8" s="1"/>
  <c r="R2617" i="8" s="1"/>
  <c r="R2618" i="8" s="1"/>
  <c r="R2619" i="8" s="1"/>
  <c r="R2620" i="8" s="1"/>
  <c r="R2621" i="8" s="1"/>
  <c r="R2622" i="8" s="1"/>
  <c r="R2623" i="8" s="1"/>
  <c r="R2624" i="8" s="1"/>
  <c r="R2625" i="8" s="1"/>
  <c r="R2626" i="8" s="1"/>
  <c r="R2627" i="8" s="1"/>
  <c r="R2628" i="8" s="1"/>
  <c r="R2629" i="8" s="1"/>
  <c r="R2630" i="8" s="1"/>
  <c r="R2631" i="8" s="1"/>
  <c r="R2632" i="8" s="1"/>
  <c r="R2633" i="8" s="1"/>
  <c r="R2634" i="8" s="1"/>
  <c r="R2635" i="8" s="1"/>
  <c r="R2636" i="8" s="1"/>
  <c r="R2637" i="8" s="1"/>
  <c r="R2638" i="8" s="1"/>
  <c r="R2639" i="8" s="1"/>
  <c r="R2640" i="8" s="1"/>
  <c r="R2641" i="8" s="1"/>
  <c r="R2642" i="8" s="1"/>
  <c r="R2643" i="8" s="1"/>
  <c r="R2644" i="8" s="1"/>
  <c r="R2645" i="8" s="1"/>
  <c r="R2646" i="8" s="1"/>
  <c r="R2647" i="8" s="1"/>
  <c r="R2648" i="8" s="1"/>
  <c r="R2649" i="8" s="1"/>
  <c r="R2650" i="8" s="1"/>
  <c r="R2651" i="8" s="1"/>
  <c r="R2652" i="8" s="1"/>
  <c r="R2653" i="8" s="1"/>
  <c r="R2654" i="8" s="1"/>
  <c r="R2655" i="8" s="1"/>
  <c r="R2656" i="8" s="1"/>
  <c r="R2657" i="8" s="1"/>
  <c r="R2658" i="8" s="1"/>
  <c r="R2659" i="8" s="1"/>
  <c r="R2660" i="8" s="1"/>
  <c r="R2661" i="8" s="1"/>
  <c r="R2662" i="8" s="1"/>
  <c r="R2663" i="8" s="1"/>
  <c r="R2664" i="8" s="1"/>
  <c r="R2665" i="8" s="1"/>
  <c r="R2666" i="8" s="1"/>
  <c r="R2667" i="8" s="1"/>
  <c r="R2668" i="8" s="1"/>
  <c r="R2669" i="8" s="1"/>
  <c r="R2670" i="8" s="1"/>
  <c r="R2671" i="8" s="1"/>
  <c r="R2672" i="8" s="1"/>
  <c r="R2673" i="8" s="1"/>
  <c r="R2674" i="8" s="1"/>
  <c r="R2675" i="8" s="1"/>
  <c r="R2676" i="8" s="1"/>
  <c r="R2677" i="8" s="1"/>
  <c r="R2678" i="8" s="1"/>
  <c r="R2679" i="8" s="1"/>
  <c r="R2680" i="8" s="1"/>
  <c r="R2681" i="8" s="1"/>
  <c r="R2682" i="8" s="1"/>
  <c r="R2683" i="8" s="1"/>
  <c r="R2684" i="8" s="1"/>
  <c r="R2685" i="8" s="1"/>
  <c r="R2686" i="8" s="1"/>
  <c r="R2687" i="8" s="1"/>
  <c r="R2688" i="8" s="1"/>
  <c r="R2689" i="8" s="1"/>
  <c r="R2690" i="8" s="1"/>
  <c r="R2691" i="8" s="1"/>
  <c r="R2692" i="8" s="1"/>
  <c r="R2693" i="8" s="1"/>
  <c r="R2694" i="8" s="1"/>
  <c r="R2695" i="8" s="1"/>
  <c r="R2696" i="8" s="1"/>
  <c r="R2697" i="8" s="1"/>
  <c r="R2698" i="8" s="1"/>
  <c r="R2699" i="8" s="1"/>
  <c r="R2700" i="8" s="1"/>
  <c r="R2701" i="8" s="1"/>
  <c r="R2702" i="8" s="1"/>
  <c r="R2703" i="8" s="1"/>
  <c r="R2704" i="8" s="1"/>
  <c r="R2705" i="8" s="1"/>
  <c r="R2706" i="8" s="1"/>
  <c r="R2707" i="8" s="1"/>
  <c r="R2708" i="8" s="1"/>
  <c r="R2709" i="8" s="1"/>
  <c r="R2710" i="8" s="1"/>
  <c r="R2711" i="8" s="1"/>
  <c r="R2712" i="8" s="1"/>
  <c r="R2713" i="8" s="1"/>
  <c r="R2714" i="8" s="1"/>
  <c r="R2715" i="8" s="1"/>
  <c r="R2716" i="8" s="1"/>
  <c r="R2717" i="8" s="1"/>
  <c r="R2718" i="8" s="1"/>
  <c r="R2719" i="8" s="1"/>
  <c r="R2720" i="8" s="1"/>
  <c r="R2721" i="8" s="1"/>
  <c r="R2722" i="8" s="1"/>
  <c r="R2723" i="8" s="1"/>
  <c r="R2724" i="8" s="1"/>
  <c r="R2725" i="8" s="1"/>
  <c r="R2726" i="8" s="1"/>
  <c r="R2727" i="8" s="1"/>
  <c r="R2728" i="8" s="1"/>
  <c r="R2729" i="8" s="1"/>
  <c r="R2730" i="8" s="1"/>
  <c r="R2731" i="8" s="1"/>
  <c r="R2732" i="8" s="1"/>
  <c r="R2733" i="8" s="1"/>
  <c r="R2734" i="8" s="1"/>
  <c r="R2735" i="8" s="1"/>
  <c r="R2736" i="8" s="1"/>
  <c r="R2737" i="8" s="1"/>
  <c r="R2738" i="8" s="1"/>
  <c r="R2739" i="8" s="1"/>
  <c r="R2740" i="8" s="1"/>
  <c r="R2741" i="8" s="1"/>
  <c r="R2742" i="8" s="1"/>
  <c r="R2743" i="8" s="1"/>
  <c r="R2744" i="8" s="1"/>
  <c r="R2745" i="8" s="1"/>
  <c r="R2746" i="8" s="1"/>
  <c r="R2747" i="8" s="1"/>
  <c r="R2748" i="8" s="1"/>
  <c r="R2749" i="8" s="1"/>
  <c r="R2750" i="8" s="1"/>
  <c r="R2751" i="8" s="1"/>
  <c r="R2752" i="8" s="1"/>
  <c r="R2753" i="8" s="1"/>
  <c r="R2754" i="8" s="1"/>
  <c r="R2755" i="8" s="1"/>
  <c r="R2756" i="8" s="1"/>
  <c r="R2757" i="8" s="1"/>
  <c r="R2758" i="8" s="1"/>
  <c r="R2759" i="8" s="1"/>
  <c r="R2760" i="8" s="1"/>
  <c r="R2761" i="8" s="1"/>
  <c r="R2762" i="8" s="1"/>
  <c r="R2763" i="8" s="1"/>
  <c r="R2764" i="8" s="1"/>
  <c r="R2765" i="8" s="1"/>
  <c r="R2766" i="8" s="1"/>
  <c r="R2767" i="8" s="1"/>
  <c r="R2768" i="8" s="1"/>
  <c r="R2769" i="8" s="1"/>
  <c r="R2770" i="8" s="1"/>
  <c r="R2771" i="8" s="1"/>
  <c r="R2772" i="8" s="1"/>
  <c r="R2773" i="8" s="1"/>
  <c r="R2774" i="8" s="1"/>
  <c r="R2775" i="8" s="1"/>
  <c r="R2776" i="8" s="1"/>
  <c r="R2777" i="8" s="1"/>
  <c r="R2778" i="8" s="1"/>
  <c r="R2779" i="8" s="1"/>
  <c r="R2780" i="8" s="1"/>
  <c r="R2781" i="8" s="1"/>
  <c r="R2782" i="8" s="1"/>
  <c r="R2783" i="8" s="1"/>
  <c r="R2784" i="8" s="1"/>
  <c r="R2785" i="8" s="1"/>
  <c r="R2786" i="8" s="1"/>
  <c r="R2787" i="8" s="1"/>
  <c r="R2788" i="8" s="1"/>
  <c r="R2789" i="8" s="1"/>
  <c r="R2790" i="8" s="1"/>
  <c r="R2791" i="8" s="1"/>
  <c r="R2792" i="8" s="1"/>
  <c r="R2793" i="8" s="1"/>
  <c r="R2794" i="8" s="1"/>
  <c r="R2795" i="8" s="1"/>
  <c r="R2796" i="8" s="1"/>
  <c r="R2797" i="8" s="1"/>
  <c r="R2798" i="8" s="1"/>
  <c r="R2799" i="8" s="1"/>
  <c r="R2800" i="8" s="1"/>
  <c r="R2801" i="8" s="1"/>
  <c r="R2802" i="8" s="1"/>
  <c r="R2803" i="8" s="1"/>
  <c r="R2804" i="8" s="1"/>
  <c r="R2805" i="8" s="1"/>
  <c r="R2806" i="8" s="1"/>
  <c r="R2807" i="8" s="1"/>
  <c r="R2808" i="8" s="1"/>
  <c r="R2809" i="8" s="1"/>
  <c r="R2810" i="8" s="1"/>
  <c r="R2811" i="8" s="1"/>
  <c r="R2812" i="8" s="1"/>
  <c r="R2813" i="8" s="1"/>
  <c r="R2814" i="8" s="1"/>
  <c r="R2815" i="8" s="1"/>
  <c r="R2816" i="8" s="1"/>
  <c r="R2817" i="8" s="1"/>
  <c r="R2818" i="8" s="1"/>
  <c r="R2819" i="8" s="1"/>
  <c r="R2820" i="8" s="1"/>
  <c r="R2821" i="8" s="1"/>
  <c r="R2822" i="8" s="1"/>
  <c r="R2823" i="8" s="1"/>
  <c r="R2824" i="8" s="1"/>
  <c r="R2825" i="8" s="1"/>
  <c r="R2826" i="8" s="1"/>
  <c r="R2827" i="8" s="1"/>
  <c r="R2828" i="8" s="1"/>
  <c r="R2829" i="8" s="1"/>
  <c r="R2830" i="8" s="1"/>
  <c r="R2831" i="8" s="1"/>
  <c r="R2832" i="8" s="1"/>
  <c r="R2833" i="8" s="1"/>
  <c r="R2834" i="8" s="1"/>
  <c r="R2835" i="8" s="1"/>
  <c r="R2836" i="8" s="1"/>
  <c r="R2837" i="8" s="1"/>
  <c r="R2838" i="8" s="1"/>
  <c r="R2839" i="8" s="1"/>
  <c r="R2840" i="8" s="1"/>
  <c r="R2841" i="8" s="1"/>
  <c r="R2842" i="8" s="1"/>
  <c r="R2843" i="8" s="1"/>
  <c r="R2844" i="8" s="1"/>
  <c r="R2845" i="8" s="1"/>
  <c r="R2846" i="8" s="1"/>
  <c r="R2847" i="8" s="1"/>
  <c r="R2848" i="8" s="1"/>
  <c r="R2849" i="8" s="1"/>
  <c r="R2850" i="8" s="1"/>
  <c r="R2851" i="8" s="1"/>
  <c r="R2852" i="8" s="1"/>
  <c r="R2853" i="8" s="1"/>
  <c r="R2854" i="8" s="1"/>
  <c r="R2855" i="8" s="1"/>
  <c r="R2856" i="8" s="1"/>
  <c r="R2857" i="8" s="1"/>
  <c r="R2858" i="8" s="1"/>
  <c r="R2859" i="8" s="1"/>
  <c r="R2860" i="8" s="1"/>
  <c r="R2861" i="8" s="1"/>
  <c r="R2862" i="8" s="1"/>
  <c r="R2863" i="8" s="1"/>
  <c r="R2864" i="8" s="1"/>
  <c r="R2865" i="8" s="1"/>
  <c r="R2866" i="8" s="1"/>
  <c r="R2867" i="8" s="1"/>
  <c r="R2868" i="8" s="1"/>
  <c r="R2869" i="8" s="1"/>
  <c r="R2870" i="8" s="1"/>
  <c r="R2871" i="8" s="1"/>
  <c r="R2872" i="8" s="1"/>
  <c r="R2873" i="8" s="1"/>
  <c r="R2874" i="8" s="1"/>
  <c r="R2875" i="8" s="1"/>
  <c r="R2876" i="8" s="1"/>
  <c r="R2877" i="8" s="1"/>
  <c r="R2878" i="8" s="1"/>
  <c r="R2879" i="8" s="1"/>
  <c r="R2880" i="8" s="1"/>
  <c r="R2881" i="8" s="1"/>
  <c r="R2882" i="8" s="1"/>
  <c r="R2883" i="8" s="1"/>
  <c r="R2884" i="8" s="1"/>
  <c r="R2885" i="8" s="1"/>
  <c r="R2886" i="8" s="1"/>
  <c r="R2887" i="8" s="1"/>
  <c r="R2888" i="8" s="1"/>
  <c r="R2889" i="8" s="1"/>
  <c r="R2890" i="8" s="1"/>
  <c r="R2891" i="8" s="1"/>
  <c r="R2892" i="8" s="1"/>
  <c r="R2893" i="8" s="1"/>
  <c r="R2894" i="8" s="1"/>
  <c r="R2895" i="8" s="1"/>
  <c r="R2896" i="8" s="1"/>
  <c r="R2897" i="8" s="1"/>
  <c r="R2898" i="8" s="1"/>
  <c r="R2899" i="8" s="1"/>
  <c r="R2900" i="8" s="1"/>
  <c r="R2901" i="8" s="1"/>
  <c r="R2902" i="8" s="1"/>
  <c r="R2903" i="8" s="1"/>
  <c r="R2904" i="8" s="1"/>
  <c r="R2905" i="8" s="1"/>
  <c r="R2906" i="8" s="1"/>
  <c r="R2907" i="8" s="1"/>
  <c r="R2908" i="8" s="1"/>
  <c r="R2909" i="8" s="1"/>
  <c r="R2910" i="8" s="1"/>
  <c r="R2911" i="8" s="1"/>
  <c r="R2912" i="8" s="1"/>
  <c r="R2913" i="8" s="1"/>
  <c r="R2914" i="8" s="1"/>
  <c r="R2915" i="8" s="1"/>
  <c r="R2916" i="8" s="1"/>
  <c r="R2917" i="8" s="1"/>
  <c r="R2918" i="8" s="1"/>
  <c r="R2919" i="8" s="1"/>
  <c r="R2920" i="8" s="1"/>
  <c r="R2921" i="8" s="1"/>
  <c r="R2922" i="8" s="1"/>
  <c r="R2923" i="8" s="1"/>
  <c r="R2924" i="8" s="1"/>
  <c r="R2925" i="8" s="1"/>
  <c r="R2926" i="8" s="1"/>
  <c r="R2927" i="8" s="1"/>
  <c r="R2928" i="8" s="1"/>
  <c r="R2929" i="8" s="1"/>
  <c r="R2930" i="8" s="1"/>
  <c r="R2931" i="8" s="1"/>
  <c r="R2932" i="8" s="1"/>
  <c r="R2933" i="8" s="1"/>
  <c r="R2934" i="8" s="1"/>
  <c r="R2935" i="8" s="1"/>
  <c r="R2936" i="8" s="1"/>
  <c r="R2937" i="8" s="1"/>
  <c r="R2938" i="8" s="1"/>
  <c r="R2939" i="8" s="1"/>
  <c r="R2940" i="8" s="1"/>
  <c r="R2941" i="8" s="1"/>
  <c r="R2942" i="8" s="1"/>
  <c r="R2943" i="8" s="1"/>
  <c r="R2944" i="8" s="1"/>
  <c r="R2945" i="8" s="1"/>
  <c r="R2946" i="8" s="1"/>
  <c r="R2947" i="8" s="1"/>
  <c r="R2948" i="8" s="1"/>
  <c r="R2949" i="8" s="1"/>
  <c r="R2950" i="8" s="1"/>
  <c r="R2951" i="8" s="1"/>
  <c r="R2952" i="8" s="1"/>
  <c r="R2953" i="8" s="1"/>
  <c r="R2954" i="8" s="1"/>
  <c r="R2955" i="8" s="1"/>
  <c r="R2956" i="8" s="1"/>
  <c r="R2957" i="8" s="1"/>
  <c r="R2958" i="8" s="1"/>
  <c r="R2959" i="8" s="1"/>
  <c r="R2960" i="8" s="1"/>
  <c r="R2961" i="8" s="1"/>
  <c r="R2962" i="8" s="1"/>
  <c r="R2963" i="8" s="1"/>
  <c r="R2964" i="8" s="1"/>
  <c r="R2965" i="8" s="1"/>
  <c r="R2966" i="8" s="1"/>
  <c r="R2967" i="8" s="1"/>
  <c r="R2968" i="8" s="1"/>
  <c r="R2969" i="8" s="1"/>
  <c r="R2970" i="8" s="1"/>
  <c r="R2971" i="8" s="1"/>
  <c r="R2972" i="8" s="1"/>
  <c r="R2973" i="8" s="1"/>
  <c r="R2974" i="8" s="1"/>
  <c r="R2975" i="8" s="1"/>
  <c r="R2976" i="8" s="1"/>
  <c r="R2977" i="8" s="1"/>
  <c r="R2978" i="8" s="1"/>
  <c r="R2979" i="8" s="1"/>
  <c r="R2980" i="8" s="1"/>
  <c r="R2981" i="8" s="1"/>
  <c r="R2982" i="8" s="1"/>
  <c r="R2983" i="8" s="1"/>
  <c r="R2984" i="8" s="1"/>
  <c r="R2985" i="8" s="1"/>
  <c r="R2986" i="8" s="1"/>
  <c r="R2987" i="8" s="1"/>
  <c r="R2988" i="8" s="1"/>
  <c r="R2989" i="8" s="1"/>
  <c r="R2990" i="8" s="1"/>
  <c r="R2991" i="8" s="1"/>
  <c r="R2992" i="8" s="1"/>
  <c r="R2993" i="8" s="1"/>
  <c r="R2994" i="8" s="1"/>
  <c r="R2995" i="8" s="1"/>
  <c r="R2996" i="8" s="1"/>
  <c r="R2997" i="8" s="1"/>
  <c r="R2998" i="8" s="1"/>
  <c r="R2999" i="8" s="1"/>
  <c r="R3000" i="8" s="1"/>
  <c r="R3001" i="8" s="1"/>
  <c r="R3002" i="8" s="1"/>
  <c r="R3003" i="8" s="1"/>
  <c r="R3004" i="8" s="1"/>
  <c r="R3005" i="8" s="1"/>
  <c r="R3006" i="8" s="1"/>
  <c r="R3007" i="8" s="1"/>
  <c r="R3008" i="8" s="1"/>
  <c r="R3009" i="8" s="1"/>
  <c r="R3010" i="8" s="1"/>
  <c r="R3011" i="8" s="1"/>
  <c r="R3012" i="8" s="1"/>
  <c r="R3013" i="8" s="1"/>
  <c r="R3014" i="8" s="1"/>
  <c r="R3015" i="8" s="1"/>
  <c r="R3016" i="8" s="1"/>
  <c r="R3017" i="8" s="1"/>
  <c r="R3018" i="8" s="1"/>
  <c r="R3019" i="8" s="1"/>
  <c r="R3020" i="8" s="1"/>
  <c r="R3021" i="8" s="1"/>
  <c r="R3022" i="8" s="1"/>
  <c r="R3023" i="8" s="1"/>
  <c r="R3024" i="8" s="1"/>
  <c r="R3025" i="8" s="1"/>
  <c r="R3026" i="8" s="1"/>
  <c r="R3027" i="8" s="1"/>
  <c r="R3028" i="8" s="1"/>
  <c r="R3029" i="8" s="1"/>
  <c r="R3030" i="8" s="1"/>
  <c r="R3031" i="8" s="1"/>
  <c r="R3032" i="8" s="1"/>
  <c r="R3033" i="8" s="1"/>
  <c r="R3034" i="8" s="1"/>
  <c r="R3035" i="8" s="1"/>
  <c r="R3036" i="8" s="1"/>
  <c r="R3037" i="8" s="1"/>
  <c r="R3038" i="8" s="1"/>
  <c r="R3039" i="8" s="1"/>
  <c r="R3040" i="8" s="1"/>
  <c r="R3041" i="8" s="1"/>
  <c r="R3042" i="8" s="1"/>
  <c r="R3043" i="8" s="1"/>
  <c r="R3044" i="8" s="1"/>
  <c r="R3045" i="8" s="1"/>
  <c r="R3046" i="8" s="1"/>
  <c r="R3047" i="8" s="1"/>
  <c r="R3048" i="8" s="1"/>
  <c r="R3049" i="8" s="1"/>
  <c r="R3050" i="8" s="1"/>
  <c r="R3051" i="8" s="1"/>
  <c r="R3052" i="8" s="1"/>
  <c r="R3053" i="8" s="1"/>
  <c r="R3054" i="8" s="1"/>
  <c r="R3055" i="8" s="1"/>
  <c r="R3056" i="8" s="1"/>
  <c r="R3057" i="8" s="1"/>
  <c r="R3058" i="8" s="1"/>
  <c r="R3059" i="8" s="1"/>
  <c r="R3060" i="8" s="1"/>
  <c r="R3061" i="8" s="1"/>
  <c r="R3062" i="8" s="1"/>
  <c r="R3063" i="8" s="1"/>
  <c r="R3064" i="8" s="1"/>
  <c r="R3065" i="8" s="1"/>
  <c r="R3066" i="8" s="1"/>
  <c r="R3067" i="8" s="1"/>
  <c r="R3068" i="8" s="1"/>
  <c r="R3069" i="8" s="1"/>
  <c r="R3070" i="8" s="1"/>
  <c r="R3071" i="8" s="1"/>
  <c r="R3072" i="8" s="1"/>
  <c r="R3073" i="8" s="1"/>
  <c r="R3074" i="8" s="1"/>
  <c r="R3075" i="8" s="1"/>
  <c r="R3076" i="8" s="1"/>
  <c r="R3077" i="8" s="1"/>
  <c r="R3078" i="8" s="1"/>
  <c r="R3079" i="8" s="1"/>
  <c r="R3080" i="8" s="1"/>
  <c r="R3081" i="8" s="1"/>
  <c r="R3082" i="8" s="1"/>
  <c r="R3083" i="8" s="1"/>
  <c r="R3084" i="8" s="1"/>
  <c r="R3085" i="8" s="1"/>
  <c r="R3086" i="8" s="1"/>
  <c r="R3087" i="8" s="1"/>
  <c r="R3088" i="8" s="1"/>
  <c r="R3089" i="8" s="1"/>
  <c r="R3090" i="8" s="1"/>
  <c r="R3091" i="8" s="1"/>
  <c r="R3092" i="8" s="1"/>
  <c r="R3093" i="8" s="1"/>
  <c r="R3094" i="8" s="1"/>
  <c r="R3095" i="8" s="1"/>
  <c r="R3096" i="8" s="1"/>
  <c r="R3097" i="8" s="1"/>
  <c r="R3098" i="8" s="1"/>
  <c r="R3099" i="8" s="1"/>
  <c r="R3100" i="8" s="1"/>
  <c r="R3101" i="8" s="1"/>
  <c r="R3102" i="8" s="1"/>
  <c r="R3103" i="8" s="1"/>
  <c r="R3104" i="8" s="1"/>
  <c r="R3105" i="8" s="1"/>
  <c r="R3106" i="8" s="1"/>
  <c r="R3107" i="8" s="1"/>
  <c r="R3108" i="8" s="1"/>
  <c r="R3109" i="8" s="1"/>
  <c r="R3110" i="8" s="1"/>
  <c r="R3111" i="8" s="1"/>
  <c r="R3112" i="8" s="1"/>
  <c r="R3113" i="8" s="1"/>
  <c r="R3114" i="8" s="1"/>
  <c r="R3115" i="8" s="1"/>
  <c r="R3116" i="8" s="1"/>
  <c r="R3117" i="8" s="1"/>
  <c r="R3118" i="8" s="1"/>
  <c r="R3119" i="8" s="1"/>
  <c r="R3120" i="8" s="1"/>
  <c r="R3121" i="8" s="1"/>
  <c r="R3122" i="8" s="1"/>
  <c r="R3123" i="8" s="1"/>
  <c r="R3124" i="8" s="1"/>
  <c r="R3125" i="8" s="1"/>
  <c r="R3126" i="8" s="1"/>
  <c r="R3127" i="8" s="1"/>
  <c r="R3128" i="8" s="1"/>
  <c r="R3129" i="8" s="1"/>
  <c r="R3130" i="8" s="1"/>
  <c r="R3131" i="8" s="1"/>
  <c r="R3132" i="8" s="1"/>
  <c r="R3133" i="8" s="1"/>
  <c r="R3134" i="8" s="1"/>
  <c r="R3135" i="8" s="1"/>
  <c r="R3136" i="8" s="1"/>
  <c r="R3137" i="8" s="1"/>
  <c r="R3138" i="8" s="1"/>
  <c r="R3139" i="8" s="1"/>
  <c r="R3140" i="8" s="1"/>
  <c r="R3141" i="8" s="1"/>
  <c r="R3142" i="8" s="1"/>
  <c r="R3143" i="8" s="1"/>
  <c r="R3144" i="8" s="1"/>
  <c r="R3145" i="8" s="1"/>
  <c r="R3146" i="8" s="1"/>
  <c r="R3147" i="8" s="1"/>
  <c r="R3148" i="8" s="1"/>
  <c r="R3149" i="8" s="1"/>
  <c r="R3150" i="8" s="1"/>
  <c r="R3151" i="8" s="1"/>
  <c r="R3152" i="8" s="1"/>
  <c r="R3153" i="8" s="1"/>
  <c r="R3154" i="8" s="1"/>
  <c r="R3155" i="8" s="1"/>
  <c r="R3156" i="8" s="1"/>
  <c r="R3157" i="8" s="1"/>
  <c r="R3158" i="8" s="1"/>
  <c r="R3159" i="8" s="1"/>
  <c r="R3160" i="8" s="1"/>
  <c r="R3161" i="8" s="1"/>
  <c r="R3162" i="8" s="1"/>
  <c r="R3163" i="8" s="1"/>
  <c r="R3164" i="8" s="1"/>
  <c r="R3165" i="8" s="1"/>
  <c r="R3166" i="8" s="1"/>
  <c r="R3167" i="8" s="1"/>
  <c r="R3168" i="8" s="1"/>
  <c r="R3169" i="8" s="1"/>
  <c r="R3170" i="8" s="1"/>
  <c r="R3171" i="8" s="1"/>
  <c r="R3172" i="8" s="1"/>
  <c r="R3173" i="8" s="1"/>
  <c r="R3174" i="8" s="1"/>
  <c r="R3175" i="8" s="1"/>
  <c r="R3176" i="8" s="1"/>
  <c r="R3177" i="8" s="1"/>
  <c r="R3178" i="8" s="1"/>
  <c r="R3179" i="8" s="1"/>
  <c r="R3180" i="8" s="1"/>
  <c r="R3181" i="8" s="1"/>
  <c r="R3182" i="8" s="1"/>
  <c r="R3183" i="8" s="1"/>
  <c r="R3184" i="8" s="1"/>
  <c r="R3185" i="8" s="1"/>
  <c r="R3186" i="8" s="1"/>
  <c r="R3187" i="8" s="1"/>
  <c r="R3188" i="8" s="1"/>
  <c r="R3189" i="8" s="1"/>
  <c r="R3190" i="8" s="1"/>
  <c r="R3191" i="8" s="1"/>
  <c r="R3192" i="8" s="1"/>
  <c r="R3193" i="8" s="1"/>
  <c r="R3194" i="8" s="1"/>
  <c r="R3195" i="8" s="1"/>
  <c r="R3196" i="8" s="1"/>
  <c r="R3197" i="8" s="1"/>
  <c r="R3198" i="8" s="1"/>
  <c r="R3199" i="8" s="1"/>
  <c r="R3200" i="8" s="1"/>
  <c r="R3201" i="8" s="1"/>
  <c r="R3202" i="8" s="1"/>
  <c r="R3203" i="8" s="1"/>
  <c r="R3204" i="8" s="1"/>
  <c r="R3205" i="8" s="1"/>
  <c r="R3206" i="8" s="1"/>
  <c r="R3207" i="8" s="1"/>
  <c r="R3208" i="8" s="1"/>
  <c r="R3209" i="8" s="1"/>
  <c r="R3210" i="8" s="1"/>
  <c r="R3211" i="8" s="1"/>
  <c r="R3212" i="8" s="1"/>
  <c r="R3213" i="8" s="1"/>
  <c r="R3214" i="8" s="1"/>
  <c r="R3215" i="8" s="1"/>
  <c r="R3216" i="8" s="1"/>
  <c r="R3217" i="8" s="1"/>
  <c r="R3218" i="8" s="1"/>
  <c r="R3219" i="8" s="1"/>
  <c r="R3220" i="8" s="1"/>
  <c r="R3221" i="8" s="1"/>
  <c r="R3222" i="8" s="1"/>
  <c r="R3223" i="8" s="1"/>
  <c r="R3224" i="8" s="1"/>
  <c r="R3225" i="8" s="1"/>
  <c r="R3226" i="8" s="1"/>
  <c r="R3227" i="8" s="1"/>
  <c r="R3228" i="8" s="1"/>
  <c r="R3229" i="8" s="1"/>
  <c r="R3230" i="8" s="1"/>
  <c r="R3231" i="8" s="1"/>
  <c r="R3232" i="8" s="1"/>
  <c r="R3233" i="8" s="1"/>
  <c r="R3234" i="8" s="1"/>
  <c r="R3235" i="8" s="1"/>
  <c r="R3236" i="8" s="1"/>
  <c r="R3237" i="8" s="1"/>
  <c r="R3238" i="8" s="1"/>
  <c r="R3239" i="8" s="1"/>
  <c r="R3240" i="8" s="1"/>
  <c r="R3241" i="8" s="1"/>
  <c r="R3242" i="8" s="1"/>
  <c r="R3243" i="8" s="1"/>
  <c r="R3244" i="8" s="1"/>
  <c r="R3245" i="8" s="1"/>
  <c r="R3246" i="8" s="1"/>
  <c r="R3247" i="8" s="1"/>
  <c r="R3248" i="8" s="1"/>
  <c r="R3249" i="8" s="1"/>
  <c r="R3250" i="8" s="1"/>
  <c r="R3251" i="8" s="1"/>
  <c r="R3252" i="8" s="1"/>
  <c r="R3253" i="8" s="1"/>
  <c r="R3254" i="8" s="1"/>
  <c r="R3255" i="8" s="1"/>
  <c r="R3256" i="8" s="1"/>
  <c r="R3257" i="8" s="1"/>
  <c r="R3258" i="8" s="1"/>
  <c r="R3259" i="8" s="1"/>
  <c r="R3260" i="8" s="1"/>
  <c r="R3261" i="8" s="1"/>
  <c r="R3262" i="8" s="1"/>
  <c r="R3263" i="8" s="1"/>
  <c r="R3264" i="8" s="1"/>
  <c r="R3265" i="8" s="1"/>
  <c r="R3266" i="8" s="1"/>
  <c r="R3267" i="8" s="1"/>
  <c r="R3268" i="8" s="1"/>
  <c r="R3269" i="8" s="1"/>
  <c r="R3270" i="8" s="1"/>
  <c r="R3271" i="8" s="1"/>
  <c r="R3272" i="8" s="1"/>
  <c r="R3273" i="8" s="1"/>
  <c r="R3274" i="8" s="1"/>
  <c r="R3275" i="8" s="1"/>
  <c r="R3276" i="8" s="1"/>
  <c r="R3277" i="8" s="1"/>
  <c r="R3278" i="8" s="1"/>
  <c r="R3279" i="8" s="1"/>
  <c r="R3280" i="8" s="1"/>
  <c r="R3281" i="8" s="1"/>
  <c r="R3282" i="8" s="1"/>
  <c r="R3283" i="8" s="1"/>
  <c r="R3284" i="8" s="1"/>
  <c r="R3285" i="8" s="1"/>
  <c r="R3286" i="8" s="1"/>
  <c r="R3287" i="8" s="1"/>
  <c r="R3288" i="8" s="1"/>
  <c r="R3289" i="8" s="1"/>
  <c r="R3290" i="8" s="1"/>
  <c r="R3291" i="8" s="1"/>
  <c r="R3292" i="8" s="1"/>
  <c r="R3293" i="8" s="1"/>
  <c r="R3294" i="8" s="1"/>
  <c r="R3295" i="8" s="1"/>
  <c r="R3296" i="8" s="1"/>
  <c r="R3297" i="8" s="1"/>
  <c r="R3298" i="8" s="1"/>
  <c r="R3299" i="8" s="1"/>
  <c r="R3300" i="8" s="1"/>
  <c r="R3301" i="8" s="1"/>
  <c r="R3302" i="8" s="1"/>
  <c r="R3303" i="8" s="1"/>
  <c r="R3304" i="8" s="1"/>
  <c r="R3305" i="8" s="1"/>
  <c r="R3306" i="8" s="1"/>
  <c r="R3307" i="8" s="1"/>
  <c r="R3308" i="8" s="1"/>
  <c r="R3309" i="8" s="1"/>
  <c r="R3310" i="8" s="1"/>
  <c r="R3311" i="8" s="1"/>
  <c r="R3312" i="8" s="1"/>
  <c r="R3313" i="8" s="1"/>
  <c r="R3314" i="8" s="1"/>
  <c r="R3315" i="8" s="1"/>
  <c r="R3316" i="8" s="1"/>
  <c r="R3317" i="8" s="1"/>
  <c r="R3318" i="8" s="1"/>
  <c r="R3319" i="8" s="1"/>
  <c r="R3320" i="8" s="1"/>
  <c r="R3321" i="8" s="1"/>
  <c r="R3322" i="8" s="1"/>
  <c r="R3323" i="8" s="1"/>
  <c r="R3324" i="8" s="1"/>
  <c r="R3325" i="8" s="1"/>
  <c r="R3326" i="8" s="1"/>
  <c r="R3327" i="8" s="1"/>
  <c r="R3328" i="8" s="1"/>
  <c r="R3329" i="8" s="1"/>
  <c r="R3330" i="8" s="1"/>
  <c r="R3331" i="8" s="1"/>
  <c r="R3332" i="8" s="1"/>
  <c r="R3333" i="8" s="1"/>
  <c r="R3334" i="8" s="1"/>
  <c r="R3335" i="8" s="1"/>
  <c r="R3336" i="8" s="1"/>
  <c r="R3337" i="8" s="1"/>
  <c r="R3338" i="8" s="1"/>
  <c r="R3339" i="8" s="1"/>
  <c r="R3340" i="8" s="1"/>
  <c r="R3341" i="8" s="1"/>
  <c r="R3342" i="8" s="1"/>
  <c r="R3343" i="8" s="1"/>
  <c r="R3344" i="8" s="1"/>
  <c r="R3345" i="8" s="1"/>
  <c r="R3346" i="8" s="1"/>
  <c r="R3347" i="8" s="1"/>
  <c r="R3348" i="8" s="1"/>
  <c r="R3349" i="8" s="1"/>
  <c r="R3350" i="8" s="1"/>
  <c r="R3351" i="8" s="1"/>
  <c r="R3352" i="8" s="1"/>
  <c r="R3353" i="8" s="1"/>
  <c r="R3354" i="8" s="1"/>
  <c r="R3355" i="8" s="1"/>
  <c r="R3356" i="8" s="1"/>
  <c r="R3357" i="8" s="1"/>
  <c r="R3358" i="8" s="1"/>
  <c r="R3359" i="8" s="1"/>
  <c r="R3360" i="8" s="1"/>
  <c r="R3361" i="8" s="1"/>
  <c r="R3362" i="8" s="1"/>
  <c r="R3363" i="8" s="1"/>
  <c r="R3364" i="8" s="1"/>
  <c r="R3365" i="8" s="1"/>
  <c r="R3366" i="8" s="1"/>
  <c r="R3367" i="8" s="1"/>
  <c r="R3368" i="8" s="1"/>
  <c r="R3369" i="8" s="1"/>
  <c r="R3370" i="8" s="1"/>
  <c r="R3371" i="8" s="1"/>
  <c r="R3372" i="8" s="1"/>
  <c r="R3373" i="8" s="1"/>
  <c r="R3374" i="8" s="1"/>
  <c r="R3375" i="8" s="1"/>
  <c r="R3376" i="8" s="1"/>
  <c r="R3377" i="8" s="1"/>
  <c r="R3378" i="8" s="1"/>
  <c r="R3379" i="8" s="1"/>
  <c r="R3380" i="8" s="1"/>
  <c r="R3381" i="8" s="1"/>
  <c r="R3382" i="8" s="1"/>
  <c r="R3383" i="8" s="1"/>
  <c r="R3384" i="8" s="1"/>
  <c r="R3385" i="8" s="1"/>
  <c r="R3386" i="8" s="1"/>
  <c r="R3387" i="8" s="1"/>
  <c r="R3388" i="8" s="1"/>
  <c r="R3389" i="8" s="1"/>
  <c r="R3390" i="8" s="1"/>
  <c r="R3391" i="8" s="1"/>
  <c r="R3392" i="8" s="1"/>
  <c r="R3393" i="8" s="1"/>
  <c r="R3394" i="8" s="1"/>
  <c r="R3395" i="8" s="1"/>
  <c r="R3396" i="8" s="1"/>
  <c r="R3397" i="8" s="1"/>
  <c r="R3398" i="8" s="1"/>
  <c r="R3399" i="8" s="1"/>
  <c r="R3400" i="8" s="1"/>
  <c r="R3401" i="8" s="1"/>
  <c r="R3402" i="8" s="1"/>
  <c r="R3403" i="8" s="1"/>
  <c r="R3404" i="8" s="1"/>
  <c r="R3405" i="8" s="1"/>
  <c r="R3406" i="8" s="1"/>
  <c r="R3407" i="8" s="1"/>
  <c r="R3408" i="8" s="1"/>
  <c r="R3409" i="8" s="1"/>
  <c r="R3410" i="8" s="1"/>
  <c r="R3411" i="8" s="1"/>
  <c r="R3412" i="8" s="1"/>
  <c r="R3413" i="8" s="1"/>
  <c r="R3414" i="8" s="1"/>
  <c r="R3415" i="8" s="1"/>
  <c r="R3416" i="8" s="1"/>
  <c r="R3417" i="8" s="1"/>
  <c r="R3418" i="8" s="1"/>
  <c r="R3419" i="8" s="1"/>
  <c r="R3420" i="8" s="1"/>
  <c r="R3421" i="8" s="1"/>
  <c r="R3422" i="8" s="1"/>
  <c r="R3423" i="8" s="1"/>
  <c r="R3424" i="8" s="1"/>
  <c r="R3425" i="8" s="1"/>
  <c r="R3426" i="8" s="1"/>
  <c r="R3427" i="8" s="1"/>
  <c r="R3428" i="8" s="1"/>
  <c r="R3429" i="8" s="1"/>
  <c r="R3430" i="8" s="1"/>
  <c r="R3431" i="8" s="1"/>
  <c r="R3432" i="8" s="1"/>
  <c r="R3433" i="8" s="1"/>
  <c r="R3434" i="8" s="1"/>
  <c r="R3435" i="8" s="1"/>
  <c r="R3436" i="8" s="1"/>
  <c r="R3437" i="8" s="1"/>
  <c r="R3438" i="8" s="1"/>
  <c r="R3439" i="8" s="1"/>
  <c r="R3440" i="8" s="1"/>
  <c r="R3441" i="8" s="1"/>
  <c r="R3442" i="8" s="1"/>
  <c r="R3443" i="8" s="1"/>
  <c r="R3444" i="8" s="1"/>
  <c r="R3445" i="8" s="1"/>
  <c r="R3446" i="8" s="1"/>
  <c r="R3447" i="8" s="1"/>
  <c r="R3448" i="8" s="1"/>
  <c r="R3449" i="8" s="1"/>
  <c r="R3450" i="8" s="1"/>
  <c r="R3451" i="8" s="1"/>
  <c r="R3452" i="8" s="1"/>
  <c r="R3453" i="8" s="1"/>
  <c r="R3454" i="8" s="1"/>
  <c r="R3455" i="8" s="1"/>
  <c r="R3456" i="8" s="1"/>
  <c r="R3457" i="8" s="1"/>
  <c r="R3458" i="8" s="1"/>
  <c r="R3459" i="8" s="1"/>
  <c r="R3460" i="8" s="1"/>
  <c r="R3461" i="8" s="1"/>
  <c r="R3462" i="8" s="1"/>
  <c r="R3463" i="8" s="1"/>
  <c r="R3464" i="8" s="1"/>
  <c r="R3465" i="8" s="1"/>
  <c r="R3466" i="8" s="1"/>
  <c r="R3467" i="8" s="1"/>
  <c r="R3468" i="8" s="1"/>
  <c r="R3469" i="8" s="1"/>
  <c r="R3470" i="8" s="1"/>
  <c r="R3471" i="8" s="1"/>
  <c r="R3472" i="8" s="1"/>
  <c r="R3473" i="8" s="1"/>
  <c r="R3474" i="8" s="1"/>
  <c r="R3475" i="8" s="1"/>
  <c r="R3476" i="8" s="1"/>
  <c r="R3477" i="8" s="1"/>
  <c r="R3478" i="8" s="1"/>
  <c r="R3479" i="8" s="1"/>
  <c r="R3480" i="8" s="1"/>
  <c r="R3481" i="8" s="1"/>
  <c r="R3482" i="8" s="1"/>
  <c r="R3483" i="8" s="1"/>
  <c r="R3484" i="8" s="1"/>
  <c r="R3485" i="8" s="1"/>
  <c r="R3486" i="8" s="1"/>
  <c r="R3487" i="8" s="1"/>
  <c r="R3488" i="8" s="1"/>
  <c r="R3489" i="8" s="1"/>
  <c r="R3490" i="8" s="1"/>
  <c r="R3491" i="8" s="1"/>
  <c r="R3492" i="8" s="1"/>
  <c r="R3493" i="8" s="1"/>
  <c r="R3494" i="8" s="1"/>
  <c r="R3495" i="8" s="1"/>
  <c r="R3496" i="8" s="1"/>
  <c r="R3497" i="8" s="1"/>
  <c r="R3498" i="8" s="1"/>
  <c r="R3499" i="8" s="1"/>
  <c r="R3500" i="8" s="1"/>
  <c r="R3501" i="8" s="1"/>
  <c r="R3502" i="8" s="1"/>
  <c r="R3503" i="8" s="1"/>
  <c r="R3504" i="8" s="1"/>
  <c r="R3505" i="8" s="1"/>
  <c r="R3506" i="8" s="1"/>
  <c r="R3507" i="8" s="1"/>
  <c r="R3508" i="8" s="1"/>
  <c r="R3509" i="8" s="1"/>
  <c r="R3510" i="8" s="1"/>
  <c r="R3511" i="8" s="1"/>
  <c r="R3512" i="8" s="1"/>
  <c r="R3513" i="8" s="1"/>
  <c r="R3514" i="8" s="1"/>
  <c r="R3515" i="8" s="1"/>
  <c r="R3516" i="8" s="1"/>
  <c r="R3517" i="8" s="1"/>
  <c r="R3518" i="8" s="1"/>
  <c r="R3519" i="8" s="1"/>
  <c r="R3520" i="8" s="1"/>
  <c r="R3521" i="8" s="1"/>
  <c r="R3522" i="8" s="1"/>
  <c r="R3523" i="8" s="1"/>
  <c r="R3524" i="8" s="1"/>
  <c r="R3525" i="8" s="1"/>
  <c r="R3526" i="8" s="1"/>
  <c r="R3527" i="8" s="1"/>
  <c r="R3528" i="8" s="1"/>
  <c r="R3529" i="8" s="1"/>
  <c r="R3530" i="8" s="1"/>
  <c r="R3531" i="8" s="1"/>
  <c r="R3532" i="8" s="1"/>
  <c r="R3533" i="8" s="1"/>
  <c r="R3534" i="8" s="1"/>
  <c r="R3535" i="8" s="1"/>
  <c r="R3536" i="8" s="1"/>
  <c r="R3537" i="8" s="1"/>
  <c r="R3538" i="8" s="1"/>
  <c r="R3539" i="8" s="1"/>
  <c r="R3540" i="8" s="1"/>
  <c r="R3541" i="8" s="1"/>
  <c r="R3542" i="8" s="1"/>
  <c r="R3543" i="8" s="1"/>
  <c r="R3544" i="8" s="1"/>
  <c r="R3545" i="8" s="1"/>
  <c r="R3546" i="8" s="1"/>
  <c r="R3547" i="8" s="1"/>
  <c r="R3548" i="8" s="1"/>
  <c r="R3549" i="8" s="1"/>
  <c r="R3550" i="8" s="1"/>
  <c r="R3551" i="8" s="1"/>
  <c r="R3552" i="8" s="1"/>
  <c r="R3553" i="8" s="1"/>
  <c r="R3554" i="8" s="1"/>
  <c r="R3555" i="8" s="1"/>
  <c r="R3556" i="8" s="1"/>
  <c r="R3557" i="8" s="1"/>
  <c r="R3558" i="8" s="1"/>
  <c r="R3559" i="8" s="1"/>
  <c r="R3560" i="8" s="1"/>
  <c r="R3561" i="8" s="1"/>
  <c r="R3562" i="8" s="1"/>
  <c r="R3563" i="8" s="1"/>
  <c r="R3564" i="8" s="1"/>
  <c r="R3565" i="8" s="1"/>
  <c r="R3566" i="8" s="1"/>
  <c r="R3567" i="8" s="1"/>
  <c r="R3568" i="8" s="1"/>
  <c r="R3569" i="8" s="1"/>
  <c r="R3570" i="8" s="1"/>
  <c r="R3571" i="8" s="1"/>
  <c r="R3572" i="8" s="1"/>
  <c r="R3573" i="8" s="1"/>
  <c r="R3574" i="8" s="1"/>
  <c r="R3575" i="8" s="1"/>
  <c r="R3576" i="8" s="1"/>
  <c r="R3577" i="8" s="1"/>
  <c r="R3578" i="8" s="1"/>
  <c r="R3579" i="8" s="1"/>
  <c r="R3580" i="8" s="1"/>
  <c r="R3581" i="8" s="1"/>
  <c r="R3582" i="8" s="1"/>
  <c r="R3583" i="8" s="1"/>
  <c r="R3584" i="8" s="1"/>
  <c r="R3585" i="8" s="1"/>
  <c r="R3586" i="8" s="1"/>
  <c r="R3587" i="8" s="1"/>
  <c r="R3588" i="8" s="1"/>
  <c r="R3589" i="8" s="1"/>
  <c r="R3590" i="8" s="1"/>
  <c r="R3591" i="8" s="1"/>
  <c r="R3592" i="8" s="1"/>
  <c r="R3593" i="8" s="1"/>
  <c r="R3594" i="8" s="1"/>
  <c r="R3595" i="8" s="1"/>
  <c r="R3596" i="8" s="1"/>
  <c r="R3597" i="8" s="1"/>
  <c r="R3598" i="8" s="1"/>
  <c r="R3599" i="8" s="1"/>
  <c r="R3600" i="8" s="1"/>
  <c r="R3601" i="8" s="1"/>
  <c r="R3602" i="8" s="1"/>
  <c r="R3603" i="8" s="1"/>
  <c r="R3604" i="8" s="1"/>
  <c r="R3605" i="8" s="1"/>
  <c r="R3606" i="8" s="1"/>
  <c r="R3607" i="8" s="1"/>
  <c r="R3608" i="8" s="1"/>
  <c r="R3609" i="8" s="1"/>
  <c r="R3610" i="8" s="1"/>
  <c r="R3611" i="8" s="1"/>
  <c r="R3612" i="8" s="1"/>
  <c r="R3613" i="8" s="1"/>
  <c r="R3614" i="8" s="1"/>
  <c r="R3615" i="8" s="1"/>
  <c r="R3616" i="8" s="1"/>
  <c r="R3617" i="8" s="1"/>
  <c r="R3618" i="8" s="1"/>
  <c r="R3619" i="8" s="1"/>
  <c r="R3620" i="8" s="1"/>
  <c r="R3621" i="8" s="1"/>
  <c r="R3622" i="8" s="1"/>
  <c r="R3623" i="8" s="1"/>
  <c r="R3624" i="8" s="1"/>
  <c r="R3625" i="8" s="1"/>
  <c r="R3626" i="8" s="1"/>
  <c r="R3627" i="8" s="1"/>
  <c r="R3628" i="8" s="1"/>
  <c r="R3629" i="8" s="1"/>
  <c r="R3630" i="8" s="1"/>
  <c r="R3631" i="8" s="1"/>
  <c r="R3632" i="8" s="1"/>
  <c r="R3633" i="8" s="1"/>
  <c r="R3634" i="8" s="1"/>
  <c r="R3635" i="8" s="1"/>
  <c r="R3636" i="8" s="1"/>
  <c r="R3637" i="8" s="1"/>
  <c r="R3638" i="8" s="1"/>
  <c r="R3639" i="8" s="1"/>
  <c r="R3640" i="8" s="1"/>
  <c r="R3641" i="8" s="1"/>
  <c r="R3642" i="8" s="1"/>
  <c r="R3643" i="8" s="1"/>
  <c r="R3644" i="8" s="1"/>
  <c r="R3645" i="8" s="1"/>
  <c r="R3646" i="8" s="1"/>
  <c r="R3647" i="8" s="1"/>
  <c r="R3648" i="8" s="1"/>
  <c r="R3649" i="8" s="1"/>
  <c r="R3650" i="8" s="1"/>
  <c r="R3651" i="8" s="1"/>
  <c r="R3652" i="8" s="1"/>
  <c r="R3653" i="8" s="1"/>
  <c r="R3654" i="8" s="1"/>
  <c r="R3655" i="8" s="1"/>
  <c r="R3656" i="8" s="1"/>
  <c r="R3657" i="8" s="1"/>
  <c r="R3658" i="8" s="1"/>
  <c r="R3659" i="8" s="1"/>
  <c r="R3660" i="8" s="1"/>
  <c r="R3661" i="8" s="1"/>
  <c r="R3662" i="8" s="1"/>
  <c r="R3663" i="8" s="1"/>
  <c r="R3664" i="8" s="1"/>
  <c r="R3665" i="8" s="1"/>
  <c r="R3666" i="8" s="1"/>
  <c r="R3667" i="8" s="1"/>
  <c r="R3668" i="8" s="1"/>
  <c r="R3669" i="8" s="1"/>
  <c r="R3670" i="8" s="1"/>
  <c r="R3671" i="8" s="1"/>
  <c r="R3672" i="8" s="1"/>
  <c r="R3673" i="8" s="1"/>
  <c r="R3674" i="8" s="1"/>
  <c r="R3675" i="8" s="1"/>
  <c r="R3676" i="8" s="1"/>
  <c r="R3677" i="8" s="1"/>
  <c r="R3678" i="8" s="1"/>
  <c r="R3679" i="8" s="1"/>
  <c r="R3680" i="8" s="1"/>
  <c r="R3681" i="8" s="1"/>
  <c r="R3682" i="8" s="1"/>
  <c r="R3683" i="8" s="1"/>
  <c r="R3684" i="8" s="1"/>
  <c r="R3685" i="8" s="1"/>
  <c r="R3686" i="8" s="1"/>
  <c r="R3687" i="8" s="1"/>
  <c r="R3688" i="8" s="1"/>
  <c r="R3689" i="8" s="1"/>
  <c r="R3690" i="8" s="1"/>
  <c r="R3691" i="8" s="1"/>
  <c r="R3692" i="8" s="1"/>
  <c r="R3693" i="8" s="1"/>
  <c r="R3694" i="8" s="1"/>
  <c r="R3695" i="8" s="1"/>
  <c r="R3696" i="8" s="1"/>
  <c r="R3697" i="8" s="1"/>
  <c r="R3698" i="8" s="1"/>
  <c r="R3699" i="8" s="1"/>
  <c r="R3700" i="8" s="1"/>
  <c r="R3701" i="8" s="1"/>
  <c r="R3702" i="8" s="1"/>
  <c r="R3703" i="8" s="1"/>
  <c r="R3704" i="8" s="1"/>
  <c r="R3705" i="8" s="1"/>
  <c r="R3706" i="8" s="1"/>
  <c r="R3707" i="8" s="1"/>
  <c r="R3708" i="8" s="1"/>
  <c r="R3709" i="8" s="1"/>
  <c r="R3710" i="8" s="1"/>
  <c r="R3711" i="8" s="1"/>
  <c r="R3712" i="8" s="1"/>
  <c r="R3713" i="8" s="1"/>
  <c r="R3714" i="8" s="1"/>
  <c r="R3715" i="8" s="1"/>
  <c r="R3716" i="8" s="1"/>
  <c r="R3717" i="8" s="1"/>
  <c r="R3718" i="8" s="1"/>
  <c r="R3719" i="8" s="1"/>
  <c r="R3720" i="8" s="1"/>
  <c r="R3721" i="8" s="1"/>
  <c r="R3722" i="8" s="1"/>
  <c r="R3723" i="8" s="1"/>
  <c r="R3724" i="8" s="1"/>
  <c r="R3725" i="8" s="1"/>
  <c r="R3726" i="8" s="1"/>
  <c r="R3727" i="8" s="1"/>
  <c r="R3728" i="8" s="1"/>
  <c r="R3729" i="8" s="1"/>
  <c r="R3730" i="8" s="1"/>
  <c r="R3731" i="8" s="1"/>
  <c r="R3732" i="8" s="1"/>
  <c r="R3733" i="8" s="1"/>
  <c r="R3734" i="8" s="1"/>
  <c r="R3735" i="8" s="1"/>
  <c r="R3736" i="8" s="1"/>
  <c r="R3737" i="8" s="1"/>
  <c r="R3738" i="8" s="1"/>
  <c r="R3739" i="8" s="1"/>
  <c r="R3740" i="8" s="1"/>
  <c r="R3741" i="8" s="1"/>
  <c r="R3742" i="8" s="1"/>
  <c r="R3743" i="8" s="1"/>
  <c r="R3744" i="8" s="1"/>
  <c r="R3745" i="8" s="1"/>
  <c r="R3746" i="8" s="1"/>
  <c r="R3747" i="8" s="1"/>
  <c r="R3748" i="8" s="1"/>
  <c r="R3749" i="8" s="1"/>
  <c r="R3750" i="8" s="1"/>
  <c r="R3751" i="8" s="1"/>
  <c r="R3752" i="8" s="1"/>
  <c r="R3753" i="8" s="1"/>
  <c r="R3754" i="8" s="1"/>
  <c r="R3755" i="8" s="1"/>
  <c r="R3756" i="8" s="1"/>
  <c r="R3757" i="8" s="1"/>
  <c r="R3758" i="8" s="1"/>
  <c r="R3759" i="8" s="1"/>
  <c r="R3760" i="8" s="1"/>
  <c r="R3761" i="8" s="1"/>
  <c r="R3762" i="8" s="1"/>
  <c r="R3763" i="8" s="1"/>
  <c r="R3764" i="8" s="1"/>
  <c r="R3765" i="8" s="1"/>
  <c r="R3766" i="8" s="1"/>
  <c r="R3767" i="8" s="1"/>
  <c r="R3768" i="8" s="1"/>
  <c r="R3769" i="8" s="1"/>
  <c r="R3770" i="8" s="1"/>
  <c r="R3771" i="8" s="1"/>
  <c r="R3772" i="8" s="1"/>
  <c r="R3773" i="8" s="1"/>
  <c r="R3774" i="8" s="1"/>
  <c r="R3775" i="8" s="1"/>
  <c r="R3776" i="8" s="1"/>
  <c r="R3777" i="8" s="1"/>
  <c r="R3778" i="8" s="1"/>
  <c r="R3779" i="8" s="1"/>
  <c r="R3780" i="8" s="1"/>
  <c r="R3781" i="8" s="1"/>
  <c r="R3782" i="8" s="1"/>
  <c r="R3783" i="8" s="1"/>
  <c r="R3784" i="8" s="1"/>
  <c r="R3785" i="8" s="1"/>
  <c r="R3786" i="8" s="1"/>
  <c r="R3787" i="8" s="1"/>
  <c r="R3788" i="8" s="1"/>
  <c r="R3789" i="8" s="1"/>
  <c r="R3790" i="8" s="1"/>
  <c r="R3791" i="8" s="1"/>
  <c r="R3792" i="8" s="1"/>
  <c r="R3793" i="8" s="1"/>
  <c r="R3794" i="8" s="1"/>
  <c r="R3795" i="8" s="1"/>
  <c r="R3796" i="8" s="1"/>
  <c r="R3797" i="8" s="1"/>
  <c r="R3798" i="8" s="1"/>
  <c r="R3799" i="8" s="1"/>
  <c r="R3800" i="8" s="1"/>
  <c r="R3801" i="8" s="1"/>
  <c r="R3802" i="8" s="1"/>
  <c r="R3803" i="8" s="1"/>
  <c r="R3804" i="8" s="1"/>
  <c r="R3805" i="8" s="1"/>
  <c r="R3806" i="8" s="1"/>
  <c r="R3807" i="8" s="1"/>
  <c r="R3808" i="8" s="1"/>
  <c r="R3809" i="8" s="1"/>
  <c r="R3810" i="8" s="1"/>
  <c r="R3811" i="8" s="1"/>
  <c r="R3812" i="8" s="1"/>
  <c r="R3813" i="8" s="1"/>
  <c r="R3814" i="8" s="1"/>
  <c r="R3815" i="8" s="1"/>
  <c r="R3816" i="8" s="1"/>
  <c r="R3817" i="8" s="1"/>
  <c r="R3818" i="8" s="1"/>
  <c r="R3819" i="8" s="1"/>
  <c r="R3820" i="8" s="1"/>
  <c r="R3821" i="8" s="1"/>
  <c r="R3822" i="8" s="1"/>
  <c r="R3823" i="8" s="1"/>
  <c r="R3824" i="8" s="1"/>
  <c r="R3825" i="8" s="1"/>
  <c r="R3826" i="8" s="1"/>
  <c r="R3827" i="8" s="1"/>
  <c r="R3828" i="8" s="1"/>
  <c r="R3829" i="8" s="1"/>
  <c r="R3830" i="8" s="1"/>
  <c r="R3831" i="8" s="1"/>
  <c r="R3832" i="8" s="1"/>
  <c r="R3833" i="8" s="1"/>
  <c r="R3834" i="8" s="1"/>
  <c r="R3835" i="8" s="1"/>
  <c r="R3836" i="8" s="1"/>
  <c r="R3837" i="8" s="1"/>
  <c r="R3838" i="8" s="1"/>
  <c r="R3839" i="8" s="1"/>
  <c r="R3840" i="8" s="1"/>
  <c r="R3841" i="8" s="1"/>
  <c r="R3842" i="8" s="1"/>
  <c r="R3843" i="8" s="1"/>
  <c r="R3844" i="8" s="1"/>
  <c r="R3845" i="8" s="1"/>
  <c r="R3846" i="8" s="1"/>
  <c r="R3847" i="8" s="1"/>
  <c r="R3848" i="8" s="1"/>
  <c r="R3849" i="8" s="1"/>
  <c r="R3850" i="8" s="1"/>
  <c r="R3851" i="8" s="1"/>
  <c r="R3852" i="8" s="1"/>
  <c r="R3853" i="8" s="1"/>
  <c r="R3854" i="8" s="1"/>
  <c r="R3855" i="8" s="1"/>
  <c r="R3856" i="8" s="1"/>
  <c r="R3857" i="8" s="1"/>
  <c r="R3858" i="8" s="1"/>
  <c r="R3859" i="8" s="1"/>
  <c r="R3860" i="8" s="1"/>
  <c r="R3861" i="8" s="1"/>
  <c r="R3862" i="8" s="1"/>
  <c r="R3863" i="8" s="1"/>
  <c r="R3864" i="8" s="1"/>
  <c r="R3865" i="8" s="1"/>
  <c r="R3866" i="8" s="1"/>
  <c r="R3867" i="8" s="1"/>
  <c r="R3868" i="8" s="1"/>
  <c r="R3869" i="8" s="1"/>
  <c r="R3870" i="8" s="1"/>
  <c r="R3871" i="8" s="1"/>
  <c r="R3872" i="8" s="1"/>
  <c r="R3873" i="8" s="1"/>
  <c r="R3874" i="8" s="1"/>
  <c r="R3875" i="8" s="1"/>
  <c r="R3876" i="8" s="1"/>
  <c r="R3877" i="8" s="1"/>
  <c r="R3878" i="8" s="1"/>
  <c r="R3879" i="8" s="1"/>
  <c r="R3880" i="8" s="1"/>
  <c r="R3881" i="8" s="1"/>
  <c r="R3882" i="8" s="1"/>
  <c r="R3883" i="8" s="1"/>
  <c r="R3884" i="8" s="1"/>
  <c r="R3885" i="8" s="1"/>
  <c r="R3886" i="8" s="1"/>
  <c r="R3887" i="8" s="1"/>
  <c r="R3888" i="8" s="1"/>
  <c r="R3889" i="8" s="1"/>
  <c r="R3890" i="8" s="1"/>
  <c r="R3891" i="8" s="1"/>
  <c r="R3892" i="8" s="1"/>
  <c r="R3893" i="8" s="1"/>
  <c r="R3894" i="8" s="1"/>
  <c r="R3895" i="8" s="1"/>
  <c r="R3896" i="8" s="1"/>
  <c r="R3897" i="8" s="1"/>
  <c r="R3898" i="8" s="1"/>
  <c r="R3899" i="8" s="1"/>
  <c r="R3900" i="8" s="1"/>
  <c r="R3901" i="8" s="1"/>
  <c r="R3902" i="8" s="1"/>
  <c r="R3903" i="8" s="1"/>
  <c r="R3904" i="8" s="1"/>
  <c r="R3905" i="8" s="1"/>
  <c r="R3906" i="8" s="1"/>
  <c r="R3907" i="8" s="1"/>
  <c r="R3908" i="8" s="1"/>
  <c r="R3909" i="8" s="1"/>
  <c r="R3910" i="8" s="1"/>
  <c r="R3911" i="8" s="1"/>
  <c r="R3912" i="8" s="1"/>
  <c r="R3913" i="8" s="1"/>
  <c r="R3914" i="8" s="1"/>
  <c r="R3915" i="8" s="1"/>
  <c r="R3916" i="8" s="1"/>
  <c r="R3917" i="8" s="1"/>
  <c r="R3918" i="8" s="1"/>
  <c r="R3919" i="8" s="1"/>
  <c r="R3920" i="8" s="1"/>
  <c r="R3921" i="8" s="1"/>
  <c r="R3922" i="8" s="1"/>
  <c r="R3923" i="8" s="1"/>
  <c r="R3924" i="8" s="1"/>
  <c r="R3925" i="8" s="1"/>
  <c r="R3926" i="8" s="1"/>
  <c r="R3927" i="8" s="1"/>
  <c r="R3928" i="8" s="1"/>
  <c r="R3929" i="8" s="1"/>
  <c r="R3930" i="8" s="1"/>
  <c r="R3931" i="8" s="1"/>
  <c r="R3932" i="8" s="1"/>
  <c r="R3933" i="8" s="1"/>
  <c r="R3934" i="8" s="1"/>
  <c r="R3935" i="8" s="1"/>
  <c r="R3936" i="8" s="1"/>
  <c r="R3937" i="8" s="1"/>
  <c r="R3938" i="8" s="1"/>
  <c r="R3939" i="8" s="1"/>
  <c r="R3940" i="8" s="1"/>
  <c r="R3941" i="8" s="1"/>
  <c r="R3942" i="8" s="1"/>
  <c r="R3943" i="8" s="1"/>
  <c r="R3944" i="8" s="1"/>
  <c r="R3945" i="8" s="1"/>
  <c r="R3946" i="8" s="1"/>
  <c r="R3947" i="8" s="1"/>
  <c r="R3948" i="8" s="1"/>
  <c r="R3949" i="8" s="1"/>
  <c r="R3950" i="8" s="1"/>
  <c r="R3951" i="8" s="1"/>
  <c r="R3952" i="8" s="1"/>
  <c r="R3953" i="8" s="1"/>
  <c r="R3954" i="8" s="1"/>
  <c r="R3955" i="8" s="1"/>
  <c r="R3956" i="8" s="1"/>
  <c r="R3957" i="8" s="1"/>
  <c r="R3958" i="8" s="1"/>
  <c r="R3959" i="8" s="1"/>
  <c r="R3960" i="8" s="1"/>
  <c r="R3961" i="8" s="1"/>
  <c r="R3962" i="8" s="1"/>
  <c r="R3963" i="8" s="1"/>
  <c r="R3964" i="8" s="1"/>
  <c r="R3965" i="8" s="1"/>
  <c r="R3966" i="8" s="1"/>
  <c r="R3967" i="8" s="1"/>
  <c r="R3968" i="8" s="1"/>
  <c r="R3969" i="8" s="1"/>
  <c r="R3970" i="8" s="1"/>
  <c r="R3971" i="8" s="1"/>
  <c r="R3972" i="8" s="1"/>
  <c r="R3973" i="8" s="1"/>
  <c r="R3974" i="8" s="1"/>
  <c r="R3975" i="8" s="1"/>
  <c r="R3976" i="8" s="1"/>
  <c r="R3977" i="8" s="1"/>
  <c r="R3978" i="8" s="1"/>
  <c r="R3979" i="8" s="1"/>
  <c r="R3980" i="8" s="1"/>
  <c r="R3981" i="8" s="1"/>
  <c r="R3982" i="8" s="1"/>
  <c r="R3983" i="8" s="1"/>
  <c r="R3984" i="8" s="1"/>
  <c r="R3985" i="8" s="1"/>
  <c r="R3986" i="8" s="1"/>
  <c r="R3987" i="8" s="1"/>
  <c r="R3988" i="8" s="1"/>
  <c r="R3989" i="8" s="1"/>
  <c r="R3990" i="8" s="1"/>
  <c r="R3991" i="8" s="1"/>
  <c r="R3992" i="8" s="1"/>
  <c r="R3993" i="8" s="1"/>
  <c r="R3994" i="8" s="1"/>
  <c r="R3995" i="8" s="1"/>
  <c r="R3996" i="8" s="1"/>
  <c r="R3997" i="8" s="1"/>
  <c r="R3998" i="8" s="1"/>
  <c r="R3999" i="8" s="1"/>
  <c r="R4000" i="8" s="1"/>
  <c r="R4001" i="8" s="1"/>
  <c r="R4002" i="8" s="1"/>
  <c r="R4003" i="8" s="1"/>
  <c r="R4004" i="8" s="1"/>
  <c r="R4005" i="8" s="1"/>
  <c r="R4006" i="8" s="1"/>
  <c r="R4007" i="8" s="1"/>
  <c r="R4008" i="8" s="1"/>
  <c r="R4009" i="8" s="1"/>
  <c r="R4010" i="8" s="1"/>
  <c r="R4011" i="8" s="1"/>
  <c r="R4012" i="8" s="1"/>
  <c r="R4013" i="8" s="1"/>
  <c r="R4014" i="8" s="1"/>
  <c r="R4015" i="8" s="1"/>
  <c r="R4016" i="8" s="1"/>
  <c r="R4017" i="8" s="1"/>
  <c r="R4018" i="8" s="1"/>
  <c r="R4019" i="8" s="1"/>
  <c r="R4020" i="8" s="1"/>
  <c r="R4021" i="8" s="1"/>
  <c r="R4022" i="8" s="1"/>
  <c r="R4023" i="8" s="1"/>
  <c r="R4024" i="8" s="1"/>
  <c r="R4025" i="8" s="1"/>
  <c r="R4026" i="8" s="1"/>
  <c r="R4027" i="8" s="1"/>
  <c r="R4028" i="8" s="1"/>
  <c r="R4029" i="8" s="1"/>
  <c r="R4030" i="8" s="1"/>
  <c r="R4031" i="8" s="1"/>
  <c r="R4032" i="8" s="1"/>
  <c r="R4033" i="8" s="1"/>
  <c r="R4034" i="8" s="1"/>
  <c r="R4035" i="8" s="1"/>
  <c r="R4036" i="8" s="1"/>
  <c r="R4037" i="8" s="1"/>
  <c r="R4038" i="8" s="1"/>
  <c r="R4039" i="8" s="1"/>
  <c r="R4040" i="8" s="1"/>
  <c r="R4041" i="8" s="1"/>
  <c r="R4042" i="8" s="1"/>
  <c r="R4043" i="8" s="1"/>
  <c r="R4044" i="8" s="1"/>
  <c r="R4045" i="8" s="1"/>
  <c r="R4046" i="8" s="1"/>
  <c r="R4047" i="8" s="1"/>
  <c r="R4048" i="8" s="1"/>
  <c r="R4049" i="8" s="1"/>
  <c r="R4050" i="8" s="1"/>
  <c r="R4051" i="8" s="1"/>
  <c r="R4052" i="8" s="1"/>
  <c r="R4053" i="8" s="1"/>
  <c r="R4054" i="8" s="1"/>
  <c r="R4055" i="8" s="1"/>
  <c r="R4056" i="8" s="1"/>
  <c r="R4057" i="8" s="1"/>
  <c r="R4058" i="8" s="1"/>
  <c r="R4059" i="8" s="1"/>
  <c r="R4060" i="8" s="1"/>
  <c r="R4061" i="8" s="1"/>
  <c r="R4062" i="8" s="1"/>
  <c r="R4063" i="8" s="1"/>
  <c r="R4064" i="8" s="1"/>
  <c r="R4065" i="8" s="1"/>
  <c r="R4066" i="8" s="1"/>
  <c r="R4067" i="8" s="1"/>
  <c r="R4068" i="8" s="1"/>
  <c r="R4069" i="8" s="1"/>
  <c r="R4070" i="8" s="1"/>
  <c r="R4071" i="8" s="1"/>
  <c r="R4072" i="8" s="1"/>
  <c r="R4073" i="8" s="1"/>
  <c r="R4074" i="8" s="1"/>
  <c r="R4075" i="8" s="1"/>
  <c r="R4076" i="8" s="1"/>
  <c r="R4077" i="8" s="1"/>
  <c r="R4078" i="8" s="1"/>
  <c r="R4079" i="8" s="1"/>
  <c r="R4080" i="8" s="1"/>
  <c r="R4081" i="8" s="1"/>
  <c r="R4082" i="8" s="1"/>
  <c r="R4083" i="8" s="1"/>
  <c r="R4084" i="8" s="1"/>
  <c r="R4085" i="8" s="1"/>
  <c r="R4086" i="8" s="1"/>
  <c r="R4087" i="8" s="1"/>
  <c r="R4088" i="8" s="1"/>
  <c r="R4089" i="8" s="1"/>
  <c r="R4090" i="8" s="1"/>
  <c r="R4091" i="8" s="1"/>
  <c r="R4092" i="8" s="1"/>
  <c r="R4093" i="8" s="1"/>
  <c r="R4094" i="8" s="1"/>
  <c r="R4095" i="8" s="1"/>
  <c r="R4096" i="8" s="1"/>
  <c r="R4097" i="8" s="1"/>
  <c r="R4098" i="8" s="1"/>
  <c r="R4099" i="8" s="1"/>
  <c r="R4100" i="8" s="1"/>
  <c r="R4101" i="8" s="1"/>
  <c r="R4102" i="8" s="1"/>
  <c r="R4103" i="8" s="1"/>
  <c r="R4104" i="8" s="1"/>
  <c r="R4105" i="8" s="1"/>
  <c r="R4106" i="8" s="1"/>
  <c r="R4107" i="8" s="1"/>
  <c r="R4108" i="8" s="1"/>
  <c r="R4109" i="8" s="1"/>
  <c r="R4110" i="8" s="1"/>
  <c r="R4111" i="8" s="1"/>
  <c r="R4112" i="8" s="1"/>
  <c r="R4113" i="8" s="1"/>
  <c r="R4114" i="8" s="1"/>
  <c r="R4115" i="8" s="1"/>
  <c r="R4116" i="8" s="1"/>
  <c r="R4117" i="8" s="1"/>
  <c r="R4118" i="8" s="1"/>
  <c r="R4119" i="8" s="1"/>
  <c r="R4120" i="8" s="1"/>
  <c r="R4121" i="8" s="1"/>
  <c r="R4122" i="8" s="1"/>
  <c r="R4123" i="8" s="1"/>
  <c r="R4124" i="8" s="1"/>
  <c r="R4125" i="8" s="1"/>
  <c r="R4126" i="8" s="1"/>
  <c r="R4127" i="8" s="1"/>
  <c r="R4128" i="8" s="1"/>
  <c r="R4129" i="8" s="1"/>
  <c r="R4130" i="8" s="1"/>
  <c r="R4131" i="8" s="1"/>
  <c r="R4132" i="8" s="1"/>
  <c r="R4133" i="8" s="1"/>
  <c r="R4134" i="8" s="1"/>
  <c r="R4135" i="8" s="1"/>
  <c r="R4136" i="8" s="1"/>
  <c r="R4137" i="8" s="1"/>
  <c r="R4138" i="8" s="1"/>
  <c r="R4139" i="8" s="1"/>
  <c r="R4140" i="8" s="1"/>
  <c r="R4141" i="8" s="1"/>
  <c r="R4142" i="8" s="1"/>
  <c r="R4143" i="8" s="1"/>
  <c r="R4144" i="8" s="1"/>
  <c r="R4145" i="8" s="1"/>
  <c r="R4146" i="8" s="1"/>
  <c r="R4147" i="8" s="1"/>
  <c r="R4148" i="8" s="1"/>
  <c r="R4149" i="8" s="1"/>
  <c r="R4150" i="8" s="1"/>
  <c r="R4151" i="8" s="1"/>
  <c r="R4152" i="8" s="1"/>
  <c r="R4153" i="8" s="1"/>
  <c r="R4154" i="8" s="1"/>
  <c r="R4155" i="8" s="1"/>
  <c r="R4156" i="8" s="1"/>
  <c r="R4157" i="8" s="1"/>
  <c r="R4158" i="8" s="1"/>
  <c r="R4159" i="8" s="1"/>
  <c r="R4160" i="8" s="1"/>
  <c r="R4161" i="8" s="1"/>
  <c r="R4162" i="8" s="1"/>
  <c r="R4163" i="8" s="1"/>
  <c r="R4164" i="8" s="1"/>
  <c r="R4165" i="8" s="1"/>
  <c r="R4166" i="8" s="1"/>
  <c r="R4167" i="8" s="1"/>
  <c r="R4168" i="8" s="1"/>
  <c r="R4169" i="8" s="1"/>
  <c r="R4170" i="8" s="1"/>
  <c r="R4171" i="8" s="1"/>
  <c r="R4172" i="8" s="1"/>
  <c r="R4173" i="8" s="1"/>
  <c r="R4174" i="8" s="1"/>
  <c r="R4175" i="8" s="1"/>
  <c r="R4176" i="8" s="1"/>
  <c r="R4177" i="8" s="1"/>
  <c r="R4178" i="8" s="1"/>
  <c r="R4179" i="8" s="1"/>
  <c r="R4180" i="8" s="1"/>
  <c r="R4181" i="8" s="1"/>
  <c r="R4182" i="8" s="1"/>
  <c r="R4183" i="8" s="1"/>
  <c r="R4184" i="8" s="1"/>
  <c r="R4185" i="8" s="1"/>
  <c r="R4186" i="8" s="1"/>
  <c r="R4187" i="8" s="1"/>
  <c r="R4188" i="8" s="1"/>
  <c r="R4189" i="8" s="1"/>
  <c r="R4190" i="8" s="1"/>
  <c r="R4191" i="8" s="1"/>
  <c r="R4192" i="8" s="1"/>
  <c r="R4193" i="8" s="1"/>
  <c r="R4194" i="8" s="1"/>
  <c r="R4195" i="8" s="1"/>
  <c r="R4196" i="8" s="1"/>
  <c r="R4197" i="8" s="1"/>
  <c r="R4198" i="8" s="1"/>
  <c r="R4199" i="8" s="1"/>
  <c r="R4200" i="8" s="1"/>
  <c r="R4201" i="8" s="1"/>
  <c r="R4202" i="8" s="1"/>
  <c r="R4203" i="8" s="1"/>
  <c r="R4204" i="8" s="1"/>
  <c r="R4205" i="8" s="1"/>
  <c r="R4206" i="8" s="1"/>
  <c r="R4207" i="8" s="1"/>
  <c r="R4208" i="8" s="1"/>
  <c r="R4209" i="8" s="1"/>
  <c r="R4210" i="8" s="1"/>
  <c r="R4211" i="8" s="1"/>
  <c r="R4212" i="8" s="1"/>
  <c r="R4213" i="8" s="1"/>
  <c r="R4214" i="8" s="1"/>
  <c r="R4215" i="8" s="1"/>
  <c r="R4216" i="8" s="1"/>
  <c r="R4217" i="8" s="1"/>
  <c r="R4218" i="8" s="1"/>
  <c r="R4219" i="8" s="1"/>
  <c r="R4220" i="8" s="1"/>
  <c r="R4221" i="8" s="1"/>
  <c r="R4222" i="8" s="1"/>
  <c r="R4223" i="8" s="1"/>
  <c r="R4224" i="8" s="1"/>
  <c r="R4225" i="8" s="1"/>
  <c r="R4226" i="8" s="1"/>
  <c r="R4227" i="8" s="1"/>
  <c r="R4228" i="8" s="1"/>
  <c r="R4229" i="8" s="1"/>
  <c r="R4230" i="8" s="1"/>
  <c r="R4231" i="8" s="1"/>
  <c r="R4232" i="8" s="1"/>
  <c r="R4233" i="8" s="1"/>
  <c r="R4234" i="8" s="1"/>
  <c r="R4235" i="8" s="1"/>
  <c r="R4236" i="8" s="1"/>
  <c r="R4237" i="8" s="1"/>
  <c r="R4238" i="8" s="1"/>
  <c r="R4239" i="8" s="1"/>
  <c r="R4240" i="8" s="1"/>
  <c r="R4241" i="8" s="1"/>
  <c r="R4242" i="8" s="1"/>
  <c r="R4243" i="8" s="1"/>
  <c r="R4244" i="8" s="1"/>
  <c r="R4245" i="8" s="1"/>
  <c r="R4246" i="8" s="1"/>
  <c r="R4247" i="8" s="1"/>
  <c r="R4248" i="8" s="1"/>
  <c r="R4249" i="8" s="1"/>
  <c r="R4250" i="8" s="1"/>
  <c r="R4251" i="8" s="1"/>
  <c r="R4252" i="8" s="1"/>
  <c r="R4253" i="8" s="1"/>
  <c r="R4254" i="8" s="1"/>
  <c r="R4255" i="8" s="1"/>
  <c r="R4256" i="8" s="1"/>
  <c r="R4257" i="8" s="1"/>
  <c r="R4258" i="8" s="1"/>
  <c r="R4259" i="8" s="1"/>
  <c r="R4260" i="8" s="1"/>
  <c r="R4261" i="8" s="1"/>
  <c r="R4262" i="8" s="1"/>
  <c r="R4263" i="8" s="1"/>
  <c r="R4264" i="8" s="1"/>
  <c r="R4265" i="8" s="1"/>
  <c r="R4266" i="8" s="1"/>
  <c r="R4267" i="8" s="1"/>
  <c r="R4268" i="8" s="1"/>
  <c r="R4269" i="8" s="1"/>
  <c r="R4270" i="8" s="1"/>
  <c r="R4271" i="8" s="1"/>
  <c r="R4272" i="8" s="1"/>
  <c r="R4273" i="8" s="1"/>
  <c r="R4274" i="8" s="1"/>
  <c r="R4275" i="8" s="1"/>
  <c r="R4276" i="8" s="1"/>
  <c r="R4277" i="8" s="1"/>
  <c r="R4278" i="8" s="1"/>
  <c r="R4279" i="8" s="1"/>
  <c r="R4280" i="8" s="1"/>
  <c r="R4281" i="8" s="1"/>
  <c r="R4282" i="8" s="1"/>
  <c r="R4283" i="8" s="1"/>
  <c r="R4284" i="8" s="1"/>
  <c r="R4285" i="8" s="1"/>
  <c r="R4286" i="8" s="1"/>
  <c r="R4287" i="8" s="1"/>
  <c r="R4288" i="8" s="1"/>
  <c r="R4289" i="8" s="1"/>
  <c r="R4290" i="8" s="1"/>
  <c r="R4291" i="8" s="1"/>
  <c r="R4292" i="8" s="1"/>
  <c r="R4293" i="8" s="1"/>
  <c r="R4294" i="8" s="1"/>
  <c r="R4295" i="8" s="1"/>
  <c r="R4296" i="8" s="1"/>
  <c r="R4297" i="8" s="1"/>
  <c r="R4298" i="8" s="1"/>
  <c r="R4299" i="8" s="1"/>
  <c r="R4300" i="8" s="1"/>
  <c r="R4301" i="8" s="1"/>
  <c r="R4302" i="8" s="1"/>
  <c r="R4303" i="8" s="1"/>
  <c r="R4304" i="8" s="1"/>
  <c r="R4305" i="8" s="1"/>
  <c r="R4306" i="8" s="1"/>
  <c r="R4307" i="8" s="1"/>
  <c r="R4308" i="8" s="1"/>
  <c r="R4309" i="8" s="1"/>
  <c r="R4310" i="8" s="1"/>
  <c r="R4311" i="8" s="1"/>
  <c r="R4312" i="8" s="1"/>
  <c r="R4313" i="8" s="1"/>
  <c r="R4314" i="8" s="1"/>
  <c r="R4315" i="8" s="1"/>
  <c r="R4316" i="8" s="1"/>
  <c r="R4317" i="8" s="1"/>
  <c r="R4318" i="8" s="1"/>
  <c r="R4319" i="8" s="1"/>
  <c r="R4320" i="8" s="1"/>
  <c r="R4321" i="8" s="1"/>
  <c r="R4322" i="8" s="1"/>
  <c r="R4323" i="8" s="1"/>
  <c r="R4324" i="8" s="1"/>
  <c r="R4325" i="8" s="1"/>
  <c r="R4326" i="8" s="1"/>
  <c r="R4327" i="8" s="1"/>
  <c r="R4328" i="8" s="1"/>
  <c r="R4329" i="8" s="1"/>
  <c r="R4330" i="8" s="1"/>
  <c r="R4331" i="8" s="1"/>
  <c r="R4332" i="8" s="1"/>
  <c r="R4333" i="8" s="1"/>
  <c r="R4334" i="8" s="1"/>
  <c r="R4335" i="8" s="1"/>
  <c r="R4336" i="8" s="1"/>
  <c r="R4337" i="8" s="1"/>
  <c r="R4338" i="8" s="1"/>
  <c r="R4339" i="8" s="1"/>
  <c r="R4340" i="8" s="1"/>
  <c r="R4341" i="8" s="1"/>
  <c r="R4342" i="8" s="1"/>
  <c r="R4343" i="8" s="1"/>
  <c r="R4344" i="8" s="1"/>
  <c r="R4345" i="8" s="1"/>
  <c r="R4346" i="8" s="1"/>
  <c r="R4347" i="8" s="1"/>
  <c r="R4348" i="8" s="1"/>
  <c r="R4349" i="8" s="1"/>
  <c r="R4350" i="8" s="1"/>
  <c r="R4351" i="8" s="1"/>
  <c r="R4352" i="8" s="1"/>
  <c r="R4353" i="8" s="1"/>
  <c r="R4354" i="8" s="1"/>
  <c r="R4355" i="8" s="1"/>
  <c r="R4356" i="8" s="1"/>
  <c r="R4357" i="8" s="1"/>
  <c r="R4358" i="8" s="1"/>
  <c r="R4359" i="8" s="1"/>
  <c r="R4360" i="8" s="1"/>
  <c r="R4361" i="8" s="1"/>
  <c r="R4362" i="8" s="1"/>
  <c r="R4363" i="8" s="1"/>
  <c r="R4364" i="8" s="1"/>
  <c r="R4365" i="8" s="1"/>
  <c r="R4366" i="8" s="1"/>
  <c r="R4367" i="8" s="1"/>
  <c r="R4368" i="8" s="1"/>
  <c r="R4369" i="8" s="1"/>
  <c r="R4370" i="8" s="1"/>
  <c r="R4371" i="8" s="1"/>
  <c r="R4372" i="8" s="1"/>
  <c r="R4373" i="8" s="1"/>
  <c r="R4374" i="8" s="1"/>
  <c r="R4375" i="8" s="1"/>
  <c r="R4376" i="8" s="1"/>
  <c r="R4377" i="8" s="1"/>
  <c r="R4378" i="8" s="1"/>
  <c r="R4379" i="8" s="1"/>
  <c r="R4380" i="8" s="1"/>
  <c r="R4381" i="8" s="1"/>
  <c r="R4382" i="8" s="1"/>
  <c r="R4383" i="8" s="1"/>
  <c r="R4384" i="8" s="1"/>
  <c r="R4385" i="8" s="1"/>
  <c r="R4386" i="8" s="1"/>
  <c r="R4387" i="8" s="1"/>
  <c r="R4388" i="8" s="1"/>
  <c r="R4389" i="8" s="1"/>
  <c r="R4390" i="8" s="1"/>
  <c r="R4391" i="8" s="1"/>
  <c r="R4392" i="8" s="1"/>
  <c r="R4393" i="8" s="1"/>
  <c r="R4394" i="8" s="1"/>
  <c r="R4395" i="8" s="1"/>
  <c r="R4396" i="8" s="1"/>
  <c r="R4397" i="8" s="1"/>
  <c r="R4398" i="8" s="1"/>
  <c r="R4399" i="8" s="1"/>
  <c r="R4400" i="8" s="1"/>
  <c r="R4401" i="8" s="1"/>
  <c r="R4402" i="8" s="1"/>
  <c r="R4403" i="8" s="1"/>
  <c r="R4404" i="8" s="1"/>
  <c r="R4405" i="8" s="1"/>
  <c r="R4406" i="8" s="1"/>
  <c r="R4407" i="8" s="1"/>
  <c r="R4408" i="8" s="1"/>
  <c r="R4409" i="8" s="1"/>
  <c r="R4410" i="8" s="1"/>
  <c r="R4411" i="8" s="1"/>
  <c r="R4412" i="8" s="1"/>
  <c r="R4413" i="8" s="1"/>
  <c r="R4414" i="8" s="1"/>
  <c r="R4415" i="8" s="1"/>
  <c r="R4416" i="8" s="1"/>
  <c r="R4417" i="8" s="1"/>
  <c r="R4418" i="8" s="1"/>
  <c r="R4419" i="8" s="1"/>
  <c r="R4420" i="8" s="1"/>
  <c r="R4421" i="8" s="1"/>
  <c r="R4422" i="8" s="1"/>
  <c r="R4423" i="8" s="1"/>
  <c r="R4424" i="8" s="1"/>
  <c r="R4425" i="8" s="1"/>
  <c r="R4426" i="8" s="1"/>
  <c r="R4427" i="8" s="1"/>
  <c r="R4428" i="8" s="1"/>
  <c r="R4429" i="8" s="1"/>
  <c r="R4430" i="8" s="1"/>
  <c r="R4431" i="8" s="1"/>
  <c r="R4432" i="8" s="1"/>
  <c r="R4433" i="8" s="1"/>
  <c r="R4434" i="8" s="1"/>
  <c r="R4435" i="8" s="1"/>
  <c r="R4436" i="8" s="1"/>
  <c r="R4437" i="8" s="1"/>
  <c r="R4438" i="8" s="1"/>
  <c r="R4439" i="8" s="1"/>
  <c r="R4440" i="8" s="1"/>
  <c r="R4441" i="8" s="1"/>
  <c r="R4442" i="8" s="1"/>
  <c r="R4443" i="8" s="1"/>
  <c r="R4444" i="8" s="1"/>
  <c r="R4445" i="8" s="1"/>
  <c r="R4446" i="8" s="1"/>
  <c r="R4447" i="8" s="1"/>
  <c r="R4448" i="8" s="1"/>
  <c r="R4449" i="8" s="1"/>
  <c r="R4450" i="8" s="1"/>
  <c r="R4451" i="8" s="1"/>
  <c r="R4452" i="8" s="1"/>
  <c r="R4453" i="8" s="1"/>
  <c r="R4454" i="8" s="1"/>
  <c r="R4455" i="8" s="1"/>
  <c r="R4456" i="8" s="1"/>
  <c r="R4457" i="8" s="1"/>
  <c r="R4458" i="8" s="1"/>
  <c r="R4459" i="8" s="1"/>
  <c r="R4460" i="8" s="1"/>
  <c r="R4461" i="8" s="1"/>
  <c r="R4462" i="8" s="1"/>
  <c r="R4463" i="8" s="1"/>
  <c r="R4464" i="8" s="1"/>
  <c r="R4465" i="8" s="1"/>
  <c r="R4466" i="8" s="1"/>
  <c r="R4467" i="8" s="1"/>
  <c r="R4468" i="8" s="1"/>
  <c r="R4469" i="8" s="1"/>
  <c r="R4470" i="8" s="1"/>
  <c r="R4471" i="8" s="1"/>
  <c r="R4472" i="8" s="1"/>
  <c r="R4473" i="8" s="1"/>
  <c r="R4474" i="8" s="1"/>
  <c r="R4475" i="8" s="1"/>
  <c r="R4476" i="8" s="1"/>
  <c r="R4477" i="8" s="1"/>
  <c r="R4478" i="8" s="1"/>
  <c r="R4479" i="8" s="1"/>
  <c r="R4480" i="8" s="1"/>
  <c r="R4481" i="8" s="1"/>
  <c r="R4482" i="8" s="1"/>
  <c r="R4483" i="8" s="1"/>
  <c r="R4484" i="8" s="1"/>
  <c r="R4485" i="8" s="1"/>
  <c r="R4486" i="8" s="1"/>
  <c r="R4487" i="8" s="1"/>
  <c r="R4488" i="8" s="1"/>
  <c r="R4489" i="8" s="1"/>
  <c r="R4490" i="8" s="1"/>
  <c r="R4491" i="8" s="1"/>
  <c r="R4492" i="8" s="1"/>
  <c r="R4493" i="8" s="1"/>
  <c r="R4494" i="8" s="1"/>
  <c r="R4495" i="8" s="1"/>
  <c r="R4496" i="8" s="1"/>
  <c r="R4497" i="8" s="1"/>
  <c r="R4498" i="8" s="1"/>
  <c r="R4499" i="8" s="1"/>
  <c r="R4500" i="8" s="1"/>
  <c r="R4501" i="8" s="1"/>
  <c r="R4502" i="8" s="1"/>
  <c r="R4503" i="8" s="1"/>
  <c r="R4504" i="8" s="1"/>
  <c r="R4505" i="8" s="1"/>
  <c r="R4506" i="8" s="1"/>
  <c r="R4507" i="8" s="1"/>
  <c r="R4508" i="8" s="1"/>
  <c r="R4509" i="8" s="1"/>
  <c r="R4510" i="8" s="1"/>
  <c r="R4511" i="8" s="1"/>
  <c r="R4512" i="8" s="1"/>
  <c r="R4513" i="8" s="1"/>
  <c r="R4514" i="8" s="1"/>
  <c r="R4515" i="8" s="1"/>
  <c r="R4516" i="8" s="1"/>
  <c r="R4517" i="8" s="1"/>
  <c r="R4518" i="8" s="1"/>
  <c r="R4519" i="8" s="1"/>
  <c r="R4520" i="8" s="1"/>
  <c r="R4521" i="8" s="1"/>
  <c r="R4522" i="8" s="1"/>
  <c r="R4523" i="8" s="1"/>
  <c r="R4524" i="8" s="1"/>
  <c r="R4525" i="8" s="1"/>
  <c r="R4526" i="8" s="1"/>
  <c r="R4527" i="8" s="1"/>
  <c r="R4528" i="8" s="1"/>
  <c r="R4529" i="8" s="1"/>
  <c r="R4530" i="8" s="1"/>
  <c r="R4531" i="8" s="1"/>
  <c r="R4532" i="8" s="1"/>
  <c r="R4533" i="8" s="1"/>
  <c r="R4534" i="8" s="1"/>
  <c r="R4535" i="8" s="1"/>
  <c r="R4536" i="8" s="1"/>
  <c r="R4537" i="8" s="1"/>
  <c r="R4538" i="8" s="1"/>
  <c r="R4539" i="8" s="1"/>
  <c r="R4540" i="8" s="1"/>
  <c r="R4541" i="8" s="1"/>
  <c r="R4542" i="8" s="1"/>
  <c r="R4543" i="8" s="1"/>
  <c r="R4544" i="8" s="1"/>
  <c r="R4545" i="8" s="1"/>
  <c r="R4546" i="8" s="1"/>
  <c r="R4547" i="8" s="1"/>
  <c r="R4548" i="8" s="1"/>
  <c r="R4549" i="8" s="1"/>
  <c r="R4550" i="8" s="1"/>
  <c r="R4551" i="8" s="1"/>
  <c r="R4552" i="8" s="1"/>
  <c r="R4553" i="8" s="1"/>
  <c r="R4554" i="8" s="1"/>
  <c r="R4555" i="8" s="1"/>
  <c r="R4556" i="8" s="1"/>
  <c r="R4557" i="8" s="1"/>
  <c r="R4558" i="8" s="1"/>
  <c r="R4559" i="8" s="1"/>
  <c r="R4560" i="8" s="1"/>
  <c r="R4561" i="8" s="1"/>
  <c r="R4562" i="8" s="1"/>
  <c r="R4563" i="8" s="1"/>
  <c r="R4564" i="8" s="1"/>
  <c r="R4565" i="8" s="1"/>
  <c r="R4566" i="8" s="1"/>
  <c r="R4567" i="8" s="1"/>
  <c r="R4568" i="8" s="1"/>
  <c r="R4569" i="8" s="1"/>
  <c r="R4570" i="8" s="1"/>
  <c r="R4571" i="8" s="1"/>
  <c r="R4572" i="8" s="1"/>
  <c r="R4573" i="8" s="1"/>
  <c r="R4574" i="8" s="1"/>
  <c r="R4575" i="8" s="1"/>
  <c r="R4576" i="8" s="1"/>
  <c r="R4577" i="8" s="1"/>
  <c r="R4578" i="8" s="1"/>
  <c r="R4579" i="8" s="1"/>
  <c r="R4580" i="8" s="1"/>
  <c r="R4581" i="8" s="1"/>
  <c r="R4582" i="8" s="1"/>
  <c r="R4583" i="8" s="1"/>
  <c r="R4584" i="8" s="1"/>
  <c r="R4585" i="8" s="1"/>
  <c r="R4586" i="8" s="1"/>
  <c r="R4587" i="8" s="1"/>
  <c r="R4588" i="8" s="1"/>
  <c r="R4589" i="8" s="1"/>
  <c r="R4590" i="8" s="1"/>
  <c r="R4591" i="8" s="1"/>
  <c r="R4592" i="8" s="1"/>
  <c r="R4593" i="8" s="1"/>
  <c r="R4594" i="8" s="1"/>
  <c r="R4595" i="8" s="1"/>
  <c r="R4596" i="8" s="1"/>
  <c r="R4597" i="8" s="1"/>
  <c r="R4598" i="8" s="1"/>
  <c r="R4599" i="8" s="1"/>
  <c r="R4600" i="8" s="1"/>
  <c r="R4601" i="8" s="1"/>
  <c r="R4602" i="8" s="1"/>
  <c r="R4603" i="8" s="1"/>
  <c r="R4604" i="8" s="1"/>
  <c r="R4605" i="8" s="1"/>
  <c r="R4606" i="8" s="1"/>
  <c r="R4607" i="8" s="1"/>
  <c r="R4608" i="8" s="1"/>
  <c r="R4609" i="8" s="1"/>
  <c r="R4610" i="8" s="1"/>
  <c r="R4611" i="8" s="1"/>
  <c r="R4612" i="8" s="1"/>
  <c r="R4613" i="8" s="1"/>
  <c r="R4614" i="8" s="1"/>
  <c r="R4615" i="8" s="1"/>
  <c r="R4616" i="8" s="1"/>
  <c r="R4617" i="8" s="1"/>
  <c r="R4618" i="8" s="1"/>
  <c r="R4619" i="8" s="1"/>
  <c r="R4620" i="8" s="1"/>
  <c r="R4621" i="8" s="1"/>
  <c r="R4622" i="8" s="1"/>
  <c r="R4623" i="8" s="1"/>
  <c r="R4624" i="8" s="1"/>
  <c r="R4625" i="8" s="1"/>
  <c r="R4626" i="8" s="1"/>
  <c r="R4627" i="8" s="1"/>
  <c r="R4628" i="8" s="1"/>
  <c r="R4629" i="8" s="1"/>
  <c r="R4630" i="8" s="1"/>
  <c r="R4631" i="8" s="1"/>
  <c r="R4632" i="8" s="1"/>
  <c r="R4633" i="8" s="1"/>
  <c r="R4634" i="8" s="1"/>
  <c r="R4635" i="8" s="1"/>
  <c r="R4636" i="8" s="1"/>
  <c r="R4637" i="8" s="1"/>
  <c r="R4638" i="8" s="1"/>
  <c r="R4639" i="8" s="1"/>
  <c r="R4640" i="8" s="1"/>
  <c r="R4641" i="8" s="1"/>
  <c r="R4642" i="8" s="1"/>
  <c r="R4643" i="8" s="1"/>
  <c r="R4644" i="8" s="1"/>
  <c r="R4645" i="8" s="1"/>
  <c r="R4646" i="8" s="1"/>
  <c r="R4647" i="8" s="1"/>
  <c r="R4648" i="8" s="1"/>
  <c r="R4649" i="8" s="1"/>
  <c r="R4650" i="8" s="1"/>
  <c r="R4651" i="8" s="1"/>
  <c r="R4652" i="8" s="1"/>
  <c r="R4653" i="8" s="1"/>
  <c r="R4654" i="8" s="1"/>
  <c r="R4655" i="8" s="1"/>
  <c r="R4656" i="8" s="1"/>
  <c r="R4657" i="8" s="1"/>
  <c r="R4658" i="8" s="1"/>
  <c r="R4659" i="8" s="1"/>
  <c r="R4660" i="8" s="1"/>
  <c r="R4661" i="8" s="1"/>
  <c r="R4662" i="8" s="1"/>
  <c r="R4663" i="8" s="1"/>
  <c r="R4664" i="8" s="1"/>
  <c r="R4665" i="8" s="1"/>
  <c r="R4666" i="8" s="1"/>
  <c r="R4667" i="8" s="1"/>
  <c r="R4668" i="8" s="1"/>
  <c r="R4669" i="8" s="1"/>
  <c r="R4670" i="8" s="1"/>
  <c r="R4671" i="8" s="1"/>
  <c r="R4672" i="8" s="1"/>
  <c r="R4673" i="8" s="1"/>
  <c r="R4674" i="8" s="1"/>
  <c r="R4675" i="8" s="1"/>
  <c r="R4676" i="8" s="1"/>
  <c r="R4677" i="8" s="1"/>
  <c r="R4678" i="8" s="1"/>
  <c r="R4679" i="8" s="1"/>
  <c r="R4680" i="8" s="1"/>
  <c r="R4681" i="8" s="1"/>
  <c r="R4682" i="8" s="1"/>
  <c r="R4683" i="8" s="1"/>
  <c r="R4684" i="8" s="1"/>
  <c r="R4685" i="8" s="1"/>
  <c r="R4686" i="8" s="1"/>
  <c r="R4687" i="8" s="1"/>
  <c r="R4688" i="8" s="1"/>
  <c r="R4689" i="8" s="1"/>
  <c r="R4690" i="8" s="1"/>
  <c r="R4691" i="8" s="1"/>
  <c r="R4692" i="8" s="1"/>
  <c r="R4693" i="8" s="1"/>
  <c r="R4694" i="8" s="1"/>
  <c r="R4695" i="8" s="1"/>
  <c r="R4696" i="8" s="1"/>
  <c r="R4697" i="8" s="1"/>
  <c r="R4698" i="8" s="1"/>
  <c r="R4699" i="8" s="1"/>
  <c r="R4700" i="8" s="1"/>
  <c r="R4701" i="8" s="1"/>
  <c r="R4702" i="8" s="1"/>
  <c r="R4703" i="8" s="1"/>
  <c r="R4704" i="8" s="1"/>
  <c r="R4705" i="8" s="1"/>
  <c r="R4706" i="8" s="1"/>
  <c r="R4707" i="8" s="1"/>
  <c r="R4708" i="8" s="1"/>
  <c r="R4709" i="8" s="1"/>
  <c r="R4710" i="8" s="1"/>
  <c r="R4711" i="8" s="1"/>
  <c r="R4712" i="8" s="1"/>
  <c r="R4713" i="8" s="1"/>
  <c r="R4714" i="8" s="1"/>
  <c r="R4715" i="8" s="1"/>
  <c r="R4716" i="8" s="1"/>
  <c r="R4717" i="8" s="1"/>
  <c r="R4718" i="8" s="1"/>
  <c r="R4719" i="8" s="1"/>
  <c r="R4720" i="8" s="1"/>
  <c r="R4721" i="8" s="1"/>
  <c r="R4722" i="8" s="1"/>
  <c r="R4723" i="8" s="1"/>
  <c r="R4724" i="8" s="1"/>
  <c r="R4725" i="8" s="1"/>
  <c r="R4726" i="8" s="1"/>
  <c r="R4727" i="8" s="1"/>
  <c r="R4728" i="8" s="1"/>
  <c r="R4729" i="8" s="1"/>
  <c r="R4730" i="8" s="1"/>
  <c r="R4731" i="8" s="1"/>
  <c r="R4732" i="8" s="1"/>
  <c r="R4733" i="8" s="1"/>
  <c r="R4734" i="8" s="1"/>
  <c r="R4735" i="8" s="1"/>
  <c r="R4736" i="8" s="1"/>
  <c r="R4737" i="8" s="1"/>
  <c r="R4738" i="8" s="1"/>
  <c r="R4739" i="8" s="1"/>
  <c r="R4740" i="8" s="1"/>
  <c r="R4741" i="8" s="1"/>
  <c r="R4742" i="8" s="1"/>
  <c r="R4743" i="8" s="1"/>
  <c r="R4744" i="8" s="1"/>
  <c r="R4745" i="8" s="1"/>
  <c r="R4746" i="8" s="1"/>
  <c r="R4747" i="8" s="1"/>
  <c r="R4748" i="8" s="1"/>
  <c r="R4749" i="8" s="1"/>
  <c r="R4750" i="8" s="1"/>
  <c r="R4751" i="8" s="1"/>
  <c r="R4752" i="8" s="1"/>
  <c r="R4753" i="8" s="1"/>
  <c r="R4754" i="8" s="1"/>
  <c r="R4755" i="8" s="1"/>
  <c r="R4756" i="8" s="1"/>
  <c r="R4757" i="8" s="1"/>
  <c r="R4758" i="8" s="1"/>
  <c r="R4759" i="8" s="1"/>
  <c r="R4760" i="8" s="1"/>
  <c r="R4761" i="8" s="1"/>
  <c r="R4762" i="8" s="1"/>
  <c r="R4763" i="8" s="1"/>
  <c r="R4764" i="8" s="1"/>
  <c r="R4765" i="8" s="1"/>
  <c r="R4766" i="8" s="1"/>
  <c r="R4767" i="8" s="1"/>
  <c r="R4768" i="8" s="1"/>
  <c r="R4769" i="8" s="1"/>
  <c r="R4770" i="8" s="1"/>
  <c r="R4771" i="8" s="1"/>
  <c r="R4772" i="8" s="1"/>
  <c r="R4773" i="8" s="1"/>
  <c r="R4774" i="8" s="1"/>
  <c r="R4775" i="8" s="1"/>
  <c r="R4776" i="8" s="1"/>
  <c r="R4777" i="8" s="1"/>
  <c r="R4778" i="8" s="1"/>
  <c r="R4779" i="8" s="1"/>
  <c r="R4780" i="8" s="1"/>
  <c r="R4781" i="8" s="1"/>
  <c r="R4782" i="8" s="1"/>
  <c r="R4783" i="8" s="1"/>
  <c r="R4784" i="8" s="1"/>
  <c r="R4785" i="8" s="1"/>
  <c r="R4786" i="8" s="1"/>
  <c r="R4787" i="8" s="1"/>
  <c r="R4788" i="8" s="1"/>
  <c r="R4789" i="8" s="1"/>
  <c r="R4790" i="8" s="1"/>
  <c r="R4791" i="8" s="1"/>
  <c r="R4792" i="8" s="1"/>
  <c r="R4793" i="8" s="1"/>
  <c r="R4794" i="8" s="1"/>
  <c r="R4795" i="8" s="1"/>
  <c r="R4796" i="8" s="1"/>
  <c r="R4797" i="8" s="1"/>
  <c r="R4798" i="8" s="1"/>
  <c r="R4799" i="8" s="1"/>
  <c r="R4800" i="8" s="1"/>
  <c r="R4801" i="8" s="1"/>
  <c r="R4802" i="8" s="1"/>
  <c r="R4803" i="8" s="1"/>
  <c r="R4804" i="8" s="1"/>
  <c r="R4805" i="8" s="1"/>
  <c r="R4806" i="8" s="1"/>
  <c r="R4807" i="8" s="1"/>
  <c r="R4808" i="8" s="1"/>
  <c r="R4809" i="8" s="1"/>
  <c r="R4810" i="8" s="1"/>
  <c r="R4811" i="8" s="1"/>
  <c r="R4812" i="8" s="1"/>
  <c r="R4813" i="8" s="1"/>
  <c r="R4814" i="8" s="1"/>
  <c r="R4815" i="8" s="1"/>
  <c r="R4816" i="8" s="1"/>
  <c r="R4817" i="8" s="1"/>
  <c r="R4818" i="8" s="1"/>
  <c r="R4819" i="8" s="1"/>
  <c r="R4820" i="8" s="1"/>
  <c r="R4821" i="8" s="1"/>
  <c r="R4822" i="8" s="1"/>
  <c r="R4823" i="8" s="1"/>
  <c r="R4824" i="8" s="1"/>
  <c r="R4825" i="8" s="1"/>
  <c r="R4826" i="8" s="1"/>
  <c r="R4827" i="8" s="1"/>
  <c r="R4828" i="8" s="1"/>
  <c r="R4829" i="8" s="1"/>
  <c r="R4830" i="8" s="1"/>
  <c r="R4831" i="8" s="1"/>
  <c r="R4832" i="8" s="1"/>
  <c r="R4833" i="8" s="1"/>
  <c r="R4834" i="8" s="1"/>
  <c r="R4835" i="8" s="1"/>
  <c r="R4836" i="8" s="1"/>
  <c r="R4837" i="8" s="1"/>
  <c r="R4838" i="8" s="1"/>
  <c r="R4839" i="8" s="1"/>
  <c r="R4840" i="8" s="1"/>
  <c r="R4841" i="8" s="1"/>
  <c r="R4842" i="8" s="1"/>
  <c r="R4843" i="8" s="1"/>
  <c r="R4844" i="8" s="1"/>
  <c r="R4845" i="8" s="1"/>
  <c r="R4846" i="8" s="1"/>
  <c r="R4847" i="8" s="1"/>
  <c r="R4848" i="8" s="1"/>
  <c r="R4849" i="8" s="1"/>
  <c r="R4850" i="8" s="1"/>
  <c r="R4851" i="8" s="1"/>
  <c r="R4852" i="8" s="1"/>
  <c r="R4853" i="8" s="1"/>
  <c r="R4854" i="8" s="1"/>
  <c r="R4855" i="8" s="1"/>
  <c r="R4856" i="8" s="1"/>
  <c r="R4857" i="8" s="1"/>
  <c r="R4858" i="8" s="1"/>
  <c r="R4859" i="8" s="1"/>
  <c r="R4860" i="8" s="1"/>
  <c r="R4861" i="8" s="1"/>
  <c r="R4862" i="8" s="1"/>
  <c r="R4863" i="8" s="1"/>
  <c r="R4864" i="8" s="1"/>
  <c r="R4865" i="8" s="1"/>
  <c r="R4866" i="8" s="1"/>
  <c r="R4867" i="8" s="1"/>
  <c r="R4868" i="8" s="1"/>
  <c r="R4869" i="8" s="1"/>
  <c r="R4870" i="8" s="1"/>
  <c r="R4871" i="8" s="1"/>
  <c r="R4872" i="8" s="1"/>
  <c r="R4873" i="8" s="1"/>
  <c r="R4874" i="8" s="1"/>
  <c r="R4875" i="8" s="1"/>
  <c r="R4876" i="8" s="1"/>
  <c r="R4877" i="8" s="1"/>
  <c r="R4878" i="8" s="1"/>
  <c r="R4879" i="8" s="1"/>
  <c r="R4880" i="8" s="1"/>
  <c r="R4881" i="8" s="1"/>
  <c r="R4882" i="8" s="1"/>
  <c r="R4883" i="8" s="1"/>
  <c r="R4884" i="8" s="1"/>
  <c r="R4885" i="8" s="1"/>
  <c r="R4886" i="8" s="1"/>
  <c r="R4887" i="8" s="1"/>
  <c r="R4888" i="8" s="1"/>
  <c r="R4889" i="8" s="1"/>
  <c r="R4890" i="8" s="1"/>
  <c r="R4891" i="8" s="1"/>
  <c r="R4892" i="8" s="1"/>
  <c r="R4893" i="8" s="1"/>
  <c r="R4894" i="8" s="1"/>
  <c r="R4895" i="8" s="1"/>
  <c r="R4896" i="8" s="1"/>
  <c r="R4897" i="8" s="1"/>
  <c r="R4898" i="8" s="1"/>
  <c r="R4899" i="8" s="1"/>
  <c r="R4900" i="8" s="1"/>
  <c r="R4901" i="8" s="1"/>
  <c r="R4902" i="8" s="1"/>
  <c r="R4903" i="8" s="1"/>
  <c r="R4904" i="8" s="1"/>
  <c r="R4905" i="8" s="1"/>
  <c r="R4906" i="8" s="1"/>
  <c r="R4907" i="8" s="1"/>
  <c r="R4908" i="8" s="1"/>
  <c r="R4909" i="8" s="1"/>
  <c r="R4910" i="8" s="1"/>
  <c r="R4911" i="8" s="1"/>
  <c r="R4912" i="8" s="1"/>
  <c r="R4913" i="8" s="1"/>
  <c r="R4914" i="8" s="1"/>
  <c r="R4915" i="8" s="1"/>
  <c r="R4916" i="8" s="1"/>
  <c r="R4917" i="8" s="1"/>
  <c r="R4918" i="8" s="1"/>
  <c r="R4919" i="8" s="1"/>
  <c r="R4920" i="8" s="1"/>
  <c r="R4921" i="8" s="1"/>
  <c r="R4922" i="8" s="1"/>
  <c r="R4923" i="8" s="1"/>
  <c r="R4924" i="8" s="1"/>
  <c r="R4925" i="8" s="1"/>
  <c r="R4926" i="8" s="1"/>
  <c r="R4927" i="8" s="1"/>
  <c r="R4928" i="8" s="1"/>
  <c r="R4929" i="8" s="1"/>
  <c r="R4930" i="8" s="1"/>
  <c r="R4931" i="8" s="1"/>
  <c r="R4932" i="8" s="1"/>
  <c r="R4933" i="8" s="1"/>
  <c r="R4934" i="8" s="1"/>
  <c r="R4935" i="8" s="1"/>
  <c r="R4936" i="8" s="1"/>
  <c r="R4937" i="8" s="1"/>
  <c r="R4938" i="8" s="1"/>
  <c r="R4939" i="8" s="1"/>
  <c r="R4940" i="8" s="1"/>
  <c r="R4941" i="8" s="1"/>
  <c r="R4942" i="8" s="1"/>
  <c r="R4943" i="8" s="1"/>
  <c r="R4944" i="8" s="1"/>
  <c r="R4945" i="8" s="1"/>
  <c r="R4946" i="8" s="1"/>
  <c r="R4947" i="8" s="1"/>
  <c r="R4948" i="8" s="1"/>
  <c r="R4949" i="8" s="1"/>
  <c r="R4950" i="8" s="1"/>
  <c r="R4951" i="8" s="1"/>
  <c r="R4952" i="8" s="1"/>
  <c r="R4953" i="8" s="1"/>
  <c r="R4954" i="8" s="1"/>
  <c r="R4955" i="8" s="1"/>
  <c r="R4956" i="8" s="1"/>
  <c r="R4957" i="8" s="1"/>
  <c r="R4958" i="8" s="1"/>
  <c r="R4959" i="8" s="1"/>
  <c r="R4960" i="8" s="1"/>
  <c r="R4961" i="8" s="1"/>
  <c r="R4962" i="8" s="1"/>
  <c r="R4963" i="8" s="1"/>
  <c r="R4964" i="8" s="1"/>
  <c r="R4965" i="8" s="1"/>
  <c r="R4966" i="8" s="1"/>
  <c r="R4967" i="8" s="1"/>
  <c r="R4968" i="8" s="1"/>
  <c r="R4969" i="8" s="1"/>
  <c r="R4970" i="8" s="1"/>
  <c r="R4971" i="8" s="1"/>
  <c r="R4972" i="8" s="1"/>
  <c r="R4973" i="8" s="1"/>
  <c r="R4974" i="8" s="1"/>
  <c r="R4975" i="8" s="1"/>
  <c r="R4976" i="8" s="1"/>
  <c r="R4977" i="8" s="1"/>
  <c r="R4978" i="8" s="1"/>
  <c r="R4979" i="8" s="1"/>
  <c r="R4980" i="8" s="1"/>
  <c r="R4981" i="8" s="1"/>
  <c r="R4982" i="8" s="1"/>
  <c r="R4983" i="8" s="1"/>
  <c r="R4984" i="8" s="1"/>
  <c r="R4985" i="8" s="1"/>
  <c r="R4986" i="8" s="1"/>
  <c r="R4987" i="8" s="1"/>
  <c r="R4988" i="8" s="1"/>
  <c r="R4989" i="8" s="1"/>
  <c r="R4990" i="8" s="1"/>
  <c r="R4991" i="8" s="1"/>
  <c r="R4992" i="8" s="1"/>
  <c r="R4993" i="8" s="1"/>
  <c r="R4994" i="8" s="1"/>
  <c r="R4995" i="8" s="1"/>
  <c r="R4996" i="8" s="1"/>
  <c r="R4997" i="8" s="1"/>
  <c r="R4998" i="8" s="1"/>
  <c r="R4999" i="8" s="1"/>
  <c r="R5000" i="8" s="1"/>
  <c r="R5001" i="8" s="1"/>
  <c r="R5002" i="8" s="1"/>
  <c r="R5003" i="8" s="1"/>
  <c r="R5004" i="8" s="1"/>
  <c r="R5005" i="8" s="1"/>
  <c r="R5006" i="8" s="1"/>
  <c r="R5007" i="8" s="1"/>
  <c r="R5008" i="8" s="1"/>
  <c r="R5009" i="8" s="1"/>
  <c r="R5010" i="8" s="1"/>
  <c r="R5011" i="8" s="1"/>
  <c r="R5012" i="8" s="1"/>
  <c r="R5013" i="8" s="1"/>
  <c r="R5014" i="8" s="1"/>
  <c r="R5015" i="8" s="1"/>
  <c r="R5016" i="8" s="1"/>
  <c r="R5017" i="8" s="1"/>
  <c r="R5018" i="8" s="1"/>
  <c r="R5019" i="8" s="1"/>
  <c r="R5020" i="8" s="1"/>
  <c r="R5021" i="8" s="1"/>
  <c r="R5022" i="8" s="1"/>
  <c r="R5023" i="8" s="1"/>
  <c r="R5024" i="8" s="1"/>
  <c r="R5025" i="8" s="1"/>
  <c r="R5026" i="8" s="1"/>
  <c r="R5027" i="8" s="1"/>
  <c r="R5028" i="8" s="1"/>
  <c r="R5029" i="8" s="1"/>
  <c r="R5030" i="8" s="1"/>
  <c r="R5031" i="8" s="1"/>
  <c r="R5032" i="8" s="1"/>
  <c r="R5033" i="8" s="1"/>
  <c r="R5034" i="8" s="1"/>
  <c r="R5035" i="8" s="1"/>
  <c r="R5036" i="8" s="1"/>
  <c r="R5037" i="8" s="1"/>
  <c r="R5038" i="8" s="1"/>
  <c r="R5039" i="8" s="1"/>
  <c r="R5040" i="8" s="1"/>
  <c r="R5041" i="8" s="1"/>
  <c r="R5042" i="8" s="1"/>
  <c r="R5043" i="8" s="1"/>
  <c r="R5044" i="8" s="1"/>
  <c r="R5045" i="8" s="1"/>
  <c r="R5046" i="8" s="1"/>
  <c r="R5047" i="8" s="1"/>
  <c r="R5048" i="8" s="1"/>
  <c r="R5049" i="8" s="1"/>
  <c r="R5050" i="8" s="1"/>
  <c r="R5051" i="8" s="1"/>
  <c r="R5052" i="8" s="1"/>
  <c r="R5053" i="8" s="1"/>
  <c r="R5054" i="8" s="1"/>
  <c r="R5055" i="8" s="1"/>
  <c r="R5056" i="8" s="1"/>
  <c r="R5057" i="8" s="1"/>
  <c r="R5058" i="8" s="1"/>
  <c r="R5059" i="8" s="1"/>
  <c r="R5060" i="8" s="1"/>
  <c r="R5061" i="8" s="1"/>
  <c r="R5062" i="8" s="1"/>
  <c r="R5063" i="8" s="1"/>
  <c r="R5064" i="8" s="1"/>
  <c r="R5065" i="8" s="1"/>
  <c r="R5066" i="8" s="1"/>
  <c r="R5067" i="8" s="1"/>
  <c r="R5068" i="8" s="1"/>
  <c r="R5069" i="8" s="1"/>
  <c r="R5070" i="8" s="1"/>
  <c r="R5071" i="8" s="1"/>
  <c r="R5072" i="8" s="1"/>
  <c r="R5073" i="8" s="1"/>
  <c r="R5074" i="8" s="1"/>
  <c r="R5075" i="8" s="1"/>
  <c r="R5076" i="8" s="1"/>
  <c r="R5077" i="8" s="1"/>
  <c r="R5078" i="8" s="1"/>
  <c r="R5079" i="8" s="1"/>
  <c r="R5080" i="8" s="1"/>
  <c r="R5081" i="8" s="1"/>
  <c r="R5082" i="8" s="1"/>
  <c r="R5083" i="8" s="1"/>
  <c r="R5084" i="8" s="1"/>
  <c r="R5085" i="8" s="1"/>
  <c r="R5086" i="8" s="1"/>
  <c r="R5087" i="8" s="1"/>
  <c r="R5088" i="8" s="1"/>
  <c r="R5089" i="8" s="1"/>
  <c r="R5090" i="8" s="1"/>
  <c r="R5091" i="8" s="1"/>
  <c r="R5092" i="8" s="1"/>
  <c r="R5093" i="8" s="1"/>
  <c r="R5094" i="8" s="1"/>
  <c r="R5095" i="8" s="1"/>
  <c r="R5096" i="8" s="1"/>
  <c r="R5097" i="8" s="1"/>
  <c r="R5098" i="8" s="1"/>
  <c r="R5099" i="8" s="1"/>
  <c r="R5100" i="8" s="1"/>
  <c r="R5101" i="8" s="1"/>
  <c r="R5102" i="8" s="1"/>
  <c r="R5103" i="8" s="1"/>
  <c r="R5104" i="8" s="1"/>
  <c r="R5105" i="8" s="1"/>
  <c r="R5106" i="8" s="1"/>
  <c r="R5107" i="8" s="1"/>
  <c r="R5108" i="8" s="1"/>
  <c r="R5109" i="8" s="1"/>
  <c r="R5110" i="8" s="1"/>
  <c r="R5111" i="8" s="1"/>
  <c r="R5112" i="8" s="1"/>
  <c r="R5113" i="8" s="1"/>
  <c r="R5114" i="8" s="1"/>
  <c r="R5115" i="8" s="1"/>
  <c r="R5116" i="8" s="1"/>
  <c r="R5117" i="8" s="1"/>
  <c r="R5118" i="8" s="1"/>
  <c r="R5119" i="8" s="1"/>
  <c r="R5120" i="8" s="1"/>
  <c r="R5121" i="8" s="1"/>
  <c r="R5122" i="8" s="1"/>
  <c r="R5123" i="8" s="1"/>
  <c r="R5124" i="8" s="1"/>
  <c r="R5125" i="8" s="1"/>
  <c r="R5126" i="8" s="1"/>
  <c r="R5127" i="8" s="1"/>
  <c r="R5128" i="8" s="1"/>
  <c r="R5129" i="8" s="1"/>
  <c r="R5130" i="8" s="1"/>
  <c r="R5131" i="8" s="1"/>
  <c r="R5132" i="8" s="1"/>
  <c r="R5133" i="8" s="1"/>
  <c r="R5134" i="8" s="1"/>
  <c r="R5135" i="8" s="1"/>
  <c r="R5136" i="8" s="1"/>
  <c r="R5137" i="8" s="1"/>
  <c r="R5138" i="8" s="1"/>
  <c r="R5139" i="8" s="1"/>
  <c r="R5140" i="8" s="1"/>
  <c r="R5141" i="8" s="1"/>
  <c r="R5142" i="8" s="1"/>
  <c r="R5143" i="8" s="1"/>
  <c r="R5144" i="8" s="1"/>
  <c r="R5145" i="8" s="1"/>
  <c r="R5146" i="8" s="1"/>
  <c r="R5147" i="8" s="1"/>
  <c r="R5148" i="8" s="1"/>
  <c r="R5149" i="8" s="1"/>
  <c r="R5150" i="8" s="1"/>
  <c r="R5151" i="8" s="1"/>
  <c r="R5152" i="8" s="1"/>
  <c r="R5153" i="8" s="1"/>
  <c r="R5154" i="8" s="1"/>
  <c r="R5155" i="8" s="1"/>
  <c r="R5156" i="8" s="1"/>
  <c r="R5157" i="8" s="1"/>
  <c r="R5158" i="8" s="1"/>
  <c r="R5159" i="8" s="1"/>
  <c r="R5160" i="8" s="1"/>
  <c r="R5161" i="8" s="1"/>
  <c r="R5162" i="8" s="1"/>
  <c r="R5163" i="8" s="1"/>
  <c r="R5164" i="8" s="1"/>
  <c r="R5165" i="8" s="1"/>
  <c r="R5166" i="8" s="1"/>
  <c r="R5167" i="8" s="1"/>
  <c r="R5168" i="8" s="1"/>
  <c r="R5169" i="8" s="1"/>
  <c r="R5170" i="8" s="1"/>
  <c r="R5171" i="8" s="1"/>
  <c r="R5172" i="8" s="1"/>
  <c r="R5173" i="8" s="1"/>
  <c r="R5174" i="8" s="1"/>
  <c r="R5175" i="8" s="1"/>
  <c r="R5176" i="8" s="1"/>
  <c r="R5177" i="8" s="1"/>
  <c r="R5178" i="8" s="1"/>
  <c r="R5179" i="8" s="1"/>
  <c r="R5180" i="8" s="1"/>
  <c r="R5181" i="8" s="1"/>
  <c r="R5182" i="8" s="1"/>
  <c r="R5183" i="8" s="1"/>
  <c r="R5184" i="8" s="1"/>
  <c r="R5185" i="8" s="1"/>
  <c r="R5186" i="8" s="1"/>
  <c r="R5187" i="8" s="1"/>
  <c r="R5188" i="8" s="1"/>
  <c r="R5189" i="8" s="1"/>
  <c r="R5190" i="8" s="1"/>
  <c r="R5191" i="8" s="1"/>
  <c r="R5192" i="8" s="1"/>
  <c r="R5193" i="8" s="1"/>
  <c r="R5194" i="8" s="1"/>
  <c r="R5195" i="8" s="1"/>
  <c r="R5196" i="8" s="1"/>
  <c r="R5197" i="8" s="1"/>
  <c r="R5198" i="8" s="1"/>
  <c r="R5199" i="8" s="1"/>
  <c r="R5200" i="8" s="1"/>
  <c r="R5201" i="8" s="1"/>
  <c r="R5202" i="8" s="1"/>
  <c r="R5203" i="8" s="1"/>
  <c r="R5204" i="8" s="1"/>
  <c r="R5205" i="8" s="1"/>
  <c r="R5206" i="8" s="1"/>
  <c r="R5207" i="8" s="1"/>
  <c r="R5208" i="8" s="1"/>
  <c r="R5209" i="8" s="1"/>
  <c r="R5210" i="8" s="1"/>
  <c r="R5211" i="8" s="1"/>
  <c r="R5212" i="8" s="1"/>
  <c r="R5213" i="8" s="1"/>
  <c r="R5214" i="8" s="1"/>
  <c r="R5215" i="8" s="1"/>
  <c r="R5216" i="8" s="1"/>
  <c r="R5217" i="8" s="1"/>
  <c r="R5218" i="8" s="1"/>
  <c r="R5219" i="8" s="1"/>
  <c r="R5220" i="8" s="1"/>
  <c r="R5221" i="8" s="1"/>
  <c r="R5222" i="8" s="1"/>
  <c r="R5223" i="8" s="1"/>
  <c r="R5224" i="8" s="1"/>
  <c r="R5225" i="8" s="1"/>
  <c r="R5226" i="8" s="1"/>
  <c r="R5227" i="8" s="1"/>
  <c r="R5228" i="8" s="1"/>
  <c r="R5229" i="8" s="1"/>
  <c r="R5230" i="8" s="1"/>
  <c r="R5231" i="8" s="1"/>
  <c r="R5232" i="8" s="1"/>
  <c r="R5233" i="8" s="1"/>
  <c r="R5234" i="8" s="1"/>
  <c r="R5235" i="8" s="1"/>
  <c r="R5236" i="8" s="1"/>
  <c r="R5237" i="8" s="1"/>
  <c r="R5238" i="8" s="1"/>
  <c r="R5239" i="8" s="1"/>
  <c r="R5240" i="8" s="1"/>
  <c r="R5241" i="8" s="1"/>
  <c r="R5242" i="8" s="1"/>
  <c r="R5243" i="8" s="1"/>
  <c r="R5244" i="8" s="1"/>
  <c r="R5245" i="8" s="1"/>
  <c r="R5246" i="8" s="1"/>
  <c r="R5247" i="8" s="1"/>
  <c r="R5248" i="8" s="1"/>
  <c r="R5249" i="8" s="1"/>
  <c r="R5250" i="8" s="1"/>
  <c r="R5251" i="8" s="1"/>
  <c r="R5252" i="8" s="1"/>
  <c r="R5253" i="8" s="1"/>
  <c r="R5254" i="8" s="1"/>
  <c r="R5255" i="8" s="1"/>
  <c r="R5256" i="8" s="1"/>
  <c r="R5257" i="8" s="1"/>
  <c r="R5258" i="8" s="1"/>
  <c r="R5259" i="8" s="1"/>
  <c r="R5260" i="8" s="1"/>
  <c r="R5261" i="8" s="1"/>
  <c r="R5262" i="8" s="1"/>
  <c r="R5263" i="8" s="1"/>
  <c r="R5264" i="8" s="1"/>
  <c r="R5265" i="8" s="1"/>
  <c r="R5266" i="8" s="1"/>
  <c r="R5267" i="8" s="1"/>
  <c r="R5268" i="8" s="1"/>
  <c r="R5269" i="8" s="1"/>
  <c r="R5270" i="8" s="1"/>
  <c r="R5271" i="8" s="1"/>
  <c r="R5272" i="8" s="1"/>
  <c r="R5273" i="8" s="1"/>
  <c r="R5274" i="8" s="1"/>
  <c r="R5275" i="8" s="1"/>
  <c r="R5276" i="8" s="1"/>
  <c r="R5277" i="8" s="1"/>
  <c r="R5278" i="8" s="1"/>
  <c r="R5279" i="8" s="1"/>
  <c r="R5280" i="8" s="1"/>
  <c r="R5281" i="8" s="1"/>
  <c r="R5282" i="8" s="1"/>
  <c r="R5283" i="8" s="1"/>
  <c r="R5284" i="8" s="1"/>
  <c r="R5285" i="8" s="1"/>
  <c r="R5286" i="8" s="1"/>
  <c r="R5287" i="8" s="1"/>
  <c r="R5288" i="8" s="1"/>
  <c r="R5289" i="8" s="1"/>
  <c r="R5290" i="8" s="1"/>
  <c r="R5291" i="8" s="1"/>
  <c r="R5292" i="8" s="1"/>
  <c r="R5293" i="8" s="1"/>
  <c r="R5294" i="8" s="1"/>
  <c r="R5295" i="8" s="1"/>
  <c r="R5296" i="8" s="1"/>
  <c r="R5297" i="8" s="1"/>
  <c r="R5298" i="8" s="1"/>
  <c r="R5299" i="8" s="1"/>
  <c r="R5300" i="8" s="1"/>
  <c r="R5301" i="8" s="1"/>
  <c r="R5302" i="8" s="1"/>
  <c r="R5303" i="8" s="1"/>
  <c r="R5304" i="8" s="1"/>
  <c r="R5305" i="8" s="1"/>
  <c r="R5306" i="8" s="1"/>
  <c r="R5307" i="8" s="1"/>
  <c r="R5308" i="8" s="1"/>
  <c r="R5309" i="8" s="1"/>
  <c r="R5310" i="8" s="1"/>
  <c r="R5311" i="8" s="1"/>
  <c r="R5312" i="8" s="1"/>
  <c r="R5313" i="8" s="1"/>
  <c r="R5314" i="8" s="1"/>
  <c r="R5315" i="8" s="1"/>
  <c r="R5316" i="8" s="1"/>
  <c r="R5317" i="8" s="1"/>
  <c r="R5318" i="8" s="1"/>
  <c r="R5319" i="8" s="1"/>
  <c r="R5320" i="8" s="1"/>
  <c r="R5321" i="8" s="1"/>
  <c r="R5322" i="8" s="1"/>
  <c r="R5323" i="8" s="1"/>
  <c r="R5324" i="8" s="1"/>
  <c r="R5325" i="8" s="1"/>
  <c r="R5326" i="8" s="1"/>
  <c r="R5327" i="8" s="1"/>
  <c r="R5328" i="8" s="1"/>
  <c r="R5329" i="8" s="1"/>
  <c r="R5330" i="8" s="1"/>
  <c r="R5331" i="8" s="1"/>
  <c r="R5332" i="8" s="1"/>
  <c r="R5333" i="8" s="1"/>
  <c r="R5334" i="8" s="1"/>
  <c r="R5335" i="8" s="1"/>
  <c r="R5336" i="8" s="1"/>
  <c r="R5337" i="8" s="1"/>
  <c r="R5338" i="8" s="1"/>
  <c r="R5339" i="8" s="1"/>
  <c r="R5340" i="8" s="1"/>
  <c r="R5341" i="8" s="1"/>
  <c r="R5342" i="8" s="1"/>
  <c r="R5343" i="8" s="1"/>
  <c r="R5344" i="8" s="1"/>
  <c r="R5345" i="8" s="1"/>
  <c r="R5346" i="8" s="1"/>
  <c r="R5347" i="8" s="1"/>
  <c r="R5348" i="8" s="1"/>
  <c r="R5349" i="8" s="1"/>
  <c r="R5350" i="8" s="1"/>
  <c r="R5351" i="8" s="1"/>
  <c r="R5352" i="8" s="1"/>
  <c r="R5353" i="8" s="1"/>
  <c r="R5354" i="8" s="1"/>
  <c r="R5355" i="8" s="1"/>
  <c r="R5356" i="8" s="1"/>
  <c r="R5357" i="8" s="1"/>
  <c r="R5358" i="8" s="1"/>
  <c r="R5359" i="8" s="1"/>
  <c r="R5360" i="8" s="1"/>
  <c r="R5361" i="8" s="1"/>
  <c r="R5362" i="8" s="1"/>
  <c r="R5363" i="8" s="1"/>
  <c r="R5364" i="8" s="1"/>
  <c r="R5365" i="8" s="1"/>
  <c r="R5366" i="8" s="1"/>
  <c r="R5367" i="8" s="1"/>
  <c r="R5368" i="8" s="1"/>
  <c r="R5369" i="8" s="1"/>
  <c r="R5370" i="8" s="1"/>
  <c r="R5371" i="8" s="1"/>
  <c r="R5372" i="8" s="1"/>
  <c r="R5373" i="8" s="1"/>
  <c r="R5374" i="8" s="1"/>
  <c r="R5375" i="8" s="1"/>
  <c r="R5376" i="8" s="1"/>
  <c r="R5377" i="8" s="1"/>
  <c r="R5378" i="8" s="1"/>
  <c r="R5379" i="8" s="1"/>
  <c r="R5380" i="8" s="1"/>
  <c r="R5381" i="8" s="1"/>
  <c r="R5382" i="8" s="1"/>
  <c r="R5383" i="8" s="1"/>
  <c r="R5384" i="8" s="1"/>
  <c r="R5385" i="8" s="1"/>
  <c r="R5386" i="8" s="1"/>
  <c r="R5387" i="8" s="1"/>
  <c r="R5388" i="8" s="1"/>
  <c r="R5389" i="8" s="1"/>
  <c r="R5390" i="8" s="1"/>
  <c r="R5391" i="8" s="1"/>
  <c r="R5392" i="8" s="1"/>
  <c r="R5393" i="8" s="1"/>
  <c r="R5394" i="8" s="1"/>
  <c r="R5395" i="8" s="1"/>
  <c r="R5396" i="8" s="1"/>
  <c r="R5397" i="8" s="1"/>
  <c r="R5398" i="8" s="1"/>
  <c r="R5399" i="8" s="1"/>
  <c r="R5400" i="8" s="1"/>
  <c r="R5401" i="8" s="1"/>
  <c r="R5402" i="8" s="1"/>
  <c r="R5403" i="8" s="1"/>
  <c r="R5404" i="8" s="1"/>
  <c r="R5405" i="8" s="1"/>
  <c r="R5406" i="8" s="1"/>
  <c r="R5407" i="8" s="1"/>
  <c r="R5408" i="8" s="1"/>
  <c r="R5409" i="8" s="1"/>
  <c r="R5410" i="8" s="1"/>
  <c r="R5411" i="8" s="1"/>
  <c r="R5412" i="8" s="1"/>
  <c r="R5413" i="8" s="1"/>
  <c r="R5414" i="8" s="1"/>
  <c r="R5415" i="8" s="1"/>
  <c r="R5416" i="8" s="1"/>
  <c r="R5417" i="8" s="1"/>
  <c r="R5418" i="8" s="1"/>
  <c r="R5419" i="8" s="1"/>
  <c r="R5420" i="8" s="1"/>
  <c r="R5421" i="8" s="1"/>
  <c r="R5422" i="8" s="1"/>
  <c r="R5423" i="8" s="1"/>
  <c r="R5424" i="8" s="1"/>
  <c r="R5425" i="8" s="1"/>
  <c r="R5426" i="8" s="1"/>
  <c r="R5427" i="8" s="1"/>
  <c r="R5428" i="8" s="1"/>
  <c r="R5429" i="8" s="1"/>
  <c r="R5430" i="8" s="1"/>
  <c r="R5431" i="8" s="1"/>
  <c r="R5432" i="8" s="1"/>
  <c r="R5433" i="8" s="1"/>
  <c r="R5434" i="8" s="1"/>
  <c r="R5435" i="8" s="1"/>
  <c r="R5436" i="8" s="1"/>
  <c r="R5437" i="8" s="1"/>
  <c r="R5438" i="8" s="1"/>
  <c r="R5439" i="8" s="1"/>
  <c r="R5440" i="8" s="1"/>
  <c r="R5441" i="8" s="1"/>
  <c r="R5442" i="8" s="1"/>
  <c r="R5443" i="8" s="1"/>
  <c r="R5444" i="8" s="1"/>
  <c r="R5445" i="8" s="1"/>
  <c r="R5446" i="8" s="1"/>
  <c r="R5447" i="8" s="1"/>
  <c r="R5448" i="8" s="1"/>
  <c r="R5449" i="8" s="1"/>
  <c r="R5450" i="8" s="1"/>
  <c r="R5451" i="8" s="1"/>
  <c r="R5452" i="8" s="1"/>
  <c r="R5453" i="8" s="1"/>
  <c r="R5454" i="8" s="1"/>
  <c r="R5455" i="8" s="1"/>
  <c r="R5456" i="8" s="1"/>
  <c r="R5457" i="8" s="1"/>
  <c r="R5458" i="8" s="1"/>
  <c r="R5459" i="8" s="1"/>
  <c r="R5460" i="8" s="1"/>
  <c r="R5461" i="8" s="1"/>
  <c r="R5462" i="8" s="1"/>
  <c r="R5463" i="8" s="1"/>
  <c r="R5464" i="8" s="1"/>
  <c r="R5465" i="8" s="1"/>
  <c r="R5466" i="8" s="1"/>
  <c r="R5467" i="8" s="1"/>
  <c r="R5468" i="8" s="1"/>
  <c r="R5469" i="8" s="1"/>
  <c r="R5470" i="8" s="1"/>
  <c r="R5471" i="8" s="1"/>
  <c r="R5472" i="8" s="1"/>
  <c r="R5473" i="8" s="1"/>
  <c r="R5474" i="8" s="1"/>
  <c r="R5475" i="8" s="1"/>
  <c r="R5476" i="8" s="1"/>
  <c r="R5477" i="8" s="1"/>
  <c r="R5478" i="8" s="1"/>
  <c r="R5479" i="8" s="1"/>
  <c r="R5480" i="8" s="1"/>
  <c r="R5481" i="8" s="1"/>
  <c r="R5482" i="8" s="1"/>
  <c r="R5483" i="8" s="1"/>
  <c r="R5484" i="8" s="1"/>
  <c r="R5485" i="8" s="1"/>
  <c r="R5486" i="8" s="1"/>
  <c r="R5487" i="8" s="1"/>
  <c r="R5488" i="8" s="1"/>
  <c r="R5489" i="8" s="1"/>
  <c r="R5490" i="8" s="1"/>
  <c r="R5491" i="8" s="1"/>
  <c r="R5492" i="8" s="1"/>
  <c r="R5493" i="8" s="1"/>
  <c r="R5494" i="8" s="1"/>
  <c r="R5495" i="8" s="1"/>
  <c r="R5496" i="8" s="1"/>
  <c r="R5497" i="8" s="1"/>
  <c r="R5498" i="8" s="1"/>
  <c r="R5499" i="8" s="1"/>
  <c r="R5500" i="8" s="1"/>
  <c r="R5501" i="8" s="1"/>
  <c r="R5502" i="8" s="1"/>
  <c r="R5503" i="8" s="1"/>
  <c r="R5504" i="8" s="1"/>
  <c r="R5505" i="8" s="1"/>
  <c r="R5506" i="8" s="1"/>
  <c r="R5507" i="8" s="1"/>
  <c r="R5508" i="8" s="1"/>
  <c r="R5509" i="8" s="1"/>
  <c r="R5510" i="8" s="1"/>
  <c r="R5511" i="8" s="1"/>
  <c r="R5512" i="8" s="1"/>
  <c r="R5513" i="8" s="1"/>
  <c r="R5514" i="8" s="1"/>
  <c r="R5515" i="8" s="1"/>
  <c r="R5516" i="8" s="1"/>
  <c r="R5517" i="8" s="1"/>
  <c r="R5518" i="8" s="1"/>
  <c r="R5519" i="8" s="1"/>
  <c r="R5520" i="8" s="1"/>
  <c r="R5521" i="8" s="1"/>
  <c r="R5522" i="8" s="1"/>
  <c r="R5523" i="8" s="1"/>
  <c r="R5524" i="8" s="1"/>
  <c r="R5525" i="8" s="1"/>
  <c r="R5526" i="8" s="1"/>
  <c r="R5527" i="8" s="1"/>
  <c r="R5528" i="8" s="1"/>
  <c r="R5529" i="8" s="1"/>
  <c r="R5530" i="8" s="1"/>
  <c r="R5531" i="8" s="1"/>
  <c r="R5532" i="8" s="1"/>
  <c r="R5533" i="8" s="1"/>
  <c r="R5534" i="8" s="1"/>
  <c r="R5535" i="8" s="1"/>
  <c r="R5536" i="8" s="1"/>
  <c r="R5537" i="8" s="1"/>
  <c r="R5538" i="8" s="1"/>
  <c r="R5539" i="8" s="1"/>
  <c r="R5540" i="8" s="1"/>
  <c r="R5541" i="8" s="1"/>
  <c r="R5542" i="8" s="1"/>
  <c r="R5543" i="8" s="1"/>
  <c r="R5544" i="8" s="1"/>
  <c r="R5545" i="8" s="1"/>
  <c r="R5546" i="8" s="1"/>
  <c r="R5547" i="8" s="1"/>
  <c r="R5548" i="8" s="1"/>
  <c r="R5549" i="8" s="1"/>
  <c r="R5550" i="8" s="1"/>
  <c r="R5551" i="8" s="1"/>
  <c r="R5552" i="8" s="1"/>
  <c r="R5553" i="8" s="1"/>
  <c r="R5554" i="8" s="1"/>
  <c r="R5555" i="8" s="1"/>
  <c r="R5556" i="8" s="1"/>
  <c r="R5557" i="8" s="1"/>
  <c r="R5558" i="8" s="1"/>
  <c r="R5559" i="8" s="1"/>
  <c r="R5560" i="8" s="1"/>
  <c r="R5561" i="8" s="1"/>
  <c r="R5562" i="8" s="1"/>
  <c r="R5563" i="8" s="1"/>
  <c r="R5564" i="8" s="1"/>
  <c r="R5565" i="8" s="1"/>
  <c r="R5566" i="8" s="1"/>
  <c r="R5567" i="8" s="1"/>
  <c r="R5568" i="8" s="1"/>
  <c r="R5569" i="8" s="1"/>
  <c r="R5570" i="8" s="1"/>
  <c r="R5571" i="8" s="1"/>
  <c r="R5572" i="8" s="1"/>
  <c r="R5573" i="8" s="1"/>
  <c r="R5574" i="8" s="1"/>
  <c r="R5575" i="8" s="1"/>
  <c r="R5576" i="8" s="1"/>
  <c r="R5577" i="8" s="1"/>
  <c r="R5578" i="8" s="1"/>
  <c r="R5579" i="8" s="1"/>
  <c r="R5580" i="8" s="1"/>
  <c r="R5581" i="8" s="1"/>
  <c r="R5582" i="8" s="1"/>
  <c r="R5583" i="8" s="1"/>
  <c r="R5584" i="8" s="1"/>
  <c r="R5585" i="8" s="1"/>
  <c r="R5586" i="8" s="1"/>
  <c r="R5587" i="8" s="1"/>
  <c r="R5588" i="8" s="1"/>
  <c r="R5589" i="8" s="1"/>
  <c r="R5590" i="8" s="1"/>
  <c r="R5591" i="8" s="1"/>
  <c r="R5592" i="8" s="1"/>
  <c r="R5593" i="8" s="1"/>
  <c r="R5594" i="8" s="1"/>
  <c r="R5595" i="8" s="1"/>
  <c r="R5596" i="8" s="1"/>
  <c r="R5597" i="8" s="1"/>
  <c r="R5598" i="8" s="1"/>
  <c r="R5599" i="8" s="1"/>
  <c r="R5600" i="8" s="1"/>
  <c r="R5601" i="8" s="1"/>
  <c r="R5602" i="8" s="1"/>
  <c r="R5603" i="8" s="1"/>
  <c r="R5604" i="8" s="1"/>
  <c r="R5605" i="8" s="1"/>
  <c r="R5606" i="8" s="1"/>
  <c r="R5607" i="8" s="1"/>
  <c r="R5608" i="8" s="1"/>
  <c r="R5609" i="8" s="1"/>
  <c r="R5610" i="8" s="1"/>
  <c r="R5611" i="8" s="1"/>
  <c r="R5612" i="8" s="1"/>
  <c r="R5613" i="8" s="1"/>
  <c r="R5614" i="8" s="1"/>
  <c r="R5615" i="8" s="1"/>
  <c r="R5616" i="8" s="1"/>
  <c r="R5617" i="8" s="1"/>
  <c r="R5618" i="8" s="1"/>
  <c r="R5619" i="8" s="1"/>
  <c r="R5620" i="8" s="1"/>
  <c r="R5621" i="8" s="1"/>
  <c r="R5622" i="8" s="1"/>
  <c r="R5623" i="8" s="1"/>
  <c r="R5624" i="8" s="1"/>
  <c r="R5625" i="8" s="1"/>
  <c r="R5626" i="8" s="1"/>
  <c r="R5627" i="8" s="1"/>
  <c r="R5628" i="8" s="1"/>
  <c r="R5629" i="8" s="1"/>
  <c r="R5630" i="8" s="1"/>
  <c r="R5631" i="8" s="1"/>
  <c r="R5632" i="8" s="1"/>
  <c r="R5633" i="8" s="1"/>
  <c r="R5634" i="8" s="1"/>
  <c r="R5635" i="8" s="1"/>
  <c r="R5636" i="8" s="1"/>
  <c r="R5637" i="8" s="1"/>
  <c r="R5638" i="8" s="1"/>
  <c r="R5639" i="8" s="1"/>
  <c r="R5640" i="8" s="1"/>
  <c r="R5641" i="8" s="1"/>
  <c r="R5642" i="8" s="1"/>
  <c r="R5643" i="8" s="1"/>
  <c r="R5644" i="8" s="1"/>
  <c r="R5645" i="8" s="1"/>
  <c r="R5646" i="8" s="1"/>
  <c r="R5647" i="8" s="1"/>
  <c r="R5648" i="8" s="1"/>
  <c r="R5649" i="8" s="1"/>
  <c r="R5650" i="8" s="1"/>
  <c r="R5651" i="8" s="1"/>
  <c r="R5652" i="8" s="1"/>
  <c r="R5653" i="8" s="1"/>
  <c r="R5654" i="8" s="1"/>
  <c r="R5655" i="8" s="1"/>
  <c r="R5656" i="8" s="1"/>
  <c r="R5657" i="8" s="1"/>
  <c r="R5658" i="8" s="1"/>
  <c r="R5659" i="8" s="1"/>
  <c r="R5660" i="8" s="1"/>
  <c r="R5661" i="8" s="1"/>
  <c r="R5662" i="8" s="1"/>
  <c r="R5663" i="8" s="1"/>
  <c r="R5664" i="8" s="1"/>
  <c r="R5665" i="8" s="1"/>
  <c r="R5666" i="8" s="1"/>
  <c r="R5667" i="8" s="1"/>
  <c r="R5668" i="8" s="1"/>
  <c r="R5669" i="8" s="1"/>
  <c r="R5670" i="8" s="1"/>
  <c r="R5671" i="8" s="1"/>
  <c r="R5672" i="8" s="1"/>
  <c r="R5673" i="8" s="1"/>
  <c r="R5674" i="8" s="1"/>
  <c r="R5675" i="8" s="1"/>
  <c r="R5676" i="8" s="1"/>
  <c r="R5677" i="8" s="1"/>
  <c r="R5678" i="8" s="1"/>
  <c r="R5679" i="8" s="1"/>
  <c r="R5680" i="8" s="1"/>
  <c r="R5681" i="8" s="1"/>
  <c r="R5682" i="8" s="1"/>
  <c r="R5683" i="8" s="1"/>
  <c r="R5684" i="8" s="1"/>
  <c r="R5685" i="8" s="1"/>
  <c r="R5686" i="8" s="1"/>
  <c r="R5687" i="8" s="1"/>
  <c r="R5688" i="8" s="1"/>
  <c r="R5689" i="8" s="1"/>
  <c r="R5690" i="8" s="1"/>
  <c r="R5691" i="8" s="1"/>
  <c r="R5692" i="8" s="1"/>
  <c r="R5693" i="8" s="1"/>
  <c r="R5694" i="8" s="1"/>
  <c r="R5695" i="8" s="1"/>
  <c r="R5696" i="8" s="1"/>
  <c r="R5697" i="8" s="1"/>
  <c r="R5698" i="8" s="1"/>
  <c r="R5699" i="8" s="1"/>
  <c r="R5700" i="8" s="1"/>
  <c r="R5701" i="8" s="1"/>
  <c r="R5702" i="8" s="1"/>
  <c r="R5703" i="8" s="1"/>
  <c r="R5704" i="8" s="1"/>
  <c r="R5705" i="8" s="1"/>
  <c r="R5706" i="8" s="1"/>
  <c r="R5707" i="8" s="1"/>
  <c r="R5708" i="8" s="1"/>
  <c r="R5709" i="8" s="1"/>
  <c r="R5710" i="8" s="1"/>
  <c r="R5711" i="8" s="1"/>
  <c r="R5712" i="8" s="1"/>
  <c r="R5713" i="8" s="1"/>
  <c r="R5714" i="8" s="1"/>
  <c r="R5715" i="8" s="1"/>
  <c r="R5716" i="8" s="1"/>
  <c r="R5717" i="8" s="1"/>
  <c r="R5718" i="8" s="1"/>
  <c r="R5719" i="8" s="1"/>
  <c r="R5720" i="8" s="1"/>
  <c r="R5721" i="8" s="1"/>
  <c r="R5722" i="8" s="1"/>
  <c r="R5723" i="8" s="1"/>
  <c r="R5724" i="8" s="1"/>
  <c r="R5725" i="8" s="1"/>
  <c r="R5726" i="8" s="1"/>
  <c r="R5727" i="8" s="1"/>
  <c r="R5728" i="8" s="1"/>
  <c r="R5729" i="8" s="1"/>
  <c r="R5730" i="8" s="1"/>
  <c r="R5731" i="8" s="1"/>
  <c r="R5732" i="8" s="1"/>
  <c r="R5733" i="8" s="1"/>
  <c r="R5734" i="8" s="1"/>
  <c r="R5735" i="8" s="1"/>
  <c r="R5736" i="8" s="1"/>
  <c r="R5737" i="8" s="1"/>
  <c r="R5738" i="8" s="1"/>
  <c r="R5739" i="8" s="1"/>
  <c r="R5740" i="8" s="1"/>
  <c r="R5741" i="8" s="1"/>
  <c r="R5742" i="8" s="1"/>
  <c r="R5743" i="8" s="1"/>
  <c r="R5744" i="8" s="1"/>
  <c r="R5745" i="8" s="1"/>
  <c r="R5746" i="8" s="1"/>
  <c r="R5747" i="8" s="1"/>
  <c r="R5748" i="8" s="1"/>
  <c r="R5749" i="8" s="1"/>
  <c r="R5750" i="8" s="1"/>
  <c r="R5751" i="8" s="1"/>
  <c r="R5752" i="8" s="1"/>
  <c r="R5753" i="8" s="1"/>
  <c r="R5754" i="8" s="1"/>
  <c r="R5755" i="8" s="1"/>
  <c r="R5756" i="8" s="1"/>
  <c r="R5757" i="8" s="1"/>
  <c r="R5758" i="8" s="1"/>
  <c r="R5759" i="8" s="1"/>
  <c r="R5760" i="8" s="1"/>
  <c r="R5761" i="8" s="1"/>
  <c r="R5762" i="8" s="1"/>
  <c r="R5763" i="8" s="1"/>
  <c r="R5764" i="8" s="1"/>
  <c r="R5765" i="8" s="1"/>
  <c r="R5766" i="8" s="1"/>
  <c r="R5767" i="8" s="1"/>
  <c r="R5768" i="8" s="1"/>
  <c r="R5769" i="8" s="1"/>
  <c r="R5770" i="8" s="1"/>
  <c r="R5771" i="8" s="1"/>
  <c r="R5772" i="8" s="1"/>
  <c r="R5773" i="8" s="1"/>
  <c r="R5774" i="8" s="1"/>
  <c r="R5775" i="8" s="1"/>
  <c r="R5776" i="8" s="1"/>
  <c r="R5777" i="8" s="1"/>
  <c r="R5778" i="8" s="1"/>
  <c r="R5779" i="8" s="1"/>
  <c r="R5780" i="8" s="1"/>
  <c r="R5781" i="8" s="1"/>
  <c r="R5782" i="8" s="1"/>
  <c r="R5783" i="8" s="1"/>
  <c r="R5784" i="8" s="1"/>
  <c r="R5785" i="8" s="1"/>
  <c r="R5786" i="8" s="1"/>
  <c r="R5787" i="8" s="1"/>
  <c r="R5788" i="8" s="1"/>
  <c r="R5789" i="8" s="1"/>
  <c r="R5790" i="8" s="1"/>
  <c r="R5791" i="8" s="1"/>
  <c r="R5792" i="8" s="1"/>
  <c r="R5793" i="8" s="1"/>
  <c r="R5794" i="8" s="1"/>
  <c r="R5795" i="8" s="1"/>
  <c r="R5796" i="8" s="1"/>
  <c r="R5797" i="8" s="1"/>
  <c r="R5798" i="8" s="1"/>
  <c r="R5799" i="8" s="1"/>
  <c r="R5800" i="8" s="1"/>
  <c r="R5801" i="8" s="1"/>
  <c r="R5802" i="8" s="1"/>
  <c r="R5803" i="8" s="1"/>
  <c r="R5804" i="8" s="1"/>
  <c r="R5805" i="8" s="1"/>
  <c r="R5806" i="8" s="1"/>
  <c r="R5807" i="8" s="1"/>
  <c r="R5808" i="8" s="1"/>
  <c r="R5809" i="8" s="1"/>
  <c r="R5810" i="8" s="1"/>
  <c r="R5811" i="8" s="1"/>
  <c r="R5812" i="8" s="1"/>
  <c r="R5813" i="8" s="1"/>
  <c r="R5814" i="8" s="1"/>
  <c r="R5815" i="8" s="1"/>
  <c r="R5816" i="8" s="1"/>
  <c r="R5817" i="8" s="1"/>
  <c r="R5818" i="8" s="1"/>
  <c r="R5819" i="8" s="1"/>
  <c r="R5820" i="8" s="1"/>
  <c r="R5821" i="8" s="1"/>
  <c r="R5822" i="8" s="1"/>
  <c r="R5823" i="8" s="1"/>
  <c r="R5824" i="8" s="1"/>
  <c r="R5825" i="8" s="1"/>
  <c r="R5826" i="8" s="1"/>
  <c r="R5827" i="8" s="1"/>
  <c r="R5828" i="8" s="1"/>
  <c r="R5829" i="8" s="1"/>
  <c r="R5830" i="8" s="1"/>
  <c r="R5831" i="8" s="1"/>
  <c r="R5832" i="8" s="1"/>
  <c r="R5833" i="8" s="1"/>
  <c r="R5834" i="8" s="1"/>
  <c r="R5835" i="8" s="1"/>
  <c r="R5836" i="8" s="1"/>
  <c r="R5837" i="8" s="1"/>
  <c r="R5838" i="8" s="1"/>
  <c r="R5839" i="8" s="1"/>
  <c r="R5840" i="8" s="1"/>
  <c r="R5841" i="8" s="1"/>
  <c r="R5842" i="8" s="1"/>
  <c r="R5843" i="8" s="1"/>
  <c r="R5844" i="8" s="1"/>
  <c r="R5845" i="8" s="1"/>
  <c r="R5846" i="8" s="1"/>
  <c r="R5847" i="8" s="1"/>
  <c r="R5848" i="8" s="1"/>
  <c r="R5849" i="8" s="1"/>
  <c r="R5850" i="8" s="1"/>
  <c r="R5851" i="8" s="1"/>
  <c r="R5852" i="8" s="1"/>
  <c r="R5853" i="8" s="1"/>
  <c r="R5854" i="8" s="1"/>
  <c r="R5855" i="8" s="1"/>
  <c r="R5856" i="8" s="1"/>
  <c r="R5857" i="8" s="1"/>
  <c r="R5858" i="8" s="1"/>
  <c r="R5859" i="8" s="1"/>
  <c r="R5860" i="8" s="1"/>
  <c r="R5861" i="8" s="1"/>
  <c r="R5862" i="8" s="1"/>
  <c r="R5863" i="8" s="1"/>
  <c r="R5864" i="8" s="1"/>
  <c r="R5865" i="8" s="1"/>
  <c r="R5866" i="8" s="1"/>
  <c r="R5867" i="8" s="1"/>
  <c r="R5868" i="8" s="1"/>
  <c r="R5869" i="8" s="1"/>
  <c r="R5870" i="8" s="1"/>
  <c r="R5871" i="8" s="1"/>
  <c r="R5872" i="8" s="1"/>
  <c r="R5873" i="8" s="1"/>
  <c r="R5874" i="8" s="1"/>
  <c r="R5875" i="8" s="1"/>
  <c r="R5876" i="8" s="1"/>
  <c r="R5877" i="8" s="1"/>
  <c r="R5878" i="8" s="1"/>
  <c r="R5879" i="8" s="1"/>
  <c r="R5880" i="8" s="1"/>
  <c r="R5881" i="8" s="1"/>
  <c r="R5882" i="8" s="1"/>
  <c r="R5883" i="8" s="1"/>
  <c r="R5884" i="8" s="1"/>
  <c r="R5885" i="8" s="1"/>
  <c r="R5886" i="8" s="1"/>
  <c r="R5887" i="8" s="1"/>
  <c r="R5888" i="8" s="1"/>
  <c r="R5889" i="8" s="1"/>
  <c r="R5890" i="8" s="1"/>
  <c r="R5891" i="8" s="1"/>
  <c r="R5892" i="8" s="1"/>
  <c r="R5893" i="8" s="1"/>
  <c r="R5894" i="8" s="1"/>
  <c r="R5895" i="8" s="1"/>
  <c r="R5896" i="8" s="1"/>
  <c r="R5897" i="8" s="1"/>
  <c r="R5898" i="8" s="1"/>
  <c r="R5899" i="8" s="1"/>
  <c r="R5900" i="8" s="1"/>
  <c r="R5901" i="8" s="1"/>
  <c r="R5902" i="8" s="1"/>
  <c r="R5903" i="8" s="1"/>
  <c r="R5904" i="8" s="1"/>
  <c r="R5905" i="8" s="1"/>
  <c r="R5906" i="8" s="1"/>
  <c r="R5907" i="8" s="1"/>
  <c r="R5908" i="8" s="1"/>
  <c r="R5909" i="8" s="1"/>
  <c r="R5910" i="8" s="1"/>
  <c r="R5911" i="8" s="1"/>
  <c r="R5912" i="8" s="1"/>
  <c r="R5913" i="8" s="1"/>
  <c r="R5914" i="8" s="1"/>
  <c r="R5915" i="8" s="1"/>
  <c r="R5916" i="8" s="1"/>
  <c r="R5917" i="8" s="1"/>
  <c r="R5918" i="8" s="1"/>
  <c r="R5919" i="8" s="1"/>
  <c r="R5920" i="8" s="1"/>
  <c r="R5921" i="8" s="1"/>
  <c r="R5922" i="8" s="1"/>
  <c r="R5923" i="8" s="1"/>
  <c r="R5924" i="8" s="1"/>
  <c r="R5925" i="8" s="1"/>
  <c r="R5926" i="8" s="1"/>
  <c r="R5927" i="8" s="1"/>
  <c r="R5928" i="8" s="1"/>
  <c r="R5929" i="8" s="1"/>
  <c r="R5930" i="8" s="1"/>
  <c r="R5931" i="8" s="1"/>
  <c r="R5932" i="8" s="1"/>
  <c r="R5933" i="8" s="1"/>
  <c r="R5934" i="8" s="1"/>
  <c r="R5935" i="8" s="1"/>
  <c r="R5936" i="8" s="1"/>
  <c r="R5937" i="8" s="1"/>
  <c r="R5938" i="8" s="1"/>
  <c r="R5939" i="8" s="1"/>
  <c r="R5940" i="8" s="1"/>
  <c r="R5941" i="8" s="1"/>
  <c r="R5942" i="8" s="1"/>
  <c r="R5943" i="8" s="1"/>
  <c r="R5944" i="8" s="1"/>
  <c r="R5945" i="8" s="1"/>
  <c r="R5946" i="8" s="1"/>
  <c r="R5947" i="8" s="1"/>
  <c r="R5948" i="8" s="1"/>
  <c r="R5949" i="8" s="1"/>
  <c r="R5950" i="8" s="1"/>
  <c r="R5951" i="8" s="1"/>
  <c r="R5952" i="8" s="1"/>
  <c r="R5953" i="8" s="1"/>
  <c r="R5954" i="8" s="1"/>
  <c r="R5955" i="8" s="1"/>
  <c r="R5956" i="8" s="1"/>
  <c r="R5957" i="8" s="1"/>
  <c r="R5958" i="8" s="1"/>
  <c r="R5959" i="8" s="1"/>
  <c r="R5960" i="8" s="1"/>
  <c r="R5961" i="8" s="1"/>
  <c r="R5962" i="8" s="1"/>
  <c r="R5963" i="8" s="1"/>
  <c r="R5964" i="8" s="1"/>
  <c r="R5965" i="8" s="1"/>
  <c r="R5966" i="8" s="1"/>
  <c r="R5967" i="8" s="1"/>
  <c r="R5968" i="8" s="1"/>
  <c r="R5969" i="8" s="1"/>
  <c r="R5970" i="8" s="1"/>
  <c r="R5971" i="8" s="1"/>
  <c r="R5972" i="8" s="1"/>
  <c r="R5973" i="8" s="1"/>
  <c r="R5974" i="8" s="1"/>
  <c r="R5975" i="8" s="1"/>
  <c r="R5976" i="8" s="1"/>
  <c r="R5977" i="8" s="1"/>
  <c r="R5978" i="8" s="1"/>
  <c r="R5979" i="8" s="1"/>
  <c r="R5980" i="8" s="1"/>
  <c r="R5981" i="8" s="1"/>
  <c r="R5982" i="8" s="1"/>
  <c r="R5983" i="8" s="1"/>
  <c r="R5984" i="8" s="1"/>
  <c r="R5985" i="8" s="1"/>
  <c r="R5986" i="8" s="1"/>
  <c r="R5987" i="8" s="1"/>
  <c r="R5988" i="8" s="1"/>
  <c r="R5989" i="8" s="1"/>
  <c r="R5990" i="8" s="1"/>
  <c r="R5991" i="8" s="1"/>
  <c r="R5992" i="8" s="1"/>
  <c r="R5993" i="8" s="1"/>
  <c r="R5994" i="8" s="1"/>
  <c r="R5995" i="8" s="1"/>
  <c r="R5996" i="8" s="1"/>
  <c r="R5997" i="8" s="1"/>
  <c r="R5998" i="8" s="1"/>
  <c r="R5999" i="8" s="1"/>
  <c r="R6000" i="8" s="1"/>
  <c r="R6001" i="8" s="1"/>
  <c r="R6002" i="8" s="1"/>
  <c r="R6003" i="8" s="1"/>
  <c r="R6004" i="8" s="1"/>
  <c r="R6005" i="8" s="1"/>
  <c r="R6006" i="8" s="1"/>
  <c r="R6007" i="8" s="1"/>
  <c r="R6008" i="8" s="1"/>
  <c r="R6009" i="8" s="1"/>
  <c r="R6010" i="8" s="1"/>
  <c r="R6011" i="8" s="1"/>
  <c r="R6012" i="8" s="1"/>
  <c r="R6013" i="8" s="1"/>
  <c r="R6014" i="8" s="1"/>
  <c r="R6015" i="8" s="1"/>
  <c r="R6016" i="8" s="1"/>
  <c r="R6017" i="8" s="1"/>
  <c r="R6018" i="8" s="1"/>
  <c r="R6019" i="8" s="1"/>
  <c r="R6020" i="8" s="1"/>
  <c r="R6021" i="8" s="1"/>
  <c r="R6022" i="8" s="1"/>
  <c r="R6023" i="8" s="1"/>
  <c r="R6024" i="8" s="1"/>
  <c r="R6025" i="8" s="1"/>
  <c r="R6026" i="8" s="1"/>
  <c r="R6027" i="8" s="1"/>
  <c r="R6028" i="8" s="1"/>
  <c r="R6029" i="8" s="1"/>
  <c r="R6030" i="8" s="1"/>
  <c r="R6031" i="8" s="1"/>
  <c r="R6032" i="8" s="1"/>
  <c r="R6033" i="8" s="1"/>
  <c r="R6034" i="8" s="1"/>
  <c r="R6035" i="8" s="1"/>
  <c r="R6036" i="8" s="1"/>
  <c r="R6037" i="8" s="1"/>
  <c r="R6038" i="8" s="1"/>
  <c r="R6039" i="8" s="1"/>
  <c r="R6040" i="8" s="1"/>
  <c r="R6041" i="8" s="1"/>
  <c r="R6042" i="8" s="1"/>
  <c r="R6043" i="8" s="1"/>
  <c r="R6044" i="8" s="1"/>
  <c r="R6045" i="8" s="1"/>
  <c r="R6046" i="8" s="1"/>
  <c r="R6047" i="8" s="1"/>
  <c r="R6048" i="8" s="1"/>
  <c r="R6049" i="8" s="1"/>
  <c r="R6050" i="8" s="1"/>
  <c r="R6051" i="8" s="1"/>
  <c r="R6052" i="8" s="1"/>
  <c r="R6053" i="8" s="1"/>
  <c r="R6054" i="8" s="1"/>
  <c r="R6055" i="8" s="1"/>
  <c r="R6056" i="8" s="1"/>
  <c r="R6057" i="8" s="1"/>
  <c r="R6058" i="8" s="1"/>
  <c r="R6059" i="8" s="1"/>
  <c r="R6060" i="8" s="1"/>
  <c r="R6061" i="8" s="1"/>
  <c r="R6062" i="8" s="1"/>
  <c r="R6063" i="8" s="1"/>
  <c r="R6064" i="8" s="1"/>
  <c r="R6065" i="8" s="1"/>
  <c r="R6066" i="8" s="1"/>
  <c r="R6067" i="8" s="1"/>
  <c r="R6068" i="8" s="1"/>
  <c r="R6069" i="8" s="1"/>
  <c r="R6070" i="8" s="1"/>
  <c r="R6071" i="8" s="1"/>
  <c r="R6072" i="8" s="1"/>
  <c r="R6073" i="8" s="1"/>
  <c r="R6074" i="8" s="1"/>
  <c r="R6075" i="8" s="1"/>
  <c r="R6076" i="8" s="1"/>
  <c r="R6077" i="8" s="1"/>
  <c r="R6078" i="8" s="1"/>
  <c r="R6079" i="8" s="1"/>
  <c r="R6080" i="8" s="1"/>
  <c r="R6081" i="8" s="1"/>
  <c r="R6082" i="8" s="1"/>
  <c r="R6083" i="8" s="1"/>
  <c r="R6084" i="8" s="1"/>
  <c r="R6085" i="8" s="1"/>
  <c r="R6086" i="8" s="1"/>
  <c r="R6087" i="8" s="1"/>
  <c r="R6088" i="8" s="1"/>
  <c r="R6089" i="8" s="1"/>
  <c r="R6090" i="8" s="1"/>
  <c r="R6091" i="8" s="1"/>
  <c r="R6092" i="8" s="1"/>
  <c r="R6093" i="8" s="1"/>
  <c r="R6094" i="8" s="1"/>
  <c r="R6095" i="8" s="1"/>
  <c r="R6096" i="8" s="1"/>
  <c r="R6097" i="8" s="1"/>
  <c r="R6098" i="8" s="1"/>
  <c r="R6099" i="8" s="1"/>
  <c r="R6100" i="8" s="1"/>
  <c r="R6101" i="8" s="1"/>
  <c r="R6102" i="8" s="1"/>
  <c r="R6103" i="8" s="1"/>
  <c r="R6104" i="8" s="1"/>
  <c r="R6105" i="8" s="1"/>
  <c r="R6106" i="8" s="1"/>
  <c r="R6107" i="8" s="1"/>
  <c r="R6108" i="8" s="1"/>
  <c r="R6109" i="8" s="1"/>
  <c r="R6110" i="8" s="1"/>
  <c r="R6111" i="8" s="1"/>
  <c r="R6112" i="8" s="1"/>
  <c r="R6113" i="8" s="1"/>
  <c r="R6114" i="8" s="1"/>
  <c r="R6115" i="8" s="1"/>
  <c r="R6116" i="8" s="1"/>
  <c r="R6117" i="8" s="1"/>
  <c r="R6118" i="8" s="1"/>
  <c r="R6119" i="8" s="1"/>
  <c r="R6120" i="8" s="1"/>
  <c r="R6121" i="8" s="1"/>
  <c r="R6122" i="8" s="1"/>
  <c r="R6123" i="8" s="1"/>
  <c r="R6124" i="8" s="1"/>
  <c r="R6125" i="8" s="1"/>
  <c r="R6126" i="8" s="1"/>
  <c r="R6127" i="8" s="1"/>
  <c r="R6128" i="8" s="1"/>
  <c r="R6129" i="8" s="1"/>
  <c r="R6130" i="8" s="1"/>
  <c r="R6131" i="8" s="1"/>
  <c r="R6132" i="8" s="1"/>
  <c r="R6133" i="8" s="1"/>
  <c r="R6134" i="8" s="1"/>
  <c r="R6135" i="8" s="1"/>
  <c r="R6136" i="8" s="1"/>
  <c r="R6137" i="8" s="1"/>
  <c r="R6138" i="8" s="1"/>
  <c r="R6139" i="8" s="1"/>
  <c r="R6140" i="8" s="1"/>
  <c r="R6141" i="8" s="1"/>
  <c r="R6142" i="8" s="1"/>
  <c r="R6143" i="8" s="1"/>
  <c r="R6144" i="8" s="1"/>
  <c r="R6145" i="8" s="1"/>
  <c r="R6146" i="8" s="1"/>
  <c r="R6147" i="8" s="1"/>
  <c r="R6148" i="8" s="1"/>
  <c r="R6149" i="8" s="1"/>
  <c r="R6150" i="8" s="1"/>
  <c r="R6151" i="8" s="1"/>
  <c r="R6152" i="8" s="1"/>
  <c r="R6153" i="8" s="1"/>
  <c r="R6154" i="8" s="1"/>
  <c r="R6155" i="8" s="1"/>
  <c r="R6156" i="8" s="1"/>
  <c r="R6157" i="8" s="1"/>
  <c r="R6158" i="8" s="1"/>
  <c r="R6159" i="8" s="1"/>
  <c r="R6160" i="8" s="1"/>
  <c r="R6161" i="8" s="1"/>
  <c r="R6162" i="8" s="1"/>
  <c r="R6163" i="8" s="1"/>
  <c r="R6164" i="8" s="1"/>
  <c r="R6165" i="8" s="1"/>
  <c r="R6166" i="8" s="1"/>
  <c r="R6167" i="8" s="1"/>
  <c r="R6168" i="8" s="1"/>
  <c r="R6169" i="8" s="1"/>
  <c r="R6170" i="8" s="1"/>
  <c r="R6171" i="8" s="1"/>
  <c r="R6172" i="8" s="1"/>
  <c r="R6173" i="8" s="1"/>
  <c r="R6174" i="8" s="1"/>
  <c r="R6175" i="8" s="1"/>
  <c r="R6176" i="8" s="1"/>
  <c r="R6177" i="8" s="1"/>
  <c r="R6178" i="8" s="1"/>
  <c r="R6179" i="8" s="1"/>
  <c r="R6180" i="8" s="1"/>
  <c r="R6181" i="8" s="1"/>
  <c r="R6182" i="8" s="1"/>
  <c r="R6183" i="8" s="1"/>
  <c r="R6184" i="8" s="1"/>
  <c r="R6185" i="8" s="1"/>
  <c r="R6186" i="8" s="1"/>
  <c r="R6187" i="8" s="1"/>
  <c r="R6188" i="8" s="1"/>
  <c r="R6189" i="8" s="1"/>
  <c r="R6190" i="8" s="1"/>
  <c r="R6191" i="8" s="1"/>
  <c r="R6192" i="8" s="1"/>
  <c r="R6193" i="8" s="1"/>
  <c r="R6194" i="8" s="1"/>
  <c r="R6195" i="8" s="1"/>
  <c r="R6196" i="8" s="1"/>
  <c r="R6197" i="8" s="1"/>
  <c r="R6198" i="8" s="1"/>
  <c r="R6199" i="8" s="1"/>
  <c r="R6200" i="8" s="1"/>
  <c r="R6201" i="8" s="1"/>
  <c r="R6202" i="8" s="1"/>
  <c r="R6203" i="8" s="1"/>
  <c r="R6204" i="8" s="1"/>
  <c r="R6205" i="8" s="1"/>
  <c r="R6206" i="8" s="1"/>
  <c r="R6207" i="8" s="1"/>
  <c r="R6208" i="8" s="1"/>
  <c r="R6209" i="8" s="1"/>
  <c r="R6210" i="8" s="1"/>
  <c r="R6211" i="8" s="1"/>
  <c r="R6212" i="8" s="1"/>
  <c r="R6213" i="8" s="1"/>
  <c r="R6214" i="8" s="1"/>
  <c r="R6215" i="8" s="1"/>
  <c r="R6216" i="8" s="1"/>
  <c r="R6217" i="8" s="1"/>
  <c r="R6218" i="8" s="1"/>
  <c r="R6219" i="8" s="1"/>
  <c r="R6220" i="8" s="1"/>
  <c r="R6221" i="8" s="1"/>
  <c r="R6222" i="8" s="1"/>
  <c r="R6223" i="8" s="1"/>
  <c r="R6224" i="8" s="1"/>
  <c r="R6225" i="8" s="1"/>
  <c r="R6226" i="8" s="1"/>
  <c r="R6227" i="8" s="1"/>
  <c r="R6228" i="8" s="1"/>
  <c r="R6229" i="8" s="1"/>
  <c r="R6230" i="8" s="1"/>
  <c r="R6231" i="8" s="1"/>
  <c r="R6232" i="8" s="1"/>
  <c r="R6233" i="8" s="1"/>
  <c r="R6234" i="8" s="1"/>
  <c r="R6235" i="8" s="1"/>
  <c r="R6236" i="8" s="1"/>
  <c r="R6237" i="8" s="1"/>
  <c r="R6238" i="8" s="1"/>
  <c r="R6239" i="8" s="1"/>
  <c r="R6240" i="8" s="1"/>
  <c r="R6241" i="8" s="1"/>
  <c r="R6242" i="8" s="1"/>
  <c r="R6243" i="8" s="1"/>
  <c r="R6244" i="8" s="1"/>
  <c r="R6245" i="8" s="1"/>
  <c r="R6246" i="8" s="1"/>
  <c r="R6247" i="8" s="1"/>
  <c r="R6248" i="8" s="1"/>
  <c r="R6249" i="8" s="1"/>
  <c r="R6250" i="8" s="1"/>
  <c r="R6251" i="8" s="1"/>
  <c r="R6252" i="8" s="1"/>
  <c r="R6253" i="8" s="1"/>
  <c r="R6254" i="8" s="1"/>
  <c r="R6255" i="8" s="1"/>
  <c r="R6256" i="8" s="1"/>
  <c r="R6257" i="8" s="1"/>
  <c r="R6258" i="8" s="1"/>
  <c r="R6259" i="8" s="1"/>
  <c r="R6260" i="8" s="1"/>
  <c r="R6261" i="8" s="1"/>
  <c r="R6262" i="8" s="1"/>
  <c r="R6263" i="8" s="1"/>
  <c r="R6264" i="8" s="1"/>
  <c r="R6265" i="8" s="1"/>
  <c r="R6266" i="8" s="1"/>
  <c r="R6267" i="8" s="1"/>
  <c r="R6268" i="8" s="1"/>
  <c r="R6269" i="8" s="1"/>
  <c r="R6270" i="8" s="1"/>
  <c r="R6271" i="8" s="1"/>
  <c r="R6272" i="8" s="1"/>
  <c r="R6273" i="8" s="1"/>
  <c r="R6274" i="8" s="1"/>
  <c r="R6275" i="8" s="1"/>
  <c r="R6276" i="8" s="1"/>
  <c r="R6277" i="8" s="1"/>
  <c r="R6278" i="8" s="1"/>
  <c r="R6279" i="8" s="1"/>
  <c r="R6280" i="8" s="1"/>
  <c r="R6281" i="8" s="1"/>
  <c r="R6282" i="8" s="1"/>
  <c r="R6283" i="8" s="1"/>
  <c r="R6284" i="8" s="1"/>
  <c r="R6285" i="8" s="1"/>
  <c r="R6286" i="8" s="1"/>
  <c r="R6287" i="8" s="1"/>
  <c r="R6288" i="8" s="1"/>
  <c r="R6289" i="8" s="1"/>
  <c r="R6290" i="8" s="1"/>
  <c r="R6291" i="8" s="1"/>
  <c r="R6292" i="8" s="1"/>
  <c r="R6293" i="8" s="1"/>
  <c r="R6294" i="8" s="1"/>
  <c r="R6295" i="8" s="1"/>
  <c r="R6296" i="8" s="1"/>
  <c r="R6297" i="8" s="1"/>
  <c r="R6298" i="8" s="1"/>
  <c r="R6299" i="8" s="1"/>
  <c r="R6300" i="8" s="1"/>
  <c r="R6301" i="8" s="1"/>
  <c r="R6302" i="8" s="1"/>
  <c r="R6303" i="8" s="1"/>
  <c r="R6304" i="8" s="1"/>
  <c r="R6305" i="8" s="1"/>
  <c r="R6306" i="8" s="1"/>
  <c r="R6307" i="8" s="1"/>
  <c r="R6308" i="8" s="1"/>
  <c r="R6309" i="8" s="1"/>
  <c r="R6310" i="8" s="1"/>
  <c r="R6311" i="8" s="1"/>
  <c r="R6312" i="8" s="1"/>
  <c r="R6313" i="8" s="1"/>
  <c r="R6314" i="8" s="1"/>
  <c r="R6315" i="8" s="1"/>
  <c r="R6316" i="8" s="1"/>
  <c r="R6317" i="8" s="1"/>
  <c r="R6318" i="8" s="1"/>
  <c r="R6319" i="8" s="1"/>
  <c r="R6320" i="8" s="1"/>
  <c r="R6321" i="8" s="1"/>
  <c r="R6322" i="8" s="1"/>
  <c r="R6323" i="8" s="1"/>
  <c r="R6324" i="8" s="1"/>
  <c r="R6325" i="8" s="1"/>
  <c r="R6326" i="8" s="1"/>
  <c r="R6327" i="8" s="1"/>
  <c r="R6328" i="8" s="1"/>
  <c r="R6329" i="8" s="1"/>
  <c r="R6330" i="8" s="1"/>
  <c r="R6331" i="8" s="1"/>
  <c r="R6332" i="8" s="1"/>
  <c r="R6333" i="8" s="1"/>
  <c r="R6334" i="8" s="1"/>
  <c r="R6335" i="8" s="1"/>
  <c r="R6336" i="8" s="1"/>
  <c r="R6337" i="8" s="1"/>
  <c r="R6338" i="8" s="1"/>
  <c r="R6339" i="8" s="1"/>
  <c r="R6340" i="8" s="1"/>
  <c r="R6341" i="8" s="1"/>
  <c r="R6342" i="8" s="1"/>
  <c r="R6343" i="8" s="1"/>
  <c r="R6344" i="8" s="1"/>
  <c r="R6345" i="8" s="1"/>
  <c r="R6346" i="8" s="1"/>
  <c r="R6347" i="8" s="1"/>
  <c r="R6348" i="8" s="1"/>
  <c r="R6349" i="8" s="1"/>
  <c r="R6350" i="8" s="1"/>
  <c r="R6351" i="8" s="1"/>
  <c r="R6352" i="8" s="1"/>
  <c r="R6353" i="8" s="1"/>
  <c r="R6354" i="8" s="1"/>
  <c r="R6355" i="8" s="1"/>
  <c r="R6356" i="8" s="1"/>
  <c r="R6357" i="8" s="1"/>
  <c r="R6358" i="8" s="1"/>
  <c r="R6359" i="8" s="1"/>
  <c r="R6360" i="8" s="1"/>
  <c r="R6361" i="8" s="1"/>
  <c r="R6362" i="8" s="1"/>
  <c r="R6363" i="8" s="1"/>
  <c r="R6364" i="8" s="1"/>
  <c r="R6365" i="8" s="1"/>
  <c r="R6366" i="8" s="1"/>
  <c r="R6367" i="8" s="1"/>
  <c r="R6368" i="8" s="1"/>
  <c r="R6369" i="8" s="1"/>
  <c r="R6370" i="8" s="1"/>
  <c r="R6371" i="8" s="1"/>
  <c r="R6372" i="8" s="1"/>
  <c r="R6373" i="8" s="1"/>
  <c r="R6374" i="8" s="1"/>
  <c r="R6375" i="8" s="1"/>
  <c r="R6376" i="8" s="1"/>
  <c r="R6377" i="8" s="1"/>
  <c r="R6378" i="8" s="1"/>
  <c r="R6379" i="8" s="1"/>
  <c r="R6380" i="8" s="1"/>
  <c r="R6381" i="8" s="1"/>
  <c r="R6382" i="8" s="1"/>
  <c r="R6383" i="8" s="1"/>
  <c r="R6384" i="8" s="1"/>
  <c r="R6385" i="8" s="1"/>
  <c r="R6386" i="8" s="1"/>
  <c r="R6387" i="8" s="1"/>
  <c r="R6388" i="8" s="1"/>
  <c r="R6389" i="8" s="1"/>
  <c r="R6390" i="8" s="1"/>
  <c r="R6391" i="8" s="1"/>
  <c r="R6392" i="8" s="1"/>
  <c r="R6393" i="8" s="1"/>
  <c r="R6394" i="8" s="1"/>
  <c r="R6395" i="8" s="1"/>
  <c r="R6396" i="8" s="1"/>
  <c r="R6397" i="8" s="1"/>
  <c r="R6398" i="8" s="1"/>
  <c r="R6399" i="8" s="1"/>
  <c r="R6400" i="8" s="1"/>
  <c r="R6401" i="8" s="1"/>
  <c r="R6402" i="8" s="1"/>
  <c r="R6403" i="8" s="1"/>
  <c r="R6404" i="8" s="1"/>
  <c r="R6405" i="8" s="1"/>
  <c r="R6406" i="8" s="1"/>
  <c r="R6407" i="8" s="1"/>
  <c r="R6408" i="8" s="1"/>
  <c r="R6409" i="8" s="1"/>
  <c r="R6410" i="8" s="1"/>
  <c r="R6411" i="8" s="1"/>
  <c r="R6412" i="8" s="1"/>
  <c r="R6413" i="8" s="1"/>
  <c r="R6414" i="8" s="1"/>
  <c r="R6415" i="8" s="1"/>
  <c r="R6416" i="8" s="1"/>
  <c r="R6417" i="8" s="1"/>
  <c r="R6418" i="8" s="1"/>
  <c r="R6419" i="8" s="1"/>
  <c r="R6420" i="8" s="1"/>
  <c r="R6421" i="8" s="1"/>
  <c r="R6422" i="8" s="1"/>
  <c r="R6423" i="8" s="1"/>
  <c r="R6424" i="8" s="1"/>
  <c r="R6425" i="8" s="1"/>
  <c r="R6426" i="8" s="1"/>
  <c r="R6427" i="8" s="1"/>
  <c r="R6428" i="8" s="1"/>
  <c r="R6429" i="8" s="1"/>
  <c r="R6430" i="8" s="1"/>
  <c r="R6431" i="8" s="1"/>
  <c r="R6432" i="8" s="1"/>
  <c r="R6433" i="8" s="1"/>
  <c r="R6434" i="8" s="1"/>
  <c r="R6435" i="8" s="1"/>
  <c r="R6436" i="8" s="1"/>
  <c r="R6437" i="8" s="1"/>
  <c r="R6438" i="8" s="1"/>
  <c r="R6439" i="8" s="1"/>
  <c r="R6440" i="8" s="1"/>
  <c r="R6441" i="8" s="1"/>
  <c r="R6442" i="8" s="1"/>
  <c r="R6443" i="8" s="1"/>
  <c r="R6444" i="8" s="1"/>
  <c r="R6445" i="8" s="1"/>
  <c r="R6446" i="8" s="1"/>
  <c r="R6447" i="8" s="1"/>
  <c r="R6448" i="8" s="1"/>
  <c r="R6449" i="8" s="1"/>
  <c r="R6450" i="8" s="1"/>
  <c r="R6451" i="8" s="1"/>
  <c r="R6452" i="8" s="1"/>
  <c r="R6453" i="8" s="1"/>
  <c r="R6454" i="8" s="1"/>
  <c r="R6455" i="8" s="1"/>
  <c r="R6456" i="8" s="1"/>
  <c r="R6457" i="8" s="1"/>
  <c r="R6458" i="8" s="1"/>
  <c r="R6459" i="8" s="1"/>
  <c r="R6460" i="8" s="1"/>
  <c r="R6461" i="8" s="1"/>
  <c r="R6462" i="8" s="1"/>
  <c r="R6463" i="8" s="1"/>
  <c r="R6464" i="8" s="1"/>
  <c r="R6465" i="8" s="1"/>
  <c r="R6466" i="8" s="1"/>
  <c r="R6467" i="8" s="1"/>
  <c r="R6468" i="8" s="1"/>
  <c r="R6469" i="8" s="1"/>
  <c r="R6470" i="8" s="1"/>
  <c r="R6471" i="8" s="1"/>
  <c r="R6472" i="8" s="1"/>
  <c r="R6473" i="8" s="1"/>
  <c r="R6474" i="8" s="1"/>
  <c r="R6475" i="8" s="1"/>
  <c r="R6476" i="8" s="1"/>
  <c r="R6477" i="8" s="1"/>
  <c r="R6478" i="8" s="1"/>
  <c r="R6479" i="8" s="1"/>
  <c r="R6480" i="8" s="1"/>
  <c r="R6481" i="8" s="1"/>
  <c r="R6482" i="8" s="1"/>
  <c r="R6483" i="8" s="1"/>
  <c r="R6484" i="8" s="1"/>
  <c r="R6485" i="8" s="1"/>
  <c r="R6486" i="8" s="1"/>
  <c r="R6487" i="8" s="1"/>
  <c r="R6488" i="8" s="1"/>
  <c r="R6489" i="8" s="1"/>
  <c r="R6490" i="8" s="1"/>
  <c r="R6491" i="8" s="1"/>
  <c r="R6492" i="8" s="1"/>
  <c r="R6493" i="8" s="1"/>
  <c r="R6494" i="8" s="1"/>
  <c r="R6495" i="8" s="1"/>
  <c r="R6496" i="8" s="1"/>
  <c r="R6497" i="8" s="1"/>
  <c r="R6498" i="8" s="1"/>
  <c r="R6499" i="8" s="1"/>
  <c r="R6500" i="8" s="1"/>
  <c r="R6501" i="8" s="1"/>
  <c r="R6502" i="8" s="1"/>
  <c r="R6503" i="8" s="1"/>
  <c r="R6504" i="8" s="1"/>
  <c r="R6505" i="8" s="1"/>
  <c r="R6506" i="8" s="1"/>
  <c r="R6507" i="8" s="1"/>
  <c r="R6508" i="8" s="1"/>
  <c r="R6509" i="8" s="1"/>
  <c r="R6510" i="8" s="1"/>
  <c r="R6511" i="8" s="1"/>
  <c r="R6512" i="8" s="1"/>
  <c r="R6513" i="8" s="1"/>
  <c r="R6514" i="8" s="1"/>
  <c r="R6515" i="8" s="1"/>
  <c r="R6516" i="8" s="1"/>
  <c r="R6517" i="8" s="1"/>
  <c r="R6518" i="8" s="1"/>
  <c r="R6519" i="8" s="1"/>
  <c r="R6520" i="8" s="1"/>
  <c r="R6521" i="8" s="1"/>
  <c r="R6522" i="8" s="1"/>
  <c r="R6523" i="8" s="1"/>
  <c r="R6524" i="8" s="1"/>
  <c r="R6525" i="8" s="1"/>
  <c r="R6526" i="8" s="1"/>
  <c r="R6527" i="8" s="1"/>
  <c r="R6528" i="8" s="1"/>
  <c r="R6529" i="8" s="1"/>
  <c r="R6530" i="8" s="1"/>
  <c r="R6531" i="8" s="1"/>
  <c r="R6532" i="8" s="1"/>
  <c r="R6533" i="8" s="1"/>
  <c r="R6534" i="8" s="1"/>
  <c r="R6535" i="8" s="1"/>
  <c r="R6536" i="8" s="1"/>
  <c r="R6537" i="8" s="1"/>
  <c r="R6538" i="8" s="1"/>
  <c r="R6539" i="8" s="1"/>
  <c r="R6540" i="8" s="1"/>
  <c r="R6541" i="8" s="1"/>
  <c r="R6542" i="8" s="1"/>
  <c r="R6543" i="8" s="1"/>
  <c r="R6544" i="8" s="1"/>
  <c r="R6545" i="8" s="1"/>
  <c r="R6546" i="8" s="1"/>
  <c r="R6547" i="8" s="1"/>
  <c r="R6548" i="8" s="1"/>
  <c r="R6549" i="8" s="1"/>
  <c r="R6550" i="8" s="1"/>
  <c r="R6551" i="8" s="1"/>
  <c r="R6552" i="8" s="1"/>
  <c r="R6553" i="8" s="1"/>
  <c r="R6554" i="8" s="1"/>
  <c r="R6555" i="8" s="1"/>
  <c r="R6556" i="8" s="1"/>
  <c r="R6557" i="8" s="1"/>
  <c r="R6558" i="8" s="1"/>
  <c r="R6559" i="8" s="1"/>
  <c r="R6560" i="8" s="1"/>
  <c r="R6561" i="8" s="1"/>
  <c r="R6562" i="8" s="1"/>
  <c r="R6563" i="8" s="1"/>
  <c r="R6564" i="8" s="1"/>
  <c r="R6565" i="8" s="1"/>
  <c r="R6566" i="8" s="1"/>
  <c r="R6567" i="8" s="1"/>
  <c r="R6568" i="8" s="1"/>
  <c r="R6569" i="8" s="1"/>
  <c r="R6570" i="8" s="1"/>
  <c r="R6571" i="8" s="1"/>
  <c r="R6572" i="8" s="1"/>
  <c r="R6573" i="8" s="1"/>
  <c r="R6574" i="8" s="1"/>
  <c r="R6575" i="8" s="1"/>
  <c r="R6576" i="8" s="1"/>
  <c r="R6577" i="8" s="1"/>
  <c r="R6578" i="8" s="1"/>
  <c r="R6579" i="8" s="1"/>
  <c r="R6580" i="8" s="1"/>
  <c r="R6581" i="8" s="1"/>
  <c r="R6582" i="8" s="1"/>
  <c r="R6583" i="8" s="1"/>
  <c r="R6584" i="8" s="1"/>
  <c r="R6585" i="8" s="1"/>
  <c r="R6586" i="8" s="1"/>
  <c r="R6587" i="8" s="1"/>
  <c r="R6588" i="8" s="1"/>
  <c r="R6589" i="8" s="1"/>
  <c r="R6590" i="8" s="1"/>
  <c r="R6591" i="8" s="1"/>
  <c r="R6592" i="8" s="1"/>
  <c r="R6593" i="8" s="1"/>
  <c r="R6594" i="8" s="1"/>
  <c r="R6595" i="8" s="1"/>
  <c r="R6596" i="8" s="1"/>
  <c r="R6597" i="8" s="1"/>
  <c r="R6598" i="8" s="1"/>
  <c r="R6599" i="8" s="1"/>
  <c r="R6600" i="8" s="1"/>
  <c r="R6601" i="8" s="1"/>
  <c r="R6602" i="8" s="1"/>
  <c r="R6603" i="8" s="1"/>
  <c r="R6604" i="8" s="1"/>
  <c r="R6605" i="8" s="1"/>
  <c r="R6606" i="8" s="1"/>
  <c r="R6607" i="8" s="1"/>
  <c r="R6608" i="8" s="1"/>
  <c r="R6609" i="8" s="1"/>
  <c r="R6610" i="8" s="1"/>
  <c r="R6611" i="8" s="1"/>
  <c r="R6612" i="8" s="1"/>
  <c r="R6613" i="8" s="1"/>
  <c r="R6614" i="8" s="1"/>
  <c r="R6615" i="8" s="1"/>
  <c r="R6616" i="8" s="1"/>
  <c r="R6617" i="8" s="1"/>
  <c r="R6618" i="8" s="1"/>
  <c r="R6619" i="8" s="1"/>
  <c r="R6620" i="8" s="1"/>
  <c r="R6621" i="8" s="1"/>
  <c r="R6622" i="8" s="1"/>
  <c r="R6623" i="8" s="1"/>
  <c r="R6624" i="8" s="1"/>
  <c r="R6625" i="8" s="1"/>
  <c r="R6626" i="8" s="1"/>
  <c r="R6627" i="8" s="1"/>
  <c r="R6628" i="8" s="1"/>
  <c r="R6629" i="8" s="1"/>
  <c r="R6630" i="8" s="1"/>
  <c r="R6631" i="8" s="1"/>
  <c r="R6632" i="8" s="1"/>
  <c r="R6633" i="8" s="1"/>
  <c r="R6634" i="8" s="1"/>
  <c r="R6635" i="8" s="1"/>
  <c r="R6636" i="8" s="1"/>
  <c r="R6637" i="8" s="1"/>
  <c r="R6638" i="8" s="1"/>
  <c r="R6639" i="8" s="1"/>
  <c r="R6640" i="8" s="1"/>
  <c r="R6641" i="8" s="1"/>
  <c r="R6642" i="8" s="1"/>
  <c r="R6643" i="8" s="1"/>
  <c r="R6644" i="8" s="1"/>
  <c r="R6645" i="8" s="1"/>
  <c r="R6646" i="8" s="1"/>
  <c r="R6647" i="8" s="1"/>
  <c r="R6648" i="8" s="1"/>
  <c r="R6649" i="8" s="1"/>
  <c r="R6650" i="8" s="1"/>
  <c r="R6651" i="8" s="1"/>
  <c r="R6652" i="8" s="1"/>
  <c r="R6653" i="8" s="1"/>
  <c r="R6654" i="8" s="1"/>
  <c r="R6655" i="8" s="1"/>
  <c r="R6656" i="8" s="1"/>
  <c r="R6657" i="8" s="1"/>
  <c r="R6658" i="8" s="1"/>
  <c r="R6659" i="8" s="1"/>
  <c r="R6660" i="8" s="1"/>
  <c r="R6661" i="8" s="1"/>
  <c r="R6662" i="8" s="1"/>
  <c r="R6663" i="8" s="1"/>
  <c r="R6664" i="8" s="1"/>
  <c r="R6665" i="8" s="1"/>
  <c r="R6666" i="8" s="1"/>
  <c r="R6667" i="8" s="1"/>
  <c r="R6668" i="8" s="1"/>
  <c r="R6669" i="8" s="1"/>
  <c r="R6670" i="8" s="1"/>
  <c r="R6671" i="8" s="1"/>
  <c r="R6672" i="8" s="1"/>
  <c r="R6673" i="8" s="1"/>
  <c r="R6674" i="8" s="1"/>
  <c r="R6675" i="8" s="1"/>
  <c r="R6676" i="8" s="1"/>
  <c r="R6677" i="8" s="1"/>
  <c r="R6678" i="8" s="1"/>
  <c r="R6679" i="8" s="1"/>
  <c r="R6680" i="8" s="1"/>
  <c r="R6681" i="8" s="1"/>
  <c r="R6682" i="8" s="1"/>
  <c r="R6683" i="8" s="1"/>
  <c r="R6684" i="8" s="1"/>
  <c r="R6685" i="8" s="1"/>
  <c r="R6686" i="8" s="1"/>
  <c r="R6687" i="8" s="1"/>
  <c r="R6688" i="8" s="1"/>
  <c r="R6689" i="8" s="1"/>
  <c r="R6690" i="8" s="1"/>
  <c r="R6691" i="8" s="1"/>
  <c r="R6692" i="8" s="1"/>
  <c r="R6693" i="8" s="1"/>
  <c r="R6694" i="8" s="1"/>
  <c r="R6695" i="8" s="1"/>
  <c r="R6696" i="8" s="1"/>
  <c r="R6697" i="8" s="1"/>
  <c r="R6698" i="8" s="1"/>
  <c r="R6699" i="8" s="1"/>
  <c r="R6700" i="8" s="1"/>
  <c r="R6701" i="8" s="1"/>
  <c r="R6702" i="8" s="1"/>
  <c r="R6703" i="8" s="1"/>
  <c r="R6704" i="8" s="1"/>
  <c r="R6705" i="8" s="1"/>
  <c r="R6706" i="8" s="1"/>
  <c r="R6707" i="8" s="1"/>
  <c r="R6708" i="8" s="1"/>
  <c r="R6709" i="8" s="1"/>
  <c r="R6710" i="8" s="1"/>
  <c r="R6711" i="8" s="1"/>
  <c r="R6712" i="8" s="1"/>
  <c r="R6713" i="8" s="1"/>
  <c r="R6714" i="8" s="1"/>
  <c r="R6715" i="8" s="1"/>
  <c r="R6716" i="8" s="1"/>
  <c r="R6717" i="8" s="1"/>
  <c r="R6718" i="8" s="1"/>
  <c r="R6719" i="8" s="1"/>
  <c r="R6720" i="8" s="1"/>
  <c r="R6721" i="8" s="1"/>
  <c r="R6722" i="8" s="1"/>
  <c r="R6723" i="8" s="1"/>
  <c r="R6724" i="8" s="1"/>
  <c r="R6725" i="8" s="1"/>
  <c r="R6726" i="8" s="1"/>
  <c r="R6727" i="8" s="1"/>
  <c r="R6728" i="8" s="1"/>
  <c r="R6729" i="8" s="1"/>
  <c r="R6730" i="8" s="1"/>
  <c r="R6731" i="8" s="1"/>
  <c r="R6732" i="8" s="1"/>
  <c r="R6733" i="8" s="1"/>
  <c r="R6734" i="8" s="1"/>
  <c r="R6735" i="8" s="1"/>
  <c r="R6736" i="8" s="1"/>
  <c r="R6737" i="8" s="1"/>
  <c r="R6738" i="8" s="1"/>
  <c r="R6739" i="8" s="1"/>
  <c r="R6740" i="8" s="1"/>
  <c r="R6741" i="8" s="1"/>
  <c r="R6742" i="8" s="1"/>
  <c r="R6743" i="8" s="1"/>
  <c r="R6744" i="8" s="1"/>
  <c r="R6745" i="8" s="1"/>
  <c r="R6746" i="8" s="1"/>
  <c r="R6747" i="8" s="1"/>
  <c r="R6748" i="8" s="1"/>
  <c r="R6749" i="8" s="1"/>
  <c r="R6750" i="8" s="1"/>
  <c r="R6751" i="8" s="1"/>
  <c r="R6752" i="8" s="1"/>
  <c r="R6753" i="8" s="1"/>
  <c r="R6754" i="8" s="1"/>
  <c r="R6755" i="8" s="1"/>
  <c r="R6756" i="8" s="1"/>
  <c r="R6757" i="8" s="1"/>
  <c r="R6758" i="8" s="1"/>
  <c r="R6759" i="8" s="1"/>
  <c r="R6760" i="8" s="1"/>
  <c r="R6761" i="8" s="1"/>
  <c r="R6762" i="8" s="1"/>
  <c r="R6763" i="8" s="1"/>
  <c r="R6764" i="8" s="1"/>
  <c r="R6765" i="8" s="1"/>
  <c r="R6766" i="8" s="1"/>
  <c r="R6767" i="8" s="1"/>
  <c r="R6768" i="8" s="1"/>
  <c r="R6769" i="8" s="1"/>
  <c r="R6770" i="8" s="1"/>
  <c r="R6771" i="8" s="1"/>
  <c r="R6772" i="8" s="1"/>
  <c r="R6773" i="8" s="1"/>
  <c r="R6774" i="8" s="1"/>
  <c r="R6775" i="8" s="1"/>
  <c r="R6776" i="8" s="1"/>
  <c r="R6777" i="8" s="1"/>
  <c r="R6778" i="8" s="1"/>
  <c r="R6779" i="8" s="1"/>
  <c r="R6780" i="8" s="1"/>
  <c r="R6781" i="8" s="1"/>
  <c r="R6782" i="8" s="1"/>
  <c r="R6783" i="8" s="1"/>
  <c r="R6784" i="8" s="1"/>
  <c r="R6785" i="8" s="1"/>
  <c r="R6786" i="8" s="1"/>
  <c r="R6787" i="8" s="1"/>
  <c r="R6788" i="8" s="1"/>
  <c r="R6789" i="8" s="1"/>
  <c r="R6790" i="8" s="1"/>
  <c r="R6791" i="8" s="1"/>
  <c r="R6792" i="8" s="1"/>
  <c r="R6793" i="8" s="1"/>
  <c r="R6794" i="8" s="1"/>
  <c r="R6795" i="8" s="1"/>
  <c r="R6796" i="8" s="1"/>
  <c r="R6797" i="8" s="1"/>
  <c r="R6798" i="8" s="1"/>
  <c r="R6799" i="8" s="1"/>
  <c r="R6800" i="8" s="1"/>
  <c r="R6801" i="8" s="1"/>
  <c r="R6802" i="8" s="1"/>
  <c r="R6803" i="8" s="1"/>
  <c r="R6804" i="8" s="1"/>
  <c r="R6805" i="8" s="1"/>
  <c r="R6806" i="8" s="1"/>
  <c r="R6807" i="8" s="1"/>
  <c r="R6808" i="8" s="1"/>
  <c r="R6809" i="8" s="1"/>
  <c r="R6810" i="8" s="1"/>
  <c r="R6811" i="8" s="1"/>
  <c r="R6812" i="8" s="1"/>
  <c r="R6813" i="8" s="1"/>
  <c r="R6814" i="8" s="1"/>
  <c r="R6815" i="8" s="1"/>
  <c r="R6816" i="8" s="1"/>
  <c r="R6817" i="8" s="1"/>
  <c r="R6818" i="8" s="1"/>
  <c r="R6819" i="8" s="1"/>
  <c r="R6820" i="8" s="1"/>
  <c r="R6821" i="8" s="1"/>
  <c r="R6822" i="8" s="1"/>
  <c r="R6823" i="8" s="1"/>
  <c r="R6824" i="8" s="1"/>
  <c r="R6825" i="8" s="1"/>
  <c r="R6826" i="8" s="1"/>
  <c r="R6827" i="8" s="1"/>
  <c r="R6828" i="8" s="1"/>
  <c r="R6829" i="8" s="1"/>
  <c r="R6830" i="8" s="1"/>
  <c r="R6831" i="8" s="1"/>
  <c r="R6832" i="8" s="1"/>
  <c r="R6833" i="8" s="1"/>
  <c r="R6834" i="8" s="1"/>
  <c r="R6835" i="8" s="1"/>
  <c r="R6836" i="8" s="1"/>
  <c r="R6837" i="8" s="1"/>
  <c r="R6838" i="8" s="1"/>
  <c r="R6839" i="8" s="1"/>
  <c r="R6840" i="8" s="1"/>
  <c r="R6841" i="8" s="1"/>
  <c r="R6842" i="8" s="1"/>
  <c r="R6843" i="8" s="1"/>
  <c r="R6844" i="8" s="1"/>
  <c r="R6845" i="8" s="1"/>
  <c r="R6846" i="8" s="1"/>
  <c r="R6847" i="8" s="1"/>
  <c r="R6848" i="8" s="1"/>
  <c r="R6849" i="8" s="1"/>
  <c r="R6850" i="8" s="1"/>
  <c r="R6851" i="8" s="1"/>
  <c r="R6852" i="8" s="1"/>
  <c r="R6853" i="8" s="1"/>
  <c r="R6854" i="8" s="1"/>
  <c r="R6855" i="8" s="1"/>
  <c r="R6856" i="8" s="1"/>
  <c r="R6857" i="8" s="1"/>
  <c r="R6858" i="8" s="1"/>
  <c r="R6859" i="8" s="1"/>
  <c r="R6860" i="8" s="1"/>
  <c r="R6861" i="8" s="1"/>
  <c r="R6862" i="8" s="1"/>
  <c r="R6863" i="8" s="1"/>
  <c r="R6864" i="8" s="1"/>
  <c r="R6865" i="8" s="1"/>
  <c r="R6866" i="8" s="1"/>
  <c r="R6867" i="8" s="1"/>
  <c r="R6868" i="8" s="1"/>
  <c r="R6869" i="8" s="1"/>
  <c r="R6870" i="8" s="1"/>
  <c r="R6871" i="8" s="1"/>
  <c r="R6872" i="8" s="1"/>
  <c r="R6873" i="8" s="1"/>
  <c r="R6874" i="8" s="1"/>
  <c r="R6875" i="8" s="1"/>
  <c r="R6876" i="8" s="1"/>
  <c r="R6877" i="8" s="1"/>
  <c r="R6878" i="8" s="1"/>
  <c r="R6879" i="8" s="1"/>
  <c r="R6880" i="8" s="1"/>
  <c r="R6881" i="8" s="1"/>
  <c r="R6882" i="8" s="1"/>
  <c r="R6883" i="8" s="1"/>
  <c r="R6884" i="8" s="1"/>
  <c r="R6885" i="8" s="1"/>
  <c r="R6886" i="8" s="1"/>
  <c r="R6887" i="8" s="1"/>
  <c r="R6888" i="8" s="1"/>
  <c r="R6889" i="8" s="1"/>
  <c r="R6890" i="8" s="1"/>
  <c r="R6891" i="8" s="1"/>
  <c r="R6892" i="8" s="1"/>
  <c r="R6893" i="8" s="1"/>
  <c r="R6894" i="8" s="1"/>
  <c r="R6895" i="8" s="1"/>
  <c r="R6896" i="8" s="1"/>
  <c r="R6897" i="8" s="1"/>
  <c r="R6898" i="8" s="1"/>
  <c r="R6899" i="8" s="1"/>
  <c r="R6900" i="8" s="1"/>
  <c r="R6901" i="8" s="1"/>
  <c r="R6902" i="8" s="1"/>
  <c r="R6903" i="8" s="1"/>
  <c r="R6904" i="8" s="1"/>
  <c r="R6905" i="8" s="1"/>
  <c r="R6906" i="8" s="1"/>
  <c r="R6907" i="8" s="1"/>
  <c r="R6908" i="8" s="1"/>
  <c r="R6909" i="8" s="1"/>
  <c r="R6910" i="8" s="1"/>
  <c r="R6911" i="8" s="1"/>
  <c r="R6912" i="8" s="1"/>
  <c r="R6913" i="8" s="1"/>
  <c r="R6914" i="8" s="1"/>
  <c r="R6915" i="8" s="1"/>
  <c r="R6916" i="8" s="1"/>
  <c r="R6917" i="8" s="1"/>
  <c r="R6918" i="8" s="1"/>
  <c r="R6919" i="8" s="1"/>
  <c r="R6920" i="8" s="1"/>
  <c r="R6921" i="8" s="1"/>
  <c r="R6922" i="8" s="1"/>
  <c r="R6923" i="8" s="1"/>
  <c r="R6924" i="8" s="1"/>
  <c r="R6925" i="8" s="1"/>
  <c r="R6926" i="8" s="1"/>
  <c r="R6927" i="8" s="1"/>
  <c r="R6928" i="8" s="1"/>
  <c r="R6929" i="8" s="1"/>
  <c r="R6930" i="8" s="1"/>
  <c r="R6931" i="8" s="1"/>
  <c r="R6932" i="8" s="1"/>
  <c r="R6933" i="8" s="1"/>
  <c r="R6934" i="8" s="1"/>
  <c r="R6935" i="8" s="1"/>
  <c r="R6936" i="8" s="1"/>
  <c r="R6937" i="8" s="1"/>
  <c r="R6938" i="8" s="1"/>
  <c r="R6939" i="8" s="1"/>
  <c r="R6940" i="8" s="1"/>
  <c r="R6941" i="8" s="1"/>
  <c r="R6942" i="8" s="1"/>
  <c r="R6943" i="8" s="1"/>
  <c r="R6944" i="8" s="1"/>
  <c r="R6945" i="8" s="1"/>
  <c r="R6946" i="8" s="1"/>
  <c r="R6947" i="8" s="1"/>
  <c r="R6948" i="8" s="1"/>
  <c r="R6949" i="8" s="1"/>
  <c r="R6950" i="8" s="1"/>
  <c r="R6951" i="8" s="1"/>
  <c r="R6952" i="8" s="1"/>
  <c r="R6953" i="8" s="1"/>
  <c r="R6954" i="8" s="1"/>
  <c r="R6955" i="8" s="1"/>
  <c r="R6956" i="8" s="1"/>
  <c r="R6957" i="8" s="1"/>
  <c r="R6958" i="8" s="1"/>
  <c r="R6959" i="8" s="1"/>
  <c r="R6960" i="8" s="1"/>
  <c r="R6961" i="8" s="1"/>
  <c r="R6962" i="8" s="1"/>
  <c r="R6963" i="8" s="1"/>
  <c r="R6964" i="8" s="1"/>
  <c r="R6965" i="8" s="1"/>
  <c r="R6966" i="8" s="1"/>
  <c r="R6967" i="8" s="1"/>
  <c r="R6968" i="8" s="1"/>
  <c r="R6969" i="8" s="1"/>
  <c r="R6970" i="8" s="1"/>
  <c r="R6971" i="8" s="1"/>
  <c r="R6972" i="8" s="1"/>
  <c r="R6973" i="8" s="1"/>
  <c r="R6974" i="8" s="1"/>
  <c r="R6975" i="8" s="1"/>
  <c r="R6976" i="8" s="1"/>
  <c r="R6977" i="8" s="1"/>
  <c r="R6978" i="8" s="1"/>
  <c r="R6979" i="8" s="1"/>
  <c r="R6980" i="8" s="1"/>
  <c r="R6981" i="8" s="1"/>
  <c r="R6982" i="8" s="1"/>
  <c r="R6983" i="8" s="1"/>
  <c r="R6984" i="8" s="1"/>
  <c r="R6985" i="8" s="1"/>
  <c r="R6986" i="8" s="1"/>
  <c r="R6987" i="8" s="1"/>
  <c r="R6988" i="8" s="1"/>
  <c r="R6989" i="8" s="1"/>
  <c r="R6990" i="8" s="1"/>
  <c r="R6991" i="8" s="1"/>
  <c r="R6992" i="8" s="1"/>
  <c r="R6993" i="8" s="1"/>
  <c r="R6994" i="8" s="1"/>
  <c r="R6995" i="8" s="1"/>
  <c r="R6996" i="8" s="1"/>
  <c r="R6997" i="8" s="1"/>
  <c r="R6998" i="8" s="1"/>
  <c r="R6999" i="8" s="1"/>
  <c r="R7000" i="8" s="1"/>
  <c r="R7001" i="8" s="1"/>
  <c r="R7002" i="8" s="1"/>
  <c r="R7003" i="8" s="1"/>
  <c r="R7004" i="8" s="1"/>
  <c r="R7005" i="8" s="1"/>
  <c r="R7006" i="8" s="1"/>
  <c r="R7007" i="8" s="1"/>
  <c r="R7008" i="8" s="1"/>
  <c r="R7009" i="8" s="1"/>
  <c r="R7010" i="8" s="1"/>
  <c r="R7011" i="8" s="1"/>
  <c r="R7012" i="8" s="1"/>
  <c r="R7013" i="8" s="1"/>
  <c r="R7014" i="8" s="1"/>
  <c r="R7015" i="8" s="1"/>
  <c r="R7016" i="8" s="1"/>
  <c r="R7017" i="8" s="1"/>
  <c r="R7018" i="8" s="1"/>
  <c r="R7019" i="8" s="1"/>
  <c r="R7020" i="8" s="1"/>
  <c r="R7021" i="8" s="1"/>
  <c r="R7022" i="8" s="1"/>
  <c r="R7023" i="8" s="1"/>
  <c r="R7024" i="8" s="1"/>
  <c r="R7025" i="8" s="1"/>
  <c r="R7026" i="8" s="1"/>
  <c r="R7027" i="8" s="1"/>
  <c r="R7028" i="8" s="1"/>
  <c r="R7029" i="8" s="1"/>
  <c r="R7030" i="8" s="1"/>
  <c r="R7031" i="8" s="1"/>
  <c r="R7032" i="8" s="1"/>
  <c r="R7033" i="8" s="1"/>
  <c r="R7034" i="8" s="1"/>
  <c r="R7035" i="8" s="1"/>
  <c r="R7036" i="8" s="1"/>
  <c r="R7037" i="8" s="1"/>
  <c r="R7038" i="8" s="1"/>
  <c r="R7039" i="8" s="1"/>
  <c r="R7040" i="8" s="1"/>
  <c r="R7041" i="8" s="1"/>
  <c r="R7042" i="8" s="1"/>
  <c r="R7043" i="8" s="1"/>
  <c r="R7044" i="8" s="1"/>
  <c r="R7045" i="8" s="1"/>
  <c r="R7046" i="8" s="1"/>
  <c r="R7047" i="8" s="1"/>
  <c r="R7048" i="8" s="1"/>
  <c r="R7049" i="8" s="1"/>
  <c r="R7050" i="8" s="1"/>
  <c r="R7051" i="8" s="1"/>
  <c r="R7052" i="8" s="1"/>
  <c r="R7053" i="8" s="1"/>
  <c r="R7054" i="8" s="1"/>
  <c r="R7055" i="8" s="1"/>
  <c r="R7056" i="8" s="1"/>
  <c r="R7057" i="8" s="1"/>
  <c r="R7058" i="8" s="1"/>
  <c r="R7059" i="8" s="1"/>
  <c r="R7060" i="8" s="1"/>
  <c r="R7061" i="8" s="1"/>
  <c r="R7062" i="8" s="1"/>
  <c r="R7063" i="8" s="1"/>
  <c r="R7064" i="8" s="1"/>
  <c r="R7065" i="8" s="1"/>
  <c r="R7066" i="8" s="1"/>
  <c r="R7067" i="8" s="1"/>
  <c r="R7068" i="8" s="1"/>
  <c r="R7069" i="8" s="1"/>
  <c r="R7070" i="8" s="1"/>
  <c r="R7071" i="8" s="1"/>
  <c r="R7072" i="8" s="1"/>
  <c r="R7073" i="8" s="1"/>
  <c r="R7074" i="8" s="1"/>
  <c r="R7075" i="8" s="1"/>
  <c r="R7076" i="8" s="1"/>
  <c r="R7077" i="8" s="1"/>
  <c r="R7078" i="8" s="1"/>
  <c r="R7079" i="8" s="1"/>
  <c r="R7080" i="8" s="1"/>
  <c r="R7081" i="8" s="1"/>
  <c r="R7082" i="8" s="1"/>
  <c r="R7083" i="8" s="1"/>
  <c r="R7084" i="8" s="1"/>
  <c r="R7085" i="8" s="1"/>
  <c r="R7086" i="8" s="1"/>
  <c r="R7087" i="8" s="1"/>
  <c r="R7088" i="8" s="1"/>
  <c r="R7089" i="8" s="1"/>
  <c r="R7090" i="8" s="1"/>
  <c r="R7091" i="8" s="1"/>
  <c r="R7092" i="8" s="1"/>
  <c r="R7093" i="8" s="1"/>
  <c r="R7094" i="8" s="1"/>
  <c r="R7095" i="8" s="1"/>
  <c r="R7096" i="8" s="1"/>
  <c r="R7097" i="8" s="1"/>
  <c r="R7098" i="8" s="1"/>
  <c r="R7099" i="8" s="1"/>
  <c r="R7100" i="8" s="1"/>
  <c r="R7101" i="8" s="1"/>
  <c r="R7102" i="8" s="1"/>
  <c r="R7103" i="8" s="1"/>
  <c r="R7104" i="8" s="1"/>
  <c r="R7105" i="8" s="1"/>
  <c r="R7106" i="8" s="1"/>
  <c r="R7107" i="8" s="1"/>
  <c r="R7108" i="8" s="1"/>
  <c r="R7109" i="8" s="1"/>
  <c r="R7110" i="8" s="1"/>
  <c r="R7111" i="8" s="1"/>
  <c r="R7112" i="8" s="1"/>
  <c r="R7113" i="8" s="1"/>
  <c r="R7114" i="8" s="1"/>
  <c r="R7115" i="8" s="1"/>
  <c r="R7116" i="8" s="1"/>
  <c r="R7117" i="8" s="1"/>
  <c r="R7118" i="8" s="1"/>
  <c r="R7119" i="8" s="1"/>
  <c r="R7120" i="8" s="1"/>
  <c r="R7121" i="8" s="1"/>
  <c r="R7122" i="8" s="1"/>
  <c r="R7123" i="8" s="1"/>
  <c r="R7124" i="8" s="1"/>
  <c r="R7125" i="8" s="1"/>
  <c r="R7126" i="8" s="1"/>
  <c r="R7127" i="8" s="1"/>
  <c r="R7128" i="8" s="1"/>
  <c r="R7129" i="8" s="1"/>
  <c r="R7130" i="8" s="1"/>
  <c r="R7131" i="8" s="1"/>
  <c r="R7132" i="8" s="1"/>
  <c r="R7133" i="8" s="1"/>
  <c r="R7134" i="8" s="1"/>
  <c r="R7135" i="8" s="1"/>
  <c r="R7136" i="8" s="1"/>
  <c r="R7137" i="8" s="1"/>
  <c r="R7138" i="8" s="1"/>
  <c r="R7139" i="8" s="1"/>
  <c r="R7140" i="8" s="1"/>
  <c r="R7141" i="8" s="1"/>
  <c r="R7142" i="8" s="1"/>
  <c r="R7143" i="8" s="1"/>
  <c r="R7144" i="8" s="1"/>
  <c r="R7145" i="8" s="1"/>
  <c r="R7146" i="8" s="1"/>
  <c r="R7147" i="8" s="1"/>
  <c r="R7148" i="8" s="1"/>
  <c r="R7149" i="8" s="1"/>
  <c r="R7150" i="8" s="1"/>
  <c r="R7151" i="8" s="1"/>
  <c r="R7152" i="8" s="1"/>
  <c r="R7153" i="8" s="1"/>
  <c r="R7154" i="8" s="1"/>
  <c r="R7155" i="8" s="1"/>
  <c r="R7156" i="8" s="1"/>
  <c r="R7157" i="8" s="1"/>
  <c r="R7158" i="8" s="1"/>
  <c r="R7159" i="8" s="1"/>
  <c r="R7160" i="8" s="1"/>
  <c r="R7161" i="8" s="1"/>
  <c r="R7162" i="8" s="1"/>
  <c r="R7163" i="8" s="1"/>
  <c r="R7164" i="8" s="1"/>
  <c r="R7165" i="8" s="1"/>
  <c r="R7166" i="8" s="1"/>
  <c r="R7167" i="8" s="1"/>
  <c r="R7168" i="8" s="1"/>
  <c r="R7169" i="8" s="1"/>
  <c r="R7170" i="8" s="1"/>
  <c r="R7171" i="8" s="1"/>
  <c r="R7172" i="8" s="1"/>
  <c r="R7173" i="8" s="1"/>
  <c r="R7174" i="8" s="1"/>
  <c r="R7175" i="8" s="1"/>
  <c r="R7176" i="8" s="1"/>
  <c r="R7177" i="8" s="1"/>
  <c r="R7178" i="8" s="1"/>
  <c r="R7179" i="8" s="1"/>
  <c r="R7180" i="8" s="1"/>
  <c r="R7181" i="8" s="1"/>
  <c r="R7182" i="8" s="1"/>
  <c r="R7183" i="8" s="1"/>
  <c r="R7184" i="8" s="1"/>
  <c r="R7185" i="8" s="1"/>
  <c r="R7186" i="8" s="1"/>
  <c r="R7187" i="8" s="1"/>
  <c r="R7188" i="8" s="1"/>
  <c r="R7189" i="8" s="1"/>
  <c r="R7190" i="8" s="1"/>
  <c r="R7191" i="8" s="1"/>
  <c r="R7192" i="8" s="1"/>
  <c r="R7193" i="8" s="1"/>
  <c r="R7194" i="8" s="1"/>
  <c r="R7195" i="8" s="1"/>
  <c r="R7196" i="8" s="1"/>
  <c r="R7197" i="8" s="1"/>
  <c r="R7198" i="8" s="1"/>
  <c r="R7199" i="8" s="1"/>
  <c r="R7200" i="8" s="1"/>
  <c r="R7201" i="8" s="1"/>
  <c r="R7202" i="8" s="1"/>
  <c r="R7203" i="8" s="1"/>
  <c r="R7204" i="8" s="1"/>
  <c r="R7205" i="8" s="1"/>
  <c r="R7206" i="8" s="1"/>
  <c r="R7207" i="8" s="1"/>
  <c r="R7208" i="8" s="1"/>
  <c r="R7209" i="8" s="1"/>
  <c r="R7210" i="8" s="1"/>
  <c r="R7211" i="8" s="1"/>
  <c r="R7212" i="8" s="1"/>
  <c r="R7213" i="8" s="1"/>
  <c r="R7214" i="8" s="1"/>
  <c r="R7215" i="8" s="1"/>
  <c r="R7216" i="8" s="1"/>
  <c r="R7217" i="8" s="1"/>
  <c r="R7218" i="8" s="1"/>
  <c r="R7219" i="8" s="1"/>
  <c r="R7220" i="8" s="1"/>
  <c r="R7221" i="8" s="1"/>
  <c r="R7222" i="8" s="1"/>
  <c r="R7223" i="8" s="1"/>
  <c r="R7224" i="8" s="1"/>
  <c r="R7225" i="8" s="1"/>
  <c r="R7226" i="8" s="1"/>
  <c r="R7227" i="8" s="1"/>
  <c r="R7228" i="8" s="1"/>
  <c r="R7229" i="8" s="1"/>
  <c r="R7230" i="8" s="1"/>
  <c r="R7231" i="8" s="1"/>
  <c r="R7232" i="8" s="1"/>
  <c r="R7233" i="8" s="1"/>
  <c r="R7234" i="8" s="1"/>
  <c r="R7235" i="8" s="1"/>
  <c r="R7236" i="8" s="1"/>
  <c r="R7237" i="8" s="1"/>
  <c r="R7238" i="8" s="1"/>
  <c r="R7239" i="8" s="1"/>
  <c r="R7240" i="8" s="1"/>
  <c r="R7241" i="8" s="1"/>
  <c r="R7242" i="8" s="1"/>
  <c r="R7243" i="8" s="1"/>
  <c r="R7244" i="8" s="1"/>
  <c r="R7245" i="8" s="1"/>
  <c r="R7246" i="8" s="1"/>
  <c r="R7247" i="8" s="1"/>
  <c r="R7248" i="8" s="1"/>
  <c r="R7249" i="8" s="1"/>
  <c r="R7250" i="8" s="1"/>
  <c r="R7251" i="8" s="1"/>
  <c r="R7252" i="8" s="1"/>
  <c r="R7253" i="8" s="1"/>
  <c r="R7254" i="8" s="1"/>
  <c r="R7255" i="8" s="1"/>
  <c r="R7256" i="8" s="1"/>
  <c r="R7257" i="8" s="1"/>
  <c r="R7258" i="8" s="1"/>
  <c r="R7259" i="8" s="1"/>
  <c r="R7260" i="8" s="1"/>
  <c r="R7261" i="8" s="1"/>
  <c r="R7262" i="8" s="1"/>
  <c r="R7263" i="8" s="1"/>
  <c r="R7264" i="8" s="1"/>
  <c r="R7265" i="8" s="1"/>
  <c r="R7266" i="8" s="1"/>
  <c r="R7267" i="8" s="1"/>
  <c r="R7268" i="8" s="1"/>
  <c r="R7269" i="8" s="1"/>
  <c r="R7270" i="8" s="1"/>
  <c r="R7271" i="8" s="1"/>
  <c r="R7272" i="8" s="1"/>
  <c r="R7273" i="8" s="1"/>
  <c r="R7274" i="8" s="1"/>
  <c r="R7275" i="8" s="1"/>
  <c r="R7276" i="8" s="1"/>
  <c r="R7277" i="8" s="1"/>
  <c r="R7278" i="8" s="1"/>
  <c r="R7279" i="8" s="1"/>
  <c r="R7280" i="8" s="1"/>
  <c r="R7281" i="8" s="1"/>
  <c r="R7282" i="8" s="1"/>
  <c r="R7283" i="8" s="1"/>
  <c r="R7284" i="8" s="1"/>
  <c r="R7285" i="8" s="1"/>
  <c r="R7286" i="8" s="1"/>
  <c r="R7287" i="8" s="1"/>
  <c r="R7288" i="8" s="1"/>
  <c r="R7289" i="8" s="1"/>
  <c r="R7290" i="8" s="1"/>
  <c r="R7291" i="8" s="1"/>
  <c r="R7292" i="8" s="1"/>
  <c r="R7293" i="8" s="1"/>
  <c r="R7294" i="8" s="1"/>
  <c r="R7295" i="8" s="1"/>
  <c r="R7296" i="8" s="1"/>
  <c r="R7297" i="8" s="1"/>
  <c r="R7298" i="8" s="1"/>
  <c r="R7299" i="8" s="1"/>
  <c r="R7300" i="8" s="1"/>
  <c r="R7301" i="8" s="1"/>
  <c r="R7302" i="8" s="1"/>
  <c r="R7303" i="8" s="1"/>
  <c r="R7304" i="8" s="1"/>
  <c r="R7305" i="8" s="1"/>
  <c r="R7306" i="8" s="1"/>
  <c r="R7307" i="8" s="1"/>
  <c r="R7308" i="8" s="1"/>
  <c r="R7309" i="8" s="1"/>
  <c r="R7310" i="8" s="1"/>
  <c r="R7311" i="8" s="1"/>
  <c r="R7312" i="8" s="1"/>
  <c r="R7313" i="8" s="1"/>
  <c r="R7314" i="8" s="1"/>
  <c r="R7315" i="8" s="1"/>
  <c r="R7316" i="8" s="1"/>
  <c r="R7317" i="8" s="1"/>
  <c r="R7318" i="8" s="1"/>
  <c r="R7319" i="8" s="1"/>
  <c r="R7320" i="8" s="1"/>
  <c r="R7321" i="8" s="1"/>
  <c r="R7322" i="8" s="1"/>
  <c r="R7323" i="8" s="1"/>
  <c r="R7324" i="8" s="1"/>
  <c r="R7325" i="8" s="1"/>
  <c r="R7326" i="8" s="1"/>
  <c r="R7327" i="8" s="1"/>
  <c r="R7328" i="8" s="1"/>
  <c r="R7329" i="8" s="1"/>
  <c r="R7330" i="8" s="1"/>
  <c r="R7331" i="8" s="1"/>
  <c r="R7332" i="8" s="1"/>
  <c r="R7333" i="8" s="1"/>
  <c r="R7334" i="8" s="1"/>
  <c r="R7335" i="8" s="1"/>
  <c r="R7336" i="8" s="1"/>
  <c r="R7337" i="8" s="1"/>
  <c r="R7338" i="8" s="1"/>
  <c r="R7339" i="8" s="1"/>
  <c r="R7340" i="8" s="1"/>
  <c r="R7341" i="8" s="1"/>
  <c r="R7342" i="8" s="1"/>
  <c r="R7343" i="8" s="1"/>
  <c r="R7344" i="8" s="1"/>
  <c r="R7345" i="8" s="1"/>
  <c r="R7346" i="8" s="1"/>
  <c r="R7347" i="8" s="1"/>
  <c r="R7348" i="8" s="1"/>
  <c r="R7349" i="8" s="1"/>
  <c r="R7350" i="8" s="1"/>
  <c r="R7351" i="8" s="1"/>
  <c r="R7352" i="8" s="1"/>
  <c r="R7353" i="8" s="1"/>
  <c r="R7354" i="8" s="1"/>
  <c r="R7355" i="8" s="1"/>
  <c r="R7356" i="8" s="1"/>
  <c r="R7357" i="8" s="1"/>
  <c r="R7358" i="8" s="1"/>
  <c r="R7359" i="8" s="1"/>
  <c r="R7360" i="8" s="1"/>
  <c r="R7361" i="8" s="1"/>
  <c r="R7362" i="8" s="1"/>
  <c r="R7363" i="8" s="1"/>
  <c r="R7364" i="8" s="1"/>
  <c r="R7365" i="8" s="1"/>
  <c r="R7366" i="8" s="1"/>
  <c r="R7367" i="8" s="1"/>
  <c r="R7368" i="8" s="1"/>
  <c r="R7369" i="8" s="1"/>
  <c r="R7370" i="8" s="1"/>
  <c r="R7371" i="8" s="1"/>
  <c r="R7372" i="8" s="1"/>
  <c r="R7373" i="8" s="1"/>
  <c r="R7374" i="8" s="1"/>
  <c r="R7375" i="8" s="1"/>
  <c r="R7376" i="8" s="1"/>
  <c r="R7377" i="8" s="1"/>
  <c r="R7378" i="8" s="1"/>
  <c r="R7379" i="8" s="1"/>
  <c r="R7380" i="8" s="1"/>
  <c r="R7381" i="8" s="1"/>
  <c r="R7382" i="8" s="1"/>
  <c r="R7383" i="8" s="1"/>
  <c r="R7384" i="8" s="1"/>
  <c r="R7385" i="8" s="1"/>
  <c r="R7386" i="8" s="1"/>
  <c r="R7387" i="8" s="1"/>
  <c r="R7388" i="8" s="1"/>
  <c r="R7389" i="8" s="1"/>
  <c r="R7390" i="8" s="1"/>
  <c r="R7391" i="8" s="1"/>
  <c r="R7392" i="8" s="1"/>
  <c r="R7393" i="8" s="1"/>
  <c r="R7394" i="8" s="1"/>
  <c r="R7395" i="8" s="1"/>
  <c r="R7396" i="8" s="1"/>
  <c r="R7397" i="8" s="1"/>
  <c r="R7398" i="8" s="1"/>
  <c r="R7399" i="8" s="1"/>
  <c r="R7400" i="8" s="1"/>
  <c r="R7401" i="8" s="1"/>
  <c r="R7402" i="8" s="1"/>
  <c r="R7403" i="8" s="1"/>
  <c r="R7404" i="8" s="1"/>
  <c r="R7405" i="8" s="1"/>
  <c r="R7406" i="8" s="1"/>
  <c r="R7407" i="8" s="1"/>
  <c r="R7408" i="8" s="1"/>
  <c r="R7409" i="8" s="1"/>
  <c r="R7410" i="8" s="1"/>
  <c r="R7411" i="8" s="1"/>
  <c r="R7412" i="8" s="1"/>
  <c r="R7413" i="8" s="1"/>
  <c r="R7414" i="8" s="1"/>
  <c r="R7415" i="8" s="1"/>
  <c r="R7416" i="8" s="1"/>
  <c r="R7417" i="8" s="1"/>
  <c r="R7418" i="8" s="1"/>
  <c r="R7419" i="8" s="1"/>
  <c r="R7420" i="8" s="1"/>
  <c r="R7421" i="8" s="1"/>
  <c r="R7422" i="8" s="1"/>
  <c r="R7423" i="8" s="1"/>
  <c r="R7424" i="8" s="1"/>
  <c r="R7425" i="8" s="1"/>
  <c r="R7426" i="8" s="1"/>
  <c r="R7427" i="8" s="1"/>
  <c r="R7428" i="8" s="1"/>
  <c r="R7429" i="8" s="1"/>
  <c r="R7430" i="8" s="1"/>
  <c r="R7431" i="8" s="1"/>
  <c r="R7432" i="8" s="1"/>
  <c r="R7433" i="8" s="1"/>
  <c r="R7434" i="8" s="1"/>
  <c r="R7435" i="8" s="1"/>
  <c r="R7436" i="8" s="1"/>
  <c r="R7437" i="8" s="1"/>
  <c r="R7438" i="8" s="1"/>
  <c r="R7439" i="8" s="1"/>
  <c r="R7440" i="8" s="1"/>
  <c r="R7441" i="8" s="1"/>
  <c r="R7442" i="8" s="1"/>
  <c r="R7443" i="8" s="1"/>
  <c r="R7444" i="8" s="1"/>
  <c r="R7445" i="8" s="1"/>
  <c r="R7446" i="8" s="1"/>
  <c r="R7447" i="8" s="1"/>
  <c r="R7448" i="8" s="1"/>
  <c r="R7449" i="8" s="1"/>
  <c r="R7450" i="8" s="1"/>
  <c r="R7451" i="8" s="1"/>
  <c r="R7452" i="8" s="1"/>
  <c r="R7453" i="8" s="1"/>
  <c r="R7454" i="8" s="1"/>
  <c r="R7455" i="8" s="1"/>
  <c r="R7456" i="8" s="1"/>
  <c r="R7457" i="8" s="1"/>
  <c r="R7458" i="8" s="1"/>
  <c r="R7459" i="8" s="1"/>
  <c r="R7460" i="8" s="1"/>
  <c r="R7461" i="8" s="1"/>
  <c r="R7462" i="8" s="1"/>
  <c r="R7463" i="8" s="1"/>
  <c r="R7464" i="8" s="1"/>
  <c r="R7465" i="8" s="1"/>
  <c r="R7466" i="8" s="1"/>
  <c r="R7467" i="8" s="1"/>
  <c r="R7468" i="8" s="1"/>
  <c r="R7469" i="8" s="1"/>
  <c r="R7470" i="8" s="1"/>
  <c r="R7471" i="8" s="1"/>
  <c r="R7472" i="8" s="1"/>
  <c r="R7473" i="8" s="1"/>
  <c r="R7474" i="8" s="1"/>
  <c r="R7475" i="8" s="1"/>
  <c r="R7476" i="8" s="1"/>
  <c r="R7477" i="8" s="1"/>
  <c r="R7478" i="8" s="1"/>
  <c r="R7479" i="8" s="1"/>
  <c r="R7480" i="8" s="1"/>
  <c r="R7481" i="8" s="1"/>
  <c r="R7482" i="8" s="1"/>
  <c r="R7483" i="8" s="1"/>
  <c r="R7484" i="8" s="1"/>
  <c r="R7485" i="8" s="1"/>
  <c r="R7486" i="8" s="1"/>
  <c r="R7487" i="8" s="1"/>
  <c r="R7488" i="8" s="1"/>
  <c r="R7489" i="8" s="1"/>
  <c r="R7490" i="8" s="1"/>
  <c r="R7491" i="8" s="1"/>
  <c r="R7492" i="8" s="1"/>
  <c r="R7493" i="8" s="1"/>
  <c r="R7494" i="8" s="1"/>
  <c r="R7495" i="8" s="1"/>
  <c r="R7496" i="8" s="1"/>
  <c r="R7497" i="8" s="1"/>
  <c r="R7498" i="8" s="1"/>
  <c r="R7499" i="8" s="1"/>
  <c r="R7500" i="8" s="1"/>
  <c r="R7501" i="8" s="1"/>
  <c r="R7502" i="8" s="1"/>
  <c r="R7503" i="8" s="1"/>
  <c r="R7504" i="8" s="1"/>
  <c r="R7505" i="8" s="1"/>
  <c r="R7506" i="8" s="1"/>
  <c r="R7507" i="8" s="1"/>
  <c r="R7508" i="8" s="1"/>
  <c r="R7509" i="8" s="1"/>
  <c r="R7510" i="8" s="1"/>
  <c r="R7511" i="8" s="1"/>
  <c r="R7512" i="8" s="1"/>
  <c r="R7513" i="8" s="1"/>
  <c r="R7514" i="8" s="1"/>
  <c r="R7515" i="8" s="1"/>
  <c r="R7516" i="8" s="1"/>
  <c r="R7517" i="8" s="1"/>
  <c r="R7518" i="8" s="1"/>
  <c r="R7519" i="8" s="1"/>
  <c r="R7520" i="8" s="1"/>
  <c r="R7521" i="8" s="1"/>
  <c r="R7522" i="8" s="1"/>
  <c r="R7523" i="8" s="1"/>
  <c r="R7524" i="8" s="1"/>
  <c r="R7525" i="8" s="1"/>
  <c r="R7526" i="8" s="1"/>
  <c r="R7527" i="8" s="1"/>
  <c r="R7528" i="8" s="1"/>
  <c r="R7529" i="8" s="1"/>
  <c r="R7530" i="8" s="1"/>
  <c r="R7531" i="8" s="1"/>
  <c r="R7532" i="8" s="1"/>
  <c r="R7533" i="8" s="1"/>
  <c r="R7534" i="8" s="1"/>
  <c r="R7535" i="8" s="1"/>
  <c r="R7536" i="8" s="1"/>
  <c r="R7537" i="8" s="1"/>
  <c r="R7538" i="8" s="1"/>
  <c r="R7539" i="8" s="1"/>
  <c r="R7540" i="8" s="1"/>
  <c r="R7541" i="8" s="1"/>
  <c r="R7542" i="8" s="1"/>
  <c r="R7543" i="8" s="1"/>
  <c r="R7544" i="8" s="1"/>
  <c r="R7545" i="8" s="1"/>
  <c r="R7546" i="8" s="1"/>
  <c r="R7547" i="8" s="1"/>
  <c r="R7548" i="8" s="1"/>
  <c r="R7549" i="8" s="1"/>
  <c r="R7550" i="8" s="1"/>
  <c r="R7551" i="8" s="1"/>
  <c r="R7552" i="8" s="1"/>
  <c r="R7553" i="8" s="1"/>
  <c r="R7554" i="8" s="1"/>
  <c r="R7555" i="8" s="1"/>
  <c r="R7556" i="8" s="1"/>
  <c r="R7557" i="8" s="1"/>
  <c r="R7558" i="8" s="1"/>
  <c r="R7559" i="8" s="1"/>
  <c r="R7560" i="8" s="1"/>
  <c r="R7561" i="8" s="1"/>
  <c r="R7562" i="8" s="1"/>
  <c r="R7563" i="8" s="1"/>
  <c r="R7564" i="8" s="1"/>
  <c r="R7565" i="8" s="1"/>
  <c r="R7566" i="8" s="1"/>
  <c r="R7567" i="8" s="1"/>
  <c r="R7568" i="8" s="1"/>
  <c r="R7569" i="8" s="1"/>
  <c r="R7570" i="8" s="1"/>
  <c r="R7571" i="8" s="1"/>
  <c r="R7572" i="8" s="1"/>
  <c r="R7573" i="8" s="1"/>
  <c r="R7574" i="8" s="1"/>
  <c r="R7575" i="8" s="1"/>
  <c r="R7576" i="8" s="1"/>
  <c r="R7577" i="8" s="1"/>
  <c r="R7578" i="8" s="1"/>
  <c r="R7579" i="8" s="1"/>
  <c r="R7580" i="8" s="1"/>
  <c r="R7581" i="8" s="1"/>
  <c r="R7582" i="8" s="1"/>
  <c r="R7583" i="8" s="1"/>
  <c r="R7584" i="8" s="1"/>
  <c r="R7585" i="8" s="1"/>
  <c r="R7586" i="8" s="1"/>
  <c r="R7587" i="8" s="1"/>
  <c r="R7588" i="8" s="1"/>
  <c r="R7589" i="8" s="1"/>
  <c r="R7590" i="8" s="1"/>
  <c r="R7591" i="8" s="1"/>
  <c r="R7592" i="8" s="1"/>
  <c r="R7593" i="8" s="1"/>
  <c r="R7594" i="8" s="1"/>
  <c r="R7595" i="8" s="1"/>
  <c r="R7596" i="8" s="1"/>
  <c r="R7597" i="8" s="1"/>
  <c r="R7598" i="8" s="1"/>
  <c r="R7599" i="8" s="1"/>
  <c r="R7600" i="8" s="1"/>
  <c r="R7601" i="8" s="1"/>
  <c r="R7602" i="8" s="1"/>
  <c r="R7603" i="8" s="1"/>
  <c r="R7604" i="8" s="1"/>
  <c r="R7605" i="8" s="1"/>
  <c r="R7606" i="8" s="1"/>
  <c r="R7607" i="8" s="1"/>
  <c r="R7608" i="8" s="1"/>
  <c r="R7609" i="8" s="1"/>
  <c r="R7610" i="8" s="1"/>
  <c r="R7611" i="8" s="1"/>
  <c r="R7612" i="8" s="1"/>
  <c r="R7613" i="8" s="1"/>
  <c r="R7614" i="8" s="1"/>
  <c r="R7615" i="8" s="1"/>
  <c r="R7616" i="8" s="1"/>
  <c r="R7617" i="8" s="1"/>
  <c r="R7618" i="8" s="1"/>
  <c r="R7619" i="8" s="1"/>
  <c r="R7620" i="8" s="1"/>
  <c r="R7621" i="8" s="1"/>
  <c r="R7622" i="8" s="1"/>
  <c r="R7623" i="8" s="1"/>
  <c r="R7624" i="8" s="1"/>
  <c r="R7625" i="8" s="1"/>
  <c r="R7626" i="8" s="1"/>
  <c r="R7627" i="8" s="1"/>
  <c r="R7628" i="8" s="1"/>
  <c r="R7629" i="8" s="1"/>
  <c r="R7630" i="8" s="1"/>
  <c r="R7631" i="8" s="1"/>
  <c r="R7632" i="8" s="1"/>
  <c r="R7633" i="8" s="1"/>
  <c r="R7634" i="8" s="1"/>
  <c r="R7635" i="8" s="1"/>
  <c r="R7636" i="8" s="1"/>
  <c r="R7637" i="8" s="1"/>
  <c r="R7638" i="8" s="1"/>
  <c r="R7639" i="8" s="1"/>
  <c r="R7640" i="8" s="1"/>
  <c r="R7641" i="8" s="1"/>
  <c r="R7642" i="8" s="1"/>
  <c r="R7643" i="8" s="1"/>
  <c r="R7644" i="8" s="1"/>
  <c r="R7645" i="8" s="1"/>
  <c r="R7646" i="8" s="1"/>
  <c r="R7647" i="8" s="1"/>
  <c r="R7648" i="8" s="1"/>
  <c r="R7649" i="8" s="1"/>
  <c r="R7650" i="8" s="1"/>
  <c r="R7651" i="8" s="1"/>
  <c r="R7652" i="8" s="1"/>
  <c r="R7653" i="8" s="1"/>
  <c r="R7654" i="8" s="1"/>
  <c r="R7655" i="8" s="1"/>
  <c r="R7656" i="8" s="1"/>
  <c r="R7657" i="8" s="1"/>
  <c r="R7658" i="8" s="1"/>
  <c r="R7659" i="8" s="1"/>
  <c r="R7660" i="8" s="1"/>
  <c r="R7661" i="8" s="1"/>
  <c r="R7662" i="8" s="1"/>
  <c r="R7663" i="8" s="1"/>
  <c r="R7664" i="8" s="1"/>
  <c r="R7665" i="8" s="1"/>
  <c r="R7666" i="8" s="1"/>
  <c r="R7667" i="8" s="1"/>
  <c r="R7668" i="8" s="1"/>
  <c r="R7669" i="8" s="1"/>
  <c r="R7670" i="8" s="1"/>
  <c r="R7671" i="8" s="1"/>
  <c r="R7672" i="8" s="1"/>
  <c r="R7673" i="8" s="1"/>
  <c r="R7674" i="8" s="1"/>
  <c r="R7675" i="8" s="1"/>
  <c r="R7676" i="8" s="1"/>
  <c r="R7677" i="8" s="1"/>
  <c r="R7678" i="8" s="1"/>
  <c r="R7679" i="8" s="1"/>
  <c r="R7680" i="8" s="1"/>
  <c r="R7681" i="8" s="1"/>
  <c r="R7682" i="8" s="1"/>
  <c r="R7683" i="8" s="1"/>
  <c r="R7684" i="8" s="1"/>
  <c r="R7685" i="8" s="1"/>
  <c r="R7686" i="8" s="1"/>
  <c r="R7687" i="8" s="1"/>
  <c r="R7688" i="8" s="1"/>
  <c r="R7689" i="8" s="1"/>
  <c r="R7690" i="8" s="1"/>
  <c r="R7691" i="8" s="1"/>
  <c r="R7692" i="8" s="1"/>
  <c r="R7693" i="8" s="1"/>
  <c r="R7694" i="8" s="1"/>
  <c r="R7695" i="8" s="1"/>
  <c r="R7696" i="8" s="1"/>
  <c r="R7697" i="8" s="1"/>
  <c r="R7698" i="8" s="1"/>
  <c r="R7699" i="8" s="1"/>
  <c r="R7700" i="8" s="1"/>
  <c r="R7701" i="8" s="1"/>
  <c r="R7702" i="8" s="1"/>
  <c r="R7703" i="8" s="1"/>
  <c r="R7704" i="8" s="1"/>
  <c r="R7705" i="8" s="1"/>
  <c r="R7706" i="8" s="1"/>
  <c r="R7707" i="8" s="1"/>
  <c r="R7708" i="8" s="1"/>
  <c r="R7709" i="8" s="1"/>
  <c r="R7710" i="8" s="1"/>
  <c r="R7711" i="8" s="1"/>
  <c r="R7712" i="8" s="1"/>
  <c r="R7713" i="8" s="1"/>
  <c r="R7714" i="8" s="1"/>
  <c r="R7715" i="8" s="1"/>
  <c r="R7716" i="8" s="1"/>
  <c r="R7717" i="8" s="1"/>
  <c r="R7718" i="8" s="1"/>
  <c r="R7719" i="8" s="1"/>
  <c r="R7720" i="8" s="1"/>
  <c r="R7721" i="8" s="1"/>
  <c r="R7722" i="8" s="1"/>
  <c r="R7723" i="8" s="1"/>
  <c r="R7724" i="8" s="1"/>
  <c r="R7725" i="8" s="1"/>
  <c r="R7726" i="8" s="1"/>
  <c r="R7727" i="8" s="1"/>
  <c r="R7728" i="8" s="1"/>
  <c r="R7729" i="8" s="1"/>
  <c r="R7730" i="8" s="1"/>
  <c r="R7731" i="8" s="1"/>
  <c r="R7732" i="8" s="1"/>
  <c r="R7733" i="8" s="1"/>
  <c r="R7734" i="8" s="1"/>
  <c r="R7735" i="8" s="1"/>
  <c r="R7736" i="8" s="1"/>
  <c r="R7737" i="8" s="1"/>
  <c r="R7738" i="8" s="1"/>
  <c r="R7739" i="8" s="1"/>
  <c r="R7740" i="8" s="1"/>
  <c r="R7741" i="8" s="1"/>
  <c r="R7742" i="8" s="1"/>
  <c r="R7743" i="8" s="1"/>
  <c r="R7744" i="8" s="1"/>
  <c r="R7745" i="8" s="1"/>
  <c r="R7746" i="8" s="1"/>
  <c r="R7747" i="8" s="1"/>
  <c r="R7748" i="8" s="1"/>
  <c r="R7749" i="8" s="1"/>
  <c r="R7750" i="8" s="1"/>
  <c r="R7751" i="8" s="1"/>
  <c r="R7752" i="8" s="1"/>
  <c r="R7753" i="8" s="1"/>
  <c r="R7754" i="8" s="1"/>
  <c r="R7755" i="8" s="1"/>
  <c r="R7756" i="8" s="1"/>
  <c r="R7757" i="8" s="1"/>
  <c r="R7758" i="8" s="1"/>
  <c r="R7759" i="8" s="1"/>
  <c r="R7760" i="8" s="1"/>
  <c r="R7761" i="8" s="1"/>
  <c r="R7762" i="8" s="1"/>
  <c r="R7763" i="8" s="1"/>
  <c r="R7764" i="8" s="1"/>
  <c r="R7765" i="8" s="1"/>
  <c r="R7766" i="8" s="1"/>
  <c r="R7767" i="8" s="1"/>
  <c r="R7768" i="8" s="1"/>
  <c r="R7769" i="8" s="1"/>
  <c r="R7770" i="8" s="1"/>
  <c r="R7771" i="8" s="1"/>
  <c r="R7772" i="8" s="1"/>
  <c r="R7773" i="8" s="1"/>
  <c r="R7774" i="8" s="1"/>
  <c r="R7775" i="8" s="1"/>
  <c r="R7776" i="8" s="1"/>
  <c r="R7777" i="8" s="1"/>
  <c r="R7778" i="8" s="1"/>
  <c r="R7779" i="8" s="1"/>
  <c r="R7780" i="8" s="1"/>
  <c r="R7781" i="8" s="1"/>
  <c r="R7782" i="8" s="1"/>
  <c r="R7783" i="8" s="1"/>
  <c r="R7784" i="8" s="1"/>
  <c r="R7785" i="8" s="1"/>
  <c r="R7786" i="8" s="1"/>
  <c r="R7787" i="8" s="1"/>
  <c r="R7788" i="8" s="1"/>
  <c r="R7789" i="8" s="1"/>
  <c r="R7790" i="8" s="1"/>
  <c r="R7791" i="8" s="1"/>
  <c r="R7792" i="8" s="1"/>
  <c r="R7793" i="8" s="1"/>
  <c r="R7794" i="8" s="1"/>
  <c r="R7795" i="8" s="1"/>
  <c r="R7796" i="8" s="1"/>
  <c r="R7797" i="8" s="1"/>
  <c r="R7798" i="8" s="1"/>
  <c r="R7799" i="8" s="1"/>
  <c r="R7800" i="8" s="1"/>
  <c r="R7801" i="8" s="1"/>
  <c r="R7802" i="8" s="1"/>
  <c r="R7803" i="8" s="1"/>
  <c r="R7804" i="8" s="1"/>
  <c r="R7805" i="8" s="1"/>
  <c r="R7806" i="8" s="1"/>
  <c r="R7807" i="8" s="1"/>
  <c r="R7808" i="8" s="1"/>
  <c r="R7809" i="8" s="1"/>
  <c r="R7810" i="8" s="1"/>
  <c r="R7811" i="8" s="1"/>
  <c r="R7812" i="8" s="1"/>
  <c r="R7813" i="8" s="1"/>
  <c r="R7814" i="8" s="1"/>
  <c r="R7815" i="8" s="1"/>
  <c r="R7816" i="8" s="1"/>
  <c r="R7817" i="8" s="1"/>
  <c r="R7818" i="8" s="1"/>
  <c r="R7819" i="8" s="1"/>
  <c r="R7820" i="8" s="1"/>
  <c r="R7821" i="8" s="1"/>
  <c r="R7822" i="8" s="1"/>
  <c r="R7823" i="8" s="1"/>
  <c r="R7824" i="8" s="1"/>
  <c r="R7825" i="8" s="1"/>
  <c r="R7826" i="8" s="1"/>
  <c r="R7827" i="8" s="1"/>
  <c r="R7828" i="8" s="1"/>
  <c r="R7829" i="8" s="1"/>
  <c r="R7830" i="8" s="1"/>
  <c r="R7831" i="8" s="1"/>
  <c r="R7832" i="8" s="1"/>
  <c r="R7833" i="8" s="1"/>
  <c r="R7834" i="8" s="1"/>
  <c r="R7835" i="8" s="1"/>
  <c r="R7836" i="8" s="1"/>
  <c r="R7837" i="8" s="1"/>
  <c r="R7838" i="8" s="1"/>
  <c r="R7839" i="8" s="1"/>
  <c r="R7840" i="8" s="1"/>
  <c r="R7841" i="8" s="1"/>
  <c r="R7842" i="8" s="1"/>
  <c r="R7843" i="8" s="1"/>
  <c r="R7844" i="8" s="1"/>
  <c r="R7845" i="8" s="1"/>
  <c r="R7846" i="8" s="1"/>
  <c r="R7847" i="8" s="1"/>
  <c r="R7848" i="8" s="1"/>
  <c r="R7849" i="8" s="1"/>
  <c r="R7850" i="8" s="1"/>
  <c r="R7851" i="8" s="1"/>
  <c r="R7852" i="8" s="1"/>
  <c r="R7853" i="8" s="1"/>
  <c r="R7854" i="8" s="1"/>
  <c r="R7855" i="8" s="1"/>
  <c r="R7856" i="8" s="1"/>
  <c r="R7857" i="8" s="1"/>
  <c r="R7858" i="8" s="1"/>
  <c r="R7859" i="8" s="1"/>
  <c r="R7860" i="8" s="1"/>
  <c r="R7861" i="8" s="1"/>
  <c r="R7862" i="8" s="1"/>
  <c r="R7863" i="8" s="1"/>
  <c r="R7864" i="8" s="1"/>
  <c r="R7865" i="8" s="1"/>
  <c r="R7866" i="8" s="1"/>
  <c r="R7867" i="8" s="1"/>
  <c r="R7868" i="8" s="1"/>
  <c r="R7869" i="8" s="1"/>
  <c r="R7870" i="8" s="1"/>
  <c r="R7871" i="8" s="1"/>
  <c r="R7872" i="8" s="1"/>
  <c r="R7873" i="8" s="1"/>
  <c r="R7874" i="8" s="1"/>
  <c r="R7875" i="8" s="1"/>
  <c r="R7876" i="8" s="1"/>
  <c r="R7877" i="8" s="1"/>
  <c r="R7878" i="8" s="1"/>
  <c r="R7879" i="8" s="1"/>
  <c r="R7880" i="8" s="1"/>
  <c r="R7881" i="8" s="1"/>
  <c r="R7882" i="8" s="1"/>
  <c r="R7883" i="8" s="1"/>
  <c r="R7884" i="8" s="1"/>
  <c r="R7885" i="8" s="1"/>
  <c r="R7886" i="8" s="1"/>
  <c r="R7887" i="8" s="1"/>
  <c r="R7888" i="8" s="1"/>
  <c r="R7889" i="8" s="1"/>
  <c r="R7890" i="8" s="1"/>
  <c r="R7891" i="8" s="1"/>
  <c r="R7892" i="8" s="1"/>
  <c r="R7893" i="8" s="1"/>
  <c r="R7894" i="8" s="1"/>
  <c r="R7895" i="8" s="1"/>
  <c r="R7896" i="8" s="1"/>
  <c r="R7897" i="8" s="1"/>
  <c r="R7898" i="8" s="1"/>
  <c r="R7899" i="8" s="1"/>
  <c r="R7900" i="8" s="1"/>
  <c r="R7901" i="8" s="1"/>
  <c r="R7902" i="8" s="1"/>
  <c r="R7903" i="8" s="1"/>
  <c r="R7904" i="8" s="1"/>
  <c r="R7905" i="8" s="1"/>
  <c r="R7906" i="8" s="1"/>
  <c r="R7907" i="8" s="1"/>
  <c r="R7908" i="8" s="1"/>
  <c r="R7909" i="8" s="1"/>
  <c r="R7910" i="8" s="1"/>
  <c r="R7911" i="8" s="1"/>
  <c r="R7912" i="8" s="1"/>
  <c r="R7913" i="8" s="1"/>
  <c r="R7914" i="8" s="1"/>
  <c r="R7915" i="8" s="1"/>
  <c r="R7916" i="8" s="1"/>
  <c r="R7917" i="8" s="1"/>
  <c r="R7918" i="8" s="1"/>
  <c r="R7919" i="8" s="1"/>
  <c r="R7920" i="8" s="1"/>
  <c r="R7921" i="8" s="1"/>
  <c r="R7922" i="8" s="1"/>
  <c r="R7923" i="8" s="1"/>
  <c r="R7924" i="8" s="1"/>
  <c r="R7925" i="8" s="1"/>
  <c r="R7926" i="8" s="1"/>
  <c r="R7927" i="8" s="1"/>
  <c r="R7928" i="8" s="1"/>
  <c r="R7929" i="8" s="1"/>
  <c r="R7930" i="8" s="1"/>
  <c r="R7931" i="8" s="1"/>
  <c r="R7932" i="8" s="1"/>
  <c r="R7933" i="8" s="1"/>
  <c r="R7934" i="8" s="1"/>
  <c r="R7935" i="8" s="1"/>
  <c r="R7936" i="8" s="1"/>
  <c r="R7937" i="8" s="1"/>
  <c r="R7938" i="8" s="1"/>
  <c r="R7939" i="8" s="1"/>
  <c r="R7940" i="8" s="1"/>
  <c r="R7941" i="8" s="1"/>
  <c r="R7942" i="8" s="1"/>
  <c r="R7943" i="8" s="1"/>
  <c r="R7944" i="8" s="1"/>
  <c r="R7945" i="8" s="1"/>
  <c r="R7946" i="8" s="1"/>
  <c r="R7947" i="8" s="1"/>
  <c r="R7948" i="8" s="1"/>
  <c r="R7949" i="8" s="1"/>
  <c r="R7950" i="8" s="1"/>
  <c r="R7951" i="8" s="1"/>
  <c r="R7952" i="8" s="1"/>
  <c r="R7953" i="8" s="1"/>
  <c r="R7954" i="8" s="1"/>
  <c r="R7955" i="8" s="1"/>
  <c r="R7956" i="8" s="1"/>
  <c r="R7957" i="8" s="1"/>
  <c r="R7958" i="8" s="1"/>
  <c r="R7959" i="8" s="1"/>
  <c r="R7960" i="8" s="1"/>
  <c r="R7961" i="8" s="1"/>
  <c r="R7962" i="8" s="1"/>
  <c r="R7963" i="8" s="1"/>
  <c r="R7964" i="8" s="1"/>
  <c r="R7965" i="8" s="1"/>
  <c r="R7966" i="8" s="1"/>
  <c r="R7967" i="8" s="1"/>
  <c r="R7968" i="8" s="1"/>
  <c r="R7969" i="8" s="1"/>
  <c r="R7970" i="8" s="1"/>
  <c r="R7971" i="8" s="1"/>
  <c r="R7972" i="8" s="1"/>
  <c r="R7973" i="8" s="1"/>
  <c r="R7974" i="8" s="1"/>
  <c r="R7975" i="8" s="1"/>
  <c r="R7976" i="8" s="1"/>
  <c r="R7977" i="8" s="1"/>
  <c r="R7978" i="8" s="1"/>
  <c r="R7979" i="8" s="1"/>
  <c r="R7980" i="8" s="1"/>
  <c r="R7981" i="8" s="1"/>
  <c r="R7982" i="8" s="1"/>
  <c r="R7983" i="8" s="1"/>
  <c r="R7984" i="8" s="1"/>
  <c r="R7985" i="8" s="1"/>
  <c r="R7986" i="8" s="1"/>
  <c r="R7987" i="8" s="1"/>
  <c r="R7988" i="8" s="1"/>
  <c r="R7989" i="8" s="1"/>
  <c r="R7990" i="8" s="1"/>
  <c r="R7991" i="8" s="1"/>
  <c r="R7992" i="8" s="1"/>
  <c r="R7993" i="8" s="1"/>
  <c r="R7994" i="8" s="1"/>
  <c r="R7995" i="8" s="1"/>
  <c r="R7996" i="8" s="1"/>
  <c r="R7997" i="8" s="1"/>
  <c r="R7998" i="8" s="1"/>
  <c r="R7999" i="8" s="1"/>
  <c r="R8000" i="8" s="1"/>
  <c r="R8001" i="8" s="1"/>
  <c r="R8002" i="8" s="1"/>
  <c r="R8003" i="8" s="1"/>
  <c r="R8004" i="8" s="1"/>
  <c r="R8005" i="8" s="1"/>
  <c r="R8006" i="8" s="1"/>
  <c r="R8007" i="8" s="1"/>
  <c r="R8008" i="8" s="1"/>
  <c r="R8009" i="8" s="1"/>
  <c r="R8010" i="8" s="1"/>
  <c r="R8011" i="8" s="1"/>
  <c r="R8012" i="8" s="1"/>
  <c r="R8013" i="8" s="1"/>
  <c r="R8014" i="8" s="1"/>
  <c r="R8015" i="8" s="1"/>
  <c r="R8016" i="8" s="1"/>
  <c r="R8017" i="8" s="1"/>
  <c r="R8018" i="8" s="1"/>
  <c r="R8019" i="8" s="1"/>
  <c r="R8020" i="8" s="1"/>
  <c r="R8021" i="8" s="1"/>
  <c r="R8022" i="8" s="1"/>
  <c r="R8023" i="8" s="1"/>
  <c r="R8024" i="8" s="1"/>
  <c r="R8025" i="8" s="1"/>
  <c r="R8026" i="8" s="1"/>
  <c r="R8027" i="8" s="1"/>
  <c r="R8028" i="8" s="1"/>
  <c r="R8029" i="8" s="1"/>
  <c r="R8030" i="8" s="1"/>
  <c r="R8031" i="8" s="1"/>
  <c r="R8032" i="8" s="1"/>
  <c r="R8033" i="8" s="1"/>
  <c r="R8034" i="8" s="1"/>
  <c r="R8035" i="8" s="1"/>
  <c r="R8036" i="8" s="1"/>
  <c r="R8037" i="8" s="1"/>
  <c r="R8038" i="8" s="1"/>
  <c r="R8039" i="8" s="1"/>
  <c r="R8040" i="8" s="1"/>
  <c r="R8041" i="8" s="1"/>
  <c r="R8042" i="8" s="1"/>
  <c r="R8043" i="8" s="1"/>
  <c r="R8044" i="8" s="1"/>
  <c r="R8045" i="8" s="1"/>
  <c r="R8046" i="8" s="1"/>
  <c r="R8047" i="8" s="1"/>
  <c r="R8048" i="8" s="1"/>
  <c r="R8049" i="8" s="1"/>
  <c r="R8050" i="8" s="1"/>
  <c r="R8051" i="8" s="1"/>
  <c r="R8052" i="8" s="1"/>
  <c r="R8053" i="8" s="1"/>
  <c r="R8054" i="8" s="1"/>
  <c r="R8055" i="8" s="1"/>
  <c r="R8056" i="8" s="1"/>
  <c r="R8057" i="8" s="1"/>
  <c r="R8058" i="8" s="1"/>
  <c r="R8059" i="8" s="1"/>
  <c r="R8060" i="8" s="1"/>
  <c r="R8061" i="8" s="1"/>
  <c r="R8062" i="8" s="1"/>
  <c r="R8063" i="8" s="1"/>
  <c r="R8064" i="8" s="1"/>
  <c r="R8065" i="8" s="1"/>
  <c r="R8066" i="8" s="1"/>
  <c r="R8067" i="8" s="1"/>
  <c r="R8068" i="8" s="1"/>
  <c r="R8069" i="8" s="1"/>
  <c r="R8070" i="8" s="1"/>
  <c r="R8071" i="8" s="1"/>
  <c r="R8072" i="8" s="1"/>
  <c r="R8073" i="8" s="1"/>
  <c r="R8074" i="8" s="1"/>
  <c r="R8075" i="8" s="1"/>
  <c r="R8076" i="8" s="1"/>
  <c r="R8077" i="8" s="1"/>
  <c r="R8078" i="8" s="1"/>
  <c r="R8079" i="8" s="1"/>
  <c r="R8080" i="8" s="1"/>
  <c r="R8081" i="8" s="1"/>
  <c r="R8082" i="8" s="1"/>
  <c r="R8083" i="8" s="1"/>
  <c r="R8084" i="8" s="1"/>
  <c r="R8085" i="8" s="1"/>
  <c r="R8086" i="8" s="1"/>
  <c r="R8087" i="8" s="1"/>
  <c r="R8088" i="8" s="1"/>
  <c r="R8089" i="8" s="1"/>
  <c r="R8090" i="8" s="1"/>
  <c r="R8091" i="8" s="1"/>
  <c r="R8092" i="8" s="1"/>
  <c r="R8093" i="8" s="1"/>
  <c r="R8094" i="8" s="1"/>
  <c r="R8095" i="8" s="1"/>
  <c r="R8096" i="8" s="1"/>
  <c r="R8097" i="8" s="1"/>
  <c r="R8098" i="8" s="1"/>
  <c r="R8099" i="8" s="1"/>
  <c r="R8100" i="8" s="1"/>
  <c r="R8101" i="8" s="1"/>
  <c r="R8102" i="8" s="1"/>
  <c r="R8103" i="8" s="1"/>
  <c r="R8104" i="8" s="1"/>
  <c r="R8105" i="8" s="1"/>
  <c r="R8106" i="8" s="1"/>
  <c r="R8107" i="8" s="1"/>
  <c r="R8108" i="8" s="1"/>
  <c r="R8109" i="8" s="1"/>
  <c r="R8110" i="8" s="1"/>
  <c r="R8111" i="8" s="1"/>
  <c r="R8112" i="8" s="1"/>
  <c r="R8113" i="8" s="1"/>
  <c r="R8114" i="8" s="1"/>
  <c r="R8115" i="8" s="1"/>
  <c r="R8116" i="8" s="1"/>
  <c r="R8117" i="8" s="1"/>
  <c r="R8118" i="8" s="1"/>
  <c r="R8119" i="8" s="1"/>
  <c r="R8120" i="8" s="1"/>
  <c r="R8121" i="8" s="1"/>
  <c r="R8122" i="8" s="1"/>
  <c r="R8123" i="8" s="1"/>
  <c r="R8124" i="8" s="1"/>
  <c r="R8125" i="8" s="1"/>
  <c r="R8126" i="8" s="1"/>
  <c r="R8127" i="8" s="1"/>
  <c r="R8128" i="8" s="1"/>
  <c r="R8129" i="8" s="1"/>
  <c r="R8130" i="8" s="1"/>
  <c r="R8131" i="8" s="1"/>
  <c r="R8132" i="8" s="1"/>
  <c r="R8133" i="8" s="1"/>
  <c r="R8134" i="8" s="1"/>
  <c r="R8135" i="8" s="1"/>
  <c r="R8136" i="8" s="1"/>
  <c r="R8137" i="8" s="1"/>
  <c r="R8138" i="8" s="1"/>
  <c r="R8139" i="8" s="1"/>
  <c r="R8140" i="8" s="1"/>
  <c r="R8141" i="8" s="1"/>
  <c r="R8142" i="8" s="1"/>
  <c r="R8143" i="8" s="1"/>
  <c r="R8144" i="8" s="1"/>
  <c r="R8145" i="8" s="1"/>
  <c r="R8146" i="8" s="1"/>
  <c r="R8147" i="8" s="1"/>
  <c r="R8148" i="8" s="1"/>
  <c r="R8149" i="8" s="1"/>
  <c r="R8150" i="8" s="1"/>
  <c r="R8151" i="8" s="1"/>
  <c r="R8152" i="8" s="1"/>
  <c r="R8153" i="8" s="1"/>
  <c r="R8154" i="8" s="1"/>
  <c r="R8155" i="8" s="1"/>
  <c r="R8156" i="8" s="1"/>
  <c r="R8157" i="8" s="1"/>
  <c r="R8158" i="8" s="1"/>
  <c r="R8159" i="8" s="1"/>
  <c r="R8160" i="8" s="1"/>
  <c r="R8161" i="8" s="1"/>
  <c r="R8162" i="8" s="1"/>
  <c r="R8163" i="8" s="1"/>
  <c r="R8164" i="8" s="1"/>
  <c r="R8165" i="8" s="1"/>
  <c r="R8166" i="8" s="1"/>
  <c r="R8167" i="8" s="1"/>
  <c r="R8168" i="8" s="1"/>
  <c r="R8169" i="8" s="1"/>
  <c r="R8170" i="8" s="1"/>
  <c r="R8171" i="8" s="1"/>
  <c r="R8172" i="8" s="1"/>
  <c r="R8173" i="8" s="1"/>
  <c r="R8174" i="8" s="1"/>
  <c r="R8175" i="8" s="1"/>
  <c r="R8176" i="8" s="1"/>
  <c r="R8177" i="8" s="1"/>
  <c r="R8178" i="8" s="1"/>
  <c r="R8179" i="8" s="1"/>
  <c r="R8180" i="8" s="1"/>
  <c r="R8181" i="8" s="1"/>
  <c r="R8182" i="8" s="1"/>
  <c r="R8183" i="8" s="1"/>
  <c r="R8184" i="8" s="1"/>
  <c r="R8185" i="8" s="1"/>
  <c r="R8186" i="8" s="1"/>
  <c r="R8187" i="8" s="1"/>
  <c r="R8188" i="8" s="1"/>
  <c r="R8189" i="8" s="1"/>
  <c r="R8190" i="8" s="1"/>
  <c r="R8191" i="8" s="1"/>
  <c r="R8192" i="8" s="1"/>
  <c r="R8193" i="8" s="1"/>
  <c r="R8194" i="8" s="1"/>
  <c r="R8195" i="8" s="1"/>
  <c r="R8196" i="8" s="1"/>
  <c r="R8197" i="8" s="1"/>
  <c r="R8198" i="8" s="1"/>
  <c r="R8199" i="8" s="1"/>
  <c r="R8200" i="8" s="1"/>
  <c r="R8201" i="8" s="1"/>
  <c r="R8202" i="8" s="1"/>
  <c r="R8203" i="8" s="1"/>
  <c r="R8204" i="8" s="1"/>
  <c r="R8205" i="8" s="1"/>
  <c r="R8206" i="8" s="1"/>
  <c r="R8207" i="8" s="1"/>
  <c r="R8208" i="8" s="1"/>
  <c r="R8209" i="8" s="1"/>
  <c r="R8210" i="8" s="1"/>
  <c r="R8211" i="8" s="1"/>
  <c r="R8212" i="8" s="1"/>
  <c r="R8213" i="8" s="1"/>
  <c r="R8214" i="8" s="1"/>
  <c r="R8215" i="8" s="1"/>
  <c r="R8216" i="8" s="1"/>
  <c r="R8217" i="8" s="1"/>
  <c r="R8218" i="8" s="1"/>
  <c r="R8219" i="8" s="1"/>
  <c r="R8220" i="8" s="1"/>
  <c r="R8221" i="8" s="1"/>
  <c r="R8222" i="8" s="1"/>
  <c r="R8223" i="8" s="1"/>
  <c r="R8224" i="8" s="1"/>
  <c r="R8225" i="8" s="1"/>
  <c r="R8226" i="8" s="1"/>
  <c r="R8227" i="8" s="1"/>
  <c r="R8228" i="8" s="1"/>
  <c r="R8229" i="8" s="1"/>
  <c r="R8230" i="8" s="1"/>
  <c r="R8231" i="8" s="1"/>
  <c r="R8232" i="8" s="1"/>
  <c r="R8233" i="8" s="1"/>
  <c r="R8234" i="8" s="1"/>
  <c r="R8235" i="8" s="1"/>
  <c r="R8236" i="8" s="1"/>
  <c r="R8237" i="8" s="1"/>
  <c r="R8238" i="8" s="1"/>
  <c r="R8239" i="8" s="1"/>
  <c r="R8240" i="8" s="1"/>
  <c r="R8241" i="8" s="1"/>
  <c r="R8242" i="8" s="1"/>
  <c r="R8243" i="8" s="1"/>
  <c r="R8244" i="8" s="1"/>
  <c r="R8245" i="8" s="1"/>
  <c r="R8246" i="8" s="1"/>
  <c r="R8247" i="8" s="1"/>
  <c r="R8248" i="8" s="1"/>
  <c r="R8249" i="8" s="1"/>
  <c r="R8250" i="8" s="1"/>
  <c r="R8251" i="8" s="1"/>
  <c r="R8252" i="8" s="1"/>
  <c r="R8253" i="8" s="1"/>
  <c r="R8254" i="8" s="1"/>
  <c r="R8255" i="8" s="1"/>
  <c r="R8256" i="8" s="1"/>
  <c r="R8257" i="8" s="1"/>
  <c r="R8258" i="8" s="1"/>
  <c r="R8259" i="8" s="1"/>
  <c r="R8260" i="8" s="1"/>
  <c r="R8261" i="8" s="1"/>
  <c r="R8262" i="8" s="1"/>
  <c r="R8263" i="8" s="1"/>
  <c r="R8264" i="8" s="1"/>
  <c r="R8265" i="8" s="1"/>
  <c r="R8266" i="8" s="1"/>
  <c r="R8267" i="8" s="1"/>
  <c r="R8268" i="8" s="1"/>
  <c r="R8269" i="8" s="1"/>
  <c r="R8270" i="8" s="1"/>
  <c r="R8271" i="8" s="1"/>
  <c r="R8272" i="8" s="1"/>
  <c r="R8273" i="8" s="1"/>
  <c r="R8274" i="8" s="1"/>
  <c r="R8275" i="8" s="1"/>
  <c r="R8276" i="8" s="1"/>
  <c r="R8277" i="8" s="1"/>
  <c r="R8278" i="8" s="1"/>
  <c r="R8279" i="8" s="1"/>
  <c r="R8280" i="8" s="1"/>
  <c r="R8281" i="8" s="1"/>
  <c r="R8282" i="8" s="1"/>
  <c r="R8283" i="8" s="1"/>
  <c r="R8284" i="8" s="1"/>
  <c r="R8285" i="8" s="1"/>
  <c r="R8286" i="8" s="1"/>
  <c r="R8287" i="8" s="1"/>
  <c r="R8288" i="8" s="1"/>
  <c r="R8289" i="8" s="1"/>
  <c r="R8290" i="8" s="1"/>
  <c r="R8291" i="8" s="1"/>
  <c r="R8292" i="8" s="1"/>
  <c r="R8293" i="8" s="1"/>
  <c r="R8294" i="8" s="1"/>
  <c r="R8295" i="8" s="1"/>
  <c r="R8296" i="8" s="1"/>
  <c r="R8297" i="8" s="1"/>
  <c r="R8298" i="8" s="1"/>
  <c r="R8299" i="8" s="1"/>
  <c r="R8300" i="8" s="1"/>
  <c r="R8301" i="8" s="1"/>
  <c r="R8302" i="8" s="1"/>
  <c r="R8303" i="8" s="1"/>
  <c r="R8304" i="8" s="1"/>
  <c r="R8305" i="8" s="1"/>
  <c r="R8306" i="8" s="1"/>
  <c r="R8307" i="8" s="1"/>
  <c r="R8308" i="8" s="1"/>
  <c r="R8309" i="8" s="1"/>
  <c r="R8310" i="8" s="1"/>
  <c r="R8311" i="8" s="1"/>
  <c r="R8312" i="8" s="1"/>
  <c r="R8313" i="8" s="1"/>
  <c r="R8314" i="8" s="1"/>
  <c r="R8315" i="8" s="1"/>
  <c r="R8316" i="8" s="1"/>
  <c r="R8317" i="8" s="1"/>
  <c r="R8318" i="8" s="1"/>
  <c r="R8319" i="8" s="1"/>
  <c r="R8320" i="8" s="1"/>
  <c r="R8321" i="8" s="1"/>
  <c r="R8322" i="8" s="1"/>
  <c r="R8323" i="8" s="1"/>
  <c r="R8324" i="8" s="1"/>
  <c r="R8325" i="8" s="1"/>
  <c r="R8326" i="8" s="1"/>
  <c r="R8327" i="8" s="1"/>
  <c r="R8328" i="8" s="1"/>
  <c r="R8329" i="8" s="1"/>
  <c r="R8330" i="8" s="1"/>
  <c r="R8331" i="8" s="1"/>
  <c r="R8332" i="8" s="1"/>
  <c r="R8333" i="8" s="1"/>
  <c r="R8334" i="8" s="1"/>
  <c r="R8335" i="8" s="1"/>
  <c r="R8336" i="8" s="1"/>
  <c r="R8337" i="8" s="1"/>
  <c r="R8338" i="8" s="1"/>
  <c r="R8339" i="8" s="1"/>
  <c r="R8340" i="8" s="1"/>
  <c r="R8341" i="8" s="1"/>
  <c r="R8342" i="8" s="1"/>
  <c r="R8343" i="8" s="1"/>
  <c r="R8344" i="8" s="1"/>
  <c r="R8345" i="8" s="1"/>
  <c r="R8346" i="8" s="1"/>
  <c r="R8347" i="8" s="1"/>
  <c r="R8348" i="8" s="1"/>
  <c r="R8349" i="8" s="1"/>
  <c r="R8350" i="8" s="1"/>
  <c r="R8351" i="8" s="1"/>
  <c r="R8352" i="8" s="1"/>
  <c r="R8353" i="8" s="1"/>
  <c r="R8354" i="8" s="1"/>
  <c r="R8355" i="8" s="1"/>
  <c r="R8356" i="8" s="1"/>
  <c r="R8357" i="8" s="1"/>
  <c r="R8358" i="8" s="1"/>
  <c r="R8359" i="8" s="1"/>
  <c r="R8360" i="8" s="1"/>
  <c r="R8361" i="8" s="1"/>
  <c r="R8362" i="8" s="1"/>
  <c r="R8363" i="8" s="1"/>
  <c r="R8364" i="8" s="1"/>
  <c r="R8365" i="8" s="1"/>
  <c r="R8366" i="8" s="1"/>
  <c r="R8367" i="8" s="1"/>
  <c r="R8368" i="8" s="1"/>
  <c r="R8369" i="8" s="1"/>
  <c r="R8370" i="8" s="1"/>
  <c r="R8371" i="8" s="1"/>
  <c r="R8372" i="8" s="1"/>
  <c r="R8373" i="8" s="1"/>
  <c r="R8374" i="8" s="1"/>
  <c r="R8375" i="8" s="1"/>
  <c r="R8376" i="8" s="1"/>
  <c r="R8377" i="8" s="1"/>
  <c r="R8378" i="8" s="1"/>
  <c r="R8379" i="8" s="1"/>
  <c r="R8380" i="8" s="1"/>
  <c r="R8381" i="8" s="1"/>
  <c r="R8382" i="8" s="1"/>
  <c r="R8383" i="8" s="1"/>
  <c r="R8384" i="8" s="1"/>
  <c r="R8385" i="8" s="1"/>
  <c r="R8386" i="8" s="1"/>
  <c r="R8387" i="8" s="1"/>
  <c r="R8388" i="8" s="1"/>
  <c r="R8389" i="8" s="1"/>
  <c r="R8390" i="8" s="1"/>
  <c r="R8391" i="8" s="1"/>
  <c r="R8392" i="8" s="1"/>
  <c r="R8393" i="8" s="1"/>
  <c r="R8394" i="8" s="1"/>
  <c r="R8395" i="8" s="1"/>
  <c r="R8396" i="8" s="1"/>
  <c r="R8397" i="8" s="1"/>
  <c r="R8398" i="8" s="1"/>
  <c r="R8399" i="8" s="1"/>
  <c r="R8400" i="8" s="1"/>
  <c r="R8401" i="8" s="1"/>
  <c r="R8402" i="8" s="1"/>
  <c r="R8403" i="8" s="1"/>
  <c r="R8404" i="8" s="1"/>
  <c r="R8405" i="8" s="1"/>
  <c r="R8406" i="8" s="1"/>
  <c r="R8407" i="8" s="1"/>
  <c r="R8408" i="8" s="1"/>
  <c r="R8409" i="8" s="1"/>
  <c r="R8410" i="8" s="1"/>
  <c r="R8411" i="8" s="1"/>
  <c r="R8412" i="8" s="1"/>
  <c r="R8413" i="8" s="1"/>
  <c r="R8414" i="8" s="1"/>
  <c r="R8415" i="8" s="1"/>
  <c r="R8416" i="8" s="1"/>
  <c r="R8417" i="8" s="1"/>
  <c r="R8418" i="8" s="1"/>
  <c r="R8419" i="8" s="1"/>
  <c r="R8420" i="8" s="1"/>
  <c r="R8421" i="8" s="1"/>
  <c r="R8422" i="8" s="1"/>
  <c r="R8423" i="8" s="1"/>
  <c r="R8424" i="8" s="1"/>
  <c r="R8425" i="8" s="1"/>
  <c r="R8426" i="8" s="1"/>
  <c r="R8427" i="8" s="1"/>
  <c r="R8428" i="8" s="1"/>
  <c r="R8429" i="8" s="1"/>
  <c r="R8430" i="8" s="1"/>
  <c r="R8431" i="8" s="1"/>
  <c r="R8432" i="8" s="1"/>
  <c r="R8433" i="8" s="1"/>
  <c r="R8434" i="8" s="1"/>
  <c r="R8435" i="8" s="1"/>
  <c r="R8436" i="8" s="1"/>
  <c r="R8437" i="8" s="1"/>
  <c r="R8438" i="8" s="1"/>
  <c r="R8439" i="8" s="1"/>
  <c r="R8440" i="8" s="1"/>
  <c r="R8441" i="8" s="1"/>
  <c r="R8442" i="8" s="1"/>
  <c r="R8443" i="8" s="1"/>
  <c r="R8444" i="8" s="1"/>
  <c r="R8445" i="8" s="1"/>
  <c r="R8446" i="8" s="1"/>
  <c r="R8447" i="8" s="1"/>
  <c r="R8448" i="8" s="1"/>
  <c r="R8449" i="8" s="1"/>
  <c r="R8450" i="8" s="1"/>
  <c r="R8451" i="8" s="1"/>
  <c r="R8452" i="8" s="1"/>
  <c r="R8453" i="8" s="1"/>
  <c r="R8454" i="8" s="1"/>
  <c r="R8455" i="8" s="1"/>
  <c r="R8456" i="8" s="1"/>
  <c r="R8457" i="8" s="1"/>
  <c r="R8458" i="8" s="1"/>
  <c r="R8459" i="8" s="1"/>
  <c r="R8460" i="8" s="1"/>
  <c r="R8461" i="8" s="1"/>
  <c r="R8462" i="8" s="1"/>
  <c r="R8463" i="8" s="1"/>
  <c r="R8464" i="8" s="1"/>
  <c r="R8465" i="8" s="1"/>
  <c r="R8466" i="8" s="1"/>
  <c r="R8467" i="8" s="1"/>
  <c r="R8468" i="8" s="1"/>
  <c r="R8469" i="8" s="1"/>
  <c r="R8470" i="8" s="1"/>
  <c r="R8471" i="8" s="1"/>
  <c r="R8472" i="8" s="1"/>
  <c r="R8473" i="8" s="1"/>
  <c r="R8474" i="8" s="1"/>
  <c r="R8475" i="8" s="1"/>
  <c r="R8476" i="8" s="1"/>
  <c r="R8477" i="8" s="1"/>
  <c r="R8478" i="8" s="1"/>
  <c r="R8479" i="8" s="1"/>
  <c r="R8480" i="8" s="1"/>
  <c r="R8481" i="8" s="1"/>
  <c r="R8482" i="8" s="1"/>
  <c r="R8483" i="8" s="1"/>
  <c r="R8484" i="8" s="1"/>
  <c r="R8485" i="8" s="1"/>
  <c r="R8486" i="8" s="1"/>
  <c r="R8487" i="8" s="1"/>
  <c r="R8488" i="8" s="1"/>
  <c r="R8489" i="8" s="1"/>
  <c r="R8490" i="8" s="1"/>
  <c r="R8491" i="8" s="1"/>
  <c r="R8492" i="8" s="1"/>
  <c r="R8493" i="8" s="1"/>
  <c r="R8494" i="8" s="1"/>
  <c r="R8495" i="8" s="1"/>
  <c r="R8496" i="8" s="1"/>
  <c r="R8497" i="8" s="1"/>
  <c r="R8498" i="8" s="1"/>
  <c r="R8499" i="8" s="1"/>
  <c r="R8500" i="8" s="1"/>
  <c r="R8501" i="8" s="1"/>
  <c r="R8502" i="8" s="1"/>
  <c r="R8503" i="8" s="1"/>
  <c r="R8504" i="8" s="1"/>
  <c r="R8505" i="8" s="1"/>
  <c r="R8506" i="8" s="1"/>
  <c r="R8507" i="8" s="1"/>
  <c r="R8508" i="8" s="1"/>
  <c r="R8509" i="8" s="1"/>
  <c r="R8510" i="8" s="1"/>
  <c r="R8511" i="8" s="1"/>
  <c r="R8512" i="8" s="1"/>
  <c r="R8513" i="8" s="1"/>
  <c r="R8514" i="8" s="1"/>
  <c r="R8515" i="8" s="1"/>
  <c r="R8516" i="8" s="1"/>
  <c r="R8517" i="8" s="1"/>
  <c r="R8518" i="8" s="1"/>
  <c r="R8519" i="8" s="1"/>
  <c r="R8520" i="8" s="1"/>
  <c r="R8521" i="8" s="1"/>
  <c r="R8522" i="8" s="1"/>
  <c r="R8523" i="8" s="1"/>
  <c r="R8524" i="8" s="1"/>
  <c r="R8525" i="8" s="1"/>
  <c r="R8526" i="8" s="1"/>
  <c r="R8527" i="8" s="1"/>
  <c r="R8528" i="8" s="1"/>
  <c r="R8529" i="8" s="1"/>
  <c r="R8530" i="8" s="1"/>
  <c r="R8531" i="8" s="1"/>
  <c r="R8532" i="8" s="1"/>
  <c r="R8533" i="8" s="1"/>
  <c r="R8534" i="8" s="1"/>
  <c r="R8535" i="8" s="1"/>
  <c r="R8536" i="8" s="1"/>
  <c r="R8537" i="8" s="1"/>
  <c r="R8538" i="8" s="1"/>
  <c r="R8539" i="8" s="1"/>
  <c r="R8540" i="8" s="1"/>
  <c r="R8541" i="8" s="1"/>
  <c r="R8542" i="8" s="1"/>
  <c r="R8543" i="8" s="1"/>
  <c r="R8544" i="8" s="1"/>
  <c r="R8545" i="8" s="1"/>
  <c r="R8546" i="8" s="1"/>
  <c r="R8547" i="8" s="1"/>
  <c r="R8548" i="8" s="1"/>
  <c r="R8549" i="8" s="1"/>
  <c r="R8550" i="8" s="1"/>
  <c r="R8551" i="8" s="1"/>
  <c r="R8552" i="8" s="1"/>
  <c r="R8553" i="8" s="1"/>
  <c r="R8554" i="8" s="1"/>
  <c r="R8555" i="8" s="1"/>
  <c r="R8556" i="8" s="1"/>
  <c r="R8557" i="8" s="1"/>
  <c r="R8558" i="8" s="1"/>
  <c r="R8559" i="8" s="1"/>
  <c r="R8560" i="8" s="1"/>
  <c r="R8561" i="8" s="1"/>
  <c r="R8562" i="8" s="1"/>
  <c r="R8563" i="8" s="1"/>
  <c r="R8564" i="8" s="1"/>
  <c r="R8565" i="8" s="1"/>
  <c r="R8566" i="8" s="1"/>
  <c r="R8567" i="8" s="1"/>
  <c r="R8568" i="8" s="1"/>
  <c r="R8569" i="8" s="1"/>
  <c r="R8570" i="8" s="1"/>
  <c r="R8571" i="8" s="1"/>
  <c r="R8572" i="8" s="1"/>
  <c r="R8573" i="8" s="1"/>
  <c r="R8574" i="8" s="1"/>
  <c r="R8575" i="8" s="1"/>
  <c r="R8576" i="8" s="1"/>
  <c r="R8577" i="8" s="1"/>
  <c r="R8578" i="8" s="1"/>
  <c r="R8579" i="8" s="1"/>
  <c r="R8580" i="8" s="1"/>
  <c r="R8581" i="8" s="1"/>
  <c r="R8582" i="8" s="1"/>
  <c r="R8583" i="8" s="1"/>
  <c r="R8584" i="8" s="1"/>
  <c r="R8585" i="8" s="1"/>
  <c r="R8586" i="8" s="1"/>
  <c r="R8587" i="8" s="1"/>
  <c r="R8588" i="8" s="1"/>
  <c r="R8589" i="8" s="1"/>
  <c r="R8590" i="8" s="1"/>
  <c r="R8591" i="8" s="1"/>
  <c r="R8592" i="8" s="1"/>
  <c r="R8593" i="8" s="1"/>
  <c r="R8594" i="8" s="1"/>
  <c r="R8595" i="8" s="1"/>
  <c r="R8596" i="8" s="1"/>
  <c r="R8597" i="8" s="1"/>
  <c r="R8598" i="8" s="1"/>
  <c r="R8599" i="8" s="1"/>
  <c r="R8600" i="8" s="1"/>
  <c r="R8601" i="8" s="1"/>
  <c r="R8602" i="8" s="1"/>
  <c r="R8603" i="8" s="1"/>
  <c r="R8604" i="8" s="1"/>
  <c r="R8605" i="8" s="1"/>
  <c r="R8606" i="8" s="1"/>
  <c r="R8607" i="8" s="1"/>
  <c r="R8608" i="8" s="1"/>
  <c r="R8609" i="8" s="1"/>
  <c r="R8610" i="8" s="1"/>
  <c r="R8611" i="8" s="1"/>
  <c r="R8612" i="8" s="1"/>
  <c r="R8613" i="8" s="1"/>
  <c r="R8614" i="8" s="1"/>
  <c r="R8615" i="8" s="1"/>
  <c r="R8616" i="8" s="1"/>
  <c r="R8617" i="8" s="1"/>
  <c r="R8618" i="8" s="1"/>
  <c r="R8619" i="8" s="1"/>
  <c r="R8620" i="8" s="1"/>
  <c r="R8621" i="8" s="1"/>
  <c r="R8622" i="8" s="1"/>
  <c r="R8623" i="8" s="1"/>
  <c r="R8624" i="8" s="1"/>
  <c r="R8625" i="8" s="1"/>
  <c r="R8626" i="8" s="1"/>
  <c r="R8627" i="8" s="1"/>
  <c r="R8628" i="8" s="1"/>
  <c r="R8629" i="8" s="1"/>
  <c r="R8630" i="8" s="1"/>
  <c r="R8631" i="8" s="1"/>
  <c r="R8632" i="8" s="1"/>
  <c r="R8633" i="8" s="1"/>
  <c r="R8634" i="8" s="1"/>
  <c r="R8635" i="8" s="1"/>
  <c r="R8636" i="8" s="1"/>
  <c r="R8637" i="8" s="1"/>
  <c r="R8638" i="8" s="1"/>
  <c r="R8639" i="8" s="1"/>
  <c r="R8640" i="8" s="1"/>
  <c r="R8641" i="8" s="1"/>
  <c r="R8642" i="8" s="1"/>
  <c r="R8643" i="8" s="1"/>
  <c r="R8644" i="8" s="1"/>
  <c r="R8645" i="8" s="1"/>
  <c r="R8646" i="8" s="1"/>
  <c r="R8647" i="8" s="1"/>
  <c r="R8648" i="8" s="1"/>
  <c r="R8649" i="8" s="1"/>
  <c r="R8650" i="8" s="1"/>
  <c r="R8651" i="8" s="1"/>
  <c r="R8652" i="8" s="1"/>
  <c r="R8653" i="8" s="1"/>
  <c r="R8654" i="8" s="1"/>
  <c r="R8655" i="8" s="1"/>
  <c r="R8656" i="8" s="1"/>
  <c r="R8657" i="8" s="1"/>
  <c r="R8658" i="8" s="1"/>
  <c r="R8659" i="8" s="1"/>
  <c r="R8660" i="8" s="1"/>
  <c r="R8661" i="8" s="1"/>
  <c r="R8662" i="8" s="1"/>
  <c r="R8663" i="8" s="1"/>
  <c r="R8664" i="8" s="1"/>
  <c r="R8665" i="8" s="1"/>
  <c r="R8666" i="8" s="1"/>
  <c r="R8667" i="8" s="1"/>
  <c r="R8668" i="8" s="1"/>
  <c r="R8669" i="8" s="1"/>
  <c r="R8670" i="8" s="1"/>
  <c r="R8671" i="8" s="1"/>
  <c r="R8672" i="8" s="1"/>
  <c r="R8673" i="8" s="1"/>
  <c r="R8674" i="8" s="1"/>
  <c r="R8675" i="8" s="1"/>
  <c r="R8676" i="8" s="1"/>
  <c r="R8677" i="8" s="1"/>
  <c r="R8678" i="8" s="1"/>
  <c r="R8679" i="8" s="1"/>
  <c r="R8680" i="8" s="1"/>
  <c r="R8681" i="8" s="1"/>
  <c r="R8682" i="8" s="1"/>
  <c r="R8683" i="8" s="1"/>
  <c r="R8684" i="8" s="1"/>
  <c r="R8685" i="8" s="1"/>
  <c r="R8686" i="8" s="1"/>
  <c r="R8687" i="8" s="1"/>
  <c r="R8688" i="8" s="1"/>
  <c r="R8689" i="8" s="1"/>
  <c r="R8690" i="8" s="1"/>
  <c r="R8691" i="8" s="1"/>
  <c r="R8692" i="8" s="1"/>
  <c r="R8693" i="8" s="1"/>
  <c r="R8694" i="8" s="1"/>
  <c r="R8695" i="8" s="1"/>
  <c r="R8696" i="8" s="1"/>
  <c r="R8697" i="8" s="1"/>
  <c r="R8698" i="8" s="1"/>
  <c r="R8699" i="8" s="1"/>
  <c r="R8700" i="8" s="1"/>
  <c r="R8701" i="8" s="1"/>
  <c r="R8702" i="8" s="1"/>
  <c r="R8703" i="8" s="1"/>
  <c r="R8704" i="8" s="1"/>
  <c r="R8705" i="8" s="1"/>
  <c r="R8706" i="8" s="1"/>
  <c r="R8707" i="8" s="1"/>
  <c r="R8708" i="8" s="1"/>
  <c r="R8709" i="8" s="1"/>
  <c r="R8710" i="8" s="1"/>
  <c r="R8711" i="8" s="1"/>
  <c r="R8712" i="8" s="1"/>
  <c r="R8713" i="8" s="1"/>
  <c r="R8714" i="8" s="1"/>
  <c r="R8715" i="8" s="1"/>
  <c r="R8716" i="8" s="1"/>
  <c r="R8717" i="8" s="1"/>
  <c r="R8718" i="8" s="1"/>
  <c r="R8719" i="8" s="1"/>
  <c r="R8720" i="8" s="1"/>
  <c r="R8721" i="8" s="1"/>
  <c r="R8722" i="8" s="1"/>
  <c r="R8723" i="8" s="1"/>
  <c r="R8724" i="8" s="1"/>
  <c r="R8725" i="8" s="1"/>
  <c r="R8726" i="8" s="1"/>
  <c r="R8727" i="8" s="1"/>
  <c r="R8728" i="8" s="1"/>
  <c r="R8729" i="8" s="1"/>
  <c r="R8730" i="8" s="1"/>
  <c r="R8731" i="8" s="1"/>
  <c r="R8732" i="8" s="1"/>
  <c r="R8733" i="8" s="1"/>
  <c r="R8734" i="8" s="1"/>
  <c r="R8735" i="8" s="1"/>
  <c r="R8736" i="8" s="1"/>
  <c r="R8737" i="8" s="1"/>
  <c r="R8738" i="8" s="1"/>
  <c r="R8739" i="8" s="1"/>
  <c r="R8740" i="8" s="1"/>
  <c r="R8741" i="8" s="1"/>
  <c r="R8742" i="8" s="1"/>
  <c r="R8743" i="8" s="1"/>
  <c r="R8744" i="8" s="1"/>
  <c r="R8745" i="8" s="1"/>
  <c r="R8746" i="8" s="1"/>
  <c r="R8747" i="8" s="1"/>
  <c r="R8748" i="8" s="1"/>
  <c r="R8749" i="8" s="1"/>
  <c r="R8750" i="8" s="1"/>
  <c r="R8751" i="8" s="1"/>
  <c r="R8752" i="8" s="1"/>
  <c r="R8753" i="8" s="1"/>
  <c r="R8754" i="8" s="1"/>
  <c r="R8755" i="8" s="1"/>
  <c r="R8756" i="8" s="1"/>
  <c r="R8757" i="8" s="1"/>
  <c r="R8758" i="8" s="1"/>
  <c r="R8759" i="8" s="1"/>
  <c r="R8760" i="8" s="1"/>
  <c r="R8761" i="8" s="1"/>
  <c r="R8762" i="8" s="1"/>
  <c r="R8763" i="8" s="1"/>
  <c r="R8764" i="8" s="1"/>
  <c r="R8765" i="8" s="1"/>
  <c r="R8766" i="8" s="1"/>
  <c r="R8767" i="8" s="1"/>
  <c r="R8768" i="8" s="1"/>
  <c r="R8769" i="8" s="1"/>
  <c r="R8770" i="8" s="1"/>
  <c r="R8771" i="8" s="1"/>
  <c r="R8772" i="8" s="1"/>
  <c r="R8773" i="8" s="1"/>
  <c r="R8774" i="8" s="1"/>
  <c r="R8775" i="8" s="1"/>
  <c r="R8776" i="8" s="1"/>
  <c r="R8777" i="8" s="1"/>
  <c r="R8778" i="8" s="1"/>
  <c r="R8779" i="8" s="1"/>
  <c r="R8780" i="8" s="1"/>
  <c r="R8781" i="8" s="1"/>
  <c r="R8782" i="8" s="1"/>
  <c r="R8783" i="8" s="1"/>
  <c r="R8784" i="8" s="1"/>
  <c r="BP33" i="6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<sst xmlns="http://schemas.openxmlformats.org/spreadsheetml/2006/main" count="969" uniqueCount="275">
  <si>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</si>
  <si>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</si>
  <si>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</si>
  <si>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</si>
  <si>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</si>
  <si>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</si>
  <si>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</si>
  <si>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</si>
  <si>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</si>
  <si>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</si>
  <si>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</si>
  <si>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</si>
  <si>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</si>
  <si>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</si>
  <si>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</si>
  <si>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</si>
  <si>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</si>
  <si>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</si>
  <si>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</si>
  <si>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</si>
  <si>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</si>
  <si>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</si>
  <si>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</si>
  <si>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</si>
  <si>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</si>
  <si>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</si>
  <si>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</si>
  <si>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</si>
  <si>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</si>
  <si>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</si>
  <si>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</si>
  <si>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</si>
  <si>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</si>
  <si>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</si>
  <si>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</si>
  <si>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</si>
  <si>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</si>
  <si>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</si>
  <si>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</si>
  <si>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</si>
  <si>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</si>
  <si>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</si>
  <si>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</si>
  <si>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</si>
  <si>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</si>
  <si>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</si>
  <si>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</si>
  <si>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</si>
  <si>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</si>
  <si>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</si>
  <si>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</si>
  <si>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</si>
  <si>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</si>
  <si>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</si>
  <si>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</si>
  <si>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</si>
  <si>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</si>
  <si>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</si>
  <si>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</si>
  <si>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</si>
  <si>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</si>
  <si>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</si>
  <si>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</si>
  <si>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</si>
  <si>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</si>
  <si>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</si>
  <si>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</si>
  <si>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</si>
  <si>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</si>
  <si>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</si>
  <si>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</si>
  <si>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</si>
  <si>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</si>
  <si>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</si>
  <si>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</si>
  <si>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</si>
  <si>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</si>
  <si>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</si>
  <si>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</si>
  <si>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</si>
  <si>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</si>
  <si>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</si>
  <si>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</si>
  <si>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</si>
  <si>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</si>
  <si>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</si>
  <si>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</si>
  <si>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</si>
  <si>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</si>
  <si>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</si>
  <si>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</si>
  <si>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</si>
  <si>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</si>
  <si>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</si>
  <si>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</si>
  <si>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</si>
  <si>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</si>
  <si>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</si>
  <si>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</si>
  <si>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</si>
  <si>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</si>
  <si>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</si>
  <si>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</si>
  <si>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</si>
  <si>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</si>
  <si>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</si>
  <si>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</si>
  <si>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</si>
  <si>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</si>
  <si>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</si>
  <si>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</si>
  <si>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</si>
  <si>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</si>
  <si>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</si>
  <si>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</si>
  <si>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</si>
  <si>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</si>
  <si>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</si>
  <si>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</si>
  <si>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</si>
  <si>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</si>
  <si>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</si>
  <si>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</si>
  <si>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</si>
  <si>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</si>
  <si>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</si>
  <si>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</si>
  <si>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</si>
  <si>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</si>
  <si>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</si>
  <si>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</si>
  <si>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</si>
  <si>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</si>
  <si>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</si>
  <si>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</si>
  <si>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</si>
  <si>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</si>
  <si>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</si>
  <si>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</si>
  <si>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</si>
  <si>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</si>
  <si>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</si>
  <si>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capa_grid</t>
  </si>
  <si>
    <t>year</t>
  </si>
  <si>
    <t>Market</t>
  </si>
  <si>
    <t>Experiment</t>
  </si>
  <si>
    <t>Available investments</t>
  </si>
  <si>
    <t>Mean storage investment cost</t>
  </si>
  <si>
    <t>Solution quality</t>
  </si>
  <si>
    <t>Total cost (M$)</t>
  </si>
  <si>
    <t>Maximum MIP gap (%)</t>
  </si>
  <si>
    <t>Complementarity violations (#)</t>
  </si>
  <si>
    <t>Costs (M$)</t>
  </si>
  <si>
    <t>Total operating</t>
  </si>
  <si>
    <t>- base case</t>
  </si>
  <si>
    <t>- contingency</t>
  </si>
  <si>
    <t>Total capital</t>
  </si>
  <si>
    <t>- grid</t>
  </si>
  <si>
    <t>- storage</t>
  </si>
  <si>
    <t>Terminal capacity (grid)</t>
  </si>
  <si>
    <t>Terminal capacity (storage)</t>
  </si>
  <si>
    <t>Total investment (grid)</t>
  </si>
  <si>
    <t>Total investment (storage)</t>
  </si>
  <si>
    <t>Operating decisions (GWh/yr)</t>
  </si>
  <si>
    <t>Total demand (load)</t>
  </si>
  <si>
    <t>Total demand (grid, base case)</t>
  </si>
  <si>
    <t>Total supply (base case)</t>
  </si>
  <si>
    <t>Total demand (grid, contingency)</t>
  </si>
  <si>
    <t>Total supply (contingency)</t>
  </si>
  <si>
    <t>Discharge cycles (#)</t>
  </si>
  <si>
    <t>Average (base case)</t>
  </si>
  <si>
    <t>Maximum (base case)</t>
  </si>
  <si>
    <t>Average (contingency)</t>
  </si>
  <si>
    <t>Maximum (contingency)</t>
  </si>
  <si>
    <t>Rerun 1 with peak shaving</t>
  </si>
  <si>
    <t>Observation</t>
  </si>
  <si>
    <t>operating costs</t>
  </si>
  <si>
    <t>higher in contingency under market participation</t>
  </si>
  <si>
    <t>lower in contingency under peak shaving</t>
  </si>
  <si>
    <t>Additional experiments</t>
  </si>
  <si>
    <t>backup operation</t>
  </si>
  <si>
    <t>backup operation and planning</t>
  </si>
  <si>
    <t>perfect foresight (J = 1); left out because limited novelty</t>
  </si>
  <si>
    <t>Cycle limit</t>
  </si>
  <si>
    <t>yearly</t>
  </si>
  <si>
    <t>daily</t>
  </si>
  <si>
    <t>one cycle per day (running) -- results as expected: with only half a cycle per day, it takes a bigger battery.</t>
  </si>
  <si>
    <t>- backup</t>
  </si>
  <si>
    <t>Terminal capacity (backup)</t>
  </si>
  <si>
    <t>Total investment (backup)</t>
  </si>
  <si>
    <t>Rerun planning with forced investment in exactly 3 new lines</t>
  </si>
  <si>
    <t>Current experiment 10 is with fixed line investment</t>
  </si>
  <si>
    <t>12: fixed investment binaries</t>
  </si>
  <si>
    <t>cost_stor</t>
  </si>
  <si>
    <t>cost_back</t>
  </si>
  <si>
    <t>capa_back</t>
  </si>
  <si>
    <t>no additional line investment even with low storage cost</t>
  </si>
  <si>
    <t>[ "g"]</t>
  </si>
  <si>
    <t>prob</t>
  </si>
  <si>
    <t>Hour</t>
  </si>
  <si>
    <t>Price</t>
  </si>
  <si>
    <t>Scarcity</t>
  </si>
  <si>
    <t>w/o explicit capacity payments</t>
  </si>
  <si>
    <t>base</t>
  </si>
  <si>
    <t>contingency</t>
  </si>
  <si>
    <t>Scarcity discharge ratio (-)</t>
  </si>
  <si>
    <t>base - backup</t>
  </si>
  <si>
    <t>base - storage</t>
  </si>
  <si>
    <t>contingency - backup</t>
  </si>
  <si>
    <t>contingency - storage</t>
  </si>
  <si>
    <t>capa_stor</t>
  </si>
  <si>
    <t>Load_24</t>
  </si>
  <si>
    <t>Peak_load</t>
  </si>
  <si>
    <t>price</t>
  </si>
  <si>
    <t>forecast</t>
  </si>
  <si>
    <t>https://www.iso-ne.com/about/key-stats/markets#fcaresults</t>
  </si>
  <si>
    <t>all prices for SENE/SEMA (existing)</t>
  </si>
  <si>
    <t>nominal prices</t>
  </si>
  <si>
    <t>normalized by</t>
  </si>
  <si>
    <t>Capacity payments</t>
  </si>
  <si>
    <t>Total cost</t>
  </si>
  <si>
    <t>Solve time</t>
  </si>
  <si>
    <t>Max MIP gap</t>
  </si>
  <si>
    <t>Costs</t>
  </si>
  <si>
    <t>-  base</t>
  </si>
  <si>
    <t>Investment decisions</t>
  </si>
  <si>
    <t>Total investment</t>
  </si>
  <si>
    <t>Demand (wo storage)</t>
  </si>
  <si>
    <t>- load</t>
  </si>
  <si>
    <t>Supply (wo storage)</t>
  </si>
  <si>
    <t>Operating decisions (base)</t>
  </si>
  <si>
    <t>Operating decisions (contingency)</t>
  </si>
  <si>
    <t>Yearly discharge cycles</t>
  </si>
  <si>
    <t>Average (base)</t>
  </si>
  <si>
    <t>Max (base)</t>
  </si>
  <si>
    <t>Max (contingency)</t>
  </si>
  <si>
    <t>Min discharge ratio</t>
  </si>
  <si>
    <t>- backup (base)</t>
  </si>
  <si>
    <t>- storage (base)</t>
  </si>
  <si>
    <t>- backup (contingency)</t>
  </si>
  <si>
    <t>- storage (contingency)</t>
  </si>
  <si>
    <t>Full</t>
  </si>
  <si>
    <t>g</t>
  </si>
  <si>
    <t xml:space="preserve">g+s </t>
  </si>
  <si>
    <t>g+s</t>
  </si>
  <si>
    <t>b+g+s</t>
  </si>
  <si>
    <t xml:space="preserve">na </t>
  </si>
  <si>
    <t>Complementarity viol.</t>
  </si>
  <si>
    <t>Exact weights (neglecting leap days)</t>
  </si>
  <si>
    <t>Jan -- May</t>
  </si>
  <si>
    <t>Jun -- Dec</t>
  </si>
  <si>
    <t>Total capacity payments</t>
  </si>
  <si>
    <t>Total capacity payment</t>
  </si>
  <si>
    <t>Storage cost</t>
  </si>
  <si>
    <t>cheap</t>
  </si>
  <si>
    <t>capa_tot</t>
  </si>
  <si>
    <t>capa_N1</t>
  </si>
  <si>
    <t>actual</t>
  </si>
  <si>
    <t>extreme</t>
  </si>
  <si>
    <t>normal</t>
  </si>
  <si>
    <t>cable1</t>
  </si>
  <si>
    <t>cable2</t>
  </si>
  <si>
    <t>cable_all</t>
  </si>
  <si>
    <t>battery</t>
  </si>
  <si>
    <t>diesel</t>
  </si>
  <si>
    <t>diecab</t>
  </si>
  <si>
    <t>diecabbat</t>
  </si>
  <si>
    <t>diecabup</t>
  </si>
  <si>
    <t>extreme_90</t>
  </si>
  <si>
    <t>nm1_existing</t>
  </si>
  <si>
    <t>load_high</t>
  </si>
  <si>
    <t>load_avg</t>
  </si>
  <si>
    <t>Experiment # in code</t>
  </si>
  <si>
    <t>Experiment # in paper</t>
  </si>
  <si>
    <t>Resource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</si>
</sst>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_(* #,##0.000_);_(* \(#,##0.000\);_(* &quot;-&quot;??_);_(@_)"/>
    <numFmt numFmtId="167" formatCode="0.0000"/>
    <numFmt numFmtId="168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  <xf numFmtId="0" fontId="0" fillId="0" borderId="0" xfId="0" quotePrefix="1"/>
    <xf numFmtId="166" fontId="0" fillId="0" borderId="0" xfId="1" applyNumberFormat="1" applyFont="1"/>
    <xf numFmtId="166" fontId="1" fillId="0" borderId="0" xfId="1" applyNumberFormat="1" applyFont="1"/>
    <xf numFmtId="166" fontId="3" fillId="0" borderId="0" xfId="1" applyNumberFormat="1" applyFont="1"/>
    <xf numFmtId="11" fontId="0" fillId="0" borderId="0" xfId="0" applyNumberFormat="1"/>
    <xf numFmtId="0" fontId="0" fillId="4" borderId="0" xfId="0" applyFill="1"/>
    <xf numFmtId="166" fontId="1" fillId="4" borderId="0" xfId="1" applyNumberFormat="1" applyFont="1" applyFill="1"/>
    <xf numFmtId="166" fontId="0" fillId="4" borderId="0" xfId="1" applyNumberFormat="1" applyFont="1" applyFill="1"/>
    <xf numFmtId="43" fontId="0" fillId="4" borderId="0" xfId="1" applyFont="1" applyFill="1"/>
    <xf numFmtId="43" fontId="0" fillId="0" borderId="0" xfId="1" applyFont="1" applyFill="1"/>
    <xf numFmtId="166" fontId="0" fillId="0" borderId="0" xfId="1" applyNumberFormat="1" applyFont="1" applyFill="1"/>
    <xf numFmtId="166" fontId="1" fillId="0" borderId="0" xfId="1" applyNumberFormat="1" applyFont="1" applyFill="1"/>
    <xf numFmtId="0" fontId="0" fillId="5" borderId="0" xfId="0" applyFill="1"/>
    <xf numFmtId="167" fontId="0" fillId="0" borderId="0" xfId="0" applyNumberFormat="1"/>
    <xf numFmtId="1" fontId="0" fillId="0" borderId="0" xfId="0" applyNumberFormat="1"/>
    <xf numFmtId="11" fontId="0" fillId="0" borderId="0" xfId="1" applyNumberFormat="1" applyFont="1"/>
    <xf numFmtId="165" fontId="1" fillId="0" borderId="0" xfId="0" applyNumberFormat="1" applyFont="1"/>
    <xf numFmtId="166" fontId="3" fillId="0" borderId="0" xfId="1" applyNumberFormat="1" applyFont="1" applyFill="1"/>
    <xf numFmtId="165" fontId="3" fillId="0" borderId="0" xfId="1" applyNumberFormat="1" applyFont="1" applyFill="1"/>
    <xf numFmtId="165" fontId="0" fillId="0" borderId="0" xfId="1" applyNumberFormat="1" applyFont="1" applyFill="1"/>
    <xf numFmtId="165" fontId="0" fillId="0" borderId="0" xfId="1" applyNumberFormat="1" applyFont="1"/>
    <xf numFmtId="166" fontId="0" fillId="0" borderId="0" xfId="0" applyNumberFormat="1"/>
    <xf numFmtId="166" fontId="1" fillId="0" borderId="0" xfId="0" applyNumberFormat="1" applyFont="1"/>
    <xf numFmtId="165" fontId="1" fillId="0" borderId="0" xfId="1" applyNumberFormat="1" applyFont="1" applyFill="1"/>
    <xf numFmtId="165" fontId="1" fillId="0" borderId="0" xfId="1" applyNumberFormat="1" applyFont="1"/>
    <xf numFmtId="165" fontId="3" fillId="0" borderId="0" xfId="1" applyNumberFormat="1" applyFont="1"/>
    <xf numFmtId="168" fontId="0" fillId="0" borderId="0" xfId="0" applyNumberFormat="1"/>
    <xf numFmtId="0" fontId="0" fillId="0" borderId="0" xfId="0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5390F-73E5-44BA-92D9-650BD847048C}">
  <dimension ref="A1:J61"/>
  <sheetViews>
    <sheetView workbookViewId="0">
      <selection activeCell="B1" sqref="B1"/>
    </sheetView>
  </sheetViews>
  <sheetFormatPr defaultRowHeight="14.4" x14ac:dyDescent="0.3"/>
  <cols>
    <col min="1" max="1" width="20.44140625" bestFit="1" customWidth="1"/>
    <col min="7" max="9" width="9.5546875" bestFit="1" customWidth="1"/>
    <col min="10" max="10" width="9" bestFit="1" customWidth="1"/>
  </cols>
  <sheetData>
    <row r="1" spans="1:10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</row>
    <row r="2" spans="1:10" x14ac:dyDescent="0.3">
      <c r="A2" s="1" t="s">
        <v>6</v>
      </c>
    </row>
    <row r="3" spans="1:10" x14ac:dyDescent="0.3">
      <c r="A3" t="s">
        <v>20</v>
      </c>
      <c r="B3" t="s">
        <v>50</v>
      </c>
      <c r="C3" t="s">
        <v>50</v>
      </c>
      <c r="D3" t="s">
        <v>241</v>
      </c>
      <c r="E3" t="s">
        <v>241</v>
      </c>
      <c r="F3" t="s">
        <v>241</v>
      </c>
      <c r="G3" t="s">
        <v>241</v>
      </c>
      <c r="H3" t="s">
        <v>241</v>
      </c>
      <c r="I3" t="s">
        <v>50</v>
      </c>
      <c r="J3" t="s">
        <v>241</v>
      </c>
    </row>
    <row r="4" spans="1:10" x14ac:dyDescent="0.3">
      <c r="A4" t="s">
        <v>146</v>
      </c>
      <c r="B4" t="s">
        <v>242</v>
      </c>
      <c r="C4" t="s">
        <v>243</v>
      </c>
      <c r="D4" t="s">
        <v>244</v>
      </c>
      <c r="E4" t="s">
        <v>244</v>
      </c>
      <c r="F4" t="s">
        <v>244</v>
      </c>
      <c r="G4" t="s">
        <v>245</v>
      </c>
      <c r="H4" t="s">
        <v>245</v>
      </c>
      <c r="I4" t="s">
        <v>244</v>
      </c>
      <c r="J4" t="s">
        <v>244</v>
      </c>
    </row>
    <row r="5" spans="1:10" x14ac:dyDescent="0.3">
      <c r="A5" t="s">
        <v>183</v>
      </c>
      <c r="B5" t="s">
        <v>184</v>
      </c>
      <c r="C5" t="s">
        <v>184</v>
      </c>
      <c r="D5" t="s">
        <v>184</v>
      </c>
      <c r="E5" t="s">
        <v>184</v>
      </c>
      <c r="F5" t="s">
        <v>185</v>
      </c>
      <c r="G5" t="s">
        <v>184</v>
      </c>
      <c r="H5" t="s">
        <v>184</v>
      </c>
      <c r="I5" t="s">
        <v>184</v>
      </c>
      <c r="J5" t="s">
        <v>184</v>
      </c>
    </row>
    <row r="6" spans="1:10" x14ac:dyDescent="0.3">
      <c r="A6" t="s">
        <v>219</v>
      </c>
      <c r="B6" t="s">
        <v>246</v>
      </c>
      <c r="C6">
        <v>0</v>
      </c>
      <c r="D6">
        <v>0</v>
      </c>
      <c r="E6" s="22">
        <v>3.0638441517386701</v>
      </c>
      <c r="F6">
        <v>0</v>
      </c>
      <c r="G6">
        <v>0</v>
      </c>
      <c r="H6" s="22">
        <v>3.0638441517386701</v>
      </c>
      <c r="I6">
        <v>0</v>
      </c>
      <c r="J6">
        <v>0</v>
      </c>
    </row>
    <row r="7" spans="1:10" x14ac:dyDescent="0.3">
      <c r="A7" t="s">
        <v>253</v>
      </c>
      <c r="E7" s="22"/>
      <c r="I7" t="s">
        <v>254</v>
      </c>
      <c r="J7" t="s">
        <v>254</v>
      </c>
    </row>
    <row r="8" spans="1:10" x14ac:dyDescent="0.3">
      <c r="A8" s="1" t="s">
        <v>148</v>
      </c>
    </row>
    <row r="9" spans="1:10" x14ac:dyDescent="0.3">
      <c r="A9" t="s">
        <v>220</v>
      </c>
      <c r="B9" s="20">
        <v>678.87426971018499</v>
      </c>
      <c r="C9" s="20">
        <v>647.02551059914197</v>
      </c>
      <c r="D9" s="20">
        <v>633.44103572541201</v>
      </c>
      <c r="E9" s="20">
        <v>616.68790878557797</v>
      </c>
      <c r="F9" s="20">
        <v>659.31035109280197</v>
      </c>
      <c r="G9" s="20">
        <v>629.82325591411598</v>
      </c>
      <c r="H9" s="20">
        <v>599.41119164034205</v>
      </c>
      <c r="I9" s="20">
        <v>609.22711199579896</v>
      </c>
      <c r="J9" s="20">
        <v>432.17375775875098</v>
      </c>
    </row>
    <row r="10" spans="1:10" x14ac:dyDescent="0.3">
      <c r="A10" t="s">
        <v>221</v>
      </c>
      <c r="B10" s="20">
        <v>52.848302125930701</v>
      </c>
      <c r="C10" s="20">
        <v>4211.1156399250003</v>
      </c>
      <c r="D10" s="20">
        <v>4083.08587312698</v>
      </c>
      <c r="E10" s="20">
        <v>2374.32150483131</v>
      </c>
      <c r="F10" s="20">
        <v>886.68696498870804</v>
      </c>
      <c r="G10" s="20">
        <v>17631.037314891801</v>
      </c>
      <c r="H10" s="20">
        <v>20510.1706309318</v>
      </c>
      <c r="I10" s="39">
        <v>14402.060109853701</v>
      </c>
      <c r="J10" s="39">
        <v>651.56380891799904</v>
      </c>
    </row>
    <row r="11" spans="1:10" x14ac:dyDescent="0.3">
      <c r="A11" t="s">
        <v>222</v>
      </c>
      <c r="B11" s="20">
        <v>8.96071358941519E-4</v>
      </c>
      <c r="C11" s="20">
        <v>8.9960924271766899E-4</v>
      </c>
      <c r="D11" s="20">
        <v>6.7749548605001298E-13</v>
      </c>
      <c r="E11" s="20">
        <v>1.2758176377813799E-12</v>
      </c>
      <c r="F11" s="20">
        <v>3.7206736152714702E-7</v>
      </c>
      <c r="G11" s="20">
        <v>0</v>
      </c>
      <c r="H11" s="39">
        <v>8.5517246293914404E-13</v>
      </c>
      <c r="I11" s="39">
        <v>3.5157763764803499E-3</v>
      </c>
      <c r="J11" s="39">
        <v>2.51838709329082E-11</v>
      </c>
    </row>
    <row r="12" spans="1:10" x14ac:dyDescent="0.3">
      <c r="A12" t="s">
        <v>247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40">
        <v>0</v>
      </c>
      <c r="I12" s="39">
        <v>0</v>
      </c>
      <c r="J12" s="39">
        <v>0</v>
      </c>
    </row>
    <row r="13" spans="1:10" x14ac:dyDescent="0.3">
      <c r="A13" s="1" t="s">
        <v>223</v>
      </c>
      <c r="B13" s="20"/>
      <c r="C13" s="20"/>
      <c r="D13" s="20"/>
      <c r="E13" s="20"/>
      <c r="F13" s="20"/>
      <c r="G13" s="20"/>
      <c r="H13" s="40"/>
      <c r="I13" s="39"/>
      <c r="J13" s="39"/>
    </row>
    <row r="14" spans="1:10" x14ac:dyDescent="0.3">
      <c r="A14" t="s">
        <v>153</v>
      </c>
      <c r="B14" s="20">
        <v>331.384468922407</v>
      </c>
      <c r="C14" s="20">
        <v>331.24497835393498</v>
      </c>
      <c r="D14" s="20">
        <v>317.660503480204</v>
      </c>
      <c r="E14" s="39">
        <v>317.660503480204</v>
      </c>
      <c r="F14" s="20">
        <v>313.50905842858702</v>
      </c>
      <c r="G14" s="20">
        <v>331.63212868795</v>
      </c>
      <c r="H14" s="39">
        <v>331.63305611792202</v>
      </c>
      <c r="I14" s="39">
        <v>331.06495318393002</v>
      </c>
      <c r="J14" s="39">
        <v>151.04654871022299</v>
      </c>
    </row>
    <row r="15" spans="1:10" x14ac:dyDescent="0.3">
      <c r="A15" s="21" t="s">
        <v>224</v>
      </c>
      <c r="B15" s="20">
        <v>331.464587111637</v>
      </c>
      <c r="C15" s="20">
        <v>331.464587111637</v>
      </c>
      <c r="D15" s="20">
        <v>317.63477994612202</v>
      </c>
      <c r="E15" s="39">
        <v>317.634779946121</v>
      </c>
      <c r="F15" s="20">
        <v>313.44591357708299</v>
      </c>
      <c r="G15" s="20">
        <v>319.10475744885002</v>
      </c>
      <c r="H15" s="39">
        <v>319.10475744885002</v>
      </c>
      <c r="I15" s="39">
        <v>331.464587111637</v>
      </c>
      <c r="J15" s="39">
        <v>137.308322409797</v>
      </c>
    </row>
    <row r="16" spans="1:10" x14ac:dyDescent="0.3">
      <c r="A16" s="21" t="s">
        <v>155</v>
      </c>
      <c r="B16" s="20">
        <v>331.06399616549299</v>
      </c>
      <c r="C16" s="20">
        <v>330.36654332313299</v>
      </c>
      <c r="D16" s="20">
        <v>317.76339761653099</v>
      </c>
      <c r="E16" s="40">
        <v>317.76339761653099</v>
      </c>
      <c r="F16" s="20">
        <v>313.76163783459498</v>
      </c>
      <c r="G16" s="20">
        <v>381.741613644344</v>
      </c>
      <c r="H16" s="39">
        <v>381.74625079420503</v>
      </c>
      <c r="I16" s="39">
        <v>329.466417473104</v>
      </c>
      <c r="J16" s="39">
        <v>205.999453911925</v>
      </c>
    </row>
    <row r="17" spans="1:10" x14ac:dyDescent="0.3">
      <c r="A17" t="s">
        <v>156</v>
      </c>
      <c r="B17" s="20">
        <v>347.48980078777402</v>
      </c>
      <c r="C17" s="20">
        <v>315.78053224520499</v>
      </c>
      <c r="D17" s="20">
        <v>315.78053224520499</v>
      </c>
      <c r="E17" s="40">
        <v>315.78053224520897</v>
      </c>
      <c r="F17" s="20">
        <v>345.80129266420602</v>
      </c>
      <c r="G17" s="20">
        <v>298.191127226167</v>
      </c>
      <c r="H17" s="40">
        <v>298.191127226167</v>
      </c>
      <c r="I17" s="39">
        <v>278.16215881186702</v>
      </c>
      <c r="J17" s="39">
        <v>281.12720904852603</v>
      </c>
    </row>
    <row r="18" spans="1:10" x14ac:dyDescent="0.3">
      <c r="A18" s="21" t="s">
        <v>187</v>
      </c>
      <c r="B18" s="20">
        <v>0</v>
      </c>
      <c r="C18" s="20">
        <v>0</v>
      </c>
      <c r="D18" s="20">
        <v>0</v>
      </c>
      <c r="E18" s="40">
        <v>0</v>
      </c>
      <c r="F18" s="20">
        <v>0</v>
      </c>
      <c r="G18" s="20">
        <v>89.450802844688596</v>
      </c>
      <c r="H18" s="39">
        <v>89.450802844688596</v>
      </c>
      <c r="I18" s="39">
        <v>0</v>
      </c>
      <c r="J18" s="39">
        <v>0</v>
      </c>
    </row>
    <row r="19" spans="1:10" x14ac:dyDescent="0.3">
      <c r="A19" s="21" t="s">
        <v>157</v>
      </c>
      <c r="B19" s="20">
        <v>347.48980078777402</v>
      </c>
      <c r="C19" s="20">
        <v>277.99184063021897</v>
      </c>
      <c r="D19" s="20">
        <v>277.99184063021897</v>
      </c>
      <c r="E19" s="40">
        <v>277.99184063021897</v>
      </c>
      <c r="F19" s="20">
        <v>277.99184063021897</v>
      </c>
      <c r="G19" s="20">
        <v>183.22189496082601</v>
      </c>
      <c r="H19" s="40">
        <v>183.22189496082601</v>
      </c>
      <c r="I19" s="39">
        <v>277.99184063021897</v>
      </c>
      <c r="J19" s="39">
        <v>277.99184063021897</v>
      </c>
    </row>
    <row r="20" spans="1:10" x14ac:dyDescent="0.3">
      <c r="A20" s="21" t="s">
        <v>158</v>
      </c>
      <c r="B20" s="20">
        <v>0</v>
      </c>
      <c r="C20" s="20">
        <v>37.7886916149859</v>
      </c>
      <c r="D20" s="20">
        <v>37.788691614986099</v>
      </c>
      <c r="E20" s="39">
        <v>37.788691614989901</v>
      </c>
      <c r="F20" s="20">
        <v>67.809452033986702</v>
      </c>
      <c r="G20" s="20">
        <v>25.5184294206529</v>
      </c>
      <c r="H20" s="39">
        <v>25.5184294206529</v>
      </c>
      <c r="I20" s="39">
        <v>0.17031818164843701</v>
      </c>
      <c r="J20" s="39">
        <v>3.1353684183071202</v>
      </c>
    </row>
    <row r="21" spans="1:10" x14ac:dyDescent="0.3">
      <c r="A21" s="21" t="s">
        <v>252</v>
      </c>
      <c r="B21" s="20"/>
      <c r="C21" s="20"/>
      <c r="D21" s="20"/>
      <c r="E21" s="40">
        <v>16.753126939836399</v>
      </c>
      <c r="F21" s="20"/>
      <c r="G21" s="20"/>
      <c r="H21" s="39">
        <v>30.412991703747899</v>
      </c>
      <c r="I21" s="39">
        <v>0</v>
      </c>
      <c r="J21" s="39">
        <v>0</v>
      </c>
    </row>
    <row r="22" spans="1:10" x14ac:dyDescent="0.3">
      <c r="A22" s="21" t="s">
        <v>187</v>
      </c>
      <c r="B22" s="20"/>
      <c r="C22" s="20"/>
      <c r="D22" s="20"/>
      <c r="E22" s="40">
        <v>7.1257546557813702</v>
      </c>
      <c r="F22" s="20"/>
      <c r="G22" s="20"/>
      <c r="H22" s="40">
        <v>23.137521307693099</v>
      </c>
      <c r="I22" s="39">
        <v>0</v>
      </c>
      <c r="J22" s="39">
        <v>0</v>
      </c>
    </row>
    <row r="23" spans="1:10" x14ac:dyDescent="0.3">
      <c r="A23" s="21" t="s">
        <v>157</v>
      </c>
      <c r="B23" s="20"/>
      <c r="C23" s="20"/>
      <c r="D23" s="20"/>
      <c r="E23" s="40">
        <v>0</v>
      </c>
      <c r="F23" s="20"/>
      <c r="G23" s="20"/>
      <c r="H23" s="40">
        <v>0</v>
      </c>
      <c r="I23" s="39">
        <v>0</v>
      </c>
      <c r="J23" s="39">
        <v>0</v>
      </c>
    </row>
    <row r="24" spans="1:10" x14ac:dyDescent="0.3">
      <c r="A24" s="21" t="s">
        <v>158</v>
      </c>
      <c r="B24" s="20"/>
      <c r="C24" s="20"/>
      <c r="D24" s="20"/>
      <c r="E24" s="40">
        <v>9.6273722840551095</v>
      </c>
      <c r="F24" s="20"/>
      <c r="G24" s="20"/>
      <c r="H24" s="40">
        <v>7.2754703960547804</v>
      </c>
      <c r="I24" s="39">
        <v>0</v>
      </c>
      <c r="J24" s="39">
        <v>0</v>
      </c>
    </row>
    <row r="25" spans="1:10" x14ac:dyDescent="0.3">
      <c r="A25" s="1" t="s">
        <v>225</v>
      </c>
      <c r="B25" s="20"/>
      <c r="C25" s="20"/>
      <c r="D25" s="20"/>
      <c r="E25" s="20"/>
      <c r="F25" s="20"/>
      <c r="G25" s="20"/>
      <c r="H25" s="40"/>
      <c r="I25" s="39"/>
      <c r="J25" s="39"/>
    </row>
    <row r="26" spans="1:10" x14ac:dyDescent="0.3">
      <c r="A26" t="s">
        <v>11</v>
      </c>
      <c r="B26" s="20">
        <f>SUM(B27:B29)</f>
        <v>160</v>
      </c>
      <c r="C26" s="20">
        <f t="shared" ref="C26:J26" si="0">SUM(C27:C29)</f>
        <v>139.31799999999851</v>
      </c>
      <c r="D26" s="20">
        <f t="shared" si="0"/>
        <v>139.31799999999899</v>
      </c>
      <c r="E26" s="20">
        <f>SUM(E27:E29)</f>
        <v>139.31800000000069</v>
      </c>
      <c r="F26" s="20">
        <f t="shared" si="0"/>
        <v>157.89979439288248</v>
      </c>
      <c r="G26" s="20">
        <f t="shared" si="0"/>
        <v>138.08399999999992</v>
      </c>
      <c r="H26" s="20">
        <f t="shared" si="0"/>
        <v>138.084</v>
      </c>
      <c r="I26" s="20">
        <f t="shared" si="0"/>
        <v>139.28947676796341</v>
      </c>
      <c r="J26" s="20">
        <f t="shared" si="0"/>
        <v>367.92105228839102</v>
      </c>
    </row>
    <row r="27" spans="1:10" x14ac:dyDescent="0.3">
      <c r="A27" s="21" t="s">
        <v>187</v>
      </c>
      <c r="B27" s="20">
        <v>0</v>
      </c>
      <c r="C27" s="20">
        <v>0</v>
      </c>
      <c r="D27" s="20">
        <v>0</v>
      </c>
      <c r="E27" s="40">
        <v>0</v>
      </c>
      <c r="F27" s="20">
        <v>0</v>
      </c>
      <c r="G27" s="20">
        <v>6.5130000000000097</v>
      </c>
      <c r="H27" s="40">
        <v>6.5129999999999901</v>
      </c>
      <c r="I27" s="39">
        <v>0</v>
      </c>
      <c r="J27" s="39">
        <v>0</v>
      </c>
    </row>
    <row r="28" spans="1:10" x14ac:dyDescent="0.3">
      <c r="A28" s="21" t="s">
        <v>157</v>
      </c>
      <c r="B28" s="20">
        <v>160</v>
      </c>
      <c r="C28" s="20">
        <v>120</v>
      </c>
      <c r="D28" s="20">
        <v>120</v>
      </c>
      <c r="E28" s="40">
        <v>120</v>
      </c>
      <c r="F28" s="20">
        <v>120</v>
      </c>
      <c r="G28" s="20">
        <v>120</v>
      </c>
      <c r="H28" s="40">
        <v>120</v>
      </c>
      <c r="I28" s="39">
        <v>120</v>
      </c>
      <c r="J28" s="39">
        <v>120</v>
      </c>
    </row>
    <row r="29" spans="1:10" x14ac:dyDescent="0.3">
      <c r="A29" s="21" t="s">
        <v>158</v>
      </c>
      <c r="B29" s="20">
        <v>0</v>
      </c>
      <c r="C29" s="20">
        <v>19.317999999998499</v>
      </c>
      <c r="D29" s="20">
        <v>19.317999999999</v>
      </c>
      <c r="E29" s="41">
        <v>19.318000000000701</v>
      </c>
      <c r="F29" s="20">
        <v>37.899794392882498</v>
      </c>
      <c r="G29" s="20">
        <v>11.5709999999999</v>
      </c>
      <c r="H29" s="40">
        <v>11.571</v>
      </c>
      <c r="I29" s="46">
        <v>19.2894767679634</v>
      </c>
      <c r="J29" s="46">
        <v>247.921052288391</v>
      </c>
    </row>
    <row r="30" spans="1:10" x14ac:dyDescent="0.3">
      <c r="A30" t="s">
        <v>226</v>
      </c>
      <c r="B30" s="20">
        <f>SUM(B31:B33)</f>
        <v>160</v>
      </c>
      <c r="C30" s="20">
        <f t="shared" ref="C30:J30" si="1">SUM(C31:C33)</f>
        <v>139.31799999999839</v>
      </c>
      <c r="D30" s="20">
        <f t="shared" si="1"/>
        <v>139.31799999999899</v>
      </c>
      <c r="E30" s="20">
        <f>SUM(E31:E33)</f>
        <v>139.31800000000069</v>
      </c>
      <c r="F30" s="20">
        <f t="shared" si="1"/>
        <v>157.89979439288248</v>
      </c>
      <c r="G30" s="20">
        <f t="shared" si="1"/>
        <v>153.83164999999991</v>
      </c>
      <c r="H30" s="20">
        <f t="shared" si="1"/>
        <v>153.83165</v>
      </c>
      <c r="I30" s="20">
        <f t="shared" si="1"/>
        <v>141.28977270605461</v>
      </c>
      <c r="J30" s="20">
        <f t="shared" si="1"/>
        <v>511.92105228839102</v>
      </c>
    </row>
    <row r="31" spans="1:10" x14ac:dyDescent="0.3">
      <c r="A31" s="21" t="s">
        <v>187</v>
      </c>
      <c r="B31" s="20">
        <v>0</v>
      </c>
      <c r="C31" s="20">
        <v>0</v>
      </c>
      <c r="D31" s="20">
        <v>0</v>
      </c>
      <c r="E31" s="41">
        <v>0</v>
      </c>
      <c r="F31" s="20">
        <v>0</v>
      </c>
      <c r="G31" s="20">
        <v>22.260649999999998</v>
      </c>
      <c r="H31" s="41">
        <v>22.260649999999998</v>
      </c>
      <c r="I31" s="46">
        <v>0</v>
      </c>
      <c r="J31" s="46">
        <v>0</v>
      </c>
    </row>
    <row r="32" spans="1:10" x14ac:dyDescent="0.3">
      <c r="A32" s="21" t="s">
        <v>157</v>
      </c>
      <c r="B32" s="20">
        <v>160</v>
      </c>
      <c r="C32" s="20">
        <v>120</v>
      </c>
      <c r="D32" s="20">
        <v>120</v>
      </c>
      <c r="E32" s="41">
        <v>120</v>
      </c>
      <c r="F32" s="20">
        <v>120</v>
      </c>
      <c r="G32" s="20">
        <v>120</v>
      </c>
      <c r="H32" s="41">
        <v>120</v>
      </c>
      <c r="I32" s="46">
        <v>120</v>
      </c>
      <c r="J32" s="46">
        <v>120</v>
      </c>
    </row>
    <row r="33" spans="1:10" x14ac:dyDescent="0.3">
      <c r="A33" s="21" t="s">
        <v>158</v>
      </c>
      <c r="B33" s="20">
        <v>0</v>
      </c>
      <c r="C33" s="20">
        <v>19.317999999998399</v>
      </c>
      <c r="D33" s="20">
        <v>19.317999999999</v>
      </c>
      <c r="E33" s="41">
        <v>19.318000000000701</v>
      </c>
      <c r="F33" s="20">
        <v>37.899794392882498</v>
      </c>
      <c r="G33" s="20">
        <v>11.5709999999999</v>
      </c>
      <c r="H33" s="41">
        <v>11.571</v>
      </c>
      <c r="I33" s="46">
        <v>21.289772706054599</v>
      </c>
      <c r="J33" s="46">
        <v>391.92105228839102</v>
      </c>
    </row>
    <row r="34" spans="1:10" x14ac:dyDescent="0.3">
      <c r="A34" s="1" t="s">
        <v>230</v>
      </c>
      <c r="B34" s="20"/>
      <c r="C34" s="20"/>
      <c r="D34" s="20"/>
      <c r="E34" s="20"/>
      <c r="F34" s="20"/>
      <c r="G34" s="20"/>
      <c r="H34" s="41"/>
      <c r="I34" s="39"/>
      <c r="J34" s="39"/>
    </row>
    <row r="35" spans="1:10" x14ac:dyDescent="0.3">
      <c r="A35" t="s">
        <v>227</v>
      </c>
      <c r="B35" s="20">
        <v>295.000317319891</v>
      </c>
      <c r="C35" s="20">
        <v>295.000317319891</v>
      </c>
      <c r="D35" s="20">
        <v>295.000317319891</v>
      </c>
      <c r="E35" s="41">
        <v>295.000317319891</v>
      </c>
      <c r="F35" s="20">
        <v>295.24872393286103</v>
      </c>
      <c r="G35" s="20">
        <v>295.01246434283303</v>
      </c>
      <c r="H35" s="40">
        <v>295.01205172744898</v>
      </c>
      <c r="I35" s="46">
        <v>295.000317319891</v>
      </c>
      <c r="J35" s="46">
        <v>483.82489212517697</v>
      </c>
    </row>
    <row r="36" spans="1:10" x14ac:dyDescent="0.3">
      <c r="A36" s="21" t="s">
        <v>157</v>
      </c>
      <c r="B36" s="20">
        <v>0</v>
      </c>
      <c r="C36" s="20">
        <v>0</v>
      </c>
      <c r="D36" s="20">
        <v>0</v>
      </c>
      <c r="E36" s="41">
        <v>0</v>
      </c>
      <c r="F36" s="20">
        <v>0.248406612969475</v>
      </c>
      <c r="G36" s="20">
        <v>1.2147022941970301E-2</v>
      </c>
      <c r="H36" s="41">
        <v>1.1734407557354901E-2</v>
      </c>
      <c r="I36" s="46">
        <v>0</v>
      </c>
      <c r="J36" s="46">
        <v>188.82457480528501</v>
      </c>
    </row>
    <row r="37" spans="1:10" x14ac:dyDescent="0.3">
      <c r="A37" s="21" t="s">
        <v>228</v>
      </c>
      <c r="B37" s="20">
        <v>295.000317319891</v>
      </c>
      <c r="C37" s="20">
        <v>295.000317319891</v>
      </c>
      <c r="D37" s="20">
        <v>295.000317319891</v>
      </c>
      <c r="E37" s="41">
        <v>295.000317319891</v>
      </c>
      <c r="F37" s="20">
        <v>295.000317319891</v>
      </c>
      <c r="G37" s="20">
        <v>295.000317319891</v>
      </c>
      <c r="H37" s="41">
        <v>295.000317319891</v>
      </c>
      <c r="I37" s="46">
        <v>295.000317319891</v>
      </c>
      <c r="J37" s="46">
        <v>295.000317319891</v>
      </c>
    </row>
    <row r="38" spans="1:10" x14ac:dyDescent="0.3">
      <c r="A38" s="21" t="s">
        <v>158</v>
      </c>
      <c r="B38" s="20">
        <v>0</v>
      </c>
      <c r="C38" s="20">
        <v>0</v>
      </c>
      <c r="D38" s="20">
        <v>13.2369534080342</v>
      </c>
      <c r="E38" s="41">
        <v>13.2369534080383</v>
      </c>
      <c r="F38" s="20">
        <v>20.3580305574019</v>
      </c>
      <c r="G38" s="20">
        <v>10.003353273235801</v>
      </c>
      <c r="H38" s="41">
        <v>10.003353273235801</v>
      </c>
      <c r="I38" s="46">
        <v>0</v>
      </c>
      <c r="J38" s="46">
        <v>307.81631030742801</v>
      </c>
    </row>
    <row r="39" spans="1:10" x14ac:dyDescent="0.3">
      <c r="A39" t="s">
        <v>229</v>
      </c>
      <c r="B39" s="20">
        <v>295.000317319891</v>
      </c>
      <c r="C39" s="20">
        <v>295.000317319891</v>
      </c>
      <c r="D39" s="20">
        <v>297.20335671254497</v>
      </c>
      <c r="E39" s="41">
        <v>297.20335671254497</v>
      </c>
      <c r="F39" s="20">
        <v>298.63693131655202</v>
      </c>
      <c r="G39" s="20">
        <v>296.67733243145699</v>
      </c>
      <c r="H39" s="41">
        <v>296.67691981607197</v>
      </c>
      <c r="I39" s="46">
        <v>295.000317319891</v>
      </c>
      <c r="J39" s="46">
        <v>535.05506846588798</v>
      </c>
    </row>
    <row r="40" spans="1:10" x14ac:dyDescent="0.3">
      <c r="A40" s="21" t="s">
        <v>187</v>
      </c>
      <c r="B40" s="20">
        <v>0</v>
      </c>
      <c r="C40" s="20">
        <v>0</v>
      </c>
      <c r="D40" s="20">
        <v>7.4546250000000105E-2</v>
      </c>
      <c r="E40" s="41">
        <v>7.4546249999996497E-2</v>
      </c>
      <c r="F40" s="20">
        <v>7.4546250000000105E-2</v>
      </c>
      <c r="G40" s="20">
        <v>0.24193586538461401</v>
      </c>
      <c r="H40" s="41">
        <v>0.24193586538461501</v>
      </c>
      <c r="I40" s="46">
        <v>0</v>
      </c>
      <c r="J40" s="46">
        <v>2.8985241059379101E-2</v>
      </c>
    </row>
    <row r="41" spans="1:10" x14ac:dyDescent="0.3">
      <c r="A41" s="21" t="s">
        <v>157</v>
      </c>
      <c r="B41" s="20">
        <v>295.000317319891</v>
      </c>
      <c r="C41" s="20">
        <v>295.000317319891</v>
      </c>
      <c r="D41" s="20">
        <v>297.128810462545</v>
      </c>
      <c r="E41" s="41">
        <v>297.128810462545</v>
      </c>
      <c r="F41" s="20">
        <v>298.562385066552</v>
      </c>
      <c r="G41" s="20">
        <v>296.43539656607197</v>
      </c>
      <c r="H41" s="41">
        <v>296.43498395068798</v>
      </c>
      <c r="I41" s="46">
        <v>295.000317319891</v>
      </c>
      <c r="J41" s="46">
        <v>535.02608322482797</v>
      </c>
    </row>
    <row r="42" spans="1:10" x14ac:dyDescent="0.3">
      <c r="A42" s="21" t="s">
        <v>158</v>
      </c>
      <c r="B42" s="20">
        <v>0</v>
      </c>
      <c r="C42" s="20">
        <v>0</v>
      </c>
      <c r="D42" s="20">
        <v>11.033914015382599</v>
      </c>
      <c r="E42" s="41">
        <v>11.033914015384299</v>
      </c>
      <c r="F42" s="20">
        <v>16.9698231737021</v>
      </c>
      <c r="G42" s="20">
        <v>8.3384851846172197</v>
      </c>
      <c r="H42" s="41">
        <v>8.3384851846172303</v>
      </c>
      <c r="I42" s="46">
        <v>0</v>
      </c>
      <c r="J42" s="46">
        <v>256.58613396666601</v>
      </c>
    </row>
    <row r="43" spans="1:10" x14ac:dyDescent="0.3">
      <c r="A43" s="1" t="s">
        <v>231</v>
      </c>
      <c r="B43" s="20"/>
      <c r="C43" s="20"/>
      <c r="D43" s="20"/>
      <c r="E43" s="20"/>
      <c r="F43" s="20"/>
      <c r="G43" s="20"/>
      <c r="H43" s="41"/>
      <c r="I43" s="46"/>
      <c r="J43" s="46"/>
    </row>
    <row r="44" spans="1:10" x14ac:dyDescent="0.3">
      <c r="A44" t="s">
        <v>227</v>
      </c>
      <c r="B44" s="20">
        <v>295.000317319891</v>
      </c>
      <c r="C44" s="20">
        <v>295.000317319891</v>
      </c>
      <c r="D44" s="20">
        <v>295.000317319891</v>
      </c>
      <c r="E44" s="41">
        <v>295.000317319891</v>
      </c>
      <c r="F44" s="20">
        <v>295.24872393286103</v>
      </c>
      <c r="G44" s="20">
        <v>295.01246434283303</v>
      </c>
      <c r="H44" s="41">
        <v>295.01205172744898</v>
      </c>
      <c r="I44" s="46">
        <v>295.000317319891</v>
      </c>
      <c r="J44" s="46">
        <v>405.71284307652502</v>
      </c>
    </row>
    <row r="45" spans="1:10" x14ac:dyDescent="0.3">
      <c r="A45" s="21" t="s">
        <v>157</v>
      </c>
      <c r="B45" s="20">
        <v>0</v>
      </c>
      <c r="C45" s="20">
        <v>0</v>
      </c>
      <c r="D45" s="20">
        <v>0</v>
      </c>
      <c r="E45" s="41">
        <v>0</v>
      </c>
      <c r="F45" s="20">
        <v>0.248406612969475</v>
      </c>
      <c r="G45" s="20">
        <v>1.2147022941970301E-2</v>
      </c>
      <c r="H45" s="41">
        <v>1.1734407557354901E-2</v>
      </c>
      <c r="I45" s="46">
        <v>0</v>
      </c>
      <c r="J45" s="46">
        <v>110.712525756633</v>
      </c>
    </row>
    <row r="46" spans="1:10" x14ac:dyDescent="0.3">
      <c r="A46" s="21" t="s">
        <v>228</v>
      </c>
      <c r="B46" s="20">
        <v>295.000317319891</v>
      </c>
      <c r="C46" s="20">
        <v>295.000317319891</v>
      </c>
      <c r="D46" s="20">
        <v>295.000317319891</v>
      </c>
      <c r="E46" s="41">
        <v>295.000317319891</v>
      </c>
      <c r="F46" s="20">
        <v>295.000317319891</v>
      </c>
      <c r="G46" s="20">
        <v>295.000317319891</v>
      </c>
      <c r="H46" s="41">
        <v>295.000317319891</v>
      </c>
      <c r="I46" s="46">
        <v>295.000317319891</v>
      </c>
      <c r="J46" s="46">
        <v>295.000317319891</v>
      </c>
    </row>
    <row r="47" spans="1:10" x14ac:dyDescent="0.3">
      <c r="A47" s="21" t="s">
        <v>158</v>
      </c>
      <c r="B47" s="20">
        <v>0.23926236777648199</v>
      </c>
      <c r="C47" s="20">
        <v>0.59708955481472203</v>
      </c>
      <c r="D47" s="20">
        <v>13.236953408034401</v>
      </c>
      <c r="E47" s="41">
        <v>13.2369534080382</v>
      </c>
      <c r="F47" s="20">
        <v>20.3514377253086</v>
      </c>
      <c r="G47" s="20">
        <v>10.0033532732357</v>
      </c>
      <c r="H47" s="41">
        <v>10.0033532732357</v>
      </c>
      <c r="I47" s="46">
        <v>1.2564601326317599</v>
      </c>
      <c r="J47" s="46">
        <v>202.61956244258701</v>
      </c>
    </row>
    <row r="48" spans="1:10" x14ac:dyDescent="0.3">
      <c r="A48" t="s">
        <v>229</v>
      </c>
      <c r="B48" s="20">
        <v>295.04013799502002</v>
      </c>
      <c r="C48" s="20">
        <v>295.09969153158698</v>
      </c>
      <c r="D48" s="20">
        <v>297.203356712546</v>
      </c>
      <c r="E48" s="41">
        <v>297.203356712546</v>
      </c>
      <c r="F48" s="20">
        <v>298.63583406491398</v>
      </c>
      <c r="G48" s="20">
        <v>296.67733243144897</v>
      </c>
      <c r="H48" s="41">
        <v>296.67691981606401</v>
      </c>
      <c r="I48" s="46">
        <v>295.20943123623999</v>
      </c>
      <c r="J48" s="46">
        <v>439.43501947335398</v>
      </c>
    </row>
    <row r="49" spans="1:10" x14ac:dyDescent="0.3">
      <c r="A49" s="21" t="s">
        <v>187</v>
      </c>
      <c r="B49" s="20">
        <v>2.7950089743589701E-2</v>
      </c>
      <c r="C49" s="20">
        <v>2.7764718623481802E-2</v>
      </c>
      <c r="D49" s="20">
        <v>7.4895800607287399E-2</v>
      </c>
      <c r="E49" s="41">
        <v>7.4895800607283999E-2</v>
      </c>
      <c r="F49" s="20">
        <v>7.5486781871036704E-2</v>
      </c>
      <c r="G49" s="20">
        <v>9.4308724290674295</v>
      </c>
      <c r="H49" s="41">
        <v>9.4313132882776092</v>
      </c>
      <c r="I49" s="46">
        <v>9.7270674387141508E-3</v>
      </c>
      <c r="J49" s="46">
        <v>6.8145711638221695E-2</v>
      </c>
    </row>
    <row r="50" spans="1:10" x14ac:dyDescent="0.3">
      <c r="A50" s="21" t="s">
        <v>157</v>
      </c>
      <c r="B50" s="20">
        <v>295.01218790527599</v>
      </c>
      <c r="C50" s="20">
        <v>295.07192681296402</v>
      </c>
      <c r="D50" s="20">
        <v>297.12846091193802</v>
      </c>
      <c r="E50" s="41">
        <v>297.12846091193802</v>
      </c>
      <c r="F50" s="20">
        <v>298.56034728304297</v>
      </c>
      <c r="G50" s="20">
        <v>287.24646000238101</v>
      </c>
      <c r="H50" s="41">
        <v>287.24560652778598</v>
      </c>
      <c r="I50" s="46">
        <v>295.19970416880102</v>
      </c>
      <c r="J50" s="46">
        <v>439.366873761715</v>
      </c>
    </row>
    <row r="51" spans="1:10" x14ac:dyDescent="0.3">
      <c r="A51" s="21" t="s">
        <v>158</v>
      </c>
      <c r="B51" s="20">
        <v>0.199441692645074</v>
      </c>
      <c r="C51" s="20">
        <v>0.49771534311736398</v>
      </c>
      <c r="D51" s="20">
        <v>11.033914015382599</v>
      </c>
      <c r="E51" s="41">
        <v>11.033914015384299</v>
      </c>
      <c r="F51" s="20">
        <v>16.964327593246701</v>
      </c>
      <c r="G51" s="20">
        <v>8.3384851846171699</v>
      </c>
      <c r="H51" s="41">
        <v>8.3384851846172499</v>
      </c>
      <c r="I51" s="46">
        <v>1.0473462162976599</v>
      </c>
      <c r="J51" s="46">
        <v>168.89738604570201</v>
      </c>
    </row>
    <row r="52" spans="1:10" x14ac:dyDescent="0.3">
      <c r="A52" s="1" t="s">
        <v>232</v>
      </c>
      <c r="B52" s="20"/>
      <c r="C52" s="20"/>
      <c r="D52" s="20"/>
      <c r="E52" s="20"/>
      <c r="F52" s="20"/>
      <c r="G52" s="20"/>
      <c r="H52" s="41"/>
      <c r="I52" s="20"/>
      <c r="J52" s="20"/>
    </row>
    <row r="53" spans="1:10" x14ac:dyDescent="0.3">
      <c r="A53" t="s">
        <v>233</v>
      </c>
      <c r="B53" s="20">
        <v>0</v>
      </c>
      <c r="C53" s="20">
        <v>0</v>
      </c>
      <c r="D53" s="20">
        <v>150.00000000000099</v>
      </c>
      <c r="E53" s="20">
        <v>149.99999999999801</v>
      </c>
      <c r="F53" s="20">
        <v>149.99909976143499</v>
      </c>
      <c r="G53" s="20">
        <v>149.99999999999901</v>
      </c>
      <c r="H53" s="20">
        <v>150</v>
      </c>
      <c r="I53" s="20">
        <v>0</v>
      </c>
      <c r="J53" s="20">
        <v>145.295276013603</v>
      </c>
    </row>
    <row r="54" spans="1:10" x14ac:dyDescent="0.3">
      <c r="A54" t="s">
        <v>234</v>
      </c>
      <c r="B54" s="20">
        <v>0</v>
      </c>
      <c r="C54" s="20">
        <v>0</v>
      </c>
      <c r="D54" s="20">
        <v>150.00000000000401</v>
      </c>
      <c r="E54" s="20">
        <v>150.000000000005</v>
      </c>
      <c r="F54" s="20">
        <v>149.999099761438</v>
      </c>
      <c r="G54" s="20">
        <v>150.00000000000199</v>
      </c>
      <c r="H54" s="20">
        <v>150.00000000000099</v>
      </c>
      <c r="I54" s="20">
        <v>0</v>
      </c>
      <c r="J54" s="20">
        <v>150.00000000000199</v>
      </c>
    </row>
    <row r="55" spans="1:10" x14ac:dyDescent="0.3">
      <c r="A55" t="s">
        <v>172</v>
      </c>
      <c r="B55" s="20">
        <v>4.5509696204151702</v>
      </c>
      <c r="C55" s="20">
        <v>7.0509048193495198</v>
      </c>
      <c r="D55" s="20">
        <v>150.00000000000099</v>
      </c>
      <c r="E55" s="20">
        <v>149.99999999999801</v>
      </c>
      <c r="F55" s="20">
        <v>149.977517696261</v>
      </c>
      <c r="G55" s="20">
        <v>149.99999999999901</v>
      </c>
      <c r="H55" s="20">
        <v>150</v>
      </c>
      <c r="I55" s="20">
        <v>7.6216828559801701</v>
      </c>
      <c r="J55" s="20">
        <v>105.870230874006</v>
      </c>
    </row>
    <row r="56" spans="1:10" x14ac:dyDescent="0.3">
      <c r="A56" t="s">
        <v>235</v>
      </c>
      <c r="B56" s="20">
        <v>8.6561938543647905</v>
      </c>
      <c r="C56" s="20">
        <v>8.6561938543647905</v>
      </c>
      <c r="D56" s="20">
        <v>150.00000000000401</v>
      </c>
      <c r="E56" s="20">
        <v>150.00000000000099</v>
      </c>
      <c r="F56" s="20">
        <v>149.999099761438</v>
      </c>
      <c r="G56" s="20">
        <v>150.00000000000199</v>
      </c>
      <c r="H56" s="20">
        <v>150.00000000000099</v>
      </c>
      <c r="I56" s="20">
        <v>9.0570240920713907</v>
      </c>
      <c r="J56" s="20">
        <v>150.00000000000199</v>
      </c>
    </row>
    <row r="57" spans="1:10" x14ac:dyDescent="0.3">
      <c r="A57" s="1" t="s">
        <v>236</v>
      </c>
      <c r="B57" s="20"/>
      <c r="C57" s="20"/>
      <c r="D57" s="20"/>
      <c r="E57" s="20"/>
      <c r="F57" s="20"/>
      <c r="G57" s="20"/>
      <c r="H57" s="20"/>
      <c r="I57" s="20"/>
      <c r="J57" s="20"/>
    </row>
    <row r="58" spans="1:10" x14ac:dyDescent="0.3">
      <c r="A58" s="21" t="s">
        <v>237</v>
      </c>
      <c r="B58" s="20">
        <v>0</v>
      </c>
      <c r="C58" s="20">
        <v>0</v>
      </c>
      <c r="D58" s="20">
        <v>0.999999999999998</v>
      </c>
      <c r="E58" s="20">
        <v>0.99999999999993705</v>
      </c>
      <c r="F58" s="20">
        <v>0.999999999999999</v>
      </c>
      <c r="G58" s="20">
        <v>0.999999999999998</v>
      </c>
      <c r="H58" s="20">
        <v>0.999999999999998</v>
      </c>
      <c r="I58" s="20">
        <v>0</v>
      </c>
      <c r="J58" s="20">
        <v>0</v>
      </c>
    </row>
    <row r="59" spans="1:10" x14ac:dyDescent="0.3">
      <c r="A59" s="21" t="s">
        <v>238</v>
      </c>
      <c r="B59" s="20">
        <v>0</v>
      </c>
      <c r="C59" s="20">
        <v>0</v>
      </c>
      <c r="D59" s="20">
        <v>1</v>
      </c>
      <c r="E59" s="20">
        <v>0.99999999999992295</v>
      </c>
      <c r="F59" s="20">
        <v>1</v>
      </c>
      <c r="G59" s="20">
        <v>1</v>
      </c>
      <c r="H59" s="20">
        <v>1</v>
      </c>
      <c r="I59" s="20">
        <v>0</v>
      </c>
      <c r="J59" s="20">
        <v>0.48339714784036097</v>
      </c>
    </row>
    <row r="60" spans="1:10" x14ac:dyDescent="0.3">
      <c r="A60" s="21" t="s">
        <v>239</v>
      </c>
      <c r="B60" s="20">
        <v>0</v>
      </c>
      <c r="C60" s="20">
        <v>0</v>
      </c>
      <c r="D60" s="20">
        <v>0.999999999999999</v>
      </c>
      <c r="E60" s="20">
        <v>0.99999999999993805</v>
      </c>
      <c r="F60" s="20">
        <v>0.999999999999999</v>
      </c>
      <c r="G60" s="20">
        <v>0.999999999999998</v>
      </c>
      <c r="H60" s="20">
        <v>0.999999999999998</v>
      </c>
      <c r="I60" s="20">
        <v>0</v>
      </c>
      <c r="J60" s="20">
        <v>0</v>
      </c>
    </row>
    <row r="61" spans="1:10" x14ac:dyDescent="0.3">
      <c r="A61" s="21" t="s">
        <v>240</v>
      </c>
      <c r="B61" s="20">
        <v>0</v>
      </c>
      <c r="C61" s="20">
        <v>0</v>
      </c>
      <c r="D61" s="20">
        <v>1</v>
      </c>
      <c r="E61" s="20">
        <v>0.99999999999992295</v>
      </c>
      <c r="F61" s="20">
        <v>0.47741009779636601</v>
      </c>
      <c r="G61" s="20">
        <v>1</v>
      </c>
      <c r="H61" s="20">
        <v>1</v>
      </c>
      <c r="I61" s="20">
        <v>0</v>
      </c>
      <c r="J61" s="20">
        <v>1.17230054302423E-2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47F-8C31-4D38-B1FE-C9B889BFD1F8}">
  <dimension ref="A1:N33"/>
  <sheetViews>
    <sheetView workbookViewId="0">
      <selection activeCell="D1" sqref="D1"/>
    </sheetView>
  </sheetViews>
  <sheetFormatPr defaultRowHeight="14.4" x14ac:dyDescent="0.3"/>
  <cols>
    <col min="13" max="13" width="14" customWidth="1"/>
  </cols>
  <sheetData>
    <row r="1" spans="1:14" x14ac:dyDescent="0.3">
      <c r="A1" t="s">
        <v>143</v>
      </c>
      <c r="B1" t="s">
        <v>257</v>
      </c>
      <c r="C1" t="s">
        <v>258</v>
      </c>
      <c r="D1" t="s">
        <v>259</v>
      </c>
      <c r="E1" t="s">
        <v>260</v>
      </c>
      <c r="F1" t="s">
        <v>261</v>
      </c>
      <c r="G1" t="s">
        <v>262</v>
      </c>
      <c r="H1" t="s">
        <v>263</v>
      </c>
      <c r="I1" t="s">
        <v>264</v>
      </c>
      <c r="J1" t="s">
        <v>265</v>
      </c>
      <c r="K1" t="s">
        <v>266</v>
      </c>
      <c r="L1" t="s">
        <v>267</v>
      </c>
      <c r="M1" t="s">
        <v>268</v>
      </c>
      <c r="N1" t="s">
        <v>269</v>
      </c>
    </row>
    <row r="2" spans="1:14" x14ac:dyDescent="0.3">
      <c r="A2">
        <v>2019</v>
      </c>
      <c r="B2">
        <v>50.598999999999997</v>
      </c>
      <c r="C2">
        <v>51.728000000000002</v>
      </c>
      <c r="D2">
        <v>46.747</v>
      </c>
      <c r="E2">
        <v>36</v>
      </c>
      <c r="F2">
        <v>38</v>
      </c>
      <c r="G2">
        <v>74</v>
      </c>
      <c r="H2">
        <v>6</v>
      </c>
      <c r="I2">
        <v>15</v>
      </c>
      <c r="J2">
        <v>89</v>
      </c>
      <c r="K2">
        <v>95</v>
      </c>
      <c r="L2">
        <v>89</v>
      </c>
      <c r="M2">
        <v>49.429000000000002</v>
      </c>
      <c r="N2">
        <v>57</v>
      </c>
    </row>
    <row r="3" spans="1:14" x14ac:dyDescent="0.3">
      <c r="A3">
        <v>2020</v>
      </c>
      <c r="B3">
        <v>52.073999999999998</v>
      </c>
      <c r="C3">
        <v>55.942</v>
      </c>
      <c r="D3">
        <v>48.088000000000001</v>
      </c>
      <c r="E3">
        <v>36</v>
      </c>
      <c r="F3">
        <v>38</v>
      </c>
      <c r="G3">
        <v>74</v>
      </c>
      <c r="H3">
        <v>6</v>
      </c>
      <c r="I3">
        <v>15</v>
      </c>
      <c r="J3">
        <v>89</v>
      </c>
      <c r="K3">
        <v>95</v>
      </c>
      <c r="L3">
        <v>89</v>
      </c>
      <c r="M3">
        <v>53.835000000000001</v>
      </c>
      <c r="N3">
        <v>57</v>
      </c>
    </row>
    <row r="4" spans="1:14" x14ac:dyDescent="0.3">
      <c r="A4">
        <v>2021</v>
      </c>
      <c r="B4">
        <v>52.811</v>
      </c>
      <c r="C4">
        <v>56.134</v>
      </c>
      <c r="D4">
        <v>51.152999999999999</v>
      </c>
      <c r="E4">
        <v>36</v>
      </c>
      <c r="F4">
        <v>38</v>
      </c>
      <c r="G4">
        <v>74</v>
      </c>
      <c r="H4">
        <v>6</v>
      </c>
      <c r="I4">
        <v>15</v>
      </c>
      <c r="J4">
        <v>89</v>
      </c>
      <c r="K4">
        <v>95</v>
      </c>
      <c r="L4">
        <v>89</v>
      </c>
      <c r="M4">
        <v>54.600999999999999</v>
      </c>
      <c r="N4">
        <v>57</v>
      </c>
    </row>
    <row r="5" spans="1:14" x14ac:dyDescent="0.3">
      <c r="A5">
        <v>2022</v>
      </c>
      <c r="B5">
        <v>58.2</v>
      </c>
      <c r="C5">
        <v>59.198</v>
      </c>
      <c r="D5">
        <v>51.536000000000001</v>
      </c>
      <c r="E5">
        <v>36</v>
      </c>
      <c r="F5">
        <v>38</v>
      </c>
      <c r="G5">
        <v>74</v>
      </c>
      <c r="H5">
        <v>6</v>
      </c>
      <c r="I5">
        <v>15</v>
      </c>
      <c r="J5">
        <v>89</v>
      </c>
      <c r="K5">
        <v>95</v>
      </c>
      <c r="L5">
        <v>89</v>
      </c>
      <c r="M5">
        <v>56.707999999999998</v>
      </c>
      <c r="N5">
        <v>57</v>
      </c>
    </row>
    <row r="6" spans="1:14" x14ac:dyDescent="0.3">
      <c r="A6">
        <v>2023</v>
      </c>
      <c r="B6">
        <v>0</v>
      </c>
      <c r="C6">
        <v>60.155999999999999</v>
      </c>
      <c r="D6">
        <v>52.494</v>
      </c>
      <c r="E6">
        <v>36</v>
      </c>
      <c r="F6">
        <v>38</v>
      </c>
      <c r="G6">
        <v>74</v>
      </c>
      <c r="H6">
        <v>6</v>
      </c>
      <c r="I6">
        <v>15</v>
      </c>
      <c r="J6">
        <v>89</v>
      </c>
      <c r="K6">
        <v>95</v>
      </c>
      <c r="L6">
        <v>89</v>
      </c>
      <c r="M6">
        <v>58.241</v>
      </c>
      <c r="N6">
        <v>57</v>
      </c>
    </row>
    <row r="7" spans="1:14" x14ac:dyDescent="0.3">
      <c r="A7">
        <v>2024</v>
      </c>
      <c r="B7">
        <v>0</v>
      </c>
      <c r="C7">
        <v>61.689</v>
      </c>
      <c r="D7">
        <v>53.451999999999998</v>
      </c>
      <c r="E7">
        <v>36</v>
      </c>
      <c r="F7">
        <v>38</v>
      </c>
      <c r="G7">
        <v>74</v>
      </c>
      <c r="H7">
        <v>6</v>
      </c>
      <c r="I7">
        <v>15</v>
      </c>
      <c r="J7">
        <v>89</v>
      </c>
      <c r="K7">
        <v>95</v>
      </c>
      <c r="L7">
        <v>89</v>
      </c>
      <c r="M7">
        <v>59.582000000000001</v>
      </c>
      <c r="N7">
        <v>57</v>
      </c>
    </row>
    <row r="8" spans="1:14" x14ac:dyDescent="0.3">
      <c r="A8">
        <v>2025</v>
      </c>
      <c r="B8">
        <v>0</v>
      </c>
      <c r="C8">
        <v>62.454999999999998</v>
      </c>
      <c r="D8">
        <v>54.41</v>
      </c>
      <c r="E8">
        <v>36</v>
      </c>
      <c r="F8">
        <v>38</v>
      </c>
      <c r="G8">
        <v>74</v>
      </c>
      <c r="H8">
        <v>6</v>
      </c>
      <c r="I8">
        <v>15</v>
      </c>
      <c r="J8">
        <v>89</v>
      </c>
      <c r="K8">
        <v>95</v>
      </c>
      <c r="L8">
        <v>89</v>
      </c>
      <c r="M8">
        <v>60.347999999999999</v>
      </c>
      <c r="N8">
        <v>57</v>
      </c>
    </row>
    <row r="9" spans="1:14" x14ac:dyDescent="0.3">
      <c r="A9">
        <v>2026</v>
      </c>
      <c r="B9">
        <v>0</v>
      </c>
      <c r="C9">
        <v>63.987000000000002</v>
      </c>
      <c r="D9">
        <v>55.558999999999997</v>
      </c>
      <c r="E9">
        <v>36</v>
      </c>
      <c r="F9">
        <v>38</v>
      </c>
      <c r="G9">
        <v>74</v>
      </c>
      <c r="H9">
        <v>6</v>
      </c>
      <c r="I9">
        <v>15</v>
      </c>
      <c r="J9">
        <v>89</v>
      </c>
      <c r="K9">
        <v>95</v>
      </c>
      <c r="L9">
        <v>89</v>
      </c>
      <c r="M9">
        <v>61.88</v>
      </c>
      <c r="N9">
        <v>57</v>
      </c>
    </row>
    <row r="10" spans="1:14" x14ac:dyDescent="0.3">
      <c r="A10">
        <v>2027</v>
      </c>
      <c r="B10">
        <v>0</v>
      </c>
      <c r="C10">
        <v>65.328000000000003</v>
      </c>
      <c r="D10">
        <v>56.9</v>
      </c>
      <c r="E10">
        <v>36</v>
      </c>
      <c r="F10">
        <v>38</v>
      </c>
      <c r="G10">
        <v>74</v>
      </c>
      <c r="H10">
        <v>6</v>
      </c>
      <c r="I10">
        <v>15</v>
      </c>
      <c r="J10">
        <v>89</v>
      </c>
      <c r="K10">
        <v>95</v>
      </c>
      <c r="L10">
        <v>89</v>
      </c>
      <c r="M10">
        <v>63.220999999999997</v>
      </c>
      <c r="N10">
        <v>57</v>
      </c>
    </row>
    <row r="11" spans="1:14" x14ac:dyDescent="0.3">
      <c r="A11">
        <v>2028</v>
      </c>
      <c r="B11">
        <v>0</v>
      </c>
      <c r="C11">
        <v>66.668999999999997</v>
      </c>
      <c r="D11">
        <v>58.048999999999999</v>
      </c>
      <c r="E11">
        <v>36</v>
      </c>
      <c r="F11">
        <v>38</v>
      </c>
      <c r="G11">
        <v>74</v>
      </c>
      <c r="H11">
        <v>6</v>
      </c>
      <c r="I11">
        <v>15</v>
      </c>
      <c r="J11">
        <v>89</v>
      </c>
      <c r="K11">
        <v>95</v>
      </c>
      <c r="L11">
        <v>89</v>
      </c>
      <c r="M11">
        <v>64.561999999999998</v>
      </c>
      <c r="N11">
        <v>57</v>
      </c>
    </row>
    <row r="12" spans="1:14" x14ac:dyDescent="0.3">
      <c r="A12">
        <v>2029</v>
      </c>
      <c r="B12">
        <v>0</v>
      </c>
      <c r="C12">
        <v>68.201999999999998</v>
      </c>
      <c r="D12">
        <v>59.39</v>
      </c>
      <c r="E12">
        <v>36</v>
      </c>
      <c r="F12">
        <v>38</v>
      </c>
      <c r="G12">
        <v>74</v>
      </c>
      <c r="H12">
        <v>6</v>
      </c>
      <c r="I12">
        <v>15</v>
      </c>
      <c r="J12">
        <v>89</v>
      </c>
      <c r="K12">
        <v>95</v>
      </c>
      <c r="L12">
        <v>89</v>
      </c>
      <c r="M12">
        <v>66.093999999999994</v>
      </c>
      <c r="N12">
        <v>57</v>
      </c>
    </row>
    <row r="13" spans="1:14" x14ac:dyDescent="0.3">
      <c r="A13">
        <v>2030</v>
      </c>
      <c r="B13">
        <v>0</v>
      </c>
      <c r="C13">
        <v>70.117000000000004</v>
      </c>
      <c r="D13">
        <v>60.731000000000002</v>
      </c>
      <c r="E13">
        <v>36</v>
      </c>
      <c r="F13">
        <v>38</v>
      </c>
      <c r="G13">
        <v>74</v>
      </c>
      <c r="H13">
        <v>6</v>
      </c>
      <c r="I13">
        <v>15</v>
      </c>
      <c r="J13">
        <v>89</v>
      </c>
      <c r="K13">
        <v>95</v>
      </c>
      <c r="L13">
        <v>89</v>
      </c>
      <c r="M13">
        <v>67.626999999999995</v>
      </c>
      <c r="N13">
        <v>57</v>
      </c>
    </row>
    <row r="14" spans="1:14" x14ac:dyDescent="0.3">
      <c r="A14">
        <v>2031</v>
      </c>
      <c r="B14">
        <v>0</v>
      </c>
      <c r="C14">
        <v>71.650000000000006</v>
      </c>
      <c r="D14">
        <v>62.262999999999998</v>
      </c>
      <c r="E14">
        <v>36</v>
      </c>
      <c r="F14">
        <v>38</v>
      </c>
      <c r="G14">
        <v>74</v>
      </c>
      <c r="H14">
        <v>6</v>
      </c>
      <c r="I14">
        <v>15</v>
      </c>
      <c r="J14">
        <v>89</v>
      </c>
      <c r="K14">
        <v>95</v>
      </c>
      <c r="L14">
        <v>89</v>
      </c>
      <c r="M14">
        <v>69.350999999999999</v>
      </c>
      <c r="N14">
        <v>57</v>
      </c>
    </row>
    <row r="15" spans="1:14" x14ac:dyDescent="0.3">
      <c r="A15">
        <v>2032</v>
      </c>
      <c r="B15">
        <v>0</v>
      </c>
      <c r="C15">
        <v>73.182000000000002</v>
      </c>
      <c r="D15">
        <v>63.603999999999999</v>
      </c>
      <c r="E15">
        <v>36</v>
      </c>
      <c r="F15">
        <v>38</v>
      </c>
      <c r="G15">
        <v>74</v>
      </c>
      <c r="H15">
        <v>6</v>
      </c>
      <c r="I15">
        <v>15</v>
      </c>
      <c r="J15">
        <v>89</v>
      </c>
      <c r="K15">
        <v>95</v>
      </c>
      <c r="L15">
        <v>89</v>
      </c>
      <c r="M15">
        <v>71.075000000000003</v>
      </c>
      <c r="N15">
        <v>57</v>
      </c>
    </row>
    <row r="16" spans="1:14" x14ac:dyDescent="0.3">
      <c r="A16">
        <v>2033</v>
      </c>
      <c r="B16">
        <v>0</v>
      </c>
      <c r="C16">
        <v>75.097999999999999</v>
      </c>
      <c r="D16">
        <v>65.52</v>
      </c>
      <c r="E16">
        <v>36</v>
      </c>
      <c r="F16">
        <v>38</v>
      </c>
      <c r="G16">
        <v>74</v>
      </c>
      <c r="H16">
        <v>6</v>
      </c>
      <c r="I16">
        <v>15</v>
      </c>
      <c r="J16">
        <v>89</v>
      </c>
      <c r="K16">
        <v>95</v>
      </c>
      <c r="L16">
        <v>89</v>
      </c>
      <c r="M16">
        <v>72.799000000000007</v>
      </c>
      <c r="N16">
        <v>57</v>
      </c>
    </row>
    <row r="17" spans="1:14" x14ac:dyDescent="0.3">
      <c r="A17">
        <v>2034</v>
      </c>
      <c r="B17">
        <v>0</v>
      </c>
      <c r="C17">
        <v>77.013000000000005</v>
      </c>
      <c r="D17">
        <v>67.052000000000007</v>
      </c>
      <c r="E17">
        <v>36</v>
      </c>
      <c r="F17">
        <v>38</v>
      </c>
      <c r="G17">
        <v>74</v>
      </c>
      <c r="H17">
        <v>6</v>
      </c>
      <c r="I17">
        <v>15</v>
      </c>
      <c r="J17">
        <v>89</v>
      </c>
      <c r="K17">
        <v>95</v>
      </c>
      <c r="L17">
        <v>89</v>
      </c>
      <c r="M17">
        <v>74.715000000000003</v>
      </c>
      <c r="N17">
        <v>57</v>
      </c>
    </row>
    <row r="18" spans="1:14" x14ac:dyDescent="0.3">
      <c r="A18">
        <v>2035</v>
      </c>
      <c r="B18">
        <v>0</v>
      </c>
      <c r="C18">
        <v>78.929000000000002</v>
      </c>
      <c r="D18">
        <v>68.775999999999996</v>
      </c>
      <c r="E18">
        <v>36</v>
      </c>
      <c r="F18">
        <v>38</v>
      </c>
      <c r="G18">
        <v>74</v>
      </c>
      <c r="H18">
        <v>6</v>
      </c>
      <c r="I18">
        <v>15</v>
      </c>
      <c r="J18">
        <v>89</v>
      </c>
      <c r="K18">
        <v>95</v>
      </c>
      <c r="L18">
        <v>89</v>
      </c>
      <c r="M18">
        <v>76.63</v>
      </c>
      <c r="N18">
        <v>57</v>
      </c>
    </row>
    <row r="19" spans="1:14" x14ac:dyDescent="0.3">
      <c r="A19">
        <v>2036</v>
      </c>
      <c r="B19">
        <v>0</v>
      </c>
      <c r="C19">
        <v>80.653000000000006</v>
      </c>
      <c r="D19">
        <v>70.308999999999997</v>
      </c>
      <c r="E19">
        <v>36</v>
      </c>
      <c r="F19">
        <v>38</v>
      </c>
      <c r="G19">
        <v>74</v>
      </c>
      <c r="H19">
        <v>6</v>
      </c>
      <c r="I19">
        <v>15</v>
      </c>
      <c r="J19">
        <v>89</v>
      </c>
      <c r="K19">
        <v>95</v>
      </c>
      <c r="L19">
        <v>89</v>
      </c>
      <c r="M19">
        <v>78.546000000000006</v>
      </c>
      <c r="N19">
        <v>57</v>
      </c>
    </row>
    <row r="20" spans="1:14" x14ac:dyDescent="0.3">
      <c r="A20">
        <v>2037</v>
      </c>
      <c r="B20">
        <v>0</v>
      </c>
      <c r="C20">
        <v>82.376999999999995</v>
      </c>
      <c r="D20">
        <v>72.224000000000004</v>
      </c>
      <c r="E20">
        <v>0</v>
      </c>
      <c r="F20">
        <v>38</v>
      </c>
      <c r="G20">
        <v>38</v>
      </c>
      <c r="H20">
        <v>6</v>
      </c>
      <c r="I20">
        <v>15</v>
      </c>
      <c r="J20">
        <v>53</v>
      </c>
      <c r="K20">
        <v>59</v>
      </c>
      <c r="L20">
        <v>93</v>
      </c>
      <c r="M20">
        <v>80.078000000000003</v>
      </c>
      <c r="N20">
        <v>21</v>
      </c>
    </row>
    <row r="21" spans="1:14" x14ac:dyDescent="0.3">
      <c r="A21">
        <v>2038</v>
      </c>
      <c r="B21">
        <v>0</v>
      </c>
      <c r="C21">
        <v>84.292000000000002</v>
      </c>
      <c r="D21">
        <v>73.757000000000005</v>
      </c>
      <c r="E21">
        <v>0</v>
      </c>
      <c r="F21">
        <v>38</v>
      </c>
      <c r="G21">
        <v>38</v>
      </c>
      <c r="H21">
        <v>6</v>
      </c>
      <c r="I21">
        <v>15</v>
      </c>
      <c r="J21">
        <v>53</v>
      </c>
      <c r="K21">
        <v>59</v>
      </c>
      <c r="L21">
        <v>93</v>
      </c>
      <c r="M21">
        <v>81.994</v>
      </c>
      <c r="N21">
        <v>21</v>
      </c>
    </row>
    <row r="22" spans="1:14" x14ac:dyDescent="0.3">
      <c r="A22">
        <v>2039</v>
      </c>
      <c r="B22">
        <v>0</v>
      </c>
      <c r="C22">
        <v>86.207999999999998</v>
      </c>
      <c r="D22">
        <v>75.480999999999995</v>
      </c>
      <c r="E22">
        <v>0</v>
      </c>
      <c r="F22">
        <v>38</v>
      </c>
      <c r="G22">
        <v>38</v>
      </c>
      <c r="H22">
        <v>6</v>
      </c>
      <c r="I22">
        <v>15</v>
      </c>
      <c r="J22">
        <v>53</v>
      </c>
      <c r="K22">
        <v>59</v>
      </c>
      <c r="L22">
        <v>93</v>
      </c>
      <c r="M22">
        <v>83.909000000000006</v>
      </c>
      <c r="N22">
        <v>21</v>
      </c>
    </row>
    <row r="23" spans="1:14" x14ac:dyDescent="0.3">
      <c r="A23">
        <v>2040</v>
      </c>
      <c r="B23">
        <v>0</v>
      </c>
      <c r="C23">
        <v>88.123000000000005</v>
      </c>
      <c r="D23">
        <v>77.013000000000005</v>
      </c>
      <c r="E23">
        <v>0</v>
      </c>
      <c r="F23">
        <v>38</v>
      </c>
      <c r="G23">
        <v>38</v>
      </c>
      <c r="H23">
        <v>0</v>
      </c>
      <c r="I23">
        <v>15</v>
      </c>
      <c r="J23">
        <v>53</v>
      </c>
      <c r="K23">
        <v>53</v>
      </c>
      <c r="L23">
        <v>93</v>
      </c>
      <c r="M23">
        <v>85.441999999999993</v>
      </c>
      <c r="N23">
        <v>15</v>
      </c>
    </row>
    <row r="24" spans="1:14" x14ac:dyDescent="0.3">
      <c r="A24">
        <v>2041</v>
      </c>
      <c r="B24">
        <v>0</v>
      </c>
      <c r="C24">
        <v>89.272999999999996</v>
      </c>
      <c r="D24">
        <v>78.353999999999999</v>
      </c>
      <c r="E24">
        <v>0</v>
      </c>
      <c r="F24">
        <v>38</v>
      </c>
      <c r="G24">
        <v>38</v>
      </c>
      <c r="H24">
        <v>0</v>
      </c>
      <c r="I24">
        <v>15</v>
      </c>
      <c r="J24">
        <v>53</v>
      </c>
      <c r="K24">
        <v>53</v>
      </c>
      <c r="L24">
        <v>93</v>
      </c>
      <c r="M24">
        <v>86.974000000000004</v>
      </c>
      <c r="N24">
        <v>15</v>
      </c>
    </row>
    <row r="25" spans="1:14" x14ac:dyDescent="0.3">
      <c r="A25">
        <v>2042</v>
      </c>
      <c r="B25">
        <v>0</v>
      </c>
      <c r="C25">
        <v>90.805000000000007</v>
      </c>
      <c r="D25">
        <v>79.503</v>
      </c>
      <c r="E25">
        <v>0</v>
      </c>
      <c r="F25">
        <v>38</v>
      </c>
      <c r="G25">
        <v>38</v>
      </c>
      <c r="H25">
        <v>0</v>
      </c>
      <c r="I25">
        <v>15</v>
      </c>
      <c r="J25">
        <v>53</v>
      </c>
      <c r="K25">
        <v>53</v>
      </c>
      <c r="L25">
        <v>93</v>
      </c>
      <c r="M25">
        <v>88.123000000000005</v>
      </c>
      <c r="N25">
        <v>15</v>
      </c>
    </row>
    <row r="26" spans="1:14" x14ac:dyDescent="0.3">
      <c r="A26">
        <v>2043</v>
      </c>
      <c r="B26">
        <v>0</v>
      </c>
      <c r="C26">
        <v>91.954999999999998</v>
      </c>
      <c r="D26">
        <v>80.653000000000006</v>
      </c>
      <c r="E26">
        <v>0</v>
      </c>
      <c r="F26">
        <v>38</v>
      </c>
      <c r="G26">
        <v>38</v>
      </c>
      <c r="H26">
        <v>0</v>
      </c>
      <c r="I26">
        <v>15</v>
      </c>
      <c r="J26">
        <v>53</v>
      </c>
      <c r="K26">
        <v>53</v>
      </c>
      <c r="L26">
        <v>93</v>
      </c>
      <c r="M26">
        <v>89.463999999999999</v>
      </c>
      <c r="N26">
        <v>15</v>
      </c>
    </row>
    <row r="27" spans="1:14" x14ac:dyDescent="0.3">
      <c r="A27">
        <v>2044</v>
      </c>
      <c r="B27">
        <v>0</v>
      </c>
      <c r="C27">
        <v>93.103999999999999</v>
      </c>
      <c r="D27">
        <v>81.418999999999997</v>
      </c>
      <c r="E27">
        <v>0</v>
      </c>
      <c r="F27">
        <v>38</v>
      </c>
      <c r="G27">
        <v>38</v>
      </c>
      <c r="H27">
        <v>0</v>
      </c>
      <c r="I27">
        <v>15</v>
      </c>
      <c r="J27">
        <v>53</v>
      </c>
      <c r="K27">
        <v>53</v>
      </c>
      <c r="L27">
        <v>133</v>
      </c>
      <c r="M27">
        <v>90.614000000000004</v>
      </c>
      <c r="N27">
        <v>15</v>
      </c>
    </row>
    <row r="28" spans="1:14" x14ac:dyDescent="0.3">
      <c r="A28">
        <v>2045</v>
      </c>
      <c r="B28">
        <v>0</v>
      </c>
      <c r="C28">
        <v>93.87</v>
      </c>
      <c r="D28">
        <v>82.567999999999998</v>
      </c>
      <c r="E28">
        <v>0</v>
      </c>
      <c r="F28">
        <v>38</v>
      </c>
      <c r="G28">
        <v>38</v>
      </c>
      <c r="H28">
        <v>0</v>
      </c>
      <c r="I28">
        <v>15</v>
      </c>
      <c r="J28">
        <v>53</v>
      </c>
      <c r="K28">
        <v>53</v>
      </c>
      <c r="L28">
        <v>133</v>
      </c>
      <c r="M28">
        <v>91.572000000000003</v>
      </c>
      <c r="N28">
        <v>15</v>
      </c>
    </row>
    <row r="29" spans="1:14" x14ac:dyDescent="0.3">
      <c r="A29">
        <v>2046</v>
      </c>
      <c r="B29">
        <v>0</v>
      </c>
      <c r="C29">
        <v>95.02</v>
      </c>
      <c r="D29">
        <v>83.334999999999994</v>
      </c>
      <c r="E29">
        <v>0</v>
      </c>
      <c r="F29">
        <v>38</v>
      </c>
      <c r="G29">
        <v>38</v>
      </c>
      <c r="H29">
        <v>0</v>
      </c>
      <c r="I29">
        <v>15</v>
      </c>
      <c r="J29">
        <v>53</v>
      </c>
      <c r="K29">
        <v>53</v>
      </c>
      <c r="L29">
        <v>133</v>
      </c>
      <c r="M29">
        <v>92.721000000000004</v>
      </c>
      <c r="N29">
        <v>15</v>
      </c>
    </row>
    <row r="30" spans="1:14" x14ac:dyDescent="0.3">
      <c r="A30">
        <v>2047</v>
      </c>
      <c r="B30">
        <v>0</v>
      </c>
      <c r="C30">
        <v>95.786000000000001</v>
      </c>
      <c r="D30">
        <v>83.909000000000006</v>
      </c>
      <c r="E30">
        <v>0</v>
      </c>
      <c r="F30">
        <v>0</v>
      </c>
      <c r="G30">
        <v>0</v>
      </c>
      <c r="H30">
        <v>0</v>
      </c>
      <c r="I30">
        <v>15</v>
      </c>
      <c r="J30">
        <v>15</v>
      </c>
      <c r="K30">
        <v>15</v>
      </c>
      <c r="L30">
        <v>135</v>
      </c>
      <c r="M30">
        <v>93.486999999999995</v>
      </c>
      <c r="N30">
        <v>0</v>
      </c>
    </row>
    <row r="31" spans="1:14" x14ac:dyDescent="0.3">
      <c r="A31">
        <v>2048</v>
      </c>
      <c r="B31">
        <v>0</v>
      </c>
      <c r="C31">
        <v>96.744</v>
      </c>
      <c r="D31">
        <v>84.867000000000004</v>
      </c>
      <c r="E31">
        <v>0</v>
      </c>
      <c r="F31">
        <v>0</v>
      </c>
      <c r="G31">
        <v>0</v>
      </c>
      <c r="H31">
        <v>0</v>
      </c>
      <c r="I31">
        <v>15</v>
      </c>
      <c r="J31">
        <v>15</v>
      </c>
      <c r="K31">
        <v>15</v>
      </c>
      <c r="L31">
        <v>135</v>
      </c>
      <c r="M31">
        <v>94.061999999999998</v>
      </c>
      <c r="N31">
        <v>0</v>
      </c>
    </row>
    <row r="32" spans="1:14" x14ac:dyDescent="0.3">
      <c r="A32">
        <v>2049</v>
      </c>
      <c r="B32">
        <v>0</v>
      </c>
      <c r="C32">
        <v>97.317999999999998</v>
      </c>
      <c r="D32">
        <v>85.441999999999993</v>
      </c>
      <c r="E32">
        <v>0</v>
      </c>
      <c r="F32">
        <v>0</v>
      </c>
      <c r="G32">
        <v>0</v>
      </c>
      <c r="H32">
        <v>0</v>
      </c>
      <c r="I32">
        <v>15</v>
      </c>
      <c r="J32">
        <v>15</v>
      </c>
      <c r="K32">
        <v>15</v>
      </c>
      <c r="L32">
        <v>135</v>
      </c>
      <c r="M32">
        <v>94.635999999999996</v>
      </c>
      <c r="N32">
        <v>0</v>
      </c>
    </row>
    <row r="33" spans="1:14" x14ac:dyDescent="0.3">
      <c r="A33">
        <v>2050</v>
      </c>
      <c r="B33">
        <v>0</v>
      </c>
      <c r="C33">
        <v>98.084000000000003</v>
      </c>
      <c r="D33">
        <v>85.825000000000003</v>
      </c>
      <c r="E33">
        <v>0</v>
      </c>
      <c r="F33">
        <v>0</v>
      </c>
      <c r="G33">
        <v>0</v>
      </c>
      <c r="H33">
        <v>0</v>
      </c>
      <c r="I33">
        <v>15</v>
      </c>
      <c r="J33">
        <v>15</v>
      </c>
      <c r="K33">
        <v>15</v>
      </c>
      <c r="L33">
        <v>135</v>
      </c>
      <c r="M33">
        <v>95.403000000000006</v>
      </c>
      <c r="N3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R8785"/>
  <sheetViews>
    <sheetView workbookViewId="0">
      <selection activeCell="K31" sqref="K31"/>
    </sheetView>
  </sheetViews>
  <sheetFormatPr defaultRowHeight="14.4" x14ac:dyDescent="0.3"/>
  <cols>
    <col min="18" max="18" width="9.5546875" bestFit="1" customWidth="1"/>
  </cols>
  <sheetData>
    <row r="1" spans="1:18" x14ac:dyDescent="0.3">
      <c r="A1" t="s">
        <v>143</v>
      </c>
      <c r="B1" t="s">
        <v>194</v>
      </c>
      <c r="C1" t="s">
        <v>193</v>
      </c>
      <c r="D1" t="s">
        <v>141</v>
      </c>
      <c r="E1" t="s">
        <v>195</v>
      </c>
      <c r="F1" t="s">
        <v>210</v>
      </c>
      <c r="G1" t="s">
        <v>142</v>
      </c>
      <c r="H1" t="s">
        <v>255</v>
      </c>
      <c r="I1" t="s">
        <v>256</v>
      </c>
      <c r="J1" t="s">
        <v>270</v>
      </c>
      <c r="K1" t="s">
        <v>271</v>
      </c>
      <c r="P1" s="35" t="s">
        <v>141</v>
      </c>
      <c r="Q1" t="s">
        <v>194</v>
      </c>
      <c r="R1" s="34" t="s">
        <v>198</v>
      </c>
    </row>
    <row r="2" spans="1:18" x14ac:dyDescent="0.3">
      <c r="A2">
        <v>2024.5</v>
      </c>
      <c r="B2" s="22">
        <f>M$2/1000/20</f>
        <v>205.533389040972</v>
      </c>
      <c r="C2" s="20">
        <f>N2/MIN(COUNT(N2:N$27), 20)*1000</f>
        <v>325.33052054000001</v>
      </c>
      <c r="D2" s="20">
        <v>157.949909448988</v>
      </c>
      <c r="E2" s="20">
        <v>12.92135</v>
      </c>
      <c r="F2" s="20">
        <v>6</v>
      </c>
      <c r="G2" s="20">
        <v>74</v>
      </c>
      <c r="H2" s="20">
        <f>SUM(E2:G2)</f>
        <v>92.921350000000004</v>
      </c>
      <c r="I2" s="20">
        <f>MAX(H2-38,0)</f>
        <v>54.921350000000004</v>
      </c>
      <c r="J2" s="20">
        <v>62.454999999999998</v>
      </c>
      <c r="K2">
        <v>54.41</v>
      </c>
      <c r="M2" s="25">
        <v>4110667.7808194398</v>
      </c>
      <c r="N2" s="20">
        <v>6.5066104107999996</v>
      </c>
      <c r="P2" s="35">
        <v>-51.74</v>
      </c>
      <c r="Q2">
        <v>305</v>
      </c>
      <c r="R2" s="34">
        <f>1/COUNT(P2:P8784)</f>
        <v>1.1385631333257428E-4</v>
      </c>
    </row>
    <row r="3" spans="1:18" x14ac:dyDescent="0.3">
      <c r="A3">
        <v>2025.5</v>
      </c>
      <c r="B3" s="22">
        <f t="shared" ref="B3:B28" si="0">M$2/1000/20</f>
        <v>205.533389040972</v>
      </c>
      <c r="C3" s="20">
        <f>N3/MIN(COUNT(N3:N$27), 20)*1000</f>
        <v>312.15514120399951</v>
      </c>
      <c r="D3" s="20">
        <v>157.949909448988</v>
      </c>
      <c r="E3" s="20">
        <v>12.92135</v>
      </c>
      <c r="F3" s="20">
        <v>6</v>
      </c>
      <c r="G3" s="20">
        <v>74</v>
      </c>
      <c r="H3" s="20">
        <f t="shared" ref="H3:H28" si="1">SUM(E3:G3)</f>
        <v>92.921350000000004</v>
      </c>
      <c r="I3" s="20">
        <f t="shared" ref="I3:I28" si="2">MAX(H3-38,0)</f>
        <v>54.921350000000004</v>
      </c>
      <c r="J3" s="20">
        <v>63.987000000000002</v>
      </c>
      <c r="K3">
        <v>55.558999999999997</v>
      </c>
      <c r="M3" s="25">
        <v>4110667.7808194398</v>
      </c>
      <c r="N3" s="20">
        <v>6.2431028240799904</v>
      </c>
      <c r="P3" s="35">
        <v>-30.91</v>
      </c>
      <c r="Q3">
        <v>305</v>
      </c>
      <c r="R3" s="34">
        <f>R2+R$2</f>
        <v>2.2771262666514857E-4</v>
      </c>
    </row>
    <row r="4" spans="1:18" x14ac:dyDescent="0.3">
      <c r="A4">
        <v>2026.5</v>
      </c>
      <c r="B4" s="22">
        <f t="shared" si="0"/>
        <v>205.533389040972</v>
      </c>
      <c r="C4" s="20">
        <f>N4/MIN(COUNT(N4:N$27), 20)*1000</f>
        <v>305.060706176</v>
      </c>
      <c r="D4" s="20">
        <v>157.949909448988</v>
      </c>
      <c r="E4" s="20">
        <v>12.92135</v>
      </c>
      <c r="F4" s="20">
        <v>6</v>
      </c>
      <c r="G4" s="20">
        <v>74</v>
      </c>
      <c r="H4" s="20">
        <f t="shared" si="1"/>
        <v>92.921350000000004</v>
      </c>
      <c r="I4" s="20">
        <f t="shared" si="2"/>
        <v>54.921350000000004</v>
      </c>
      <c r="J4" s="20">
        <v>65.328000000000003</v>
      </c>
      <c r="K4">
        <v>56.9</v>
      </c>
      <c r="M4" s="25">
        <v>4110667.7808194398</v>
      </c>
      <c r="N4" s="20">
        <v>6.1012141235200001</v>
      </c>
      <c r="P4" s="35">
        <v>-25.03</v>
      </c>
      <c r="Q4">
        <v>305</v>
      </c>
      <c r="R4" s="34">
        <f t="shared" ref="R4:R67" si="3">R3+R$2</f>
        <v>3.4156893999772288E-4</v>
      </c>
    </row>
    <row r="5" spans="1:18" x14ac:dyDescent="0.3">
      <c r="A5">
        <v>2027.5</v>
      </c>
      <c r="B5" s="22">
        <f t="shared" si="0"/>
        <v>205.533389040972</v>
      </c>
      <c r="C5" s="20">
        <f>N5/MIN(COUNT(N5:N$27), 20)*1000</f>
        <v>296.952780432</v>
      </c>
      <c r="D5" s="20">
        <v>157.949909448988</v>
      </c>
      <c r="E5" s="20">
        <v>12.92135</v>
      </c>
      <c r="F5" s="20">
        <v>6</v>
      </c>
      <c r="G5" s="20">
        <v>74</v>
      </c>
      <c r="H5" s="20">
        <f t="shared" si="1"/>
        <v>92.921350000000004</v>
      </c>
      <c r="I5" s="20">
        <f t="shared" si="2"/>
        <v>54.921350000000004</v>
      </c>
      <c r="J5" s="20">
        <v>66.668999999999997</v>
      </c>
      <c r="K5">
        <v>58.048999999999999</v>
      </c>
      <c r="M5" s="25">
        <v>4110667.7808194398</v>
      </c>
      <c r="N5" s="20">
        <v>5.9390556086400004</v>
      </c>
      <c r="P5" s="35">
        <v>-24.2</v>
      </c>
      <c r="Q5">
        <v>305</v>
      </c>
      <c r="R5" s="34">
        <f t="shared" si="3"/>
        <v>4.5542525333029714E-4</v>
      </c>
    </row>
    <row r="6" spans="1:18" x14ac:dyDescent="0.3">
      <c r="A6">
        <v>2028.5</v>
      </c>
      <c r="B6" s="22">
        <f t="shared" si="0"/>
        <v>205.533389040972</v>
      </c>
      <c r="C6" s="20">
        <f>N6/MIN(COUNT(N6:N$27), 20)*1000</f>
        <v>289.85834540400003</v>
      </c>
      <c r="D6" s="20">
        <v>157.949909448988</v>
      </c>
      <c r="E6" s="20">
        <v>12.92135</v>
      </c>
      <c r="F6" s="20">
        <v>6</v>
      </c>
      <c r="G6" s="20">
        <v>74</v>
      </c>
      <c r="H6" s="20">
        <f t="shared" si="1"/>
        <v>92.921350000000004</v>
      </c>
      <c r="I6" s="20">
        <f t="shared" si="2"/>
        <v>54.921350000000004</v>
      </c>
      <c r="J6" s="20">
        <v>68.201999999999998</v>
      </c>
      <c r="K6">
        <v>59.39</v>
      </c>
      <c r="M6" s="25">
        <v>4110667.7808194398</v>
      </c>
      <c r="N6" s="20">
        <v>5.7971669080800003</v>
      </c>
      <c r="P6" s="35">
        <v>-23.18</v>
      </c>
      <c r="Q6">
        <v>305</v>
      </c>
      <c r="R6" s="34">
        <f t="shared" si="3"/>
        <v>5.692815666628714E-4</v>
      </c>
    </row>
    <row r="7" spans="1:18" x14ac:dyDescent="0.3">
      <c r="A7">
        <v>2029.5</v>
      </c>
      <c r="B7" s="22">
        <f t="shared" si="0"/>
        <v>205.533389040972</v>
      </c>
      <c r="C7" s="20">
        <f>N7/MIN(COUNT(N7:N$27), 20)*1000</f>
        <v>282.76391037600001</v>
      </c>
      <c r="D7" s="20">
        <v>157.949909448988</v>
      </c>
      <c r="E7" s="20">
        <v>12.92135</v>
      </c>
      <c r="F7" s="20">
        <v>6</v>
      </c>
      <c r="G7" s="20">
        <v>74</v>
      </c>
      <c r="H7" s="20">
        <f t="shared" si="1"/>
        <v>92.921350000000004</v>
      </c>
      <c r="I7" s="20">
        <f t="shared" si="2"/>
        <v>54.921350000000004</v>
      </c>
      <c r="J7" s="20">
        <v>70.117000000000004</v>
      </c>
      <c r="K7">
        <v>60.731000000000002</v>
      </c>
      <c r="M7" s="25">
        <v>4110667.7808194398</v>
      </c>
      <c r="N7" s="20">
        <v>5.6552782075200003</v>
      </c>
      <c r="P7" s="35">
        <v>-18.72</v>
      </c>
      <c r="Q7">
        <v>305</v>
      </c>
      <c r="R7" s="34">
        <f t="shared" si="3"/>
        <v>6.8313787999544566E-4</v>
      </c>
    </row>
    <row r="8" spans="1:18" x14ac:dyDescent="0.3">
      <c r="A8">
        <v>2030.5</v>
      </c>
      <c r="B8" s="22">
        <f t="shared" si="0"/>
        <v>205.533389040972</v>
      </c>
      <c r="C8" s="20">
        <f>N8/MIN(COUNT(N8:N$27), 20)*1000</f>
        <v>275.66947534799999</v>
      </c>
      <c r="D8" s="20">
        <v>157.949909448988</v>
      </c>
      <c r="E8" s="20">
        <v>12.92135</v>
      </c>
      <c r="F8" s="20">
        <v>6</v>
      </c>
      <c r="G8" s="20">
        <v>74</v>
      </c>
      <c r="H8" s="20">
        <f t="shared" si="1"/>
        <v>92.921350000000004</v>
      </c>
      <c r="I8" s="20">
        <f t="shared" si="2"/>
        <v>54.921350000000004</v>
      </c>
      <c r="J8" s="20">
        <v>71.650000000000006</v>
      </c>
      <c r="K8">
        <v>62.262999999999998</v>
      </c>
      <c r="M8" s="25">
        <v>4110667.7808194398</v>
      </c>
      <c r="N8" s="20">
        <v>5.5133895069600003</v>
      </c>
      <c r="P8" s="35">
        <v>-16.52</v>
      </c>
      <c r="Q8">
        <v>305</v>
      </c>
      <c r="R8" s="34">
        <f t="shared" si="3"/>
        <v>7.9699419332801991E-4</v>
      </c>
    </row>
    <row r="9" spans="1:18" x14ac:dyDescent="0.3">
      <c r="A9">
        <v>2031.5</v>
      </c>
      <c r="B9" s="22">
        <f t="shared" si="0"/>
        <v>205.533389040972</v>
      </c>
      <c r="C9" s="20">
        <f>N9/MIN(COUNT(N9:N$27), 20)*1000</f>
        <v>268.57504031999946</v>
      </c>
      <c r="D9" s="20">
        <v>157.949909448988</v>
      </c>
      <c r="E9" s="20">
        <v>12.92135</v>
      </c>
      <c r="F9" s="20">
        <v>6</v>
      </c>
      <c r="G9" s="20">
        <v>74</v>
      </c>
      <c r="H9" s="20">
        <f t="shared" si="1"/>
        <v>92.921350000000004</v>
      </c>
      <c r="I9" s="20">
        <f t="shared" si="2"/>
        <v>54.921350000000004</v>
      </c>
      <c r="J9" s="20">
        <v>73.182000000000002</v>
      </c>
      <c r="K9">
        <v>63.603999999999999</v>
      </c>
      <c r="M9" s="25">
        <v>3905134.3917784598</v>
      </c>
      <c r="N9" s="20">
        <v>5.1029257660799896</v>
      </c>
      <c r="P9" s="35">
        <v>-15.84</v>
      </c>
      <c r="Q9">
        <v>305</v>
      </c>
      <c r="R9" s="34">
        <f t="shared" si="3"/>
        <v>9.1085050666059417E-4</v>
      </c>
    </row>
    <row r="10" spans="1:18" x14ac:dyDescent="0.3">
      <c r="A10">
        <v>2032.5</v>
      </c>
      <c r="B10" s="22">
        <f t="shared" si="0"/>
        <v>205.533389040972</v>
      </c>
      <c r="C10" s="20">
        <f>N10/MIN(COUNT(N10:N$27), 20)*1000</f>
        <v>260.46711457599997</v>
      </c>
      <c r="D10" s="20">
        <v>157.949909448988</v>
      </c>
      <c r="E10" s="20">
        <v>12.92135</v>
      </c>
      <c r="F10" s="20">
        <v>6</v>
      </c>
      <c r="G10" s="20">
        <v>74</v>
      </c>
      <c r="H10" s="20">
        <f t="shared" si="1"/>
        <v>92.921350000000004</v>
      </c>
      <c r="I10" s="20">
        <f t="shared" si="2"/>
        <v>54.921350000000004</v>
      </c>
      <c r="J10" s="20">
        <v>75.097999999999999</v>
      </c>
      <c r="K10">
        <v>65.52</v>
      </c>
      <c r="M10" s="25">
        <v>3699601.00273749</v>
      </c>
      <c r="N10" s="20">
        <v>4.6884080623679996</v>
      </c>
      <c r="P10" s="35">
        <v>-14.38</v>
      </c>
      <c r="Q10">
        <v>305</v>
      </c>
      <c r="R10" s="34">
        <f t="shared" si="3"/>
        <v>1.0247068199931684E-3</v>
      </c>
    </row>
    <row r="11" spans="1:18" x14ac:dyDescent="0.3">
      <c r="A11">
        <v>2033.5</v>
      </c>
      <c r="B11" s="22">
        <f t="shared" si="0"/>
        <v>205.533389040972</v>
      </c>
      <c r="C11" s="20">
        <f>N11/MIN(COUNT(N11:N$27), 20)*1000</f>
        <v>253.37267954800004</v>
      </c>
      <c r="D11" s="20">
        <v>157.949909448988</v>
      </c>
      <c r="E11" s="20">
        <v>12.92135</v>
      </c>
      <c r="F11" s="20">
        <v>6</v>
      </c>
      <c r="G11" s="20">
        <v>74</v>
      </c>
      <c r="H11" s="20">
        <f t="shared" si="1"/>
        <v>92.921350000000004</v>
      </c>
      <c r="I11" s="20">
        <f t="shared" si="2"/>
        <v>54.921350000000004</v>
      </c>
      <c r="J11" s="20">
        <v>77.013000000000005</v>
      </c>
      <c r="K11">
        <v>67.052000000000007</v>
      </c>
      <c r="M11" s="25">
        <v>3494067.6136965202</v>
      </c>
      <c r="N11" s="20">
        <v>4.3073355523160002</v>
      </c>
      <c r="P11" s="35">
        <v>-13.88</v>
      </c>
      <c r="Q11">
        <v>305</v>
      </c>
      <c r="R11" s="34">
        <f t="shared" si="3"/>
        <v>1.1385631333257428E-3</v>
      </c>
    </row>
    <row r="12" spans="1:18" x14ac:dyDescent="0.3">
      <c r="A12">
        <v>2034.5</v>
      </c>
      <c r="B12" s="22">
        <f t="shared" si="0"/>
        <v>205.533389040972</v>
      </c>
      <c r="C12" s="20">
        <f>N12/MIN(COUNT(N12:N$27), 20)*1000</f>
        <v>246.27824451999999</v>
      </c>
      <c r="D12" s="20">
        <v>157.949909448988</v>
      </c>
      <c r="E12" s="20">
        <v>12.92135</v>
      </c>
      <c r="F12" s="20">
        <v>6</v>
      </c>
      <c r="G12" s="20">
        <v>74</v>
      </c>
      <c r="H12" s="20">
        <f t="shared" si="1"/>
        <v>92.921350000000004</v>
      </c>
      <c r="I12" s="20">
        <f t="shared" si="2"/>
        <v>54.921350000000004</v>
      </c>
      <c r="J12" s="20">
        <v>78.929000000000002</v>
      </c>
      <c r="K12">
        <v>68.775999999999996</v>
      </c>
      <c r="M12" s="25">
        <v>3288534.22465555</v>
      </c>
      <c r="N12" s="20">
        <v>3.9404519123199999</v>
      </c>
      <c r="P12" s="35">
        <v>-13.69</v>
      </c>
      <c r="Q12">
        <v>305</v>
      </c>
      <c r="R12" s="34">
        <f t="shared" si="3"/>
        <v>1.2524194466583172E-3</v>
      </c>
    </row>
    <row r="13" spans="1:18" x14ac:dyDescent="0.3">
      <c r="A13">
        <v>2035.5</v>
      </c>
      <c r="B13" s="22">
        <f t="shared" si="0"/>
        <v>205.533389040972</v>
      </c>
      <c r="C13" s="20">
        <f>N13/MIN(COUNT(N13:N$27), 20)*1000</f>
        <v>242.22428164799999</v>
      </c>
      <c r="D13" s="20">
        <v>157.949909448988</v>
      </c>
      <c r="E13" s="20">
        <v>12.92135</v>
      </c>
      <c r="F13" s="20">
        <v>6</v>
      </c>
      <c r="G13" s="20">
        <v>74</v>
      </c>
      <c r="H13" s="20">
        <f t="shared" si="1"/>
        <v>92.921350000000004</v>
      </c>
      <c r="I13" s="20">
        <f t="shared" si="2"/>
        <v>54.921350000000004</v>
      </c>
      <c r="J13" s="20">
        <v>80.653000000000006</v>
      </c>
      <c r="K13">
        <v>70.308999999999997</v>
      </c>
      <c r="M13" s="25">
        <v>3083000.8356145802</v>
      </c>
      <c r="N13" s="20">
        <v>3.6333642247200002</v>
      </c>
      <c r="P13" s="35">
        <v>-13.53</v>
      </c>
      <c r="Q13">
        <v>305</v>
      </c>
      <c r="R13" s="34">
        <f t="shared" si="3"/>
        <v>1.3662757599908915E-3</v>
      </c>
    </row>
    <row r="14" spans="1:18" x14ac:dyDescent="0.3">
      <c r="A14">
        <v>2036.5</v>
      </c>
      <c r="B14" s="22">
        <f t="shared" si="0"/>
        <v>205.533389040972</v>
      </c>
      <c r="C14" s="20">
        <f>N14/MIN(COUNT(N14:N$27), 20)*1000</f>
        <v>237.15682805599928</v>
      </c>
      <c r="D14" s="20">
        <v>157.949909448988</v>
      </c>
      <c r="E14" s="20">
        <v>12.92135</v>
      </c>
      <c r="F14" s="20">
        <v>6</v>
      </c>
      <c r="G14" s="20">
        <v>38</v>
      </c>
      <c r="H14" s="20">
        <f t="shared" si="1"/>
        <v>56.921350000000004</v>
      </c>
      <c r="I14" s="20">
        <f t="shared" si="2"/>
        <v>18.921350000000004</v>
      </c>
      <c r="J14" s="20">
        <v>82.376999999999995</v>
      </c>
      <c r="K14">
        <v>72.224000000000004</v>
      </c>
      <c r="M14" s="25">
        <v>2877467.4465736002</v>
      </c>
      <c r="N14" s="20">
        <v>3.3201955927839899</v>
      </c>
      <c r="P14" s="35">
        <v>-11.27</v>
      </c>
      <c r="Q14">
        <v>305</v>
      </c>
      <c r="R14" s="34">
        <f t="shared" si="3"/>
        <v>1.4801320733234659E-3</v>
      </c>
    </row>
    <row r="15" spans="1:18" x14ac:dyDescent="0.3">
      <c r="A15">
        <v>2037.5</v>
      </c>
      <c r="B15" s="22">
        <f t="shared" si="0"/>
        <v>205.533389040972</v>
      </c>
      <c r="C15" s="20">
        <f>N15/MIN(COUNT(N15:N$27), 20)*1000</f>
        <v>233.102865184</v>
      </c>
      <c r="D15" s="20">
        <v>157.949909448988</v>
      </c>
      <c r="E15" s="20">
        <v>12.92135</v>
      </c>
      <c r="F15" s="20">
        <v>6</v>
      </c>
      <c r="G15" s="20">
        <v>38</v>
      </c>
      <c r="H15" s="20">
        <f t="shared" si="1"/>
        <v>56.921350000000004</v>
      </c>
      <c r="I15" s="20">
        <f t="shared" si="2"/>
        <v>18.921350000000004</v>
      </c>
      <c r="J15" s="20">
        <v>84.292000000000002</v>
      </c>
      <c r="K15">
        <v>73.757000000000005</v>
      </c>
      <c r="M15" s="25">
        <v>2671934.0575326299</v>
      </c>
      <c r="N15" s="20">
        <v>3.0303372473920001</v>
      </c>
      <c r="P15" s="35">
        <v>-11.03</v>
      </c>
      <c r="Q15">
        <v>305</v>
      </c>
      <c r="R15" s="34">
        <f t="shared" si="3"/>
        <v>1.5939883866560403E-3</v>
      </c>
    </row>
    <row r="16" spans="1:18" x14ac:dyDescent="0.3">
      <c r="A16">
        <v>2038.5</v>
      </c>
      <c r="B16" s="22">
        <f t="shared" si="0"/>
        <v>205.533389040972</v>
      </c>
      <c r="C16" s="20">
        <f>N16/MIN(COUNT(N16:N$27), 20)*1000</f>
        <v>229.048902312</v>
      </c>
      <c r="D16" s="20">
        <v>157.949909448988</v>
      </c>
      <c r="E16" s="20">
        <v>12.92135</v>
      </c>
      <c r="F16" s="20">
        <v>6</v>
      </c>
      <c r="G16" s="20">
        <v>38</v>
      </c>
      <c r="H16" s="20">
        <f t="shared" si="1"/>
        <v>56.921350000000004</v>
      </c>
      <c r="I16" s="20">
        <f t="shared" si="2"/>
        <v>18.921350000000004</v>
      </c>
      <c r="J16" s="20">
        <v>86.207999999999998</v>
      </c>
      <c r="K16">
        <v>75.480999999999995</v>
      </c>
      <c r="M16" s="25">
        <v>2466400.6684916602</v>
      </c>
      <c r="N16" s="20">
        <v>2.748586827744</v>
      </c>
      <c r="P16" s="35">
        <v>-9.8699999999999992</v>
      </c>
      <c r="Q16">
        <v>305</v>
      </c>
      <c r="R16" s="34">
        <f t="shared" si="3"/>
        <v>1.7078446999886146E-3</v>
      </c>
    </row>
    <row r="17" spans="1:18" x14ac:dyDescent="0.3">
      <c r="A17">
        <v>2039.5</v>
      </c>
      <c r="B17" s="22">
        <f t="shared" si="0"/>
        <v>205.533389040972</v>
      </c>
      <c r="C17" s="20">
        <f>N17/MIN(COUNT(N17:N$27), 20)*1000</f>
        <v>223.98144872</v>
      </c>
      <c r="D17" s="20">
        <v>157.949909448988</v>
      </c>
      <c r="E17" s="20">
        <v>0</v>
      </c>
      <c r="F17" s="20">
        <v>0</v>
      </c>
      <c r="G17" s="20">
        <v>38</v>
      </c>
      <c r="H17" s="20">
        <f t="shared" si="1"/>
        <v>38</v>
      </c>
      <c r="I17" s="20">
        <f t="shared" si="2"/>
        <v>0</v>
      </c>
      <c r="J17" s="20">
        <v>88.123000000000005</v>
      </c>
      <c r="K17">
        <v>77.013000000000005</v>
      </c>
      <c r="M17" s="25">
        <v>2260867.2794506899</v>
      </c>
      <c r="N17" s="20">
        <v>2.4637959359199999</v>
      </c>
      <c r="P17" s="35">
        <v>-9.3000000000000007</v>
      </c>
      <c r="Q17">
        <v>305</v>
      </c>
      <c r="R17" s="34">
        <f t="shared" si="3"/>
        <v>1.821701013321189E-3</v>
      </c>
    </row>
    <row r="18" spans="1:18" x14ac:dyDescent="0.3">
      <c r="A18">
        <v>2040.5</v>
      </c>
      <c r="B18" s="22">
        <f t="shared" si="0"/>
        <v>205.533389040972</v>
      </c>
      <c r="C18" s="20">
        <f>N18/MIN(COUNT(N18:N$27), 20)*1000</f>
        <v>219.92748584799998</v>
      </c>
      <c r="D18" s="20">
        <v>157.949909448988</v>
      </c>
      <c r="E18" s="20">
        <v>0</v>
      </c>
      <c r="F18" s="20">
        <v>0</v>
      </c>
      <c r="G18" s="20">
        <v>38</v>
      </c>
      <c r="H18" s="20">
        <f t="shared" si="1"/>
        <v>38</v>
      </c>
      <c r="I18" s="20">
        <f t="shared" si="2"/>
        <v>0</v>
      </c>
      <c r="J18" s="20">
        <v>89.272999999999996</v>
      </c>
      <c r="K18">
        <v>78.353999999999999</v>
      </c>
      <c r="M18" s="25">
        <v>2055333.8904097199</v>
      </c>
      <c r="N18" s="20">
        <v>2.1992748584799999</v>
      </c>
      <c r="P18" s="35">
        <v>-9.23</v>
      </c>
      <c r="Q18">
        <v>305</v>
      </c>
      <c r="R18" s="34">
        <f t="shared" si="3"/>
        <v>1.9355573266537634E-3</v>
      </c>
    </row>
    <row r="19" spans="1:18" x14ac:dyDescent="0.3">
      <c r="A19">
        <v>2041.5</v>
      </c>
      <c r="B19" s="22">
        <f t="shared" si="0"/>
        <v>205.533389040972</v>
      </c>
      <c r="C19" s="20">
        <f>N19/MIN(COUNT(N19:N$27), 20)*1000</f>
        <v>215.87352297599998</v>
      </c>
      <c r="D19" s="20">
        <v>157.949909448988</v>
      </c>
      <c r="E19" s="20">
        <v>0</v>
      </c>
      <c r="F19" s="20">
        <v>0</v>
      </c>
      <c r="G19" s="20">
        <v>38</v>
      </c>
      <c r="H19" s="20">
        <f t="shared" si="1"/>
        <v>38</v>
      </c>
      <c r="I19" s="20">
        <f t="shared" si="2"/>
        <v>0</v>
      </c>
      <c r="J19" s="20">
        <v>90.805000000000007</v>
      </c>
      <c r="K19">
        <v>79.503</v>
      </c>
      <c r="M19" s="25">
        <v>1849800.5013687401</v>
      </c>
      <c r="N19" s="20">
        <v>1.9428617067839999</v>
      </c>
      <c r="P19" s="35">
        <v>-9.02</v>
      </c>
      <c r="Q19">
        <v>305</v>
      </c>
      <c r="R19" s="34">
        <f t="shared" si="3"/>
        <v>2.0494136399863377E-3</v>
      </c>
    </row>
    <row r="20" spans="1:18" x14ac:dyDescent="0.3">
      <c r="A20">
        <v>2042.5</v>
      </c>
      <c r="B20" s="22">
        <f t="shared" si="0"/>
        <v>205.533389040972</v>
      </c>
      <c r="C20" s="20">
        <f>N20/MIN(COUNT(N20:N$27), 20)*1000</f>
        <v>211.819560104</v>
      </c>
      <c r="D20" s="20">
        <v>157.949909448988</v>
      </c>
      <c r="E20" s="20">
        <v>0</v>
      </c>
      <c r="F20" s="20">
        <v>0</v>
      </c>
      <c r="G20" s="20">
        <v>38</v>
      </c>
      <c r="H20" s="20">
        <f t="shared" si="1"/>
        <v>38</v>
      </c>
      <c r="I20" s="20">
        <f t="shared" si="2"/>
        <v>0</v>
      </c>
      <c r="J20" s="20">
        <v>91.954999999999998</v>
      </c>
      <c r="K20">
        <v>80.653000000000006</v>
      </c>
      <c r="M20" s="25">
        <v>1644267.1123277701</v>
      </c>
      <c r="N20" s="20">
        <v>1.6945564808319999</v>
      </c>
      <c r="P20" s="35">
        <v>-8.35</v>
      </c>
      <c r="Q20">
        <v>305</v>
      </c>
      <c r="R20" s="34">
        <f t="shared" si="3"/>
        <v>2.1632699533189119E-3</v>
      </c>
    </row>
    <row r="21" spans="1:18" x14ac:dyDescent="0.3">
      <c r="A21">
        <v>2043.5</v>
      </c>
      <c r="B21" s="22">
        <f t="shared" si="0"/>
        <v>205.533389040972</v>
      </c>
      <c r="C21" s="20">
        <f>N21/MIN(COUNT(N21:N$27), 20)*1000</f>
        <v>206.75210651199998</v>
      </c>
      <c r="D21" s="20">
        <v>157.949909448988</v>
      </c>
      <c r="E21" s="20">
        <v>0</v>
      </c>
      <c r="F21" s="20">
        <v>0</v>
      </c>
      <c r="G21" s="20">
        <v>38</v>
      </c>
      <c r="H21" s="20">
        <f t="shared" si="1"/>
        <v>38</v>
      </c>
      <c r="I21" s="20">
        <f t="shared" si="2"/>
        <v>0</v>
      </c>
      <c r="J21" s="20">
        <v>93.103999999999999</v>
      </c>
      <c r="K21">
        <v>81.418999999999997</v>
      </c>
      <c r="M21" s="25">
        <v>1438733.7232868001</v>
      </c>
      <c r="N21" s="20">
        <v>1.447264745584</v>
      </c>
      <c r="P21" s="35">
        <v>-8.2100000000000009</v>
      </c>
      <c r="Q21">
        <v>305</v>
      </c>
      <c r="R21" s="34">
        <f t="shared" si="3"/>
        <v>2.277126266651486E-3</v>
      </c>
    </row>
    <row r="22" spans="1:18" x14ac:dyDescent="0.3">
      <c r="A22">
        <v>2044.5</v>
      </c>
      <c r="B22" s="22">
        <f t="shared" si="0"/>
        <v>205.533389040972</v>
      </c>
      <c r="C22" s="20">
        <f>N22/MIN(COUNT(N22:N$27), 20)*1000</f>
        <v>202.69814364000001</v>
      </c>
      <c r="D22" s="20">
        <v>157.949909448988</v>
      </c>
      <c r="E22" s="20">
        <v>0</v>
      </c>
      <c r="F22" s="20">
        <v>0</v>
      </c>
      <c r="G22" s="20">
        <v>38</v>
      </c>
      <c r="H22" s="20">
        <f t="shared" si="1"/>
        <v>38</v>
      </c>
      <c r="I22" s="20">
        <f t="shared" si="2"/>
        <v>0</v>
      </c>
      <c r="J22" s="20">
        <v>93.87</v>
      </c>
      <c r="K22">
        <v>82.567999999999998</v>
      </c>
      <c r="M22" s="25">
        <v>1233200.3342458301</v>
      </c>
      <c r="N22" s="20">
        <v>1.2161888618400001</v>
      </c>
      <c r="P22" s="35">
        <v>-7.91</v>
      </c>
      <c r="Q22">
        <v>305</v>
      </c>
      <c r="R22" s="34">
        <f t="shared" si="3"/>
        <v>2.3909825799840602E-3</v>
      </c>
    </row>
    <row r="23" spans="1:18" x14ac:dyDescent="0.3">
      <c r="A23">
        <v>2045.5</v>
      </c>
      <c r="B23" s="22">
        <f t="shared" si="0"/>
        <v>205.533389040972</v>
      </c>
      <c r="C23" s="20">
        <f>N23/MIN(COUNT(N23:N$27), 20)*1000</f>
        <v>198.64418076800001</v>
      </c>
      <c r="D23" s="20">
        <v>157.949909448988</v>
      </c>
      <c r="E23" s="20">
        <v>0</v>
      </c>
      <c r="F23" s="20">
        <v>0</v>
      </c>
      <c r="G23" s="20">
        <v>38</v>
      </c>
      <c r="H23" s="20">
        <f t="shared" si="1"/>
        <v>38</v>
      </c>
      <c r="I23" s="20">
        <f t="shared" si="2"/>
        <v>0</v>
      </c>
      <c r="J23" s="20">
        <v>95.02</v>
      </c>
      <c r="K23">
        <v>83.334999999999994</v>
      </c>
      <c r="M23" s="25">
        <v>1027666.9452048599</v>
      </c>
      <c r="N23" s="20">
        <v>0.99322090383999995</v>
      </c>
      <c r="P23" s="35">
        <v>-5.87</v>
      </c>
      <c r="Q23">
        <v>305</v>
      </c>
      <c r="R23" s="34">
        <f t="shared" si="3"/>
        <v>2.5048388933166343E-3</v>
      </c>
    </row>
    <row r="24" spans="1:18" x14ac:dyDescent="0.3">
      <c r="A24">
        <v>2046.5</v>
      </c>
      <c r="B24" s="22">
        <f t="shared" si="0"/>
        <v>205.533389040972</v>
      </c>
      <c r="C24" s="20">
        <f>N24/MIN(COUNT(N24:N$27), 20)*1000</f>
        <v>193.57672717599999</v>
      </c>
      <c r="D24" s="20">
        <v>157.949909448988</v>
      </c>
      <c r="E24" s="20">
        <v>0</v>
      </c>
      <c r="F24" s="20">
        <v>0</v>
      </c>
      <c r="G24" s="20">
        <v>0</v>
      </c>
      <c r="H24" s="20">
        <f t="shared" si="1"/>
        <v>0</v>
      </c>
      <c r="I24" s="20">
        <f t="shared" si="2"/>
        <v>0</v>
      </c>
      <c r="J24" s="20">
        <v>95.786000000000001</v>
      </c>
      <c r="K24">
        <v>83.909000000000006</v>
      </c>
      <c r="M24">
        <v>822133.55616388796</v>
      </c>
      <c r="N24" s="20">
        <v>0.77430690870399999</v>
      </c>
      <c r="P24" s="35">
        <v>-5.51</v>
      </c>
      <c r="Q24">
        <v>305</v>
      </c>
      <c r="R24" s="34">
        <f t="shared" si="3"/>
        <v>2.6186952066492085E-3</v>
      </c>
    </row>
    <row r="25" spans="1:18" x14ac:dyDescent="0.3">
      <c r="A25">
        <v>2047.5</v>
      </c>
      <c r="B25" s="22">
        <f t="shared" si="0"/>
        <v>205.533389040972</v>
      </c>
      <c r="C25" s="20">
        <f>N25/MIN(COUNT(N25:N$27), 20)*1000</f>
        <v>189.52276430399996</v>
      </c>
      <c r="D25" s="20">
        <v>157.949909448988</v>
      </c>
      <c r="E25" s="20">
        <v>0</v>
      </c>
      <c r="F25" s="20">
        <v>0</v>
      </c>
      <c r="G25" s="20">
        <v>0</v>
      </c>
      <c r="H25" s="20">
        <f t="shared" si="1"/>
        <v>0</v>
      </c>
      <c r="I25" s="20">
        <f t="shared" si="2"/>
        <v>0</v>
      </c>
      <c r="J25" s="20">
        <v>96.744</v>
      </c>
      <c r="K25">
        <v>84.867000000000004</v>
      </c>
      <c r="M25">
        <v>616600.16712291597</v>
      </c>
      <c r="N25" s="20">
        <v>0.56856829291199995</v>
      </c>
      <c r="P25" s="35">
        <v>-3.22</v>
      </c>
      <c r="Q25">
        <v>305</v>
      </c>
      <c r="R25" s="34">
        <f t="shared" si="3"/>
        <v>2.7325515199817826E-3</v>
      </c>
    </row>
    <row r="26" spans="1:18" x14ac:dyDescent="0.3">
      <c r="A26">
        <v>2048.5</v>
      </c>
      <c r="B26" s="22">
        <f t="shared" si="0"/>
        <v>205.533389040972</v>
      </c>
      <c r="C26" s="20">
        <f>N26/MIN(COUNT(N26:N$27), 20)*1000</f>
        <v>185.46880142799952</v>
      </c>
      <c r="D26" s="20">
        <v>157.949909448988</v>
      </c>
      <c r="E26" s="20">
        <v>0</v>
      </c>
      <c r="F26" s="20">
        <v>0</v>
      </c>
      <c r="G26" s="20">
        <v>0</v>
      </c>
      <c r="H26" s="20">
        <f t="shared" si="1"/>
        <v>0</v>
      </c>
      <c r="I26" s="20">
        <f t="shared" si="2"/>
        <v>0</v>
      </c>
      <c r="J26" s="20">
        <v>97.317999999999998</v>
      </c>
      <c r="K26">
        <v>85.441999999999993</v>
      </c>
      <c r="M26">
        <v>411066.77808194398</v>
      </c>
      <c r="N26" s="20">
        <v>0.37093760285599903</v>
      </c>
      <c r="P26" s="35">
        <v>-3.2</v>
      </c>
      <c r="Q26">
        <v>305</v>
      </c>
      <c r="R26" s="34">
        <f t="shared" si="3"/>
        <v>2.8464078333143568E-3</v>
      </c>
    </row>
    <row r="27" spans="1:18" x14ac:dyDescent="0.3">
      <c r="A27">
        <v>2049.5</v>
      </c>
      <c r="B27" s="22">
        <f t="shared" si="0"/>
        <v>205.533389040972</v>
      </c>
      <c r="C27" s="20">
        <f>N27/MIN(COUNT(N27:N$27), 20)*1000</f>
        <v>180.40134784</v>
      </c>
      <c r="D27" s="20">
        <v>157.949909448988</v>
      </c>
      <c r="E27" s="20">
        <v>0</v>
      </c>
      <c r="F27" s="20">
        <v>0</v>
      </c>
      <c r="G27" s="20">
        <v>0</v>
      </c>
      <c r="H27" s="20">
        <f t="shared" si="1"/>
        <v>0</v>
      </c>
      <c r="I27" s="20">
        <f t="shared" si="2"/>
        <v>0</v>
      </c>
      <c r="J27" s="20">
        <v>98.084000000000003</v>
      </c>
      <c r="K27">
        <v>85.825000000000003</v>
      </c>
      <c r="M27">
        <v>205533.38904097199</v>
      </c>
      <c r="N27" s="20">
        <v>0.18040134784</v>
      </c>
      <c r="P27" s="35">
        <v>-3.18</v>
      </c>
      <c r="Q27">
        <v>305</v>
      </c>
      <c r="R27" s="34">
        <f t="shared" si="3"/>
        <v>2.9602641466469309E-3</v>
      </c>
    </row>
    <row r="28" spans="1:18" x14ac:dyDescent="0.3">
      <c r="A28">
        <v>2050.5</v>
      </c>
      <c r="B28" s="22">
        <f t="shared" si="0"/>
        <v>205.533389040972</v>
      </c>
      <c r="C28" s="20">
        <f>C27</f>
        <v>180.40134784</v>
      </c>
      <c r="D28" s="20">
        <v>157.949909448988</v>
      </c>
      <c r="E28" s="20">
        <v>0</v>
      </c>
      <c r="F28" s="20">
        <v>0</v>
      </c>
      <c r="G28" s="20">
        <v>0</v>
      </c>
      <c r="H28" s="20">
        <f t="shared" si="1"/>
        <v>0</v>
      </c>
      <c r="I28" s="20">
        <f t="shared" si="2"/>
        <v>0</v>
      </c>
      <c r="J28" s="20">
        <v>98.084000000000003</v>
      </c>
      <c r="K28">
        <v>85.825000000000003</v>
      </c>
      <c r="M28">
        <v>205533.38904097199</v>
      </c>
      <c r="N28" s="20">
        <v>0.18040134784</v>
      </c>
      <c r="P28" s="35">
        <v>-1.99</v>
      </c>
      <c r="Q28">
        <v>305</v>
      </c>
      <c r="R28" s="34">
        <f t="shared" si="3"/>
        <v>3.0741204599795051E-3</v>
      </c>
    </row>
    <row r="29" spans="1:18" x14ac:dyDescent="0.3">
      <c r="P29" s="35">
        <v>-1.82</v>
      </c>
      <c r="Q29">
        <v>305</v>
      </c>
      <c r="R29" s="34">
        <f t="shared" si="3"/>
        <v>3.1879767733120792E-3</v>
      </c>
    </row>
    <row r="30" spans="1:18" x14ac:dyDescent="0.3">
      <c r="P30" s="35">
        <v>-1.1000000000000001</v>
      </c>
      <c r="Q30">
        <v>305</v>
      </c>
      <c r="R30" s="34">
        <f t="shared" si="3"/>
        <v>3.3018330866446534E-3</v>
      </c>
    </row>
    <row r="31" spans="1:18" x14ac:dyDescent="0.3">
      <c r="P31" s="35">
        <v>1.18</v>
      </c>
      <c r="Q31">
        <v>305</v>
      </c>
      <c r="R31" s="34">
        <f t="shared" si="3"/>
        <v>3.4156893999772275E-3</v>
      </c>
    </row>
    <row r="32" spans="1:18" x14ac:dyDescent="0.3">
      <c r="P32" s="35">
        <v>1.41</v>
      </c>
      <c r="Q32">
        <v>305</v>
      </c>
      <c r="R32" s="34">
        <f t="shared" si="3"/>
        <v>3.5295457133098017E-3</v>
      </c>
    </row>
    <row r="33" spans="16:18" x14ac:dyDescent="0.3">
      <c r="P33" s="35">
        <v>1.78</v>
      </c>
      <c r="Q33">
        <v>305</v>
      </c>
      <c r="R33" s="34">
        <f t="shared" si="3"/>
        <v>3.6434020266423758E-3</v>
      </c>
    </row>
    <row r="34" spans="16:18" x14ac:dyDescent="0.3">
      <c r="P34" s="35">
        <v>1.79</v>
      </c>
      <c r="Q34">
        <v>305</v>
      </c>
      <c r="R34" s="34">
        <f t="shared" si="3"/>
        <v>3.75725833997495E-3</v>
      </c>
    </row>
    <row r="35" spans="16:18" x14ac:dyDescent="0.3">
      <c r="P35" s="35">
        <v>1.94</v>
      </c>
      <c r="Q35">
        <v>305</v>
      </c>
      <c r="R35" s="34">
        <f t="shared" si="3"/>
        <v>3.8711146533075241E-3</v>
      </c>
    </row>
    <row r="36" spans="16:18" x14ac:dyDescent="0.3">
      <c r="P36" s="35">
        <v>2.2000000000000002</v>
      </c>
      <c r="Q36">
        <v>305</v>
      </c>
      <c r="R36" s="34">
        <f t="shared" si="3"/>
        <v>3.9849709666400987E-3</v>
      </c>
    </row>
    <row r="37" spans="16:18" x14ac:dyDescent="0.3">
      <c r="P37" s="35">
        <v>2.5</v>
      </c>
      <c r="Q37">
        <v>305</v>
      </c>
      <c r="R37" s="34">
        <f t="shared" si="3"/>
        <v>4.0988272799726728E-3</v>
      </c>
    </row>
    <row r="38" spans="16:18" x14ac:dyDescent="0.3">
      <c r="P38" s="35">
        <v>2.85</v>
      </c>
      <c r="Q38">
        <v>305</v>
      </c>
      <c r="R38" s="34">
        <f t="shared" si="3"/>
        <v>4.212683593305247E-3</v>
      </c>
    </row>
    <row r="39" spans="16:18" x14ac:dyDescent="0.3">
      <c r="P39" s="35">
        <v>3.16</v>
      </c>
      <c r="Q39">
        <v>305</v>
      </c>
      <c r="R39" s="34">
        <f t="shared" si="3"/>
        <v>4.3265399066378211E-3</v>
      </c>
    </row>
    <row r="40" spans="16:18" x14ac:dyDescent="0.3">
      <c r="P40" s="35">
        <v>3.21</v>
      </c>
      <c r="Q40">
        <v>305</v>
      </c>
      <c r="R40" s="34">
        <f t="shared" si="3"/>
        <v>4.4403962199703953E-3</v>
      </c>
    </row>
    <row r="41" spans="16:18" x14ac:dyDescent="0.3">
      <c r="P41" s="35">
        <v>3.21</v>
      </c>
      <c r="Q41">
        <v>305</v>
      </c>
      <c r="R41" s="34">
        <f t="shared" si="3"/>
        <v>4.5542525333029694E-3</v>
      </c>
    </row>
    <row r="42" spans="16:18" x14ac:dyDescent="0.3">
      <c r="P42" s="35">
        <v>3.37</v>
      </c>
      <c r="Q42">
        <v>305</v>
      </c>
      <c r="R42" s="34">
        <f t="shared" si="3"/>
        <v>4.6681088466355436E-3</v>
      </c>
    </row>
    <row r="43" spans="16:18" x14ac:dyDescent="0.3">
      <c r="P43" s="35">
        <v>3.44</v>
      </c>
      <c r="Q43">
        <v>305</v>
      </c>
      <c r="R43" s="34">
        <f t="shared" si="3"/>
        <v>4.7819651599681177E-3</v>
      </c>
    </row>
    <row r="44" spans="16:18" x14ac:dyDescent="0.3">
      <c r="P44" s="35">
        <v>3.68</v>
      </c>
      <c r="Q44">
        <v>305</v>
      </c>
      <c r="R44" s="34">
        <f t="shared" si="3"/>
        <v>4.8958214733006919E-3</v>
      </c>
    </row>
    <row r="45" spans="16:18" x14ac:dyDescent="0.3">
      <c r="P45" s="35">
        <v>3.88</v>
      </c>
      <c r="Q45">
        <v>305</v>
      </c>
      <c r="R45" s="34">
        <f t="shared" si="3"/>
        <v>5.009677786633266E-3</v>
      </c>
    </row>
    <row r="46" spans="16:18" x14ac:dyDescent="0.3">
      <c r="P46" s="35">
        <v>3.93</v>
      </c>
      <c r="Q46">
        <v>305</v>
      </c>
      <c r="R46" s="34">
        <f t="shared" si="3"/>
        <v>5.1235340999658402E-3</v>
      </c>
    </row>
    <row r="47" spans="16:18" x14ac:dyDescent="0.3">
      <c r="P47" s="35">
        <v>4.29</v>
      </c>
      <c r="Q47">
        <v>305</v>
      </c>
      <c r="R47" s="34">
        <f t="shared" si="3"/>
        <v>5.2373904132984143E-3</v>
      </c>
    </row>
    <row r="48" spans="16:18" x14ac:dyDescent="0.3">
      <c r="P48" s="35">
        <v>4.32</v>
      </c>
      <c r="Q48">
        <v>305</v>
      </c>
      <c r="R48" s="34">
        <f t="shared" si="3"/>
        <v>5.3512467266309885E-3</v>
      </c>
    </row>
    <row r="49" spans="16:18" x14ac:dyDescent="0.3">
      <c r="P49" s="35">
        <v>4.6100000000000003</v>
      </c>
      <c r="Q49">
        <v>305</v>
      </c>
      <c r="R49" s="34">
        <f t="shared" si="3"/>
        <v>5.4651030399635626E-3</v>
      </c>
    </row>
    <row r="50" spans="16:18" x14ac:dyDescent="0.3">
      <c r="P50" s="35">
        <v>4.62</v>
      </c>
      <c r="Q50">
        <v>305</v>
      </c>
      <c r="R50" s="34">
        <f t="shared" si="3"/>
        <v>5.5789593532961368E-3</v>
      </c>
    </row>
    <row r="51" spans="16:18" x14ac:dyDescent="0.3">
      <c r="P51" s="35">
        <v>4.91</v>
      </c>
      <c r="Q51">
        <v>305</v>
      </c>
      <c r="R51" s="34">
        <f t="shared" si="3"/>
        <v>5.6928156666287109E-3</v>
      </c>
    </row>
    <row r="52" spans="16:18" x14ac:dyDescent="0.3">
      <c r="P52" s="35">
        <v>4.93</v>
      </c>
      <c r="Q52">
        <v>305</v>
      </c>
      <c r="R52" s="34">
        <f t="shared" si="3"/>
        <v>5.8066719799612851E-3</v>
      </c>
    </row>
    <row r="53" spans="16:18" x14ac:dyDescent="0.3">
      <c r="P53" s="35">
        <v>4.96</v>
      </c>
      <c r="Q53">
        <v>305</v>
      </c>
      <c r="R53" s="34">
        <f t="shared" si="3"/>
        <v>5.9205282932938592E-3</v>
      </c>
    </row>
    <row r="54" spans="16:18" x14ac:dyDescent="0.3">
      <c r="P54" s="35">
        <v>5.01</v>
      </c>
      <c r="Q54">
        <v>305</v>
      </c>
      <c r="R54" s="34">
        <f t="shared" si="3"/>
        <v>6.0343846066264334E-3</v>
      </c>
    </row>
    <row r="55" spans="16:18" x14ac:dyDescent="0.3">
      <c r="P55" s="35">
        <v>5.14</v>
      </c>
      <c r="Q55">
        <v>305</v>
      </c>
      <c r="R55" s="34">
        <f t="shared" si="3"/>
        <v>6.1482409199590075E-3</v>
      </c>
    </row>
    <row r="56" spans="16:18" x14ac:dyDescent="0.3">
      <c r="P56" s="35">
        <v>5.28</v>
      </c>
      <c r="Q56">
        <v>305</v>
      </c>
      <c r="R56" s="34">
        <f t="shared" si="3"/>
        <v>6.2620972332915817E-3</v>
      </c>
    </row>
    <row r="57" spans="16:18" x14ac:dyDescent="0.3">
      <c r="P57" s="35">
        <v>5.3</v>
      </c>
      <c r="Q57">
        <v>305</v>
      </c>
      <c r="R57" s="34">
        <f t="shared" si="3"/>
        <v>6.3759535466241558E-3</v>
      </c>
    </row>
    <row r="58" spans="16:18" x14ac:dyDescent="0.3">
      <c r="P58" s="35">
        <v>5.5</v>
      </c>
      <c r="Q58">
        <v>305</v>
      </c>
      <c r="R58" s="34">
        <f t="shared" si="3"/>
        <v>6.48980985995673E-3</v>
      </c>
    </row>
    <row r="59" spans="16:18" x14ac:dyDescent="0.3">
      <c r="P59" s="35">
        <v>5.63</v>
      </c>
      <c r="Q59">
        <v>305</v>
      </c>
      <c r="R59" s="34">
        <f t="shared" si="3"/>
        <v>6.6036661732893041E-3</v>
      </c>
    </row>
    <row r="60" spans="16:18" x14ac:dyDescent="0.3">
      <c r="P60" s="35">
        <v>5.8</v>
      </c>
      <c r="Q60">
        <v>305</v>
      </c>
      <c r="R60" s="34">
        <f t="shared" si="3"/>
        <v>6.7175224866218783E-3</v>
      </c>
    </row>
    <row r="61" spans="16:18" x14ac:dyDescent="0.3">
      <c r="P61" s="35">
        <v>6</v>
      </c>
      <c r="Q61">
        <v>305</v>
      </c>
      <c r="R61" s="34">
        <f t="shared" si="3"/>
        <v>6.8313787999544524E-3</v>
      </c>
    </row>
    <row r="62" spans="16:18" x14ac:dyDescent="0.3">
      <c r="P62" s="35">
        <v>6.33</v>
      </c>
      <c r="Q62">
        <v>305</v>
      </c>
      <c r="R62" s="34">
        <f t="shared" si="3"/>
        <v>6.9452351132870266E-3</v>
      </c>
    </row>
    <row r="63" spans="16:18" x14ac:dyDescent="0.3">
      <c r="P63" s="35">
        <v>6.4</v>
      </c>
      <c r="Q63">
        <v>305</v>
      </c>
      <c r="R63" s="34">
        <f t="shared" si="3"/>
        <v>7.0590914266196007E-3</v>
      </c>
    </row>
    <row r="64" spans="16:18" x14ac:dyDescent="0.3">
      <c r="P64" s="35">
        <v>6.59</v>
      </c>
      <c r="Q64">
        <v>305</v>
      </c>
      <c r="R64" s="34">
        <f t="shared" si="3"/>
        <v>7.1729477399521749E-3</v>
      </c>
    </row>
    <row r="65" spans="16:18" x14ac:dyDescent="0.3">
      <c r="P65" s="35">
        <v>6.68</v>
      </c>
      <c r="Q65">
        <v>305</v>
      </c>
      <c r="R65" s="34">
        <f t="shared" si="3"/>
        <v>7.286804053284749E-3</v>
      </c>
    </row>
    <row r="66" spans="16:18" x14ac:dyDescent="0.3">
      <c r="P66" s="35">
        <v>7.25</v>
      </c>
      <c r="Q66">
        <v>305</v>
      </c>
      <c r="R66" s="34">
        <f t="shared" si="3"/>
        <v>7.4006603666173232E-3</v>
      </c>
    </row>
    <row r="67" spans="16:18" x14ac:dyDescent="0.3">
      <c r="P67" s="35">
        <v>7.46</v>
      </c>
      <c r="Q67">
        <v>305</v>
      </c>
      <c r="R67" s="34">
        <f t="shared" si="3"/>
        <v>7.5145166799498973E-3</v>
      </c>
    </row>
    <row r="68" spans="16:18" x14ac:dyDescent="0.3">
      <c r="P68" s="35">
        <v>7.92</v>
      </c>
      <c r="Q68">
        <v>305</v>
      </c>
      <c r="R68" s="34">
        <f t="shared" ref="R68:R131" si="4">R67+R$2</f>
        <v>7.6283729932824715E-3</v>
      </c>
    </row>
    <row r="69" spans="16:18" x14ac:dyDescent="0.3">
      <c r="P69" s="35">
        <v>8.09</v>
      </c>
      <c r="Q69">
        <v>305</v>
      </c>
      <c r="R69" s="34">
        <f t="shared" si="4"/>
        <v>7.7422293066150456E-3</v>
      </c>
    </row>
    <row r="70" spans="16:18" x14ac:dyDescent="0.3">
      <c r="P70" s="35">
        <v>8.11</v>
      </c>
      <c r="Q70">
        <v>305</v>
      </c>
      <c r="R70" s="34">
        <f t="shared" si="4"/>
        <v>7.8560856199476198E-3</v>
      </c>
    </row>
    <row r="71" spans="16:18" x14ac:dyDescent="0.3">
      <c r="P71" s="35">
        <v>8.32</v>
      </c>
      <c r="Q71">
        <v>305</v>
      </c>
      <c r="R71" s="34">
        <f t="shared" si="4"/>
        <v>7.9699419332801939E-3</v>
      </c>
    </row>
    <row r="72" spans="16:18" x14ac:dyDescent="0.3">
      <c r="P72" s="35">
        <v>8.35</v>
      </c>
      <c r="Q72">
        <v>305</v>
      </c>
      <c r="R72" s="34">
        <f t="shared" si="4"/>
        <v>8.0837982466127681E-3</v>
      </c>
    </row>
    <row r="73" spans="16:18" x14ac:dyDescent="0.3">
      <c r="P73" s="35">
        <v>8.3800000000000008</v>
      </c>
      <c r="Q73">
        <v>305</v>
      </c>
      <c r="R73" s="34">
        <f t="shared" si="4"/>
        <v>8.1976545599453422E-3</v>
      </c>
    </row>
    <row r="74" spans="16:18" x14ac:dyDescent="0.3">
      <c r="P74" s="35">
        <v>8.51</v>
      </c>
      <c r="Q74">
        <v>305</v>
      </c>
      <c r="R74" s="34">
        <f t="shared" si="4"/>
        <v>8.3115108732779164E-3</v>
      </c>
    </row>
    <row r="75" spans="16:18" x14ac:dyDescent="0.3">
      <c r="P75" s="35">
        <v>8.5399999999999991</v>
      </c>
      <c r="Q75">
        <v>305</v>
      </c>
      <c r="R75" s="34">
        <f t="shared" si="4"/>
        <v>8.4253671866104905E-3</v>
      </c>
    </row>
    <row r="76" spans="16:18" x14ac:dyDescent="0.3">
      <c r="P76" s="35">
        <v>8.61</v>
      </c>
      <c r="Q76">
        <v>305</v>
      </c>
      <c r="R76" s="34">
        <f t="shared" si="4"/>
        <v>8.5392234999430647E-3</v>
      </c>
    </row>
    <row r="77" spans="16:18" x14ac:dyDescent="0.3">
      <c r="P77" s="35">
        <v>8.69</v>
      </c>
      <c r="Q77">
        <v>305</v>
      </c>
      <c r="R77" s="34">
        <f t="shared" si="4"/>
        <v>8.6530798132756388E-3</v>
      </c>
    </row>
    <row r="78" spans="16:18" x14ac:dyDescent="0.3">
      <c r="P78" s="35">
        <v>8.92</v>
      </c>
      <c r="Q78">
        <v>305</v>
      </c>
      <c r="R78" s="34">
        <f t="shared" si="4"/>
        <v>8.766936126608213E-3</v>
      </c>
    </row>
    <row r="79" spans="16:18" x14ac:dyDescent="0.3">
      <c r="P79" s="35">
        <v>8.9499999999999993</v>
      </c>
      <c r="Q79">
        <v>305</v>
      </c>
      <c r="R79" s="34">
        <f t="shared" si="4"/>
        <v>8.8807924399407871E-3</v>
      </c>
    </row>
    <row r="80" spans="16:18" x14ac:dyDescent="0.3">
      <c r="P80" s="35">
        <v>9.1300000000000008</v>
      </c>
      <c r="Q80">
        <v>305</v>
      </c>
      <c r="R80" s="34">
        <f t="shared" si="4"/>
        <v>8.9946487532733613E-3</v>
      </c>
    </row>
    <row r="81" spans="16:18" x14ac:dyDescent="0.3">
      <c r="P81" s="35">
        <v>9.23</v>
      </c>
      <c r="Q81">
        <v>305</v>
      </c>
      <c r="R81" s="34">
        <f t="shared" si="4"/>
        <v>9.1085050666059354E-3</v>
      </c>
    </row>
    <row r="82" spans="16:18" x14ac:dyDescent="0.3">
      <c r="P82" s="35">
        <v>9.26</v>
      </c>
      <c r="Q82">
        <v>305</v>
      </c>
      <c r="R82" s="34">
        <f t="shared" si="4"/>
        <v>9.2223613799385096E-3</v>
      </c>
    </row>
    <row r="83" spans="16:18" x14ac:dyDescent="0.3">
      <c r="P83" s="35">
        <v>9.32</v>
      </c>
      <c r="Q83">
        <v>305</v>
      </c>
      <c r="R83" s="34">
        <f t="shared" si="4"/>
        <v>9.3362176932710837E-3</v>
      </c>
    </row>
    <row r="84" spans="16:18" x14ac:dyDescent="0.3">
      <c r="P84" s="35">
        <v>9.4499999999999993</v>
      </c>
      <c r="Q84">
        <v>305</v>
      </c>
      <c r="R84" s="34">
        <f t="shared" si="4"/>
        <v>9.4500740066036579E-3</v>
      </c>
    </row>
    <row r="85" spans="16:18" x14ac:dyDescent="0.3">
      <c r="P85" s="35">
        <v>9.52</v>
      </c>
      <c r="Q85">
        <v>305</v>
      </c>
      <c r="R85" s="34">
        <f t="shared" si="4"/>
        <v>9.563930319936232E-3</v>
      </c>
    </row>
    <row r="86" spans="16:18" x14ac:dyDescent="0.3">
      <c r="P86" s="35">
        <v>9.6199999999999992</v>
      </c>
      <c r="Q86">
        <v>305</v>
      </c>
      <c r="R86" s="34">
        <f t="shared" si="4"/>
        <v>9.6777866332688062E-3</v>
      </c>
    </row>
    <row r="87" spans="16:18" x14ac:dyDescent="0.3">
      <c r="P87" s="35">
        <v>9.85</v>
      </c>
      <c r="Q87">
        <v>305</v>
      </c>
      <c r="R87" s="34">
        <f t="shared" si="4"/>
        <v>9.7916429466013803E-3</v>
      </c>
    </row>
    <row r="88" spans="16:18" x14ac:dyDescent="0.3">
      <c r="P88" s="35">
        <v>10.119999999999999</v>
      </c>
      <c r="Q88">
        <v>305</v>
      </c>
      <c r="R88" s="34">
        <f t="shared" si="4"/>
        <v>9.9054992599339545E-3</v>
      </c>
    </row>
    <row r="89" spans="16:18" x14ac:dyDescent="0.3">
      <c r="P89" s="35">
        <v>10.199999999999999</v>
      </c>
      <c r="Q89">
        <v>305</v>
      </c>
      <c r="R89" s="34">
        <f t="shared" si="4"/>
        <v>1.0019355573266529E-2</v>
      </c>
    </row>
    <row r="90" spans="16:18" x14ac:dyDescent="0.3">
      <c r="P90" s="35">
        <v>10.28</v>
      </c>
      <c r="Q90">
        <v>305</v>
      </c>
      <c r="R90" s="34">
        <f t="shared" si="4"/>
        <v>1.0133211886599103E-2</v>
      </c>
    </row>
    <row r="91" spans="16:18" x14ac:dyDescent="0.3">
      <c r="P91" s="35">
        <v>10.36</v>
      </c>
      <c r="Q91">
        <v>305</v>
      </c>
      <c r="R91" s="34">
        <f t="shared" si="4"/>
        <v>1.0247068199931677E-2</v>
      </c>
    </row>
    <row r="92" spans="16:18" x14ac:dyDescent="0.3">
      <c r="P92" s="35">
        <v>10.42</v>
      </c>
      <c r="Q92">
        <v>305</v>
      </c>
      <c r="R92" s="34">
        <f t="shared" si="4"/>
        <v>1.0360924513264251E-2</v>
      </c>
    </row>
    <row r="93" spans="16:18" x14ac:dyDescent="0.3">
      <c r="P93" s="35">
        <v>10.51</v>
      </c>
      <c r="Q93">
        <v>305</v>
      </c>
      <c r="R93" s="34">
        <f t="shared" si="4"/>
        <v>1.0474780826596825E-2</v>
      </c>
    </row>
    <row r="94" spans="16:18" x14ac:dyDescent="0.3">
      <c r="P94" s="35">
        <v>10.6</v>
      </c>
      <c r="Q94">
        <v>305</v>
      </c>
      <c r="R94" s="34">
        <f t="shared" si="4"/>
        <v>1.0588637139929399E-2</v>
      </c>
    </row>
    <row r="95" spans="16:18" x14ac:dyDescent="0.3">
      <c r="P95" s="35">
        <v>10.77</v>
      </c>
      <c r="Q95">
        <v>305</v>
      </c>
      <c r="R95" s="34">
        <f t="shared" si="4"/>
        <v>1.0702493453261974E-2</v>
      </c>
    </row>
    <row r="96" spans="16:18" x14ac:dyDescent="0.3">
      <c r="P96" s="35">
        <v>10.83</v>
      </c>
      <c r="Q96">
        <v>305</v>
      </c>
      <c r="R96" s="34">
        <f t="shared" si="4"/>
        <v>1.0816349766594548E-2</v>
      </c>
    </row>
    <row r="97" spans="16:18" x14ac:dyDescent="0.3">
      <c r="P97" s="35">
        <v>11.17</v>
      </c>
      <c r="Q97">
        <v>305</v>
      </c>
      <c r="R97" s="34">
        <f t="shared" si="4"/>
        <v>1.0930206079927122E-2</v>
      </c>
    </row>
    <row r="98" spans="16:18" x14ac:dyDescent="0.3">
      <c r="P98" s="35">
        <v>11.3</v>
      </c>
      <c r="Q98">
        <v>305</v>
      </c>
      <c r="R98" s="34">
        <f t="shared" si="4"/>
        <v>1.1044062393259696E-2</v>
      </c>
    </row>
    <row r="99" spans="16:18" x14ac:dyDescent="0.3">
      <c r="P99" s="35">
        <v>11.44</v>
      </c>
      <c r="Q99">
        <v>305</v>
      </c>
      <c r="R99" s="34">
        <f t="shared" si="4"/>
        <v>1.115791870659227E-2</v>
      </c>
    </row>
    <row r="100" spans="16:18" x14ac:dyDescent="0.3">
      <c r="P100" s="35">
        <v>11.55</v>
      </c>
      <c r="Q100">
        <v>305</v>
      </c>
      <c r="R100" s="34">
        <f t="shared" si="4"/>
        <v>1.1271775019924844E-2</v>
      </c>
    </row>
    <row r="101" spans="16:18" x14ac:dyDescent="0.3">
      <c r="P101" s="35">
        <v>11.69</v>
      </c>
      <c r="Q101">
        <v>305</v>
      </c>
      <c r="R101" s="34">
        <f t="shared" si="4"/>
        <v>1.1385631333257418E-2</v>
      </c>
    </row>
    <row r="102" spans="16:18" x14ac:dyDescent="0.3">
      <c r="P102" s="35">
        <v>11.79</v>
      </c>
      <c r="Q102">
        <v>305</v>
      </c>
      <c r="R102" s="34">
        <f t="shared" si="4"/>
        <v>1.1499487646589993E-2</v>
      </c>
    </row>
    <row r="103" spans="16:18" x14ac:dyDescent="0.3">
      <c r="P103" s="35">
        <v>11.8</v>
      </c>
      <c r="Q103">
        <v>305</v>
      </c>
      <c r="R103" s="34">
        <f t="shared" si="4"/>
        <v>1.1613343959922567E-2</v>
      </c>
    </row>
    <row r="104" spans="16:18" x14ac:dyDescent="0.3">
      <c r="P104" s="35">
        <v>11.82</v>
      </c>
      <c r="Q104">
        <v>305</v>
      </c>
      <c r="R104" s="34">
        <f t="shared" si="4"/>
        <v>1.1727200273255141E-2</v>
      </c>
    </row>
    <row r="105" spans="16:18" x14ac:dyDescent="0.3">
      <c r="P105" s="35">
        <v>11.92</v>
      </c>
      <c r="Q105">
        <v>305</v>
      </c>
      <c r="R105" s="34">
        <f t="shared" si="4"/>
        <v>1.1841056586587715E-2</v>
      </c>
    </row>
    <row r="106" spans="16:18" x14ac:dyDescent="0.3">
      <c r="P106" s="35">
        <v>11.98</v>
      </c>
      <c r="Q106">
        <v>305</v>
      </c>
      <c r="R106" s="34">
        <f t="shared" si="4"/>
        <v>1.1954912899920289E-2</v>
      </c>
    </row>
    <row r="107" spans="16:18" x14ac:dyDescent="0.3">
      <c r="P107" s="35">
        <v>12.05</v>
      </c>
      <c r="Q107">
        <v>305</v>
      </c>
      <c r="R107" s="34">
        <f t="shared" si="4"/>
        <v>1.2068769213252863E-2</v>
      </c>
    </row>
    <row r="108" spans="16:18" x14ac:dyDescent="0.3">
      <c r="P108" s="35">
        <v>12.06</v>
      </c>
      <c r="Q108">
        <v>305</v>
      </c>
      <c r="R108" s="34">
        <f t="shared" si="4"/>
        <v>1.2182625526585437E-2</v>
      </c>
    </row>
    <row r="109" spans="16:18" x14ac:dyDescent="0.3">
      <c r="P109" s="35">
        <v>12.06</v>
      </c>
      <c r="Q109">
        <v>305</v>
      </c>
      <c r="R109" s="34">
        <f t="shared" si="4"/>
        <v>1.2296481839918012E-2</v>
      </c>
    </row>
    <row r="110" spans="16:18" x14ac:dyDescent="0.3">
      <c r="P110" s="35">
        <v>12.08</v>
      </c>
      <c r="Q110">
        <v>305</v>
      </c>
      <c r="R110" s="34">
        <f t="shared" si="4"/>
        <v>1.2410338153250586E-2</v>
      </c>
    </row>
    <row r="111" spans="16:18" x14ac:dyDescent="0.3">
      <c r="P111" s="35">
        <v>12.15</v>
      </c>
      <c r="Q111">
        <v>305</v>
      </c>
      <c r="R111" s="34">
        <f t="shared" si="4"/>
        <v>1.252419446658316E-2</v>
      </c>
    </row>
    <row r="112" spans="16:18" x14ac:dyDescent="0.3">
      <c r="P112" s="35">
        <v>12.3</v>
      </c>
      <c r="Q112">
        <v>305</v>
      </c>
      <c r="R112" s="34">
        <f t="shared" si="4"/>
        <v>1.2638050779915734E-2</v>
      </c>
    </row>
    <row r="113" spans="16:18" x14ac:dyDescent="0.3">
      <c r="P113" s="35">
        <v>12.36</v>
      </c>
      <c r="Q113">
        <v>305</v>
      </c>
      <c r="R113" s="34">
        <f t="shared" si="4"/>
        <v>1.2751907093248308E-2</v>
      </c>
    </row>
    <row r="114" spans="16:18" x14ac:dyDescent="0.3">
      <c r="P114" s="35">
        <v>12.41</v>
      </c>
      <c r="Q114">
        <v>305</v>
      </c>
      <c r="R114" s="34">
        <f t="shared" si="4"/>
        <v>1.2865763406580882E-2</v>
      </c>
    </row>
    <row r="115" spans="16:18" x14ac:dyDescent="0.3">
      <c r="P115" s="35">
        <v>12.42</v>
      </c>
      <c r="Q115">
        <v>305</v>
      </c>
      <c r="R115" s="34">
        <f t="shared" si="4"/>
        <v>1.2979619719913457E-2</v>
      </c>
    </row>
    <row r="116" spans="16:18" x14ac:dyDescent="0.3">
      <c r="P116" s="35">
        <v>12.45</v>
      </c>
      <c r="Q116">
        <v>305</v>
      </c>
      <c r="R116" s="34">
        <f t="shared" si="4"/>
        <v>1.3093476033246031E-2</v>
      </c>
    </row>
    <row r="117" spans="16:18" x14ac:dyDescent="0.3">
      <c r="P117" s="35">
        <v>12.48</v>
      </c>
      <c r="Q117">
        <v>305</v>
      </c>
      <c r="R117" s="34">
        <f t="shared" si="4"/>
        <v>1.3207332346578605E-2</v>
      </c>
    </row>
    <row r="118" spans="16:18" x14ac:dyDescent="0.3">
      <c r="P118" s="35">
        <v>12.68</v>
      </c>
      <c r="Q118">
        <v>305</v>
      </c>
      <c r="R118" s="34">
        <f t="shared" si="4"/>
        <v>1.3321188659911179E-2</v>
      </c>
    </row>
    <row r="119" spans="16:18" x14ac:dyDescent="0.3">
      <c r="P119" s="35">
        <v>12.73</v>
      </c>
      <c r="Q119">
        <v>305</v>
      </c>
      <c r="R119" s="34">
        <f t="shared" si="4"/>
        <v>1.3435044973243753E-2</v>
      </c>
    </row>
    <row r="120" spans="16:18" x14ac:dyDescent="0.3">
      <c r="P120" s="35">
        <v>12.82</v>
      </c>
      <c r="Q120">
        <v>305</v>
      </c>
      <c r="R120" s="34">
        <f t="shared" si="4"/>
        <v>1.3548901286576327E-2</v>
      </c>
    </row>
    <row r="121" spans="16:18" x14ac:dyDescent="0.3">
      <c r="P121" s="35">
        <v>12.91</v>
      </c>
      <c r="Q121">
        <v>305</v>
      </c>
      <c r="R121" s="34">
        <f t="shared" si="4"/>
        <v>1.3662757599908901E-2</v>
      </c>
    </row>
    <row r="122" spans="16:18" x14ac:dyDescent="0.3">
      <c r="P122" s="35">
        <v>12.94</v>
      </c>
      <c r="Q122">
        <v>305</v>
      </c>
      <c r="R122" s="34">
        <f t="shared" si="4"/>
        <v>1.3776613913241476E-2</v>
      </c>
    </row>
    <row r="123" spans="16:18" x14ac:dyDescent="0.3">
      <c r="P123" s="35">
        <v>12.99</v>
      </c>
      <c r="Q123">
        <v>305</v>
      </c>
      <c r="R123" s="34">
        <f t="shared" si="4"/>
        <v>1.389047022657405E-2</v>
      </c>
    </row>
    <row r="124" spans="16:18" x14ac:dyDescent="0.3">
      <c r="P124" s="35">
        <v>12.99</v>
      </c>
      <c r="Q124">
        <v>305</v>
      </c>
      <c r="R124" s="34">
        <f t="shared" si="4"/>
        <v>1.4004326539906624E-2</v>
      </c>
    </row>
    <row r="125" spans="16:18" x14ac:dyDescent="0.3">
      <c r="P125" s="35">
        <v>12.99</v>
      </c>
      <c r="Q125">
        <v>305</v>
      </c>
      <c r="R125" s="34">
        <f t="shared" si="4"/>
        <v>1.4118182853239198E-2</v>
      </c>
    </row>
    <row r="126" spans="16:18" x14ac:dyDescent="0.3">
      <c r="P126" s="35">
        <v>13.04</v>
      </c>
      <c r="Q126">
        <v>305</v>
      </c>
      <c r="R126" s="34">
        <f t="shared" si="4"/>
        <v>1.4232039166571772E-2</v>
      </c>
    </row>
    <row r="127" spans="16:18" x14ac:dyDescent="0.3">
      <c r="P127" s="35">
        <v>13.11</v>
      </c>
      <c r="Q127">
        <v>305</v>
      </c>
      <c r="R127" s="34">
        <f t="shared" si="4"/>
        <v>1.4345895479904346E-2</v>
      </c>
    </row>
    <row r="128" spans="16:18" x14ac:dyDescent="0.3">
      <c r="P128" s="35">
        <v>13.13</v>
      </c>
      <c r="Q128">
        <v>305</v>
      </c>
      <c r="R128" s="34">
        <f t="shared" si="4"/>
        <v>1.445975179323692E-2</v>
      </c>
    </row>
    <row r="129" spans="16:18" x14ac:dyDescent="0.3">
      <c r="P129" s="35">
        <v>13.15</v>
      </c>
      <c r="Q129">
        <v>305</v>
      </c>
      <c r="R129" s="34">
        <f t="shared" si="4"/>
        <v>1.4573608106569495E-2</v>
      </c>
    </row>
    <row r="130" spans="16:18" x14ac:dyDescent="0.3">
      <c r="P130" s="35">
        <v>13.16</v>
      </c>
      <c r="Q130">
        <v>305</v>
      </c>
      <c r="R130" s="34">
        <f t="shared" si="4"/>
        <v>1.4687464419902069E-2</v>
      </c>
    </row>
    <row r="131" spans="16:18" x14ac:dyDescent="0.3">
      <c r="P131" s="35">
        <v>13.19</v>
      </c>
      <c r="Q131">
        <v>305</v>
      </c>
      <c r="R131" s="34">
        <f t="shared" si="4"/>
        <v>1.4801320733234643E-2</v>
      </c>
    </row>
    <row r="132" spans="16:18" x14ac:dyDescent="0.3">
      <c r="P132" s="35">
        <v>13.35</v>
      </c>
      <c r="Q132">
        <v>305</v>
      </c>
      <c r="R132" s="34">
        <f t="shared" ref="R132:R195" si="5">R131+R$2</f>
        <v>1.4915177046567217E-2</v>
      </c>
    </row>
    <row r="133" spans="16:18" x14ac:dyDescent="0.3">
      <c r="P133" s="35">
        <v>13.37</v>
      </c>
      <c r="Q133">
        <v>305</v>
      </c>
      <c r="R133" s="34">
        <f t="shared" si="5"/>
        <v>1.5029033359899791E-2</v>
      </c>
    </row>
    <row r="134" spans="16:18" x14ac:dyDescent="0.3">
      <c r="P134" s="35">
        <v>13.45</v>
      </c>
      <c r="Q134">
        <v>305</v>
      </c>
      <c r="R134" s="34">
        <f t="shared" si="5"/>
        <v>1.5142889673232365E-2</v>
      </c>
    </row>
    <row r="135" spans="16:18" x14ac:dyDescent="0.3">
      <c r="P135" s="35">
        <v>13.47</v>
      </c>
      <c r="Q135">
        <v>305</v>
      </c>
      <c r="R135" s="34">
        <f t="shared" si="5"/>
        <v>1.5256745986564939E-2</v>
      </c>
    </row>
    <row r="136" spans="16:18" x14ac:dyDescent="0.3">
      <c r="P136" s="35">
        <v>13.53</v>
      </c>
      <c r="Q136">
        <v>305</v>
      </c>
      <c r="R136" s="34">
        <f t="shared" si="5"/>
        <v>1.5370602299897514E-2</v>
      </c>
    </row>
    <row r="137" spans="16:18" x14ac:dyDescent="0.3">
      <c r="P137" s="35">
        <v>13.59</v>
      </c>
      <c r="Q137">
        <v>305</v>
      </c>
      <c r="R137" s="34">
        <f t="shared" si="5"/>
        <v>1.5484458613230088E-2</v>
      </c>
    </row>
    <row r="138" spans="16:18" x14ac:dyDescent="0.3">
      <c r="P138" s="35">
        <v>13.6</v>
      </c>
      <c r="Q138">
        <v>305</v>
      </c>
      <c r="R138" s="34">
        <f t="shared" si="5"/>
        <v>1.5598314926562662E-2</v>
      </c>
    </row>
    <row r="139" spans="16:18" x14ac:dyDescent="0.3">
      <c r="P139" s="35">
        <v>13.7</v>
      </c>
      <c r="Q139">
        <v>305</v>
      </c>
      <c r="R139" s="34">
        <f t="shared" si="5"/>
        <v>1.5712171239895236E-2</v>
      </c>
    </row>
    <row r="140" spans="16:18" x14ac:dyDescent="0.3">
      <c r="P140" s="35">
        <v>13.77</v>
      </c>
      <c r="Q140">
        <v>305</v>
      </c>
      <c r="R140" s="34">
        <f t="shared" si="5"/>
        <v>1.582602755322781E-2</v>
      </c>
    </row>
    <row r="141" spans="16:18" x14ac:dyDescent="0.3">
      <c r="P141" s="35">
        <v>13.8</v>
      </c>
      <c r="Q141">
        <v>305</v>
      </c>
      <c r="R141" s="34">
        <f t="shared" si="5"/>
        <v>1.5939883866560384E-2</v>
      </c>
    </row>
    <row r="142" spans="16:18" x14ac:dyDescent="0.3">
      <c r="P142" s="35">
        <v>13.91</v>
      </c>
      <c r="Q142">
        <v>305</v>
      </c>
      <c r="R142" s="34">
        <f t="shared" si="5"/>
        <v>1.6053740179892959E-2</v>
      </c>
    </row>
    <row r="143" spans="16:18" x14ac:dyDescent="0.3">
      <c r="P143" s="35">
        <v>13.98</v>
      </c>
      <c r="Q143">
        <v>305</v>
      </c>
      <c r="R143" s="34">
        <f t="shared" si="5"/>
        <v>1.6167596493225533E-2</v>
      </c>
    </row>
    <row r="144" spans="16:18" x14ac:dyDescent="0.3">
      <c r="P144" s="35">
        <v>14</v>
      </c>
      <c r="Q144">
        <v>305</v>
      </c>
      <c r="R144" s="34">
        <f t="shared" si="5"/>
        <v>1.6281452806558107E-2</v>
      </c>
    </row>
    <row r="145" spans="16:18" x14ac:dyDescent="0.3">
      <c r="P145" s="35">
        <v>14.02</v>
      </c>
      <c r="Q145">
        <v>305</v>
      </c>
      <c r="R145" s="34">
        <f t="shared" si="5"/>
        <v>1.6395309119890681E-2</v>
      </c>
    </row>
    <row r="146" spans="16:18" x14ac:dyDescent="0.3">
      <c r="P146" s="35">
        <v>14.03</v>
      </c>
      <c r="Q146">
        <v>305</v>
      </c>
      <c r="R146" s="34">
        <f t="shared" si="5"/>
        <v>1.6509165433223255E-2</v>
      </c>
    </row>
    <row r="147" spans="16:18" x14ac:dyDescent="0.3">
      <c r="P147" s="35">
        <v>14.04</v>
      </c>
      <c r="Q147">
        <v>305</v>
      </c>
      <c r="R147" s="34">
        <f t="shared" si="5"/>
        <v>1.6623021746555829E-2</v>
      </c>
    </row>
    <row r="148" spans="16:18" x14ac:dyDescent="0.3">
      <c r="P148" s="35">
        <v>14.19</v>
      </c>
      <c r="Q148">
        <v>305</v>
      </c>
      <c r="R148" s="34">
        <f t="shared" si="5"/>
        <v>1.6736878059888403E-2</v>
      </c>
    </row>
    <row r="149" spans="16:18" x14ac:dyDescent="0.3">
      <c r="P149" s="35">
        <v>14.22</v>
      </c>
      <c r="Q149">
        <v>305</v>
      </c>
      <c r="R149" s="34">
        <f t="shared" si="5"/>
        <v>1.6850734373220978E-2</v>
      </c>
    </row>
    <row r="150" spans="16:18" x14ac:dyDescent="0.3">
      <c r="P150" s="35">
        <v>14.24</v>
      </c>
      <c r="Q150">
        <v>305</v>
      </c>
      <c r="R150" s="34">
        <f t="shared" si="5"/>
        <v>1.6964590686553552E-2</v>
      </c>
    </row>
    <row r="151" spans="16:18" x14ac:dyDescent="0.3">
      <c r="P151" s="35">
        <v>14.25</v>
      </c>
      <c r="Q151">
        <v>305</v>
      </c>
      <c r="R151" s="34">
        <f t="shared" si="5"/>
        <v>1.7078446999886126E-2</v>
      </c>
    </row>
    <row r="152" spans="16:18" x14ac:dyDescent="0.3">
      <c r="P152" s="35">
        <v>14.25</v>
      </c>
      <c r="Q152">
        <v>305</v>
      </c>
      <c r="R152" s="34">
        <f t="shared" si="5"/>
        <v>1.71923033132187E-2</v>
      </c>
    </row>
    <row r="153" spans="16:18" x14ac:dyDescent="0.3">
      <c r="P153" s="35">
        <v>14.28</v>
      </c>
      <c r="Q153">
        <v>305</v>
      </c>
      <c r="R153" s="34">
        <f t="shared" si="5"/>
        <v>1.7306159626551274E-2</v>
      </c>
    </row>
    <row r="154" spans="16:18" x14ac:dyDescent="0.3">
      <c r="P154" s="35">
        <v>14.3</v>
      </c>
      <c r="Q154">
        <v>305</v>
      </c>
      <c r="R154" s="34">
        <f t="shared" si="5"/>
        <v>1.7420015939883848E-2</v>
      </c>
    </row>
    <row r="155" spans="16:18" x14ac:dyDescent="0.3">
      <c r="P155" s="35">
        <v>14.3</v>
      </c>
      <c r="Q155">
        <v>305</v>
      </c>
      <c r="R155" s="34">
        <f t="shared" si="5"/>
        <v>1.7533872253216422E-2</v>
      </c>
    </row>
    <row r="156" spans="16:18" x14ac:dyDescent="0.3">
      <c r="P156" s="35">
        <v>14.35</v>
      </c>
      <c r="Q156">
        <v>305</v>
      </c>
      <c r="R156" s="34">
        <f t="shared" si="5"/>
        <v>1.7647728566548997E-2</v>
      </c>
    </row>
    <row r="157" spans="16:18" x14ac:dyDescent="0.3">
      <c r="P157" s="35">
        <v>14.37</v>
      </c>
      <c r="Q157">
        <v>305</v>
      </c>
      <c r="R157" s="34">
        <f t="shared" si="5"/>
        <v>1.7761584879881571E-2</v>
      </c>
    </row>
    <row r="158" spans="16:18" x14ac:dyDescent="0.3">
      <c r="P158" s="35">
        <v>14.4</v>
      </c>
      <c r="Q158">
        <v>305</v>
      </c>
      <c r="R158" s="34">
        <f t="shared" si="5"/>
        <v>1.7875441193214145E-2</v>
      </c>
    </row>
    <row r="159" spans="16:18" x14ac:dyDescent="0.3">
      <c r="P159" s="35">
        <v>14.43</v>
      </c>
      <c r="Q159">
        <v>305</v>
      </c>
      <c r="R159" s="34">
        <f t="shared" si="5"/>
        <v>1.7989297506546719E-2</v>
      </c>
    </row>
    <row r="160" spans="16:18" x14ac:dyDescent="0.3">
      <c r="P160" s="35">
        <v>14.46</v>
      </c>
      <c r="Q160">
        <v>305</v>
      </c>
      <c r="R160" s="34">
        <f t="shared" si="5"/>
        <v>1.8103153819879293E-2</v>
      </c>
    </row>
    <row r="161" spans="16:18" x14ac:dyDescent="0.3">
      <c r="P161" s="35">
        <v>14.49</v>
      </c>
      <c r="Q161">
        <v>305</v>
      </c>
      <c r="R161" s="34">
        <f t="shared" si="5"/>
        <v>1.8217010133211867E-2</v>
      </c>
    </row>
    <row r="162" spans="16:18" x14ac:dyDescent="0.3">
      <c r="P162" s="35">
        <v>14.53</v>
      </c>
      <c r="Q162">
        <v>305</v>
      </c>
      <c r="R162" s="34">
        <f t="shared" si="5"/>
        <v>1.8330866446544442E-2</v>
      </c>
    </row>
    <row r="163" spans="16:18" x14ac:dyDescent="0.3">
      <c r="P163" s="35">
        <v>14.6</v>
      </c>
      <c r="Q163">
        <v>305</v>
      </c>
      <c r="R163" s="34">
        <f t="shared" si="5"/>
        <v>1.8444722759877016E-2</v>
      </c>
    </row>
    <row r="164" spans="16:18" x14ac:dyDescent="0.3">
      <c r="P164" s="35">
        <v>14.6</v>
      </c>
      <c r="Q164">
        <v>305</v>
      </c>
      <c r="R164" s="34">
        <f t="shared" si="5"/>
        <v>1.855857907320959E-2</v>
      </c>
    </row>
    <row r="165" spans="16:18" x14ac:dyDescent="0.3">
      <c r="P165" s="35">
        <v>14.61</v>
      </c>
      <c r="Q165">
        <v>305</v>
      </c>
      <c r="R165" s="34">
        <f t="shared" si="5"/>
        <v>1.8672435386542164E-2</v>
      </c>
    </row>
    <row r="166" spans="16:18" x14ac:dyDescent="0.3">
      <c r="P166" s="35">
        <v>14.65</v>
      </c>
      <c r="Q166">
        <v>305</v>
      </c>
      <c r="R166" s="34">
        <f t="shared" si="5"/>
        <v>1.8786291699874738E-2</v>
      </c>
    </row>
    <row r="167" spans="16:18" x14ac:dyDescent="0.3">
      <c r="P167" s="35">
        <v>14.67</v>
      </c>
      <c r="Q167">
        <v>305</v>
      </c>
      <c r="R167" s="34">
        <f t="shared" si="5"/>
        <v>1.8900148013207312E-2</v>
      </c>
    </row>
    <row r="168" spans="16:18" x14ac:dyDescent="0.3">
      <c r="P168" s="35">
        <v>14.67</v>
      </c>
      <c r="Q168">
        <v>305</v>
      </c>
      <c r="R168" s="34">
        <f t="shared" si="5"/>
        <v>1.9014004326539886E-2</v>
      </c>
    </row>
    <row r="169" spans="16:18" x14ac:dyDescent="0.3">
      <c r="P169" s="35">
        <v>14.68</v>
      </c>
      <c r="Q169">
        <v>305</v>
      </c>
      <c r="R169" s="34">
        <f t="shared" si="5"/>
        <v>1.9127860639872461E-2</v>
      </c>
    </row>
    <row r="170" spans="16:18" x14ac:dyDescent="0.3">
      <c r="P170" s="35">
        <v>14.73</v>
      </c>
      <c r="Q170">
        <v>305</v>
      </c>
      <c r="R170" s="34">
        <f t="shared" si="5"/>
        <v>1.9241716953205035E-2</v>
      </c>
    </row>
    <row r="171" spans="16:18" x14ac:dyDescent="0.3">
      <c r="P171" s="35">
        <v>14.76</v>
      </c>
      <c r="Q171">
        <v>305</v>
      </c>
      <c r="R171" s="34">
        <f t="shared" si="5"/>
        <v>1.9355573266537609E-2</v>
      </c>
    </row>
    <row r="172" spans="16:18" x14ac:dyDescent="0.3">
      <c r="P172" s="35">
        <v>14.76</v>
      </c>
      <c r="Q172">
        <v>305</v>
      </c>
      <c r="R172" s="34">
        <f t="shared" si="5"/>
        <v>1.9469429579870183E-2</v>
      </c>
    </row>
    <row r="173" spans="16:18" x14ac:dyDescent="0.3">
      <c r="P173" s="35">
        <v>14.78</v>
      </c>
      <c r="Q173">
        <v>305</v>
      </c>
      <c r="R173" s="34">
        <f t="shared" si="5"/>
        <v>1.9583285893202757E-2</v>
      </c>
    </row>
    <row r="174" spans="16:18" x14ac:dyDescent="0.3">
      <c r="P174" s="35">
        <v>14.81</v>
      </c>
      <c r="Q174">
        <v>305</v>
      </c>
      <c r="R174" s="34">
        <f t="shared" si="5"/>
        <v>1.9697142206535331E-2</v>
      </c>
    </row>
    <row r="175" spans="16:18" x14ac:dyDescent="0.3">
      <c r="P175" s="35">
        <v>14.84</v>
      </c>
      <c r="Q175">
        <v>305</v>
      </c>
      <c r="R175" s="34">
        <f t="shared" si="5"/>
        <v>1.9810998519867905E-2</v>
      </c>
    </row>
    <row r="176" spans="16:18" x14ac:dyDescent="0.3">
      <c r="P176" s="35">
        <v>14.85</v>
      </c>
      <c r="Q176">
        <v>305</v>
      </c>
      <c r="R176" s="34">
        <f t="shared" si="5"/>
        <v>1.992485483320048E-2</v>
      </c>
    </row>
    <row r="177" spans="16:18" x14ac:dyDescent="0.3">
      <c r="P177" s="35">
        <v>14.85</v>
      </c>
      <c r="Q177">
        <v>305</v>
      </c>
      <c r="R177" s="34">
        <f t="shared" si="5"/>
        <v>2.0038711146533054E-2</v>
      </c>
    </row>
    <row r="178" spans="16:18" x14ac:dyDescent="0.3">
      <c r="P178" s="35">
        <v>14.86</v>
      </c>
      <c r="Q178">
        <v>305</v>
      </c>
      <c r="R178" s="34">
        <f t="shared" si="5"/>
        <v>2.0152567459865628E-2</v>
      </c>
    </row>
    <row r="179" spans="16:18" x14ac:dyDescent="0.3">
      <c r="P179" s="35">
        <v>14.88</v>
      </c>
      <c r="Q179">
        <v>305</v>
      </c>
      <c r="R179" s="34">
        <f t="shared" si="5"/>
        <v>2.0266423773198202E-2</v>
      </c>
    </row>
    <row r="180" spans="16:18" x14ac:dyDescent="0.3">
      <c r="P180" s="35">
        <v>14.89</v>
      </c>
      <c r="Q180">
        <v>305</v>
      </c>
      <c r="R180" s="34">
        <f t="shared" si="5"/>
        <v>2.0380280086530776E-2</v>
      </c>
    </row>
    <row r="181" spans="16:18" x14ac:dyDescent="0.3">
      <c r="P181" s="35">
        <v>14.95</v>
      </c>
      <c r="Q181">
        <v>305</v>
      </c>
      <c r="R181" s="34">
        <f t="shared" si="5"/>
        <v>2.049413639986335E-2</v>
      </c>
    </row>
    <row r="182" spans="16:18" x14ac:dyDescent="0.3">
      <c r="P182" s="35">
        <v>14.95</v>
      </c>
      <c r="Q182">
        <v>305</v>
      </c>
      <c r="R182" s="34">
        <f t="shared" si="5"/>
        <v>2.0607992713195925E-2</v>
      </c>
    </row>
    <row r="183" spans="16:18" x14ac:dyDescent="0.3">
      <c r="P183" s="35">
        <v>14.97</v>
      </c>
      <c r="Q183">
        <v>305</v>
      </c>
      <c r="R183" s="34">
        <f t="shared" si="5"/>
        <v>2.0721849026528499E-2</v>
      </c>
    </row>
    <row r="184" spans="16:18" x14ac:dyDescent="0.3">
      <c r="P184" s="35">
        <v>14.99</v>
      </c>
      <c r="Q184">
        <v>305</v>
      </c>
      <c r="R184" s="34">
        <f t="shared" si="5"/>
        <v>2.0835705339861073E-2</v>
      </c>
    </row>
    <row r="185" spans="16:18" x14ac:dyDescent="0.3">
      <c r="P185" s="35">
        <v>15.01</v>
      </c>
      <c r="Q185">
        <v>305</v>
      </c>
      <c r="R185" s="34">
        <f t="shared" si="5"/>
        <v>2.0949561653193647E-2</v>
      </c>
    </row>
    <row r="186" spans="16:18" x14ac:dyDescent="0.3">
      <c r="P186" s="35">
        <v>15.04</v>
      </c>
      <c r="Q186">
        <v>305</v>
      </c>
      <c r="R186" s="34">
        <f t="shared" si="5"/>
        <v>2.1063417966526221E-2</v>
      </c>
    </row>
    <row r="187" spans="16:18" x14ac:dyDescent="0.3">
      <c r="P187" s="35">
        <v>15.06</v>
      </c>
      <c r="Q187">
        <v>305</v>
      </c>
      <c r="R187" s="34">
        <f t="shared" si="5"/>
        <v>2.1177274279858795E-2</v>
      </c>
    </row>
    <row r="188" spans="16:18" x14ac:dyDescent="0.3">
      <c r="P188" s="35">
        <v>15.08</v>
      </c>
      <c r="Q188">
        <v>305</v>
      </c>
      <c r="R188" s="34">
        <f t="shared" si="5"/>
        <v>2.1291130593191369E-2</v>
      </c>
    </row>
    <row r="189" spans="16:18" x14ac:dyDescent="0.3">
      <c r="P189" s="35">
        <v>15.1</v>
      </c>
      <c r="Q189">
        <v>305</v>
      </c>
      <c r="R189" s="34">
        <f t="shared" si="5"/>
        <v>2.1404986906523944E-2</v>
      </c>
    </row>
    <row r="190" spans="16:18" x14ac:dyDescent="0.3">
      <c r="P190" s="35">
        <v>15.1</v>
      </c>
      <c r="Q190">
        <v>305</v>
      </c>
      <c r="R190" s="34">
        <f t="shared" si="5"/>
        <v>2.1518843219856518E-2</v>
      </c>
    </row>
    <row r="191" spans="16:18" x14ac:dyDescent="0.3">
      <c r="P191" s="35">
        <v>15.11</v>
      </c>
      <c r="Q191">
        <v>305</v>
      </c>
      <c r="R191" s="34">
        <f t="shared" si="5"/>
        <v>2.1632699533189092E-2</v>
      </c>
    </row>
    <row r="192" spans="16:18" x14ac:dyDescent="0.3">
      <c r="P192" s="35">
        <v>15.14</v>
      </c>
      <c r="Q192">
        <v>305</v>
      </c>
      <c r="R192" s="34">
        <f t="shared" si="5"/>
        <v>2.1746555846521666E-2</v>
      </c>
    </row>
    <row r="193" spans="16:18" x14ac:dyDescent="0.3">
      <c r="P193" s="35">
        <v>15.17</v>
      </c>
      <c r="Q193">
        <v>305</v>
      </c>
      <c r="R193" s="34">
        <f t="shared" si="5"/>
        <v>2.186041215985424E-2</v>
      </c>
    </row>
    <row r="194" spans="16:18" x14ac:dyDescent="0.3">
      <c r="P194" s="35">
        <v>15.18</v>
      </c>
      <c r="Q194">
        <v>305</v>
      </c>
      <c r="R194" s="34">
        <f t="shared" si="5"/>
        <v>2.1974268473186814E-2</v>
      </c>
    </row>
    <row r="195" spans="16:18" x14ac:dyDescent="0.3">
      <c r="P195" s="35">
        <v>15.2</v>
      </c>
      <c r="Q195">
        <v>305</v>
      </c>
      <c r="R195" s="34">
        <f t="shared" si="5"/>
        <v>2.2088124786519388E-2</v>
      </c>
    </row>
    <row r="196" spans="16:18" x14ac:dyDescent="0.3">
      <c r="P196" s="35">
        <v>15.21</v>
      </c>
      <c r="Q196">
        <v>305</v>
      </c>
      <c r="R196" s="34">
        <f t="shared" ref="R196:R259" si="6">R195+R$2</f>
        <v>2.2201981099851963E-2</v>
      </c>
    </row>
    <row r="197" spans="16:18" x14ac:dyDescent="0.3">
      <c r="P197" s="35">
        <v>15.22</v>
      </c>
      <c r="Q197">
        <v>305</v>
      </c>
      <c r="R197" s="34">
        <f t="shared" si="6"/>
        <v>2.2315837413184537E-2</v>
      </c>
    </row>
    <row r="198" spans="16:18" x14ac:dyDescent="0.3">
      <c r="P198" s="35">
        <v>15.22</v>
      </c>
      <c r="Q198">
        <v>305</v>
      </c>
      <c r="R198" s="34">
        <f t="shared" si="6"/>
        <v>2.2429693726517111E-2</v>
      </c>
    </row>
    <row r="199" spans="16:18" x14ac:dyDescent="0.3">
      <c r="P199" s="35">
        <v>15.25</v>
      </c>
      <c r="Q199">
        <v>305</v>
      </c>
      <c r="R199" s="34">
        <f t="shared" si="6"/>
        <v>2.2543550039849685E-2</v>
      </c>
    </row>
    <row r="200" spans="16:18" x14ac:dyDescent="0.3">
      <c r="P200" s="35">
        <v>15.27</v>
      </c>
      <c r="Q200">
        <v>305</v>
      </c>
      <c r="R200" s="34">
        <f t="shared" si="6"/>
        <v>2.2657406353182259E-2</v>
      </c>
    </row>
    <row r="201" spans="16:18" x14ac:dyDescent="0.3">
      <c r="P201" s="35">
        <v>15.27</v>
      </c>
      <c r="Q201">
        <v>305</v>
      </c>
      <c r="R201" s="34">
        <f t="shared" si="6"/>
        <v>2.2771262666514833E-2</v>
      </c>
    </row>
    <row r="202" spans="16:18" x14ac:dyDescent="0.3">
      <c r="P202" s="35">
        <v>15.28</v>
      </c>
      <c r="Q202">
        <v>305</v>
      </c>
      <c r="R202" s="34">
        <f t="shared" si="6"/>
        <v>2.2885118979847408E-2</v>
      </c>
    </row>
    <row r="203" spans="16:18" x14ac:dyDescent="0.3">
      <c r="P203" s="35">
        <v>15.29</v>
      </c>
      <c r="Q203">
        <v>305</v>
      </c>
      <c r="R203" s="34">
        <f t="shared" si="6"/>
        <v>2.2998975293179982E-2</v>
      </c>
    </row>
    <row r="204" spans="16:18" x14ac:dyDescent="0.3">
      <c r="P204" s="35">
        <v>15.31</v>
      </c>
      <c r="Q204">
        <v>305</v>
      </c>
      <c r="R204" s="34">
        <f t="shared" si="6"/>
        <v>2.3112831606512556E-2</v>
      </c>
    </row>
    <row r="205" spans="16:18" x14ac:dyDescent="0.3">
      <c r="P205" s="35">
        <v>15.32</v>
      </c>
      <c r="Q205">
        <v>305</v>
      </c>
      <c r="R205" s="34">
        <f t="shared" si="6"/>
        <v>2.322668791984513E-2</v>
      </c>
    </row>
    <row r="206" spans="16:18" x14ac:dyDescent="0.3">
      <c r="P206" s="35">
        <v>15.34</v>
      </c>
      <c r="Q206">
        <v>305</v>
      </c>
      <c r="R206" s="34">
        <f t="shared" si="6"/>
        <v>2.3340544233177704E-2</v>
      </c>
    </row>
    <row r="207" spans="16:18" x14ac:dyDescent="0.3">
      <c r="P207" s="35">
        <v>15.34</v>
      </c>
      <c r="Q207">
        <v>305</v>
      </c>
      <c r="R207" s="34">
        <f t="shared" si="6"/>
        <v>2.3454400546510278E-2</v>
      </c>
    </row>
    <row r="208" spans="16:18" x14ac:dyDescent="0.3">
      <c r="P208" s="35">
        <v>15.38</v>
      </c>
      <c r="Q208">
        <v>305</v>
      </c>
      <c r="R208" s="34">
        <f t="shared" si="6"/>
        <v>2.3568256859842852E-2</v>
      </c>
    </row>
    <row r="209" spans="16:18" x14ac:dyDescent="0.3">
      <c r="P209" s="35">
        <v>15.38</v>
      </c>
      <c r="Q209">
        <v>305</v>
      </c>
      <c r="R209" s="34">
        <f t="shared" si="6"/>
        <v>2.3682113173175427E-2</v>
      </c>
    </row>
    <row r="210" spans="16:18" x14ac:dyDescent="0.3">
      <c r="P210" s="35">
        <v>15.4</v>
      </c>
      <c r="Q210">
        <v>305</v>
      </c>
      <c r="R210" s="34">
        <f t="shared" si="6"/>
        <v>2.3795969486508001E-2</v>
      </c>
    </row>
    <row r="211" spans="16:18" x14ac:dyDescent="0.3">
      <c r="P211" s="35">
        <v>15.4</v>
      </c>
      <c r="Q211">
        <v>305</v>
      </c>
      <c r="R211" s="34">
        <f t="shared" si="6"/>
        <v>2.3909825799840575E-2</v>
      </c>
    </row>
    <row r="212" spans="16:18" x14ac:dyDescent="0.3">
      <c r="P212" s="35">
        <v>15.41</v>
      </c>
      <c r="Q212">
        <v>305</v>
      </c>
      <c r="R212" s="34">
        <f t="shared" si="6"/>
        <v>2.4023682113173149E-2</v>
      </c>
    </row>
    <row r="213" spans="16:18" x14ac:dyDescent="0.3">
      <c r="P213" s="35">
        <v>15.42</v>
      </c>
      <c r="Q213">
        <v>305</v>
      </c>
      <c r="R213" s="34">
        <f t="shared" si="6"/>
        <v>2.4137538426505723E-2</v>
      </c>
    </row>
    <row r="214" spans="16:18" x14ac:dyDescent="0.3">
      <c r="P214" s="35">
        <v>15.43</v>
      </c>
      <c r="Q214">
        <v>305</v>
      </c>
      <c r="R214" s="34">
        <f t="shared" si="6"/>
        <v>2.4251394739838297E-2</v>
      </c>
    </row>
    <row r="215" spans="16:18" x14ac:dyDescent="0.3">
      <c r="P215" s="35">
        <v>15.49</v>
      </c>
      <c r="Q215">
        <v>305</v>
      </c>
      <c r="R215" s="34">
        <f t="shared" si="6"/>
        <v>2.4365251053170871E-2</v>
      </c>
    </row>
    <row r="216" spans="16:18" x14ac:dyDescent="0.3">
      <c r="P216" s="35">
        <v>15.53</v>
      </c>
      <c r="Q216">
        <v>305</v>
      </c>
      <c r="R216" s="34">
        <f t="shared" si="6"/>
        <v>2.4479107366503446E-2</v>
      </c>
    </row>
    <row r="217" spans="16:18" x14ac:dyDescent="0.3">
      <c r="P217" s="35">
        <v>15.54</v>
      </c>
      <c r="Q217">
        <v>305</v>
      </c>
      <c r="R217" s="34">
        <f t="shared" si="6"/>
        <v>2.459296367983602E-2</v>
      </c>
    </row>
    <row r="218" spans="16:18" x14ac:dyDescent="0.3">
      <c r="P218" s="35">
        <v>15.57</v>
      </c>
      <c r="Q218">
        <v>305</v>
      </c>
      <c r="R218" s="34">
        <f t="shared" si="6"/>
        <v>2.4706819993168594E-2</v>
      </c>
    </row>
    <row r="219" spans="16:18" x14ac:dyDescent="0.3">
      <c r="P219" s="35">
        <v>15.58</v>
      </c>
      <c r="Q219">
        <v>305</v>
      </c>
      <c r="R219" s="34">
        <f t="shared" si="6"/>
        <v>2.4820676306501168E-2</v>
      </c>
    </row>
    <row r="220" spans="16:18" x14ac:dyDescent="0.3">
      <c r="P220" s="35">
        <v>15.59</v>
      </c>
      <c r="Q220">
        <v>305</v>
      </c>
      <c r="R220" s="34">
        <f t="shared" si="6"/>
        <v>2.4934532619833742E-2</v>
      </c>
    </row>
    <row r="221" spans="16:18" x14ac:dyDescent="0.3">
      <c r="P221" s="35">
        <v>15.6</v>
      </c>
      <c r="Q221">
        <v>305</v>
      </c>
      <c r="R221" s="34">
        <f t="shared" si="6"/>
        <v>2.5048388933166316E-2</v>
      </c>
    </row>
    <row r="222" spans="16:18" x14ac:dyDescent="0.3">
      <c r="P222" s="35">
        <v>15.61</v>
      </c>
      <c r="Q222">
        <v>305</v>
      </c>
      <c r="R222" s="34">
        <f t="shared" si="6"/>
        <v>2.516224524649889E-2</v>
      </c>
    </row>
    <row r="223" spans="16:18" x14ac:dyDescent="0.3">
      <c r="P223" s="35">
        <v>15.61</v>
      </c>
      <c r="Q223">
        <v>305</v>
      </c>
      <c r="R223" s="34">
        <f t="shared" si="6"/>
        <v>2.5276101559831465E-2</v>
      </c>
    </row>
    <row r="224" spans="16:18" x14ac:dyDescent="0.3">
      <c r="P224" s="35">
        <v>15.61</v>
      </c>
      <c r="Q224">
        <v>305</v>
      </c>
      <c r="R224" s="34">
        <f t="shared" si="6"/>
        <v>2.5389957873164039E-2</v>
      </c>
    </row>
    <row r="225" spans="16:18" x14ac:dyDescent="0.3">
      <c r="P225" s="35">
        <v>15.62</v>
      </c>
      <c r="Q225">
        <v>305</v>
      </c>
      <c r="R225" s="34">
        <f t="shared" si="6"/>
        <v>2.5503814186496613E-2</v>
      </c>
    </row>
    <row r="226" spans="16:18" x14ac:dyDescent="0.3">
      <c r="P226" s="35">
        <v>15.64</v>
      </c>
      <c r="Q226">
        <v>305</v>
      </c>
      <c r="R226" s="34">
        <f t="shared" si="6"/>
        <v>2.5617670499829187E-2</v>
      </c>
    </row>
    <row r="227" spans="16:18" x14ac:dyDescent="0.3">
      <c r="P227" s="35">
        <v>15.67</v>
      </c>
      <c r="Q227">
        <v>305</v>
      </c>
      <c r="R227" s="34">
        <f t="shared" si="6"/>
        <v>2.5731526813161761E-2</v>
      </c>
    </row>
    <row r="228" spans="16:18" x14ac:dyDescent="0.3">
      <c r="P228" s="35">
        <v>15.67</v>
      </c>
      <c r="Q228">
        <v>305</v>
      </c>
      <c r="R228" s="34">
        <f t="shared" si="6"/>
        <v>2.5845383126494335E-2</v>
      </c>
    </row>
    <row r="229" spans="16:18" x14ac:dyDescent="0.3">
      <c r="P229" s="35">
        <v>15.67</v>
      </c>
      <c r="Q229">
        <v>305</v>
      </c>
      <c r="R229" s="34">
        <f t="shared" si="6"/>
        <v>2.595923943982691E-2</v>
      </c>
    </row>
    <row r="230" spans="16:18" x14ac:dyDescent="0.3">
      <c r="P230" s="35">
        <v>15.68</v>
      </c>
      <c r="Q230">
        <v>305</v>
      </c>
      <c r="R230" s="34">
        <f t="shared" si="6"/>
        <v>2.6073095753159484E-2</v>
      </c>
    </row>
    <row r="231" spans="16:18" x14ac:dyDescent="0.3">
      <c r="P231" s="35">
        <v>15.69</v>
      </c>
      <c r="Q231">
        <v>305</v>
      </c>
      <c r="R231" s="34">
        <f t="shared" si="6"/>
        <v>2.6186952066492058E-2</v>
      </c>
    </row>
    <row r="232" spans="16:18" x14ac:dyDescent="0.3">
      <c r="P232" s="35">
        <v>15.69</v>
      </c>
      <c r="Q232">
        <v>305</v>
      </c>
      <c r="R232" s="34">
        <f t="shared" si="6"/>
        <v>2.6300808379824632E-2</v>
      </c>
    </row>
    <row r="233" spans="16:18" x14ac:dyDescent="0.3">
      <c r="P233" s="35">
        <v>15.7</v>
      </c>
      <c r="Q233">
        <v>305</v>
      </c>
      <c r="R233" s="34">
        <f t="shared" si="6"/>
        <v>2.6414664693157206E-2</v>
      </c>
    </row>
    <row r="234" spans="16:18" x14ac:dyDescent="0.3">
      <c r="P234" s="35">
        <v>15.71</v>
      </c>
      <c r="Q234">
        <v>305</v>
      </c>
      <c r="R234" s="34">
        <f t="shared" si="6"/>
        <v>2.652852100648978E-2</v>
      </c>
    </row>
    <row r="235" spans="16:18" x14ac:dyDescent="0.3">
      <c r="P235" s="35">
        <v>15.73</v>
      </c>
      <c r="Q235">
        <v>305</v>
      </c>
      <c r="R235" s="34">
        <f t="shared" si="6"/>
        <v>2.6642377319822354E-2</v>
      </c>
    </row>
    <row r="236" spans="16:18" x14ac:dyDescent="0.3">
      <c r="P236" s="35">
        <v>15.74</v>
      </c>
      <c r="Q236">
        <v>305</v>
      </c>
      <c r="R236" s="34">
        <f t="shared" si="6"/>
        <v>2.6756233633154929E-2</v>
      </c>
    </row>
    <row r="237" spans="16:18" x14ac:dyDescent="0.3">
      <c r="P237" s="35">
        <v>15.77</v>
      </c>
      <c r="Q237">
        <v>305</v>
      </c>
      <c r="R237" s="34">
        <f t="shared" si="6"/>
        <v>2.6870089946487503E-2</v>
      </c>
    </row>
    <row r="238" spans="16:18" x14ac:dyDescent="0.3">
      <c r="P238" s="35">
        <v>15.78</v>
      </c>
      <c r="Q238">
        <v>305</v>
      </c>
      <c r="R238" s="34">
        <f t="shared" si="6"/>
        <v>2.6983946259820077E-2</v>
      </c>
    </row>
    <row r="239" spans="16:18" x14ac:dyDescent="0.3">
      <c r="P239" s="35">
        <v>15.78</v>
      </c>
      <c r="Q239">
        <v>305</v>
      </c>
      <c r="R239" s="34">
        <f t="shared" si="6"/>
        <v>2.7097802573152651E-2</v>
      </c>
    </row>
    <row r="240" spans="16:18" x14ac:dyDescent="0.3">
      <c r="P240" s="35">
        <v>15.79</v>
      </c>
      <c r="Q240">
        <v>305</v>
      </c>
      <c r="R240" s="34">
        <f t="shared" si="6"/>
        <v>2.7211658886485225E-2</v>
      </c>
    </row>
    <row r="241" spans="16:18" x14ac:dyDescent="0.3">
      <c r="P241" s="35">
        <v>15.79</v>
      </c>
      <c r="Q241">
        <v>305</v>
      </c>
      <c r="R241" s="34">
        <f t="shared" si="6"/>
        <v>2.7325515199817799E-2</v>
      </c>
    </row>
    <row r="242" spans="16:18" x14ac:dyDescent="0.3">
      <c r="P242" s="35">
        <v>15.8</v>
      </c>
      <c r="Q242">
        <v>305</v>
      </c>
      <c r="R242" s="34">
        <f t="shared" si="6"/>
        <v>2.7439371513150373E-2</v>
      </c>
    </row>
    <row r="243" spans="16:18" x14ac:dyDescent="0.3">
      <c r="P243" s="35">
        <v>15.81</v>
      </c>
      <c r="Q243">
        <v>305</v>
      </c>
      <c r="R243" s="34">
        <f t="shared" si="6"/>
        <v>2.7553227826482948E-2</v>
      </c>
    </row>
    <row r="244" spans="16:18" x14ac:dyDescent="0.3">
      <c r="P244" s="35">
        <v>15.81</v>
      </c>
      <c r="Q244">
        <v>305</v>
      </c>
      <c r="R244" s="34">
        <f t="shared" si="6"/>
        <v>2.7667084139815522E-2</v>
      </c>
    </row>
    <row r="245" spans="16:18" x14ac:dyDescent="0.3">
      <c r="P245" s="35">
        <v>15.82</v>
      </c>
      <c r="Q245">
        <v>305</v>
      </c>
      <c r="R245" s="34">
        <f t="shared" si="6"/>
        <v>2.7780940453148096E-2</v>
      </c>
    </row>
    <row r="246" spans="16:18" x14ac:dyDescent="0.3">
      <c r="P246" s="35">
        <v>15.83</v>
      </c>
      <c r="Q246">
        <v>305</v>
      </c>
      <c r="R246" s="34">
        <f t="shared" si="6"/>
        <v>2.789479676648067E-2</v>
      </c>
    </row>
    <row r="247" spans="16:18" x14ac:dyDescent="0.3">
      <c r="P247" s="35">
        <v>15.84</v>
      </c>
      <c r="Q247">
        <v>305</v>
      </c>
      <c r="R247" s="34">
        <f t="shared" si="6"/>
        <v>2.8008653079813244E-2</v>
      </c>
    </row>
    <row r="248" spans="16:18" x14ac:dyDescent="0.3">
      <c r="P248" s="35">
        <v>15.84</v>
      </c>
      <c r="Q248">
        <v>305</v>
      </c>
      <c r="R248" s="34">
        <f t="shared" si="6"/>
        <v>2.8122509393145818E-2</v>
      </c>
    </row>
    <row r="249" spans="16:18" x14ac:dyDescent="0.3">
      <c r="P249" s="35">
        <v>15.84</v>
      </c>
      <c r="Q249">
        <v>305</v>
      </c>
      <c r="R249" s="34">
        <f t="shared" si="6"/>
        <v>2.8236365706478393E-2</v>
      </c>
    </row>
    <row r="250" spans="16:18" x14ac:dyDescent="0.3">
      <c r="P250" s="35">
        <v>15.85</v>
      </c>
      <c r="Q250">
        <v>305</v>
      </c>
      <c r="R250" s="34">
        <f t="shared" si="6"/>
        <v>2.8350222019810967E-2</v>
      </c>
    </row>
    <row r="251" spans="16:18" x14ac:dyDescent="0.3">
      <c r="P251" s="35">
        <v>15.86</v>
      </c>
      <c r="Q251">
        <v>305</v>
      </c>
      <c r="R251" s="34">
        <f t="shared" si="6"/>
        <v>2.8464078333143541E-2</v>
      </c>
    </row>
    <row r="252" spans="16:18" x14ac:dyDescent="0.3">
      <c r="P252" s="35">
        <v>15.87</v>
      </c>
      <c r="Q252">
        <v>305</v>
      </c>
      <c r="R252" s="34">
        <f t="shared" si="6"/>
        <v>2.8577934646476115E-2</v>
      </c>
    </row>
    <row r="253" spans="16:18" x14ac:dyDescent="0.3">
      <c r="P253" s="35">
        <v>15.88</v>
      </c>
      <c r="Q253">
        <v>305</v>
      </c>
      <c r="R253" s="34">
        <f t="shared" si="6"/>
        <v>2.8691790959808689E-2</v>
      </c>
    </row>
    <row r="254" spans="16:18" x14ac:dyDescent="0.3">
      <c r="P254" s="35">
        <v>15.89</v>
      </c>
      <c r="Q254">
        <v>305</v>
      </c>
      <c r="R254" s="34">
        <f t="shared" si="6"/>
        <v>2.8805647273141263E-2</v>
      </c>
    </row>
    <row r="255" spans="16:18" x14ac:dyDescent="0.3">
      <c r="P255" s="35">
        <v>15.91</v>
      </c>
      <c r="Q255">
        <v>305</v>
      </c>
      <c r="R255" s="34">
        <f t="shared" si="6"/>
        <v>2.8919503586473837E-2</v>
      </c>
    </row>
    <row r="256" spans="16:18" x14ac:dyDescent="0.3">
      <c r="P256" s="35">
        <v>15.92</v>
      </c>
      <c r="Q256">
        <v>305</v>
      </c>
      <c r="R256" s="34">
        <f t="shared" si="6"/>
        <v>2.9033359899806412E-2</v>
      </c>
    </row>
    <row r="257" spans="16:18" x14ac:dyDescent="0.3">
      <c r="P257" s="35">
        <v>15.92</v>
      </c>
      <c r="Q257">
        <v>305</v>
      </c>
      <c r="R257" s="34">
        <f t="shared" si="6"/>
        <v>2.9147216213138986E-2</v>
      </c>
    </row>
    <row r="258" spans="16:18" x14ac:dyDescent="0.3">
      <c r="P258" s="35">
        <v>15.95</v>
      </c>
      <c r="Q258">
        <v>305</v>
      </c>
      <c r="R258" s="34">
        <f t="shared" si="6"/>
        <v>2.926107252647156E-2</v>
      </c>
    </row>
    <row r="259" spans="16:18" x14ac:dyDescent="0.3">
      <c r="P259" s="35">
        <v>15.97</v>
      </c>
      <c r="Q259">
        <v>305</v>
      </c>
      <c r="R259" s="34">
        <f t="shared" si="6"/>
        <v>2.9374928839804134E-2</v>
      </c>
    </row>
    <row r="260" spans="16:18" x14ac:dyDescent="0.3">
      <c r="P260" s="35">
        <v>15.97</v>
      </c>
      <c r="Q260">
        <v>305</v>
      </c>
      <c r="R260" s="34">
        <f t="shared" ref="R260:R323" si="7">R259+R$2</f>
        <v>2.9488785153136708E-2</v>
      </c>
    </row>
    <row r="261" spans="16:18" x14ac:dyDescent="0.3">
      <c r="P261" s="35">
        <v>15.97</v>
      </c>
      <c r="Q261">
        <v>305</v>
      </c>
      <c r="R261" s="34">
        <f t="shared" si="7"/>
        <v>2.9602641466469282E-2</v>
      </c>
    </row>
    <row r="262" spans="16:18" x14ac:dyDescent="0.3">
      <c r="P262" s="35">
        <v>15.97</v>
      </c>
      <c r="Q262">
        <v>305</v>
      </c>
      <c r="R262" s="34">
        <f t="shared" si="7"/>
        <v>2.9716497779801856E-2</v>
      </c>
    </row>
    <row r="263" spans="16:18" x14ac:dyDescent="0.3">
      <c r="P263" s="35">
        <v>15.97</v>
      </c>
      <c r="Q263">
        <v>305</v>
      </c>
      <c r="R263" s="34">
        <f t="shared" si="7"/>
        <v>2.9830354093134431E-2</v>
      </c>
    </row>
    <row r="264" spans="16:18" x14ac:dyDescent="0.3">
      <c r="P264" s="35">
        <v>15.98</v>
      </c>
      <c r="Q264">
        <v>305</v>
      </c>
      <c r="R264" s="34">
        <f t="shared" si="7"/>
        <v>2.9944210406467005E-2</v>
      </c>
    </row>
    <row r="265" spans="16:18" x14ac:dyDescent="0.3">
      <c r="P265" s="35">
        <v>15.98</v>
      </c>
      <c r="Q265">
        <v>305</v>
      </c>
      <c r="R265" s="34">
        <f t="shared" si="7"/>
        <v>3.0058066719799579E-2</v>
      </c>
    </row>
    <row r="266" spans="16:18" x14ac:dyDescent="0.3">
      <c r="P266" s="35">
        <v>16</v>
      </c>
      <c r="Q266">
        <v>305</v>
      </c>
      <c r="R266" s="34">
        <f t="shared" si="7"/>
        <v>3.0171923033132153E-2</v>
      </c>
    </row>
    <row r="267" spans="16:18" x14ac:dyDescent="0.3">
      <c r="P267" s="35">
        <v>16</v>
      </c>
      <c r="Q267">
        <v>305</v>
      </c>
      <c r="R267" s="34">
        <f t="shared" si="7"/>
        <v>3.0285779346464727E-2</v>
      </c>
    </row>
    <row r="268" spans="16:18" x14ac:dyDescent="0.3">
      <c r="P268" s="35">
        <v>16.02</v>
      </c>
      <c r="Q268">
        <v>305</v>
      </c>
      <c r="R268" s="34">
        <f t="shared" si="7"/>
        <v>3.0399635659797301E-2</v>
      </c>
    </row>
    <row r="269" spans="16:18" x14ac:dyDescent="0.3">
      <c r="P269" s="35">
        <v>16.03</v>
      </c>
      <c r="Q269">
        <v>305</v>
      </c>
      <c r="R269" s="34">
        <f t="shared" si="7"/>
        <v>3.0513491973129876E-2</v>
      </c>
    </row>
    <row r="270" spans="16:18" x14ac:dyDescent="0.3">
      <c r="P270" s="35">
        <v>16.05</v>
      </c>
      <c r="Q270">
        <v>305</v>
      </c>
      <c r="R270" s="34">
        <f t="shared" si="7"/>
        <v>3.062734828646245E-2</v>
      </c>
    </row>
    <row r="271" spans="16:18" x14ac:dyDescent="0.3">
      <c r="P271" s="35">
        <v>16.059999999999999</v>
      </c>
      <c r="Q271">
        <v>305</v>
      </c>
      <c r="R271" s="34">
        <f t="shared" si="7"/>
        <v>3.0741204599795024E-2</v>
      </c>
    </row>
    <row r="272" spans="16:18" x14ac:dyDescent="0.3">
      <c r="P272" s="35">
        <v>16.059999999999999</v>
      </c>
      <c r="Q272">
        <v>305</v>
      </c>
      <c r="R272" s="34">
        <f t="shared" si="7"/>
        <v>3.0855060913127598E-2</v>
      </c>
    </row>
    <row r="273" spans="16:18" x14ac:dyDescent="0.3">
      <c r="P273" s="35">
        <v>16.059999999999999</v>
      </c>
      <c r="Q273">
        <v>305</v>
      </c>
      <c r="R273" s="34">
        <f t="shared" si="7"/>
        <v>3.0968917226460172E-2</v>
      </c>
    </row>
    <row r="274" spans="16:18" x14ac:dyDescent="0.3">
      <c r="P274" s="35">
        <v>16.09</v>
      </c>
      <c r="Q274">
        <v>305</v>
      </c>
      <c r="R274" s="34">
        <f t="shared" si="7"/>
        <v>3.1082773539792746E-2</v>
      </c>
    </row>
    <row r="275" spans="16:18" x14ac:dyDescent="0.3">
      <c r="P275" s="35">
        <v>16.100000000000001</v>
      </c>
      <c r="Q275">
        <v>305</v>
      </c>
      <c r="R275" s="34">
        <f t="shared" si="7"/>
        <v>3.119662985312532E-2</v>
      </c>
    </row>
    <row r="276" spans="16:18" x14ac:dyDescent="0.3">
      <c r="P276" s="35">
        <v>16.100000000000001</v>
      </c>
      <c r="Q276">
        <v>305</v>
      </c>
      <c r="R276" s="34">
        <f t="shared" si="7"/>
        <v>3.1310486166457895E-2</v>
      </c>
    </row>
    <row r="277" spans="16:18" x14ac:dyDescent="0.3">
      <c r="P277" s="35">
        <v>16.14</v>
      </c>
      <c r="Q277">
        <v>305</v>
      </c>
      <c r="R277" s="34">
        <f t="shared" si="7"/>
        <v>3.1424342479790472E-2</v>
      </c>
    </row>
    <row r="278" spans="16:18" x14ac:dyDescent="0.3">
      <c r="P278" s="35">
        <v>16.149999999999999</v>
      </c>
      <c r="Q278">
        <v>305</v>
      </c>
      <c r="R278" s="34">
        <f t="shared" si="7"/>
        <v>3.153819879312305E-2</v>
      </c>
    </row>
    <row r="279" spans="16:18" x14ac:dyDescent="0.3">
      <c r="P279" s="35">
        <v>16.18</v>
      </c>
      <c r="Q279">
        <v>305</v>
      </c>
      <c r="R279" s="34">
        <f t="shared" si="7"/>
        <v>3.1652055106455627E-2</v>
      </c>
    </row>
    <row r="280" spans="16:18" x14ac:dyDescent="0.3">
      <c r="P280" s="35">
        <v>16.190000000000001</v>
      </c>
      <c r="Q280">
        <v>305</v>
      </c>
      <c r="R280" s="34">
        <f t="shared" si="7"/>
        <v>3.1765911419788205E-2</v>
      </c>
    </row>
    <row r="281" spans="16:18" x14ac:dyDescent="0.3">
      <c r="P281" s="35">
        <v>16.190000000000001</v>
      </c>
      <c r="Q281">
        <v>305</v>
      </c>
      <c r="R281" s="34">
        <f t="shared" si="7"/>
        <v>3.1879767733120783E-2</v>
      </c>
    </row>
    <row r="282" spans="16:18" x14ac:dyDescent="0.3">
      <c r="P282" s="35">
        <v>16.190000000000001</v>
      </c>
      <c r="Q282">
        <v>305</v>
      </c>
      <c r="R282" s="34">
        <f t="shared" si="7"/>
        <v>3.199362404645336E-2</v>
      </c>
    </row>
    <row r="283" spans="16:18" x14ac:dyDescent="0.3">
      <c r="P283" s="35">
        <v>16.190000000000001</v>
      </c>
      <c r="Q283">
        <v>305</v>
      </c>
      <c r="R283" s="34">
        <f t="shared" si="7"/>
        <v>3.2107480359785938E-2</v>
      </c>
    </row>
    <row r="284" spans="16:18" x14ac:dyDescent="0.3">
      <c r="P284" s="35">
        <v>16.21</v>
      </c>
      <c r="Q284">
        <v>305</v>
      </c>
      <c r="R284" s="34">
        <f t="shared" si="7"/>
        <v>3.2221336673118516E-2</v>
      </c>
    </row>
    <row r="285" spans="16:18" x14ac:dyDescent="0.3">
      <c r="P285" s="35">
        <v>16.21</v>
      </c>
      <c r="Q285">
        <v>305</v>
      </c>
      <c r="R285" s="34">
        <f t="shared" si="7"/>
        <v>3.2335192986451093E-2</v>
      </c>
    </row>
    <row r="286" spans="16:18" x14ac:dyDescent="0.3">
      <c r="P286" s="35">
        <v>16.22</v>
      </c>
      <c r="Q286">
        <v>305</v>
      </c>
      <c r="R286" s="34">
        <f t="shared" si="7"/>
        <v>3.2449049299783671E-2</v>
      </c>
    </row>
    <row r="287" spans="16:18" x14ac:dyDescent="0.3">
      <c r="P287" s="35">
        <v>16.23</v>
      </c>
      <c r="Q287">
        <v>305</v>
      </c>
      <c r="R287" s="34">
        <f t="shared" si="7"/>
        <v>3.2562905613116248E-2</v>
      </c>
    </row>
    <row r="288" spans="16:18" x14ac:dyDescent="0.3">
      <c r="P288" s="35">
        <v>16.23</v>
      </c>
      <c r="Q288">
        <v>305</v>
      </c>
      <c r="R288" s="34">
        <f t="shared" si="7"/>
        <v>3.2676761926448826E-2</v>
      </c>
    </row>
    <row r="289" spans="16:18" x14ac:dyDescent="0.3">
      <c r="P289" s="35">
        <v>16.25</v>
      </c>
      <c r="Q289">
        <v>305</v>
      </c>
      <c r="R289" s="34">
        <f t="shared" si="7"/>
        <v>3.2790618239781404E-2</v>
      </c>
    </row>
    <row r="290" spans="16:18" x14ac:dyDescent="0.3">
      <c r="P290" s="35">
        <v>16.27</v>
      </c>
      <c r="Q290">
        <v>305</v>
      </c>
      <c r="R290" s="34">
        <f t="shared" si="7"/>
        <v>3.2904474553113981E-2</v>
      </c>
    </row>
    <row r="291" spans="16:18" x14ac:dyDescent="0.3">
      <c r="P291" s="35">
        <v>16.28</v>
      </c>
      <c r="Q291">
        <v>305</v>
      </c>
      <c r="R291" s="34">
        <f t="shared" si="7"/>
        <v>3.3018330866446559E-2</v>
      </c>
    </row>
    <row r="292" spans="16:18" x14ac:dyDescent="0.3">
      <c r="P292" s="35">
        <v>16.28</v>
      </c>
      <c r="Q292">
        <v>305</v>
      </c>
      <c r="R292" s="34">
        <f t="shared" si="7"/>
        <v>3.3132187179779136E-2</v>
      </c>
    </row>
    <row r="293" spans="16:18" x14ac:dyDescent="0.3">
      <c r="P293" s="35">
        <v>16.3</v>
      </c>
      <c r="Q293">
        <v>305</v>
      </c>
      <c r="R293" s="34">
        <f t="shared" si="7"/>
        <v>3.3246043493111714E-2</v>
      </c>
    </row>
    <row r="294" spans="16:18" x14ac:dyDescent="0.3">
      <c r="P294" s="35">
        <v>16.32</v>
      </c>
      <c r="Q294">
        <v>305</v>
      </c>
      <c r="R294" s="34">
        <f t="shared" si="7"/>
        <v>3.3359899806444292E-2</v>
      </c>
    </row>
    <row r="295" spans="16:18" x14ac:dyDescent="0.3">
      <c r="P295" s="35">
        <v>16.32</v>
      </c>
      <c r="Q295">
        <v>305</v>
      </c>
      <c r="R295" s="34">
        <f t="shared" si="7"/>
        <v>3.3473756119776869E-2</v>
      </c>
    </row>
    <row r="296" spans="16:18" x14ac:dyDescent="0.3">
      <c r="P296" s="35">
        <v>16.329999999999998</v>
      </c>
      <c r="Q296">
        <v>305</v>
      </c>
      <c r="R296" s="34">
        <f t="shared" si="7"/>
        <v>3.3587612433109447E-2</v>
      </c>
    </row>
    <row r="297" spans="16:18" x14ac:dyDescent="0.3">
      <c r="P297" s="35">
        <v>16.329999999999998</v>
      </c>
      <c r="Q297">
        <v>305</v>
      </c>
      <c r="R297" s="34">
        <f t="shared" si="7"/>
        <v>3.3701468746442025E-2</v>
      </c>
    </row>
    <row r="298" spans="16:18" x14ac:dyDescent="0.3">
      <c r="P298" s="35">
        <v>16.329999999999998</v>
      </c>
      <c r="Q298">
        <v>305</v>
      </c>
      <c r="R298" s="34">
        <f t="shared" si="7"/>
        <v>3.3815325059774602E-2</v>
      </c>
    </row>
    <row r="299" spans="16:18" x14ac:dyDescent="0.3">
      <c r="P299" s="35">
        <v>16.34</v>
      </c>
      <c r="Q299">
        <v>305</v>
      </c>
      <c r="R299" s="34">
        <f t="shared" si="7"/>
        <v>3.392918137310718E-2</v>
      </c>
    </row>
    <row r="300" spans="16:18" x14ac:dyDescent="0.3">
      <c r="P300" s="35">
        <v>16.36</v>
      </c>
      <c r="Q300">
        <v>305</v>
      </c>
      <c r="R300" s="34">
        <f t="shared" si="7"/>
        <v>3.4043037686439757E-2</v>
      </c>
    </row>
    <row r="301" spans="16:18" x14ac:dyDescent="0.3">
      <c r="P301" s="35">
        <v>16.37</v>
      </c>
      <c r="Q301">
        <v>305</v>
      </c>
      <c r="R301" s="34">
        <f t="shared" si="7"/>
        <v>3.4156893999772335E-2</v>
      </c>
    </row>
    <row r="302" spans="16:18" x14ac:dyDescent="0.3">
      <c r="P302" s="35">
        <v>16.39</v>
      </c>
      <c r="Q302">
        <v>305</v>
      </c>
      <c r="R302" s="34">
        <f t="shared" si="7"/>
        <v>3.4270750313104913E-2</v>
      </c>
    </row>
    <row r="303" spans="16:18" x14ac:dyDescent="0.3">
      <c r="P303" s="35">
        <v>16.39</v>
      </c>
      <c r="Q303">
        <v>305</v>
      </c>
      <c r="R303" s="34">
        <f t="shared" si="7"/>
        <v>3.438460662643749E-2</v>
      </c>
    </row>
    <row r="304" spans="16:18" x14ac:dyDescent="0.3">
      <c r="P304" s="35">
        <v>16.41</v>
      </c>
      <c r="Q304">
        <v>305</v>
      </c>
      <c r="R304" s="34">
        <f t="shared" si="7"/>
        <v>3.4498462939770068E-2</v>
      </c>
    </row>
    <row r="305" spans="16:18" x14ac:dyDescent="0.3">
      <c r="P305" s="35">
        <v>16.420000000000002</v>
      </c>
      <c r="Q305">
        <v>305</v>
      </c>
      <c r="R305" s="34">
        <f t="shared" si="7"/>
        <v>3.4612319253102646E-2</v>
      </c>
    </row>
    <row r="306" spans="16:18" x14ac:dyDescent="0.3">
      <c r="P306" s="35">
        <v>16.420000000000002</v>
      </c>
      <c r="Q306">
        <v>305</v>
      </c>
      <c r="R306" s="34">
        <f t="shared" si="7"/>
        <v>3.4726175566435223E-2</v>
      </c>
    </row>
    <row r="307" spans="16:18" x14ac:dyDescent="0.3">
      <c r="P307" s="35">
        <v>16.420000000000002</v>
      </c>
      <c r="Q307">
        <v>305</v>
      </c>
      <c r="R307" s="34">
        <f t="shared" si="7"/>
        <v>3.4840031879767801E-2</v>
      </c>
    </row>
    <row r="308" spans="16:18" x14ac:dyDescent="0.3">
      <c r="P308" s="35">
        <v>16.420000000000002</v>
      </c>
      <c r="Q308">
        <v>305</v>
      </c>
      <c r="R308" s="34">
        <f t="shared" si="7"/>
        <v>3.4953888193100378E-2</v>
      </c>
    </row>
    <row r="309" spans="16:18" x14ac:dyDescent="0.3">
      <c r="P309" s="35">
        <v>16.43</v>
      </c>
      <c r="Q309">
        <v>305</v>
      </c>
      <c r="R309" s="34">
        <f t="shared" si="7"/>
        <v>3.5067744506432956E-2</v>
      </c>
    </row>
    <row r="310" spans="16:18" x14ac:dyDescent="0.3">
      <c r="P310" s="35">
        <v>16.440000000000001</v>
      </c>
      <c r="Q310">
        <v>305</v>
      </c>
      <c r="R310" s="34">
        <f t="shared" si="7"/>
        <v>3.5181600819765534E-2</v>
      </c>
    </row>
    <row r="311" spans="16:18" x14ac:dyDescent="0.3">
      <c r="P311" s="35">
        <v>16.46</v>
      </c>
      <c r="Q311">
        <v>305</v>
      </c>
      <c r="R311" s="34">
        <f t="shared" si="7"/>
        <v>3.5295457133098111E-2</v>
      </c>
    </row>
    <row r="312" spans="16:18" x14ac:dyDescent="0.3">
      <c r="P312" s="35">
        <v>16.46</v>
      </c>
      <c r="Q312">
        <v>305</v>
      </c>
      <c r="R312" s="34">
        <f t="shared" si="7"/>
        <v>3.5409313446430689E-2</v>
      </c>
    </row>
    <row r="313" spans="16:18" x14ac:dyDescent="0.3">
      <c r="P313" s="35">
        <v>16.46</v>
      </c>
      <c r="Q313">
        <v>305</v>
      </c>
      <c r="R313" s="34">
        <f t="shared" si="7"/>
        <v>3.5523169759763266E-2</v>
      </c>
    </row>
    <row r="314" spans="16:18" x14ac:dyDescent="0.3">
      <c r="P314" s="35">
        <v>16.47</v>
      </c>
      <c r="Q314">
        <v>305</v>
      </c>
      <c r="R314" s="34">
        <f t="shared" si="7"/>
        <v>3.5637026073095844E-2</v>
      </c>
    </row>
    <row r="315" spans="16:18" x14ac:dyDescent="0.3">
      <c r="P315" s="35">
        <v>16.47</v>
      </c>
      <c r="Q315">
        <v>305</v>
      </c>
      <c r="R315" s="34">
        <f t="shared" si="7"/>
        <v>3.5750882386428422E-2</v>
      </c>
    </row>
    <row r="316" spans="16:18" x14ac:dyDescent="0.3">
      <c r="P316" s="35">
        <v>16.48</v>
      </c>
      <c r="Q316">
        <v>305</v>
      </c>
      <c r="R316" s="34">
        <f t="shared" si="7"/>
        <v>3.5864738699760999E-2</v>
      </c>
    </row>
    <row r="317" spans="16:18" x14ac:dyDescent="0.3">
      <c r="P317" s="35">
        <v>16.489999999999998</v>
      </c>
      <c r="Q317">
        <v>305</v>
      </c>
      <c r="R317" s="34">
        <f t="shared" si="7"/>
        <v>3.5978595013093577E-2</v>
      </c>
    </row>
    <row r="318" spans="16:18" x14ac:dyDescent="0.3">
      <c r="P318" s="35">
        <v>16.489999999999998</v>
      </c>
      <c r="Q318">
        <v>305</v>
      </c>
      <c r="R318" s="34">
        <f t="shared" si="7"/>
        <v>3.6092451326426155E-2</v>
      </c>
    </row>
    <row r="319" spans="16:18" x14ac:dyDescent="0.3">
      <c r="P319" s="35">
        <v>16.489999999999998</v>
      </c>
      <c r="Q319">
        <v>305</v>
      </c>
      <c r="R319" s="34">
        <f t="shared" si="7"/>
        <v>3.6206307639758732E-2</v>
      </c>
    </row>
    <row r="320" spans="16:18" x14ac:dyDescent="0.3">
      <c r="P320" s="35">
        <v>16.5</v>
      </c>
      <c r="Q320">
        <v>305</v>
      </c>
      <c r="R320" s="34">
        <f t="shared" si="7"/>
        <v>3.632016395309131E-2</v>
      </c>
    </row>
    <row r="321" spans="16:18" x14ac:dyDescent="0.3">
      <c r="P321" s="35">
        <v>16.510000000000002</v>
      </c>
      <c r="Q321">
        <v>305</v>
      </c>
      <c r="R321" s="34">
        <f t="shared" si="7"/>
        <v>3.6434020266423887E-2</v>
      </c>
    </row>
    <row r="322" spans="16:18" x14ac:dyDescent="0.3">
      <c r="P322" s="35">
        <v>16.510000000000002</v>
      </c>
      <c r="Q322">
        <v>305</v>
      </c>
      <c r="R322" s="34">
        <f t="shared" si="7"/>
        <v>3.6547876579756465E-2</v>
      </c>
    </row>
    <row r="323" spans="16:18" x14ac:dyDescent="0.3">
      <c r="P323" s="35">
        <v>16.52</v>
      </c>
      <c r="Q323">
        <v>305</v>
      </c>
      <c r="R323" s="34">
        <f t="shared" si="7"/>
        <v>3.6661732893089043E-2</v>
      </c>
    </row>
    <row r="324" spans="16:18" x14ac:dyDescent="0.3">
      <c r="P324" s="35">
        <v>16.52</v>
      </c>
      <c r="Q324">
        <v>305</v>
      </c>
      <c r="R324" s="34">
        <f t="shared" ref="R324:R387" si="8">R323+R$2</f>
        <v>3.677558920642162E-2</v>
      </c>
    </row>
    <row r="325" spans="16:18" x14ac:dyDescent="0.3">
      <c r="P325" s="35">
        <v>16.52</v>
      </c>
      <c r="Q325">
        <v>305</v>
      </c>
      <c r="R325" s="34">
        <f t="shared" si="8"/>
        <v>3.6889445519754198E-2</v>
      </c>
    </row>
    <row r="326" spans="16:18" x14ac:dyDescent="0.3">
      <c r="P326" s="35">
        <v>16.53</v>
      </c>
      <c r="Q326">
        <v>305</v>
      </c>
      <c r="R326" s="34">
        <f t="shared" si="8"/>
        <v>3.7003301833086776E-2</v>
      </c>
    </row>
    <row r="327" spans="16:18" x14ac:dyDescent="0.3">
      <c r="P327" s="35">
        <v>16.54</v>
      </c>
      <c r="Q327">
        <v>305</v>
      </c>
      <c r="R327" s="34">
        <f t="shared" si="8"/>
        <v>3.7117158146419353E-2</v>
      </c>
    </row>
    <row r="328" spans="16:18" x14ac:dyDescent="0.3">
      <c r="P328" s="35">
        <v>16.54</v>
      </c>
      <c r="Q328">
        <v>305</v>
      </c>
      <c r="R328" s="34">
        <f t="shared" si="8"/>
        <v>3.7231014459751931E-2</v>
      </c>
    </row>
    <row r="329" spans="16:18" x14ac:dyDescent="0.3">
      <c r="P329" s="35">
        <v>16.54</v>
      </c>
      <c r="Q329">
        <v>305</v>
      </c>
      <c r="R329" s="34">
        <f t="shared" si="8"/>
        <v>3.7344870773084508E-2</v>
      </c>
    </row>
    <row r="330" spans="16:18" x14ac:dyDescent="0.3">
      <c r="P330" s="35">
        <v>16.55</v>
      </c>
      <c r="Q330">
        <v>305</v>
      </c>
      <c r="R330" s="34">
        <f t="shared" si="8"/>
        <v>3.7458727086417086E-2</v>
      </c>
    </row>
    <row r="331" spans="16:18" x14ac:dyDescent="0.3">
      <c r="P331" s="35">
        <v>16.55</v>
      </c>
      <c r="Q331">
        <v>305</v>
      </c>
      <c r="R331" s="34">
        <f t="shared" si="8"/>
        <v>3.7572583399749664E-2</v>
      </c>
    </row>
    <row r="332" spans="16:18" x14ac:dyDescent="0.3">
      <c r="P332" s="35">
        <v>16.55</v>
      </c>
      <c r="Q332">
        <v>305</v>
      </c>
      <c r="R332" s="34">
        <f t="shared" si="8"/>
        <v>3.7686439713082241E-2</v>
      </c>
    </row>
    <row r="333" spans="16:18" x14ac:dyDescent="0.3">
      <c r="P333" s="35">
        <v>16.559999999999999</v>
      </c>
      <c r="Q333">
        <v>305</v>
      </c>
      <c r="R333" s="34">
        <f t="shared" si="8"/>
        <v>3.7800296026414819E-2</v>
      </c>
    </row>
    <row r="334" spans="16:18" x14ac:dyDescent="0.3">
      <c r="P334" s="35">
        <v>16.579999999999998</v>
      </c>
      <c r="Q334">
        <v>305</v>
      </c>
      <c r="R334" s="34">
        <f t="shared" si="8"/>
        <v>3.7914152339747396E-2</v>
      </c>
    </row>
    <row r="335" spans="16:18" x14ac:dyDescent="0.3">
      <c r="P335" s="35">
        <v>16.579999999999998</v>
      </c>
      <c r="Q335">
        <v>305</v>
      </c>
      <c r="R335" s="34">
        <f t="shared" si="8"/>
        <v>3.8028008653079974E-2</v>
      </c>
    </row>
    <row r="336" spans="16:18" x14ac:dyDescent="0.3">
      <c r="P336" s="35">
        <v>16.59</v>
      </c>
      <c r="Q336">
        <v>305</v>
      </c>
      <c r="R336" s="34">
        <f t="shared" si="8"/>
        <v>3.8141864966412552E-2</v>
      </c>
    </row>
    <row r="337" spans="16:18" x14ac:dyDescent="0.3">
      <c r="P337" s="35">
        <v>16.59</v>
      </c>
      <c r="Q337">
        <v>305</v>
      </c>
      <c r="R337" s="34">
        <f t="shared" si="8"/>
        <v>3.8255721279745129E-2</v>
      </c>
    </row>
    <row r="338" spans="16:18" x14ac:dyDescent="0.3">
      <c r="P338" s="35">
        <v>16.59</v>
      </c>
      <c r="Q338">
        <v>305</v>
      </c>
      <c r="R338" s="34">
        <f t="shared" si="8"/>
        <v>3.8369577593077707E-2</v>
      </c>
    </row>
    <row r="339" spans="16:18" x14ac:dyDescent="0.3">
      <c r="P339" s="35">
        <v>16.59</v>
      </c>
      <c r="Q339">
        <v>305</v>
      </c>
      <c r="R339" s="34">
        <f t="shared" si="8"/>
        <v>3.8483433906410285E-2</v>
      </c>
    </row>
    <row r="340" spans="16:18" x14ac:dyDescent="0.3">
      <c r="P340" s="35">
        <v>16.600000000000001</v>
      </c>
      <c r="Q340">
        <v>305</v>
      </c>
      <c r="R340" s="34">
        <f t="shared" si="8"/>
        <v>3.8597290219742862E-2</v>
      </c>
    </row>
    <row r="341" spans="16:18" x14ac:dyDescent="0.3">
      <c r="P341" s="35">
        <v>16.62</v>
      </c>
      <c r="Q341">
        <v>305</v>
      </c>
      <c r="R341" s="34">
        <f t="shared" si="8"/>
        <v>3.871114653307544E-2</v>
      </c>
    </row>
    <row r="342" spans="16:18" x14ac:dyDescent="0.3">
      <c r="P342" s="35">
        <v>16.63</v>
      </c>
      <c r="Q342">
        <v>305</v>
      </c>
      <c r="R342" s="34">
        <f t="shared" si="8"/>
        <v>3.8825002846408017E-2</v>
      </c>
    </row>
    <row r="343" spans="16:18" x14ac:dyDescent="0.3">
      <c r="P343" s="35">
        <v>16.63</v>
      </c>
      <c r="Q343">
        <v>305</v>
      </c>
      <c r="R343" s="34">
        <f t="shared" si="8"/>
        <v>3.8938859159740595E-2</v>
      </c>
    </row>
    <row r="344" spans="16:18" x14ac:dyDescent="0.3">
      <c r="P344" s="35">
        <v>16.63</v>
      </c>
      <c r="Q344">
        <v>305</v>
      </c>
      <c r="R344" s="34">
        <f t="shared" si="8"/>
        <v>3.9052715473073173E-2</v>
      </c>
    </row>
    <row r="345" spans="16:18" x14ac:dyDescent="0.3">
      <c r="P345" s="35">
        <v>16.64</v>
      </c>
      <c r="Q345">
        <v>305</v>
      </c>
      <c r="R345" s="34">
        <f t="shared" si="8"/>
        <v>3.916657178640575E-2</v>
      </c>
    </row>
    <row r="346" spans="16:18" x14ac:dyDescent="0.3">
      <c r="P346" s="35">
        <v>16.64</v>
      </c>
      <c r="Q346">
        <v>305</v>
      </c>
      <c r="R346" s="34">
        <f t="shared" si="8"/>
        <v>3.9280428099738328E-2</v>
      </c>
    </row>
    <row r="347" spans="16:18" x14ac:dyDescent="0.3">
      <c r="P347" s="35">
        <v>16.649999999999999</v>
      </c>
      <c r="Q347">
        <v>305</v>
      </c>
      <c r="R347" s="34">
        <f t="shared" si="8"/>
        <v>3.9394284413070906E-2</v>
      </c>
    </row>
    <row r="348" spans="16:18" x14ac:dyDescent="0.3">
      <c r="P348" s="35">
        <v>16.66</v>
      </c>
      <c r="Q348">
        <v>305</v>
      </c>
      <c r="R348" s="34">
        <f t="shared" si="8"/>
        <v>3.9508140726403483E-2</v>
      </c>
    </row>
    <row r="349" spans="16:18" x14ac:dyDescent="0.3">
      <c r="P349" s="35">
        <v>16.670000000000002</v>
      </c>
      <c r="Q349">
        <v>305</v>
      </c>
      <c r="R349" s="34">
        <f t="shared" si="8"/>
        <v>3.9621997039736061E-2</v>
      </c>
    </row>
    <row r="350" spans="16:18" x14ac:dyDescent="0.3">
      <c r="P350" s="35">
        <v>16.670000000000002</v>
      </c>
      <c r="Q350">
        <v>305</v>
      </c>
      <c r="R350" s="34">
        <f t="shared" si="8"/>
        <v>3.9735853353068638E-2</v>
      </c>
    </row>
    <row r="351" spans="16:18" x14ac:dyDescent="0.3">
      <c r="P351" s="35">
        <v>16.670000000000002</v>
      </c>
      <c r="Q351">
        <v>305</v>
      </c>
      <c r="R351" s="34">
        <f t="shared" si="8"/>
        <v>3.9849709666401216E-2</v>
      </c>
    </row>
    <row r="352" spans="16:18" x14ac:dyDescent="0.3">
      <c r="P352" s="35">
        <v>16.670000000000002</v>
      </c>
      <c r="Q352">
        <v>305</v>
      </c>
      <c r="R352" s="34">
        <f t="shared" si="8"/>
        <v>3.9963565979733794E-2</v>
      </c>
    </row>
    <row r="353" spans="16:18" x14ac:dyDescent="0.3">
      <c r="P353" s="35">
        <v>16.68</v>
      </c>
      <c r="Q353">
        <v>305</v>
      </c>
      <c r="R353" s="34">
        <f t="shared" si="8"/>
        <v>4.0077422293066371E-2</v>
      </c>
    </row>
    <row r="354" spans="16:18" x14ac:dyDescent="0.3">
      <c r="P354" s="35">
        <v>16.68</v>
      </c>
      <c r="Q354">
        <v>305</v>
      </c>
      <c r="R354" s="34">
        <f t="shared" si="8"/>
        <v>4.0191278606398949E-2</v>
      </c>
    </row>
    <row r="355" spans="16:18" x14ac:dyDescent="0.3">
      <c r="P355" s="35">
        <v>16.68</v>
      </c>
      <c r="Q355">
        <v>305</v>
      </c>
      <c r="R355" s="34">
        <f t="shared" si="8"/>
        <v>4.0305134919731526E-2</v>
      </c>
    </row>
    <row r="356" spans="16:18" x14ac:dyDescent="0.3">
      <c r="P356" s="35">
        <v>16.68</v>
      </c>
      <c r="Q356">
        <v>305</v>
      </c>
      <c r="R356" s="34">
        <f t="shared" si="8"/>
        <v>4.0418991233064104E-2</v>
      </c>
    </row>
    <row r="357" spans="16:18" x14ac:dyDescent="0.3">
      <c r="P357" s="35">
        <v>16.7</v>
      </c>
      <c r="Q357">
        <v>305</v>
      </c>
      <c r="R357" s="34">
        <f t="shared" si="8"/>
        <v>4.0532847546396682E-2</v>
      </c>
    </row>
    <row r="358" spans="16:18" x14ac:dyDescent="0.3">
      <c r="P358" s="35">
        <v>16.7</v>
      </c>
      <c r="Q358">
        <v>305</v>
      </c>
      <c r="R358" s="34">
        <f t="shared" si="8"/>
        <v>4.0646703859729259E-2</v>
      </c>
    </row>
    <row r="359" spans="16:18" x14ac:dyDescent="0.3">
      <c r="P359" s="35">
        <v>16.71</v>
      </c>
      <c r="Q359">
        <v>305</v>
      </c>
      <c r="R359" s="34">
        <f t="shared" si="8"/>
        <v>4.0760560173061837E-2</v>
      </c>
    </row>
    <row r="360" spans="16:18" x14ac:dyDescent="0.3">
      <c r="P360" s="35">
        <v>16.71</v>
      </c>
      <c r="Q360">
        <v>305</v>
      </c>
      <c r="R360" s="34">
        <f t="shared" si="8"/>
        <v>4.0874416486394415E-2</v>
      </c>
    </row>
    <row r="361" spans="16:18" x14ac:dyDescent="0.3">
      <c r="P361" s="35">
        <v>16.72</v>
      </c>
      <c r="Q361">
        <v>305</v>
      </c>
      <c r="R361" s="34">
        <f t="shared" si="8"/>
        <v>4.0988272799726992E-2</v>
      </c>
    </row>
    <row r="362" spans="16:18" x14ac:dyDescent="0.3">
      <c r="P362" s="35">
        <v>16.739999999999998</v>
      </c>
      <c r="Q362">
        <v>305</v>
      </c>
      <c r="R362" s="34">
        <f t="shared" si="8"/>
        <v>4.110212911305957E-2</v>
      </c>
    </row>
    <row r="363" spans="16:18" x14ac:dyDescent="0.3">
      <c r="P363" s="35">
        <v>16.75</v>
      </c>
      <c r="Q363">
        <v>305</v>
      </c>
      <c r="R363" s="34">
        <f t="shared" si="8"/>
        <v>4.1215985426392147E-2</v>
      </c>
    </row>
    <row r="364" spans="16:18" x14ac:dyDescent="0.3">
      <c r="P364" s="35">
        <v>16.760000000000002</v>
      </c>
      <c r="Q364">
        <v>305</v>
      </c>
      <c r="R364" s="34">
        <f t="shared" si="8"/>
        <v>4.1329841739724725E-2</v>
      </c>
    </row>
    <row r="365" spans="16:18" x14ac:dyDescent="0.3">
      <c r="P365" s="35">
        <v>16.760000000000002</v>
      </c>
      <c r="Q365">
        <v>305</v>
      </c>
      <c r="R365" s="34">
        <f t="shared" si="8"/>
        <v>4.1443698053057303E-2</v>
      </c>
    </row>
    <row r="366" spans="16:18" x14ac:dyDescent="0.3">
      <c r="P366" s="35">
        <v>16.78</v>
      </c>
      <c r="Q366">
        <v>305</v>
      </c>
      <c r="R366" s="34">
        <f t="shared" si="8"/>
        <v>4.155755436638988E-2</v>
      </c>
    </row>
    <row r="367" spans="16:18" x14ac:dyDescent="0.3">
      <c r="P367" s="35">
        <v>16.79</v>
      </c>
      <c r="Q367">
        <v>305</v>
      </c>
      <c r="R367" s="34">
        <f t="shared" si="8"/>
        <v>4.1671410679722458E-2</v>
      </c>
    </row>
    <row r="368" spans="16:18" x14ac:dyDescent="0.3">
      <c r="P368" s="35">
        <v>16.82</v>
      </c>
      <c r="Q368">
        <v>305</v>
      </c>
      <c r="R368" s="34">
        <f t="shared" si="8"/>
        <v>4.1785266993055036E-2</v>
      </c>
    </row>
    <row r="369" spans="16:18" x14ac:dyDescent="0.3">
      <c r="P369" s="35">
        <v>16.82</v>
      </c>
      <c r="Q369">
        <v>305</v>
      </c>
      <c r="R369" s="34">
        <f t="shared" si="8"/>
        <v>4.1899123306387613E-2</v>
      </c>
    </row>
    <row r="370" spans="16:18" x14ac:dyDescent="0.3">
      <c r="P370" s="35">
        <v>16.82</v>
      </c>
      <c r="Q370">
        <v>305</v>
      </c>
      <c r="R370" s="34">
        <f t="shared" si="8"/>
        <v>4.2012979619720191E-2</v>
      </c>
    </row>
    <row r="371" spans="16:18" x14ac:dyDescent="0.3">
      <c r="P371" s="35">
        <v>16.829999999999998</v>
      </c>
      <c r="Q371">
        <v>305</v>
      </c>
      <c r="R371" s="34">
        <f t="shared" si="8"/>
        <v>4.2126835933052768E-2</v>
      </c>
    </row>
    <row r="372" spans="16:18" x14ac:dyDescent="0.3">
      <c r="P372" s="35">
        <v>16.84</v>
      </c>
      <c r="Q372">
        <v>305</v>
      </c>
      <c r="R372" s="34">
        <f t="shared" si="8"/>
        <v>4.2240692246385346E-2</v>
      </c>
    </row>
    <row r="373" spans="16:18" x14ac:dyDescent="0.3">
      <c r="P373" s="35">
        <v>16.850000000000001</v>
      </c>
      <c r="Q373">
        <v>305</v>
      </c>
      <c r="R373" s="34">
        <f t="shared" si="8"/>
        <v>4.2354548559717924E-2</v>
      </c>
    </row>
    <row r="374" spans="16:18" x14ac:dyDescent="0.3">
      <c r="P374" s="35">
        <v>16.86</v>
      </c>
      <c r="Q374">
        <v>305</v>
      </c>
      <c r="R374" s="34">
        <f t="shared" si="8"/>
        <v>4.2468404873050501E-2</v>
      </c>
    </row>
    <row r="375" spans="16:18" x14ac:dyDescent="0.3">
      <c r="P375" s="35">
        <v>16.86</v>
      </c>
      <c r="Q375">
        <v>305</v>
      </c>
      <c r="R375" s="34">
        <f t="shared" si="8"/>
        <v>4.2582261186383079E-2</v>
      </c>
    </row>
    <row r="376" spans="16:18" x14ac:dyDescent="0.3">
      <c r="P376" s="35">
        <v>16.86</v>
      </c>
      <c r="Q376">
        <v>305</v>
      </c>
      <c r="R376" s="34">
        <f t="shared" si="8"/>
        <v>4.2696117499715656E-2</v>
      </c>
    </row>
    <row r="377" spans="16:18" x14ac:dyDescent="0.3">
      <c r="P377" s="35">
        <v>16.87</v>
      </c>
      <c r="Q377">
        <v>305</v>
      </c>
      <c r="R377" s="34">
        <f t="shared" si="8"/>
        <v>4.2809973813048234E-2</v>
      </c>
    </row>
    <row r="378" spans="16:18" x14ac:dyDescent="0.3">
      <c r="P378" s="35">
        <v>16.87</v>
      </c>
      <c r="Q378">
        <v>305</v>
      </c>
      <c r="R378" s="34">
        <f t="shared" si="8"/>
        <v>4.2923830126380812E-2</v>
      </c>
    </row>
    <row r="379" spans="16:18" x14ac:dyDescent="0.3">
      <c r="P379" s="35">
        <v>16.88</v>
      </c>
      <c r="Q379">
        <v>305</v>
      </c>
      <c r="R379" s="34">
        <f t="shared" si="8"/>
        <v>4.3037686439713389E-2</v>
      </c>
    </row>
    <row r="380" spans="16:18" x14ac:dyDescent="0.3">
      <c r="P380" s="35">
        <v>16.89</v>
      </c>
      <c r="Q380">
        <v>305</v>
      </c>
      <c r="R380" s="34">
        <f t="shared" si="8"/>
        <v>4.3151542753045967E-2</v>
      </c>
    </row>
    <row r="381" spans="16:18" x14ac:dyDescent="0.3">
      <c r="P381" s="35">
        <v>16.89</v>
      </c>
      <c r="Q381">
        <v>305</v>
      </c>
      <c r="R381" s="34">
        <f t="shared" si="8"/>
        <v>4.3265399066378545E-2</v>
      </c>
    </row>
    <row r="382" spans="16:18" x14ac:dyDescent="0.3">
      <c r="P382" s="35">
        <v>16.89</v>
      </c>
      <c r="Q382">
        <v>305</v>
      </c>
      <c r="R382" s="34">
        <f t="shared" si="8"/>
        <v>4.3379255379711122E-2</v>
      </c>
    </row>
    <row r="383" spans="16:18" x14ac:dyDescent="0.3">
      <c r="P383" s="35">
        <v>16.89</v>
      </c>
      <c r="Q383">
        <v>305</v>
      </c>
      <c r="R383" s="34">
        <f t="shared" si="8"/>
        <v>4.34931116930437E-2</v>
      </c>
    </row>
    <row r="384" spans="16:18" x14ac:dyDescent="0.3">
      <c r="P384" s="35">
        <v>16.899999999999999</v>
      </c>
      <c r="Q384">
        <v>305</v>
      </c>
      <c r="R384" s="34">
        <f t="shared" si="8"/>
        <v>4.3606968006376277E-2</v>
      </c>
    </row>
    <row r="385" spans="16:18" x14ac:dyDescent="0.3">
      <c r="P385" s="35">
        <v>16.899999999999999</v>
      </c>
      <c r="Q385">
        <v>305</v>
      </c>
      <c r="R385" s="34">
        <f t="shared" si="8"/>
        <v>4.3720824319708855E-2</v>
      </c>
    </row>
    <row r="386" spans="16:18" x14ac:dyDescent="0.3">
      <c r="P386" s="35">
        <v>16.920000000000002</v>
      </c>
      <c r="Q386">
        <v>305</v>
      </c>
      <c r="R386" s="34">
        <f t="shared" si="8"/>
        <v>4.3834680633041433E-2</v>
      </c>
    </row>
    <row r="387" spans="16:18" x14ac:dyDescent="0.3">
      <c r="P387" s="35">
        <v>16.93</v>
      </c>
      <c r="Q387">
        <v>305</v>
      </c>
      <c r="R387" s="34">
        <f t="shared" si="8"/>
        <v>4.394853694637401E-2</v>
      </c>
    </row>
    <row r="388" spans="16:18" x14ac:dyDescent="0.3">
      <c r="P388" s="35">
        <v>16.93</v>
      </c>
      <c r="Q388">
        <v>305</v>
      </c>
      <c r="R388" s="34">
        <f t="shared" ref="R388:R451" si="9">R387+R$2</f>
        <v>4.4062393259706588E-2</v>
      </c>
    </row>
    <row r="389" spans="16:18" x14ac:dyDescent="0.3">
      <c r="P389" s="35">
        <v>16.940000000000001</v>
      </c>
      <c r="Q389">
        <v>305</v>
      </c>
      <c r="R389" s="34">
        <f t="shared" si="9"/>
        <v>4.4176249573039165E-2</v>
      </c>
    </row>
    <row r="390" spans="16:18" x14ac:dyDescent="0.3">
      <c r="P390" s="35">
        <v>16.95</v>
      </c>
      <c r="Q390">
        <v>305</v>
      </c>
      <c r="R390" s="34">
        <f t="shared" si="9"/>
        <v>4.4290105886371743E-2</v>
      </c>
    </row>
    <row r="391" spans="16:18" x14ac:dyDescent="0.3">
      <c r="P391" s="35">
        <v>16.95</v>
      </c>
      <c r="Q391">
        <v>305</v>
      </c>
      <c r="R391" s="34">
        <f t="shared" si="9"/>
        <v>4.4403962199704321E-2</v>
      </c>
    </row>
    <row r="392" spans="16:18" x14ac:dyDescent="0.3">
      <c r="P392" s="35">
        <v>16.96</v>
      </c>
      <c r="Q392">
        <v>305</v>
      </c>
      <c r="R392" s="34">
        <f t="shared" si="9"/>
        <v>4.4517818513036898E-2</v>
      </c>
    </row>
    <row r="393" spans="16:18" x14ac:dyDescent="0.3">
      <c r="P393" s="35">
        <v>16.96</v>
      </c>
      <c r="Q393">
        <v>305</v>
      </c>
      <c r="R393" s="34">
        <f t="shared" si="9"/>
        <v>4.4631674826369476E-2</v>
      </c>
    </row>
    <row r="394" spans="16:18" x14ac:dyDescent="0.3">
      <c r="P394" s="35">
        <v>16.97</v>
      </c>
      <c r="Q394">
        <v>305</v>
      </c>
      <c r="R394" s="34">
        <f t="shared" si="9"/>
        <v>4.4745531139702054E-2</v>
      </c>
    </row>
    <row r="395" spans="16:18" x14ac:dyDescent="0.3">
      <c r="P395" s="35">
        <v>16.98</v>
      </c>
      <c r="Q395">
        <v>305</v>
      </c>
      <c r="R395" s="34">
        <f t="shared" si="9"/>
        <v>4.4859387453034631E-2</v>
      </c>
    </row>
    <row r="396" spans="16:18" x14ac:dyDescent="0.3">
      <c r="P396" s="35">
        <v>17.02</v>
      </c>
      <c r="Q396">
        <v>305</v>
      </c>
      <c r="R396" s="34">
        <f t="shared" si="9"/>
        <v>4.4973243766367209E-2</v>
      </c>
    </row>
    <row r="397" spans="16:18" x14ac:dyDescent="0.3">
      <c r="P397" s="35">
        <v>17.03</v>
      </c>
      <c r="Q397">
        <v>305</v>
      </c>
      <c r="R397" s="34">
        <f t="shared" si="9"/>
        <v>4.5087100079699786E-2</v>
      </c>
    </row>
    <row r="398" spans="16:18" x14ac:dyDescent="0.3">
      <c r="P398" s="35">
        <v>17.059999999999999</v>
      </c>
      <c r="Q398">
        <v>305</v>
      </c>
      <c r="R398" s="34">
        <f t="shared" si="9"/>
        <v>4.5200956393032364E-2</v>
      </c>
    </row>
    <row r="399" spans="16:18" x14ac:dyDescent="0.3">
      <c r="P399" s="35">
        <v>17.07</v>
      </c>
      <c r="Q399">
        <v>305</v>
      </c>
      <c r="R399" s="34">
        <f t="shared" si="9"/>
        <v>4.5314812706364942E-2</v>
      </c>
    </row>
    <row r="400" spans="16:18" x14ac:dyDescent="0.3">
      <c r="P400" s="35">
        <v>17.07</v>
      </c>
      <c r="Q400">
        <v>305</v>
      </c>
      <c r="R400" s="34">
        <f t="shared" si="9"/>
        <v>4.5428669019697519E-2</v>
      </c>
    </row>
    <row r="401" spans="16:18" x14ac:dyDescent="0.3">
      <c r="P401" s="35">
        <v>17.079999999999998</v>
      </c>
      <c r="Q401">
        <v>305</v>
      </c>
      <c r="R401" s="34">
        <f t="shared" si="9"/>
        <v>4.5542525333030097E-2</v>
      </c>
    </row>
    <row r="402" spans="16:18" x14ac:dyDescent="0.3">
      <c r="P402" s="35">
        <v>17.100000000000001</v>
      </c>
      <c r="Q402">
        <v>305</v>
      </c>
      <c r="R402" s="34">
        <f t="shared" si="9"/>
        <v>4.5656381646362675E-2</v>
      </c>
    </row>
    <row r="403" spans="16:18" x14ac:dyDescent="0.3">
      <c r="P403" s="35">
        <v>17.100000000000001</v>
      </c>
      <c r="Q403">
        <v>305</v>
      </c>
      <c r="R403" s="34">
        <f t="shared" si="9"/>
        <v>4.5770237959695252E-2</v>
      </c>
    </row>
    <row r="404" spans="16:18" x14ac:dyDescent="0.3">
      <c r="P404" s="35">
        <v>17.100000000000001</v>
      </c>
      <c r="Q404">
        <v>305</v>
      </c>
      <c r="R404" s="34">
        <f t="shared" si="9"/>
        <v>4.588409427302783E-2</v>
      </c>
    </row>
    <row r="405" spans="16:18" x14ac:dyDescent="0.3">
      <c r="P405" s="35">
        <v>17.100000000000001</v>
      </c>
      <c r="Q405">
        <v>305</v>
      </c>
      <c r="R405" s="34">
        <f t="shared" si="9"/>
        <v>4.5997950586360407E-2</v>
      </c>
    </row>
    <row r="406" spans="16:18" x14ac:dyDescent="0.3">
      <c r="P406" s="35">
        <v>17.11</v>
      </c>
      <c r="Q406">
        <v>305</v>
      </c>
      <c r="R406" s="34">
        <f t="shared" si="9"/>
        <v>4.6111806899692985E-2</v>
      </c>
    </row>
    <row r="407" spans="16:18" x14ac:dyDescent="0.3">
      <c r="P407" s="35">
        <v>17.12</v>
      </c>
      <c r="Q407">
        <v>305</v>
      </c>
      <c r="R407" s="34">
        <f t="shared" si="9"/>
        <v>4.6225663213025563E-2</v>
      </c>
    </row>
    <row r="408" spans="16:18" x14ac:dyDescent="0.3">
      <c r="P408" s="35">
        <v>17.12</v>
      </c>
      <c r="Q408">
        <v>305</v>
      </c>
      <c r="R408" s="34">
        <f t="shared" si="9"/>
        <v>4.633951952635814E-2</v>
      </c>
    </row>
    <row r="409" spans="16:18" x14ac:dyDescent="0.3">
      <c r="P409" s="35">
        <v>17.13</v>
      </c>
      <c r="Q409">
        <v>305</v>
      </c>
      <c r="R409" s="34">
        <f t="shared" si="9"/>
        <v>4.6453375839690718E-2</v>
      </c>
    </row>
    <row r="410" spans="16:18" x14ac:dyDescent="0.3">
      <c r="P410" s="35">
        <v>17.13</v>
      </c>
      <c r="Q410">
        <v>305</v>
      </c>
      <c r="R410" s="34">
        <f t="shared" si="9"/>
        <v>4.6567232153023295E-2</v>
      </c>
    </row>
    <row r="411" spans="16:18" x14ac:dyDescent="0.3">
      <c r="P411" s="35">
        <v>17.13</v>
      </c>
      <c r="Q411">
        <v>305</v>
      </c>
      <c r="R411" s="34">
        <f t="shared" si="9"/>
        <v>4.6681088466355873E-2</v>
      </c>
    </row>
    <row r="412" spans="16:18" x14ac:dyDescent="0.3">
      <c r="P412" s="35">
        <v>17.14</v>
      </c>
      <c r="Q412">
        <v>305</v>
      </c>
      <c r="R412" s="34">
        <f t="shared" si="9"/>
        <v>4.6794944779688451E-2</v>
      </c>
    </row>
    <row r="413" spans="16:18" x14ac:dyDescent="0.3">
      <c r="P413" s="35">
        <v>17.149999999999999</v>
      </c>
      <c r="Q413">
        <v>305</v>
      </c>
      <c r="R413" s="34">
        <f t="shared" si="9"/>
        <v>4.6908801093021028E-2</v>
      </c>
    </row>
    <row r="414" spans="16:18" x14ac:dyDescent="0.3">
      <c r="P414" s="35">
        <v>17.149999999999999</v>
      </c>
      <c r="Q414">
        <v>305</v>
      </c>
      <c r="R414" s="34">
        <f t="shared" si="9"/>
        <v>4.7022657406353606E-2</v>
      </c>
    </row>
    <row r="415" spans="16:18" x14ac:dyDescent="0.3">
      <c r="P415" s="35">
        <v>17.16</v>
      </c>
      <c r="Q415">
        <v>305</v>
      </c>
      <c r="R415" s="34">
        <f t="shared" si="9"/>
        <v>4.7136513719686184E-2</v>
      </c>
    </row>
    <row r="416" spans="16:18" x14ac:dyDescent="0.3">
      <c r="P416" s="35">
        <v>17.16</v>
      </c>
      <c r="Q416">
        <v>305</v>
      </c>
      <c r="R416" s="34">
        <f t="shared" si="9"/>
        <v>4.7250370033018761E-2</v>
      </c>
    </row>
    <row r="417" spans="16:18" x14ac:dyDescent="0.3">
      <c r="P417" s="35">
        <v>17.170000000000002</v>
      </c>
      <c r="Q417">
        <v>305</v>
      </c>
      <c r="R417" s="34">
        <f t="shared" si="9"/>
        <v>4.7364226346351339E-2</v>
      </c>
    </row>
    <row r="418" spans="16:18" x14ac:dyDescent="0.3">
      <c r="P418" s="35">
        <v>17.18</v>
      </c>
      <c r="Q418">
        <v>305</v>
      </c>
      <c r="R418" s="34">
        <f t="shared" si="9"/>
        <v>4.7478082659683916E-2</v>
      </c>
    </row>
    <row r="419" spans="16:18" x14ac:dyDescent="0.3">
      <c r="P419" s="35">
        <v>17.190000000000001</v>
      </c>
      <c r="Q419">
        <v>305</v>
      </c>
      <c r="R419" s="34">
        <f t="shared" si="9"/>
        <v>4.7591938973016494E-2</v>
      </c>
    </row>
    <row r="420" spans="16:18" x14ac:dyDescent="0.3">
      <c r="P420" s="35">
        <v>17.190000000000001</v>
      </c>
      <c r="Q420">
        <v>305</v>
      </c>
      <c r="R420" s="34">
        <f t="shared" si="9"/>
        <v>4.7705795286349072E-2</v>
      </c>
    </row>
    <row r="421" spans="16:18" x14ac:dyDescent="0.3">
      <c r="P421" s="35">
        <v>17.21</v>
      </c>
      <c r="Q421">
        <v>305</v>
      </c>
      <c r="R421" s="34">
        <f t="shared" si="9"/>
        <v>4.7819651599681649E-2</v>
      </c>
    </row>
    <row r="422" spans="16:18" x14ac:dyDescent="0.3">
      <c r="P422" s="35">
        <v>17.21</v>
      </c>
      <c r="Q422">
        <v>305</v>
      </c>
      <c r="R422" s="34">
        <f t="shared" si="9"/>
        <v>4.7933507913014227E-2</v>
      </c>
    </row>
    <row r="423" spans="16:18" x14ac:dyDescent="0.3">
      <c r="P423" s="35">
        <v>17.21</v>
      </c>
      <c r="Q423">
        <v>305</v>
      </c>
      <c r="R423" s="34">
        <f t="shared" si="9"/>
        <v>4.8047364226346805E-2</v>
      </c>
    </row>
    <row r="424" spans="16:18" x14ac:dyDescent="0.3">
      <c r="P424" s="35">
        <v>17.23</v>
      </c>
      <c r="Q424">
        <v>305</v>
      </c>
      <c r="R424" s="34">
        <f t="shared" si="9"/>
        <v>4.8161220539679382E-2</v>
      </c>
    </row>
    <row r="425" spans="16:18" x14ac:dyDescent="0.3">
      <c r="P425" s="35">
        <v>17.239999999999998</v>
      </c>
      <c r="Q425">
        <v>305</v>
      </c>
      <c r="R425" s="34">
        <f t="shared" si="9"/>
        <v>4.827507685301196E-2</v>
      </c>
    </row>
    <row r="426" spans="16:18" x14ac:dyDescent="0.3">
      <c r="P426" s="35">
        <v>17.25</v>
      </c>
      <c r="Q426">
        <v>305</v>
      </c>
      <c r="R426" s="34">
        <f t="shared" si="9"/>
        <v>4.8388933166344537E-2</v>
      </c>
    </row>
    <row r="427" spans="16:18" x14ac:dyDescent="0.3">
      <c r="P427" s="35">
        <v>17.260000000000002</v>
      </c>
      <c r="Q427">
        <v>305</v>
      </c>
      <c r="R427" s="34">
        <f t="shared" si="9"/>
        <v>4.8502789479677115E-2</v>
      </c>
    </row>
    <row r="428" spans="16:18" x14ac:dyDescent="0.3">
      <c r="P428" s="35">
        <v>17.260000000000002</v>
      </c>
      <c r="Q428">
        <v>305</v>
      </c>
      <c r="R428" s="34">
        <f t="shared" si="9"/>
        <v>4.8616645793009693E-2</v>
      </c>
    </row>
    <row r="429" spans="16:18" x14ac:dyDescent="0.3">
      <c r="P429" s="35">
        <v>17.28</v>
      </c>
      <c r="Q429">
        <v>305</v>
      </c>
      <c r="R429" s="34">
        <f t="shared" si="9"/>
        <v>4.873050210634227E-2</v>
      </c>
    </row>
    <row r="430" spans="16:18" x14ac:dyDescent="0.3">
      <c r="P430" s="35">
        <v>17.28</v>
      </c>
      <c r="Q430">
        <v>305</v>
      </c>
      <c r="R430" s="34">
        <f t="shared" si="9"/>
        <v>4.8844358419674848E-2</v>
      </c>
    </row>
    <row r="431" spans="16:18" x14ac:dyDescent="0.3">
      <c r="P431" s="35">
        <v>17.28</v>
      </c>
      <c r="Q431">
        <v>305</v>
      </c>
      <c r="R431" s="34">
        <f t="shared" si="9"/>
        <v>4.8958214733007425E-2</v>
      </c>
    </row>
    <row r="432" spans="16:18" x14ac:dyDescent="0.3">
      <c r="P432" s="35">
        <v>17.28</v>
      </c>
      <c r="Q432">
        <v>305</v>
      </c>
      <c r="R432" s="34">
        <f t="shared" si="9"/>
        <v>4.9072071046340003E-2</v>
      </c>
    </row>
    <row r="433" spans="16:18" x14ac:dyDescent="0.3">
      <c r="P433" s="35">
        <v>17.29</v>
      </c>
      <c r="Q433">
        <v>305</v>
      </c>
      <c r="R433" s="34">
        <f t="shared" si="9"/>
        <v>4.9185927359672581E-2</v>
      </c>
    </row>
    <row r="434" spans="16:18" x14ac:dyDescent="0.3">
      <c r="P434" s="35">
        <v>17.3</v>
      </c>
      <c r="Q434">
        <v>305</v>
      </c>
      <c r="R434" s="34">
        <f t="shared" si="9"/>
        <v>4.9299783673005158E-2</v>
      </c>
    </row>
    <row r="435" spans="16:18" x14ac:dyDescent="0.3">
      <c r="P435" s="35">
        <v>17.3</v>
      </c>
      <c r="Q435">
        <v>305</v>
      </c>
      <c r="R435" s="34">
        <f t="shared" si="9"/>
        <v>4.9413639986337736E-2</v>
      </c>
    </row>
    <row r="436" spans="16:18" x14ac:dyDescent="0.3">
      <c r="P436" s="35">
        <v>17.3</v>
      </c>
      <c r="Q436">
        <v>305</v>
      </c>
      <c r="R436" s="34">
        <f t="shared" si="9"/>
        <v>4.9527496299670314E-2</v>
      </c>
    </row>
    <row r="437" spans="16:18" x14ac:dyDescent="0.3">
      <c r="P437" s="35">
        <v>17.3</v>
      </c>
      <c r="Q437">
        <v>305</v>
      </c>
      <c r="R437" s="34">
        <f t="shared" si="9"/>
        <v>4.9641352613002891E-2</v>
      </c>
    </row>
    <row r="438" spans="16:18" x14ac:dyDescent="0.3">
      <c r="P438" s="35">
        <v>17.309999999999999</v>
      </c>
      <c r="Q438">
        <v>305</v>
      </c>
      <c r="R438" s="34">
        <f t="shared" si="9"/>
        <v>4.9755208926335469E-2</v>
      </c>
    </row>
    <row r="439" spans="16:18" x14ac:dyDescent="0.3">
      <c r="P439" s="35">
        <v>17.309999999999999</v>
      </c>
      <c r="Q439">
        <v>305</v>
      </c>
      <c r="R439" s="34">
        <f t="shared" si="9"/>
        <v>4.9869065239668046E-2</v>
      </c>
    </row>
    <row r="440" spans="16:18" x14ac:dyDescent="0.3">
      <c r="P440" s="35">
        <v>17.32</v>
      </c>
      <c r="Q440">
        <v>305</v>
      </c>
      <c r="R440" s="34">
        <f t="shared" si="9"/>
        <v>4.9982921553000624E-2</v>
      </c>
    </row>
    <row r="441" spans="16:18" x14ac:dyDescent="0.3">
      <c r="P441" s="35">
        <v>17.32</v>
      </c>
      <c r="Q441">
        <v>305</v>
      </c>
      <c r="R441" s="34">
        <f t="shared" si="9"/>
        <v>5.0096777866333202E-2</v>
      </c>
    </row>
    <row r="442" spans="16:18" x14ac:dyDescent="0.3">
      <c r="P442" s="35">
        <v>17.32</v>
      </c>
      <c r="Q442">
        <v>305</v>
      </c>
      <c r="R442" s="34">
        <f t="shared" si="9"/>
        <v>5.0210634179665779E-2</v>
      </c>
    </row>
    <row r="443" spans="16:18" x14ac:dyDescent="0.3">
      <c r="P443" s="35">
        <v>17.34</v>
      </c>
      <c r="Q443">
        <v>305</v>
      </c>
      <c r="R443" s="34">
        <f t="shared" si="9"/>
        <v>5.0324490492998357E-2</v>
      </c>
    </row>
    <row r="444" spans="16:18" x14ac:dyDescent="0.3">
      <c r="P444" s="35">
        <v>17.34</v>
      </c>
      <c r="Q444">
        <v>305</v>
      </c>
      <c r="R444" s="34">
        <f t="shared" si="9"/>
        <v>5.0438346806330935E-2</v>
      </c>
    </row>
    <row r="445" spans="16:18" x14ac:dyDescent="0.3">
      <c r="P445" s="35">
        <v>17.350000000000001</v>
      </c>
      <c r="Q445">
        <v>305</v>
      </c>
      <c r="R445" s="34">
        <f t="shared" si="9"/>
        <v>5.0552203119663512E-2</v>
      </c>
    </row>
    <row r="446" spans="16:18" x14ac:dyDescent="0.3">
      <c r="P446" s="35">
        <v>17.350000000000001</v>
      </c>
      <c r="Q446">
        <v>305</v>
      </c>
      <c r="R446" s="34">
        <f t="shared" si="9"/>
        <v>5.066605943299609E-2</v>
      </c>
    </row>
    <row r="447" spans="16:18" x14ac:dyDescent="0.3">
      <c r="P447" s="35">
        <v>17.350000000000001</v>
      </c>
      <c r="Q447">
        <v>305</v>
      </c>
      <c r="R447" s="34">
        <f t="shared" si="9"/>
        <v>5.0779915746328667E-2</v>
      </c>
    </row>
    <row r="448" spans="16:18" x14ac:dyDescent="0.3">
      <c r="P448" s="35">
        <v>17.350000000000001</v>
      </c>
      <c r="Q448">
        <v>305</v>
      </c>
      <c r="R448" s="34">
        <f t="shared" si="9"/>
        <v>5.0893772059661245E-2</v>
      </c>
    </row>
    <row r="449" spans="16:18" x14ac:dyDescent="0.3">
      <c r="P449" s="35">
        <v>17.36</v>
      </c>
      <c r="Q449">
        <v>305</v>
      </c>
      <c r="R449" s="34">
        <f t="shared" si="9"/>
        <v>5.1007628372993823E-2</v>
      </c>
    </row>
    <row r="450" spans="16:18" x14ac:dyDescent="0.3">
      <c r="P450" s="35">
        <v>17.38</v>
      </c>
      <c r="Q450">
        <v>305</v>
      </c>
      <c r="R450" s="34">
        <f t="shared" si="9"/>
        <v>5.11214846863264E-2</v>
      </c>
    </row>
    <row r="451" spans="16:18" x14ac:dyDescent="0.3">
      <c r="P451" s="35">
        <v>17.39</v>
      </c>
      <c r="Q451">
        <v>305</v>
      </c>
      <c r="R451" s="34">
        <f t="shared" si="9"/>
        <v>5.1235340999658978E-2</v>
      </c>
    </row>
    <row r="452" spans="16:18" x14ac:dyDescent="0.3">
      <c r="P452" s="35">
        <v>17.399999999999999</v>
      </c>
      <c r="Q452">
        <v>305</v>
      </c>
      <c r="R452" s="34">
        <f t="shared" ref="R452:R515" si="10">R451+R$2</f>
        <v>5.1349197312991555E-2</v>
      </c>
    </row>
    <row r="453" spans="16:18" x14ac:dyDescent="0.3">
      <c r="P453" s="35">
        <v>17.399999999999999</v>
      </c>
      <c r="Q453">
        <v>305</v>
      </c>
      <c r="R453" s="34">
        <f t="shared" si="10"/>
        <v>5.1463053626324133E-2</v>
      </c>
    </row>
    <row r="454" spans="16:18" x14ac:dyDescent="0.3">
      <c r="P454" s="35">
        <v>17.41</v>
      </c>
      <c r="Q454">
        <v>305</v>
      </c>
      <c r="R454" s="34">
        <f t="shared" si="10"/>
        <v>5.1576909939656711E-2</v>
      </c>
    </row>
    <row r="455" spans="16:18" x14ac:dyDescent="0.3">
      <c r="P455" s="35">
        <v>17.41</v>
      </c>
      <c r="Q455">
        <v>305</v>
      </c>
      <c r="R455" s="34">
        <f t="shared" si="10"/>
        <v>5.1690766252989288E-2</v>
      </c>
    </row>
    <row r="456" spans="16:18" x14ac:dyDescent="0.3">
      <c r="P456" s="35">
        <v>17.41</v>
      </c>
      <c r="Q456">
        <v>305</v>
      </c>
      <c r="R456" s="34">
        <f t="shared" si="10"/>
        <v>5.1804622566321866E-2</v>
      </c>
    </row>
    <row r="457" spans="16:18" x14ac:dyDescent="0.3">
      <c r="P457" s="35">
        <v>17.41</v>
      </c>
      <c r="Q457">
        <v>305</v>
      </c>
      <c r="R457" s="34">
        <f t="shared" si="10"/>
        <v>5.1918478879654444E-2</v>
      </c>
    </row>
    <row r="458" spans="16:18" x14ac:dyDescent="0.3">
      <c r="P458" s="35">
        <v>17.41</v>
      </c>
      <c r="Q458">
        <v>305</v>
      </c>
      <c r="R458" s="34">
        <f t="shared" si="10"/>
        <v>5.2032335192987021E-2</v>
      </c>
    </row>
    <row r="459" spans="16:18" x14ac:dyDescent="0.3">
      <c r="P459" s="35">
        <v>17.41</v>
      </c>
      <c r="Q459">
        <v>305</v>
      </c>
      <c r="R459" s="34">
        <f t="shared" si="10"/>
        <v>5.2146191506319599E-2</v>
      </c>
    </row>
    <row r="460" spans="16:18" x14ac:dyDescent="0.3">
      <c r="P460" s="35">
        <v>17.420000000000002</v>
      </c>
      <c r="Q460">
        <v>305</v>
      </c>
      <c r="R460" s="34">
        <f t="shared" si="10"/>
        <v>5.2260047819652176E-2</v>
      </c>
    </row>
    <row r="461" spans="16:18" x14ac:dyDescent="0.3">
      <c r="P461" s="35">
        <v>17.420000000000002</v>
      </c>
      <c r="Q461">
        <v>305</v>
      </c>
      <c r="R461" s="34">
        <f t="shared" si="10"/>
        <v>5.2373904132984754E-2</v>
      </c>
    </row>
    <row r="462" spans="16:18" x14ac:dyDescent="0.3">
      <c r="P462" s="35">
        <v>17.420000000000002</v>
      </c>
      <c r="Q462">
        <v>305</v>
      </c>
      <c r="R462" s="34">
        <f t="shared" si="10"/>
        <v>5.2487760446317332E-2</v>
      </c>
    </row>
    <row r="463" spans="16:18" x14ac:dyDescent="0.3">
      <c r="P463" s="35">
        <v>17.440000000000001</v>
      </c>
      <c r="Q463">
        <v>305</v>
      </c>
      <c r="R463" s="34">
        <f t="shared" si="10"/>
        <v>5.2601616759649909E-2</v>
      </c>
    </row>
    <row r="464" spans="16:18" x14ac:dyDescent="0.3">
      <c r="P464" s="35">
        <v>17.440000000000001</v>
      </c>
      <c r="Q464">
        <v>305</v>
      </c>
      <c r="R464" s="34">
        <f t="shared" si="10"/>
        <v>5.2715473072982487E-2</v>
      </c>
    </row>
    <row r="465" spans="16:18" x14ac:dyDescent="0.3">
      <c r="P465" s="35">
        <v>17.440000000000001</v>
      </c>
      <c r="Q465">
        <v>305</v>
      </c>
      <c r="R465" s="34">
        <f t="shared" si="10"/>
        <v>5.2829329386315065E-2</v>
      </c>
    </row>
    <row r="466" spans="16:18" x14ac:dyDescent="0.3">
      <c r="P466" s="35">
        <v>17.440000000000001</v>
      </c>
      <c r="Q466">
        <v>305</v>
      </c>
      <c r="R466" s="34">
        <f t="shared" si="10"/>
        <v>5.2943185699647642E-2</v>
      </c>
    </row>
    <row r="467" spans="16:18" x14ac:dyDescent="0.3">
      <c r="P467" s="35">
        <v>17.46</v>
      </c>
      <c r="Q467">
        <v>305</v>
      </c>
      <c r="R467" s="34">
        <f t="shared" si="10"/>
        <v>5.305704201298022E-2</v>
      </c>
    </row>
    <row r="468" spans="16:18" x14ac:dyDescent="0.3">
      <c r="P468" s="35">
        <v>17.46</v>
      </c>
      <c r="Q468">
        <v>305</v>
      </c>
      <c r="R468" s="34">
        <f t="shared" si="10"/>
        <v>5.3170898326312797E-2</v>
      </c>
    </row>
    <row r="469" spans="16:18" x14ac:dyDescent="0.3">
      <c r="P469" s="35">
        <v>17.46</v>
      </c>
      <c r="Q469">
        <v>305</v>
      </c>
      <c r="R469" s="34">
        <f t="shared" si="10"/>
        <v>5.3284754639645375E-2</v>
      </c>
    </row>
    <row r="470" spans="16:18" x14ac:dyDescent="0.3">
      <c r="P470" s="35">
        <v>17.47</v>
      </c>
      <c r="Q470">
        <v>305</v>
      </c>
      <c r="R470" s="34">
        <f t="shared" si="10"/>
        <v>5.3398610952977953E-2</v>
      </c>
    </row>
    <row r="471" spans="16:18" x14ac:dyDescent="0.3">
      <c r="P471" s="35">
        <v>17.489999999999998</v>
      </c>
      <c r="Q471">
        <v>305</v>
      </c>
      <c r="R471" s="34">
        <f t="shared" si="10"/>
        <v>5.351246726631053E-2</v>
      </c>
    </row>
    <row r="472" spans="16:18" x14ac:dyDescent="0.3">
      <c r="P472" s="35">
        <v>17.5</v>
      </c>
      <c r="Q472">
        <v>305</v>
      </c>
      <c r="R472" s="34">
        <f t="shared" si="10"/>
        <v>5.3626323579643108E-2</v>
      </c>
    </row>
    <row r="473" spans="16:18" x14ac:dyDescent="0.3">
      <c r="P473" s="35">
        <v>17.510000000000002</v>
      </c>
      <c r="Q473">
        <v>305</v>
      </c>
      <c r="R473" s="34">
        <f t="shared" si="10"/>
        <v>5.3740179892975685E-2</v>
      </c>
    </row>
    <row r="474" spans="16:18" x14ac:dyDescent="0.3">
      <c r="P474" s="35">
        <v>17.52</v>
      </c>
      <c r="Q474">
        <v>305</v>
      </c>
      <c r="R474" s="34">
        <f t="shared" si="10"/>
        <v>5.3854036206308263E-2</v>
      </c>
    </row>
    <row r="475" spans="16:18" x14ac:dyDescent="0.3">
      <c r="P475" s="35">
        <v>17.52</v>
      </c>
      <c r="Q475">
        <v>305</v>
      </c>
      <c r="R475" s="34">
        <f t="shared" si="10"/>
        <v>5.3967892519640841E-2</v>
      </c>
    </row>
    <row r="476" spans="16:18" x14ac:dyDescent="0.3">
      <c r="P476" s="35">
        <v>17.52</v>
      </c>
      <c r="Q476">
        <v>305</v>
      </c>
      <c r="R476" s="34">
        <f t="shared" si="10"/>
        <v>5.4081748832973418E-2</v>
      </c>
    </row>
    <row r="477" spans="16:18" x14ac:dyDescent="0.3">
      <c r="P477" s="35">
        <v>17.54</v>
      </c>
      <c r="Q477">
        <v>305</v>
      </c>
      <c r="R477" s="34">
        <f t="shared" si="10"/>
        <v>5.4195605146305996E-2</v>
      </c>
    </row>
    <row r="478" spans="16:18" x14ac:dyDescent="0.3">
      <c r="P478" s="35">
        <v>17.54</v>
      </c>
      <c r="Q478">
        <v>305</v>
      </c>
      <c r="R478" s="34">
        <f t="shared" si="10"/>
        <v>5.4309461459638574E-2</v>
      </c>
    </row>
    <row r="479" spans="16:18" x14ac:dyDescent="0.3">
      <c r="P479" s="35">
        <v>17.55</v>
      </c>
      <c r="Q479">
        <v>305</v>
      </c>
      <c r="R479" s="34">
        <f t="shared" si="10"/>
        <v>5.4423317772971151E-2</v>
      </c>
    </row>
    <row r="480" spans="16:18" x14ac:dyDescent="0.3">
      <c r="P480" s="35">
        <v>17.55</v>
      </c>
      <c r="Q480">
        <v>305</v>
      </c>
      <c r="R480" s="34">
        <f t="shared" si="10"/>
        <v>5.4537174086303729E-2</v>
      </c>
    </row>
    <row r="481" spans="16:18" x14ac:dyDescent="0.3">
      <c r="P481" s="35">
        <v>17.55</v>
      </c>
      <c r="Q481">
        <v>305</v>
      </c>
      <c r="R481" s="34">
        <f t="shared" si="10"/>
        <v>5.4651030399636306E-2</v>
      </c>
    </row>
    <row r="482" spans="16:18" x14ac:dyDescent="0.3">
      <c r="P482" s="35">
        <v>17.55</v>
      </c>
      <c r="Q482">
        <v>305</v>
      </c>
      <c r="R482" s="34">
        <f t="shared" si="10"/>
        <v>5.4764886712968884E-2</v>
      </c>
    </row>
    <row r="483" spans="16:18" x14ac:dyDescent="0.3">
      <c r="P483" s="35">
        <v>17.55</v>
      </c>
      <c r="Q483">
        <v>305</v>
      </c>
      <c r="R483" s="34">
        <f t="shared" si="10"/>
        <v>5.4878743026301462E-2</v>
      </c>
    </row>
    <row r="484" spans="16:18" x14ac:dyDescent="0.3">
      <c r="P484" s="35">
        <v>17.55</v>
      </c>
      <c r="Q484">
        <v>305</v>
      </c>
      <c r="R484" s="34">
        <f t="shared" si="10"/>
        <v>5.4992599339634039E-2</v>
      </c>
    </row>
    <row r="485" spans="16:18" x14ac:dyDescent="0.3">
      <c r="P485" s="35">
        <v>17.559999999999999</v>
      </c>
      <c r="Q485">
        <v>305</v>
      </c>
      <c r="R485" s="34">
        <f t="shared" si="10"/>
        <v>5.5106455652966617E-2</v>
      </c>
    </row>
    <row r="486" spans="16:18" x14ac:dyDescent="0.3">
      <c r="P486" s="35">
        <v>17.559999999999999</v>
      </c>
      <c r="Q486">
        <v>305</v>
      </c>
      <c r="R486" s="34">
        <f t="shared" si="10"/>
        <v>5.5220311966299195E-2</v>
      </c>
    </row>
    <row r="487" spans="16:18" x14ac:dyDescent="0.3">
      <c r="P487" s="35">
        <v>17.559999999999999</v>
      </c>
      <c r="Q487">
        <v>305</v>
      </c>
      <c r="R487" s="34">
        <f t="shared" si="10"/>
        <v>5.5334168279631772E-2</v>
      </c>
    </row>
    <row r="488" spans="16:18" x14ac:dyDescent="0.3">
      <c r="P488" s="35">
        <v>17.559999999999999</v>
      </c>
      <c r="Q488">
        <v>305</v>
      </c>
      <c r="R488" s="34">
        <f t="shared" si="10"/>
        <v>5.544802459296435E-2</v>
      </c>
    </row>
    <row r="489" spans="16:18" x14ac:dyDescent="0.3">
      <c r="P489" s="35">
        <v>17.57</v>
      </c>
      <c r="Q489">
        <v>305</v>
      </c>
      <c r="R489" s="34">
        <f t="shared" si="10"/>
        <v>5.5561880906296927E-2</v>
      </c>
    </row>
    <row r="490" spans="16:18" x14ac:dyDescent="0.3">
      <c r="P490" s="35">
        <v>17.579999999999998</v>
      </c>
      <c r="Q490">
        <v>305</v>
      </c>
      <c r="R490" s="34">
        <f t="shared" si="10"/>
        <v>5.5675737219629505E-2</v>
      </c>
    </row>
    <row r="491" spans="16:18" x14ac:dyDescent="0.3">
      <c r="P491" s="35">
        <v>17.579999999999998</v>
      </c>
      <c r="Q491">
        <v>305</v>
      </c>
      <c r="R491" s="34">
        <f t="shared" si="10"/>
        <v>5.5789593532962083E-2</v>
      </c>
    </row>
    <row r="492" spans="16:18" x14ac:dyDescent="0.3">
      <c r="P492" s="35">
        <v>17.579999999999998</v>
      </c>
      <c r="Q492">
        <v>305</v>
      </c>
      <c r="R492" s="34">
        <f t="shared" si="10"/>
        <v>5.590344984629466E-2</v>
      </c>
    </row>
    <row r="493" spans="16:18" x14ac:dyDescent="0.3">
      <c r="P493" s="35">
        <v>17.59</v>
      </c>
      <c r="Q493">
        <v>305</v>
      </c>
      <c r="R493" s="34">
        <f t="shared" si="10"/>
        <v>5.6017306159627238E-2</v>
      </c>
    </row>
    <row r="494" spans="16:18" x14ac:dyDescent="0.3">
      <c r="P494" s="35">
        <v>17.59</v>
      </c>
      <c r="Q494">
        <v>305</v>
      </c>
      <c r="R494" s="34">
        <f t="shared" si="10"/>
        <v>5.6131162472959815E-2</v>
      </c>
    </row>
    <row r="495" spans="16:18" x14ac:dyDescent="0.3">
      <c r="P495" s="35">
        <v>17.600000000000001</v>
      </c>
      <c r="Q495">
        <v>305</v>
      </c>
      <c r="R495" s="34">
        <f t="shared" si="10"/>
        <v>5.6245018786292393E-2</v>
      </c>
    </row>
    <row r="496" spans="16:18" x14ac:dyDescent="0.3">
      <c r="P496" s="35">
        <v>17.600000000000001</v>
      </c>
      <c r="Q496">
        <v>305</v>
      </c>
      <c r="R496" s="34">
        <f t="shared" si="10"/>
        <v>5.6358875099624971E-2</v>
      </c>
    </row>
    <row r="497" spans="16:18" x14ac:dyDescent="0.3">
      <c r="P497" s="35">
        <v>17.600000000000001</v>
      </c>
      <c r="Q497">
        <v>305</v>
      </c>
      <c r="R497" s="34">
        <f t="shared" si="10"/>
        <v>5.6472731412957548E-2</v>
      </c>
    </row>
    <row r="498" spans="16:18" x14ac:dyDescent="0.3">
      <c r="P498" s="35">
        <v>17.600000000000001</v>
      </c>
      <c r="Q498">
        <v>305</v>
      </c>
      <c r="R498" s="34">
        <f t="shared" si="10"/>
        <v>5.6586587726290126E-2</v>
      </c>
    </row>
    <row r="499" spans="16:18" x14ac:dyDescent="0.3">
      <c r="P499" s="35">
        <v>17.600000000000001</v>
      </c>
      <c r="Q499">
        <v>305</v>
      </c>
      <c r="R499" s="34">
        <f t="shared" si="10"/>
        <v>5.6700444039622704E-2</v>
      </c>
    </row>
    <row r="500" spans="16:18" x14ac:dyDescent="0.3">
      <c r="P500" s="35">
        <v>17.61</v>
      </c>
      <c r="Q500">
        <v>305</v>
      </c>
      <c r="R500" s="34">
        <f t="shared" si="10"/>
        <v>5.6814300352955281E-2</v>
      </c>
    </row>
    <row r="501" spans="16:18" x14ac:dyDescent="0.3">
      <c r="P501" s="35">
        <v>17.61</v>
      </c>
      <c r="Q501">
        <v>305</v>
      </c>
      <c r="R501" s="34">
        <f t="shared" si="10"/>
        <v>5.6928156666287859E-2</v>
      </c>
    </row>
    <row r="502" spans="16:18" x14ac:dyDescent="0.3">
      <c r="P502" s="35">
        <v>17.62</v>
      </c>
      <c r="Q502">
        <v>305</v>
      </c>
      <c r="R502" s="34">
        <f t="shared" si="10"/>
        <v>5.7042012979620436E-2</v>
      </c>
    </row>
    <row r="503" spans="16:18" x14ac:dyDescent="0.3">
      <c r="P503" s="35">
        <v>17.62</v>
      </c>
      <c r="Q503">
        <v>305</v>
      </c>
      <c r="R503" s="34">
        <f t="shared" si="10"/>
        <v>5.7155869292953014E-2</v>
      </c>
    </row>
    <row r="504" spans="16:18" x14ac:dyDescent="0.3">
      <c r="P504" s="35">
        <v>17.63</v>
      </c>
      <c r="Q504">
        <v>305</v>
      </c>
      <c r="R504" s="34">
        <f t="shared" si="10"/>
        <v>5.7269725606285592E-2</v>
      </c>
    </row>
    <row r="505" spans="16:18" x14ac:dyDescent="0.3">
      <c r="P505" s="35">
        <v>17.63</v>
      </c>
      <c r="Q505">
        <v>305</v>
      </c>
      <c r="R505" s="34">
        <f t="shared" si="10"/>
        <v>5.7383581919618169E-2</v>
      </c>
    </row>
    <row r="506" spans="16:18" x14ac:dyDescent="0.3">
      <c r="P506" s="35">
        <v>17.63</v>
      </c>
      <c r="Q506">
        <v>305</v>
      </c>
      <c r="R506" s="34">
        <f t="shared" si="10"/>
        <v>5.7497438232950747E-2</v>
      </c>
    </row>
    <row r="507" spans="16:18" x14ac:dyDescent="0.3">
      <c r="P507" s="35">
        <v>17.63</v>
      </c>
      <c r="Q507">
        <v>305</v>
      </c>
      <c r="R507" s="34">
        <f t="shared" si="10"/>
        <v>5.7611294546283325E-2</v>
      </c>
    </row>
    <row r="508" spans="16:18" x14ac:dyDescent="0.3">
      <c r="P508" s="35">
        <v>17.63</v>
      </c>
      <c r="Q508">
        <v>305</v>
      </c>
      <c r="R508" s="34">
        <f t="shared" si="10"/>
        <v>5.7725150859615902E-2</v>
      </c>
    </row>
    <row r="509" spans="16:18" x14ac:dyDescent="0.3">
      <c r="P509" s="35">
        <v>17.63</v>
      </c>
      <c r="Q509">
        <v>305</v>
      </c>
      <c r="R509" s="34">
        <f t="shared" si="10"/>
        <v>5.783900717294848E-2</v>
      </c>
    </row>
    <row r="510" spans="16:18" x14ac:dyDescent="0.3">
      <c r="P510" s="35">
        <v>17.64</v>
      </c>
      <c r="Q510">
        <v>305</v>
      </c>
      <c r="R510" s="34">
        <f t="shared" si="10"/>
        <v>5.7952863486281057E-2</v>
      </c>
    </row>
    <row r="511" spans="16:18" x14ac:dyDescent="0.3">
      <c r="P511" s="35">
        <v>17.649999999999999</v>
      </c>
      <c r="Q511">
        <v>305</v>
      </c>
      <c r="R511" s="34">
        <f t="shared" si="10"/>
        <v>5.8066719799613635E-2</v>
      </c>
    </row>
    <row r="512" spans="16:18" x14ac:dyDescent="0.3">
      <c r="P512" s="35">
        <v>17.649999999999999</v>
      </c>
      <c r="Q512">
        <v>305</v>
      </c>
      <c r="R512" s="34">
        <f t="shared" si="10"/>
        <v>5.8180576112946213E-2</v>
      </c>
    </row>
    <row r="513" spans="16:18" x14ac:dyDescent="0.3">
      <c r="P513" s="35">
        <v>17.66</v>
      </c>
      <c r="Q513">
        <v>305</v>
      </c>
      <c r="R513" s="34">
        <f t="shared" si="10"/>
        <v>5.829443242627879E-2</v>
      </c>
    </row>
    <row r="514" spans="16:18" x14ac:dyDescent="0.3">
      <c r="P514" s="35">
        <v>17.66</v>
      </c>
      <c r="Q514">
        <v>305</v>
      </c>
      <c r="R514" s="34">
        <f t="shared" si="10"/>
        <v>5.8408288739611368E-2</v>
      </c>
    </row>
    <row r="515" spans="16:18" x14ac:dyDescent="0.3">
      <c r="P515" s="35">
        <v>17.66</v>
      </c>
      <c r="Q515">
        <v>305</v>
      </c>
      <c r="R515" s="34">
        <f t="shared" si="10"/>
        <v>5.8522145052943945E-2</v>
      </c>
    </row>
    <row r="516" spans="16:18" x14ac:dyDescent="0.3">
      <c r="P516" s="35">
        <v>17.670000000000002</v>
      </c>
      <c r="Q516">
        <v>305</v>
      </c>
      <c r="R516" s="34">
        <f t="shared" ref="R516:R579" si="11">R515+R$2</f>
        <v>5.8636001366276523E-2</v>
      </c>
    </row>
    <row r="517" spans="16:18" x14ac:dyDescent="0.3">
      <c r="P517" s="35">
        <v>17.670000000000002</v>
      </c>
      <c r="Q517">
        <v>305</v>
      </c>
      <c r="R517" s="34">
        <f t="shared" si="11"/>
        <v>5.8749857679609101E-2</v>
      </c>
    </row>
    <row r="518" spans="16:18" x14ac:dyDescent="0.3">
      <c r="P518" s="35">
        <v>17.670000000000002</v>
      </c>
      <c r="Q518">
        <v>305</v>
      </c>
      <c r="R518" s="34">
        <f t="shared" si="11"/>
        <v>5.8863713992941678E-2</v>
      </c>
    </row>
    <row r="519" spans="16:18" x14ac:dyDescent="0.3">
      <c r="P519" s="35">
        <v>17.690000000000001</v>
      </c>
      <c r="Q519">
        <v>305</v>
      </c>
      <c r="R519" s="34">
        <f t="shared" si="11"/>
        <v>5.8977570306274256E-2</v>
      </c>
    </row>
    <row r="520" spans="16:18" x14ac:dyDescent="0.3">
      <c r="P520" s="35">
        <v>17.7</v>
      </c>
      <c r="Q520">
        <v>305</v>
      </c>
      <c r="R520" s="34">
        <f t="shared" si="11"/>
        <v>5.9091426619606834E-2</v>
      </c>
    </row>
    <row r="521" spans="16:18" x14ac:dyDescent="0.3">
      <c r="P521" s="35">
        <v>17.7</v>
      </c>
      <c r="Q521">
        <v>305</v>
      </c>
      <c r="R521" s="34">
        <f t="shared" si="11"/>
        <v>5.9205282932939411E-2</v>
      </c>
    </row>
    <row r="522" spans="16:18" x14ac:dyDescent="0.3">
      <c r="P522" s="35">
        <v>17.71</v>
      </c>
      <c r="Q522">
        <v>305</v>
      </c>
      <c r="R522" s="34">
        <f t="shared" si="11"/>
        <v>5.9319139246271989E-2</v>
      </c>
    </row>
    <row r="523" spans="16:18" x14ac:dyDescent="0.3">
      <c r="P523" s="35">
        <v>17.71</v>
      </c>
      <c r="Q523">
        <v>305</v>
      </c>
      <c r="R523" s="34">
        <f t="shared" si="11"/>
        <v>5.9432995559604566E-2</v>
      </c>
    </row>
    <row r="524" spans="16:18" x14ac:dyDescent="0.3">
      <c r="P524" s="35">
        <v>17.71</v>
      </c>
      <c r="Q524">
        <v>305</v>
      </c>
      <c r="R524" s="34">
        <f t="shared" si="11"/>
        <v>5.9546851872937144E-2</v>
      </c>
    </row>
    <row r="525" spans="16:18" x14ac:dyDescent="0.3">
      <c r="P525" s="35">
        <v>17.72</v>
      </c>
      <c r="Q525">
        <v>305</v>
      </c>
      <c r="R525" s="34">
        <f t="shared" si="11"/>
        <v>5.9660708186269722E-2</v>
      </c>
    </row>
    <row r="526" spans="16:18" x14ac:dyDescent="0.3">
      <c r="P526" s="35">
        <v>17.72</v>
      </c>
      <c r="Q526">
        <v>305</v>
      </c>
      <c r="R526" s="34">
        <f t="shared" si="11"/>
        <v>5.9774564499602299E-2</v>
      </c>
    </row>
    <row r="527" spans="16:18" x14ac:dyDescent="0.3">
      <c r="P527" s="35">
        <v>17.72</v>
      </c>
      <c r="Q527">
        <v>305</v>
      </c>
      <c r="R527" s="34">
        <f t="shared" si="11"/>
        <v>5.9888420812934877E-2</v>
      </c>
    </row>
    <row r="528" spans="16:18" x14ac:dyDescent="0.3">
      <c r="P528" s="35">
        <v>17.73</v>
      </c>
      <c r="Q528">
        <v>305</v>
      </c>
      <c r="R528" s="34">
        <f t="shared" si="11"/>
        <v>6.0002277126267455E-2</v>
      </c>
    </row>
    <row r="529" spans="16:18" x14ac:dyDescent="0.3">
      <c r="P529" s="35">
        <v>17.73</v>
      </c>
      <c r="Q529">
        <v>305</v>
      </c>
      <c r="R529" s="34">
        <f t="shared" si="11"/>
        <v>6.0116133439600032E-2</v>
      </c>
    </row>
    <row r="530" spans="16:18" x14ac:dyDescent="0.3">
      <c r="P530" s="35">
        <v>17.739999999999998</v>
      </c>
      <c r="Q530">
        <v>305</v>
      </c>
      <c r="R530" s="34">
        <f t="shared" si="11"/>
        <v>6.022998975293261E-2</v>
      </c>
    </row>
    <row r="531" spans="16:18" x14ac:dyDescent="0.3">
      <c r="P531" s="35">
        <v>17.739999999999998</v>
      </c>
      <c r="Q531">
        <v>305</v>
      </c>
      <c r="R531" s="34">
        <f t="shared" si="11"/>
        <v>6.0343846066265187E-2</v>
      </c>
    </row>
    <row r="532" spans="16:18" x14ac:dyDescent="0.3">
      <c r="P532" s="35">
        <v>17.739999999999998</v>
      </c>
      <c r="Q532">
        <v>305</v>
      </c>
      <c r="R532" s="34">
        <f t="shared" si="11"/>
        <v>6.0457702379597765E-2</v>
      </c>
    </row>
    <row r="533" spans="16:18" x14ac:dyDescent="0.3">
      <c r="P533" s="35">
        <v>17.760000000000002</v>
      </c>
      <c r="Q533">
        <v>305</v>
      </c>
      <c r="R533" s="34">
        <f t="shared" si="11"/>
        <v>6.0571558692930343E-2</v>
      </c>
    </row>
    <row r="534" spans="16:18" x14ac:dyDescent="0.3">
      <c r="P534" s="35">
        <v>17.760000000000002</v>
      </c>
      <c r="Q534">
        <v>305</v>
      </c>
      <c r="R534" s="34">
        <f t="shared" si="11"/>
        <v>6.068541500626292E-2</v>
      </c>
    </row>
    <row r="535" spans="16:18" x14ac:dyDescent="0.3">
      <c r="P535" s="35">
        <v>17.760000000000002</v>
      </c>
      <c r="Q535">
        <v>305</v>
      </c>
      <c r="R535" s="34">
        <f t="shared" si="11"/>
        <v>6.0799271319595498E-2</v>
      </c>
    </row>
    <row r="536" spans="16:18" x14ac:dyDescent="0.3">
      <c r="P536" s="35">
        <v>17.77</v>
      </c>
      <c r="Q536">
        <v>305</v>
      </c>
      <c r="R536" s="34">
        <f t="shared" si="11"/>
        <v>6.0913127632928075E-2</v>
      </c>
    </row>
    <row r="537" spans="16:18" x14ac:dyDescent="0.3">
      <c r="P537" s="35">
        <v>17.78</v>
      </c>
      <c r="Q537">
        <v>305</v>
      </c>
      <c r="R537" s="34">
        <f t="shared" si="11"/>
        <v>6.1026983946260653E-2</v>
      </c>
    </row>
    <row r="538" spans="16:18" x14ac:dyDescent="0.3">
      <c r="P538" s="35">
        <v>17.78</v>
      </c>
      <c r="Q538">
        <v>305</v>
      </c>
      <c r="R538" s="34">
        <f t="shared" si="11"/>
        <v>6.1140840259593231E-2</v>
      </c>
    </row>
    <row r="539" spans="16:18" x14ac:dyDescent="0.3">
      <c r="P539" s="35">
        <v>17.79</v>
      </c>
      <c r="Q539">
        <v>305</v>
      </c>
      <c r="R539" s="34">
        <f t="shared" si="11"/>
        <v>6.1254696572925808E-2</v>
      </c>
    </row>
    <row r="540" spans="16:18" x14ac:dyDescent="0.3">
      <c r="P540" s="35">
        <v>17.79</v>
      </c>
      <c r="Q540">
        <v>305</v>
      </c>
      <c r="R540" s="34">
        <f t="shared" si="11"/>
        <v>6.1368552886258386E-2</v>
      </c>
    </row>
    <row r="541" spans="16:18" x14ac:dyDescent="0.3">
      <c r="P541" s="35">
        <v>17.8</v>
      </c>
      <c r="Q541">
        <v>305</v>
      </c>
      <c r="R541" s="34">
        <f t="shared" si="11"/>
        <v>6.1482409199590964E-2</v>
      </c>
    </row>
    <row r="542" spans="16:18" x14ac:dyDescent="0.3">
      <c r="P542" s="35">
        <v>17.8</v>
      </c>
      <c r="Q542">
        <v>305</v>
      </c>
      <c r="R542" s="34">
        <f t="shared" si="11"/>
        <v>6.1596265512923541E-2</v>
      </c>
    </row>
    <row r="543" spans="16:18" x14ac:dyDescent="0.3">
      <c r="P543" s="35">
        <v>17.809999999999999</v>
      </c>
      <c r="Q543">
        <v>305</v>
      </c>
      <c r="R543" s="34">
        <f t="shared" si="11"/>
        <v>6.1710121826256119E-2</v>
      </c>
    </row>
    <row r="544" spans="16:18" x14ac:dyDescent="0.3">
      <c r="P544" s="35">
        <v>17.809999999999999</v>
      </c>
      <c r="Q544">
        <v>305</v>
      </c>
      <c r="R544" s="34">
        <f t="shared" si="11"/>
        <v>6.1823978139588696E-2</v>
      </c>
    </row>
    <row r="545" spans="16:18" x14ac:dyDescent="0.3">
      <c r="P545" s="35">
        <v>17.809999999999999</v>
      </c>
      <c r="Q545">
        <v>305</v>
      </c>
      <c r="R545" s="34">
        <f t="shared" si="11"/>
        <v>6.1937834452921274E-2</v>
      </c>
    </row>
    <row r="546" spans="16:18" x14ac:dyDescent="0.3">
      <c r="P546" s="35">
        <v>17.809999999999999</v>
      </c>
      <c r="Q546">
        <v>305</v>
      </c>
      <c r="R546" s="34">
        <f t="shared" si="11"/>
        <v>6.2051690766253852E-2</v>
      </c>
    </row>
    <row r="547" spans="16:18" x14ac:dyDescent="0.3">
      <c r="P547" s="35">
        <v>17.82</v>
      </c>
      <c r="Q547">
        <v>305</v>
      </c>
      <c r="R547" s="34">
        <f t="shared" si="11"/>
        <v>6.2165547079586429E-2</v>
      </c>
    </row>
    <row r="548" spans="16:18" x14ac:dyDescent="0.3">
      <c r="P548" s="35">
        <v>17.82</v>
      </c>
      <c r="Q548">
        <v>305</v>
      </c>
      <c r="R548" s="34">
        <f t="shared" si="11"/>
        <v>6.2279403392919007E-2</v>
      </c>
    </row>
    <row r="549" spans="16:18" x14ac:dyDescent="0.3">
      <c r="P549" s="35">
        <v>17.82</v>
      </c>
      <c r="Q549">
        <v>305</v>
      </c>
      <c r="R549" s="34">
        <f t="shared" si="11"/>
        <v>6.2393259706251585E-2</v>
      </c>
    </row>
    <row r="550" spans="16:18" x14ac:dyDescent="0.3">
      <c r="P550" s="35">
        <v>17.82</v>
      </c>
      <c r="Q550">
        <v>305</v>
      </c>
      <c r="R550" s="34">
        <f t="shared" si="11"/>
        <v>6.2507116019584155E-2</v>
      </c>
    </row>
    <row r="551" spans="16:18" x14ac:dyDescent="0.3">
      <c r="P551" s="35">
        <v>17.84</v>
      </c>
      <c r="Q551">
        <v>305</v>
      </c>
      <c r="R551" s="34">
        <f t="shared" si="11"/>
        <v>6.2620972332916733E-2</v>
      </c>
    </row>
    <row r="552" spans="16:18" x14ac:dyDescent="0.3">
      <c r="P552" s="35">
        <v>17.84</v>
      </c>
      <c r="Q552">
        <v>305</v>
      </c>
      <c r="R552" s="34">
        <f t="shared" si="11"/>
        <v>6.273482864624931E-2</v>
      </c>
    </row>
    <row r="553" spans="16:18" x14ac:dyDescent="0.3">
      <c r="P553" s="35">
        <v>17.84</v>
      </c>
      <c r="Q553">
        <v>305</v>
      </c>
      <c r="R553" s="34">
        <f t="shared" si="11"/>
        <v>6.2848684959581888E-2</v>
      </c>
    </row>
    <row r="554" spans="16:18" x14ac:dyDescent="0.3">
      <c r="P554" s="35">
        <v>17.84</v>
      </c>
      <c r="Q554">
        <v>305</v>
      </c>
      <c r="R554" s="34">
        <f t="shared" si="11"/>
        <v>6.2962541272914466E-2</v>
      </c>
    </row>
    <row r="555" spans="16:18" x14ac:dyDescent="0.3">
      <c r="P555" s="35">
        <v>17.850000000000001</v>
      </c>
      <c r="Q555">
        <v>305</v>
      </c>
      <c r="R555" s="34">
        <f t="shared" si="11"/>
        <v>6.3076397586247043E-2</v>
      </c>
    </row>
    <row r="556" spans="16:18" x14ac:dyDescent="0.3">
      <c r="P556" s="35">
        <v>17.850000000000001</v>
      </c>
      <c r="Q556">
        <v>305</v>
      </c>
      <c r="R556" s="34">
        <f t="shared" si="11"/>
        <v>6.3190253899579621E-2</v>
      </c>
    </row>
    <row r="557" spans="16:18" x14ac:dyDescent="0.3">
      <c r="P557" s="35">
        <v>17.86</v>
      </c>
      <c r="Q557">
        <v>305</v>
      </c>
      <c r="R557" s="34">
        <f t="shared" si="11"/>
        <v>6.3304110212912199E-2</v>
      </c>
    </row>
    <row r="558" spans="16:18" x14ac:dyDescent="0.3">
      <c r="P558" s="35">
        <v>17.86</v>
      </c>
      <c r="Q558">
        <v>305</v>
      </c>
      <c r="R558" s="34">
        <f t="shared" si="11"/>
        <v>6.3417966526244776E-2</v>
      </c>
    </row>
    <row r="559" spans="16:18" x14ac:dyDescent="0.3">
      <c r="P559" s="35">
        <v>17.86</v>
      </c>
      <c r="Q559">
        <v>305</v>
      </c>
      <c r="R559" s="34">
        <f t="shared" si="11"/>
        <v>6.3531822839577354E-2</v>
      </c>
    </row>
    <row r="560" spans="16:18" x14ac:dyDescent="0.3">
      <c r="P560" s="35">
        <v>17.87</v>
      </c>
      <c r="Q560">
        <v>305</v>
      </c>
      <c r="R560" s="34">
        <f t="shared" si="11"/>
        <v>6.3645679152909931E-2</v>
      </c>
    </row>
    <row r="561" spans="16:18" x14ac:dyDescent="0.3">
      <c r="P561" s="35">
        <v>17.88</v>
      </c>
      <c r="Q561">
        <v>305</v>
      </c>
      <c r="R561" s="34">
        <f t="shared" si="11"/>
        <v>6.3759535466242509E-2</v>
      </c>
    </row>
    <row r="562" spans="16:18" x14ac:dyDescent="0.3">
      <c r="P562" s="35">
        <v>17.89</v>
      </c>
      <c r="Q562">
        <v>305</v>
      </c>
      <c r="R562" s="34">
        <f t="shared" si="11"/>
        <v>6.3873391779575087E-2</v>
      </c>
    </row>
    <row r="563" spans="16:18" x14ac:dyDescent="0.3">
      <c r="P563" s="35">
        <v>17.899999999999999</v>
      </c>
      <c r="Q563">
        <v>305</v>
      </c>
      <c r="R563" s="34">
        <f t="shared" si="11"/>
        <v>6.3987248092907664E-2</v>
      </c>
    </row>
    <row r="564" spans="16:18" x14ac:dyDescent="0.3">
      <c r="P564" s="35">
        <v>17.899999999999999</v>
      </c>
      <c r="Q564">
        <v>305</v>
      </c>
      <c r="R564" s="34">
        <f t="shared" si="11"/>
        <v>6.4101104406240242E-2</v>
      </c>
    </row>
    <row r="565" spans="16:18" x14ac:dyDescent="0.3">
      <c r="P565" s="35">
        <v>17.899999999999999</v>
      </c>
      <c r="Q565">
        <v>305</v>
      </c>
      <c r="R565" s="34">
        <f t="shared" si="11"/>
        <v>6.4214960719572819E-2</v>
      </c>
    </row>
    <row r="566" spans="16:18" x14ac:dyDescent="0.3">
      <c r="P566" s="35">
        <v>17.91</v>
      </c>
      <c r="Q566">
        <v>305</v>
      </c>
      <c r="R566" s="34">
        <f t="shared" si="11"/>
        <v>6.4328817032905397E-2</v>
      </c>
    </row>
    <row r="567" spans="16:18" x14ac:dyDescent="0.3">
      <c r="P567" s="35">
        <v>17.91</v>
      </c>
      <c r="Q567">
        <v>305</v>
      </c>
      <c r="R567" s="34">
        <f t="shared" si="11"/>
        <v>6.4442673346237975E-2</v>
      </c>
    </row>
    <row r="568" spans="16:18" x14ac:dyDescent="0.3">
      <c r="P568" s="35">
        <v>17.91</v>
      </c>
      <c r="Q568">
        <v>305</v>
      </c>
      <c r="R568" s="34">
        <f t="shared" si="11"/>
        <v>6.4556529659570552E-2</v>
      </c>
    </row>
    <row r="569" spans="16:18" x14ac:dyDescent="0.3">
      <c r="P569" s="35">
        <v>17.91</v>
      </c>
      <c r="Q569">
        <v>305</v>
      </c>
      <c r="R569" s="34">
        <f t="shared" si="11"/>
        <v>6.467038597290313E-2</v>
      </c>
    </row>
    <row r="570" spans="16:18" x14ac:dyDescent="0.3">
      <c r="P570" s="35">
        <v>17.920000000000002</v>
      </c>
      <c r="Q570">
        <v>305</v>
      </c>
      <c r="R570" s="34">
        <f t="shared" si="11"/>
        <v>6.4784242286235708E-2</v>
      </c>
    </row>
    <row r="571" spans="16:18" x14ac:dyDescent="0.3">
      <c r="P571" s="35">
        <v>17.920000000000002</v>
      </c>
      <c r="Q571">
        <v>305</v>
      </c>
      <c r="R571" s="34">
        <f t="shared" si="11"/>
        <v>6.4898098599568285E-2</v>
      </c>
    </row>
    <row r="572" spans="16:18" x14ac:dyDescent="0.3">
      <c r="P572" s="35">
        <v>17.920000000000002</v>
      </c>
      <c r="Q572">
        <v>305</v>
      </c>
      <c r="R572" s="34">
        <f t="shared" si="11"/>
        <v>6.5011954912900863E-2</v>
      </c>
    </row>
    <row r="573" spans="16:18" x14ac:dyDescent="0.3">
      <c r="P573" s="35">
        <v>17.920000000000002</v>
      </c>
      <c r="Q573">
        <v>305</v>
      </c>
      <c r="R573" s="34">
        <f t="shared" si="11"/>
        <v>6.512581122623344E-2</v>
      </c>
    </row>
    <row r="574" spans="16:18" x14ac:dyDescent="0.3">
      <c r="P574" s="35">
        <v>17.940000000000001</v>
      </c>
      <c r="Q574">
        <v>305</v>
      </c>
      <c r="R574" s="34">
        <f t="shared" si="11"/>
        <v>6.5239667539566018E-2</v>
      </c>
    </row>
    <row r="575" spans="16:18" x14ac:dyDescent="0.3">
      <c r="P575" s="35">
        <v>17.95</v>
      </c>
      <c r="Q575">
        <v>305</v>
      </c>
      <c r="R575" s="34">
        <f t="shared" si="11"/>
        <v>6.5353523852898596E-2</v>
      </c>
    </row>
    <row r="576" spans="16:18" x14ac:dyDescent="0.3">
      <c r="P576" s="35">
        <v>17.95</v>
      </c>
      <c r="Q576">
        <v>305</v>
      </c>
      <c r="R576" s="34">
        <f t="shared" si="11"/>
        <v>6.5467380166231173E-2</v>
      </c>
    </row>
    <row r="577" spans="16:18" x14ac:dyDescent="0.3">
      <c r="P577" s="35">
        <v>17.96</v>
      </c>
      <c r="Q577">
        <v>305</v>
      </c>
      <c r="R577" s="34">
        <f t="shared" si="11"/>
        <v>6.5581236479563751E-2</v>
      </c>
    </row>
    <row r="578" spans="16:18" x14ac:dyDescent="0.3">
      <c r="P578" s="35">
        <v>17.96</v>
      </c>
      <c r="Q578">
        <v>305</v>
      </c>
      <c r="R578" s="34">
        <f t="shared" si="11"/>
        <v>6.5695092792896329E-2</v>
      </c>
    </row>
    <row r="579" spans="16:18" x14ac:dyDescent="0.3">
      <c r="P579" s="35">
        <v>17.97</v>
      </c>
      <c r="Q579">
        <v>305</v>
      </c>
      <c r="R579" s="34">
        <f t="shared" si="11"/>
        <v>6.5808949106228906E-2</v>
      </c>
    </row>
    <row r="580" spans="16:18" x14ac:dyDescent="0.3">
      <c r="P580" s="35">
        <v>17.97</v>
      </c>
      <c r="Q580">
        <v>305</v>
      </c>
      <c r="R580" s="34">
        <f t="shared" ref="R580:R643" si="12">R579+R$2</f>
        <v>6.5922805419561484E-2</v>
      </c>
    </row>
    <row r="581" spans="16:18" x14ac:dyDescent="0.3">
      <c r="P581" s="35">
        <v>17.989999999999998</v>
      </c>
      <c r="Q581">
        <v>305</v>
      </c>
      <c r="R581" s="34">
        <f t="shared" si="12"/>
        <v>6.6036661732894061E-2</v>
      </c>
    </row>
    <row r="582" spans="16:18" x14ac:dyDescent="0.3">
      <c r="P582" s="35">
        <v>18</v>
      </c>
      <c r="Q582">
        <v>305</v>
      </c>
      <c r="R582" s="34">
        <f t="shared" si="12"/>
        <v>6.6150518046226639E-2</v>
      </c>
    </row>
    <row r="583" spans="16:18" x14ac:dyDescent="0.3">
      <c r="P583" s="35">
        <v>18</v>
      </c>
      <c r="Q583">
        <v>305</v>
      </c>
      <c r="R583" s="34">
        <f t="shared" si="12"/>
        <v>6.6264374359559217E-2</v>
      </c>
    </row>
    <row r="584" spans="16:18" x14ac:dyDescent="0.3">
      <c r="P584" s="35">
        <v>18</v>
      </c>
      <c r="Q584">
        <v>305</v>
      </c>
      <c r="R584" s="34">
        <f t="shared" si="12"/>
        <v>6.6378230672891794E-2</v>
      </c>
    </row>
    <row r="585" spans="16:18" x14ac:dyDescent="0.3">
      <c r="P585" s="35">
        <v>18.02</v>
      </c>
      <c r="Q585">
        <v>305</v>
      </c>
      <c r="R585" s="34">
        <f t="shared" si="12"/>
        <v>6.6492086986224372E-2</v>
      </c>
    </row>
    <row r="586" spans="16:18" x14ac:dyDescent="0.3">
      <c r="P586" s="35">
        <v>18.03</v>
      </c>
      <c r="Q586">
        <v>305</v>
      </c>
      <c r="R586" s="34">
        <f t="shared" si="12"/>
        <v>6.6605943299556949E-2</v>
      </c>
    </row>
    <row r="587" spans="16:18" x14ac:dyDescent="0.3">
      <c r="P587" s="35">
        <v>18.03</v>
      </c>
      <c r="Q587">
        <v>305</v>
      </c>
      <c r="R587" s="34">
        <f t="shared" si="12"/>
        <v>6.6719799612889527E-2</v>
      </c>
    </row>
    <row r="588" spans="16:18" x14ac:dyDescent="0.3">
      <c r="P588" s="35">
        <v>18.03</v>
      </c>
      <c r="Q588">
        <v>305</v>
      </c>
      <c r="R588" s="34">
        <f t="shared" si="12"/>
        <v>6.6833655926222105E-2</v>
      </c>
    </row>
    <row r="589" spans="16:18" x14ac:dyDescent="0.3">
      <c r="P589" s="35">
        <v>18.03</v>
      </c>
      <c r="Q589">
        <v>305</v>
      </c>
      <c r="R589" s="34">
        <f t="shared" si="12"/>
        <v>6.6947512239554682E-2</v>
      </c>
    </row>
    <row r="590" spans="16:18" x14ac:dyDescent="0.3">
      <c r="P590" s="35">
        <v>18.04</v>
      </c>
      <c r="Q590">
        <v>305</v>
      </c>
      <c r="R590" s="34">
        <f t="shared" si="12"/>
        <v>6.706136855288726E-2</v>
      </c>
    </row>
    <row r="591" spans="16:18" x14ac:dyDescent="0.3">
      <c r="P591" s="35">
        <v>18.04</v>
      </c>
      <c r="Q591">
        <v>305</v>
      </c>
      <c r="R591" s="34">
        <f t="shared" si="12"/>
        <v>6.7175224866219838E-2</v>
      </c>
    </row>
    <row r="592" spans="16:18" x14ac:dyDescent="0.3">
      <c r="P592" s="35">
        <v>18.04</v>
      </c>
      <c r="Q592">
        <v>305</v>
      </c>
      <c r="R592" s="34">
        <f t="shared" si="12"/>
        <v>6.7289081179552415E-2</v>
      </c>
    </row>
    <row r="593" spans="16:18" x14ac:dyDescent="0.3">
      <c r="P593" s="35">
        <v>18.04</v>
      </c>
      <c r="Q593">
        <v>305</v>
      </c>
      <c r="R593" s="34">
        <f t="shared" si="12"/>
        <v>6.7402937492884993E-2</v>
      </c>
    </row>
    <row r="594" spans="16:18" x14ac:dyDescent="0.3">
      <c r="P594" s="35">
        <v>18.059999999999999</v>
      </c>
      <c r="Q594">
        <v>305</v>
      </c>
      <c r="R594" s="34">
        <f t="shared" si="12"/>
        <v>6.751679380621757E-2</v>
      </c>
    </row>
    <row r="595" spans="16:18" x14ac:dyDescent="0.3">
      <c r="P595" s="35">
        <v>18.059999999999999</v>
      </c>
      <c r="Q595">
        <v>305</v>
      </c>
      <c r="R595" s="34">
        <f t="shared" si="12"/>
        <v>6.7630650119550148E-2</v>
      </c>
    </row>
    <row r="596" spans="16:18" x14ac:dyDescent="0.3">
      <c r="P596" s="35">
        <v>18.059999999999999</v>
      </c>
      <c r="Q596">
        <v>305</v>
      </c>
      <c r="R596" s="34">
        <f t="shared" si="12"/>
        <v>6.7744506432882726E-2</v>
      </c>
    </row>
    <row r="597" spans="16:18" x14ac:dyDescent="0.3">
      <c r="P597" s="35">
        <v>18.07</v>
      </c>
      <c r="Q597">
        <v>305</v>
      </c>
      <c r="R597" s="34">
        <f t="shared" si="12"/>
        <v>6.7858362746215303E-2</v>
      </c>
    </row>
    <row r="598" spans="16:18" x14ac:dyDescent="0.3">
      <c r="P598" s="35">
        <v>18.079999999999998</v>
      </c>
      <c r="Q598">
        <v>305</v>
      </c>
      <c r="R598" s="34">
        <f t="shared" si="12"/>
        <v>6.7972219059547881E-2</v>
      </c>
    </row>
    <row r="599" spans="16:18" x14ac:dyDescent="0.3">
      <c r="P599" s="35">
        <v>18.079999999999998</v>
      </c>
      <c r="Q599">
        <v>305</v>
      </c>
      <c r="R599" s="34">
        <f t="shared" si="12"/>
        <v>6.8086075372880459E-2</v>
      </c>
    </row>
    <row r="600" spans="16:18" x14ac:dyDescent="0.3">
      <c r="P600" s="35">
        <v>18.079999999999998</v>
      </c>
      <c r="Q600">
        <v>305</v>
      </c>
      <c r="R600" s="34">
        <f t="shared" si="12"/>
        <v>6.8199931686213036E-2</v>
      </c>
    </row>
    <row r="601" spans="16:18" x14ac:dyDescent="0.3">
      <c r="P601" s="35">
        <v>18.09</v>
      </c>
      <c r="Q601">
        <v>305</v>
      </c>
      <c r="R601" s="34">
        <f t="shared" si="12"/>
        <v>6.8313787999545614E-2</v>
      </c>
    </row>
    <row r="602" spans="16:18" x14ac:dyDescent="0.3">
      <c r="P602" s="35">
        <v>18.09</v>
      </c>
      <c r="Q602">
        <v>305</v>
      </c>
      <c r="R602" s="34">
        <f t="shared" si="12"/>
        <v>6.8427644312878191E-2</v>
      </c>
    </row>
    <row r="603" spans="16:18" x14ac:dyDescent="0.3">
      <c r="P603" s="35">
        <v>18.09</v>
      </c>
      <c r="Q603">
        <v>305</v>
      </c>
      <c r="R603" s="34">
        <f t="shared" si="12"/>
        <v>6.8541500626210769E-2</v>
      </c>
    </row>
    <row r="604" spans="16:18" x14ac:dyDescent="0.3">
      <c r="P604" s="35">
        <v>18.09</v>
      </c>
      <c r="Q604">
        <v>305</v>
      </c>
      <c r="R604" s="34">
        <f t="shared" si="12"/>
        <v>6.8655356939543347E-2</v>
      </c>
    </row>
    <row r="605" spans="16:18" x14ac:dyDescent="0.3">
      <c r="P605" s="35">
        <v>18.09</v>
      </c>
      <c r="Q605">
        <v>305</v>
      </c>
      <c r="R605" s="34">
        <f t="shared" si="12"/>
        <v>6.8769213252875924E-2</v>
      </c>
    </row>
    <row r="606" spans="16:18" x14ac:dyDescent="0.3">
      <c r="P606" s="35">
        <v>18.100000000000001</v>
      </c>
      <c r="Q606">
        <v>305</v>
      </c>
      <c r="R606" s="34">
        <f t="shared" si="12"/>
        <v>6.8883069566208502E-2</v>
      </c>
    </row>
    <row r="607" spans="16:18" x14ac:dyDescent="0.3">
      <c r="P607" s="35">
        <v>18.100000000000001</v>
      </c>
      <c r="Q607">
        <v>305</v>
      </c>
      <c r="R607" s="34">
        <f t="shared" si="12"/>
        <v>6.8996925879541079E-2</v>
      </c>
    </row>
    <row r="608" spans="16:18" x14ac:dyDescent="0.3">
      <c r="P608" s="35">
        <v>18.11</v>
      </c>
      <c r="Q608">
        <v>305</v>
      </c>
      <c r="R608" s="34">
        <f t="shared" si="12"/>
        <v>6.9110782192873657E-2</v>
      </c>
    </row>
    <row r="609" spans="16:18" x14ac:dyDescent="0.3">
      <c r="P609" s="35">
        <v>18.11</v>
      </c>
      <c r="Q609">
        <v>305</v>
      </c>
      <c r="R609" s="34">
        <f t="shared" si="12"/>
        <v>6.9224638506206235E-2</v>
      </c>
    </row>
    <row r="610" spans="16:18" x14ac:dyDescent="0.3">
      <c r="P610" s="35">
        <v>18.11</v>
      </c>
      <c r="Q610">
        <v>305</v>
      </c>
      <c r="R610" s="34">
        <f t="shared" si="12"/>
        <v>6.9338494819538812E-2</v>
      </c>
    </row>
    <row r="611" spans="16:18" x14ac:dyDescent="0.3">
      <c r="P611" s="35">
        <v>18.12</v>
      </c>
      <c r="Q611">
        <v>305</v>
      </c>
      <c r="R611" s="34">
        <f t="shared" si="12"/>
        <v>6.945235113287139E-2</v>
      </c>
    </row>
    <row r="612" spans="16:18" x14ac:dyDescent="0.3">
      <c r="P612" s="35">
        <v>18.13</v>
      </c>
      <c r="Q612">
        <v>305</v>
      </c>
      <c r="R612" s="34">
        <f t="shared" si="12"/>
        <v>6.9566207446203968E-2</v>
      </c>
    </row>
    <row r="613" spans="16:18" x14ac:dyDescent="0.3">
      <c r="P613" s="35">
        <v>18.13</v>
      </c>
      <c r="Q613">
        <v>305</v>
      </c>
      <c r="R613" s="34">
        <f t="shared" si="12"/>
        <v>6.9680063759536545E-2</v>
      </c>
    </row>
    <row r="614" spans="16:18" x14ac:dyDescent="0.3">
      <c r="P614" s="35">
        <v>18.13</v>
      </c>
      <c r="Q614">
        <v>305</v>
      </c>
      <c r="R614" s="34">
        <f t="shared" si="12"/>
        <v>6.9793920072869123E-2</v>
      </c>
    </row>
    <row r="615" spans="16:18" x14ac:dyDescent="0.3">
      <c r="P615" s="35">
        <v>18.13</v>
      </c>
      <c r="Q615">
        <v>305</v>
      </c>
      <c r="R615" s="34">
        <f t="shared" si="12"/>
        <v>6.99077763862017E-2</v>
      </c>
    </row>
    <row r="616" spans="16:18" x14ac:dyDescent="0.3">
      <c r="P616" s="35">
        <v>18.14</v>
      </c>
      <c r="Q616">
        <v>305</v>
      </c>
      <c r="R616" s="34">
        <f t="shared" si="12"/>
        <v>7.0021632699534278E-2</v>
      </c>
    </row>
    <row r="617" spans="16:18" x14ac:dyDescent="0.3">
      <c r="P617" s="35">
        <v>18.14</v>
      </c>
      <c r="Q617">
        <v>305</v>
      </c>
      <c r="R617" s="34">
        <f t="shared" si="12"/>
        <v>7.0135489012866856E-2</v>
      </c>
    </row>
    <row r="618" spans="16:18" x14ac:dyDescent="0.3">
      <c r="P618" s="35">
        <v>18.14</v>
      </c>
      <c r="Q618">
        <v>305</v>
      </c>
      <c r="R618" s="34">
        <f t="shared" si="12"/>
        <v>7.0249345326199433E-2</v>
      </c>
    </row>
    <row r="619" spans="16:18" x14ac:dyDescent="0.3">
      <c r="P619" s="35">
        <v>18.149999999999999</v>
      </c>
      <c r="Q619">
        <v>305</v>
      </c>
      <c r="R619" s="34">
        <f t="shared" si="12"/>
        <v>7.0363201639532011E-2</v>
      </c>
    </row>
    <row r="620" spans="16:18" x14ac:dyDescent="0.3">
      <c r="P620" s="35">
        <v>18.149999999999999</v>
      </c>
      <c r="Q620">
        <v>305</v>
      </c>
      <c r="R620" s="34">
        <f t="shared" si="12"/>
        <v>7.0477057952864589E-2</v>
      </c>
    </row>
    <row r="621" spans="16:18" x14ac:dyDescent="0.3">
      <c r="P621" s="35">
        <v>18.149999999999999</v>
      </c>
      <c r="Q621">
        <v>305</v>
      </c>
      <c r="R621" s="34">
        <f t="shared" si="12"/>
        <v>7.0590914266197166E-2</v>
      </c>
    </row>
    <row r="622" spans="16:18" x14ac:dyDescent="0.3">
      <c r="P622" s="35">
        <v>18.149999999999999</v>
      </c>
      <c r="Q622">
        <v>305</v>
      </c>
      <c r="R622" s="34">
        <f t="shared" si="12"/>
        <v>7.0704770579529744E-2</v>
      </c>
    </row>
    <row r="623" spans="16:18" x14ac:dyDescent="0.3">
      <c r="P623" s="35">
        <v>18.149999999999999</v>
      </c>
      <c r="Q623">
        <v>305</v>
      </c>
      <c r="R623" s="34">
        <f t="shared" si="12"/>
        <v>7.0818626892862321E-2</v>
      </c>
    </row>
    <row r="624" spans="16:18" x14ac:dyDescent="0.3">
      <c r="P624" s="35">
        <v>18.16</v>
      </c>
      <c r="Q624">
        <v>305</v>
      </c>
      <c r="R624" s="34">
        <f t="shared" si="12"/>
        <v>7.0932483206194899E-2</v>
      </c>
    </row>
    <row r="625" spans="16:18" x14ac:dyDescent="0.3">
      <c r="P625" s="35">
        <v>18.16</v>
      </c>
      <c r="Q625">
        <v>305</v>
      </c>
      <c r="R625" s="34">
        <f t="shared" si="12"/>
        <v>7.1046339519527477E-2</v>
      </c>
    </row>
    <row r="626" spans="16:18" x14ac:dyDescent="0.3">
      <c r="P626" s="35">
        <v>18.170000000000002</v>
      </c>
      <c r="Q626">
        <v>305</v>
      </c>
      <c r="R626" s="34">
        <f t="shared" si="12"/>
        <v>7.1160195832860054E-2</v>
      </c>
    </row>
    <row r="627" spans="16:18" x14ac:dyDescent="0.3">
      <c r="P627" s="35">
        <v>18.170000000000002</v>
      </c>
      <c r="Q627">
        <v>305</v>
      </c>
      <c r="R627" s="34">
        <f t="shared" si="12"/>
        <v>7.1274052146192632E-2</v>
      </c>
    </row>
    <row r="628" spans="16:18" x14ac:dyDescent="0.3">
      <c r="P628" s="35">
        <v>18.170000000000002</v>
      </c>
      <c r="Q628">
        <v>305</v>
      </c>
      <c r="R628" s="34">
        <f t="shared" si="12"/>
        <v>7.1387908459525209E-2</v>
      </c>
    </row>
    <row r="629" spans="16:18" x14ac:dyDescent="0.3">
      <c r="P629" s="35">
        <v>18.18</v>
      </c>
      <c r="Q629">
        <v>305</v>
      </c>
      <c r="R629" s="34">
        <f t="shared" si="12"/>
        <v>7.1501764772857787E-2</v>
      </c>
    </row>
    <row r="630" spans="16:18" x14ac:dyDescent="0.3">
      <c r="P630" s="35">
        <v>18.18</v>
      </c>
      <c r="Q630">
        <v>305</v>
      </c>
      <c r="R630" s="34">
        <f t="shared" si="12"/>
        <v>7.1615621086190365E-2</v>
      </c>
    </row>
    <row r="631" spans="16:18" x14ac:dyDescent="0.3">
      <c r="P631" s="35">
        <v>18.190000000000001</v>
      </c>
      <c r="Q631">
        <v>305</v>
      </c>
      <c r="R631" s="34">
        <f t="shared" si="12"/>
        <v>7.1729477399522942E-2</v>
      </c>
    </row>
    <row r="632" spans="16:18" x14ac:dyDescent="0.3">
      <c r="P632" s="35">
        <v>18.190000000000001</v>
      </c>
      <c r="Q632">
        <v>305</v>
      </c>
      <c r="R632" s="34">
        <f t="shared" si="12"/>
        <v>7.184333371285552E-2</v>
      </c>
    </row>
    <row r="633" spans="16:18" x14ac:dyDescent="0.3">
      <c r="P633" s="35">
        <v>18.190000000000001</v>
      </c>
      <c r="Q633">
        <v>305</v>
      </c>
      <c r="R633" s="34">
        <f t="shared" si="12"/>
        <v>7.1957190026188098E-2</v>
      </c>
    </row>
    <row r="634" spans="16:18" x14ac:dyDescent="0.3">
      <c r="P634" s="35">
        <v>18.2</v>
      </c>
      <c r="Q634">
        <v>305</v>
      </c>
      <c r="R634" s="34">
        <f t="shared" si="12"/>
        <v>7.2071046339520675E-2</v>
      </c>
    </row>
    <row r="635" spans="16:18" x14ac:dyDescent="0.3">
      <c r="P635" s="35">
        <v>18.2</v>
      </c>
      <c r="Q635">
        <v>305</v>
      </c>
      <c r="R635" s="34">
        <f t="shared" si="12"/>
        <v>7.2184902652853253E-2</v>
      </c>
    </row>
    <row r="636" spans="16:18" x14ac:dyDescent="0.3">
      <c r="P636" s="35">
        <v>18.21</v>
      </c>
      <c r="Q636">
        <v>305</v>
      </c>
      <c r="R636" s="34">
        <f t="shared" si="12"/>
        <v>7.229875896618583E-2</v>
      </c>
    </row>
    <row r="637" spans="16:18" x14ac:dyDescent="0.3">
      <c r="P637" s="35">
        <v>18.21</v>
      </c>
      <c r="Q637">
        <v>305</v>
      </c>
      <c r="R637" s="34">
        <f t="shared" si="12"/>
        <v>7.2412615279518408E-2</v>
      </c>
    </row>
    <row r="638" spans="16:18" x14ac:dyDescent="0.3">
      <c r="P638" s="35">
        <v>18.22</v>
      </c>
      <c r="Q638">
        <v>305</v>
      </c>
      <c r="R638" s="34">
        <f t="shared" si="12"/>
        <v>7.2526471592850986E-2</v>
      </c>
    </row>
    <row r="639" spans="16:18" x14ac:dyDescent="0.3">
      <c r="P639" s="35">
        <v>18.22</v>
      </c>
      <c r="Q639">
        <v>305</v>
      </c>
      <c r="R639" s="34">
        <f t="shared" si="12"/>
        <v>7.2640327906183563E-2</v>
      </c>
    </row>
    <row r="640" spans="16:18" x14ac:dyDescent="0.3">
      <c r="P640" s="35">
        <v>18.22</v>
      </c>
      <c r="Q640">
        <v>305</v>
      </c>
      <c r="R640" s="34">
        <f t="shared" si="12"/>
        <v>7.2754184219516141E-2</v>
      </c>
    </row>
    <row r="641" spans="16:18" x14ac:dyDescent="0.3">
      <c r="P641" s="35">
        <v>18.23</v>
      </c>
      <c r="Q641">
        <v>305</v>
      </c>
      <c r="R641" s="34">
        <f t="shared" si="12"/>
        <v>7.2868040532848719E-2</v>
      </c>
    </row>
    <row r="642" spans="16:18" x14ac:dyDescent="0.3">
      <c r="P642" s="35">
        <v>18.23</v>
      </c>
      <c r="Q642">
        <v>305</v>
      </c>
      <c r="R642" s="34">
        <f t="shared" si="12"/>
        <v>7.2981896846181296E-2</v>
      </c>
    </row>
    <row r="643" spans="16:18" x14ac:dyDescent="0.3">
      <c r="P643" s="35">
        <v>18.239999999999998</v>
      </c>
      <c r="Q643">
        <v>305</v>
      </c>
      <c r="R643" s="34">
        <f t="shared" si="12"/>
        <v>7.3095753159513874E-2</v>
      </c>
    </row>
    <row r="644" spans="16:18" x14ac:dyDescent="0.3">
      <c r="P644" s="35">
        <v>18.239999999999998</v>
      </c>
      <c r="Q644">
        <v>305</v>
      </c>
      <c r="R644" s="34">
        <f t="shared" ref="R644:R707" si="13">R643+R$2</f>
        <v>7.3209609472846451E-2</v>
      </c>
    </row>
    <row r="645" spans="16:18" x14ac:dyDescent="0.3">
      <c r="P645" s="35">
        <v>18.239999999999998</v>
      </c>
      <c r="Q645">
        <v>305</v>
      </c>
      <c r="R645" s="34">
        <f t="shared" si="13"/>
        <v>7.3323465786179029E-2</v>
      </c>
    </row>
    <row r="646" spans="16:18" x14ac:dyDescent="0.3">
      <c r="P646" s="35">
        <v>18.239999999999998</v>
      </c>
      <c r="Q646">
        <v>305</v>
      </c>
      <c r="R646" s="34">
        <f t="shared" si="13"/>
        <v>7.3437322099511607E-2</v>
      </c>
    </row>
    <row r="647" spans="16:18" x14ac:dyDescent="0.3">
      <c r="P647" s="35">
        <v>18.25</v>
      </c>
      <c r="Q647">
        <v>305</v>
      </c>
      <c r="R647" s="34">
        <f t="shared" si="13"/>
        <v>7.3551178412844184E-2</v>
      </c>
    </row>
    <row r="648" spans="16:18" x14ac:dyDescent="0.3">
      <c r="P648" s="35">
        <v>18.25</v>
      </c>
      <c r="Q648">
        <v>305</v>
      </c>
      <c r="R648" s="34">
        <f t="shared" si="13"/>
        <v>7.3665034726176762E-2</v>
      </c>
    </row>
    <row r="649" spans="16:18" x14ac:dyDescent="0.3">
      <c r="P649" s="35">
        <v>18.27</v>
      </c>
      <c r="Q649">
        <v>305</v>
      </c>
      <c r="R649" s="34">
        <f t="shared" si="13"/>
        <v>7.3778891039509339E-2</v>
      </c>
    </row>
    <row r="650" spans="16:18" x14ac:dyDescent="0.3">
      <c r="P650" s="35">
        <v>18.27</v>
      </c>
      <c r="Q650">
        <v>305</v>
      </c>
      <c r="R650" s="34">
        <f t="shared" si="13"/>
        <v>7.3892747352841917E-2</v>
      </c>
    </row>
    <row r="651" spans="16:18" x14ac:dyDescent="0.3">
      <c r="P651" s="35">
        <v>18.28</v>
      </c>
      <c r="Q651">
        <v>305</v>
      </c>
      <c r="R651" s="34">
        <f t="shared" si="13"/>
        <v>7.4006603666174495E-2</v>
      </c>
    </row>
    <row r="652" spans="16:18" x14ac:dyDescent="0.3">
      <c r="P652" s="35">
        <v>18.28</v>
      </c>
      <c r="Q652">
        <v>305</v>
      </c>
      <c r="R652" s="34">
        <f t="shared" si="13"/>
        <v>7.4120459979507072E-2</v>
      </c>
    </row>
    <row r="653" spans="16:18" x14ac:dyDescent="0.3">
      <c r="P653" s="35">
        <v>18.28</v>
      </c>
      <c r="Q653">
        <v>305</v>
      </c>
      <c r="R653" s="34">
        <f t="shared" si="13"/>
        <v>7.423431629283965E-2</v>
      </c>
    </row>
    <row r="654" spans="16:18" x14ac:dyDescent="0.3">
      <c r="P654" s="35">
        <v>18.29</v>
      </c>
      <c r="Q654">
        <v>305</v>
      </c>
      <c r="R654" s="34">
        <f t="shared" si="13"/>
        <v>7.4348172606172228E-2</v>
      </c>
    </row>
    <row r="655" spans="16:18" x14ac:dyDescent="0.3">
      <c r="P655" s="35">
        <v>18.29</v>
      </c>
      <c r="Q655">
        <v>305</v>
      </c>
      <c r="R655" s="34">
        <f t="shared" si="13"/>
        <v>7.4462028919504805E-2</v>
      </c>
    </row>
    <row r="656" spans="16:18" x14ac:dyDescent="0.3">
      <c r="P656" s="35">
        <v>18.29</v>
      </c>
      <c r="Q656">
        <v>305</v>
      </c>
      <c r="R656" s="34">
        <f t="shared" si="13"/>
        <v>7.4575885232837383E-2</v>
      </c>
    </row>
    <row r="657" spans="16:18" x14ac:dyDescent="0.3">
      <c r="P657" s="35">
        <v>18.29</v>
      </c>
      <c r="Q657">
        <v>305</v>
      </c>
      <c r="R657" s="34">
        <f t="shared" si="13"/>
        <v>7.468974154616996E-2</v>
      </c>
    </row>
    <row r="658" spans="16:18" x14ac:dyDescent="0.3">
      <c r="P658" s="35">
        <v>18.3</v>
      </c>
      <c r="Q658">
        <v>305</v>
      </c>
      <c r="R658" s="34">
        <f t="shared" si="13"/>
        <v>7.4803597859502538E-2</v>
      </c>
    </row>
    <row r="659" spans="16:18" x14ac:dyDescent="0.3">
      <c r="P659" s="35">
        <v>18.3</v>
      </c>
      <c r="Q659">
        <v>305</v>
      </c>
      <c r="R659" s="34">
        <f t="shared" si="13"/>
        <v>7.4917454172835116E-2</v>
      </c>
    </row>
    <row r="660" spans="16:18" x14ac:dyDescent="0.3">
      <c r="P660" s="35">
        <v>18.309999999999999</v>
      </c>
      <c r="Q660">
        <v>305</v>
      </c>
      <c r="R660" s="34">
        <f t="shared" si="13"/>
        <v>7.5031310486167693E-2</v>
      </c>
    </row>
    <row r="661" spans="16:18" x14ac:dyDescent="0.3">
      <c r="P661" s="35">
        <v>18.309999999999999</v>
      </c>
      <c r="Q661">
        <v>305</v>
      </c>
      <c r="R661" s="34">
        <f t="shared" si="13"/>
        <v>7.5145166799500271E-2</v>
      </c>
    </row>
    <row r="662" spans="16:18" x14ac:dyDescent="0.3">
      <c r="P662" s="35">
        <v>18.32</v>
      </c>
      <c r="Q662">
        <v>305</v>
      </c>
      <c r="R662" s="34">
        <f t="shared" si="13"/>
        <v>7.5259023112832849E-2</v>
      </c>
    </row>
    <row r="663" spans="16:18" x14ac:dyDescent="0.3">
      <c r="P663" s="35">
        <v>18.329999999999998</v>
      </c>
      <c r="Q663">
        <v>305</v>
      </c>
      <c r="R663" s="34">
        <f t="shared" si="13"/>
        <v>7.5372879426165426E-2</v>
      </c>
    </row>
    <row r="664" spans="16:18" x14ac:dyDescent="0.3">
      <c r="P664" s="35">
        <v>18.34</v>
      </c>
      <c r="Q664">
        <v>305</v>
      </c>
      <c r="R664" s="34">
        <f t="shared" si="13"/>
        <v>7.5486735739498004E-2</v>
      </c>
    </row>
    <row r="665" spans="16:18" x14ac:dyDescent="0.3">
      <c r="P665" s="35">
        <v>18.350000000000001</v>
      </c>
      <c r="Q665">
        <v>305</v>
      </c>
      <c r="R665" s="34">
        <f t="shared" si="13"/>
        <v>7.5600592052830581E-2</v>
      </c>
    </row>
    <row r="666" spans="16:18" x14ac:dyDescent="0.3">
      <c r="P666" s="35">
        <v>18.350000000000001</v>
      </c>
      <c r="Q666">
        <v>305</v>
      </c>
      <c r="R666" s="34">
        <f t="shared" si="13"/>
        <v>7.5714448366163159E-2</v>
      </c>
    </row>
    <row r="667" spans="16:18" x14ac:dyDescent="0.3">
      <c r="P667" s="35">
        <v>18.350000000000001</v>
      </c>
      <c r="Q667">
        <v>305</v>
      </c>
      <c r="R667" s="34">
        <f t="shared" si="13"/>
        <v>7.5828304679495737E-2</v>
      </c>
    </row>
    <row r="668" spans="16:18" x14ac:dyDescent="0.3">
      <c r="P668" s="35">
        <v>18.37</v>
      </c>
      <c r="Q668">
        <v>305</v>
      </c>
      <c r="R668" s="34">
        <f t="shared" si="13"/>
        <v>7.5942160992828314E-2</v>
      </c>
    </row>
    <row r="669" spans="16:18" x14ac:dyDescent="0.3">
      <c r="P669" s="35">
        <v>18.37</v>
      </c>
      <c r="Q669">
        <v>305</v>
      </c>
      <c r="R669" s="34">
        <f t="shared" si="13"/>
        <v>7.6056017306160892E-2</v>
      </c>
    </row>
    <row r="670" spans="16:18" x14ac:dyDescent="0.3">
      <c r="P670" s="35">
        <v>18.37</v>
      </c>
      <c r="Q670">
        <v>305</v>
      </c>
      <c r="R670" s="34">
        <f t="shared" si="13"/>
        <v>7.6169873619493469E-2</v>
      </c>
    </row>
    <row r="671" spans="16:18" x14ac:dyDescent="0.3">
      <c r="P671" s="35">
        <v>18.38</v>
      </c>
      <c r="Q671">
        <v>305</v>
      </c>
      <c r="R671" s="34">
        <f t="shared" si="13"/>
        <v>7.6283729932826047E-2</v>
      </c>
    </row>
    <row r="672" spans="16:18" x14ac:dyDescent="0.3">
      <c r="P672" s="35">
        <v>18.38</v>
      </c>
      <c r="Q672">
        <v>305</v>
      </c>
      <c r="R672" s="34">
        <f t="shared" si="13"/>
        <v>7.6397586246158625E-2</v>
      </c>
    </row>
    <row r="673" spans="16:18" x14ac:dyDescent="0.3">
      <c r="P673" s="35">
        <v>18.39</v>
      </c>
      <c r="Q673">
        <v>305</v>
      </c>
      <c r="R673" s="34">
        <f t="shared" si="13"/>
        <v>7.6511442559491202E-2</v>
      </c>
    </row>
    <row r="674" spans="16:18" x14ac:dyDescent="0.3">
      <c r="P674" s="35">
        <v>18.39</v>
      </c>
      <c r="Q674">
        <v>305</v>
      </c>
      <c r="R674" s="34">
        <f t="shared" si="13"/>
        <v>7.662529887282378E-2</v>
      </c>
    </row>
    <row r="675" spans="16:18" x14ac:dyDescent="0.3">
      <c r="P675" s="35">
        <v>18.39</v>
      </c>
      <c r="Q675">
        <v>305</v>
      </c>
      <c r="R675" s="34">
        <f t="shared" si="13"/>
        <v>7.6739155186156358E-2</v>
      </c>
    </row>
    <row r="676" spans="16:18" x14ac:dyDescent="0.3">
      <c r="P676" s="35">
        <v>18.39</v>
      </c>
      <c r="Q676">
        <v>305</v>
      </c>
      <c r="R676" s="34">
        <f t="shared" si="13"/>
        <v>7.6853011499488935E-2</v>
      </c>
    </row>
    <row r="677" spans="16:18" x14ac:dyDescent="0.3">
      <c r="P677" s="35">
        <v>18.399999999999999</v>
      </c>
      <c r="Q677">
        <v>305</v>
      </c>
      <c r="R677" s="34">
        <f t="shared" si="13"/>
        <v>7.6966867812821513E-2</v>
      </c>
    </row>
    <row r="678" spans="16:18" x14ac:dyDescent="0.3">
      <c r="P678" s="35">
        <v>18.41</v>
      </c>
      <c r="Q678">
        <v>305</v>
      </c>
      <c r="R678" s="34">
        <f t="shared" si="13"/>
        <v>7.708072412615409E-2</v>
      </c>
    </row>
    <row r="679" spans="16:18" x14ac:dyDescent="0.3">
      <c r="P679" s="35">
        <v>18.41</v>
      </c>
      <c r="Q679">
        <v>305</v>
      </c>
      <c r="R679" s="34">
        <f t="shared" si="13"/>
        <v>7.7194580439486668E-2</v>
      </c>
    </row>
    <row r="680" spans="16:18" x14ac:dyDescent="0.3">
      <c r="P680" s="35">
        <v>18.41</v>
      </c>
      <c r="Q680">
        <v>305</v>
      </c>
      <c r="R680" s="34">
        <f t="shared" si="13"/>
        <v>7.7308436752819246E-2</v>
      </c>
    </row>
    <row r="681" spans="16:18" x14ac:dyDescent="0.3">
      <c r="P681" s="35">
        <v>18.43</v>
      </c>
      <c r="Q681">
        <v>305</v>
      </c>
      <c r="R681" s="34">
        <f t="shared" si="13"/>
        <v>7.7422293066151823E-2</v>
      </c>
    </row>
    <row r="682" spans="16:18" x14ac:dyDescent="0.3">
      <c r="P682" s="35">
        <v>18.43</v>
      </c>
      <c r="Q682">
        <v>305</v>
      </c>
      <c r="R682" s="34">
        <f t="shared" si="13"/>
        <v>7.7536149379484401E-2</v>
      </c>
    </row>
    <row r="683" spans="16:18" x14ac:dyDescent="0.3">
      <c r="P683" s="35">
        <v>18.43</v>
      </c>
      <c r="Q683">
        <v>305</v>
      </c>
      <c r="R683" s="34">
        <f t="shared" si="13"/>
        <v>7.7650005692816979E-2</v>
      </c>
    </row>
    <row r="684" spans="16:18" x14ac:dyDescent="0.3">
      <c r="P684" s="35">
        <v>18.440000000000001</v>
      </c>
      <c r="Q684">
        <v>305</v>
      </c>
      <c r="R684" s="34">
        <f t="shared" si="13"/>
        <v>7.7763862006149556E-2</v>
      </c>
    </row>
    <row r="685" spans="16:18" x14ac:dyDescent="0.3">
      <c r="P685" s="35">
        <v>18.440000000000001</v>
      </c>
      <c r="Q685">
        <v>305</v>
      </c>
      <c r="R685" s="34">
        <f t="shared" si="13"/>
        <v>7.7877718319482134E-2</v>
      </c>
    </row>
    <row r="686" spans="16:18" x14ac:dyDescent="0.3">
      <c r="P686" s="35">
        <v>18.45</v>
      </c>
      <c r="Q686">
        <v>305</v>
      </c>
      <c r="R686" s="34">
        <f t="shared" si="13"/>
        <v>7.7991574632814711E-2</v>
      </c>
    </row>
    <row r="687" spans="16:18" x14ac:dyDescent="0.3">
      <c r="P687" s="35">
        <v>18.45</v>
      </c>
      <c r="Q687">
        <v>305</v>
      </c>
      <c r="R687" s="34">
        <f t="shared" si="13"/>
        <v>7.8105430946147289E-2</v>
      </c>
    </row>
    <row r="688" spans="16:18" x14ac:dyDescent="0.3">
      <c r="P688" s="35">
        <v>18.46</v>
      </c>
      <c r="Q688">
        <v>305</v>
      </c>
      <c r="R688" s="34">
        <f t="shared" si="13"/>
        <v>7.8219287259479867E-2</v>
      </c>
    </row>
    <row r="689" spans="16:18" x14ac:dyDescent="0.3">
      <c r="P689" s="35">
        <v>18.47</v>
      </c>
      <c r="Q689">
        <v>305</v>
      </c>
      <c r="R689" s="34">
        <f t="shared" si="13"/>
        <v>7.8333143572812444E-2</v>
      </c>
    </row>
    <row r="690" spans="16:18" x14ac:dyDescent="0.3">
      <c r="P690" s="35">
        <v>18.47</v>
      </c>
      <c r="Q690">
        <v>305</v>
      </c>
      <c r="R690" s="34">
        <f t="shared" si="13"/>
        <v>7.8446999886145022E-2</v>
      </c>
    </row>
    <row r="691" spans="16:18" x14ac:dyDescent="0.3">
      <c r="P691" s="35">
        <v>18.48</v>
      </c>
      <c r="Q691">
        <v>305</v>
      </c>
      <c r="R691" s="34">
        <f t="shared" si="13"/>
        <v>7.8560856199477599E-2</v>
      </c>
    </row>
    <row r="692" spans="16:18" x14ac:dyDescent="0.3">
      <c r="P692" s="35">
        <v>18.48</v>
      </c>
      <c r="Q692">
        <v>305</v>
      </c>
      <c r="R692" s="34">
        <f t="shared" si="13"/>
        <v>7.8674712512810177E-2</v>
      </c>
    </row>
    <row r="693" spans="16:18" x14ac:dyDescent="0.3">
      <c r="P693" s="35">
        <v>18.48</v>
      </c>
      <c r="Q693">
        <v>305</v>
      </c>
      <c r="R693" s="34">
        <f t="shared" si="13"/>
        <v>7.8788568826142755E-2</v>
      </c>
    </row>
    <row r="694" spans="16:18" x14ac:dyDescent="0.3">
      <c r="P694" s="35">
        <v>18.48</v>
      </c>
      <c r="Q694">
        <v>305</v>
      </c>
      <c r="R694" s="34">
        <f t="shared" si="13"/>
        <v>7.8902425139475332E-2</v>
      </c>
    </row>
    <row r="695" spans="16:18" x14ac:dyDescent="0.3">
      <c r="P695" s="35">
        <v>18.489999999999998</v>
      </c>
      <c r="Q695">
        <v>305</v>
      </c>
      <c r="R695" s="34">
        <f t="shared" si="13"/>
        <v>7.901628145280791E-2</v>
      </c>
    </row>
    <row r="696" spans="16:18" x14ac:dyDescent="0.3">
      <c r="P696" s="35">
        <v>18.489999999999998</v>
      </c>
      <c r="Q696">
        <v>305</v>
      </c>
      <c r="R696" s="34">
        <f t="shared" si="13"/>
        <v>7.9130137766140488E-2</v>
      </c>
    </row>
    <row r="697" spans="16:18" x14ac:dyDescent="0.3">
      <c r="P697" s="35">
        <v>18.489999999999998</v>
      </c>
      <c r="Q697">
        <v>305</v>
      </c>
      <c r="R697" s="34">
        <f t="shared" si="13"/>
        <v>7.9243994079473065E-2</v>
      </c>
    </row>
    <row r="698" spans="16:18" x14ac:dyDescent="0.3">
      <c r="P698" s="35">
        <v>18.5</v>
      </c>
      <c r="Q698">
        <v>305</v>
      </c>
      <c r="R698" s="34">
        <f t="shared" si="13"/>
        <v>7.9357850392805643E-2</v>
      </c>
    </row>
    <row r="699" spans="16:18" x14ac:dyDescent="0.3">
      <c r="P699" s="35">
        <v>18.52</v>
      </c>
      <c r="Q699">
        <v>305</v>
      </c>
      <c r="R699" s="34">
        <f t="shared" si="13"/>
        <v>7.947170670613822E-2</v>
      </c>
    </row>
    <row r="700" spans="16:18" x14ac:dyDescent="0.3">
      <c r="P700" s="35">
        <v>18.52</v>
      </c>
      <c r="Q700">
        <v>305</v>
      </c>
      <c r="R700" s="34">
        <f t="shared" si="13"/>
        <v>7.9585563019470798E-2</v>
      </c>
    </row>
    <row r="701" spans="16:18" x14ac:dyDescent="0.3">
      <c r="P701" s="35">
        <v>18.53</v>
      </c>
      <c r="Q701">
        <v>305</v>
      </c>
      <c r="R701" s="34">
        <f t="shared" si="13"/>
        <v>7.9699419332803376E-2</v>
      </c>
    </row>
    <row r="702" spans="16:18" x14ac:dyDescent="0.3">
      <c r="P702" s="35">
        <v>18.54</v>
      </c>
      <c r="Q702">
        <v>305</v>
      </c>
      <c r="R702" s="34">
        <f t="shared" si="13"/>
        <v>7.9813275646135953E-2</v>
      </c>
    </row>
    <row r="703" spans="16:18" x14ac:dyDescent="0.3">
      <c r="P703" s="35">
        <v>18.54</v>
      </c>
      <c r="Q703">
        <v>305</v>
      </c>
      <c r="R703" s="34">
        <f t="shared" si="13"/>
        <v>7.9927131959468531E-2</v>
      </c>
    </row>
    <row r="704" spans="16:18" x14ac:dyDescent="0.3">
      <c r="P704" s="35">
        <v>18.55</v>
      </c>
      <c r="Q704">
        <v>305</v>
      </c>
      <c r="R704" s="34">
        <f t="shared" si="13"/>
        <v>8.0040988272801109E-2</v>
      </c>
    </row>
    <row r="705" spans="16:18" x14ac:dyDescent="0.3">
      <c r="P705" s="35">
        <v>18.55</v>
      </c>
      <c r="Q705">
        <v>305</v>
      </c>
      <c r="R705" s="34">
        <f t="shared" si="13"/>
        <v>8.0154844586133686E-2</v>
      </c>
    </row>
    <row r="706" spans="16:18" x14ac:dyDescent="0.3">
      <c r="P706" s="35">
        <v>18.55</v>
      </c>
      <c r="Q706">
        <v>305</v>
      </c>
      <c r="R706" s="34">
        <f t="shared" si="13"/>
        <v>8.0268700899466264E-2</v>
      </c>
    </row>
    <row r="707" spans="16:18" x14ac:dyDescent="0.3">
      <c r="P707" s="35">
        <v>18.57</v>
      </c>
      <c r="Q707">
        <v>305</v>
      </c>
      <c r="R707" s="34">
        <f t="shared" si="13"/>
        <v>8.0382557212798841E-2</v>
      </c>
    </row>
    <row r="708" spans="16:18" x14ac:dyDescent="0.3">
      <c r="P708" s="35">
        <v>18.579999999999998</v>
      </c>
      <c r="Q708">
        <v>305</v>
      </c>
      <c r="R708" s="34">
        <f t="shared" ref="R708:R771" si="14">R707+R$2</f>
        <v>8.0496413526131419E-2</v>
      </c>
    </row>
    <row r="709" spans="16:18" x14ac:dyDescent="0.3">
      <c r="P709" s="35">
        <v>18.579999999999998</v>
      </c>
      <c r="Q709">
        <v>305</v>
      </c>
      <c r="R709" s="34">
        <f t="shared" si="14"/>
        <v>8.0610269839463997E-2</v>
      </c>
    </row>
    <row r="710" spans="16:18" x14ac:dyDescent="0.3">
      <c r="P710" s="35">
        <v>18.579999999999998</v>
      </c>
      <c r="Q710">
        <v>305</v>
      </c>
      <c r="R710" s="34">
        <f t="shared" si="14"/>
        <v>8.0724126152796574E-2</v>
      </c>
    </row>
    <row r="711" spans="16:18" x14ac:dyDescent="0.3">
      <c r="P711" s="35">
        <v>18.59</v>
      </c>
      <c r="Q711">
        <v>305</v>
      </c>
      <c r="R711" s="34">
        <f t="shared" si="14"/>
        <v>8.0837982466129152E-2</v>
      </c>
    </row>
    <row r="712" spans="16:18" x14ac:dyDescent="0.3">
      <c r="P712" s="35">
        <v>18.59</v>
      </c>
      <c r="Q712">
        <v>305</v>
      </c>
      <c r="R712" s="34">
        <f t="shared" si="14"/>
        <v>8.0951838779461729E-2</v>
      </c>
    </row>
    <row r="713" spans="16:18" x14ac:dyDescent="0.3">
      <c r="P713" s="35">
        <v>18.600000000000001</v>
      </c>
      <c r="Q713">
        <v>305</v>
      </c>
      <c r="R713" s="34">
        <f t="shared" si="14"/>
        <v>8.1065695092794307E-2</v>
      </c>
    </row>
    <row r="714" spans="16:18" x14ac:dyDescent="0.3">
      <c r="P714" s="35">
        <v>18.61</v>
      </c>
      <c r="Q714">
        <v>305</v>
      </c>
      <c r="R714" s="34">
        <f t="shared" si="14"/>
        <v>8.1179551406126885E-2</v>
      </c>
    </row>
    <row r="715" spans="16:18" x14ac:dyDescent="0.3">
      <c r="P715" s="35">
        <v>18.61</v>
      </c>
      <c r="Q715">
        <v>305</v>
      </c>
      <c r="R715" s="34">
        <f t="shared" si="14"/>
        <v>8.1293407719459462E-2</v>
      </c>
    </row>
    <row r="716" spans="16:18" x14ac:dyDescent="0.3">
      <c r="P716" s="35">
        <v>18.62</v>
      </c>
      <c r="Q716">
        <v>305</v>
      </c>
      <c r="R716" s="34">
        <f t="shared" si="14"/>
        <v>8.140726403279204E-2</v>
      </c>
    </row>
    <row r="717" spans="16:18" x14ac:dyDescent="0.3">
      <c r="P717" s="35">
        <v>18.62</v>
      </c>
      <c r="Q717">
        <v>305</v>
      </c>
      <c r="R717" s="34">
        <f t="shared" si="14"/>
        <v>8.1521120346124618E-2</v>
      </c>
    </row>
    <row r="718" spans="16:18" x14ac:dyDescent="0.3">
      <c r="P718" s="35">
        <v>18.62</v>
      </c>
      <c r="Q718">
        <v>305</v>
      </c>
      <c r="R718" s="34">
        <f t="shared" si="14"/>
        <v>8.1634976659457195E-2</v>
      </c>
    </row>
    <row r="719" spans="16:18" x14ac:dyDescent="0.3">
      <c r="P719" s="35">
        <v>18.62</v>
      </c>
      <c r="Q719">
        <v>305</v>
      </c>
      <c r="R719" s="34">
        <f t="shared" si="14"/>
        <v>8.1748832972789773E-2</v>
      </c>
    </row>
    <row r="720" spans="16:18" x14ac:dyDescent="0.3">
      <c r="P720" s="35">
        <v>18.64</v>
      </c>
      <c r="Q720">
        <v>305</v>
      </c>
      <c r="R720" s="34">
        <f t="shared" si="14"/>
        <v>8.186268928612235E-2</v>
      </c>
    </row>
    <row r="721" spans="16:18" x14ac:dyDescent="0.3">
      <c r="P721" s="35">
        <v>18.64</v>
      </c>
      <c r="Q721">
        <v>305</v>
      </c>
      <c r="R721" s="34">
        <f t="shared" si="14"/>
        <v>8.1976545599454928E-2</v>
      </c>
    </row>
    <row r="722" spans="16:18" x14ac:dyDescent="0.3">
      <c r="P722" s="35">
        <v>18.64</v>
      </c>
      <c r="Q722">
        <v>305</v>
      </c>
      <c r="R722" s="34">
        <f t="shared" si="14"/>
        <v>8.2090401912787506E-2</v>
      </c>
    </row>
    <row r="723" spans="16:18" x14ac:dyDescent="0.3">
      <c r="P723" s="35">
        <v>18.649999999999999</v>
      </c>
      <c r="Q723">
        <v>305</v>
      </c>
      <c r="R723" s="34">
        <f t="shared" si="14"/>
        <v>8.2204258226120083E-2</v>
      </c>
    </row>
    <row r="724" spans="16:18" x14ac:dyDescent="0.3">
      <c r="P724" s="35">
        <v>18.66</v>
      </c>
      <c r="Q724">
        <v>305</v>
      </c>
      <c r="R724" s="34">
        <f t="shared" si="14"/>
        <v>8.2318114539452661E-2</v>
      </c>
    </row>
    <row r="725" spans="16:18" x14ac:dyDescent="0.3">
      <c r="P725" s="35">
        <v>18.66</v>
      </c>
      <c r="Q725">
        <v>305</v>
      </c>
      <c r="R725" s="34">
        <f t="shared" si="14"/>
        <v>8.2431970852785239E-2</v>
      </c>
    </row>
    <row r="726" spans="16:18" x14ac:dyDescent="0.3">
      <c r="P726" s="35">
        <v>18.66</v>
      </c>
      <c r="Q726">
        <v>305</v>
      </c>
      <c r="R726" s="34">
        <f t="shared" si="14"/>
        <v>8.2545827166117816E-2</v>
      </c>
    </row>
    <row r="727" spans="16:18" x14ac:dyDescent="0.3">
      <c r="P727" s="35">
        <v>18.670000000000002</v>
      </c>
      <c r="Q727">
        <v>305</v>
      </c>
      <c r="R727" s="34">
        <f t="shared" si="14"/>
        <v>8.2659683479450394E-2</v>
      </c>
    </row>
    <row r="728" spans="16:18" x14ac:dyDescent="0.3">
      <c r="P728" s="35">
        <v>18.670000000000002</v>
      </c>
      <c r="Q728">
        <v>305</v>
      </c>
      <c r="R728" s="34">
        <f t="shared" si="14"/>
        <v>8.2773539792782971E-2</v>
      </c>
    </row>
    <row r="729" spans="16:18" x14ac:dyDescent="0.3">
      <c r="P729" s="35">
        <v>18.670000000000002</v>
      </c>
      <c r="Q729">
        <v>305</v>
      </c>
      <c r="R729" s="34">
        <f t="shared" si="14"/>
        <v>8.2887396106115549E-2</v>
      </c>
    </row>
    <row r="730" spans="16:18" x14ac:dyDescent="0.3">
      <c r="P730" s="35">
        <v>18.670000000000002</v>
      </c>
      <c r="Q730">
        <v>305</v>
      </c>
      <c r="R730" s="34">
        <f t="shared" si="14"/>
        <v>8.3001252419448127E-2</v>
      </c>
    </row>
    <row r="731" spans="16:18" x14ac:dyDescent="0.3">
      <c r="P731" s="35">
        <v>18.670000000000002</v>
      </c>
      <c r="Q731">
        <v>305</v>
      </c>
      <c r="R731" s="34">
        <f t="shared" si="14"/>
        <v>8.3115108732780704E-2</v>
      </c>
    </row>
    <row r="732" spans="16:18" x14ac:dyDescent="0.3">
      <c r="P732" s="35">
        <v>18.670000000000002</v>
      </c>
      <c r="Q732">
        <v>305</v>
      </c>
      <c r="R732" s="34">
        <f t="shared" si="14"/>
        <v>8.3228965046113282E-2</v>
      </c>
    </row>
    <row r="733" spans="16:18" x14ac:dyDescent="0.3">
      <c r="P733" s="35">
        <v>18.670000000000002</v>
      </c>
      <c r="Q733">
        <v>305</v>
      </c>
      <c r="R733" s="34">
        <f t="shared" si="14"/>
        <v>8.3342821359445859E-2</v>
      </c>
    </row>
    <row r="734" spans="16:18" x14ac:dyDescent="0.3">
      <c r="P734" s="35">
        <v>18.68</v>
      </c>
      <c r="Q734">
        <v>305</v>
      </c>
      <c r="R734" s="34">
        <f t="shared" si="14"/>
        <v>8.3456677672778437E-2</v>
      </c>
    </row>
    <row r="735" spans="16:18" x14ac:dyDescent="0.3">
      <c r="P735" s="35">
        <v>18.690000000000001</v>
      </c>
      <c r="Q735">
        <v>305</v>
      </c>
      <c r="R735" s="34">
        <f t="shared" si="14"/>
        <v>8.3570533986111015E-2</v>
      </c>
    </row>
    <row r="736" spans="16:18" x14ac:dyDescent="0.3">
      <c r="P736" s="35">
        <v>18.7</v>
      </c>
      <c r="Q736">
        <v>305</v>
      </c>
      <c r="R736" s="34">
        <f t="shared" si="14"/>
        <v>8.3684390299443592E-2</v>
      </c>
    </row>
    <row r="737" spans="16:18" x14ac:dyDescent="0.3">
      <c r="P737" s="35">
        <v>18.7</v>
      </c>
      <c r="Q737">
        <v>305</v>
      </c>
      <c r="R737" s="34">
        <f t="shared" si="14"/>
        <v>8.379824661277617E-2</v>
      </c>
    </row>
    <row r="738" spans="16:18" x14ac:dyDescent="0.3">
      <c r="P738" s="35">
        <v>18.7</v>
      </c>
      <c r="Q738">
        <v>305</v>
      </c>
      <c r="R738" s="34">
        <f t="shared" si="14"/>
        <v>8.3912102926108748E-2</v>
      </c>
    </row>
    <row r="739" spans="16:18" x14ac:dyDescent="0.3">
      <c r="P739" s="35">
        <v>18.71</v>
      </c>
      <c r="Q739">
        <v>305</v>
      </c>
      <c r="R739" s="34">
        <f t="shared" si="14"/>
        <v>8.4025959239441325E-2</v>
      </c>
    </row>
    <row r="740" spans="16:18" x14ac:dyDescent="0.3">
      <c r="P740" s="35">
        <v>18.71</v>
      </c>
      <c r="Q740">
        <v>305</v>
      </c>
      <c r="R740" s="34">
        <f t="shared" si="14"/>
        <v>8.4139815552773903E-2</v>
      </c>
    </row>
    <row r="741" spans="16:18" x14ac:dyDescent="0.3">
      <c r="P741" s="35">
        <v>18.71</v>
      </c>
      <c r="Q741">
        <v>305</v>
      </c>
      <c r="R741" s="34">
        <f t="shared" si="14"/>
        <v>8.425367186610648E-2</v>
      </c>
    </row>
    <row r="742" spans="16:18" x14ac:dyDescent="0.3">
      <c r="P742" s="35">
        <v>18.71</v>
      </c>
      <c r="Q742">
        <v>305</v>
      </c>
      <c r="R742" s="34">
        <f t="shared" si="14"/>
        <v>8.4367528179439058E-2</v>
      </c>
    </row>
    <row r="743" spans="16:18" x14ac:dyDescent="0.3">
      <c r="P743" s="35">
        <v>18.72</v>
      </c>
      <c r="Q743">
        <v>305</v>
      </c>
      <c r="R743" s="34">
        <f t="shared" si="14"/>
        <v>8.4481384492771636E-2</v>
      </c>
    </row>
    <row r="744" spans="16:18" x14ac:dyDescent="0.3">
      <c r="P744" s="35">
        <v>18.72</v>
      </c>
      <c r="Q744">
        <v>305</v>
      </c>
      <c r="R744" s="34">
        <f t="shared" si="14"/>
        <v>8.4595240806104213E-2</v>
      </c>
    </row>
    <row r="745" spans="16:18" x14ac:dyDescent="0.3">
      <c r="P745" s="35">
        <v>18.72</v>
      </c>
      <c r="Q745">
        <v>305</v>
      </c>
      <c r="R745" s="34">
        <f t="shared" si="14"/>
        <v>8.4709097119436791E-2</v>
      </c>
    </row>
    <row r="746" spans="16:18" x14ac:dyDescent="0.3">
      <c r="P746" s="35">
        <v>18.72</v>
      </c>
      <c r="Q746">
        <v>305</v>
      </c>
      <c r="R746" s="34">
        <f t="shared" si="14"/>
        <v>8.4822953432769368E-2</v>
      </c>
    </row>
    <row r="747" spans="16:18" x14ac:dyDescent="0.3">
      <c r="P747" s="35">
        <v>18.72</v>
      </c>
      <c r="Q747">
        <v>305</v>
      </c>
      <c r="R747" s="34">
        <f t="shared" si="14"/>
        <v>8.4936809746101946E-2</v>
      </c>
    </row>
    <row r="748" spans="16:18" x14ac:dyDescent="0.3">
      <c r="P748" s="35">
        <v>18.72</v>
      </c>
      <c r="Q748">
        <v>305</v>
      </c>
      <c r="R748" s="34">
        <f t="shared" si="14"/>
        <v>8.5050666059434524E-2</v>
      </c>
    </row>
    <row r="749" spans="16:18" x14ac:dyDescent="0.3">
      <c r="P749" s="35">
        <v>18.72</v>
      </c>
      <c r="Q749">
        <v>305</v>
      </c>
      <c r="R749" s="34">
        <f t="shared" si="14"/>
        <v>8.5164522372767101E-2</v>
      </c>
    </row>
    <row r="750" spans="16:18" x14ac:dyDescent="0.3">
      <c r="P750" s="35">
        <v>18.73</v>
      </c>
      <c r="Q750">
        <v>305</v>
      </c>
      <c r="R750" s="34">
        <f t="shared" si="14"/>
        <v>8.5278378686099679E-2</v>
      </c>
    </row>
    <row r="751" spans="16:18" x14ac:dyDescent="0.3">
      <c r="P751" s="35">
        <v>18.73</v>
      </c>
      <c r="Q751">
        <v>305</v>
      </c>
      <c r="R751" s="34">
        <f t="shared" si="14"/>
        <v>8.5392234999432257E-2</v>
      </c>
    </row>
    <row r="752" spans="16:18" x14ac:dyDescent="0.3">
      <c r="P752" s="35">
        <v>18.739999999999998</v>
      </c>
      <c r="Q752">
        <v>305</v>
      </c>
      <c r="R752" s="34">
        <f t="shared" si="14"/>
        <v>8.5506091312764834E-2</v>
      </c>
    </row>
    <row r="753" spans="16:18" x14ac:dyDescent="0.3">
      <c r="P753" s="35">
        <v>18.739999999999998</v>
      </c>
      <c r="Q753">
        <v>305</v>
      </c>
      <c r="R753" s="34">
        <f t="shared" si="14"/>
        <v>8.5619947626097412E-2</v>
      </c>
    </row>
    <row r="754" spans="16:18" x14ac:dyDescent="0.3">
      <c r="P754" s="35">
        <v>18.739999999999998</v>
      </c>
      <c r="Q754">
        <v>305</v>
      </c>
      <c r="R754" s="34">
        <f t="shared" si="14"/>
        <v>8.5733803939429989E-2</v>
      </c>
    </row>
    <row r="755" spans="16:18" x14ac:dyDescent="0.3">
      <c r="P755" s="35">
        <v>18.739999999999998</v>
      </c>
      <c r="Q755">
        <v>305</v>
      </c>
      <c r="R755" s="34">
        <f t="shared" si="14"/>
        <v>8.5847660252762567E-2</v>
      </c>
    </row>
    <row r="756" spans="16:18" x14ac:dyDescent="0.3">
      <c r="P756" s="35">
        <v>18.75</v>
      </c>
      <c r="Q756">
        <v>305</v>
      </c>
      <c r="R756" s="34">
        <f t="shared" si="14"/>
        <v>8.5961516566095145E-2</v>
      </c>
    </row>
    <row r="757" spans="16:18" x14ac:dyDescent="0.3">
      <c r="P757" s="35">
        <v>18.75</v>
      </c>
      <c r="Q757">
        <v>305</v>
      </c>
      <c r="R757" s="34">
        <f t="shared" si="14"/>
        <v>8.6075372879427722E-2</v>
      </c>
    </row>
    <row r="758" spans="16:18" x14ac:dyDescent="0.3">
      <c r="P758" s="35">
        <v>18.75</v>
      </c>
      <c r="Q758">
        <v>305</v>
      </c>
      <c r="R758" s="34">
        <f t="shared" si="14"/>
        <v>8.61892291927603E-2</v>
      </c>
    </row>
    <row r="759" spans="16:18" x14ac:dyDescent="0.3">
      <c r="P759" s="35">
        <v>18.760000000000002</v>
      </c>
      <c r="Q759">
        <v>305</v>
      </c>
      <c r="R759" s="34">
        <f t="shared" si="14"/>
        <v>8.6303085506092878E-2</v>
      </c>
    </row>
    <row r="760" spans="16:18" x14ac:dyDescent="0.3">
      <c r="P760" s="35">
        <v>18.760000000000002</v>
      </c>
      <c r="Q760">
        <v>305</v>
      </c>
      <c r="R760" s="34">
        <f t="shared" si="14"/>
        <v>8.6416941819425455E-2</v>
      </c>
    </row>
    <row r="761" spans="16:18" x14ac:dyDescent="0.3">
      <c r="P761" s="35">
        <v>18.760000000000002</v>
      </c>
      <c r="Q761">
        <v>305</v>
      </c>
      <c r="R761" s="34">
        <f t="shared" si="14"/>
        <v>8.6530798132758033E-2</v>
      </c>
    </row>
    <row r="762" spans="16:18" x14ac:dyDescent="0.3">
      <c r="P762" s="35">
        <v>18.77</v>
      </c>
      <c r="Q762">
        <v>305</v>
      </c>
      <c r="R762" s="34">
        <f t="shared" si="14"/>
        <v>8.664465444609061E-2</v>
      </c>
    </row>
    <row r="763" spans="16:18" x14ac:dyDescent="0.3">
      <c r="P763" s="35">
        <v>18.79</v>
      </c>
      <c r="Q763">
        <v>305</v>
      </c>
      <c r="R763" s="34">
        <f t="shared" si="14"/>
        <v>8.6758510759423188E-2</v>
      </c>
    </row>
    <row r="764" spans="16:18" x14ac:dyDescent="0.3">
      <c r="P764" s="35">
        <v>18.79</v>
      </c>
      <c r="Q764">
        <v>305</v>
      </c>
      <c r="R764" s="34">
        <f t="shared" si="14"/>
        <v>8.6872367072755766E-2</v>
      </c>
    </row>
    <row r="765" spans="16:18" x14ac:dyDescent="0.3">
      <c r="P765" s="35">
        <v>18.79</v>
      </c>
      <c r="Q765">
        <v>305</v>
      </c>
      <c r="R765" s="34">
        <f t="shared" si="14"/>
        <v>8.6986223386088343E-2</v>
      </c>
    </row>
    <row r="766" spans="16:18" x14ac:dyDescent="0.3">
      <c r="P766" s="35">
        <v>18.79</v>
      </c>
      <c r="Q766">
        <v>305</v>
      </c>
      <c r="R766" s="34">
        <f t="shared" si="14"/>
        <v>8.7100079699420921E-2</v>
      </c>
    </row>
    <row r="767" spans="16:18" x14ac:dyDescent="0.3">
      <c r="P767" s="35">
        <v>18.8</v>
      </c>
      <c r="Q767">
        <v>305</v>
      </c>
      <c r="R767" s="34">
        <f t="shared" si="14"/>
        <v>8.7213936012753498E-2</v>
      </c>
    </row>
    <row r="768" spans="16:18" x14ac:dyDescent="0.3">
      <c r="P768" s="35">
        <v>18.8</v>
      </c>
      <c r="Q768">
        <v>305</v>
      </c>
      <c r="R768" s="34">
        <f t="shared" si="14"/>
        <v>8.7327792326086076E-2</v>
      </c>
    </row>
    <row r="769" spans="16:18" x14ac:dyDescent="0.3">
      <c r="P769" s="35">
        <v>18.8</v>
      </c>
      <c r="Q769">
        <v>305</v>
      </c>
      <c r="R769" s="34">
        <f t="shared" si="14"/>
        <v>8.7441648639418654E-2</v>
      </c>
    </row>
    <row r="770" spans="16:18" x14ac:dyDescent="0.3">
      <c r="P770" s="35">
        <v>18.8</v>
      </c>
      <c r="Q770">
        <v>305</v>
      </c>
      <c r="R770" s="34">
        <f t="shared" si="14"/>
        <v>8.7555504952751231E-2</v>
      </c>
    </row>
    <row r="771" spans="16:18" x14ac:dyDescent="0.3">
      <c r="P771" s="35">
        <v>18.82</v>
      </c>
      <c r="Q771">
        <v>305</v>
      </c>
      <c r="R771" s="34">
        <f t="shared" si="14"/>
        <v>8.7669361266083809E-2</v>
      </c>
    </row>
    <row r="772" spans="16:18" x14ac:dyDescent="0.3">
      <c r="P772" s="35">
        <v>18.82</v>
      </c>
      <c r="Q772">
        <v>305</v>
      </c>
      <c r="R772" s="34">
        <f t="shared" ref="R772:R835" si="15">R771+R$2</f>
        <v>8.7783217579416387E-2</v>
      </c>
    </row>
    <row r="773" spans="16:18" x14ac:dyDescent="0.3">
      <c r="P773" s="35">
        <v>18.82</v>
      </c>
      <c r="Q773">
        <v>305</v>
      </c>
      <c r="R773" s="34">
        <f t="shared" si="15"/>
        <v>8.7897073892748964E-2</v>
      </c>
    </row>
    <row r="774" spans="16:18" x14ac:dyDescent="0.3">
      <c r="P774" s="35">
        <v>18.82</v>
      </c>
      <c r="Q774">
        <v>305</v>
      </c>
      <c r="R774" s="34">
        <f t="shared" si="15"/>
        <v>8.8010930206081542E-2</v>
      </c>
    </row>
    <row r="775" spans="16:18" x14ac:dyDescent="0.3">
      <c r="P775" s="35">
        <v>18.829999999999998</v>
      </c>
      <c r="Q775">
        <v>305</v>
      </c>
      <c r="R775" s="34">
        <f t="shared" si="15"/>
        <v>8.8124786519414119E-2</v>
      </c>
    </row>
    <row r="776" spans="16:18" x14ac:dyDescent="0.3">
      <c r="P776" s="35">
        <v>18.829999999999998</v>
      </c>
      <c r="Q776">
        <v>305</v>
      </c>
      <c r="R776" s="34">
        <f t="shared" si="15"/>
        <v>8.8238642832746697E-2</v>
      </c>
    </row>
    <row r="777" spans="16:18" x14ac:dyDescent="0.3">
      <c r="P777" s="35">
        <v>18.829999999999998</v>
      </c>
      <c r="Q777">
        <v>305</v>
      </c>
      <c r="R777" s="34">
        <f t="shared" si="15"/>
        <v>8.8352499146079275E-2</v>
      </c>
    </row>
    <row r="778" spans="16:18" x14ac:dyDescent="0.3">
      <c r="P778" s="35">
        <v>18.829999999999998</v>
      </c>
      <c r="Q778">
        <v>305</v>
      </c>
      <c r="R778" s="34">
        <f t="shared" si="15"/>
        <v>8.8466355459411852E-2</v>
      </c>
    </row>
    <row r="779" spans="16:18" x14ac:dyDescent="0.3">
      <c r="P779" s="35">
        <v>18.84</v>
      </c>
      <c r="Q779">
        <v>305</v>
      </c>
      <c r="R779" s="34">
        <f t="shared" si="15"/>
        <v>8.858021177274443E-2</v>
      </c>
    </row>
    <row r="780" spans="16:18" x14ac:dyDescent="0.3">
      <c r="P780" s="35">
        <v>18.84</v>
      </c>
      <c r="Q780">
        <v>305</v>
      </c>
      <c r="R780" s="34">
        <f t="shared" si="15"/>
        <v>8.8694068086077008E-2</v>
      </c>
    </row>
    <row r="781" spans="16:18" x14ac:dyDescent="0.3">
      <c r="P781" s="35">
        <v>18.84</v>
      </c>
      <c r="Q781">
        <v>305</v>
      </c>
      <c r="R781" s="34">
        <f t="shared" si="15"/>
        <v>8.8807924399409585E-2</v>
      </c>
    </row>
    <row r="782" spans="16:18" x14ac:dyDescent="0.3">
      <c r="P782" s="35">
        <v>18.84</v>
      </c>
      <c r="Q782">
        <v>305</v>
      </c>
      <c r="R782" s="34">
        <f t="shared" si="15"/>
        <v>8.8921780712742163E-2</v>
      </c>
    </row>
    <row r="783" spans="16:18" x14ac:dyDescent="0.3">
      <c r="P783" s="35">
        <v>18.850000000000001</v>
      </c>
      <c r="Q783">
        <v>305</v>
      </c>
      <c r="R783" s="34">
        <f t="shared" si="15"/>
        <v>8.903563702607474E-2</v>
      </c>
    </row>
    <row r="784" spans="16:18" x14ac:dyDescent="0.3">
      <c r="P784" s="35">
        <v>18.850000000000001</v>
      </c>
      <c r="Q784">
        <v>305</v>
      </c>
      <c r="R784" s="34">
        <f t="shared" si="15"/>
        <v>8.9149493339407318E-2</v>
      </c>
    </row>
    <row r="785" spans="16:18" x14ac:dyDescent="0.3">
      <c r="P785" s="35">
        <v>18.850000000000001</v>
      </c>
      <c r="Q785">
        <v>305</v>
      </c>
      <c r="R785" s="34">
        <f t="shared" si="15"/>
        <v>8.9263349652739896E-2</v>
      </c>
    </row>
    <row r="786" spans="16:18" x14ac:dyDescent="0.3">
      <c r="P786" s="35">
        <v>18.86</v>
      </c>
      <c r="Q786">
        <v>305</v>
      </c>
      <c r="R786" s="34">
        <f t="shared" si="15"/>
        <v>8.9377205966072473E-2</v>
      </c>
    </row>
    <row r="787" spans="16:18" x14ac:dyDescent="0.3">
      <c r="P787" s="35">
        <v>18.86</v>
      </c>
      <c r="Q787">
        <v>305</v>
      </c>
      <c r="R787" s="34">
        <f t="shared" si="15"/>
        <v>8.9491062279405051E-2</v>
      </c>
    </row>
    <row r="788" spans="16:18" x14ac:dyDescent="0.3">
      <c r="P788" s="35">
        <v>18.87</v>
      </c>
      <c r="Q788">
        <v>305</v>
      </c>
      <c r="R788" s="34">
        <f t="shared" si="15"/>
        <v>8.9604918592737628E-2</v>
      </c>
    </row>
    <row r="789" spans="16:18" x14ac:dyDescent="0.3">
      <c r="P789" s="35">
        <v>18.87</v>
      </c>
      <c r="Q789">
        <v>305</v>
      </c>
      <c r="R789" s="34">
        <f t="shared" si="15"/>
        <v>8.9718774906070206E-2</v>
      </c>
    </row>
    <row r="790" spans="16:18" x14ac:dyDescent="0.3">
      <c r="P790" s="35">
        <v>18.88</v>
      </c>
      <c r="Q790">
        <v>305</v>
      </c>
      <c r="R790" s="34">
        <f t="shared" si="15"/>
        <v>8.9832631219402784E-2</v>
      </c>
    </row>
    <row r="791" spans="16:18" x14ac:dyDescent="0.3">
      <c r="P791" s="35">
        <v>18.88</v>
      </c>
      <c r="Q791">
        <v>305</v>
      </c>
      <c r="R791" s="34">
        <f t="shared" si="15"/>
        <v>8.9946487532735361E-2</v>
      </c>
    </row>
    <row r="792" spans="16:18" x14ac:dyDescent="0.3">
      <c r="P792" s="35">
        <v>18.88</v>
      </c>
      <c r="Q792">
        <v>305</v>
      </c>
      <c r="R792" s="34">
        <f t="shared" si="15"/>
        <v>9.0060343846067939E-2</v>
      </c>
    </row>
    <row r="793" spans="16:18" x14ac:dyDescent="0.3">
      <c r="P793" s="35">
        <v>18.89</v>
      </c>
      <c r="Q793">
        <v>305</v>
      </c>
      <c r="R793" s="34">
        <f t="shared" si="15"/>
        <v>9.0174200159400517E-2</v>
      </c>
    </row>
    <row r="794" spans="16:18" x14ac:dyDescent="0.3">
      <c r="P794" s="35">
        <v>18.89</v>
      </c>
      <c r="Q794">
        <v>305</v>
      </c>
      <c r="R794" s="34">
        <f t="shared" si="15"/>
        <v>9.0288056472733094E-2</v>
      </c>
    </row>
    <row r="795" spans="16:18" x14ac:dyDescent="0.3">
      <c r="P795" s="35">
        <v>18.899999999999999</v>
      </c>
      <c r="Q795">
        <v>305</v>
      </c>
      <c r="R795" s="34">
        <f t="shared" si="15"/>
        <v>9.0401912786065672E-2</v>
      </c>
    </row>
    <row r="796" spans="16:18" x14ac:dyDescent="0.3">
      <c r="P796" s="35">
        <v>18.899999999999999</v>
      </c>
      <c r="Q796">
        <v>305</v>
      </c>
      <c r="R796" s="34">
        <f t="shared" si="15"/>
        <v>9.0515769099398249E-2</v>
      </c>
    </row>
    <row r="797" spans="16:18" x14ac:dyDescent="0.3">
      <c r="P797" s="35">
        <v>18.91</v>
      </c>
      <c r="Q797">
        <v>305</v>
      </c>
      <c r="R797" s="34">
        <f t="shared" si="15"/>
        <v>9.0629625412730827E-2</v>
      </c>
    </row>
    <row r="798" spans="16:18" x14ac:dyDescent="0.3">
      <c r="P798" s="35">
        <v>18.91</v>
      </c>
      <c r="Q798">
        <v>305</v>
      </c>
      <c r="R798" s="34">
        <f t="shared" si="15"/>
        <v>9.0743481726063405E-2</v>
      </c>
    </row>
    <row r="799" spans="16:18" x14ac:dyDescent="0.3">
      <c r="P799" s="35">
        <v>18.91</v>
      </c>
      <c r="Q799">
        <v>305</v>
      </c>
      <c r="R799" s="34">
        <f t="shared" si="15"/>
        <v>9.0857338039395982E-2</v>
      </c>
    </row>
    <row r="800" spans="16:18" x14ac:dyDescent="0.3">
      <c r="P800" s="35">
        <v>18.920000000000002</v>
      </c>
      <c r="Q800">
        <v>305</v>
      </c>
      <c r="R800" s="34">
        <f t="shared" si="15"/>
        <v>9.097119435272856E-2</v>
      </c>
    </row>
    <row r="801" spans="16:18" x14ac:dyDescent="0.3">
      <c r="P801" s="35">
        <v>18.93</v>
      </c>
      <c r="Q801">
        <v>305</v>
      </c>
      <c r="R801" s="34">
        <f t="shared" si="15"/>
        <v>9.1085050666061138E-2</v>
      </c>
    </row>
    <row r="802" spans="16:18" x14ac:dyDescent="0.3">
      <c r="P802" s="35">
        <v>18.940000000000001</v>
      </c>
      <c r="Q802">
        <v>305</v>
      </c>
      <c r="R802" s="34">
        <f t="shared" si="15"/>
        <v>9.1198906979393715E-2</v>
      </c>
    </row>
    <row r="803" spans="16:18" x14ac:dyDescent="0.3">
      <c r="P803" s="35">
        <v>18.940000000000001</v>
      </c>
      <c r="Q803">
        <v>305</v>
      </c>
      <c r="R803" s="34">
        <f t="shared" si="15"/>
        <v>9.1312763292726293E-2</v>
      </c>
    </row>
    <row r="804" spans="16:18" x14ac:dyDescent="0.3">
      <c r="P804" s="35">
        <v>18.940000000000001</v>
      </c>
      <c r="Q804">
        <v>305</v>
      </c>
      <c r="R804" s="34">
        <f t="shared" si="15"/>
        <v>9.142661960605887E-2</v>
      </c>
    </row>
    <row r="805" spans="16:18" x14ac:dyDescent="0.3">
      <c r="P805" s="35">
        <v>18.940000000000001</v>
      </c>
      <c r="Q805">
        <v>305</v>
      </c>
      <c r="R805" s="34">
        <f t="shared" si="15"/>
        <v>9.1540475919391448E-2</v>
      </c>
    </row>
    <row r="806" spans="16:18" x14ac:dyDescent="0.3">
      <c r="P806" s="35">
        <v>18.95</v>
      </c>
      <c r="Q806">
        <v>305</v>
      </c>
      <c r="R806" s="34">
        <f t="shared" si="15"/>
        <v>9.1654332232724026E-2</v>
      </c>
    </row>
    <row r="807" spans="16:18" x14ac:dyDescent="0.3">
      <c r="P807" s="35">
        <v>18.95</v>
      </c>
      <c r="Q807">
        <v>305</v>
      </c>
      <c r="R807" s="34">
        <f t="shared" si="15"/>
        <v>9.1768188546056603E-2</v>
      </c>
    </row>
    <row r="808" spans="16:18" x14ac:dyDescent="0.3">
      <c r="P808" s="35">
        <v>18.95</v>
      </c>
      <c r="Q808">
        <v>305</v>
      </c>
      <c r="R808" s="34">
        <f t="shared" si="15"/>
        <v>9.1882044859389181E-2</v>
      </c>
    </row>
    <row r="809" spans="16:18" x14ac:dyDescent="0.3">
      <c r="P809" s="35">
        <v>18.95</v>
      </c>
      <c r="Q809">
        <v>305</v>
      </c>
      <c r="R809" s="34">
        <f t="shared" si="15"/>
        <v>9.1995901172721758E-2</v>
      </c>
    </row>
    <row r="810" spans="16:18" x14ac:dyDescent="0.3">
      <c r="P810" s="35">
        <v>18.96</v>
      </c>
      <c r="Q810">
        <v>305</v>
      </c>
      <c r="R810" s="34">
        <f t="shared" si="15"/>
        <v>9.2109757486054336E-2</v>
      </c>
    </row>
    <row r="811" spans="16:18" x14ac:dyDescent="0.3">
      <c r="P811" s="35">
        <v>18.96</v>
      </c>
      <c r="Q811">
        <v>305</v>
      </c>
      <c r="R811" s="34">
        <f t="shared" si="15"/>
        <v>9.2223613799386914E-2</v>
      </c>
    </row>
    <row r="812" spans="16:18" x14ac:dyDescent="0.3">
      <c r="P812" s="35">
        <v>18.96</v>
      </c>
      <c r="Q812">
        <v>305</v>
      </c>
      <c r="R812" s="34">
        <f t="shared" si="15"/>
        <v>9.2337470112719491E-2</v>
      </c>
    </row>
    <row r="813" spans="16:18" x14ac:dyDescent="0.3">
      <c r="P813" s="35">
        <v>18.97</v>
      </c>
      <c r="Q813">
        <v>305</v>
      </c>
      <c r="R813" s="34">
        <f t="shared" si="15"/>
        <v>9.2451326426052069E-2</v>
      </c>
    </row>
    <row r="814" spans="16:18" x14ac:dyDescent="0.3">
      <c r="P814" s="35">
        <v>18.98</v>
      </c>
      <c r="Q814">
        <v>305</v>
      </c>
      <c r="R814" s="34">
        <f t="shared" si="15"/>
        <v>9.2565182739384647E-2</v>
      </c>
    </row>
    <row r="815" spans="16:18" x14ac:dyDescent="0.3">
      <c r="P815" s="35">
        <v>18.989999999999998</v>
      </c>
      <c r="Q815">
        <v>305</v>
      </c>
      <c r="R815" s="34">
        <f t="shared" si="15"/>
        <v>9.2679039052717224E-2</v>
      </c>
    </row>
    <row r="816" spans="16:18" x14ac:dyDescent="0.3">
      <c r="P816" s="35">
        <v>18.989999999999998</v>
      </c>
      <c r="Q816">
        <v>305</v>
      </c>
      <c r="R816" s="34">
        <f t="shared" si="15"/>
        <v>9.2792895366049802E-2</v>
      </c>
    </row>
    <row r="817" spans="16:18" x14ac:dyDescent="0.3">
      <c r="P817" s="35">
        <v>19</v>
      </c>
      <c r="Q817">
        <v>305</v>
      </c>
      <c r="R817" s="34">
        <f t="shared" si="15"/>
        <v>9.2906751679382379E-2</v>
      </c>
    </row>
    <row r="818" spans="16:18" x14ac:dyDescent="0.3">
      <c r="P818" s="35">
        <v>19</v>
      </c>
      <c r="Q818">
        <v>305</v>
      </c>
      <c r="R818" s="34">
        <f t="shared" si="15"/>
        <v>9.3020607992714957E-2</v>
      </c>
    </row>
    <row r="819" spans="16:18" x14ac:dyDescent="0.3">
      <c r="P819" s="35">
        <v>19</v>
      </c>
      <c r="Q819">
        <v>305</v>
      </c>
      <c r="R819" s="34">
        <f t="shared" si="15"/>
        <v>9.3134464306047535E-2</v>
      </c>
    </row>
    <row r="820" spans="16:18" x14ac:dyDescent="0.3">
      <c r="P820" s="35">
        <v>19.010000000000002</v>
      </c>
      <c r="Q820">
        <v>305</v>
      </c>
      <c r="R820" s="34">
        <f t="shared" si="15"/>
        <v>9.3248320619380112E-2</v>
      </c>
    </row>
    <row r="821" spans="16:18" x14ac:dyDescent="0.3">
      <c r="P821" s="35">
        <v>19.010000000000002</v>
      </c>
      <c r="Q821">
        <v>305</v>
      </c>
      <c r="R821" s="34">
        <f t="shared" si="15"/>
        <v>9.336217693271269E-2</v>
      </c>
    </row>
    <row r="822" spans="16:18" x14ac:dyDescent="0.3">
      <c r="P822" s="35">
        <v>19.010000000000002</v>
      </c>
      <c r="Q822">
        <v>305</v>
      </c>
      <c r="R822" s="34">
        <f t="shared" si="15"/>
        <v>9.3476033246045268E-2</v>
      </c>
    </row>
    <row r="823" spans="16:18" x14ac:dyDescent="0.3">
      <c r="P823" s="35">
        <v>19.02</v>
      </c>
      <c r="Q823">
        <v>305</v>
      </c>
      <c r="R823" s="34">
        <f t="shared" si="15"/>
        <v>9.3589889559377845E-2</v>
      </c>
    </row>
    <row r="824" spans="16:18" x14ac:dyDescent="0.3">
      <c r="P824" s="35">
        <v>19.02</v>
      </c>
      <c r="Q824">
        <v>305</v>
      </c>
      <c r="R824" s="34">
        <f t="shared" si="15"/>
        <v>9.3703745872710423E-2</v>
      </c>
    </row>
    <row r="825" spans="16:18" x14ac:dyDescent="0.3">
      <c r="P825" s="35">
        <v>19.04</v>
      </c>
      <c r="Q825">
        <v>305</v>
      </c>
      <c r="R825" s="34">
        <f t="shared" si="15"/>
        <v>9.3817602186043E-2</v>
      </c>
    </row>
    <row r="826" spans="16:18" x14ac:dyDescent="0.3">
      <c r="P826" s="35">
        <v>19.04</v>
      </c>
      <c r="Q826">
        <v>305</v>
      </c>
      <c r="R826" s="34">
        <f t="shared" si="15"/>
        <v>9.3931458499375578E-2</v>
      </c>
    </row>
    <row r="827" spans="16:18" x14ac:dyDescent="0.3">
      <c r="P827" s="35">
        <v>19.04</v>
      </c>
      <c r="Q827">
        <v>305</v>
      </c>
      <c r="R827" s="34">
        <f t="shared" si="15"/>
        <v>9.4045314812708156E-2</v>
      </c>
    </row>
    <row r="828" spans="16:18" x14ac:dyDescent="0.3">
      <c r="P828" s="35">
        <v>19.04</v>
      </c>
      <c r="Q828">
        <v>305</v>
      </c>
      <c r="R828" s="34">
        <f t="shared" si="15"/>
        <v>9.4159171126040733E-2</v>
      </c>
    </row>
    <row r="829" spans="16:18" x14ac:dyDescent="0.3">
      <c r="P829" s="35">
        <v>19.04</v>
      </c>
      <c r="Q829">
        <v>305</v>
      </c>
      <c r="R829" s="34">
        <f t="shared" si="15"/>
        <v>9.4273027439373311E-2</v>
      </c>
    </row>
    <row r="830" spans="16:18" x14ac:dyDescent="0.3">
      <c r="P830" s="35">
        <v>19.05</v>
      </c>
      <c r="Q830">
        <v>305</v>
      </c>
      <c r="R830" s="34">
        <f t="shared" si="15"/>
        <v>9.4386883752705888E-2</v>
      </c>
    </row>
    <row r="831" spans="16:18" x14ac:dyDescent="0.3">
      <c r="P831" s="35">
        <v>19.05</v>
      </c>
      <c r="Q831">
        <v>305</v>
      </c>
      <c r="R831" s="34">
        <f t="shared" si="15"/>
        <v>9.4500740066038466E-2</v>
      </c>
    </row>
    <row r="832" spans="16:18" x14ac:dyDescent="0.3">
      <c r="P832" s="35">
        <v>19.059999999999999</v>
      </c>
      <c r="Q832">
        <v>305</v>
      </c>
      <c r="R832" s="34">
        <f t="shared" si="15"/>
        <v>9.4614596379371044E-2</v>
      </c>
    </row>
    <row r="833" spans="16:18" x14ac:dyDescent="0.3">
      <c r="P833" s="35">
        <v>19.059999999999999</v>
      </c>
      <c r="Q833">
        <v>305</v>
      </c>
      <c r="R833" s="34">
        <f t="shared" si="15"/>
        <v>9.4728452692703621E-2</v>
      </c>
    </row>
    <row r="834" spans="16:18" x14ac:dyDescent="0.3">
      <c r="P834" s="35">
        <v>19.059999999999999</v>
      </c>
      <c r="Q834">
        <v>305</v>
      </c>
      <c r="R834" s="34">
        <f t="shared" si="15"/>
        <v>9.4842309006036199E-2</v>
      </c>
    </row>
    <row r="835" spans="16:18" x14ac:dyDescent="0.3">
      <c r="P835" s="35">
        <v>19.07</v>
      </c>
      <c r="Q835">
        <v>305</v>
      </c>
      <c r="R835" s="34">
        <f t="shared" si="15"/>
        <v>9.4956165319368777E-2</v>
      </c>
    </row>
    <row r="836" spans="16:18" x14ac:dyDescent="0.3">
      <c r="P836" s="35">
        <v>19.07</v>
      </c>
      <c r="Q836">
        <v>305</v>
      </c>
      <c r="R836" s="34">
        <f t="shared" ref="R836:R899" si="16">R835+R$2</f>
        <v>9.5070021632701354E-2</v>
      </c>
    </row>
    <row r="837" spans="16:18" x14ac:dyDescent="0.3">
      <c r="P837" s="35">
        <v>19.07</v>
      </c>
      <c r="Q837">
        <v>305</v>
      </c>
      <c r="R837" s="34">
        <f t="shared" si="16"/>
        <v>9.5183877946033932E-2</v>
      </c>
    </row>
    <row r="838" spans="16:18" x14ac:dyDescent="0.3">
      <c r="P838" s="35">
        <v>19.079999999999998</v>
      </c>
      <c r="Q838">
        <v>305</v>
      </c>
      <c r="R838" s="34">
        <f t="shared" si="16"/>
        <v>9.5297734259366509E-2</v>
      </c>
    </row>
    <row r="839" spans="16:18" x14ac:dyDescent="0.3">
      <c r="P839" s="35">
        <v>19.079999999999998</v>
      </c>
      <c r="Q839">
        <v>305</v>
      </c>
      <c r="R839" s="34">
        <f t="shared" si="16"/>
        <v>9.5411590572699087E-2</v>
      </c>
    </row>
    <row r="840" spans="16:18" x14ac:dyDescent="0.3">
      <c r="P840" s="35">
        <v>19.079999999999998</v>
      </c>
      <c r="Q840">
        <v>305</v>
      </c>
      <c r="R840" s="34">
        <f t="shared" si="16"/>
        <v>9.5525446886031665E-2</v>
      </c>
    </row>
    <row r="841" spans="16:18" x14ac:dyDescent="0.3">
      <c r="P841" s="35">
        <v>19.079999999999998</v>
      </c>
      <c r="Q841">
        <v>305</v>
      </c>
      <c r="R841" s="34">
        <f t="shared" si="16"/>
        <v>9.5639303199364242E-2</v>
      </c>
    </row>
    <row r="842" spans="16:18" x14ac:dyDescent="0.3">
      <c r="P842" s="35">
        <v>19.09</v>
      </c>
      <c r="Q842">
        <v>305</v>
      </c>
      <c r="R842" s="34">
        <f t="shared" si="16"/>
        <v>9.575315951269682E-2</v>
      </c>
    </row>
    <row r="843" spans="16:18" x14ac:dyDescent="0.3">
      <c r="P843" s="35">
        <v>19.09</v>
      </c>
      <c r="Q843">
        <v>305</v>
      </c>
      <c r="R843" s="34">
        <f t="shared" si="16"/>
        <v>9.5867015826029398E-2</v>
      </c>
    </row>
    <row r="844" spans="16:18" x14ac:dyDescent="0.3">
      <c r="P844" s="35">
        <v>19.09</v>
      </c>
      <c r="Q844">
        <v>305</v>
      </c>
      <c r="R844" s="34">
        <f t="shared" si="16"/>
        <v>9.5980872139361975E-2</v>
      </c>
    </row>
    <row r="845" spans="16:18" x14ac:dyDescent="0.3">
      <c r="P845" s="35">
        <v>19.09</v>
      </c>
      <c r="Q845">
        <v>305</v>
      </c>
      <c r="R845" s="34">
        <f t="shared" si="16"/>
        <v>9.6094728452694553E-2</v>
      </c>
    </row>
    <row r="846" spans="16:18" x14ac:dyDescent="0.3">
      <c r="P846" s="35">
        <v>19.09</v>
      </c>
      <c r="Q846">
        <v>305</v>
      </c>
      <c r="R846" s="34">
        <f t="shared" si="16"/>
        <v>9.620858476602713E-2</v>
      </c>
    </row>
    <row r="847" spans="16:18" x14ac:dyDescent="0.3">
      <c r="P847" s="35">
        <v>19.100000000000001</v>
      </c>
      <c r="Q847">
        <v>305</v>
      </c>
      <c r="R847" s="34">
        <f t="shared" si="16"/>
        <v>9.6322441079359708E-2</v>
      </c>
    </row>
    <row r="848" spans="16:18" x14ac:dyDescent="0.3">
      <c r="P848" s="35">
        <v>19.100000000000001</v>
      </c>
      <c r="Q848">
        <v>305</v>
      </c>
      <c r="R848" s="34">
        <f t="shared" si="16"/>
        <v>9.6436297392692286E-2</v>
      </c>
    </row>
    <row r="849" spans="16:18" x14ac:dyDescent="0.3">
      <c r="P849" s="35">
        <v>19.100000000000001</v>
      </c>
      <c r="Q849">
        <v>305</v>
      </c>
      <c r="R849" s="34">
        <f t="shared" si="16"/>
        <v>9.6550153706024863E-2</v>
      </c>
    </row>
    <row r="850" spans="16:18" x14ac:dyDescent="0.3">
      <c r="P850" s="35">
        <v>19.100000000000001</v>
      </c>
      <c r="Q850">
        <v>305</v>
      </c>
      <c r="R850" s="34">
        <f t="shared" si="16"/>
        <v>9.6664010019357441E-2</v>
      </c>
    </row>
    <row r="851" spans="16:18" x14ac:dyDescent="0.3">
      <c r="P851" s="35">
        <v>19.100000000000001</v>
      </c>
      <c r="Q851">
        <v>305</v>
      </c>
      <c r="R851" s="34">
        <f t="shared" si="16"/>
        <v>9.6777866332690018E-2</v>
      </c>
    </row>
    <row r="852" spans="16:18" x14ac:dyDescent="0.3">
      <c r="P852" s="35">
        <v>19.100000000000001</v>
      </c>
      <c r="Q852">
        <v>305</v>
      </c>
      <c r="R852" s="34">
        <f t="shared" si="16"/>
        <v>9.6891722646022596E-2</v>
      </c>
    </row>
    <row r="853" spans="16:18" x14ac:dyDescent="0.3">
      <c r="P853" s="35">
        <v>19.11</v>
      </c>
      <c r="Q853">
        <v>305</v>
      </c>
      <c r="R853" s="34">
        <f t="shared" si="16"/>
        <v>9.7005578959355174E-2</v>
      </c>
    </row>
    <row r="854" spans="16:18" x14ac:dyDescent="0.3">
      <c r="P854" s="35">
        <v>19.11</v>
      </c>
      <c r="Q854">
        <v>305</v>
      </c>
      <c r="R854" s="34">
        <f t="shared" si="16"/>
        <v>9.7119435272687751E-2</v>
      </c>
    </row>
    <row r="855" spans="16:18" x14ac:dyDescent="0.3">
      <c r="P855" s="35">
        <v>19.11</v>
      </c>
      <c r="Q855">
        <v>305</v>
      </c>
      <c r="R855" s="34">
        <f t="shared" si="16"/>
        <v>9.7233291586020329E-2</v>
      </c>
    </row>
    <row r="856" spans="16:18" x14ac:dyDescent="0.3">
      <c r="P856" s="35">
        <v>19.11</v>
      </c>
      <c r="Q856">
        <v>305</v>
      </c>
      <c r="R856" s="34">
        <f t="shared" si="16"/>
        <v>9.7347147899352907E-2</v>
      </c>
    </row>
    <row r="857" spans="16:18" x14ac:dyDescent="0.3">
      <c r="P857" s="35">
        <v>19.12</v>
      </c>
      <c r="Q857">
        <v>305</v>
      </c>
      <c r="R857" s="34">
        <f t="shared" si="16"/>
        <v>9.7461004212685484E-2</v>
      </c>
    </row>
    <row r="858" spans="16:18" x14ac:dyDescent="0.3">
      <c r="P858" s="35">
        <v>19.12</v>
      </c>
      <c r="Q858">
        <v>305</v>
      </c>
      <c r="R858" s="34">
        <f t="shared" si="16"/>
        <v>9.7574860526018062E-2</v>
      </c>
    </row>
    <row r="859" spans="16:18" x14ac:dyDescent="0.3">
      <c r="P859" s="35">
        <v>19.13</v>
      </c>
      <c r="Q859">
        <v>305</v>
      </c>
      <c r="R859" s="34">
        <f t="shared" si="16"/>
        <v>9.7688716839350639E-2</v>
      </c>
    </row>
    <row r="860" spans="16:18" x14ac:dyDescent="0.3">
      <c r="P860" s="35">
        <v>19.13</v>
      </c>
      <c r="Q860">
        <v>305</v>
      </c>
      <c r="R860" s="34">
        <f t="shared" si="16"/>
        <v>9.7802573152683217E-2</v>
      </c>
    </row>
    <row r="861" spans="16:18" x14ac:dyDescent="0.3">
      <c r="P861" s="35">
        <v>19.14</v>
      </c>
      <c r="Q861">
        <v>305</v>
      </c>
      <c r="R861" s="34">
        <f t="shared" si="16"/>
        <v>9.7916429466015795E-2</v>
      </c>
    </row>
    <row r="862" spans="16:18" x14ac:dyDescent="0.3">
      <c r="P862" s="35">
        <v>19.14</v>
      </c>
      <c r="Q862">
        <v>305</v>
      </c>
      <c r="R862" s="34">
        <f t="shared" si="16"/>
        <v>9.8030285779348372E-2</v>
      </c>
    </row>
    <row r="863" spans="16:18" x14ac:dyDescent="0.3">
      <c r="P863" s="35">
        <v>19.14</v>
      </c>
      <c r="Q863">
        <v>305</v>
      </c>
      <c r="R863" s="34">
        <f t="shared" si="16"/>
        <v>9.814414209268095E-2</v>
      </c>
    </row>
    <row r="864" spans="16:18" x14ac:dyDescent="0.3">
      <c r="P864" s="35">
        <v>19.149999999999999</v>
      </c>
      <c r="Q864">
        <v>305</v>
      </c>
      <c r="R864" s="34">
        <f t="shared" si="16"/>
        <v>9.8257998406013528E-2</v>
      </c>
    </row>
    <row r="865" spans="16:18" x14ac:dyDescent="0.3">
      <c r="P865" s="35">
        <v>19.149999999999999</v>
      </c>
      <c r="Q865">
        <v>305</v>
      </c>
      <c r="R865" s="34">
        <f t="shared" si="16"/>
        <v>9.8371854719346105E-2</v>
      </c>
    </row>
    <row r="866" spans="16:18" x14ac:dyDescent="0.3">
      <c r="P866" s="35">
        <v>19.16</v>
      </c>
      <c r="Q866">
        <v>305</v>
      </c>
      <c r="R866" s="34">
        <f t="shared" si="16"/>
        <v>9.8485711032678683E-2</v>
      </c>
    </row>
    <row r="867" spans="16:18" x14ac:dyDescent="0.3">
      <c r="P867" s="35">
        <v>19.170000000000002</v>
      </c>
      <c r="Q867">
        <v>305</v>
      </c>
      <c r="R867" s="34">
        <f t="shared" si="16"/>
        <v>9.859956734601126E-2</v>
      </c>
    </row>
    <row r="868" spans="16:18" x14ac:dyDescent="0.3">
      <c r="P868" s="35">
        <v>19.170000000000002</v>
      </c>
      <c r="Q868">
        <v>305</v>
      </c>
      <c r="R868" s="34">
        <f t="shared" si="16"/>
        <v>9.8713423659343838E-2</v>
      </c>
    </row>
    <row r="869" spans="16:18" x14ac:dyDescent="0.3">
      <c r="P869" s="35">
        <v>19.18</v>
      </c>
      <c r="Q869">
        <v>305</v>
      </c>
      <c r="R869" s="34">
        <f t="shared" si="16"/>
        <v>9.8827279972676416E-2</v>
      </c>
    </row>
    <row r="870" spans="16:18" x14ac:dyDescent="0.3">
      <c r="P870" s="35">
        <v>19.18</v>
      </c>
      <c r="Q870">
        <v>305</v>
      </c>
      <c r="R870" s="34">
        <f t="shared" si="16"/>
        <v>9.8941136286008993E-2</v>
      </c>
    </row>
    <row r="871" spans="16:18" x14ac:dyDescent="0.3">
      <c r="P871" s="35">
        <v>19.18</v>
      </c>
      <c r="Q871">
        <v>305</v>
      </c>
      <c r="R871" s="34">
        <f t="shared" si="16"/>
        <v>9.9054992599341571E-2</v>
      </c>
    </row>
    <row r="872" spans="16:18" x14ac:dyDescent="0.3">
      <c r="P872" s="35">
        <v>19.190000000000001</v>
      </c>
      <c r="Q872">
        <v>305</v>
      </c>
      <c r="R872" s="34">
        <f t="shared" si="16"/>
        <v>9.9168848912674148E-2</v>
      </c>
    </row>
    <row r="873" spans="16:18" x14ac:dyDescent="0.3">
      <c r="P873" s="35">
        <v>19.190000000000001</v>
      </c>
      <c r="Q873">
        <v>305</v>
      </c>
      <c r="R873" s="34">
        <f t="shared" si="16"/>
        <v>9.9282705226006726E-2</v>
      </c>
    </row>
    <row r="874" spans="16:18" x14ac:dyDescent="0.3">
      <c r="P874" s="35">
        <v>19.190000000000001</v>
      </c>
      <c r="Q874">
        <v>305</v>
      </c>
      <c r="R874" s="34">
        <f t="shared" si="16"/>
        <v>9.9396561539339304E-2</v>
      </c>
    </row>
    <row r="875" spans="16:18" x14ac:dyDescent="0.3">
      <c r="P875" s="35">
        <v>19.190000000000001</v>
      </c>
      <c r="Q875">
        <v>305</v>
      </c>
      <c r="R875" s="34">
        <f t="shared" si="16"/>
        <v>9.9510417852671881E-2</v>
      </c>
    </row>
    <row r="876" spans="16:18" x14ac:dyDescent="0.3">
      <c r="P876" s="35">
        <v>19.2</v>
      </c>
      <c r="Q876">
        <v>305</v>
      </c>
      <c r="R876" s="34">
        <f t="shared" si="16"/>
        <v>9.9624274166004459E-2</v>
      </c>
    </row>
    <row r="877" spans="16:18" x14ac:dyDescent="0.3">
      <c r="P877" s="35">
        <v>19.2</v>
      </c>
      <c r="Q877">
        <v>305</v>
      </c>
      <c r="R877" s="34">
        <f t="shared" si="16"/>
        <v>9.9738130479337037E-2</v>
      </c>
    </row>
    <row r="878" spans="16:18" x14ac:dyDescent="0.3">
      <c r="P878" s="35">
        <v>19.2</v>
      </c>
      <c r="Q878">
        <v>305</v>
      </c>
      <c r="R878" s="34">
        <f t="shared" si="16"/>
        <v>9.9851986792669614E-2</v>
      </c>
    </row>
    <row r="879" spans="16:18" x14ac:dyDescent="0.3">
      <c r="P879" s="35">
        <v>19.2</v>
      </c>
      <c r="Q879">
        <v>305</v>
      </c>
      <c r="R879" s="34">
        <f t="shared" si="16"/>
        <v>9.9965843106002192E-2</v>
      </c>
    </row>
    <row r="880" spans="16:18" x14ac:dyDescent="0.3">
      <c r="P880" s="35">
        <v>19.2</v>
      </c>
      <c r="Q880">
        <v>305</v>
      </c>
      <c r="R880" s="34">
        <f t="shared" si="16"/>
        <v>0.10007969941933477</v>
      </c>
    </row>
    <row r="881" spans="16:18" x14ac:dyDescent="0.3">
      <c r="P881" s="35">
        <v>19.2</v>
      </c>
      <c r="Q881">
        <v>305</v>
      </c>
      <c r="R881" s="34">
        <f t="shared" si="16"/>
        <v>0.10019355573266735</v>
      </c>
    </row>
    <row r="882" spans="16:18" x14ac:dyDescent="0.3">
      <c r="P882" s="35">
        <v>19.21</v>
      </c>
      <c r="Q882">
        <v>305</v>
      </c>
      <c r="R882" s="34">
        <f t="shared" si="16"/>
        <v>0.10030741204599992</v>
      </c>
    </row>
    <row r="883" spans="16:18" x14ac:dyDescent="0.3">
      <c r="P883" s="35">
        <v>19.21</v>
      </c>
      <c r="Q883">
        <v>305</v>
      </c>
      <c r="R883" s="34">
        <f t="shared" si="16"/>
        <v>0.1004212683593325</v>
      </c>
    </row>
    <row r="884" spans="16:18" x14ac:dyDescent="0.3">
      <c r="P884" s="35">
        <v>19.21</v>
      </c>
      <c r="Q884">
        <v>305</v>
      </c>
      <c r="R884" s="34">
        <f t="shared" si="16"/>
        <v>0.10053512467266508</v>
      </c>
    </row>
    <row r="885" spans="16:18" x14ac:dyDescent="0.3">
      <c r="P885" s="35">
        <v>19.21</v>
      </c>
      <c r="Q885">
        <v>305</v>
      </c>
      <c r="R885" s="34">
        <f t="shared" si="16"/>
        <v>0.10064898098599766</v>
      </c>
    </row>
    <row r="886" spans="16:18" x14ac:dyDescent="0.3">
      <c r="P886" s="35">
        <v>19.22</v>
      </c>
      <c r="Q886">
        <v>305</v>
      </c>
      <c r="R886" s="34">
        <f t="shared" si="16"/>
        <v>0.10076283729933024</v>
      </c>
    </row>
    <row r="887" spans="16:18" x14ac:dyDescent="0.3">
      <c r="P887" s="35">
        <v>19.239999999999998</v>
      </c>
      <c r="Q887">
        <v>305</v>
      </c>
      <c r="R887" s="34">
        <f t="shared" si="16"/>
        <v>0.10087669361266281</v>
      </c>
    </row>
    <row r="888" spans="16:18" x14ac:dyDescent="0.3">
      <c r="P888" s="35">
        <v>19.239999999999998</v>
      </c>
      <c r="Q888">
        <v>305</v>
      </c>
      <c r="R888" s="34">
        <f t="shared" si="16"/>
        <v>0.10099054992599539</v>
      </c>
    </row>
    <row r="889" spans="16:18" x14ac:dyDescent="0.3">
      <c r="P889" s="35">
        <v>19.239999999999998</v>
      </c>
      <c r="Q889">
        <v>305</v>
      </c>
      <c r="R889" s="34">
        <f t="shared" si="16"/>
        <v>0.10110440623932797</v>
      </c>
    </row>
    <row r="890" spans="16:18" x14ac:dyDescent="0.3">
      <c r="P890" s="35">
        <v>19.25</v>
      </c>
      <c r="Q890">
        <v>305</v>
      </c>
      <c r="R890" s="34">
        <f t="shared" si="16"/>
        <v>0.10121826255266055</v>
      </c>
    </row>
    <row r="891" spans="16:18" x14ac:dyDescent="0.3">
      <c r="P891" s="35">
        <v>19.25</v>
      </c>
      <c r="Q891">
        <v>305</v>
      </c>
      <c r="R891" s="34">
        <f t="shared" si="16"/>
        <v>0.10133211886599312</v>
      </c>
    </row>
    <row r="892" spans="16:18" x14ac:dyDescent="0.3">
      <c r="P892" s="35">
        <v>19.260000000000002</v>
      </c>
      <c r="Q892">
        <v>305</v>
      </c>
      <c r="R892" s="34">
        <f t="shared" si="16"/>
        <v>0.1014459751793257</v>
      </c>
    </row>
    <row r="893" spans="16:18" x14ac:dyDescent="0.3">
      <c r="P893" s="35">
        <v>19.260000000000002</v>
      </c>
      <c r="Q893">
        <v>305</v>
      </c>
      <c r="R893" s="34">
        <f t="shared" si="16"/>
        <v>0.10155983149265828</v>
      </c>
    </row>
    <row r="894" spans="16:18" x14ac:dyDescent="0.3">
      <c r="P894" s="35">
        <v>19.28</v>
      </c>
      <c r="Q894">
        <v>305</v>
      </c>
      <c r="R894" s="34">
        <f t="shared" si="16"/>
        <v>0.10167368780599086</v>
      </c>
    </row>
    <row r="895" spans="16:18" x14ac:dyDescent="0.3">
      <c r="P895" s="35">
        <v>19.29</v>
      </c>
      <c r="Q895">
        <v>305</v>
      </c>
      <c r="R895" s="34">
        <f t="shared" si="16"/>
        <v>0.10178754411932343</v>
      </c>
    </row>
    <row r="896" spans="16:18" x14ac:dyDescent="0.3">
      <c r="P896" s="35">
        <v>19.3</v>
      </c>
      <c r="Q896">
        <v>305</v>
      </c>
      <c r="R896" s="34">
        <f t="shared" si="16"/>
        <v>0.10190140043265601</v>
      </c>
    </row>
    <row r="897" spans="16:18" x14ac:dyDescent="0.3">
      <c r="P897" s="35">
        <v>19.3</v>
      </c>
      <c r="Q897">
        <v>305</v>
      </c>
      <c r="R897" s="34">
        <f t="shared" si="16"/>
        <v>0.10201525674598859</v>
      </c>
    </row>
    <row r="898" spans="16:18" x14ac:dyDescent="0.3">
      <c r="P898" s="35">
        <v>19.309999999999999</v>
      </c>
      <c r="Q898">
        <v>305</v>
      </c>
      <c r="R898" s="34">
        <f t="shared" si="16"/>
        <v>0.10212911305932117</v>
      </c>
    </row>
    <row r="899" spans="16:18" x14ac:dyDescent="0.3">
      <c r="P899" s="35">
        <v>19.309999999999999</v>
      </c>
      <c r="Q899">
        <v>305</v>
      </c>
      <c r="R899" s="34">
        <f t="shared" si="16"/>
        <v>0.10224296937265374</v>
      </c>
    </row>
    <row r="900" spans="16:18" x14ac:dyDescent="0.3">
      <c r="P900" s="35">
        <v>19.309999999999999</v>
      </c>
      <c r="Q900">
        <v>305</v>
      </c>
      <c r="R900" s="34">
        <f t="shared" ref="R900:R963" si="17">R899+R$2</f>
        <v>0.10235682568598632</v>
      </c>
    </row>
    <row r="901" spans="16:18" x14ac:dyDescent="0.3">
      <c r="P901" s="35">
        <v>19.32</v>
      </c>
      <c r="Q901">
        <v>305</v>
      </c>
      <c r="R901" s="34">
        <f t="shared" si="17"/>
        <v>0.1024706819993189</v>
      </c>
    </row>
    <row r="902" spans="16:18" x14ac:dyDescent="0.3">
      <c r="P902" s="35">
        <v>19.32</v>
      </c>
      <c r="Q902">
        <v>305</v>
      </c>
      <c r="R902" s="34">
        <f t="shared" si="17"/>
        <v>0.10258453831265148</v>
      </c>
    </row>
    <row r="903" spans="16:18" x14ac:dyDescent="0.3">
      <c r="P903" s="35">
        <v>19.329999999999998</v>
      </c>
      <c r="Q903">
        <v>305</v>
      </c>
      <c r="R903" s="34">
        <f t="shared" si="17"/>
        <v>0.10269839462598405</v>
      </c>
    </row>
    <row r="904" spans="16:18" x14ac:dyDescent="0.3">
      <c r="P904" s="35">
        <v>19.329999999999998</v>
      </c>
      <c r="Q904">
        <v>305</v>
      </c>
      <c r="R904" s="34">
        <f t="shared" si="17"/>
        <v>0.10281225093931663</v>
      </c>
    </row>
    <row r="905" spans="16:18" x14ac:dyDescent="0.3">
      <c r="P905" s="35">
        <v>19.350000000000001</v>
      </c>
      <c r="Q905">
        <v>305</v>
      </c>
      <c r="R905" s="34">
        <f t="shared" si="17"/>
        <v>0.10292610725264921</v>
      </c>
    </row>
    <row r="906" spans="16:18" x14ac:dyDescent="0.3">
      <c r="P906" s="35">
        <v>19.350000000000001</v>
      </c>
      <c r="Q906">
        <v>305</v>
      </c>
      <c r="R906" s="34">
        <f t="shared" si="17"/>
        <v>0.10303996356598179</v>
      </c>
    </row>
    <row r="907" spans="16:18" x14ac:dyDescent="0.3">
      <c r="P907" s="35">
        <v>19.350000000000001</v>
      </c>
      <c r="Q907">
        <v>305</v>
      </c>
      <c r="R907" s="34">
        <f t="shared" si="17"/>
        <v>0.10315381987931437</v>
      </c>
    </row>
    <row r="908" spans="16:18" x14ac:dyDescent="0.3">
      <c r="P908" s="35">
        <v>19.36</v>
      </c>
      <c r="Q908">
        <v>305</v>
      </c>
      <c r="R908" s="34">
        <f t="shared" si="17"/>
        <v>0.10326767619264694</v>
      </c>
    </row>
    <row r="909" spans="16:18" x14ac:dyDescent="0.3">
      <c r="P909" s="35">
        <v>19.36</v>
      </c>
      <c r="Q909">
        <v>305</v>
      </c>
      <c r="R909" s="34">
        <f t="shared" si="17"/>
        <v>0.10338153250597952</v>
      </c>
    </row>
    <row r="910" spans="16:18" x14ac:dyDescent="0.3">
      <c r="P910" s="35">
        <v>19.36</v>
      </c>
      <c r="Q910">
        <v>305</v>
      </c>
      <c r="R910" s="34">
        <f t="shared" si="17"/>
        <v>0.1034953888193121</v>
      </c>
    </row>
    <row r="911" spans="16:18" x14ac:dyDescent="0.3">
      <c r="P911" s="35">
        <v>19.37</v>
      </c>
      <c r="Q911">
        <v>305</v>
      </c>
      <c r="R911" s="34">
        <f t="shared" si="17"/>
        <v>0.10360924513264468</v>
      </c>
    </row>
    <row r="912" spans="16:18" x14ac:dyDescent="0.3">
      <c r="P912" s="35">
        <v>19.37</v>
      </c>
      <c r="Q912">
        <v>305</v>
      </c>
      <c r="R912" s="34">
        <f t="shared" si="17"/>
        <v>0.10372310144597725</v>
      </c>
    </row>
    <row r="913" spans="16:18" x14ac:dyDescent="0.3">
      <c r="P913" s="35">
        <v>19.38</v>
      </c>
      <c r="Q913">
        <v>305</v>
      </c>
      <c r="R913" s="34">
        <f t="shared" si="17"/>
        <v>0.10383695775930983</v>
      </c>
    </row>
    <row r="914" spans="16:18" x14ac:dyDescent="0.3">
      <c r="P914" s="35">
        <v>19.38</v>
      </c>
      <c r="Q914">
        <v>305</v>
      </c>
      <c r="R914" s="34">
        <f t="shared" si="17"/>
        <v>0.10395081407264241</v>
      </c>
    </row>
    <row r="915" spans="16:18" x14ac:dyDescent="0.3">
      <c r="P915" s="35">
        <v>19.39</v>
      </c>
      <c r="Q915">
        <v>305</v>
      </c>
      <c r="R915" s="34">
        <f t="shared" si="17"/>
        <v>0.10406467038597499</v>
      </c>
    </row>
    <row r="916" spans="16:18" x14ac:dyDescent="0.3">
      <c r="P916" s="35">
        <v>19.399999999999999</v>
      </c>
      <c r="Q916">
        <v>305</v>
      </c>
      <c r="R916" s="34">
        <f t="shared" si="17"/>
        <v>0.10417852669930756</v>
      </c>
    </row>
    <row r="917" spans="16:18" x14ac:dyDescent="0.3">
      <c r="P917" s="35">
        <v>19.399999999999999</v>
      </c>
      <c r="Q917">
        <v>305</v>
      </c>
      <c r="R917" s="34">
        <f t="shared" si="17"/>
        <v>0.10429238301264014</v>
      </c>
    </row>
    <row r="918" spans="16:18" x14ac:dyDescent="0.3">
      <c r="P918" s="35">
        <v>19.399999999999999</v>
      </c>
      <c r="Q918">
        <v>305</v>
      </c>
      <c r="R918" s="34">
        <f t="shared" si="17"/>
        <v>0.10440623932597272</v>
      </c>
    </row>
    <row r="919" spans="16:18" x14ac:dyDescent="0.3">
      <c r="P919" s="35">
        <v>19.41</v>
      </c>
      <c r="Q919">
        <v>305</v>
      </c>
      <c r="R919" s="34">
        <f t="shared" si="17"/>
        <v>0.1045200956393053</v>
      </c>
    </row>
    <row r="920" spans="16:18" x14ac:dyDescent="0.3">
      <c r="P920" s="35">
        <v>19.41</v>
      </c>
      <c r="Q920">
        <v>305</v>
      </c>
      <c r="R920" s="34">
        <f t="shared" si="17"/>
        <v>0.10463395195263787</v>
      </c>
    </row>
    <row r="921" spans="16:18" x14ac:dyDescent="0.3">
      <c r="P921" s="35">
        <v>19.420000000000002</v>
      </c>
      <c r="Q921">
        <v>305</v>
      </c>
      <c r="R921" s="34">
        <f t="shared" si="17"/>
        <v>0.10474780826597045</v>
      </c>
    </row>
    <row r="922" spans="16:18" x14ac:dyDescent="0.3">
      <c r="P922" s="35">
        <v>19.420000000000002</v>
      </c>
      <c r="Q922">
        <v>305</v>
      </c>
      <c r="R922" s="34">
        <f t="shared" si="17"/>
        <v>0.10486166457930303</v>
      </c>
    </row>
    <row r="923" spans="16:18" x14ac:dyDescent="0.3">
      <c r="P923" s="35">
        <v>19.420000000000002</v>
      </c>
      <c r="Q923">
        <v>305</v>
      </c>
      <c r="R923" s="34">
        <f t="shared" si="17"/>
        <v>0.10497552089263561</v>
      </c>
    </row>
    <row r="924" spans="16:18" x14ac:dyDescent="0.3">
      <c r="P924" s="35">
        <v>19.420000000000002</v>
      </c>
      <c r="Q924">
        <v>305</v>
      </c>
      <c r="R924" s="34">
        <f t="shared" si="17"/>
        <v>0.10508937720596818</v>
      </c>
    </row>
    <row r="925" spans="16:18" x14ac:dyDescent="0.3">
      <c r="P925" s="35">
        <v>19.420000000000002</v>
      </c>
      <c r="Q925">
        <v>305</v>
      </c>
      <c r="R925" s="34">
        <f t="shared" si="17"/>
        <v>0.10520323351930076</v>
      </c>
    </row>
    <row r="926" spans="16:18" x14ac:dyDescent="0.3">
      <c r="P926" s="35">
        <v>19.43</v>
      </c>
      <c r="Q926">
        <v>305</v>
      </c>
      <c r="R926" s="34">
        <f t="shared" si="17"/>
        <v>0.10531708983263334</v>
      </c>
    </row>
    <row r="927" spans="16:18" x14ac:dyDescent="0.3">
      <c r="P927" s="35">
        <v>19.43</v>
      </c>
      <c r="Q927">
        <v>305</v>
      </c>
      <c r="R927" s="34">
        <f t="shared" si="17"/>
        <v>0.10543094614596592</v>
      </c>
    </row>
    <row r="928" spans="16:18" x14ac:dyDescent="0.3">
      <c r="P928" s="35">
        <v>19.440000000000001</v>
      </c>
      <c r="Q928">
        <v>305</v>
      </c>
      <c r="R928" s="34">
        <f t="shared" si="17"/>
        <v>0.1055448024592985</v>
      </c>
    </row>
    <row r="929" spans="16:18" x14ac:dyDescent="0.3">
      <c r="P929" s="35">
        <v>19.440000000000001</v>
      </c>
      <c r="Q929">
        <v>305</v>
      </c>
      <c r="R929" s="34">
        <f t="shared" si="17"/>
        <v>0.10565865877263107</v>
      </c>
    </row>
    <row r="930" spans="16:18" x14ac:dyDescent="0.3">
      <c r="P930" s="35">
        <v>19.440000000000001</v>
      </c>
      <c r="Q930">
        <v>305</v>
      </c>
      <c r="R930" s="34">
        <f t="shared" si="17"/>
        <v>0.10577251508596365</v>
      </c>
    </row>
    <row r="931" spans="16:18" x14ac:dyDescent="0.3">
      <c r="P931" s="35">
        <v>19.440000000000001</v>
      </c>
      <c r="Q931">
        <v>305</v>
      </c>
      <c r="R931" s="34">
        <f t="shared" si="17"/>
        <v>0.10588637139929623</v>
      </c>
    </row>
    <row r="932" spans="16:18" x14ac:dyDescent="0.3">
      <c r="P932" s="35">
        <v>19.45</v>
      </c>
      <c r="Q932">
        <v>305</v>
      </c>
      <c r="R932" s="34">
        <f t="shared" si="17"/>
        <v>0.10600022771262881</v>
      </c>
    </row>
    <row r="933" spans="16:18" x14ac:dyDescent="0.3">
      <c r="P933" s="35">
        <v>19.47</v>
      </c>
      <c r="Q933">
        <v>305</v>
      </c>
      <c r="R933" s="34">
        <f t="shared" si="17"/>
        <v>0.10611408402596138</v>
      </c>
    </row>
    <row r="934" spans="16:18" x14ac:dyDescent="0.3">
      <c r="P934" s="35">
        <v>19.47</v>
      </c>
      <c r="Q934">
        <v>305</v>
      </c>
      <c r="R934" s="34">
        <f t="shared" si="17"/>
        <v>0.10622794033929396</v>
      </c>
    </row>
    <row r="935" spans="16:18" x14ac:dyDescent="0.3">
      <c r="P935" s="35">
        <v>19.48</v>
      </c>
      <c r="Q935">
        <v>305</v>
      </c>
      <c r="R935" s="34">
        <f t="shared" si="17"/>
        <v>0.10634179665262654</v>
      </c>
    </row>
    <row r="936" spans="16:18" x14ac:dyDescent="0.3">
      <c r="P936" s="35">
        <v>19.48</v>
      </c>
      <c r="Q936">
        <v>305</v>
      </c>
      <c r="R936" s="34">
        <f t="shared" si="17"/>
        <v>0.10645565296595912</v>
      </c>
    </row>
    <row r="937" spans="16:18" x14ac:dyDescent="0.3">
      <c r="P937" s="35">
        <v>19.48</v>
      </c>
      <c r="Q937">
        <v>305</v>
      </c>
      <c r="R937" s="34">
        <f t="shared" si="17"/>
        <v>0.10656950927929169</v>
      </c>
    </row>
    <row r="938" spans="16:18" x14ac:dyDescent="0.3">
      <c r="P938" s="35">
        <v>19.48</v>
      </c>
      <c r="Q938">
        <v>305</v>
      </c>
      <c r="R938" s="34">
        <f t="shared" si="17"/>
        <v>0.10668336559262427</v>
      </c>
    </row>
    <row r="939" spans="16:18" x14ac:dyDescent="0.3">
      <c r="P939" s="35">
        <v>19.489999999999998</v>
      </c>
      <c r="Q939">
        <v>305</v>
      </c>
      <c r="R939" s="34">
        <f t="shared" si="17"/>
        <v>0.10679722190595685</v>
      </c>
    </row>
    <row r="940" spans="16:18" x14ac:dyDescent="0.3">
      <c r="P940" s="35">
        <v>19.489999999999998</v>
      </c>
      <c r="Q940">
        <v>305</v>
      </c>
      <c r="R940" s="34">
        <f t="shared" si="17"/>
        <v>0.10691107821928943</v>
      </c>
    </row>
    <row r="941" spans="16:18" x14ac:dyDescent="0.3">
      <c r="P941" s="35">
        <v>19.5</v>
      </c>
      <c r="Q941">
        <v>305</v>
      </c>
      <c r="R941" s="34">
        <f t="shared" si="17"/>
        <v>0.107024934532622</v>
      </c>
    </row>
    <row r="942" spans="16:18" x14ac:dyDescent="0.3">
      <c r="P942" s="35">
        <v>19.5</v>
      </c>
      <c r="Q942">
        <v>305</v>
      </c>
      <c r="R942" s="34">
        <f t="shared" si="17"/>
        <v>0.10713879084595458</v>
      </c>
    </row>
    <row r="943" spans="16:18" x14ac:dyDescent="0.3">
      <c r="P943" s="35">
        <v>19.5</v>
      </c>
      <c r="Q943">
        <v>305</v>
      </c>
      <c r="R943" s="34">
        <f t="shared" si="17"/>
        <v>0.10725264715928716</v>
      </c>
    </row>
    <row r="944" spans="16:18" x14ac:dyDescent="0.3">
      <c r="P944" s="35">
        <v>19.510000000000002</v>
      </c>
      <c r="Q944">
        <v>305</v>
      </c>
      <c r="R944" s="34">
        <f t="shared" si="17"/>
        <v>0.10736650347261974</v>
      </c>
    </row>
    <row r="945" spans="16:18" x14ac:dyDescent="0.3">
      <c r="P945" s="35">
        <v>19.510000000000002</v>
      </c>
      <c r="Q945">
        <v>305</v>
      </c>
      <c r="R945" s="34">
        <f t="shared" si="17"/>
        <v>0.10748035978595231</v>
      </c>
    </row>
    <row r="946" spans="16:18" x14ac:dyDescent="0.3">
      <c r="P946" s="35">
        <v>19.510000000000002</v>
      </c>
      <c r="Q946">
        <v>305</v>
      </c>
      <c r="R946" s="34">
        <f t="shared" si="17"/>
        <v>0.10759421609928489</v>
      </c>
    </row>
    <row r="947" spans="16:18" x14ac:dyDescent="0.3">
      <c r="P947" s="35">
        <v>19.52</v>
      </c>
      <c r="Q947">
        <v>305</v>
      </c>
      <c r="R947" s="34">
        <f t="shared" si="17"/>
        <v>0.10770807241261747</v>
      </c>
    </row>
    <row r="948" spans="16:18" x14ac:dyDescent="0.3">
      <c r="P948" s="35">
        <v>19.52</v>
      </c>
      <c r="Q948">
        <v>305</v>
      </c>
      <c r="R948" s="34">
        <f t="shared" si="17"/>
        <v>0.10782192872595005</v>
      </c>
    </row>
    <row r="949" spans="16:18" x14ac:dyDescent="0.3">
      <c r="P949" s="35">
        <v>19.52</v>
      </c>
      <c r="Q949">
        <v>305</v>
      </c>
      <c r="R949" s="34">
        <f t="shared" si="17"/>
        <v>0.10793578503928263</v>
      </c>
    </row>
    <row r="950" spans="16:18" x14ac:dyDescent="0.3">
      <c r="P950" s="35">
        <v>19.53</v>
      </c>
      <c r="Q950">
        <v>305</v>
      </c>
      <c r="R950" s="34">
        <f t="shared" si="17"/>
        <v>0.1080496413526152</v>
      </c>
    </row>
    <row r="951" spans="16:18" x14ac:dyDescent="0.3">
      <c r="P951" s="35">
        <v>19.53</v>
      </c>
      <c r="Q951">
        <v>305</v>
      </c>
      <c r="R951" s="34">
        <f t="shared" si="17"/>
        <v>0.10816349766594778</v>
      </c>
    </row>
    <row r="952" spans="16:18" x14ac:dyDescent="0.3">
      <c r="P952" s="35">
        <v>19.54</v>
      </c>
      <c r="Q952">
        <v>305</v>
      </c>
      <c r="R952" s="34">
        <f t="shared" si="17"/>
        <v>0.10827735397928036</v>
      </c>
    </row>
    <row r="953" spans="16:18" x14ac:dyDescent="0.3">
      <c r="P953" s="35">
        <v>19.54</v>
      </c>
      <c r="Q953">
        <v>305</v>
      </c>
      <c r="R953" s="34">
        <f t="shared" si="17"/>
        <v>0.10839121029261294</v>
      </c>
    </row>
    <row r="954" spans="16:18" x14ac:dyDescent="0.3">
      <c r="P954" s="35">
        <v>19.54</v>
      </c>
      <c r="Q954">
        <v>305</v>
      </c>
      <c r="R954" s="34">
        <f t="shared" si="17"/>
        <v>0.10850506660594551</v>
      </c>
    </row>
    <row r="955" spans="16:18" x14ac:dyDescent="0.3">
      <c r="P955" s="35">
        <v>19.54</v>
      </c>
      <c r="Q955">
        <v>305</v>
      </c>
      <c r="R955" s="34">
        <f t="shared" si="17"/>
        <v>0.10861892291927809</v>
      </c>
    </row>
    <row r="956" spans="16:18" x14ac:dyDescent="0.3">
      <c r="P956" s="35">
        <v>19.54</v>
      </c>
      <c r="Q956">
        <v>305</v>
      </c>
      <c r="R956" s="34">
        <f t="shared" si="17"/>
        <v>0.10873277923261067</v>
      </c>
    </row>
    <row r="957" spans="16:18" x14ac:dyDescent="0.3">
      <c r="P957" s="35">
        <v>19.55</v>
      </c>
      <c r="Q957">
        <v>305</v>
      </c>
      <c r="R957" s="34">
        <f t="shared" si="17"/>
        <v>0.10884663554594325</v>
      </c>
    </row>
    <row r="958" spans="16:18" x14ac:dyDescent="0.3">
      <c r="P958" s="35">
        <v>19.55</v>
      </c>
      <c r="Q958">
        <v>305</v>
      </c>
      <c r="R958" s="34">
        <f t="shared" si="17"/>
        <v>0.10896049185927582</v>
      </c>
    </row>
    <row r="959" spans="16:18" x14ac:dyDescent="0.3">
      <c r="P959" s="35">
        <v>19.55</v>
      </c>
      <c r="Q959">
        <v>305</v>
      </c>
      <c r="R959" s="34">
        <f t="shared" si="17"/>
        <v>0.1090743481726084</v>
      </c>
    </row>
    <row r="960" spans="16:18" x14ac:dyDescent="0.3">
      <c r="P960" s="35">
        <v>19.559999999999999</v>
      </c>
      <c r="Q960">
        <v>305</v>
      </c>
      <c r="R960" s="34">
        <f t="shared" si="17"/>
        <v>0.10918820448594098</v>
      </c>
    </row>
    <row r="961" spans="16:18" x14ac:dyDescent="0.3">
      <c r="P961" s="35">
        <v>19.559999999999999</v>
      </c>
      <c r="Q961">
        <v>305</v>
      </c>
      <c r="R961" s="34">
        <f t="shared" si="17"/>
        <v>0.10930206079927356</v>
      </c>
    </row>
    <row r="962" spans="16:18" x14ac:dyDescent="0.3">
      <c r="P962" s="35">
        <v>19.57</v>
      </c>
      <c r="Q962">
        <v>305</v>
      </c>
      <c r="R962" s="34">
        <f t="shared" si="17"/>
        <v>0.10941591711260613</v>
      </c>
    </row>
    <row r="963" spans="16:18" x14ac:dyDescent="0.3">
      <c r="P963" s="35">
        <v>19.57</v>
      </c>
      <c r="Q963">
        <v>305</v>
      </c>
      <c r="R963" s="34">
        <f t="shared" si="17"/>
        <v>0.10952977342593871</v>
      </c>
    </row>
    <row r="964" spans="16:18" x14ac:dyDescent="0.3">
      <c r="P964" s="35">
        <v>19.57</v>
      </c>
      <c r="Q964">
        <v>305</v>
      </c>
      <c r="R964" s="34">
        <f t="shared" ref="R964:R1027" si="18">R963+R$2</f>
        <v>0.10964362973927129</v>
      </c>
    </row>
    <row r="965" spans="16:18" x14ac:dyDescent="0.3">
      <c r="P965" s="35">
        <v>19.579999999999998</v>
      </c>
      <c r="Q965">
        <v>305</v>
      </c>
      <c r="R965" s="34">
        <f t="shared" si="18"/>
        <v>0.10975748605260387</v>
      </c>
    </row>
    <row r="966" spans="16:18" x14ac:dyDescent="0.3">
      <c r="P966" s="35">
        <v>19.579999999999998</v>
      </c>
      <c r="Q966">
        <v>305</v>
      </c>
      <c r="R966" s="34">
        <f t="shared" si="18"/>
        <v>0.10987134236593644</v>
      </c>
    </row>
    <row r="967" spans="16:18" x14ac:dyDescent="0.3">
      <c r="P967" s="35">
        <v>19.579999999999998</v>
      </c>
      <c r="Q967">
        <v>305</v>
      </c>
      <c r="R967" s="34">
        <f t="shared" si="18"/>
        <v>0.10998519867926902</v>
      </c>
    </row>
    <row r="968" spans="16:18" x14ac:dyDescent="0.3">
      <c r="P968" s="35">
        <v>19.579999999999998</v>
      </c>
      <c r="Q968">
        <v>305</v>
      </c>
      <c r="R968" s="34">
        <f t="shared" si="18"/>
        <v>0.1100990549926016</v>
      </c>
    </row>
    <row r="969" spans="16:18" x14ac:dyDescent="0.3">
      <c r="P969" s="35">
        <v>19.579999999999998</v>
      </c>
      <c r="Q969">
        <v>305</v>
      </c>
      <c r="R969" s="34">
        <f t="shared" si="18"/>
        <v>0.11021291130593418</v>
      </c>
    </row>
    <row r="970" spans="16:18" x14ac:dyDescent="0.3">
      <c r="P970" s="35">
        <v>19.579999999999998</v>
      </c>
      <c r="Q970">
        <v>305</v>
      </c>
      <c r="R970" s="34">
        <f t="shared" si="18"/>
        <v>0.11032676761926676</v>
      </c>
    </row>
    <row r="971" spans="16:18" x14ac:dyDescent="0.3">
      <c r="P971" s="35">
        <v>19.59</v>
      </c>
      <c r="Q971">
        <v>305</v>
      </c>
      <c r="R971" s="34">
        <f t="shared" si="18"/>
        <v>0.11044062393259933</v>
      </c>
    </row>
    <row r="972" spans="16:18" x14ac:dyDescent="0.3">
      <c r="P972" s="35">
        <v>19.59</v>
      </c>
      <c r="Q972">
        <v>305</v>
      </c>
      <c r="R972" s="34">
        <f t="shared" si="18"/>
        <v>0.11055448024593191</v>
      </c>
    </row>
    <row r="973" spans="16:18" x14ac:dyDescent="0.3">
      <c r="P973" s="35">
        <v>19.600000000000001</v>
      </c>
      <c r="Q973">
        <v>305</v>
      </c>
      <c r="R973" s="34">
        <f t="shared" si="18"/>
        <v>0.11066833655926449</v>
      </c>
    </row>
    <row r="974" spans="16:18" x14ac:dyDescent="0.3">
      <c r="P974" s="35">
        <v>19.600000000000001</v>
      </c>
      <c r="Q974">
        <v>305</v>
      </c>
      <c r="R974" s="34">
        <f t="shared" si="18"/>
        <v>0.11078219287259707</v>
      </c>
    </row>
    <row r="975" spans="16:18" x14ac:dyDescent="0.3">
      <c r="P975" s="35">
        <v>19.61</v>
      </c>
      <c r="Q975">
        <v>305</v>
      </c>
      <c r="R975" s="34">
        <f t="shared" si="18"/>
        <v>0.11089604918592964</v>
      </c>
    </row>
    <row r="976" spans="16:18" x14ac:dyDescent="0.3">
      <c r="P976" s="35">
        <v>19.61</v>
      </c>
      <c r="Q976">
        <v>305</v>
      </c>
      <c r="R976" s="34">
        <f t="shared" si="18"/>
        <v>0.11100990549926222</v>
      </c>
    </row>
    <row r="977" spans="16:18" x14ac:dyDescent="0.3">
      <c r="P977" s="35">
        <v>19.61</v>
      </c>
      <c r="Q977">
        <v>305</v>
      </c>
      <c r="R977" s="34">
        <f t="shared" si="18"/>
        <v>0.1111237618125948</v>
      </c>
    </row>
    <row r="978" spans="16:18" x14ac:dyDescent="0.3">
      <c r="P978" s="35">
        <v>19.61</v>
      </c>
      <c r="Q978">
        <v>305</v>
      </c>
      <c r="R978" s="34">
        <f t="shared" si="18"/>
        <v>0.11123761812592738</v>
      </c>
    </row>
    <row r="979" spans="16:18" x14ac:dyDescent="0.3">
      <c r="P979" s="35">
        <v>19.62</v>
      </c>
      <c r="Q979">
        <v>305</v>
      </c>
      <c r="R979" s="34">
        <f t="shared" si="18"/>
        <v>0.11135147443925995</v>
      </c>
    </row>
    <row r="980" spans="16:18" x14ac:dyDescent="0.3">
      <c r="P980" s="35">
        <v>19.62</v>
      </c>
      <c r="Q980">
        <v>305</v>
      </c>
      <c r="R980" s="34">
        <f t="shared" si="18"/>
        <v>0.11146533075259253</v>
      </c>
    </row>
    <row r="981" spans="16:18" x14ac:dyDescent="0.3">
      <c r="P981" s="35">
        <v>19.62</v>
      </c>
      <c r="Q981">
        <v>305</v>
      </c>
      <c r="R981" s="34">
        <f t="shared" si="18"/>
        <v>0.11157918706592511</v>
      </c>
    </row>
    <row r="982" spans="16:18" x14ac:dyDescent="0.3">
      <c r="P982" s="35">
        <v>19.62</v>
      </c>
      <c r="Q982">
        <v>305</v>
      </c>
      <c r="R982" s="34">
        <f t="shared" si="18"/>
        <v>0.11169304337925769</v>
      </c>
    </row>
    <row r="983" spans="16:18" x14ac:dyDescent="0.3">
      <c r="P983" s="35">
        <v>19.63</v>
      </c>
      <c r="Q983">
        <v>305</v>
      </c>
      <c r="R983" s="34">
        <f t="shared" si="18"/>
        <v>0.11180689969259026</v>
      </c>
    </row>
    <row r="984" spans="16:18" x14ac:dyDescent="0.3">
      <c r="P984" s="35">
        <v>19.63</v>
      </c>
      <c r="Q984">
        <v>305</v>
      </c>
      <c r="R984" s="34">
        <f t="shared" si="18"/>
        <v>0.11192075600592284</v>
      </c>
    </row>
    <row r="985" spans="16:18" x14ac:dyDescent="0.3">
      <c r="P985" s="35">
        <v>19.63</v>
      </c>
      <c r="Q985">
        <v>305</v>
      </c>
      <c r="R985" s="34">
        <f t="shared" si="18"/>
        <v>0.11203461231925542</v>
      </c>
    </row>
    <row r="986" spans="16:18" x14ac:dyDescent="0.3">
      <c r="P986" s="35">
        <v>19.64</v>
      </c>
      <c r="Q986">
        <v>305</v>
      </c>
      <c r="R986" s="34">
        <f t="shared" si="18"/>
        <v>0.112148468632588</v>
      </c>
    </row>
    <row r="987" spans="16:18" x14ac:dyDescent="0.3">
      <c r="P987" s="35">
        <v>19.64</v>
      </c>
      <c r="Q987">
        <v>305</v>
      </c>
      <c r="R987" s="34">
        <f t="shared" si="18"/>
        <v>0.11226232494592057</v>
      </c>
    </row>
    <row r="988" spans="16:18" x14ac:dyDescent="0.3">
      <c r="P988" s="35">
        <v>19.64</v>
      </c>
      <c r="Q988">
        <v>305</v>
      </c>
      <c r="R988" s="34">
        <f t="shared" si="18"/>
        <v>0.11237618125925315</v>
      </c>
    </row>
    <row r="989" spans="16:18" x14ac:dyDescent="0.3">
      <c r="P989" s="35">
        <v>19.64</v>
      </c>
      <c r="Q989">
        <v>305</v>
      </c>
      <c r="R989" s="34">
        <f t="shared" si="18"/>
        <v>0.11249003757258573</v>
      </c>
    </row>
    <row r="990" spans="16:18" x14ac:dyDescent="0.3">
      <c r="P990" s="35">
        <v>19.649999999999999</v>
      </c>
      <c r="Q990">
        <v>305</v>
      </c>
      <c r="R990" s="34">
        <f t="shared" si="18"/>
        <v>0.11260389388591831</v>
      </c>
    </row>
    <row r="991" spans="16:18" x14ac:dyDescent="0.3">
      <c r="P991" s="35">
        <v>19.66</v>
      </c>
      <c r="Q991">
        <v>305</v>
      </c>
      <c r="R991" s="34">
        <f t="shared" si="18"/>
        <v>0.11271775019925089</v>
      </c>
    </row>
    <row r="992" spans="16:18" x14ac:dyDescent="0.3">
      <c r="P992" s="35">
        <v>19.66</v>
      </c>
      <c r="Q992">
        <v>305</v>
      </c>
      <c r="R992" s="34">
        <f t="shared" si="18"/>
        <v>0.11283160651258346</v>
      </c>
    </row>
    <row r="993" spans="16:18" x14ac:dyDescent="0.3">
      <c r="P993" s="35">
        <v>19.66</v>
      </c>
      <c r="Q993">
        <v>305</v>
      </c>
      <c r="R993" s="34">
        <f t="shared" si="18"/>
        <v>0.11294546282591604</v>
      </c>
    </row>
    <row r="994" spans="16:18" x14ac:dyDescent="0.3">
      <c r="P994" s="35">
        <v>19.66</v>
      </c>
      <c r="Q994">
        <v>305</v>
      </c>
      <c r="R994" s="34">
        <f t="shared" si="18"/>
        <v>0.11305931913924862</v>
      </c>
    </row>
    <row r="995" spans="16:18" x14ac:dyDescent="0.3">
      <c r="P995" s="35">
        <v>19.670000000000002</v>
      </c>
      <c r="Q995">
        <v>305</v>
      </c>
      <c r="R995" s="34">
        <f t="shared" si="18"/>
        <v>0.1131731754525812</v>
      </c>
    </row>
    <row r="996" spans="16:18" x14ac:dyDescent="0.3">
      <c r="P996" s="35">
        <v>19.670000000000002</v>
      </c>
      <c r="Q996">
        <v>305</v>
      </c>
      <c r="R996" s="34">
        <f t="shared" si="18"/>
        <v>0.11328703176591377</v>
      </c>
    </row>
    <row r="997" spans="16:18" x14ac:dyDescent="0.3">
      <c r="P997" s="35">
        <v>19.68</v>
      </c>
      <c r="Q997">
        <v>305</v>
      </c>
      <c r="R997" s="34">
        <f t="shared" si="18"/>
        <v>0.11340088807924635</v>
      </c>
    </row>
    <row r="998" spans="16:18" x14ac:dyDescent="0.3">
      <c r="P998" s="35">
        <v>19.68</v>
      </c>
      <c r="Q998">
        <v>305</v>
      </c>
      <c r="R998" s="34">
        <f t="shared" si="18"/>
        <v>0.11351474439257893</v>
      </c>
    </row>
    <row r="999" spans="16:18" x14ac:dyDescent="0.3">
      <c r="P999" s="35">
        <v>19.690000000000001</v>
      </c>
      <c r="Q999">
        <v>305</v>
      </c>
      <c r="R999" s="34">
        <f t="shared" si="18"/>
        <v>0.11362860070591151</v>
      </c>
    </row>
    <row r="1000" spans="16:18" x14ac:dyDescent="0.3">
      <c r="P1000" s="35">
        <v>19.690000000000001</v>
      </c>
      <c r="Q1000">
        <v>305</v>
      </c>
      <c r="R1000" s="34">
        <f t="shared" si="18"/>
        <v>0.11374245701924408</v>
      </c>
    </row>
    <row r="1001" spans="16:18" x14ac:dyDescent="0.3">
      <c r="P1001" s="35">
        <v>19.7</v>
      </c>
      <c r="Q1001">
        <v>305</v>
      </c>
      <c r="R1001" s="34">
        <f t="shared" si="18"/>
        <v>0.11385631333257666</v>
      </c>
    </row>
    <row r="1002" spans="16:18" x14ac:dyDescent="0.3">
      <c r="P1002" s="35">
        <v>19.7</v>
      </c>
      <c r="Q1002">
        <v>305</v>
      </c>
      <c r="R1002" s="34">
        <f t="shared" si="18"/>
        <v>0.11397016964590924</v>
      </c>
    </row>
    <row r="1003" spans="16:18" x14ac:dyDescent="0.3">
      <c r="P1003" s="35">
        <v>19.7</v>
      </c>
      <c r="Q1003">
        <v>305</v>
      </c>
      <c r="R1003" s="34">
        <f t="shared" si="18"/>
        <v>0.11408402595924182</v>
      </c>
    </row>
    <row r="1004" spans="16:18" x14ac:dyDescent="0.3">
      <c r="P1004" s="35">
        <v>19.7</v>
      </c>
      <c r="Q1004">
        <v>305</v>
      </c>
      <c r="R1004" s="34">
        <f t="shared" si="18"/>
        <v>0.11419788227257439</v>
      </c>
    </row>
    <row r="1005" spans="16:18" x14ac:dyDescent="0.3">
      <c r="P1005" s="35">
        <v>19.71</v>
      </c>
      <c r="Q1005">
        <v>305</v>
      </c>
      <c r="R1005" s="34">
        <f t="shared" si="18"/>
        <v>0.11431173858590697</v>
      </c>
    </row>
    <row r="1006" spans="16:18" x14ac:dyDescent="0.3">
      <c r="P1006" s="35">
        <v>19.72</v>
      </c>
      <c r="Q1006">
        <v>305</v>
      </c>
      <c r="R1006" s="34">
        <f t="shared" si="18"/>
        <v>0.11442559489923955</v>
      </c>
    </row>
    <row r="1007" spans="16:18" x14ac:dyDescent="0.3">
      <c r="P1007" s="35">
        <v>19.72</v>
      </c>
      <c r="Q1007">
        <v>305</v>
      </c>
      <c r="R1007" s="34">
        <f t="shared" si="18"/>
        <v>0.11453945121257213</v>
      </c>
    </row>
    <row r="1008" spans="16:18" x14ac:dyDescent="0.3">
      <c r="P1008" s="35">
        <v>19.73</v>
      </c>
      <c r="Q1008">
        <v>305</v>
      </c>
      <c r="R1008" s="34">
        <f t="shared" si="18"/>
        <v>0.1146533075259047</v>
      </c>
    </row>
    <row r="1009" spans="16:18" x14ac:dyDescent="0.3">
      <c r="P1009" s="35">
        <v>19.739999999999998</v>
      </c>
      <c r="Q1009">
        <v>305</v>
      </c>
      <c r="R1009" s="34">
        <f t="shared" si="18"/>
        <v>0.11476716383923728</v>
      </c>
    </row>
    <row r="1010" spans="16:18" x14ac:dyDescent="0.3">
      <c r="P1010" s="35">
        <v>19.739999999999998</v>
      </c>
      <c r="Q1010">
        <v>305</v>
      </c>
      <c r="R1010" s="34">
        <f t="shared" si="18"/>
        <v>0.11488102015256986</v>
      </c>
    </row>
    <row r="1011" spans="16:18" x14ac:dyDescent="0.3">
      <c r="P1011" s="35">
        <v>19.75</v>
      </c>
      <c r="Q1011">
        <v>305</v>
      </c>
      <c r="R1011" s="34">
        <f t="shared" si="18"/>
        <v>0.11499487646590244</v>
      </c>
    </row>
    <row r="1012" spans="16:18" x14ac:dyDescent="0.3">
      <c r="P1012" s="35">
        <v>19.760000000000002</v>
      </c>
      <c r="Q1012">
        <v>305</v>
      </c>
      <c r="R1012" s="34">
        <f t="shared" si="18"/>
        <v>0.11510873277923502</v>
      </c>
    </row>
    <row r="1013" spans="16:18" x14ac:dyDescent="0.3">
      <c r="P1013" s="35">
        <v>19.760000000000002</v>
      </c>
      <c r="Q1013">
        <v>305</v>
      </c>
      <c r="R1013" s="34">
        <f t="shared" si="18"/>
        <v>0.11522258909256759</v>
      </c>
    </row>
    <row r="1014" spans="16:18" x14ac:dyDescent="0.3">
      <c r="P1014" s="35">
        <v>19.760000000000002</v>
      </c>
      <c r="Q1014">
        <v>305</v>
      </c>
      <c r="R1014" s="34">
        <f t="shared" si="18"/>
        <v>0.11533644540590017</v>
      </c>
    </row>
    <row r="1015" spans="16:18" x14ac:dyDescent="0.3">
      <c r="P1015" s="35">
        <v>19.760000000000002</v>
      </c>
      <c r="Q1015">
        <v>305</v>
      </c>
      <c r="R1015" s="34">
        <f t="shared" si="18"/>
        <v>0.11545030171923275</v>
      </c>
    </row>
    <row r="1016" spans="16:18" x14ac:dyDescent="0.3">
      <c r="P1016" s="35">
        <v>19.760000000000002</v>
      </c>
      <c r="Q1016">
        <v>305</v>
      </c>
      <c r="R1016" s="34">
        <f t="shared" si="18"/>
        <v>0.11556415803256533</v>
      </c>
    </row>
    <row r="1017" spans="16:18" x14ac:dyDescent="0.3">
      <c r="P1017" s="35">
        <v>19.760000000000002</v>
      </c>
      <c r="Q1017">
        <v>305</v>
      </c>
      <c r="R1017" s="34">
        <f t="shared" si="18"/>
        <v>0.1156780143458979</v>
      </c>
    </row>
    <row r="1018" spans="16:18" x14ac:dyDescent="0.3">
      <c r="P1018" s="35">
        <v>19.760000000000002</v>
      </c>
      <c r="Q1018">
        <v>305</v>
      </c>
      <c r="R1018" s="34">
        <f t="shared" si="18"/>
        <v>0.11579187065923048</v>
      </c>
    </row>
    <row r="1019" spans="16:18" x14ac:dyDescent="0.3">
      <c r="P1019" s="35">
        <v>19.760000000000002</v>
      </c>
      <c r="Q1019">
        <v>305</v>
      </c>
      <c r="R1019" s="34">
        <f t="shared" si="18"/>
        <v>0.11590572697256306</v>
      </c>
    </row>
    <row r="1020" spans="16:18" x14ac:dyDescent="0.3">
      <c r="P1020" s="35">
        <v>19.77</v>
      </c>
      <c r="Q1020">
        <v>305</v>
      </c>
      <c r="R1020" s="34">
        <f t="shared" si="18"/>
        <v>0.11601958328589564</v>
      </c>
    </row>
    <row r="1021" spans="16:18" x14ac:dyDescent="0.3">
      <c r="P1021" s="35">
        <v>19.77</v>
      </c>
      <c r="Q1021">
        <v>305</v>
      </c>
      <c r="R1021" s="34">
        <f t="shared" si="18"/>
        <v>0.11613343959922821</v>
      </c>
    </row>
    <row r="1022" spans="16:18" x14ac:dyDescent="0.3">
      <c r="P1022" s="35">
        <v>19.78</v>
      </c>
      <c r="Q1022">
        <v>305</v>
      </c>
      <c r="R1022" s="34">
        <f t="shared" si="18"/>
        <v>0.11624729591256079</v>
      </c>
    </row>
    <row r="1023" spans="16:18" x14ac:dyDescent="0.3">
      <c r="P1023" s="35">
        <v>19.78</v>
      </c>
      <c r="Q1023">
        <v>305</v>
      </c>
      <c r="R1023" s="34">
        <f t="shared" si="18"/>
        <v>0.11636115222589337</v>
      </c>
    </row>
    <row r="1024" spans="16:18" x14ac:dyDescent="0.3">
      <c r="P1024" s="35">
        <v>19.78</v>
      </c>
      <c r="Q1024">
        <v>305</v>
      </c>
      <c r="R1024" s="34">
        <f t="shared" si="18"/>
        <v>0.11647500853922595</v>
      </c>
    </row>
    <row r="1025" spans="16:18" x14ac:dyDescent="0.3">
      <c r="P1025" s="35">
        <v>19.78</v>
      </c>
      <c r="Q1025">
        <v>305</v>
      </c>
      <c r="R1025" s="34">
        <f t="shared" si="18"/>
        <v>0.11658886485255852</v>
      </c>
    </row>
    <row r="1026" spans="16:18" x14ac:dyDescent="0.3">
      <c r="P1026" s="35">
        <v>19.78</v>
      </c>
      <c r="Q1026">
        <v>305</v>
      </c>
      <c r="R1026" s="34">
        <f t="shared" si="18"/>
        <v>0.1167027211658911</v>
      </c>
    </row>
    <row r="1027" spans="16:18" x14ac:dyDescent="0.3">
      <c r="P1027" s="35">
        <v>19.78</v>
      </c>
      <c r="Q1027">
        <v>305</v>
      </c>
      <c r="R1027" s="34">
        <f t="shared" si="18"/>
        <v>0.11681657747922368</v>
      </c>
    </row>
    <row r="1028" spans="16:18" x14ac:dyDescent="0.3">
      <c r="P1028" s="35">
        <v>19.78</v>
      </c>
      <c r="Q1028">
        <v>305</v>
      </c>
      <c r="R1028" s="34">
        <f t="shared" ref="R1028:R1091" si="19">R1027+R$2</f>
        <v>0.11693043379255626</v>
      </c>
    </row>
    <row r="1029" spans="16:18" x14ac:dyDescent="0.3">
      <c r="P1029" s="35">
        <v>19.78</v>
      </c>
      <c r="Q1029">
        <v>305</v>
      </c>
      <c r="R1029" s="34">
        <f t="shared" si="19"/>
        <v>0.11704429010588883</v>
      </c>
    </row>
    <row r="1030" spans="16:18" x14ac:dyDescent="0.3">
      <c r="P1030" s="35">
        <v>19.79</v>
      </c>
      <c r="Q1030">
        <v>305</v>
      </c>
      <c r="R1030" s="34">
        <f t="shared" si="19"/>
        <v>0.11715814641922141</v>
      </c>
    </row>
    <row r="1031" spans="16:18" x14ac:dyDescent="0.3">
      <c r="P1031" s="35">
        <v>19.79</v>
      </c>
      <c r="Q1031">
        <v>305</v>
      </c>
      <c r="R1031" s="34">
        <f t="shared" si="19"/>
        <v>0.11727200273255399</v>
      </c>
    </row>
    <row r="1032" spans="16:18" x14ac:dyDescent="0.3">
      <c r="P1032" s="35">
        <v>19.79</v>
      </c>
      <c r="Q1032">
        <v>305</v>
      </c>
      <c r="R1032" s="34">
        <f t="shared" si="19"/>
        <v>0.11738585904588657</v>
      </c>
    </row>
    <row r="1033" spans="16:18" x14ac:dyDescent="0.3">
      <c r="P1033" s="35">
        <v>19.79</v>
      </c>
      <c r="Q1033">
        <v>305</v>
      </c>
      <c r="R1033" s="34">
        <f t="shared" si="19"/>
        <v>0.11749971535921915</v>
      </c>
    </row>
    <row r="1034" spans="16:18" x14ac:dyDescent="0.3">
      <c r="P1034" s="35">
        <v>19.79</v>
      </c>
      <c r="Q1034">
        <v>305</v>
      </c>
      <c r="R1034" s="34">
        <f t="shared" si="19"/>
        <v>0.11761357167255172</v>
      </c>
    </row>
    <row r="1035" spans="16:18" x14ac:dyDescent="0.3">
      <c r="P1035" s="35">
        <v>19.79</v>
      </c>
      <c r="Q1035">
        <v>305</v>
      </c>
      <c r="R1035" s="34">
        <f t="shared" si="19"/>
        <v>0.1177274279858843</v>
      </c>
    </row>
    <row r="1036" spans="16:18" x14ac:dyDescent="0.3">
      <c r="P1036" s="35">
        <v>19.79</v>
      </c>
      <c r="Q1036">
        <v>305</v>
      </c>
      <c r="R1036" s="34">
        <f t="shared" si="19"/>
        <v>0.11784128429921688</v>
      </c>
    </row>
    <row r="1037" spans="16:18" x14ac:dyDescent="0.3">
      <c r="P1037" s="35">
        <v>19.79</v>
      </c>
      <c r="Q1037">
        <v>305</v>
      </c>
      <c r="R1037" s="34">
        <f t="shared" si="19"/>
        <v>0.11795514061254946</v>
      </c>
    </row>
    <row r="1038" spans="16:18" x14ac:dyDescent="0.3">
      <c r="P1038" s="35">
        <v>19.79</v>
      </c>
      <c r="Q1038">
        <v>305</v>
      </c>
      <c r="R1038" s="34">
        <f t="shared" si="19"/>
        <v>0.11806899692588203</v>
      </c>
    </row>
    <row r="1039" spans="16:18" x14ac:dyDescent="0.3">
      <c r="P1039" s="35">
        <v>19.79</v>
      </c>
      <c r="Q1039">
        <v>305</v>
      </c>
      <c r="R1039" s="34">
        <f t="shared" si="19"/>
        <v>0.11818285323921461</v>
      </c>
    </row>
    <row r="1040" spans="16:18" x14ac:dyDescent="0.3">
      <c r="P1040" s="35">
        <v>19.79</v>
      </c>
      <c r="Q1040">
        <v>305</v>
      </c>
      <c r="R1040" s="34">
        <f t="shared" si="19"/>
        <v>0.11829670955254719</v>
      </c>
    </row>
    <row r="1041" spans="16:18" x14ac:dyDescent="0.3">
      <c r="P1041" s="35">
        <v>19.8</v>
      </c>
      <c r="Q1041">
        <v>305</v>
      </c>
      <c r="R1041" s="34">
        <f t="shared" si="19"/>
        <v>0.11841056586587977</v>
      </c>
    </row>
    <row r="1042" spans="16:18" x14ac:dyDescent="0.3">
      <c r="P1042" s="35">
        <v>19.8</v>
      </c>
      <c r="Q1042">
        <v>305</v>
      </c>
      <c r="R1042" s="34">
        <f t="shared" si="19"/>
        <v>0.11852442217921234</v>
      </c>
    </row>
    <row r="1043" spans="16:18" x14ac:dyDescent="0.3">
      <c r="P1043" s="35">
        <v>19.8</v>
      </c>
      <c r="Q1043">
        <v>305</v>
      </c>
      <c r="R1043" s="34">
        <f t="shared" si="19"/>
        <v>0.11863827849254492</v>
      </c>
    </row>
    <row r="1044" spans="16:18" x14ac:dyDescent="0.3">
      <c r="P1044" s="35">
        <v>19.8</v>
      </c>
      <c r="Q1044">
        <v>305</v>
      </c>
      <c r="R1044" s="34">
        <f t="shared" si="19"/>
        <v>0.1187521348058775</v>
      </c>
    </row>
    <row r="1045" spans="16:18" x14ac:dyDescent="0.3">
      <c r="P1045" s="35">
        <v>19.8</v>
      </c>
      <c r="Q1045">
        <v>305</v>
      </c>
      <c r="R1045" s="34">
        <f t="shared" si="19"/>
        <v>0.11886599111921008</v>
      </c>
    </row>
    <row r="1046" spans="16:18" x14ac:dyDescent="0.3">
      <c r="P1046" s="35">
        <v>19.8</v>
      </c>
      <c r="Q1046">
        <v>305</v>
      </c>
      <c r="R1046" s="34">
        <f t="shared" si="19"/>
        <v>0.11897984743254265</v>
      </c>
    </row>
    <row r="1047" spans="16:18" x14ac:dyDescent="0.3">
      <c r="P1047" s="35">
        <v>19.8</v>
      </c>
      <c r="Q1047">
        <v>305</v>
      </c>
      <c r="R1047" s="34">
        <f t="shared" si="19"/>
        <v>0.11909370374587523</v>
      </c>
    </row>
    <row r="1048" spans="16:18" x14ac:dyDescent="0.3">
      <c r="P1048" s="35">
        <v>19.809999999999999</v>
      </c>
      <c r="Q1048">
        <v>305</v>
      </c>
      <c r="R1048" s="34">
        <f t="shared" si="19"/>
        <v>0.11920756005920781</v>
      </c>
    </row>
    <row r="1049" spans="16:18" x14ac:dyDescent="0.3">
      <c r="P1049" s="35">
        <v>19.809999999999999</v>
      </c>
      <c r="Q1049">
        <v>305</v>
      </c>
      <c r="R1049" s="34">
        <f t="shared" si="19"/>
        <v>0.11932141637254039</v>
      </c>
    </row>
    <row r="1050" spans="16:18" x14ac:dyDescent="0.3">
      <c r="P1050" s="35">
        <v>19.809999999999999</v>
      </c>
      <c r="Q1050">
        <v>305</v>
      </c>
      <c r="R1050" s="34">
        <f t="shared" si="19"/>
        <v>0.11943527268587296</v>
      </c>
    </row>
    <row r="1051" spans="16:18" x14ac:dyDescent="0.3">
      <c r="P1051" s="35">
        <v>19.82</v>
      </c>
      <c r="Q1051">
        <v>305</v>
      </c>
      <c r="R1051" s="34">
        <f t="shared" si="19"/>
        <v>0.11954912899920554</v>
      </c>
    </row>
    <row r="1052" spans="16:18" x14ac:dyDescent="0.3">
      <c r="P1052" s="35">
        <v>19.82</v>
      </c>
      <c r="Q1052">
        <v>305</v>
      </c>
      <c r="R1052" s="34">
        <f t="shared" si="19"/>
        <v>0.11966298531253812</v>
      </c>
    </row>
    <row r="1053" spans="16:18" x14ac:dyDescent="0.3">
      <c r="P1053" s="35">
        <v>19.82</v>
      </c>
      <c r="Q1053">
        <v>305</v>
      </c>
      <c r="R1053" s="34">
        <f t="shared" si="19"/>
        <v>0.1197768416258707</v>
      </c>
    </row>
    <row r="1054" spans="16:18" x14ac:dyDescent="0.3">
      <c r="P1054" s="35">
        <v>19.829999999999998</v>
      </c>
      <c r="Q1054">
        <v>305</v>
      </c>
      <c r="R1054" s="34">
        <f t="shared" si="19"/>
        <v>0.11989069793920328</v>
      </c>
    </row>
    <row r="1055" spans="16:18" x14ac:dyDescent="0.3">
      <c r="P1055" s="35">
        <v>19.829999999999998</v>
      </c>
      <c r="Q1055">
        <v>305</v>
      </c>
      <c r="R1055" s="34">
        <f t="shared" si="19"/>
        <v>0.12000455425253585</v>
      </c>
    </row>
    <row r="1056" spans="16:18" x14ac:dyDescent="0.3">
      <c r="P1056" s="35">
        <v>19.829999999999998</v>
      </c>
      <c r="Q1056">
        <v>305</v>
      </c>
      <c r="R1056" s="34">
        <f t="shared" si="19"/>
        <v>0.12011841056586843</v>
      </c>
    </row>
    <row r="1057" spans="16:18" x14ac:dyDescent="0.3">
      <c r="P1057" s="35">
        <v>19.84</v>
      </c>
      <c r="Q1057">
        <v>305</v>
      </c>
      <c r="R1057" s="34">
        <f t="shared" si="19"/>
        <v>0.12023226687920101</v>
      </c>
    </row>
    <row r="1058" spans="16:18" x14ac:dyDescent="0.3">
      <c r="P1058" s="35">
        <v>19.84</v>
      </c>
      <c r="Q1058">
        <v>305</v>
      </c>
      <c r="R1058" s="34">
        <f t="shared" si="19"/>
        <v>0.12034612319253359</v>
      </c>
    </row>
    <row r="1059" spans="16:18" x14ac:dyDescent="0.3">
      <c r="P1059" s="35">
        <v>19.84</v>
      </c>
      <c r="Q1059">
        <v>305</v>
      </c>
      <c r="R1059" s="34">
        <f t="shared" si="19"/>
        <v>0.12045997950586616</v>
      </c>
    </row>
    <row r="1060" spans="16:18" x14ac:dyDescent="0.3">
      <c r="P1060" s="35">
        <v>19.850000000000001</v>
      </c>
      <c r="Q1060">
        <v>305</v>
      </c>
      <c r="R1060" s="34">
        <f t="shared" si="19"/>
        <v>0.12057383581919874</v>
      </c>
    </row>
    <row r="1061" spans="16:18" x14ac:dyDescent="0.3">
      <c r="P1061" s="35">
        <v>19.850000000000001</v>
      </c>
      <c r="Q1061">
        <v>305</v>
      </c>
      <c r="R1061" s="34">
        <f t="shared" si="19"/>
        <v>0.12068769213253132</v>
      </c>
    </row>
    <row r="1062" spans="16:18" x14ac:dyDescent="0.3">
      <c r="P1062" s="35">
        <v>19.850000000000001</v>
      </c>
      <c r="Q1062">
        <v>305</v>
      </c>
      <c r="R1062" s="34">
        <f t="shared" si="19"/>
        <v>0.1208015484458639</v>
      </c>
    </row>
    <row r="1063" spans="16:18" x14ac:dyDescent="0.3">
      <c r="P1063" s="35">
        <v>19.86</v>
      </c>
      <c r="Q1063">
        <v>305</v>
      </c>
      <c r="R1063" s="34">
        <f t="shared" si="19"/>
        <v>0.12091540475919647</v>
      </c>
    </row>
    <row r="1064" spans="16:18" x14ac:dyDescent="0.3">
      <c r="P1064" s="35">
        <v>19.86</v>
      </c>
      <c r="Q1064">
        <v>305</v>
      </c>
      <c r="R1064" s="34">
        <f t="shared" si="19"/>
        <v>0.12102926107252905</v>
      </c>
    </row>
    <row r="1065" spans="16:18" x14ac:dyDescent="0.3">
      <c r="P1065" s="35">
        <v>19.86</v>
      </c>
      <c r="Q1065">
        <v>305</v>
      </c>
      <c r="R1065" s="34">
        <f t="shared" si="19"/>
        <v>0.12114311738586163</v>
      </c>
    </row>
    <row r="1066" spans="16:18" x14ac:dyDescent="0.3">
      <c r="P1066" s="35">
        <v>19.86</v>
      </c>
      <c r="Q1066">
        <v>305</v>
      </c>
      <c r="R1066" s="34">
        <f t="shared" si="19"/>
        <v>0.12125697369919421</v>
      </c>
    </row>
    <row r="1067" spans="16:18" x14ac:dyDescent="0.3">
      <c r="P1067" s="35">
        <v>19.87</v>
      </c>
      <c r="Q1067">
        <v>305</v>
      </c>
      <c r="R1067" s="34">
        <f t="shared" si="19"/>
        <v>0.12137083001252678</v>
      </c>
    </row>
    <row r="1068" spans="16:18" x14ac:dyDescent="0.3">
      <c r="P1068" s="35">
        <v>19.87</v>
      </c>
      <c r="Q1068">
        <v>305</v>
      </c>
      <c r="R1068" s="34">
        <f t="shared" si="19"/>
        <v>0.12148468632585936</v>
      </c>
    </row>
    <row r="1069" spans="16:18" x14ac:dyDescent="0.3">
      <c r="P1069" s="35">
        <v>19.87</v>
      </c>
      <c r="Q1069">
        <v>305</v>
      </c>
      <c r="R1069" s="34">
        <f t="shared" si="19"/>
        <v>0.12159854263919194</v>
      </c>
    </row>
    <row r="1070" spans="16:18" x14ac:dyDescent="0.3">
      <c r="P1070" s="35">
        <v>19.88</v>
      </c>
      <c r="Q1070">
        <v>305</v>
      </c>
      <c r="R1070" s="34">
        <f t="shared" si="19"/>
        <v>0.12171239895252452</v>
      </c>
    </row>
    <row r="1071" spans="16:18" x14ac:dyDescent="0.3">
      <c r="P1071" s="35">
        <v>19.88</v>
      </c>
      <c r="Q1071">
        <v>305</v>
      </c>
      <c r="R1071" s="34">
        <f t="shared" si="19"/>
        <v>0.12182625526585709</v>
      </c>
    </row>
    <row r="1072" spans="16:18" x14ac:dyDescent="0.3">
      <c r="P1072" s="35">
        <v>19.88</v>
      </c>
      <c r="Q1072">
        <v>305</v>
      </c>
      <c r="R1072" s="34">
        <f t="shared" si="19"/>
        <v>0.12194011157918967</v>
      </c>
    </row>
    <row r="1073" spans="16:18" x14ac:dyDescent="0.3">
      <c r="P1073" s="35">
        <v>19.88</v>
      </c>
      <c r="Q1073">
        <v>305</v>
      </c>
      <c r="R1073" s="34">
        <f t="shared" si="19"/>
        <v>0.12205396789252225</v>
      </c>
    </row>
    <row r="1074" spans="16:18" x14ac:dyDescent="0.3">
      <c r="P1074" s="35">
        <v>19.88</v>
      </c>
      <c r="Q1074">
        <v>305</v>
      </c>
      <c r="R1074" s="34">
        <f t="shared" si="19"/>
        <v>0.12216782420585483</v>
      </c>
    </row>
    <row r="1075" spans="16:18" x14ac:dyDescent="0.3">
      <c r="P1075" s="35">
        <v>19.89</v>
      </c>
      <c r="Q1075">
        <v>305</v>
      </c>
      <c r="R1075" s="34">
        <f t="shared" si="19"/>
        <v>0.12228168051918741</v>
      </c>
    </row>
    <row r="1076" spans="16:18" x14ac:dyDescent="0.3">
      <c r="P1076" s="35">
        <v>19.89</v>
      </c>
      <c r="Q1076">
        <v>305</v>
      </c>
      <c r="R1076" s="34">
        <f t="shared" si="19"/>
        <v>0.12239553683251998</v>
      </c>
    </row>
    <row r="1077" spans="16:18" x14ac:dyDescent="0.3">
      <c r="P1077" s="35">
        <v>19.89</v>
      </c>
      <c r="Q1077">
        <v>305</v>
      </c>
      <c r="R1077" s="34">
        <f t="shared" si="19"/>
        <v>0.12250939314585256</v>
      </c>
    </row>
    <row r="1078" spans="16:18" x14ac:dyDescent="0.3">
      <c r="P1078" s="35">
        <v>19.89</v>
      </c>
      <c r="Q1078">
        <v>305</v>
      </c>
      <c r="R1078" s="34">
        <f t="shared" si="19"/>
        <v>0.12262324945918514</v>
      </c>
    </row>
    <row r="1079" spans="16:18" x14ac:dyDescent="0.3">
      <c r="P1079" s="35">
        <v>19.89</v>
      </c>
      <c r="Q1079">
        <v>305</v>
      </c>
      <c r="R1079" s="34">
        <f t="shared" si="19"/>
        <v>0.12273710577251772</v>
      </c>
    </row>
    <row r="1080" spans="16:18" x14ac:dyDescent="0.3">
      <c r="P1080" s="35">
        <v>19.899999999999999</v>
      </c>
      <c r="Q1080">
        <v>305</v>
      </c>
      <c r="R1080" s="34">
        <f t="shared" si="19"/>
        <v>0.12285096208585029</v>
      </c>
    </row>
    <row r="1081" spans="16:18" x14ac:dyDescent="0.3">
      <c r="P1081" s="35">
        <v>19.91</v>
      </c>
      <c r="Q1081">
        <v>305</v>
      </c>
      <c r="R1081" s="34">
        <f t="shared" si="19"/>
        <v>0.12296481839918287</v>
      </c>
    </row>
    <row r="1082" spans="16:18" x14ac:dyDescent="0.3">
      <c r="P1082" s="35">
        <v>19.91</v>
      </c>
      <c r="Q1082">
        <v>305</v>
      </c>
      <c r="R1082" s="34">
        <f t="shared" si="19"/>
        <v>0.12307867471251545</v>
      </c>
    </row>
    <row r="1083" spans="16:18" x14ac:dyDescent="0.3">
      <c r="P1083" s="35">
        <v>19.920000000000002</v>
      </c>
      <c r="Q1083">
        <v>305</v>
      </c>
      <c r="R1083" s="34">
        <f t="shared" si="19"/>
        <v>0.12319253102584803</v>
      </c>
    </row>
    <row r="1084" spans="16:18" x14ac:dyDescent="0.3">
      <c r="P1084" s="35">
        <v>19.93</v>
      </c>
      <c r="Q1084">
        <v>305</v>
      </c>
      <c r="R1084" s="34">
        <f t="shared" si="19"/>
        <v>0.1233063873391806</v>
      </c>
    </row>
    <row r="1085" spans="16:18" x14ac:dyDescent="0.3">
      <c r="P1085" s="35">
        <v>19.93</v>
      </c>
      <c r="Q1085">
        <v>305</v>
      </c>
      <c r="R1085" s="34">
        <f t="shared" si="19"/>
        <v>0.12342024365251318</v>
      </c>
    </row>
    <row r="1086" spans="16:18" x14ac:dyDescent="0.3">
      <c r="P1086" s="35">
        <v>19.93</v>
      </c>
      <c r="Q1086">
        <v>305</v>
      </c>
      <c r="R1086" s="34">
        <f t="shared" si="19"/>
        <v>0.12353409996584576</v>
      </c>
    </row>
    <row r="1087" spans="16:18" x14ac:dyDescent="0.3">
      <c r="P1087" s="35">
        <v>19.940000000000001</v>
      </c>
      <c r="Q1087">
        <v>305</v>
      </c>
      <c r="R1087" s="34">
        <f t="shared" si="19"/>
        <v>0.12364795627917834</v>
      </c>
    </row>
    <row r="1088" spans="16:18" x14ac:dyDescent="0.3">
      <c r="P1088" s="35">
        <v>19.940000000000001</v>
      </c>
      <c r="Q1088">
        <v>305</v>
      </c>
      <c r="R1088" s="34">
        <f t="shared" si="19"/>
        <v>0.12376181259251091</v>
      </c>
    </row>
    <row r="1089" spans="16:18" x14ac:dyDescent="0.3">
      <c r="P1089" s="35">
        <v>19.940000000000001</v>
      </c>
      <c r="Q1089">
        <v>305</v>
      </c>
      <c r="R1089" s="34">
        <f t="shared" si="19"/>
        <v>0.12387566890584349</v>
      </c>
    </row>
    <row r="1090" spans="16:18" x14ac:dyDescent="0.3">
      <c r="P1090" s="35">
        <v>19.940000000000001</v>
      </c>
      <c r="Q1090">
        <v>305</v>
      </c>
      <c r="R1090" s="34">
        <f t="shared" si="19"/>
        <v>0.12398952521917607</v>
      </c>
    </row>
    <row r="1091" spans="16:18" x14ac:dyDescent="0.3">
      <c r="P1091" s="35">
        <v>19.940000000000001</v>
      </c>
      <c r="Q1091">
        <v>305</v>
      </c>
      <c r="R1091" s="34">
        <f t="shared" si="19"/>
        <v>0.12410338153250865</v>
      </c>
    </row>
    <row r="1092" spans="16:18" x14ac:dyDescent="0.3">
      <c r="P1092" s="35">
        <v>19.940000000000001</v>
      </c>
      <c r="Q1092">
        <v>305</v>
      </c>
      <c r="R1092" s="34">
        <f t="shared" ref="R1092:R1155" si="20">R1091+R$2</f>
        <v>0.12421723784584122</v>
      </c>
    </row>
    <row r="1093" spans="16:18" x14ac:dyDescent="0.3">
      <c r="P1093" s="35">
        <v>19.95</v>
      </c>
      <c r="Q1093">
        <v>305</v>
      </c>
      <c r="R1093" s="34">
        <f t="shared" si="20"/>
        <v>0.1243310941591738</v>
      </c>
    </row>
    <row r="1094" spans="16:18" x14ac:dyDescent="0.3">
      <c r="P1094" s="35">
        <v>19.95</v>
      </c>
      <c r="Q1094">
        <v>305</v>
      </c>
      <c r="R1094" s="34">
        <f t="shared" si="20"/>
        <v>0.12444495047250638</v>
      </c>
    </row>
    <row r="1095" spans="16:18" x14ac:dyDescent="0.3">
      <c r="P1095" s="35">
        <v>19.95</v>
      </c>
      <c r="Q1095">
        <v>305</v>
      </c>
      <c r="R1095" s="34">
        <f t="shared" si="20"/>
        <v>0.12455880678583896</v>
      </c>
    </row>
    <row r="1096" spans="16:18" x14ac:dyDescent="0.3">
      <c r="P1096" s="35">
        <v>19.95</v>
      </c>
      <c r="Q1096">
        <v>305</v>
      </c>
      <c r="R1096" s="34">
        <f t="shared" si="20"/>
        <v>0.12467266309917154</v>
      </c>
    </row>
    <row r="1097" spans="16:18" x14ac:dyDescent="0.3">
      <c r="P1097" s="35">
        <v>19.96</v>
      </c>
      <c r="Q1097">
        <v>305</v>
      </c>
      <c r="R1097" s="34">
        <f t="shared" si="20"/>
        <v>0.12478651941250411</v>
      </c>
    </row>
    <row r="1098" spans="16:18" x14ac:dyDescent="0.3">
      <c r="P1098" s="35">
        <v>19.96</v>
      </c>
      <c r="Q1098">
        <v>305</v>
      </c>
      <c r="R1098" s="34">
        <f t="shared" si="20"/>
        <v>0.12490037572583669</v>
      </c>
    </row>
    <row r="1099" spans="16:18" x14ac:dyDescent="0.3">
      <c r="P1099" s="35">
        <v>19.96</v>
      </c>
      <c r="Q1099">
        <v>305</v>
      </c>
      <c r="R1099" s="34">
        <f t="shared" si="20"/>
        <v>0.12501423203916925</v>
      </c>
    </row>
    <row r="1100" spans="16:18" x14ac:dyDescent="0.3">
      <c r="P1100" s="35">
        <v>19.97</v>
      </c>
      <c r="Q1100">
        <v>305</v>
      </c>
      <c r="R1100" s="34">
        <f t="shared" si="20"/>
        <v>0.12512808835250183</v>
      </c>
    </row>
    <row r="1101" spans="16:18" x14ac:dyDescent="0.3">
      <c r="P1101" s="35">
        <v>19.97</v>
      </c>
      <c r="Q1101">
        <v>305</v>
      </c>
      <c r="R1101" s="34">
        <f t="shared" si="20"/>
        <v>0.12524194466583441</v>
      </c>
    </row>
    <row r="1102" spans="16:18" x14ac:dyDescent="0.3">
      <c r="P1102" s="35">
        <v>19.97</v>
      </c>
      <c r="Q1102">
        <v>305</v>
      </c>
      <c r="R1102" s="34">
        <f t="shared" si="20"/>
        <v>0.12535580097916699</v>
      </c>
    </row>
    <row r="1103" spans="16:18" x14ac:dyDescent="0.3">
      <c r="P1103" s="35">
        <v>19.98</v>
      </c>
      <c r="Q1103">
        <v>305</v>
      </c>
      <c r="R1103" s="34">
        <f t="shared" si="20"/>
        <v>0.12546965729249956</v>
      </c>
    </row>
    <row r="1104" spans="16:18" x14ac:dyDescent="0.3">
      <c r="P1104" s="35">
        <v>19.98</v>
      </c>
      <c r="Q1104">
        <v>305</v>
      </c>
      <c r="R1104" s="34">
        <f t="shared" si="20"/>
        <v>0.12558351360583214</v>
      </c>
    </row>
    <row r="1105" spans="16:18" x14ac:dyDescent="0.3">
      <c r="P1105" s="35">
        <v>19.989999999999998</v>
      </c>
      <c r="Q1105">
        <v>305</v>
      </c>
      <c r="R1105" s="34">
        <f t="shared" si="20"/>
        <v>0.12569736991916472</v>
      </c>
    </row>
    <row r="1106" spans="16:18" x14ac:dyDescent="0.3">
      <c r="P1106" s="35">
        <v>19.989999999999998</v>
      </c>
      <c r="Q1106">
        <v>305</v>
      </c>
      <c r="R1106" s="34">
        <f t="shared" si="20"/>
        <v>0.1258112262324973</v>
      </c>
    </row>
    <row r="1107" spans="16:18" x14ac:dyDescent="0.3">
      <c r="P1107" s="35">
        <v>19.989999999999998</v>
      </c>
      <c r="Q1107">
        <v>305</v>
      </c>
      <c r="R1107" s="34">
        <f t="shared" si="20"/>
        <v>0.12592508254582988</v>
      </c>
    </row>
    <row r="1108" spans="16:18" x14ac:dyDescent="0.3">
      <c r="P1108" s="35">
        <v>19.989999999999998</v>
      </c>
      <c r="Q1108">
        <v>305</v>
      </c>
      <c r="R1108" s="34">
        <f t="shared" si="20"/>
        <v>0.12603893885916245</v>
      </c>
    </row>
    <row r="1109" spans="16:18" x14ac:dyDescent="0.3">
      <c r="P1109" s="35">
        <v>20</v>
      </c>
      <c r="Q1109">
        <v>305</v>
      </c>
      <c r="R1109" s="34">
        <f t="shared" si="20"/>
        <v>0.12615279517249503</v>
      </c>
    </row>
    <row r="1110" spans="16:18" x14ac:dyDescent="0.3">
      <c r="P1110" s="35">
        <v>20</v>
      </c>
      <c r="Q1110">
        <v>305</v>
      </c>
      <c r="R1110" s="34">
        <f t="shared" si="20"/>
        <v>0.12626665148582761</v>
      </c>
    </row>
    <row r="1111" spans="16:18" x14ac:dyDescent="0.3">
      <c r="P1111" s="35">
        <v>20</v>
      </c>
      <c r="Q1111">
        <v>305</v>
      </c>
      <c r="R1111" s="34">
        <f t="shared" si="20"/>
        <v>0.12638050779916019</v>
      </c>
    </row>
    <row r="1112" spans="16:18" x14ac:dyDescent="0.3">
      <c r="P1112" s="35">
        <v>20</v>
      </c>
      <c r="Q1112">
        <v>305</v>
      </c>
      <c r="R1112" s="34">
        <f t="shared" si="20"/>
        <v>0.12649436411249276</v>
      </c>
    </row>
    <row r="1113" spans="16:18" x14ac:dyDescent="0.3">
      <c r="P1113" s="35">
        <v>20</v>
      </c>
      <c r="Q1113">
        <v>305</v>
      </c>
      <c r="R1113" s="34">
        <f t="shared" si="20"/>
        <v>0.12660822042582534</v>
      </c>
    </row>
    <row r="1114" spans="16:18" x14ac:dyDescent="0.3">
      <c r="P1114" s="35">
        <v>20</v>
      </c>
      <c r="Q1114">
        <v>305</v>
      </c>
      <c r="R1114" s="34">
        <f t="shared" si="20"/>
        <v>0.12672207673915792</v>
      </c>
    </row>
    <row r="1115" spans="16:18" x14ac:dyDescent="0.3">
      <c r="P1115" s="35">
        <v>20.010000000000002</v>
      </c>
      <c r="Q1115">
        <v>305</v>
      </c>
      <c r="R1115" s="34">
        <f t="shared" si="20"/>
        <v>0.1268359330524905</v>
      </c>
    </row>
    <row r="1116" spans="16:18" x14ac:dyDescent="0.3">
      <c r="P1116" s="35">
        <v>20.02</v>
      </c>
      <c r="Q1116">
        <v>305</v>
      </c>
      <c r="R1116" s="34">
        <f t="shared" si="20"/>
        <v>0.12694978936582307</v>
      </c>
    </row>
    <row r="1117" spans="16:18" x14ac:dyDescent="0.3">
      <c r="P1117" s="35">
        <v>20.02</v>
      </c>
      <c r="Q1117">
        <v>305</v>
      </c>
      <c r="R1117" s="34">
        <f t="shared" si="20"/>
        <v>0.12706364567915565</v>
      </c>
    </row>
    <row r="1118" spans="16:18" x14ac:dyDescent="0.3">
      <c r="P1118" s="35">
        <v>20.02</v>
      </c>
      <c r="Q1118">
        <v>305</v>
      </c>
      <c r="R1118" s="34">
        <f t="shared" si="20"/>
        <v>0.12717750199248823</v>
      </c>
    </row>
    <row r="1119" spans="16:18" x14ac:dyDescent="0.3">
      <c r="P1119" s="35">
        <v>20.02</v>
      </c>
      <c r="Q1119">
        <v>305</v>
      </c>
      <c r="R1119" s="34">
        <f t="shared" si="20"/>
        <v>0.12729135830582081</v>
      </c>
    </row>
    <row r="1120" spans="16:18" x14ac:dyDescent="0.3">
      <c r="P1120" s="35">
        <v>20.02</v>
      </c>
      <c r="Q1120">
        <v>305</v>
      </c>
      <c r="R1120" s="34">
        <f t="shared" si="20"/>
        <v>0.12740521461915338</v>
      </c>
    </row>
    <row r="1121" spans="16:18" x14ac:dyDescent="0.3">
      <c r="P1121" s="35">
        <v>20.02</v>
      </c>
      <c r="Q1121">
        <v>305</v>
      </c>
      <c r="R1121" s="34">
        <f t="shared" si="20"/>
        <v>0.12751907093248596</v>
      </c>
    </row>
    <row r="1122" spans="16:18" x14ac:dyDescent="0.3">
      <c r="P1122" s="35">
        <v>20.03</v>
      </c>
      <c r="Q1122">
        <v>305</v>
      </c>
      <c r="R1122" s="34">
        <f t="shared" si="20"/>
        <v>0.12763292724581854</v>
      </c>
    </row>
    <row r="1123" spans="16:18" x14ac:dyDescent="0.3">
      <c r="P1123" s="35">
        <v>20.03</v>
      </c>
      <c r="Q1123">
        <v>305</v>
      </c>
      <c r="R1123" s="34">
        <f t="shared" si="20"/>
        <v>0.12774678355915112</v>
      </c>
    </row>
    <row r="1124" spans="16:18" x14ac:dyDescent="0.3">
      <c r="P1124" s="35">
        <v>20.03</v>
      </c>
      <c r="Q1124">
        <v>305</v>
      </c>
      <c r="R1124" s="34">
        <f t="shared" si="20"/>
        <v>0.12786063987248369</v>
      </c>
    </row>
    <row r="1125" spans="16:18" x14ac:dyDescent="0.3">
      <c r="P1125" s="35">
        <v>20.03</v>
      </c>
      <c r="Q1125">
        <v>305</v>
      </c>
      <c r="R1125" s="34">
        <f t="shared" si="20"/>
        <v>0.12797449618581627</v>
      </c>
    </row>
    <row r="1126" spans="16:18" x14ac:dyDescent="0.3">
      <c r="P1126" s="35">
        <v>20.03</v>
      </c>
      <c r="Q1126">
        <v>305</v>
      </c>
      <c r="R1126" s="34">
        <f t="shared" si="20"/>
        <v>0.12808835249914885</v>
      </c>
    </row>
    <row r="1127" spans="16:18" x14ac:dyDescent="0.3">
      <c r="P1127" s="35">
        <v>20.04</v>
      </c>
      <c r="Q1127">
        <v>305</v>
      </c>
      <c r="R1127" s="34">
        <f t="shared" si="20"/>
        <v>0.12820220881248143</v>
      </c>
    </row>
    <row r="1128" spans="16:18" x14ac:dyDescent="0.3">
      <c r="P1128" s="35">
        <v>20.04</v>
      </c>
      <c r="Q1128">
        <v>305</v>
      </c>
      <c r="R1128" s="34">
        <f t="shared" si="20"/>
        <v>0.12831606512581401</v>
      </c>
    </row>
    <row r="1129" spans="16:18" x14ac:dyDescent="0.3">
      <c r="P1129" s="35">
        <v>20.04</v>
      </c>
      <c r="Q1129">
        <v>305</v>
      </c>
      <c r="R1129" s="34">
        <f t="shared" si="20"/>
        <v>0.12842992143914658</v>
      </c>
    </row>
    <row r="1130" spans="16:18" x14ac:dyDescent="0.3">
      <c r="P1130" s="35">
        <v>20.05</v>
      </c>
      <c r="Q1130">
        <v>305</v>
      </c>
      <c r="R1130" s="34">
        <f t="shared" si="20"/>
        <v>0.12854377775247916</v>
      </c>
    </row>
    <row r="1131" spans="16:18" x14ac:dyDescent="0.3">
      <c r="P1131" s="35">
        <v>20.05</v>
      </c>
      <c r="Q1131">
        <v>305</v>
      </c>
      <c r="R1131" s="34">
        <f t="shared" si="20"/>
        <v>0.12865763406581174</v>
      </c>
    </row>
    <row r="1132" spans="16:18" x14ac:dyDescent="0.3">
      <c r="P1132" s="35">
        <v>20.05</v>
      </c>
      <c r="Q1132">
        <v>305</v>
      </c>
      <c r="R1132" s="34">
        <f t="shared" si="20"/>
        <v>0.12877149037914432</v>
      </c>
    </row>
    <row r="1133" spans="16:18" x14ac:dyDescent="0.3">
      <c r="P1133" s="35">
        <v>20.05</v>
      </c>
      <c r="Q1133">
        <v>305</v>
      </c>
      <c r="R1133" s="34">
        <f t="shared" si="20"/>
        <v>0.12888534669247689</v>
      </c>
    </row>
    <row r="1134" spans="16:18" x14ac:dyDescent="0.3">
      <c r="P1134" s="35">
        <v>20.05</v>
      </c>
      <c r="Q1134">
        <v>305</v>
      </c>
      <c r="R1134" s="34">
        <f t="shared" si="20"/>
        <v>0.12899920300580947</v>
      </c>
    </row>
    <row r="1135" spans="16:18" x14ac:dyDescent="0.3">
      <c r="P1135" s="35">
        <v>20.059999999999999</v>
      </c>
      <c r="Q1135">
        <v>305</v>
      </c>
      <c r="R1135" s="34">
        <f t="shared" si="20"/>
        <v>0.12911305931914205</v>
      </c>
    </row>
    <row r="1136" spans="16:18" x14ac:dyDescent="0.3">
      <c r="P1136" s="35">
        <v>20.059999999999999</v>
      </c>
      <c r="Q1136">
        <v>305</v>
      </c>
      <c r="R1136" s="34">
        <f t="shared" si="20"/>
        <v>0.12922691563247463</v>
      </c>
    </row>
    <row r="1137" spans="16:18" x14ac:dyDescent="0.3">
      <c r="P1137" s="35">
        <v>20.059999999999999</v>
      </c>
      <c r="Q1137">
        <v>305</v>
      </c>
      <c r="R1137" s="34">
        <f t="shared" si="20"/>
        <v>0.1293407719458072</v>
      </c>
    </row>
    <row r="1138" spans="16:18" x14ac:dyDescent="0.3">
      <c r="P1138" s="35">
        <v>20.059999999999999</v>
      </c>
      <c r="Q1138">
        <v>305</v>
      </c>
      <c r="R1138" s="34">
        <f t="shared" si="20"/>
        <v>0.12945462825913978</v>
      </c>
    </row>
    <row r="1139" spans="16:18" x14ac:dyDescent="0.3">
      <c r="P1139" s="35">
        <v>20.059999999999999</v>
      </c>
      <c r="Q1139">
        <v>305</v>
      </c>
      <c r="R1139" s="34">
        <f t="shared" si="20"/>
        <v>0.12956848457247236</v>
      </c>
    </row>
    <row r="1140" spans="16:18" x14ac:dyDescent="0.3">
      <c r="P1140" s="35">
        <v>20.059999999999999</v>
      </c>
      <c r="Q1140">
        <v>305</v>
      </c>
      <c r="R1140" s="34">
        <f t="shared" si="20"/>
        <v>0.12968234088580494</v>
      </c>
    </row>
    <row r="1141" spans="16:18" x14ac:dyDescent="0.3">
      <c r="P1141" s="35">
        <v>20.07</v>
      </c>
      <c r="Q1141">
        <v>305</v>
      </c>
      <c r="R1141" s="34">
        <f t="shared" si="20"/>
        <v>0.12979619719913751</v>
      </c>
    </row>
    <row r="1142" spans="16:18" x14ac:dyDescent="0.3">
      <c r="P1142" s="35">
        <v>20.07</v>
      </c>
      <c r="Q1142">
        <v>305</v>
      </c>
      <c r="R1142" s="34">
        <f t="shared" si="20"/>
        <v>0.12991005351247009</v>
      </c>
    </row>
    <row r="1143" spans="16:18" x14ac:dyDescent="0.3">
      <c r="P1143" s="35">
        <v>20.07</v>
      </c>
      <c r="Q1143">
        <v>305</v>
      </c>
      <c r="R1143" s="34">
        <f t="shared" si="20"/>
        <v>0.13002390982580267</v>
      </c>
    </row>
    <row r="1144" spans="16:18" x14ac:dyDescent="0.3">
      <c r="P1144" s="35">
        <v>20.079999999999998</v>
      </c>
      <c r="Q1144">
        <v>305</v>
      </c>
      <c r="R1144" s="34">
        <f t="shared" si="20"/>
        <v>0.13013776613913525</v>
      </c>
    </row>
    <row r="1145" spans="16:18" x14ac:dyDescent="0.3">
      <c r="P1145" s="35">
        <v>20.079999999999998</v>
      </c>
      <c r="Q1145">
        <v>305</v>
      </c>
      <c r="R1145" s="34">
        <f t="shared" si="20"/>
        <v>0.13025162245246782</v>
      </c>
    </row>
    <row r="1146" spans="16:18" x14ac:dyDescent="0.3">
      <c r="P1146" s="35">
        <v>20.079999999999998</v>
      </c>
      <c r="Q1146">
        <v>305</v>
      </c>
      <c r="R1146" s="34">
        <f t="shared" si="20"/>
        <v>0.1303654787658004</v>
      </c>
    </row>
    <row r="1147" spans="16:18" x14ac:dyDescent="0.3">
      <c r="P1147" s="35">
        <v>20.09</v>
      </c>
      <c r="Q1147">
        <v>305</v>
      </c>
      <c r="R1147" s="34">
        <f t="shared" si="20"/>
        <v>0.13047933507913298</v>
      </c>
    </row>
    <row r="1148" spans="16:18" x14ac:dyDescent="0.3">
      <c r="P1148" s="35">
        <v>20.09</v>
      </c>
      <c r="Q1148">
        <v>305</v>
      </c>
      <c r="R1148" s="34">
        <f t="shared" si="20"/>
        <v>0.13059319139246556</v>
      </c>
    </row>
    <row r="1149" spans="16:18" x14ac:dyDescent="0.3">
      <c r="P1149" s="35">
        <v>20.100000000000001</v>
      </c>
      <c r="Q1149">
        <v>305</v>
      </c>
      <c r="R1149" s="34">
        <f t="shared" si="20"/>
        <v>0.13070704770579814</v>
      </c>
    </row>
    <row r="1150" spans="16:18" x14ac:dyDescent="0.3">
      <c r="P1150" s="35">
        <v>20.100000000000001</v>
      </c>
      <c r="Q1150">
        <v>305</v>
      </c>
      <c r="R1150" s="34">
        <f t="shared" si="20"/>
        <v>0.13082090401913071</v>
      </c>
    </row>
    <row r="1151" spans="16:18" x14ac:dyDescent="0.3">
      <c r="P1151" s="35">
        <v>20.100000000000001</v>
      </c>
      <c r="Q1151">
        <v>305</v>
      </c>
      <c r="R1151" s="34">
        <f t="shared" si="20"/>
        <v>0.13093476033246329</v>
      </c>
    </row>
    <row r="1152" spans="16:18" x14ac:dyDescent="0.3">
      <c r="P1152" s="35">
        <v>20.100000000000001</v>
      </c>
      <c r="Q1152">
        <v>305</v>
      </c>
      <c r="R1152" s="34">
        <f t="shared" si="20"/>
        <v>0.13104861664579587</v>
      </c>
    </row>
    <row r="1153" spans="16:18" x14ac:dyDescent="0.3">
      <c r="P1153" s="35">
        <v>20.100000000000001</v>
      </c>
      <c r="Q1153">
        <v>305</v>
      </c>
      <c r="R1153" s="34">
        <f t="shared" si="20"/>
        <v>0.13116247295912845</v>
      </c>
    </row>
    <row r="1154" spans="16:18" x14ac:dyDescent="0.3">
      <c r="P1154" s="35">
        <v>20.100000000000001</v>
      </c>
      <c r="Q1154">
        <v>305</v>
      </c>
      <c r="R1154" s="34">
        <f t="shared" si="20"/>
        <v>0.13127632927246102</v>
      </c>
    </row>
    <row r="1155" spans="16:18" x14ac:dyDescent="0.3">
      <c r="P1155" s="35">
        <v>20.11</v>
      </c>
      <c r="Q1155">
        <v>305</v>
      </c>
      <c r="R1155" s="34">
        <f t="shared" si="20"/>
        <v>0.1313901855857936</v>
      </c>
    </row>
    <row r="1156" spans="16:18" x14ac:dyDescent="0.3">
      <c r="P1156" s="35">
        <v>20.11</v>
      </c>
      <c r="Q1156">
        <v>305</v>
      </c>
      <c r="R1156" s="34">
        <f t="shared" ref="R1156:R1219" si="21">R1155+R$2</f>
        <v>0.13150404189912618</v>
      </c>
    </row>
    <row r="1157" spans="16:18" x14ac:dyDescent="0.3">
      <c r="P1157" s="35">
        <v>20.12</v>
      </c>
      <c r="Q1157">
        <v>305</v>
      </c>
      <c r="R1157" s="34">
        <f t="shared" si="21"/>
        <v>0.13161789821245876</v>
      </c>
    </row>
    <row r="1158" spans="16:18" x14ac:dyDescent="0.3">
      <c r="P1158" s="35">
        <v>20.12</v>
      </c>
      <c r="Q1158">
        <v>305</v>
      </c>
      <c r="R1158" s="34">
        <f t="shared" si="21"/>
        <v>0.13173175452579133</v>
      </c>
    </row>
    <row r="1159" spans="16:18" x14ac:dyDescent="0.3">
      <c r="P1159" s="35">
        <v>20.12</v>
      </c>
      <c r="Q1159">
        <v>305</v>
      </c>
      <c r="R1159" s="34">
        <f t="shared" si="21"/>
        <v>0.13184561083912391</v>
      </c>
    </row>
    <row r="1160" spans="16:18" x14ac:dyDescent="0.3">
      <c r="P1160" s="35">
        <v>20.12</v>
      </c>
      <c r="Q1160">
        <v>305</v>
      </c>
      <c r="R1160" s="34">
        <f t="shared" si="21"/>
        <v>0.13195946715245649</v>
      </c>
    </row>
    <row r="1161" spans="16:18" x14ac:dyDescent="0.3">
      <c r="P1161" s="35">
        <v>20.12</v>
      </c>
      <c r="Q1161">
        <v>305</v>
      </c>
      <c r="R1161" s="34">
        <f t="shared" si="21"/>
        <v>0.13207332346578907</v>
      </c>
    </row>
    <row r="1162" spans="16:18" x14ac:dyDescent="0.3">
      <c r="P1162" s="35">
        <v>20.13</v>
      </c>
      <c r="Q1162">
        <v>305</v>
      </c>
      <c r="R1162" s="34">
        <f t="shared" si="21"/>
        <v>0.13218717977912164</v>
      </c>
    </row>
    <row r="1163" spans="16:18" x14ac:dyDescent="0.3">
      <c r="P1163" s="35">
        <v>20.13</v>
      </c>
      <c r="Q1163">
        <v>305</v>
      </c>
      <c r="R1163" s="34">
        <f t="shared" si="21"/>
        <v>0.13230103609245422</v>
      </c>
    </row>
    <row r="1164" spans="16:18" x14ac:dyDescent="0.3">
      <c r="P1164" s="35">
        <v>20.13</v>
      </c>
      <c r="Q1164">
        <v>305</v>
      </c>
      <c r="R1164" s="34">
        <f t="shared" si="21"/>
        <v>0.1324148924057868</v>
      </c>
    </row>
    <row r="1165" spans="16:18" x14ac:dyDescent="0.3">
      <c r="P1165" s="35">
        <v>20.13</v>
      </c>
      <c r="Q1165">
        <v>305</v>
      </c>
      <c r="R1165" s="34">
        <f t="shared" si="21"/>
        <v>0.13252874871911938</v>
      </c>
    </row>
    <row r="1166" spans="16:18" x14ac:dyDescent="0.3">
      <c r="P1166" s="35">
        <v>20.14</v>
      </c>
      <c r="Q1166">
        <v>305</v>
      </c>
      <c r="R1166" s="34">
        <f t="shared" si="21"/>
        <v>0.13264260503245195</v>
      </c>
    </row>
    <row r="1167" spans="16:18" x14ac:dyDescent="0.3">
      <c r="P1167" s="35">
        <v>20.14</v>
      </c>
      <c r="Q1167">
        <v>305</v>
      </c>
      <c r="R1167" s="34">
        <f t="shared" si="21"/>
        <v>0.13275646134578453</v>
      </c>
    </row>
    <row r="1168" spans="16:18" x14ac:dyDescent="0.3">
      <c r="P1168" s="35">
        <v>20.149999999999999</v>
      </c>
      <c r="Q1168">
        <v>305</v>
      </c>
      <c r="R1168" s="34">
        <f t="shared" si="21"/>
        <v>0.13287031765911711</v>
      </c>
    </row>
    <row r="1169" spans="16:18" x14ac:dyDescent="0.3">
      <c r="P1169" s="35">
        <v>20.149999999999999</v>
      </c>
      <c r="Q1169">
        <v>305</v>
      </c>
      <c r="R1169" s="34">
        <f t="shared" si="21"/>
        <v>0.13298417397244969</v>
      </c>
    </row>
    <row r="1170" spans="16:18" x14ac:dyDescent="0.3">
      <c r="P1170" s="35">
        <v>20.149999999999999</v>
      </c>
      <c r="Q1170">
        <v>305</v>
      </c>
      <c r="R1170" s="34">
        <f t="shared" si="21"/>
        <v>0.13309803028578227</v>
      </c>
    </row>
    <row r="1171" spans="16:18" x14ac:dyDescent="0.3">
      <c r="P1171" s="35">
        <v>20.149999999999999</v>
      </c>
      <c r="Q1171">
        <v>305</v>
      </c>
      <c r="R1171" s="34">
        <f t="shared" si="21"/>
        <v>0.13321188659911484</v>
      </c>
    </row>
    <row r="1172" spans="16:18" x14ac:dyDescent="0.3">
      <c r="P1172" s="35">
        <v>20.149999999999999</v>
      </c>
      <c r="Q1172">
        <v>305</v>
      </c>
      <c r="R1172" s="34">
        <f t="shared" si="21"/>
        <v>0.13332574291244742</v>
      </c>
    </row>
    <row r="1173" spans="16:18" x14ac:dyDescent="0.3">
      <c r="P1173" s="35">
        <v>20.16</v>
      </c>
      <c r="Q1173">
        <v>305</v>
      </c>
      <c r="R1173" s="34">
        <f t="shared" si="21"/>
        <v>0.13343959922578</v>
      </c>
    </row>
    <row r="1174" spans="16:18" x14ac:dyDescent="0.3">
      <c r="P1174" s="35">
        <v>20.16</v>
      </c>
      <c r="Q1174">
        <v>305</v>
      </c>
      <c r="R1174" s="34">
        <f t="shared" si="21"/>
        <v>0.13355345553911258</v>
      </c>
    </row>
    <row r="1175" spans="16:18" x14ac:dyDescent="0.3">
      <c r="P1175" s="35">
        <v>20.16</v>
      </c>
      <c r="Q1175">
        <v>305</v>
      </c>
      <c r="R1175" s="34">
        <f t="shared" si="21"/>
        <v>0.13366731185244515</v>
      </c>
    </row>
    <row r="1176" spans="16:18" x14ac:dyDescent="0.3">
      <c r="P1176" s="35">
        <v>20.170000000000002</v>
      </c>
      <c r="Q1176">
        <v>305</v>
      </c>
      <c r="R1176" s="34">
        <f t="shared" si="21"/>
        <v>0.13378116816577773</v>
      </c>
    </row>
    <row r="1177" spans="16:18" x14ac:dyDescent="0.3">
      <c r="P1177" s="35">
        <v>20.170000000000002</v>
      </c>
      <c r="Q1177">
        <v>305</v>
      </c>
      <c r="R1177" s="34">
        <f t="shared" si="21"/>
        <v>0.13389502447911031</v>
      </c>
    </row>
    <row r="1178" spans="16:18" x14ac:dyDescent="0.3">
      <c r="P1178" s="35">
        <v>20.170000000000002</v>
      </c>
      <c r="Q1178">
        <v>305</v>
      </c>
      <c r="R1178" s="34">
        <f t="shared" si="21"/>
        <v>0.13400888079244289</v>
      </c>
    </row>
    <row r="1179" spans="16:18" x14ac:dyDescent="0.3">
      <c r="P1179" s="35">
        <v>20.18</v>
      </c>
      <c r="Q1179">
        <v>305</v>
      </c>
      <c r="R1179" s="34">
        <f t="shared" si="21"/>
        <v>0.13412273710577546</v>
      </c>
    </row>
    <row r="1180" spans="16:18" x14ac:dyDescent="0.3">
      <c r="P1180" s="35">
        <v>20.190000000000001</v>
      </c>
      <c r="Q1180">
        <v>305</v>
      </c>
      <c r="R1180" s="34">
        <f t="shared" si="21"/>
        <v>0.13423659341910804</v>
      </c>
    </row>
    <row r="1181" spans="16:18" x14ac:dyDescent="0.3">
      <c r="P1181" s="35">
        <v>20.190000000000001</v>
      </c>
      <c r="Q1181">
        <v>305</v>
      </c>
      <c r="R1181" s="34">
        <f t="shared" si="21"/>
        <v>0.13435044973244062</v>
      </c>
    </row>
    <row r="1182" spans="16:18" x14ac:dyDescent="0.3">
      <c r="P1182" s="35">
        <v>20.190000000000001</v>
      </c>
      <c r="Q1182">
        <v>305</v>
      </c>
      <c r="R1182" s="34">
        <f t="shared" si="21"/>
        <v>0.1344643060457732</v>
      </c>
    </row>
    <row r="1183" spans="16:18" x14ac:dyDescent="0.3">
      <c r="P1183" s="35">
        <v>20.2</v>
      </c>
      <c r="Q1183">
        <v>305</v>
      </c>
      <c r="R1183" s="34">
        <f t="shared" si="21"/>
        <v>0.13457816235910577</v>
      </c>
    </row>
    <row r="1184" spans="16:18" x14ac:dyDescent="0.3">
      <c r="P1184" s="35">
        <v>20.21</v>
      </c>
      <c r="Q1184">
        <v>305</v>
      </c>
      <c r="R1184" s="34">
        <f t="shared" si="21"/>
        <v>0.13469201867243835</v>
      </c>
    </row>
    <row r="1185" spans="16:18" x14ac:dyDescent="0.3">
      <c r="P1185" s="35">
        <v>20.21</v>
      </c>
      <c r="Q1185">
        <v>305</v>
      </c>
      <c r="R1185" s="34">
        <f t="shared" si="21"/>
        <v>0.13480587498577093</v>
      </c>
    </row>
    <row r="1186" spans="16:18" x14ac:dyDescent="0.3">
      <c r="P1186" s="35">
        <v>20.21</v>
      </c>
      <c r="Q1186">
        <v>305</v>
      </c>
      <c r="R1186" s="34">
        <f t="shared" si="21"/>
        <v>0.13491973129910351</v>
      </c>
    </row>
    <row r="1187" spans="16:18" x14ac:dyDescent="0.3">
      <c r="P1187" s="35">
        <v>20.22</v>
      </c>
      <c r="Q1187">
        <v>305</v>
      </c>
      <c r="R1187" s="34">
        <f t="shared" si="21"/>
        <v>0.13503358761243608</v>
      </c>
    </row>
    <row r="1188" spans="16:18" x14ac:dyDescent="0.3">
      <c r="P1188" s="35">
        <v>20.22</v>
      </c>
      <c r="Q1188">
        <v>305</v>
      </c>
      <c r="R1188" s="34">
        <f t="shared" si="21"/>
        <v>0.13514744392576866</v>
      </c>
    </row>
    <row r="1189" spans="16:18" x14ac:dyDescent="0.3">
      <c r="P1189" s="35">
        <v>20.22</v>
      </c>
      <c r="Q1189">
        <v>305</v>
      </c>
      <c r="R1189" s="34">
        <f t="shared" si="21"/>
        <v>0.13526130023910124</v>
      </c>
    </row>
    <row r="1190" spans="16:18" x14ac:dyDescent="0.3">
      <c r="P1190" s="35">
        <v>20.22</v>
      </c>
      <c r="Q1190">
        <v>305</v>
      </c>
      <c r="R1190" s="34">
        <f t="shared" si="21"/>
        <v>0.13537515655243382</v>
      </c>
    </row>
    <row r="1191" spans="16:18" x14ac:dyDescent="0.3">
      <c r="P1191" s="35">
        <v>20.23</v>
      </c>
      <c r="Q1191">
        <v>305</v>
      </c>
      <c r="R1191" s="34">
        <f t="shared" si="21"/>
        <v>0.1354890128657664</v>
      </c>
    </row>
    <row r="1192" spans="16:18" x14ac:dyDescent="0.3">
      <c r="P1192" s="35">
        <v>20.23</v>
      </c>
      <c r="Q1192">
        <v>305</v>
      </c>
      <c r="R1192" s="34">
        <f t="shared" si="21"/>
        <v>0.13560286917909897</v>
      </c>
    </row>
    <row r="1193" spans="16:18" x14ac:dyDescent="0.3">
      <c r="P1193" s="35">
        <v>20.23</v>
      </c>
      <c r="Q1193">
        <v>305</v>
      </c>
      <c r="R1193" s="34">
        <f t="shared" si="21"/>
        <v>0.13571672549243155</v>
      </c>
    </row>
    <row r="1194" spans="16:18" x14ac:dyDescent="0.3">
      <c r="P1194" s="35">
        <v>20.23</v>
      </c>
      <c r="Q1194">
        <v>305</v>
      </c>
      <c r="R1194" s="34">
        <f t="shared" si="21"/>
        <v>0.13583058180576413</v>
      </c>
    </row>
    <row r="1195" spans="16:18" x14ac:dyDescent="0.3">
      <c r="P1195" s="35">
        <v>20.239999999999998</v>
      </c>
      <c r="Q1195">
        <v>305</v>
      </c>
      <c r="R1195" s="34">
        <f t="shared" si="21"/>
        <v>0.13594443811909671</v>
      </c>
    </row>
    <row r="1196" spans="16:18" x14ac:dyDescent="0.3">
      <c r="P1196" s="35">
        <v>20.239999999999998</v>
      </c>
      <c r="Q1196">
        <v>305</v>
      </c>
      <c r="R1196" s="34">
        <f t="shared" si="21"/>
        <v>0.13605829443242928</v>
      </c>
    </row>
    <row r="1197" spans="16:18" x14ac:dyDescent="0.3">
      <c r="P1197" s="35">
        <v>20.239999999999998</v>
      </c>
      <c r="Q1197">
        <v>305</v>
      </c>
      <c r="R1197" s="34">
        <f t="shared" si="21"/>
        <v>0.13617215074576186</v>
      </c>
    </row>
    <row r="1198" spans="16:18" x14ac:dyDescent="0.3">
      <c r="P1198" s="35">
        <v>20.25</v>
      </c>
      <c r="Q1198">
        <v>305</v>
      </c>
      <c r="R1198" s="34">
        <f t="shared" si="21"/>
        <v>0.13628600705909444</v>
      </c>
    </row>
    <row r="1199" spans="16:18" x14ac:dyDescent="0.3">
      <c r="P1199" s="35">
        <v>20.25</v>
      </c>
      <c r="Q1199">
        <v>305</v>
      </c>
      <c r="R1199" s="34">
        <f t="shared" si="21"/>
        <v>0.13639986337242702</v>
      </c>
    </row>
    <row r="1200" spans="16:18" x14ac:dyDescent="0.3">
      <c r="P1200" s="35">
        <v>20.25</v>
      </c>
      <c r="Q1200">
        <v>305</v>
      </c>
      <c r="R1200" s="34">
        <f t="shared" si="21"/>
        <v>0.13651371968575959</v>
      </c>
    </row>
    <row r="1201" spans="16:18" x14ac:dyDescent="0.3">
      <c r="P1201" s="35">
        <v>20.25</v>
      </c>
      <c r="Q1201">
        <v>305</v>
      </c>
      <c r="R1201" s="34">
        <f t="shared" si="21"/>
        <v>0.13662757599909217</v>
      </c>
    </row>
    <row r="1202" spans="16:18" x14ac:dyDescent="0.3">
      <c r="P1202" s="35">
        <v>20.260000000000002</v>
      </c>
      <c r="Q1202">
        <v>305</v>
      </c>
      <c r="R1202" s="34">
        <f t="shared" si="21"/>
        <v>0.13674143231242475</v>
      </c>
    </row>
    <row r="1203" spans="16:18" x14ac:dyDescent="0.3">
      <c r="P1203" s="35">
        <v>20.27</v>
      </c>
      <c r="Q1203">
        <v>305</v>
      </c>
      <c r="R1203" s="34">
        <f t="shared" si="21"/>
        <v>0.13685528862575733</v>
      </c>
    </row>
    <row r="1204" spans="16:18" x14ac:dyDescent="0.3">
      <c r="P1204" s="35">
        <v>20.27</v>
      </c>
      <c r="Q1204">
        <v>305</v>
      </c>
      <c r="R1204" s="34">
        <f t="shared" si="21"/>
        <v>0.1369691449390899</v>
      </c>
    </row>
    <row r="1205" spans="16:18" x14ac:dyDescent="0.3">
      <c r="P1205" s="35">
        <v>20.27</v>
      </c>
      <c r="Q1205">
        <v>305</v>
      </c>
      <c r="R1205" s="34">
        <f t="shared" si="21"/>
        <v>0.13708300125242248</v>
      </c>
    </row>
    <row r="1206" spans="16:18" x14ac:dyDescent="0.3">
      <c r="P1206" s="35">
        <v>20.27</v>
      </c>
      <c r="Q1206">
        <v>305</v>
      </c>
      <c r="R1206" s="34">
        <f t="shared" si="21"/>
        <v>0.13719685756575506</v>
      </c>
    </row>
    <row r="1207" spans="16:18" x14ac:dyDescent="0.3">
      <c r="P1207" s="35">
        <v>20.27</v>
      </c>
      <c r="Q1207">
        <v>305</v>
      </c>
      <c r="R1207" s="34">
        <f t="shared" si="21"/>
        <v>0.13731071387908764</v>
      </c>
    </row>
    <row r="1208" spans="16:18" x14ac:dyDescent="0.3">
      <c r="P1208" s="35">
        <v>20.27</v>
      </c>
      <c r="Q1208">
        <v>305</v>
      </c>
      <c r="R1208" s="34">
        <f t="shared" si="21"/>
        <v>0.13742457019242021</v>
      </c>
    </row>
    <row r="1209" spans="16:18" x14ac:dyDescent="0.3">
      <c r="P1209" s="35">
        <v>20.27</v>
      </c>
      <c r="Q1209">
        <v>305</v>
      </c>
      <c r="R1209" s="34">
        <f t="shared" si="21"/>
        <v>0.13753842650575279</v>
      </c>
    </row>
    <row r="1210" spans="16:18" x14ac:dyDescent="0.3">
      <c r="P1210" s="35">
        <v>20.27</v>
      </c>
      <c r="Q1210">
        <v>305</v>
      </c>
      <c r="R1210" s="34">
        <f t="shared" si="21"/>
        <v>0.13765228281908537</v>
      </c>
    </row>
    <row r="1211" spans="16:18" x14ac:dyDescent="0.3">
      <c r="P1211" s="35">
        <v>20.28</v>
      </c>
      <c r="Q1211">
        <v>305</v>
      </c>
      <c r="R1211" s="34">
        <f t="shared" si="21"/>
        <v>0.13776613913241795</v>
      </c>
    </row>
    <row r="1212" spans="16:18" x14ac:dyDescent="0.3">
      <c r="P1212" s="35">
        <v>20.29</v>
      </c>
      <c r="Q1212">
        <v>305</v>
      </c>
      <c r="R1212" s="34">
        <f t="shared" si="21"/>
        <v>0.13787999544575053</v>
      </c>
    </row>
    <row r="1213" spans="16:18" x14ac:dyDescent="0.3">
      <c r="P1213" s="35">
        <v>20.29</v>
      </c>
      <c r="Q1213">
        <v>305</v>
      </c>
      <c r="R1213" s="34">
        <f t="shared" si="21"/>
        <v>0.1379938517590831</v>
      </c>
    </row>
    <row r="1214" spans="16:18" x14ac:dyDescent="0.3">
      <c r="P1214" s="35">
        <v>20.309999999999999</v>
      </c>
      <c r="Q1214">
        <v>305</v>
      </c>
      <c r="R1214" s="34">
        <f t="shared" si="21"/>
        <v>0.13810770807241568</v>
      </c>
    </row>
    <row r="1215" spans="16:18" x14ac:dyDescent="0.3">
      <c r="P1215" s="35">
        <v>20.309999999999999</v>
      </c>
      <c r="Q1215">
        <v>305</v>
      </c>
      <c r="R1215" s="34">
        <f t="shared" si="21"/>
        <v>0.13822156438574826</v>
      </c>
    </row>
    <row r="1216" spans="16:18" x14ac:dyDescent="0.3">
      <c r="P1216" s="35">
        <v>20.32</v>
      </c>
      <c r="Q1216">
        <v>305</v>
      </c>
      <c r="R1216" s="34">
        <f t="shared" si="21"/>
        <v>0.13833542069908084</v>
      </c>
    </row>
    <row r="1217" spans="16:18" x14ac:dyDescent="0.3">
      <c r="P1217" s="35">
        <v>20.32</v>
      </c>
      <c r="Q1217">
        <v>305</v>
      </c>
      <c r="R1217" s="34">
        <f t="shared" si="21"/>
        <v>0.13844927701241341</v>
      </c>
    </row>
    <row r="1218" spans="16:18" x14ac:dyDescent="0.3">
      <c r="P1218" s="35">
        <v>20.32</v>
      </c>
      <c r="Q1218">
        <v>305</v>
      </c>
      <c r="R1218" s="34">
        <f t="shared" si="21"/>
        <v>0.13856313332574599</v>
      </c>
    </row>
    <row r="1219" spans="16:18" x14ac:dyDescent="0.3">
      <c r="P1219" s="35">
        <v>20.32</v>
      </c>
      <c r="Q1219">
        <v>305</v>
      </c>
      <c r="R1219" s="34">
        <f t="shared" si="21"/>
        <v>0.13867698963907857</v>
      </c>
    </row>
    <row r="1220" spans="16:18" x14ac:dyDescent="0.3">
      <c r="P1220" s="35">
        <v>20.32</v>
      </c>
      <c r="Q1220">
        <v>305</v>
      </c>
      <c r="R1220" s="34">
        <f t="shared" ref="R1220:R1283" si="22">R1219+R$2</f>
        <v>0.13879084595241115</v>
      </c>
    </row>
    <row r="1221" spans="16:18" x14ac:dyDescent="0.3">
      <c r="P1221" s="35">
        <v>20.32</v>
      </c>
      <c r="Q1221">
        <v>305</v>
      </c>
      <c r="R1221" s="34">
        <f t="shared" si="22"/>
        <v>0.13890470226574372</v>
      </c>
    </row>
    <row r="1222" spans="16:18" x14ac:dyDescent="0.3">
      <c r="P1222" s="35">
        <v>20.329999999999998</v>
      </c>
      <c r="Q1222">
        <v>305</v>
      </c>
      <c r="R1222" s="34">
        <f t="shared" si="22"/>
        <v>0.1390185585790763</v>
      </c>
    </row>
    <row r="1223" spans="16:18" x14ac:dyDescent="0.3">
      <c r="P1223" s="35">
        <v>20.329999999999998</v>
      </c>
      <c r="Q1223">
        <v>305</v>
      </c>
      <c r="R1223" s="34">
        <f t="shared" si="22"/>
        <v>0.13913241489240888</v>
      </c>
    </row>
    <row r="1224" spans="16:18" x14ac:dyDescent="0.3">
      <c r="P1224" s="35">
        <v>20.329999999999998</v>
      </c>
      <c r="Q1224">
        <v>305</v>
      </c>
      <c r="R1224" s="34">
        <f t="shared" si="22"/>
        <v>0.13924627120574146</v>
      </c>
    </row>
    <row r="1225" spans="16:18" x14ac:dyDescent="0.3">
      <c r="P1225" s="35">
        <v>20.329999999999998</v>
      </c>
      <c r="Q1225">
        <v>305</v>
      </c>
      <c r="R1225" s="34">
        <f t="shared" si="22"/>
        <v>0.13936012751907403</v>
      </c>
    </row>
    <row r="1226" spans="16:18" x14ac:dyDescent="0.3">
      <c r="P1226" s="35">
        <v>20.329999999999998</v>
      </c>
      <c r="Q1226">
        <v>305</v>
      </c>
      <c r="R1226" s="34">
        <f t="shared" si="22"/>
        <v>0.13947398383240661</v>
      </c>
    </row>
    <row r="1227" spans="16:18" x14ac:dyDescent="0.3">
      <c r="P1227" s="35">
        <v>20.329999999999998</v>
      </c>
      <c r="Q1227">
        <v>305</v>
      </c>
      <c r="R1227" s="34">
        <f t="shared" si="22"/>
        <v>0.13958784014573919</v>
      </c>
    </row>
    <row r="1228" spans="16:18" x14ac:dyDescent="0.3">
      <c r="P1228" s="35">
        <v>20.329999999999998</v>
      </c>
      <c r="Q1228">
        <v>305</v>
      </c>
      <c r="R1228" s="34">
        <f t="shared" si="22"/>
        <v>0.13970169645907177</v>
      </c>
    </row>
    <row r="1229" spans="16:18" x14ac:dyDescent="0.3">
      <c r="P1229" s="35">
        <v>20.329999999999998</v>
      </c>
      <c r="Q1229">
        <v>305</v>
      </c>
      <c r="R1229" s="34">
        <f t="shared" si="22"/>
        <v>0.13981555277240434</v>
      </c>
    </row>
    <row r="1230" spans="16:18" x14ac:dyDescent="0.3">
      <c r="P1230" s="35">
        <v>20.34</v>
      </c>
      <c r="Q1230">
        <v>305</v>
      </c>
      <c r="R1230" s="34">
        <f t="shared" si="22"/>
        <v>0.13992940908573692</v>
      </c>
    </row>
    <row r="1231" spans="16:18" x14ac:dyDescent="0.3">
      <c r="P1231" s="35">
        <v>20.34</v>
      </c>
      <c r="Q1231">
        <v>305</v>
      </c>
      <c r="R1231" s="34">
        <f t="shared" si="22"/>
        <v>0.1400432653990695</v>
      </c>
    </row>
    <row r="1232" spans="16:18" x14ac:dyDescent="0.3">
      <c r="P1232" s="35">
        <v>20.34</v>
      </c>
      <c r="Q1232">
        <v>305</v>
      </c>
      <c r="R1232" s="34">
        <f t="shared" si="22"/>
        <v>0.14015712171240208</v>
      </c>
    </row>
    <row r="1233" spans="16:18" x14ac:dyDescent="0.3">
      <c r="P1233" s="35">
        <v>20.34</v>
      </c>
      <c r="Q1233">
        <v>305</v>
      </c>
      <c r="R1233" s="34">
        <f t="shared" si="22"/>
        <v>0.14027097802573466</v>
      </c>
    </row>
    <row r="1234" spans="16:18" x14ac:dyDescent="0.3">
      <c r="P1234" s="35">
        <v>20.34</v>
      </c>
      <c r="Q1234">
        <v>305</v>
      </c>
      <c r="R1234" s="34">
        <f t="shared" si="22"/>
        <v>0.14038483433906723</v>
      </c>
    </row>
    <row r="1235" spans="16:18" x14ac:dyDescent="0.3">
      <c r="P1235" s="35">
        <v>20.350000000000001</v>
      </c>
      <c r="Q1235">
        <v>305</v>
      </c>
      <c r="R1235" s="34">
        <f t="shared" si="22"/>
        <v>0.14049869065239981</v>
      </c>
    </row>
    <row r="1236" spans="16:18" x14ac:dyDescent="0.3">
      <c r="P1236" s="35">
        <v>20.350000000000001</v>
      </c>
      <c r="Q1236">
        <v>305</v>
      </c>
      <c r="R1236" s="34">
        <f t="shared" si="22"/>
        <v>0.14061254696573239</v>
      </c>
    </row>
    <row r="1237" spans="16:18" x14ac:dyDescent="0.3">
      <c r="P1237" s="35">
        <v>20.350000000000001</v>
      </c>
      <c r="Q1237">
        <v>305</v>
      </c>
      <c r="R1237" s="34">
        <f t="shared" si="22"/>
        <v>0.14072640327906497</v>
      </c>
    </row>
    <row r="1238" spans="16:18" x14ac:dyDescent="0.3">
      <c r="P1238" s="35">
        <v>20.350000000000001</v>
      </c>
      <c r="Q1238">
        <v>305</v>
      </c>
      <c r="R1238" s="34">
        <f t="shared" si="22"/>
        <v>0.14084025959239754</v>
      </c>
    </row>
    <row r="1239" spans="16:18" x14ac:dyDescent="0.3">
      <c r="P1239" s="35">
        <v>20.350000000000001</v>
      </c>
      <c r="Q1239">
        <v>305</v>
      </c>
      <c r="R1239" s="34">
        <f t="shared" si="22"/>
        <v>0.14095411590573012</v>
      </c>
    </row>
    <row r="1240" spans="16:18" x14ac:dyDescent="0.3">
      <c r="P1240" s="35">
        <v>20.350000000000001</v>
      </c>
      <c r="Q1240">
        <v>305</v>
      </c>
      <c r="R1240" s="34">
        <f t="shared" si="22"/>
        <v>0.1410679722190627</v>
      </c>
    </row>
    <row r="1241" spans="16:18" x14ac:dyDescent="0.3">
      <c r="P1241" s="35">
        <v>20.36</v>
      </c>
      <c r="Q1241">
        <v>305</v>
      </c>
      <c r="R1241" s="34">
        <f t="shared" si="22"/>
        <v>0.14118182853239528</v>
      </c>
    </row>
    <row r="1242" spans="16:18" x14ac:dyDescent="0.3">
      <c r="P1242" s="35">
        <v>20.36</v>
      </c>
      <c r="Q1242">
        <v>305</v>
      </c>
      <c r="R1242" s="34">
        <f t="shared" si="22"/>
        <v>0.14129568484572785</v>
      </c>
    </row>
    <row r="1243" spans="16:18" x14ac:dyDescent="0.3">
      <c r="P1243" s="35">
        <v>20.36</v>
      </c>
      <c r="Q1243">
        <v>305</v>
      </c>
      <c r="R1243" s="34">
        <f t="shared" si="22"/>
        <v>0.14140954115906043</v>
      </c>
    </row>
    <row r="1244" spans="16:18" x14ac:dyDescent="0.3">
      <c r="P1244" s="35">
        <v>20.37</v>
      </c>
      <c r="Q1244">
        <v>305</v>
      </c>
      <c r="R1244" s="34">
        <f t="shared" si="22"/>
        <v>0.14152339747239301</v>
      </c>
    </row>
    <row r="1245" spans="16:18" x14ac:dyDescent="0.3">
      <c r="P1245" s="35">
        <v>20.37</v>
      </c>
      <c r="Q1245">
        <v>305</v>
      </c>
      <c r="R1245" s="34">
        <f t="shared" si="22"/>
        <v>0.14163725378572559</v>
      </c>
    </row>
    <row r="1246" spans="16:18" x14ac:dyDescent="0.3">
      <c r="P1246" s="35">
        <v>20.37</v>
      </c>
      <c r="Q1246">
        <v>305</v>
      </c>
      <c r="R1246" s="34">
        <f t="shared" si="22"/>
        <v>0.14175111009905816</v>
      </c>
    </row>
    <row r="1247" spans="16:18" x14ac:dyDescent="0.3">
      <c r="P1247" s="35">
        <v>20.37</v>
      </c>
      <c r="Q1247">
        <v>305</v>
      </c>
      <c r="R1247" s="34">
        <f t="shared" si="22"/>
        <v>0.14186496641239074</v>
      </c>
    </row>
    <row r="1248" spans="16:18" x14ac:dyDescent="0.3">
      <c r="P1248" s="35">
        <v>20.38</v>
      </c>
      <c r="Q1248">
        <v>305</v>
      </c>
      <c r="R1248" s="34">
        <f t="shared" si="22"/>
        <v>0.14197882272572332</v>
      </c>
    </row>
    <row r="1249" spans="16:18" x14ac:dyDescent="0.3">
      <c r="P1249" s="35">
        <v>20.39</v>
      </c>
      <c r="Q1249">
        <v>305</v>
      </c>
      <c r="R1249" s="34">
        <f t="shared" si="22"/>
        <v>0.1420926790390559</v>
      </c>
    </row>
    <row r="1250" spans="16:18" x14ac:dyDescent="0.3">
      <c r="P1250" s="35">
        <v>20.39</v>
      </c>
      <c r="Q1250">
        <v>305</v>
      </c>
      <c r="R1250" s="34">
        <f t="shared" si="22"/>
        <v>0.14220653535238847</v>
      </c>
    </row>
    <row r="1251" spans="16:18" x14ac:dyDescent="0.3">
      <c r="P1251" s="35">
        <v>20.39</v>
      </c>
      <c r="Q1251">
        <v>305</v>
      </c>
      <c r="R1251" s="34">
        <f t="shared" si="22"/>
        <v>0.14232039166572105</v>
      </c>
    </row>
    <row r="1252" spans="16:18" x14ac:dyDescent="0.3">
      <c r="P1252" s="35">
        <v>20.39</v>
      </c>
      <c r="Q1252">
        <v>305</v>
      </c>
      <c r="R1252" s="34">
        <f t="shared" si="22"/>
        <v>0.14243424797905363</v>
      </c>
    </row>
    <row r="1253" spans="16:18" x14ac:dyDescent="0.3">
      <c r="P1253" s="35">
        <v>20.39</v>
      </c>
      <c r="Q1253">
        <v>305</v>
      </c>
      <c r="R1253" s="34">
        <f t="shared" si="22"/>
        <v>0.14254810429238621</v>
      </c>
    </row>
    <row r="1254" spans="16:18" x14ac:dyDescent="0.3">
      <c r="P1254" s="35">
        <v>20.399999999999999</v>
      </c>
      <c r="Q1254">
        <v>305</v>
      </c>
      <c r="R1254" s="34">
        <f t="shared" si="22"/>
        <v>0.14266196060571879</v>
      </c>
    </row>
    <row r="1255" spans="16:18" x14ac:dyDescent="0.3">
      <c r="P1255" s="35">
        <v>20.399999999999999</v>
      </c>
      <c r="Q1255">
        <v>305</v>
      </c>
      <c r="R1255" s="34">
        <f t="shared" si="22"/>
        <v>0.14277581691905136</v>
      </c>
    </row>
    <row r="1256" spans="16:18" x14ac:dyDescent="0.3">
      <c r="P1256" s="35">
        <v>20.399999999999999</v>
      </c>
      <c r="Q1256">
        <v>305</v>
      </c>
      <c r="R1256" s="34">
        <f t="shared" si="22"/>
        <v>0.14288967323238394</v>
      </c>
    </row>
    <row r="1257" spans="16:18" x14ac:dyDescent="0.3">
      <c r="P1257" s="35">
        <v>20.399999999999999</v>
      </c>
      <c r="Q1257">
        <v>305</v>
      </c>
      <c r="R1257" s="34">
        <f t="shared" si="22"/>
        <v>0.14300352954571652</v>
      </c>
    </row>
    <row r="1258" spans="16:18" x14ac:dyDescent="0.3">
      <c r="P1258" s="35">
        <v>20.399999999999999</v>
      </c>
      <c r="Q1258">
        <v>305</v>
      </c>
      <c r="R1258" s="34">
        <f t="shared" si="22"/>
        <v>0.1431173858590491</v>
      </c>
    </row>
    <row r="1259" spans="16:18" x14ac:dyDescent="0.3">
      <c r="P1259" s="35">
        <v>20.399999999999999</v>
      </c>
      <c r="Q1259">
        <v>305</v>
      </c>
      <c r="R1259" s="34">
        <f t="shared" si="22"/>
        <v>0.14323124217238167</v>
      </c>
    </row>
    <row r="1260" spans="16:18" x14ac:dyDescent="0.3">
      <c r="P1260" s="35">
        <v>20.399999999999999</v>
      </c>
      <c r="Q1260">
        <v>305</v>
      </c>
      <c r="R1260" s="34">
        <f t="shared" si="22"/>
        <v>0.14334509848571425</v>
      </c>
    </row>
    <row r="1261" spans="16:18" x14ac:dyDescent="0.3">
      <c r="P1261" s="35">
        <v>20.399999999999999</v>
      </c>
      <c r="Q1261">
        <v>305</v>
      </c>
      <c r="R1261" s="34">
        <f t="shared" si="22"/>
        <v>0.14345895479904683</v>
      </c>
    </row>
    <row r="1262" spans="16:18" x14ac:dyDescent="0.3">
      <c r="P1262" s="35">
        <v>20.41</v>
      </c>
      <c r="Q1262">
        <v>305</v>
      </c>
      <c r="R1262" s="34">
        <f t="shared" si="22"/>
        <v>0.14357281111237941</v>
      </c>
    </row>
    <row r="1263" spans="16:18" x14ac:dyDescent="0.3">
      <c r="P1263" s="35">
        <v>20.41</v>
      </c>
      <c r="Q1263">
        <v>305</v>
      </c>
      <c r="R1263" s="34">
        <f t="shared" si="22"/>
        <v>0.14368666742571198</v>
      </c>
    </row>
    <row r="1264" spans="16:18" x14ac:dyDescent="0.3">
      <c r="P1264" s="35">
        <v>20.41</v>
      </c>
      <c r="Q1264">
        <v>305</v>
      </c>
      <c r="R1264" s="34">
        <f t="shared" si="22"/>
        <v>0.14380052373904456</v>
      </c>
    </row>
    <row r="1265" spans="16:18" x14ac:dyDescent="0.3">
      <c r="P1265" s="35">
        <v>20.420000000000002</v>
      </c>
      <c r="Q1265">
        <v>305</v>
      </c>
      <c r="R1265" s="34">
        <f t="shared" si="22"/>
        <v>0.14391438005237714</v>
      </c>
    </row>
    <row r="1266" spans="16:18" x14ac:dyDescent="0.3">
      <c r="P1266" s="35">
        <v>20.420000000000002</v>
      </c>
      <c r="Q1266">
        <v>305</v>
      </c>
      <c r="R1266" s="34">
        <f t="shared" si="22"/>
        <v>0.14402823636570972</v>
      </c>
    </row>
    <row r="1267" spans="16:18" x14ac:dyDescent="0.3">
      <c r="P1267" s="35">
        <v>20.420000000000002</v>
      </c>
      <c r="Q1267">
        <v>305</v>
      </c>
      <c r="R1267" s="34">
        <f t="shared" si="22"/>
        <v>0.14414209267904229</v>
      </c>
    </row>
    <row r="1268" spans="16:18" x14ac:dyDescent="0.3">
      <c r="P1268" s="35">
        <v>20.43</v>
      </c>
      <c r="Q1268">
        <v>305</v>
      </c>
      <c r="R1268" s="34">
        <f t="shared" si="22"/>
        <v>0.14425594899237487</v>
      </c>
    </row>
    <row r="1269" spans="16:18" x14ac:dyDescent="0.3">
      <c r="P1269" s="35">
        <v>20.43</v>
      </c>
      <c r="Q1269">
        <v>305</v>
      </c>
      <c r="R1269" s="34">
        <f t="shared" si="22"/>
        <v>0.14436980530570745</v>
      </c>
    </row>
    <row r="1270" spans="16:18" x14ac:dyDescent="0.3">
      <c r="P1270" s="35">
        <v>20.43</v>
      </c>
      <c r="Q1270">
        <v>305</v>
      </c>
      <c r="R1270" s="34">
        <f t="shared" si="22"/>
        <v>0.14448366161904003</v>
      </c>
    </row>
    <row r="1271" spans="16:18" x14ac:dyDescent="0.3">
      <c r="P1271" s="35">
        <v>20.43</v>
      </c>
      <c r="Q1271">
        <v>305</v>
      </c>
      <c r="R1271" s="34">
        <f t="shared" si="22"/>
        <v>0.1445975179323726</v>
      </c>
    </row>
    <row r="1272" spans="16:18" x14ac:dyDescent="0.3">
      <c r="P1272" s="35">
        <v>20.43</v>
      </c>
      <c r="Q1272">
        <v>305</v>
      </c>
      <c r="R1272" s="34">
        <f t="shared" si="22"/>
        <v>0.14471137424570518</v>
      </c>
    </row>
    <row r="1273" spans="16:18" x14ac:dyDescent="0.3">
      <c r="P1273" s="35">
        <v>20.43</v>
      </c>
      <c r="Q1273">
        <v>305</v>
      </c>
      <c r="R1273" s="34">
        <f t="shared" si="22"/>
        <v>0.14482523055903776</v>
      </c>
    </row>
    <row r="1274" spans="16:18" x14ac:dyDescent="0.3">
      <c r="P1274" s="35">
        <v>20.440000000000001</v>
      </c>
      <c r="Q1274">
        <v>305</v>
      </c>
      <c r="R1274" s="34">
        <f t="shared" si="22"/>
        <v>0.14493908687237034</v>
      </c>
    </row>
    <row r="1275" spans="16:18" x14ac:dyDescent="0.3">
      <c r="P1275" s="35">
        <v>20.440000000000001</v>
      </c>
      <c r="Q1275">
        <v>305</v>
      </c>
      <c r="R1275" s="34">
        <f t="shared" si="22"/>
        <v>0.14505294318570292</v>
      </c>
    </row>
    <row r="1276" spans="16:18" x14ac:dyDescent="0.3">
      <c r="P1276" s="35">
        <v>20.45</v>
      </c>
      <c r="Q1276">
        <v>305</v>
      </c>
      <c r="R1276" s="34">
        <f t="shared" si="22"/>
        <v>0.14516679949903549</v>
      </c>
    </row>
    <row r="1277" spans="16:18" x14ac:dyDescent="0.3">
      <c r="P1277" s="35">
        <v>20.45</v>
      </c>
      <c r="Q1277">
        <v>305</v>
      </c>
      <c r="R1277" s="34">
        <f t="shared" si="22"/>
        <v>0.14528065581236807</v>
      </c>
    </row>
    <row r="1278" spans="16:18" x14ac:dyDescent="0.3">
      <c r="P1278" s="35">
        <v>20.45</v>
      </c>
      <c r="Q1278">
        <v>305</v>
      </c>
      <c r="R1278" s="34">
        <f t="shared" si="22"/>
        <v>0.14539451212570065</v>
      </c>
    </row>
    <row r="1279" spans="16:18" x14ac:dyDescent="0.3">
      <c r="P1279" s="35">
        <v>20.45</v>
      </c>
      <c r="Q1279">
        <v>305</v>
      </c>
      <c r="R1279" s="34">
        <f t="shared" si="22"/>
        <v>0.14550836843903323</v>
      </c>
    </row>
    <row r="1280" spans="16:18" x14ac:dyDescent="0.3">
      <c r="P1280" s="35">
        <v>20.45</v>
      </c>
      <c r="Q1280">
        <v>305</v>
      </c>
      <c r="R1280" s="34">
        <f t="shared" si="22"/>
        <v>0.1456222247523658</v>
      </c>
    </row>
    <row r="1281" spans="16:18" x14ac:dyDescent="0.3">
      <c r="P1281" s="35">
        <v>20.46</v>
      </c>
      <c r="Q1281">
        <v>305</v>
      </c>
      <c r="R1281" s="34">
        <f t="shared" si="22"/>
        <v>0.14573608106569838</v>
      </c>
    </row>
    <row r="1282" spans="16:18" x14ac:dyDescent="0.3">
      <c r="P1282" s="35">
        <v>20.46</v>
      </c>
      <c r="Q1282">
        <v>305</v>
      </c>
      <c r="R1282" s="34">
        <f t="shared" si="22"/>
        <v>0.14584993737903096</v>
      </c>
    </row>
    <row r="1283" spans="16:18" x14ac:dyDescent="0.3">
      <c r="P1283" s="35">
        <v>20.46</v>
      </c>
      <c r="Q1283">
        <v>305</v>
      </c>
      <c r="R1283" s="34">
        <f t="shared" si="22"/>
        <v>0.14596379369236354</v>
      </c>
    </row>
    <row r="1284" spans="16:18" x14ac:dyDescent="0.3">
      <c r="P1284" s="35">
        <v>20.46</v>
      </c>
      <c r="Q1284">
        <v>305</v>
      </c>
      <c r="R1284" s="34">
        <f t="shared" ref="R1284:R1347" si="23">R1283+R$2</f>
        <v>0.14607765000569611</v>
      </c>
    </row>
    <row r="1285" spans="16:18" x14ac:dyDescent="0.3">
      <c r="P1285" s="35">
        <v>20.46</v>
      </c>
      <c r="Q1285">
        <v>305</v>
      </c>
      <c r="R1285" s="34">
        <f t="shared" si="23"/>
        <v>0.14619150631902869</v>
      </c>
    </row>
    <row r="1286" spans="16:18" x14ac:dyDescent="0.3">
      <c r="P1286" s="35">
        <v>20.46</v>
      </c>
      <c r="Q1286">
        <v>305</v>
      </c>
      <c r="R1286" s="34">
        <f t="shared" si="23"/>
        <v>0.14630536263236127</v>
      </c>
    </row>
    <row r="1287" spans="16:18" x14ac:dyDescent="0.3">
      <c r="P1287" s="35">
        <v>20.46</v>
      </c>
      <c r="Q1287">
        <v>305</v>
      </c>
      <c r="R1287" s="34">
        <f t="shared" si="23"/>
        <v>0.14641921894569385</v>
      </c>
    </row>
    <row r="1288" spans="16:18" x14ac:dyDescent="0.3">
      <c r="P1288" s="35">
        <v>20.46</v>
      </c>
      <c r="Q1288">
        <v>305</v>
      </c>
      <c r="R1288" s="34">
        <f t="shared" si="23"/>
        <v>0.14653307525902642</v>
      </c>
    </row>
    <row r="1289" spans="16:18" x14ac:dyDescent="0.3">
      <c r="P1289" s="35">
        <v>20.47</v>
      </c>
      <c r="Q1289">
        <v>305</v>
      </c>
      <c r="R1289" s="34">
        <f t="shared" si="23"/>
        <v>0.146646931572359</v>
      </c>
    </row>
    <row r="1290" spans="16:18" x14ac:dyDescent="0.3">
      <c r="P1290" s="35">
        <v>20.47</v>
      </c>
      <c r="Q1290">
        <v>305</v>
      </c>
      <c r="R1290" s="34">
        <f t="shared" si="23"/>
        <v>0.14676078788569158</v>
      </c>
    </row>
    <row r="1291" spans="16:18" x14ac:dyDescent="0.3">
      <c r="P1291" s="35">
        <v>20.47</v>
      </c>
      <c r="Q1291">
        <v>305</v>
      </c>
      <c r="R1291" s="34">
        <f t="shared" si="23"/>
        <v>0.14687464419902416</v>
      </c>
    </row>
    <row r="1292" spans="16:18" x14ac:dyDescent="0.3">
      <c r="P1292" s="35">
        <v>20.48</v>
      </c>
      <c r="Q1292">
        <v>305</v>
      </c>
      <c r="R1292" s="34">
        <f t="shared" si="23"/>
        <v>0.14698850051235673</v>
      </c>
    </row>
    <row r="1293" spans="16:18" x14ac:dyDescent="0.3">
      <c r="P1293" s="35">
        <v>20.48</v>
      </c>
      <c r="Q1293">
        <v>305</v>
      </c>
      <c r="R1293" s="34">
        <f t="shared" si="23"/>
        <v>0.14710235682568931</v>
      </c>
    </row>
    <row r="1294" spans="16:18" x14ac:dyDescent="0.3">
      <c r="P1294" s="35">
        <v>20.48</v>
      </c>
      <c r="Q1294">
        <v>305</v>
      </c>
      <c r="R1294" s="34">
        <f t="shared" si="23"/>
        <v>0.14721621313902189</v>
      </c>
    </row>
    <row r="1295" spans="16:18" x14ac:dyDescent="0.3">
      <c r="P1295" s="35">
        <v>20.48</v>
      </c>
      <c r="Q1295">
        <v>305</v>
      </c>
      <c r="R1295" s="34">
        <f t="shared" si="23"/>
        <v>0.14733006945235447</v>
      </c>
    </row>
    <row r="1296" spans="16:18" x14ac:dyDescent="0.3">
      <c r="P1296" s="35">
        <v>20.49</v>
      </c>
      <c r="Q1296">
        <v>305</v>
      </c>
      <c r="R1296" s="34">
        <f t="shared" si="23"/>
        <v>0.14744392576568705</v>
      </c>
    </row>
    <row r="1297" spans="16:18" x14ac:dyDescent="0.3">
      <c r="P1297" s="35">
        <v>20.49</v>
      </c>
      <c r="Q1297">
        <v>305</v>
      </c>
      <c r="R1297" s="34">
        <f t="shared" si="23"/>
        <v>0.14755778207901962</v>
      </c>
    </row>
    <row r="1298" spans="16:18" x14ac:dyDescent="0.3">
      <c r="P1298" s="35">
        <v>20.49</v>
      </c>
      <c r="Q1298">
        <v>305</v>
      </c>
      <c r="R1298" s="34">
        <f t="shared" si="23"/>
        <v>0.1476716383923522</v>
      </c>
    </row>
    <row r="1299" spans="16:18" x14ac:dyDescent="0.3">
      <c r="P1299" s="35">
        <v>20.49</v>
      </c>
      <c r="Q1299">
        <v>305</v>
      </c>
      <c r="R1299" s="34">
        <f t="shared" si="23"/>
        <v>0.14778549470568478</v>
      </c>
    </row>
    <row r="1300" spans="16:18" x14ac:dyDescent="0.3">
      <c r="P1300" s="35">
        <v>20.5</v>
      </c>
      <c r="Q1300">
        <v>305</v>
      </c>
      <c r="R1300" s="34">
        <f t="shared" si="23"/>
        <v>0.14789935101901736</v>
      </c>
    </row>
    <row r="1301" spans="16:18" x14ac:dyDescent="0.3">
      <c r="P1301" s="35">
        <v>20.5</v>
      </c>
      <c r="Q1301">
        <v>305</v>
      </c>
      <c r="R1301" s="34">
        <f t="shared" si="23"/>
        <v>0.14801320733234993</v>
      </c>
    </row>
    <row r="1302" spans="16:18" x14ac:dyDescent="0.3">
      <c r="P1302" s="35">
        <v>20.5</v>
      </c>
      <c r="Q1302">
        <v>305</v>
      </c>
      <c r="R1302" s="34">
        <f t="shared" si="23"/>
        <v>0.14812706364568251</v>
      </c>
    </row>
    <row r="1303" spans="16:18" x14ac:dyDescent="0.3">
      <c r="P1303" s="35">
        <v>20.5</v>
      </c>
      <c r="Q1303">
        <v>305</v>
      </c>
      <c r="R1303" s="34">
        <f t="shared" si="23"/>
        <v>0.14824091995901509</v>
      </c>
    </row>
    <row r="1304" spans="16:18" x14ac:dyDescent="0.3">
      <c r="P1304" s="35">
        <v>20.5</v>
      </c>
      <c r="Q1304">
        <v>305</v>
      </c>
      <c r="R1304" s="34">
        <f t="shared" si="23"/>
        <v>0.14835477627234767</v>
      </c>
    </row>
    <row r="1305" spans="16:18" x14ac:dyDescent="0.3">
      <c r="P1305" s="35">
        <v>20.5</v>
      </c>
      <c r="Q1305">
        <v>305</v>
      </c>
      <c r="R1305" s="34">
        <f t="shared" si="23"/>
        <v>0.14846863258568024</v>
      </c>
    </row>
    <row r="1306" spans="16:18" x14ac:dyDescent="0.3">
      <c r="P1306" s="35">
        <v>20.51</v>
      </c>
      <c r="Q1306">
        <v>305</v>
      </c>
      <c r="R1306" s="34">
        <f t="shared" si="23"/>
        <v>0.14858248889901282</v>
      </c>
    </row>
    <row r="1307" spans="16:18" x14ac:dyDescent="0.3">
      <c r="P1307" s="35">
        <v>20.51</v>
      </c>
      <c r="Q1307">
        <v>305</v>
      </c>
      <c r="R1307" s="34">
        <f t="shared" si="23"/>
        <v>0.1486963452123454</v>
      </c>
    </row>
    <row r="1308" spans="16:18" x14ac:dyDescent="0.3">
      <c r="P1308" s="35">
        <v>20.51</v>
      </c>
      <c r="Q1308">
        <v>305</v>
      </c>
      <c r="R1308" s="34">
        <f t="shared" si="23"/>
        <v>0.14881020152567798</v>
      </c>
    </row>
    <row r="1309" spans="16:18" x14ac:dyDescent="0.3">
      <c r="P1309" s="35">
        <v>20.52</v>
      </c>
      <c r="Q1309">
        <v>305</v>
      </c>
      <c r="R1309" s="34">
        <f t="shared" si="23"/>
        <v>0.14892405783901055</v>
      </c>
    </row>
    <row r="1310" spans="16:18" x14ac:dyDescent="0.3">
      <c r="P1310" s="35">
        <v>20.52</v>
      </c>
      <c r="Q1310">
        <v>305</v>
      </c>
      <c r="R1310" s="34">
        <f t="shared" si="23"/>
        <v>0.14903791415234313</v>
      </c>
    </row>
    <row r="1311" spans="16:18" x14ac:dyDescent="0.3">
      <c r="P1311" s="35">
        <v>20.53</v>
      </c>
      <c r="Q1311">
        <v>305</v>
      </c>
      <c r="R1311" s="34">
        <f t="shared" si="23"/>
        <v>0.14915177046567571</v>
      </c>
    </row>
    <row r="1312" spans="16:18" x14ac:dyDescent="0.3">
      <c r="P1312" s="35">
        <v>20.53</v>
      </c>
      <c r="Q1312">
        <v>305</v>
      </c>
      <c r="R1312" s="34">
        <f t="shared" si="23"/>
        <v>0.14926562677900829</v>
      </c>
    </row>
    <row r="1313" spans="16:18" x14ac:dyDescent="0.3">
      <c r="P1313" s="35">
        <v>20.53</v>
      </c>
      <c r="Q1313">
        <v>305</v>
      </c>
      <c r="R1313" s="34">
        <f t="shared" si="23"/>
        <v>0.14937948309234086</v>
      </c>
    </row>
    <row r="1314" spans="16:18" x14ac:dyDescent="0.3">
      <c r="P1314" s="35">
        <v>20.53</v>
      </c>
      <c r="Q1314">
        <v>305</v>
      </c>
      <c r="R1314" s="34">
        <f t="shared" si="23"/>
        <v>0.14949333940567344</v>
      </c>
    </row>
    <row r="1315" spans="16:18" x14ac:dyDescent="0.3">
      <c r="P1315" s="35">
        <v>20.54</v>
      </c>
      <c r="Q1315">
        <v>305</v>
      </c>
      <c r="R1315" s="34">
        <f t="shared" si="23"/>
        <v>0.14960719571900602</v>
      </c>
    </row>
    <row r="1316" spans="16:18" x14ac:dyDescent="0.3">
      <c r="P1316" s="35">
        <v>20.54</v>
      </c>
      <c r="Q1316">
        <v>305</v>
      </c>
      <c r="R1316" s="34">
        <f t="shared" si="23"/>
        <v>0.1497210520323386</v>
      </c>
    </row>
    <row r="1317" spans="16:18" x14ac:dyDescent="0.3">
      <c r="P1317" s="35">
        <v>20.55</v>
      </c>
      <c r="Q1317">
        <v>305</v>
      </c>
      <c r="R1317" s="34">
        <f t="shared" si="23"/>
        <v>0.14983490834567118</v>
      </c>
    </row>
    <row r="1318" spans="16:18" x14ac:dyDescent="0.3">
      <c r="P1318" s="35">
        <v>20.55</v>
      </c>
      <c r="Q1318">
        <v>305</v>
      </c>
      <c r="R1318" s="34">
        <f t="shared" si="23"/>
        <v>0.14994876465900375</v>
      </c>
    </row>
    <row r="1319" spans="16:18" x14ac:dyDescent="0.3">
      <c r="P1319" s="35">
        <v>20.55</v>
      </c>
      <c r="Q1319">
        <v>305</v>
      </c>
      <c r="R1319" s="34">
        <f t="shared" si="23"/>
        <v>0.15006262097233633</v>
      </c>
    </row>
    <row r="1320" spans="16:18" x14ac:dyDescent="0.3">
      <c r="P1320" s="35">
        <v>20.55</v>
      </c>
      <c r="Q1320">
        <v>305</v>
      </c>
      <c r="R1320" s="34">
        <f t="shared" si="23"/>
        <v>0.15017647728566891</v>
      </c>
    </row>
    <row r="1321" spans="16:18" x14ac:dyDescent="0.3">
      <c r="P1321" s="35">
        <v>20.55</v>
      </c>
      <c r="Q1321">
        <v>305</v>
      </c>
      <c r="R1321" s="34">
        <f t="shared" si="23"/>
        <v>0.15029033359900149</v>
      </c>
    </row>
    <row r="1322" spans="16:18" x14ac:dyDescent="0.3">
      <c r="P1322" s="35">
        <v>20.56</v>
      </c>
      <c r="Q1322">
        <v>305</v>
      </c>
      <c r="R1322" s="34">
        <f t="shared" si="23"/>
        <v>0.15040418991233406</v>
      </c>
    </row>
    <row r="1323" spans="16:18" x14ac:dyDescent="0.3">
      <c r="P1323" s="35">
        <v>20.56</v>
      </c>
      <c r="Q1323">
        <v>305</v>
      </c>
      <c r="R1323" s="34">
        <f t="shared" si="23"/>
        <v>0.15051804622566664</v>
      </c>
    </row>
    <row r="1324" spans="16:18" x14ac:dyDescent="0.3">
      <c r="P1324" s="35">
        <v>20.56</v>
      </c>
      <c r="Q1324">
        <v>305</v>
      </c>
      <c r="R1324" s="34">
        <f t="shared" si="23"/>
        <v>0.15063190253899922</v>
      </c>
    </row>
    <row r="1325" spans="16:18" x14ac:dyDescent="0.3">
      <c r="P1325" s="35">
        <v>20.56</v>
      </c>
      <c r="Q1325">
        <v>305</v>
      </c>
      <c r="R1325" s="34">
        <f t="shared" si="23"/>
        <v>0.1507457588523318</v>
      </c>
    </row>
    <row r="1326" spans="16:18" x14ac:dyDescent="0.3">
      <c r="P1326" s="35">
        <v>20.57</v>
      </c>
      <c r="Q1326">
        <v>305</v>
      </c>
      <c r="R1326" s="34">
        <f t="shared" si="23"/>
        <v>0.15085961516566437</v>
      </c>
    </row>
    <row r="1327" spans="16:18" x14ac:dyDescent="0.3">
      <c r="P1327" s="35">
        <v>20.57</v>
      </c>
      <c r="Q1327">
        <v>305</v>
      </c>
      <c r="R1327" s="34">
        <f t="shared" si="23"/>
        <v>0.15097347147899695</v>
      </c>
    </row>
    <row r="1328" spans="16:18" x14ac:dyDescent="0.3">
      <c r="P1328" s="35">
        <v>20.58</v>
      </c>
      <c r="Q1328">
        <v>305</v>
      </c>
      <c r="R1328" s="34">
        <f t="shared" si="23"/>
        <v>0.15108732779232953</v>
      </c>
    </row>
    <row r="1329" spans="16:18" x14ac:dyDescent="0.3">
      <c r="P1329" s="35">
        <v>20.58</v>
      </c>
      <c r="Q1329">
        <v>305</v>
      </c>
      <c r="R1329" s="34">
        <f t="shared" si="23"/>
        <v>0.15120118410566211</v>
      </c>
    </row>
    <row r="1330" spans="16:18" x14ac:dyDescent="0.3">
      <c r="P1330" s="35">
        <v>20.59</v>
      </c>
      <c r="Q1330">
        <v>305</v>
      </c>
      <c r="R1330" s="34">
        <f t="shared" si="23"/>
        <v>0.15131504041899468</v>
      </c>
    </row>
    <row r="1331" spans="16:18" x14ac:dyDescent="0.3">
      <c r="P1331" s="35">
        <v>20.59</v>
      </c>
      <c r="Q1331">
        <v>305</v>
      </c>
      <c r="R1331" s="34">
        <f t="shared" si="23"/>
        <v>0.15142889673232726</v>
      </c>
    </row>
    <row r="1332" spans="16:18" x14ac:dyDescent="0.3">
      <c r="P1332" s="35">
        <v>20.59</v>
      </c>
      <c r="Q1332">
        <v>305</v>
      </c>
      <c r="R1332" s="34">
        <f t="shared" si="23"/>
        <v>0.15154275304565984</v>
      </c>
    </row>
    <row r="1333" spans="16:18" x14ac:dyDescent="0.3">
      <c r="P1333" s="35">
        <v>20.59</v>
      </c>
      <c r="Q1333">
        <v>305</v>
      </c>
      <c r="R1333" s="34">
        <f t="shared" si="23"/>
        <v>0.15165660935899242</v>
      </c>
    </row>
    <row r="1334" spans="16:18" x14ac:dyDescent="0.3">
      <c r="P1334" s="35">
        <v>20.59</v>
      </c>
      <c r="Q1334">
        <v>305</v>
      </c>
      <c r="R1334" s="34">
        <f t="shared" si="23"/>
        <v>0.15177046567232499</v>
      </c>
    </row>
    <row r="1335" spans="16:18" x14ac:dyDescent="0.3">
      <c r="P1335" s="35">
        <v>20.6</v>
      </c>
      <c r="Q1335">
        <v>305</v>
      </c>
      <c r="R1335" s="34">
        <f t="shared" si="23"/>
        <v>0.15188432198565757</v>
      </c>
    </row>
    <row r="1336" spans="16:18" x14ac:dyDescent="0.3">
      <c r="P1336" s="35">
        <v>20.6</v>
      </c>
      <c r="Q1336">
        <v>305</v>
      </c>
      <c r="R1336" s="34">
        <f t="shared" si="23"/>
        <v>0.15199817829899015</v>
      </c>
    </row>
    <row r="1337" spans="16:18" x14ac:dyDescent="0.3">
      <c r="P1337" s="35">
        <v>20.6</v>
      </c>
      <c r="Q1337">
        <v>305</v>
      </c>
      <c r="R1337" s="34">
        <f t="shared" si="23"/>
        <v>0.15211203461232273</v>
      </c>
    </row>
    <row r="1338" spans="16:18" x14ac:dyDescent="0.3">
      <c r="P1338" s="35">
        <v>20.61</v>
      </c>
      <c r="Q1338">
        <v>305</v>
      </c>
      <c r="R1338" s="34">
        <f t="shared" si="23"/>
        <v>0.1522258909256553</v>
      </c>
    </row>
    <row r="1339" spans="16:18" x14ac:dyDescent="0.3">
      <c r="P1339" s="35">
        <v>20.61</v>
      </c>
      <c r="Q1339">
        <v>305</v>
      </c>
      <c r="R1339" s="34">
        <f t="shared" si="23"/>
        <v>0.15233974723898788</v>
      </c>
    </row>
    <row r="1340" spans="16:18" x14ac:dyDescent="0.3">
      <c r="P1340" s="35">
        <v>20.61</v>
      </c>
      <c r="Q1340">
        <v>305</v>
      </c>
      <c r="R1340" s="34">
        <f t="shared" si="23"/>
        <v>0.15245360355232046</v>
      </c>
    </row>
    <row r="1341" spans="16:18" x14ac:dyDescent="0.3">
      <c r="P1341" s="35">
        <v>20.61</v>
      </c>
      <c r="Q1341">
        <v>305</v>
      </c>
      <c r="R1341" s="34">
        <f t="shared" si="23"/>
        <v>0.15256745986565304</v>
      </c>
    </row>
    <row r="1342" spans="16:18" x14ac:dyDescent="0.3">
      <c r="P1342" s="35">
        <v>20.62</v>
      </c>
      <c r="Q1342">
        <v>305</v>
      </c>
      <c r="R1342" s="34">
        <f t="shared" si="23"/>
        <v>0.15268131617898562</v>
      </c>
    </row>
    <row r="1343" spans="16:18" x14ac:dyDescent="0.3">
      <c r="P1343" s="35">
        <v>20.62</v>
      </c>
      <c r="Q1343">
        <v>305</v>
      </c>
      <c r="R1343" s="34">
        <f t="shared" si="23"/>
        <v>0.15279517249231819</v>
      </c>
    </row>
    <row r="1344" spans="16:18" x14ac:dyDescent="0.3">
      <c r="P1344" s="35">
        <v>20.62</v>
      </c>
      <c r="Q1344">
        <v>305</v>
      </c>
      <c r="R1344" s="34">
        <f t="shared" si="23"/>
        <v>0.15290902880565077</v>
      </c>
    </row>
    <row r="1345" spans="16:18" x14ac:dyDescent="0.3">
      <c r="P1345" s="35">
        <v>20.63</v>
      </c>
      <c r="Q1345">
        <v>305</v>
      </c>
      <c r="R1345" s="34">
        <f t="shared" si="23"/>
        <v>0.15302288511898335</v>
      </c>
    </row>
    <row r="1346" spans="16:18" x14ac:dyDescent="0.3">
      <c r="P1346" s="35">
        <v>20.63</v>
      </c>
      <c r="Q1346">
        <v>305</v>
      </c>
      <c r="R1346" s="34">
        <f t="shared" si="23"/>
        <v>0.15313674143231593</v>
      </c>
    </row>
    <row r="1347" spans="16:18" x14ac:dyDescent="0.3">
      <c r="P1347" s="35">
        <v>20.64</v>
      </c>
      <c r="Q1347">
        <v>305</v>
      </c>
      <c r="R1347" s="34">
        <f t="shared" si="23"/>
        <v>0.1532505977456485</v>
      </c>
    </row>
    <row r="1348" spans="16:18" x14ac:dyDescent="0.3">
      <c r="P1348" s="35">
        <v>20.64</v>
      </c>
      <c r="Q1348">
        <v>305</v>
      </c>
      <c r="R1348" s="34">
        <f t="shared" ref="R1348:R1411" si="24">R1347+R$2</f>
        <v>0.15336445405898108</v>
      </c>
    </row>
    <row r="1349" spans="16:18" x14ac:dyDescent="0.3">
      <c r="P1349" s="35">
        <v>20.64</v>
      </c>
      <c r="Q1349">
        <v>305</v>
      </c>
      <c r="R1349" s="34">
        <f t="shared" si="24"/>
        <v>0.15347831037231366</v>
      </c>
    </row>
    <row r="1350" spans="16:18" x14ac:dyDescent="0.3">
      <c r="P1350" s="35">
        <v>20.65</v>
      </c>
      <c r="Q1350">
        <v>305</v>
      </c>
      <c r="R1350" s="34">
        <f t="shared" si="24"/>
        <v>0.15359216668564624</v>
      </c>
    </row>
    <row r="1351" spans="16:18" x14ac:dyDescent="0.3">
      <c r="P1351" s="35">
        <v>20.65</v>
      </c>
      <c r="Q1351">
        <v>305</v>
      </c>
      <c r="R1351" s="34">
        <f t="shared" si="24"/>
        <v>0.15370602299897881</v>
      </c>
    </row>
    <row r="1352" spans="16:18" x14ac:dyDescent="0.3">
      <c r="P1352" s="35">
        <v>20.65</v>
      </c>
      <c r="Q1352">
        <v>305</v>
      </c>
      <c r="R1352" s="34">
        <f t="shared" si="24"/>
        <v>0.15381987931231139</v>
      </c>
    </row>
    <row r="1353" spans="16:18" x14ac:dyDescent="0.3">
      <c r="P1353" s="35">
        <v>20.65</v>
      </c>
      <c r="Q1353">
        <v>305</v>
      </c>
      <c r="R1353" s="34">
        <f t="shared" si="24"/>
        <v>0.15393373562564397</v>
      </c>
    </row>
    <row r="1354" spans="16:18" x14ac:dyDescent="0.3">
      <c r="P1354" s="35">
        <v>20.65</v>
      </c>
      <c r="Q1354">
        <v>305</v>
      </c>
      <c r="R1354" s="34">
        <f t="shared" si="24"/>
        <v>0.15404759193897655</v>
      </c>
    </row>
    <row r="1355" spans="16:18" x14ac:dyDescent="0.3">
      <c r="P1355" s="35">
        <v>20.66</v>
      </c>
      <c r="Q1355">
        <v>305</v>
      </c>
      <c r="R1355" s="34">
        <f t="shared" si="24"/>
        <v>0.15416144825230912</v>
      </c>
    </row>
    <row r="1356" spans="16:18" x14ac:dyDescent="0.3">
      <c r="P1356" s="35">
        <v>20.66</v>
      </c>
      <c r="Q1356">
        <v>305</v>
      </c>
      <c r="R1356" s="34">
        <f t="shared" si="24"/>
        <v>0.1542753045656417</v>
      </c>
    </row>
    <row r="1357" spans="16:18" x14ac:dyDescent="0.3">
      <c r="P1357" s="35">
        <v>20.66</v>
      </c>
      <c r="Q1357">
        <v>305</v>
      </c>
      <c r="R1357" s="34">
        <f t="shared" si="24"/>
        <v>0.15438916087897428</v>
      </c>
    </row>
    <row r="1358" spans="16:18" x14ac:dyDescent="0.3">
      <c r="P1358" s="35">
        <v>20.66</v>
      </c>
      <c r="Q1358">
        <v>305</v>
      </c>
      <c r="R1358" s="34">
        <f t="shared" si="24"/>
        <v>0.15450301719230686</v>
      </c>
    </row>
    <row r="1359" spans="16:18" x14ac:dyDescent="0.3">
      <c r="P1359" s="35">
        <v>20.66</v>
      </c>
      <c r="Q1359">
        <v>305</v>
      </c>
      <c r="R1359" s="34">
        <f t="shared" si="24"/>
        <v>0.15461687350563943</v>
      </c>
    </row>
    <row r="1360" spans="16:18" x14ac:dyDescent="0.3">
      <c r="P1360" s="35">
        <v>20.67</v>
      </c>
      <c r="Q1360">
        <v>305</v>
      </c>
      <c r="R1360" s="34">
        <f t="shared" si="24"/>
        <v>0.15473072981897201</v>
      </c>
    </row>
    <row r="1361" spans="16:18" x14ac:dyDescent="0.3">
      <c r="P1361" s="35">
        <v>20.67</v>
      </c>
      <c r="Q1361">
        <v>305</v>
      </c>
      <c r="R1361" s="34">
        <f t="shared" si="24"/>
        <v>0.15484458613230459</v>
      </c>
    </row>
    <row r="1362" spans="16:18" x14ac:dyDescent="0.3">
      <c r="P1362" s="35">
        <v>20.67</v>
      </c>
      <c r="Q1362">
        <v>305</v>
      </c>
      <c r="R1362" s="34">
        <f t="shared" si="24"/>
        <v>0.15495844244563717</v>
      </c>
    </row>
    <row r="1363" spans="16:18" x14ac:dyDescent="0.3">
      <c r="P1363" s="35">
        <v>20.68</v>
      </c>
      <c r="Q1363">
        <v>305</v>
      </c>
      <c r="R1363" s="34">
        <f t="shared" si="24"/>
        <v>0.15507229875896975</v>
      </c>
    </row>
    <row r="1364" spans="16:18" x14ac:dyDescent="0.3">
      <c r="P1364" s="35">
        <v>20.68</v>
      </c>
      <c r="Q1364">
        <v>305</v>
      </c>
      <c r="R1364" s="34">
        <f t="shared" si="24"/>
        <v>0.15518615507230232</v>
      </c>
    </row>
    <row r="1365" spans="16:18" x14ac:dyDescent="0.3">
      <c r="P1365" s="35">
        <v>20.68</v>
      </c>
      <c r="Q1365">
        <v>305</v>
      </c>
      <c r="R1365" s="34">
        <f t="shared" si="24"/>
        <v>0.1553000113856349</v>
      </c>
    </row>
    <row r="1366" spans="16:18" x14ac:dyDescent="0.3">
      <c r="P1366" s="35">
        <v>20.69</v>
      </c>
      <c r="Q1366">
        <v>305</v>
      </c>
      <c r="R1366" s="34">
        <f t="shared" si="24"/>
        <v>0.15541386769896748</v>
      </c>
    </row>
    <row r="1367" spans="16:18" x14ac:dyDescent="0.3">
      <c r="P1367" s="35">
        <v>20.69</v>
      </c>
      <c r="Q1367">
        <v>305</v>
      </c>
      <c r="R1367" s="34">
        <f t="shared" si="24"/>
        <v>0.15552772401230006</v>
      </c>
    </row>
    <row r="1368" spans="16:18" x14ac:dyDescent="0.3">
      <c r="P1368" s="35">
        <v>20.69</v>
      </c>
      <c r="Q1368">
        <v>305</v>
      </c>
      <c r="R1368" s="34">
        <f t="shared" si="24"/>
        <v>0.15564158032563263</v>
      </c>
    </row>
    <row r="1369" spans="16:18" x14ac:dyDescent="0.3">
      <c r="P1369" s="35">
        <v>20.69</v>
      </c>
      <c r="Q1369">
        <v>305</v>
      </c>
      <c r="R1369" s="34">
        <f t="shared" si="24"/>
        <v>0.15575543663896521</v>
      </c>
    </row>
    <row r="1370" spans="16:18" x14ac:dyDescent="0.3">
      <c r="P1370" s="35">
        <v>20.69</v>
      </c>
      <c r="Q1370">
        <v>305</v>
      </c>
      <c r="R1370" s="34">
        <f t="shared" si="24"/>
        <v>0.15586929295229779</v>
      </c>
    </row>
    <row r="1371" spans="16:18" x14ac:dyDescent="0.3">
      <c r="P1371" s="35">
        <v>20.69</v>
      </c>
      <c r="Q1371">
        <v>305</v>
      </c>
      <c r="R1371" s="34">
        <f t="shared" si="24"/>
        <v>0.15598314926563037</v>
      </c>
    </row>
    <row r="1372" spans="16:18" x14ac:dyDescent="0.3">
      <c r="P1372" s="35">
        <v>20.69</v>
      </c>
      <c r="Q1372">
        <v>305</v>
      </c>
      <c r="R1372" s="34">
        <f t="shared" si="24"/>
        <v>0.15609700557896294</v>
      </c>
    </row>
    <row r="1373" spans="16:18" x14ac:dyDescent="0.3">
      <c r="P1373" s="35">
        <v>20.7</v>
      </c>
      <c r="Q1373">
        <v>305</v>
      </c>
      <c r="R1373" s="34">
        <f t="shared" si="24"/>
        <v>0.15621086189229552</v>
      </c>
    </row>
    <row r="1374" spans="16:18" x14ac:dyDescent="0.3">
      <c r="P1374" s="35">
        <v>20.7</v>
      </c>
      <c r="Q1374">
        <v>305</v>
      </c>
      <c r="R1374" s="34">
        <f t="shared" si="24"/>
        <v>0.1563247182056281</v>
      </c>
    </row>
    <row r="1375" spans="16:18" x14ac:dyDescent="0.3">
      <c r="P1375" s="35">
        <v>20.7</v>
      </c>
      <c r="Q1375">
        <v>305</v>
      </c>
      <c r="R1375" s="34">
        <f t="shared" si="24"/>
        <v>0.15643857451896068</v>
      </c>
    </row>
    <row r="1376" spans="16:18" x14ac:dyDescent="0.3">
      <c r="P1376" s="35">
        <v>20.7</v>
      </c>
      <c r="Q1376">
        <v>305</v>
      </c>
      <c r="R1376" s="34">
        <f t="shared" si="24"/>
        <v>0.15655243083229325</v>
      </c>
    </row>
    <row r="1377" spans="16:18" x14ac:dyDescent="0.3">
      <c r="P1377" s="35">
        <v>20.7</v>
      </c>
      <c r="Q1377">
        <v>305</v>
      </c>
      <c r="R1377" s="34">
        <f t="shared" si="24"/>
        <v>0.15666628714562583</v>
      </c>
    </row>
    <row r="1378" spans="16:18" x14ac:dyDescent="0.3">
      <c r="P1378" s="35">
        <v>20.7</v>
      </c>
      <c r="Q1378">
        <v>305</v>
      </c>
      <c r="R1378" s="34">
        <f t="shared" si="24"/>
        <v>0.15678014345895841</v>
      </c>
    </row>
    <row r="1379" spans="16:18" x14ac:dyDescent="0.3">
      <c r="P1379" s="35">
        <v>20.7</v>
      </c>
      <c r="Q1379">
        <v>305</v>
      </c>
      <c r="R1379" s="34">
        <f t="shared" si="24"/>
        <v>0.15689399977229099</v>
      </c>
    </row>
    <row r="1380" spans="16:18" x14ac:dyDescent="0.3">
      <c r="P1380" s="35">
        <v>20.71</v>
      </c>
      <c r="Q1380">
        <v>305</v>
      </c>
      <c r="R1380" s="34">
        <f t="shared" si="24"/>
        <v>0.15700785608562356</v>
      </c>
    </row>
    <row r="1381" spans="16:18" x14ac:dyDescent="0.3">
      <c r="P1381" s="35">
        <v>20.71</v>
      </c>
      <c r="Q1381">
        <v>305</v>
      </c>
      <c r="R1381" s="34">
        <f t="shared" si="24"/>
        <v>0.15712171239895614</v>
      </c>
    </row>
    <row r="1382" spans="16:18" x14ac:dyDescent="0.3">
      <c r="P1382" s="35">
        <v>20.71</v>
      </c>
      <c r="Q1382">
        <v>305</v>
      </c>
      <c r="R1382" s="34">
        <f t="shared" si="24"/>
        <v>0.15723556871228872</v>
      </c>
    </row>
    <row r="1383" spans="16:18" x14ac:dyDescent="0.3">
      <c r="P1383" s="35">
        <v>20.72</v>
      </c>
      <c r="Q1383">
        <v>305</v>
      </c>
      <c r="R1383" s="34">
        <f t="shared" si="24"/>
        <v>0.1573494250256213</v>
      </c>
    </row>
    <row r="1384" spans="16:18" x14ac:dyDescent="0.3">
      <c r="P1384" s="35">
        <v>20.72</v>
      </c>
      <c r="Q1384">
        <v>305</v>
      </c>
      <c r="R1384" s="34">
        <f t="shared" si="24"/>
        <v>0.15746328133895388</v>
      </c>
    </row>
    <row r="1385" spans="16:18" x14ac:dyDescent="0.3">
      <c r="P1385" s="35">
        <v>20.73</v>
      </c>
      <c r="Q1385">
        <v>305</v>
      </c>
      <c r="R1385" s="34">
        <f t="shared" si="24"/>
        <v>0.15757713765228645</v>
      </c>
    </row>
    <row r="1386" spans="16:18" x14ac:dyDescent="0.3">
      <c r="P1386" s="35">
        <v>20.73</v>
      </c>
      <c r="Q1386">
        <v>305</v>
      </c>
      <c r="R1386" s="34">
        <f t="shared" si="24"/>
        <v>0.15769099396561903</v>
      </c>
    </row>
    <row r="1387" spans="16:18" x14ac:dyDescent="0.3">
      <c r="P1387" s="35">
        <v>20.73</v>
      </c>
      <c r="Q1387">
        <v>305</v>
      </c>
      <c r="R1387" s="34">
        <f t="shared" si="24"/>
        <v>0.15780485027895161</v>
      </c>
    </row>
    <row r="1388" spans="16:18" x14ac:dyDescent="0.3">
      <c r="P1388" s="35">
        <v>20.74</v>
      </c>
      <c r="Q1388">
        <v>305</v>
      </c>
      <c r="R1388" s="34">
        <f t="shared" si="24"/>
        <v>0.15791870659228419</v>
      </c>
    </row>
    <row r="1389" spans="16:18" x14ac:dyDescent="0.3">
      <c r="P1389" s="35">
        <v>20.74</v>
      </c>
      <c r="Q1389">
        <v>305</v>
      </c>
      <c r="R1389" s="34">
        <f t="shared" si="24"/>
        <v>0.15803256290561676</v>
      </c>
    </row>
    <row r="1390" spans="16:18" x14ac:dyDescent="0.3">
      <c r="P1390" s="35">
        <v>20.75</v>
      </c>
      <c r="Q1390">
        <v>305</v>
      </c>
      <c r="R1390" s="34">
        <f t="shared" si="24"/>
        <v>0.15814641921894934</v>
      </c>
    </row>
    <row r="1391" spans="16:18" x14ac:dyDescent="0.3">
      <c r="P1391" s="35">
        <v>20.75</v>
      </c>
      <c r="Q1391">
        <v>305</v>
      </c>
      <c r="R1391" s="34">
        <f t="shared" si="24"/>
        <v>0.15826027553228192</v>
      </c>
    </row>
    <row r="1392" spans="16:18" x14ac:dyDescent="0.3">
      <c r="P1392" s="35">
        <v>20.75</v>
      </c>
      <c r="Q1392">
        <v>305</v>
      </c>
      <c r="R1392" s="34">
        <f t="shared" si="24"/>
        <v>0.1583741318456145</v>
      </c>
    </row>
    <row r="1393" spans="16:18" x14ac:dyDescent="0.3">
      <c r="P1393" s="35">
        <v>20.76</v>
      </c>
      <c r="Q1393">
        <v>305</v>
      </c>
      <c r="R1393" s="34">
        <f t="shared" si="24"/>
        <v>0.15848798815894707</v>
      </c>
    </row>
    <row r="1394" spans="16:18" x14ac:dyDescent="0.3">
      <c r="P1394" s="35">
        <v>20.77</v>
      </c>
      <c r="Q1394">
        <v>305</v>
      </c>
      <c r="R1394" s="34">
        <f t="shared" si="24"/>
        <v>0.15860184447227965</v>
      </c>
    </row>
    <row r="1395" spans="16:18" x14ac:dyDescent="0.3">
      <c r="P1395" s="35">
        <v>20.77</v>
      </c>
      <c r="Q1395">
        <v>305</v>
      </c>
      <c r="R1395" s="34">
        <f t="shared" si="24"/>
        <v>0.15871570078561223</v>
      </c>
    </row>
    <row r="1396" spans="16:18" x14ac:dyDescent="0.3">
      <c r="P1396" s="35">
        <v>20.77</v>
      </c>
      <c r="Q1396">
        <v>305</v>
      </c>
      <c r="R1396" s="34">
        <f t="shared" si="24"/>
        <v>0.15882955709894481</v>
      </c>
    </row>
    <row r="1397" spans="16:18" x14ac:dyDescent="0.3">
      <c r="P1397" s="35">
        <v>20.78</v>
      </c>
      <c r="Q1397">
        <v>305</v>
      </c>
      <c r="R1397" s="34">
        <f t="shared" si="24"/>
        <v>0.15894341341227738</v>
      </c>
    </row>
    <row r="1398" spans="16:18" x14ac:dyDescent="0.3">
      <c r="P1398" s="35">
        <v>20.78</v>
      </c>
      <c r="Q1398">
        <v>305</v>
      </c>
      <c r="R1398" s="34">
        <f t="shared" si="24"/>
        <v>0.15905726972560996</v>
      </c>
    </row>
    <row r="1399" spans="16:18" x14ac:dyDescent="0.3">
      <c r="P1399" s="35">
        <v>20.78</v>
      </c>
      <c r="Q1399">
        <v>305</v>
      </c>
      <c r="R1399" s="34">
        <f t="shared" si="24"/>
        <v>0.15917112603894254</v>
      </c>
    </row>
    <row r="1400" spans="16:18" x14ac:dyDescent="0.3">
      <c r="P1400" s="35">
        <v>20.78</v>
      </c>
      <c r="Q1400">
        <v>305</v>
      </c>
      <c r="R1400" s="34">
        <f t="shared" si="24"/>
        <v>0.15928498235227512</v>
      </c>
    </row>
    <row r="1401" spans="16:18" x14ac:dyDescent="0.3">
      <c r="P1401" s="35">
        <v>20.79</v>
      </c>
      <c r="Q1401">
        <v>305</v>
      </c>
      <c r="R1401" s="34">
        <f t="shared" si="24"/>
        <v>0.15939883866560769</v>
      </c>
    </row>
    <row r="1402" spans="16:18" x14ac:dyDescent="0.3">
      <c r="P1402" s="35">
        <v>20.79</v>
      </c>
      <c r="Q1402">
        <v>305</v>
      </c>
      <c r="R1402" s="34">
        <f t="shared" si="24"/>
        <v>0.15951269497894027</v>
      </c>
    </row>
    <row r="1403" spans="16:18" x14ac:dyDescent="0.3">
      <c r="P1403" s="35">
        <v>20.79</v>
      </c>
      <c r="Q1403">
        <v>305</v>
      </c>
      <c r="R1403" s="34">
        <f t="shared" si="24"/>
        <v>0.15962655129227285</v>
      </c>
    </row>
    <row r="1404" spans="16:18" x14ac:dyDescent="0.3">
      <c r="P1404" s="35">
        <v>20.79</v>
      </c>
      <c r="Q1404">
        <v>305</v>
      </c>
      <c r="R1404" s="34">
        <f t="shared" si="24"/>
        <v>0.15974040760560543</v>
      </c>
    </row>
    <row r="1405" spans="16:18" x14ac:dyDescent="0.3">
      <c r="P1405" s="35">
        <v>20.79</v>
      </c>
      <c r="Q1405">
        <v>305</v>
      </c>
      <c r="R1405" s="34">
        <f t="shared" si="24"/>
        <v>0.15985426391893801</v>
      </c>
    </row>
    <row r="1406" spans="16:18" x14ac:dyDescent="0.3">
      <c r="P1406" s="35">
        <v>20.8</v>
      </c>
      <c r="Q1406">
        <v>305</v>
      </c>
      <c r="R1406" s="34">
        <f t="shared" si="24"/>
        <v>0.15996812023227058</v>
      </c>
    </row>
    <row r="1407" spans="16:18" x14ac:dyDescent="0.3">
      <c r="P1407" s="35">
        <v>20.8</v>
      </c>
      <c r="Q1407">
        <v>305</v>
      </c>
      <c r="R1407" s="34">
        <f t="shared" si="24"/>
        <v>0.16008197654560316</v>
      </c>
    </row>
    <row r="1408" spans="16:18" x14ac:dyDescent="0.3">
      <c r="P1408" s="35">
        <v>20.81</v>
      </c>
      <c r="Q1408">
        <v>305</v>
      </c>
      <c r="R1408" s="34">
        <f t="shared" si="24"/>
        <v>0.16019583285893574</v>
      </c>
    </row>
    <row r="1409" spans="16:18" x14ac:dyDescent="0.3">
      <c r="P1409" s="35">
        <v>20.81</v>
      </c>
      <c r="Q1409">
        <v>305</v>
      </c>
      <c r="R1409" s="34">
        <f t="shared" si="24"/>
        <v>0.16030968917226832</v>
      </c>
    </row>
    <row r="1410" spans="16:18" x14ac:dyDescent="0.3">
      <c r="P1410" s="35">
        <v>20.81</v>
      </c>
      <c r="Q1410">
        <v>305</v>
      </c>
      <c r="R1410" s="34">
        <f t="shared" si="24"/>
        <v>0.16042354548560089</v>
      </c>
    </row>
    <row r="1411" spans="16:18" x14ac:dyDescent="0.3">
      <c r="P1411" s="35">
        <v>20.81</v>
      </c>
      <c r="Q1411">
        <v>305</v>
      </c>
      <c r="R1411" s="34">
        <f t="shared" si="24"/>
        <v>0.16053740179893347</v>
      </c>
    </row>
    <row r="1412" spans="16:18" x14ac:dyDescent="0.3">
      <c r="P1412" s="35">
        <v>20.82</v>
      </c>
      <c r="Q1412">
        <v>305</v>
      </c>
      <c r="R1412" s="34">
        <f t="shared" ref="R1412:R1475" si="25">R1411+R$2</f>
        <v>0.16065125811226605</v>
      </c>
    </row>
    <row r="1413" spans="16:18" x14ac:dyDescent="0.3">
      <c r="P1413" s="35">
        <v>20.82</v>
      </c>
      <c r="Q1413">
        <v>305</v>
      </c>
      <c r="R1413" s="34">
        <f t="shared" si="25"/>
        <v>0.16076511442559863</v>
      </c>
    </row>
    <row r="1414" spans="16:18" x14ac:dyDescent="0.3">
      <c r="P1414" s="35">
        <v>20.82</v>
      </c>
      <c r="Q1414">
        <v>305</v>
      </c>
      <c r="R1414" s="34">
        <f t="shared" si="25"/>
        <v>0.1608789707389312</v>
      </c>
    </row>
    <row r="1415" spans="16:18" x14ac:dyDescent="0.3">
      <c r="P1415" s="35">
        <v>20.82</v>
      </c>
      <c r="Q1415">
        <v>305</v>
      </c>
      <c r="R1415" s="34">
        <f t="shared" si="25"/>
        <v>0.16099282705226378</v>
      </c>
    </row>
    <row r="1416" spans="16:18" x14ac:dyDescent="0.3">
      <c r="P1416" s="35">
        <v>20.82</v>
      </c>
      <c r="Q1416">
        <v>305</v>
      </c>
      <c r="R1416" s="34">
        <f t="shared" si="25"/>
        <v>0.16110668336559636</v>
      </c>
    </row>
    <row r="1417" spans="16:18" x14ac:dyDescent="0.3">
      <c r="P1417" s="35">
        <v>20.82</v>
      </c>
      <c r="Q1417">
        <v>305</v>
      </c>
      <c r="R1417" s="34">
        <f t="shared" si="25"/>
        <v>0.16122053967892894</v>
      </c>
    </row>
    <row r="1418" spans="16:18" x14ac:dyDescent="0.3">
      <c r="P1418" s="35">
        <v>20.82</v>
      </c>
      <c r="Q1418">
        <v>305</v>
      </c>
      <c r="R1418" s="34">
        <f t="shared" si="25"/>
        <v>0.16133439599226151</v>
      </c>
    </row>
    <row r="1419" spans="16:18" x14ac:dyDescent="0.3">
      <c r="P1419" s="35">
        <v>20.83</v>
      </c>
      <c r="Q1419">
        <v>305</v>
      </c>
      <c r="R1419" s="34">
        <f t="shared" si="25"/>
        <v>0.16144825230559409</v>
      </c>
    </row>
    <row r="1420" spans="16:18" x14ac:dyDescent="0.3">
      <c r="P1420" s="35">
        <v>20.83</v>
      </c>
      <c r="Q1420">
        <v>305</v>
      </c>
      <c r="R1420" s="34">
        <f t="shared" si="25"/>
        <v>0.16156210861892667</v>
      </c>
    </row>
    <row r="1421" spans="16:18" x14ac:dyDescent="0.3">
      <c r="P1421" s="35">
        <v>20.83</v>
      </c>
      <c r="Q1421">
        <v>305</v>
      </c>
      <c r="R1421" s="34">
        <f t="shared" si="25"/>
        <v>0.16167596493225925</v>
      </c>
    </row>
    <row r="1422" spans="16:18" x14ac:dyDescent="0.3">
      <c r="P1422" s="35">
        <v>20.83</v>
      </c>
      <c r="Q1422">
        <v>305</v>
      </c>
      <c r="R1422" s="34">
        <f t="shared" si="25"/>
        <v>0.16178982124559182</v>
      </c>
    </row>
    <row r="1423" spans="16:18" x14ac:dyDescent="0.3">
      <c r="P1423" s="35">
        <v>20.84</v>
      </c>
      <c r="Q1423">
        <v>305</v>
      </c>
      <c r="R1423" s="34">
        <f t="shared" si="25"/>
        <v>0.1619036775589244</v>
      </c>
    </row>
    <row r="1424" spans="16:18" x14ac:dyDescent="0.3">
      <c r="P1424" s="35">
        <v>20.84</v>
      </c>
      <c r="Q1424">
        <v>305</v>
      </c>
      <c r="R1424" s="34">
        <f t="shared" si="25"/>
        <v>0.16201753387225698</v>
      </c>
    </row>
    <row r="1425" spans="16:18" x14ac:dyDescent="0.3">
      <c r="P1425" s="35">
        <v>20.84</v>
      </c>
      <c r="Q1425">
        <v>305</v>
      </c>
      <c r="R1425" s="34">
        <f t="shared" si="25"/>
        <v>0.16213139018558956</v>
      </c>
    </row>
    <row r="1426" spans="16:18" x14ac:dyDescent="0.3">
      <c r="P1426" s="35">
        <v>20.84</v>
      </c>
      <c r="Q1426">
        <v>305</v>
      </c>
      <c r="R1426" s="34">
        <f t="shared" si="25"/>
        <v>0.16224524649892214</v>
      </c>
    </row>
    <row r="1427" spans="16:18" x14ac:dyDescent="0.3">
      <c r="P1427" s="35">
        <v>20.84</v>
      </c>
      <c r="Q1427">
        <v>305</v>
      </c>
      <c r="R1427" s="34">
        <f t="shared" si="25"/>
        <v>0.16235910281225471</v>
      </c>
    </row>
    <row r="1428" spans="16:18" x14ac:dyDescent="0.3">
      <c r="P1428" s="35">
        <v>20.85</v>
      </c>
      <c r="Q1428">
        <v>305</v>
      </c>
      <c r="R1428" s="34">
        <f t="shared" si="25"/>
        <v>0.16247295912558729</v>
      </c>
    </row>
    <row r="1429" spans="16:18" x14ac:dyDescent="0.3">
      <c r="P1429" s="35">
        <v>20.85</v>
      </c>
      <c r="Q1429">
        <v>305</v>
      </c>
      <c r="R1429" s="34">
        <f t="shared" si="25"/>
        <v>0.16258681543891987</v>
      </c>
    </row>
    <row r="1430" spans="16:18" x14ac:dyDescent="0.3">
      <c r="P1430" s="35">
        <v>20.85</v>
      </c>
      <c r="Q1430">
        <v>305</v>
      </c>
      <c r="R1430" s="34">
        <f t="shared" si="25"/>
        <v>0.16270067175225245</v>
      </c>
    </row>
    <row r="1431" spans="16:18" x14ac:dyDescent="0.3">
      <c r="P1431" s="35">
        <v>20.85</v>
      </c>
      <c r="Q1431">
        <v>305</v>
      </c>
      <c r="R1431" s="34">
        <f t="shared" si="25"/>
        <v>0.16281452806558502</v>
      </c>
    </row>
    <row r="1432" spans="16:18" x14ac:dyDescent="0.3">
      <c r="P1432" s="35">
        <v>20.86</v>
      </c>
      <c r="Q1432">
        <v>305</v>
      </c>
      <c r="R1432" s="34">
        <f t="shared" si="25"/>
        <v>0.1629283843789176</v>
      </c>
    </row>
    <row r="1433" spans="16:18" x14ac:dyDescent="0.3">
      <c r="P1433" s="35">
        <v>20.86</v>
      </c>
      <c r="Q1433">
        <v>305</v>
      </c>
      <c r="R1433" s="34">
        <f t="shared" si="25"/>
        <v>0.16304224069225018</v>
      </c>
    </row>
    <row r="1434" spans="16:18" x14ac:dyDescent="0.3">
      <c r="P1434" s="35">
        <v>20.86</v>
      </c>
      <c r="Q1434">
        <v>305</v>
      </c>
      <c r="R1434" s="34">
        <f t="shared" si="25"/>
        <v>0.16315609700558276</v>
      </c>
    </row>
    <row r="1435" spans="16:18" x14ac:dyDescent="0.3">
      <c r="P1435" s="35">
        <v>20.87</v>
      </c>
      <c r="Q1435">
        <v>305</v>
      </c>
      <c r="R1435" s="34">
        <f t="shared" si="25"/>
        <v>0.16326995331891533</v>
      </c>
    </row>
    <row r="1436" spans="16:18" x14ac:dyDescent="0.3">
      <c r="P1436" s="35">
        <v>20.87</v>
      </c>
      <c r="Q1436">
        <v>305</v>
      </c>
      <c r="R1436" s="34">
        <f t="shared" si="25"/>
        <v>0.16338380963224791</v>
      </c>
    </row>
    <row r="1437" spans="16:18" x14ac:dyDescent="0.3">
      <c r="P1437" s="35">
        <v>20.88</v>
      </c>
      <c r="Q1437">
        <v>305</v>
      </c>
      <c r="R1437" s="34">
        <f t="shared" si="25"/>
        <v>0.16349766594558049</v>
      </c>
    </row>
    <row r="1438" spans="16:18" x14ac:dyDescent="0.3">
      <c r="P1438" s="35">
        <v>20.88</v>
      </c>
      <c r="Q1438">
        <v>305</v>
      </c>
      <c r="R1438" s="34">
        <f t="shared" si="25"/>
        <v>0.16361152225891307</v>
      </c>
    </row>
    <row r="1439" spans="16:18" x14ac:dyDescent="0.3">
      <c r="P1439" s="35">
        <v>20.88</v>
      </c>
      <c r="Q1439">
        <v>305</v>
      </c>
      <c r="R1439" s="34">
        <f t="shared" si="25"/>
        <v>0.16372537857224564</v>
      </c>
    </row>
    <row r="1440" spans="16:18" x14ac:dyDescent="0.3">
      <c r="P1440" s="35">
        <v>20.88</v>
      </c>
      <c r="Q1440">
        <v>305</v>
      </c>
      <c r="R1440" s="34">
        <f t="shared" si="25"/>
        <v>0.16383923488557822</v>
      </c>
    </row>
    <row r="1441" spans="16:18" x14ac:dyDescent="0.3">
      <c r="P1441" s="35">
        <v>20.88</v>
      </c>
      <c r="Q1441">
        <v>305</v>
      </c>
      <c r="R1441" s="34">
        <f t="shared" si="25"/>
        <v>0.1639530911989108</v>
      </c>
    </row>
    <row r="1442" spans="16:18" x14ac:dyDescent="0.3">
      <c r="P1442" s="35">
        <v>20.89</v>
      </c>
      <c r="Q1442">
        <v>305</v>
      </c>
      <c r="R1442" s="34">
        <f t="shared" si="25"/>
        <v>0.16406694751224338</v>
      </c>
    </row>
    <row r="1443" spans="16:18" x14ac:dyDescent="0.3">
      <c r="P1443" s="35">
        <v>20.9</v>
      </c>
      <c r="Q1443">
        <v>305</v>
      </c>
      <c r="R1443" s="34">
        <f t="shared" si="25"/>
        <v>0.16418080382557595</v>
      </c>
    </row>
    <row r="1444" spans="16:18" x14ac:dyDescent="0.3">
      <c r="P1444" s="35">
        <v>20.91</v>
      </c>
      <c r="Q1444">
        <v>305</v>
      </c>
      <c r="R1444" s="34">
        <f t="shared" si="25"/>
        <v>0.16429466013890853</v>
      </c>
    </row>
    <row r="1445" spans="16:18" x14ac:dyDescent="0.3">
      <c r="P1445" s="35">
        <v>20.91</v>
      </c>
      <c r="Q1445">
        <v>305</v>
      </c>
      <c r="R1445" s="34">
        <f t="shared" si="25"/>
        <v>0.16440851645224111</v>
      </c>
    </row>
    <row r="1446" spans="16:18" x14ac:dyDescent="0.3">
      <c r="P1446" s="35">
        <v>20.91</v>
      </c>
      <c r="Q1446">
        <v>305</v>
      </c>
      <c r="R1446" s="34">
        <f t="shared" si="25"/>
        <v>0.16452237276557369</v>
      </c>
    </row>
    <row r="1447" spans="16:18" x14ac:dyDescent="0.3">
      <c r="P1447" s="35">
        <v>20.92</v>
      </c>
      <c r="Q1447">
        <v>305</v>
      </c>
      <c r="R1447" s="34">
        <f t="shared" si="25"/>
        <v>0.16463622907890627</v>
      </c>
    </row>
    <row r="1448" spans="16:18" x14ac:dyDescent="0.3">
      <c r="P1448" s="35">
        <v>20.92</v>
      </c>
      <c r="Q1448">
        <v>305</v>
      </c>
      <c r="R1448" s="34">
        <f t="shared" si="25"/>
        <v>0.16475008539223884</v>
      </c>
    </row>
    <row r="1449" spans="16:18" x14ac:dyDescent="0.3">
      <c r="P1449" s="35">
        <v>20.92</v>
      </c>
      <c r="Q1449">
        <v>305</v>
      </c>
      <c r="R1449" s="34">
        <f t="shared" si="25"/>
        <v>0.16486394170557142</v>
      </c>
    </row>
    <row r="1450" spans="16:18" x14ac:dyDescent="0.3">
      <c r="P1450" s="35">
        <v>20.93</v>
      </c>
      <c r="Q1450">
        <v>305</v>
      </c>
      <c r="R1450" s="34">
        <f t="shared" si="25"/>
        <v>0.164977798018904</v>
      </c>
    </row>
    <row r="1451" spans="16:18" x14ac:dyDescent="0.3">
      <c r="P1451" s="35">
        <v>20.93</v>
      </c>
      <c r="Q1451">
        <v>305</v>
      </c>
      <c r="R1451" s="34">
        <f t="shared" si="25"/>
        <v>0.16509165433223658</v>
      </c>
    </row>
    <row r="1452" spans="16:18" x14ac:dyDescent="0.3">
      <c r="P1452" s="35">
        <v>20.94</v>
      </c>
      <c r="Q1452">
        <v>305</v>
      </c>
      <c r="R1452" s="34">
        <f t="shared" si="25"/>
        <v>0.16520551064556915</v>
      </c>
    </row>
    <row r="1453" spans="16:18" x14ac:dyDescent="0.3">
      <c r="P1453" s="35">
        <v>20.94</v>
      </c>
      <c r="Q1453">
        <v>305</v>
      </c>
      <c r="R1453" s="34">
        <f t="shared" si="25"/>
        <v>0.16531936695890173</v>
      </c>
    </row>
    <row r="1454" spans="16:18" x14ac:dyDescent="0.3">
      <c r="P1454" s="35">
        <v>20.94</v>
      </c>
      <c r="Q1454">
        <v>305</v>
      </c>
      <c r="R1454" s="34">
        <f t="shared" si="25"/>
        <v>0.16543322327223431</v>
      </c>
    </row>
    <row r="1455" spans="16:18" x14ac:dyDescent="0.3">
      <c r="P1455" s="35">
        <v>20.95</v>
      </c>
      <c r="Q1455">
        <v>305</v>
      </c>
      <c r="R1455" s="34">
        <f t="shared" si="25"/>
        <v>0.16554707958556689</v>
      </c>
    </row>
    <row r="1456" spans="16:18" x14ac:dyDescent="0.3">
      <c r="P1456" s="35">
        <v>20.96</v>
      </c>
      <c r="Q1456">
        <v>305</v>
      </c>
      <c r="R1456" s="34">
        <f t="shared" si="25"/>
        <v>0.16566093589889946</v>
      </c>
    </row>
    <row r="1457" spans="16:18" x14ac:dyDescent="0.3">
      <c r="P1457" s="35">
        <v>20.96</v>
      </c>
      <c r="Q1457">
        <v>305</v>
      </c>
      <c r="R1457" s="34">
        <f t="shared" si="25"/>
        <v>0.16577479221223204</v>
      </c>
    </row>
    <row r="1458" spans="16:18" x14ac:dyDescent="0.3">
      <c r="P1458" s="35">
        <v>20.96</v>
      </c>
      <c r="Q1458">
        <v>305</v>
      </c>
      <c r="R1458" s="34">
        <f t="shared" si="25"/>
        <v>0.16588864852556462</v>
      </c>
    </row>
    <row r="1459" spans="16:18" x14ac:dyDescent="0.3">
      <c r="P1459" s="35">
        <v>20.96</v>
      </c>
      <c r="Q1459">
        <v>305</v>
      </c>
      <c r="R1459" s="34">
        <f t="shared" si="25"/>
        <v>0.1660025048388972</v>
      </c>
    </row>
    <row r="1460" spans="16:18" x14ac:dyDescent="0.3">
      <c r="P1460" s="35">
        <v>20.97</v>
      </c>
      <c r="Q1460">
        <v>305</v>
      </c>
      <c r="R1460" s="34">
        <f t="shared" si="25"/>
        <v>0.16611636115222977</v>
      </c>
    </row>
    <row r="1461" spans="16:18" x14ac:dyDescent="0.3">
      <c r="P1461" s="35">
        <v>20.97</v>
      </c>
      <c r="Q1461">
        <v>305</v>
      </c>
      <c r="R1461" s="34">
        <f t="shared" si="25"/>
        <v>0.16623021746556235</v>
      </c>
    </row>
    <row r="1462" spans="16:18" x14ac:dyDescent="0.3">
      <c r="P1462" s="35">
        <v>20.97</v>
      </c>
      <c r="Q1462">
        <v>305</v>
      </c>
      <c r="R1462" s="34">
        <f t="shared" si="25"/>
        <v>0.16634407377889493</v>
      </c>
    </row>
    <row r="1463" spans="16:18" x14ac:dyDescent="0.3">
      <c r="P1463" s="35">
        <v>20.98</v>
      </c>
      <c r="Q1463">
        <v>305</v>
      </c>
      <c r="R1463" s="34">
        <f t="shared" si="25"/>
        <v>0.16645793009222751</v>
      </c>
    </row>
    <row r="1464" spans="16:18" x14ac:dyDescent="0.3">
      <c r="P1464" s="35">
        <v>20.99</v>
      </c>
      <c r="Q1464">
        <v>305</v>
      </c>
      <c r="R1464" s="34">
        <f t="shared" si="25"/>
        <v>0.16657178640556008</v>
      </c>
    </row>
    <row r="1465" spans="16:18" x14ac:dyDescent="0.3">
      <c r="P1465" s="35">
        <v>20.99</v>
      </c>
      <c r="Q1465">
        <v>305</v>
      </c>
      <c r="R1465" s="34">
        <f t="shared" si="25"/>
        <v>0.16668564271889266</v>
      </c>
    </row>
    <row r="1466" spans="16:18" x14ac:dyDescent="0.3">
      <c r="P1466" s="35">
        <v>20.99</v>
      </c>
      <c r="Q1466">
        <v>305</v>
      </c>
      <c r="R1466" s="34">
        <f t="shared" si="25"/>
        <v>0.16679949903222524</v>
      </c>
    </row>
    <row r="1467" spans="16:18" x14ac:dyDescent="0.3">
      <c r="P1467" s="35">
        <v>20.99</v>
      </c>
      <c r="Q1467">
        <v>305</v>
      </c>
      <c r="R1467" s="34">
        <f t="shared" si="25"/>
        <v>0.16691335534555782</v>
      </c>
    </row>
    <row r="1468" spans="16:18" x14ac:dyDescent="0.3">
      <c r="P1468" s="35">
        <v>20.99</v>
      </c>
      <c r="Q1468">
        <v>305</v>
      </c>
      <c r="R1468" s="34">
        <f t="shared" si="25"/>
        <v>0.1670272116588904</v>
      </c>
    </row>
    <row r="1469" spans="16:18" x14ac:dyDescent="0.3">
      <c r="P1469" s="35">
        <v>20.99</v>
      </c>
      <c r="Q1469">
        <v>305</v>
      </c>
      <c r="R1469" s="34">
        <f t="shared" si="25"/>
        <v>0.16714106797222297</v>
      </c>
    </row>
    <row r="1470" spans="16:18" x14ac:dyDescent="0.3">
      <c r="P1470" s="35">
        <v>20.99</v>
      </c>
      <c r="Q1470">
        <v>305</v>
      </c>
      <c r="R1470" s="34">
        <f t="shared" si="25"/>
        <v>0.16725492428555555</v>
      </c>
    </row>
    <row r="1471" spans="16:18" x14ac:dyDescent="0.3">
      <c r="P1471" s="35">
        <v>20.99</v>
      </c>
      <c r="Q1471">
        <v>305</v>
      </c>
      <c r="R1471" s="34">
        <f t="shared" si="25"/>
        <v>0.16736878059888813</v>
      </c>
    </row>
    <row r="1472" spans="16:18" x14ac:dyDescent="0.3">
      <c r="P1472" s="35">
        <v>21.01</v>
      </c>
      <c r="Q1472">
        <v>305</v>
      </c>
      <c r="R1472" s="34">
        <f t="shared" si="25"/>
        <v>0.16748263691222071</v>
      </c>
    </row>
    <row r="1473" spans="16:18" x14ac:dyDescent="0.3">
      <c r="P1473" s="35">
        <v>21.01</v>
      </c>
      <c r="Q1473">
        <v>305</v>
      </c>
      <c r="R1473" s="34">
        <f t="shared" si="25"/>
        <v>0.16759649322555328</v>
      </c>
    </row>
    <row r="1474" spans="16:18" x14ac:dyDescent="0.3">
      <c r="P1474" s="35">
        <v>21.01</v>
      </c>
      <c r="Q1474">
        <v>305</v>
      </c>
      <c r="R1474" s="34">
        <f t="shared" si="25"/>
        <v>0.16771034953888586</v>
      </c>
    </row>
    <row r="1475" spans="16:18" x14ac:dyDescent="0.3">
      <c r="P1475" s="35">
        <v>21.01</v>
      </c>
      <c r="Q1475">
        <v>305</v>
      </c>
      <c r="R1475" s="34">
        <f t="shared" si="25"/>
        <v>0.16782420585221844</v>
      </c>
    </row>
    <row r="1476" spans="16:18" x14ac:dyDescent="0.3">
      <c r="P1476" s="35">
        <v>21.01</v>
      </c>
      <c r="Q1476">
        <v>305</v>
      </c>
      <c r="R1476" s="34">
        <f t="shared" ref="R1476:R1539" si="26">R1475+R$2</f>
        <v>0.16793806216555102</v>
      </c>
    </row>
    <row r="1477" spans="16:18" x14ac:dyDescent="0.3">
      <c r="P1477" s="35">
        <v>21.01</v>
      </c>
      <c r="Q1477">
        <v>305</v>
      </c>
      <c r="R1477" s="34">
        <f t="shared" si="26"/>
        <v>0.16805191847888359</v>
      </c>
    </row>
    <row r="1478" spans="16:18" x14ac:dyDescent="0.3">
      <c r="P1478" s="35">
        <v>21.01</v>
      </c>
      <c r="Q1478">
        <v>305</v>
      </c>
      <c r="R1478" s="34">
        <f t="shared" si="26"/>
        <v>0.16816577479221617</v>
      </c>
    </row>
    <row r="1479" spans="16:18" x14ac:dyDescent="0.3">
      <c r="P1479" s="35">
        <v>21.02</v>
      </c>
      <c r="Q1479">
        <v>305</v>
      </c>
      <c r="R1479" s="34">
        <f t="shared" si="26"/>
        <v>0.16827963110554875</v>
      </c>
    </row>
    <row r="1480" spans="16:18" x14ac:dyDescent="0.3">
      <c r="P1480" s="35">
        <v>21.02</v>
      </c>
      <c r="Q1480">
        <v>305</v>
      </c>
      <c r="R1480" s="34">
        <f t="shared" si="26"/>
        <v>0.16839348741888133</v>
      </c>
    </row>
    <row r="1481" spans="16:18" x14ac:dyDescent="0.3">
      <c r="P1481" s="35">
        <v>21.02</v>
      </c>
      <c r="Q1481">
        <v>305</v>
      </c>
      <c r="R1481" s="34">
        <f t="shared" si="26"/>
        <v>0.1685073437322139</v>
      </c>
    </row>
    <row r="1482" spans="16:18" x14ac:dyDescent="0.3">
      <c r="P1482" s="35">
        <v>21.02</v>
      </c>
      <c r="Q1482">
        <v>305</v>
      </c>
      <c r="R1482" s="34">
        <f t="shared" si="26"/>
        <v>0.16862120004554648</v>
      </c>
    </row>
    <row r="1483" spans="16:18" x14ac:dyDescent="0.3">
      <c r="P1483" s="35">
        <v>21.02</v>
      </c>
      <c r="Q1483">
        <v>305</v>
      </c>
      <c r="R1483" s="34">
        <f t="shared" si="26"/>
        <v>0.16873505635887906</v>
      </c>
    </row>
    <row r="1484" spans="16:18" x14ac:dyDescent="0.3">
      <c r="P1484" s="35">
        <v>21.02</v>
      </c>
      <c r="Q1484">
        <v>305</v>
      </c>
      <c r="R1484" s="34">
        <f t="shared" si="26"/>
        <v>0.16884891267221164</v>
      </c>
    </row>
    <row r="1485" spans="16:18" x14ac:dyDescent="0.3">
      <c r="P1485" s="35">
        <v>21.02</v>
      </c>
      <c r="Q1485">
        <v>305</v>
      </c>
      <c r="R1485" s="34">
        <f t="shared" si="26"/>
        <v>0.16896276898554421</v>
      </c>
    </row>
    <row r="1486" spans="16:18" x14ac:dyDescent="0.3">
      <c r="P1486" s="35">
        <v>21.03</v>
      </c>
      <c r="Q1486">
        <v>305</v>
      </c>
      <c r="R1486" s="34">
        <f t="shared" si="26"/>
        <v>0.16907662529887679</v>
      </c>
    </row>
    <row r="1487" spans="16:18" x14ac:dyDescent="0.3">
      <c r="P1487" s="35">
        <v>21.03</v>
      </c>
      <c r="Q1487">
        <v>305</v>
      </c>
      <c r="R1487" s="34">
        <f t="shared" si="26"/>
        <v>0.16919048161220937</v>
      </c>
    </row>
    <row r="1488" spans="16:18" x14ac:dyDescent="0.3">
      <c r="P1488" s="35">
        <v>21.03</v>
      </c>
      <c r="Q1488">
        <v>305</v>
      </c>
      <c r="R1488" s="34">
        <f t="shared" si="26"/>
        <v>0.16930433792554195</v>
      </c>
    </row>
    <row r="1489" spans="16:18" x14ac:dyDescent="0.3">
      <c r="P1489" s="35">
        <v>21.04</v>
      </c>
      <c r="Q1489">
        <v>305</v>
      </c>
      <c r="R1489" s="34">
        <f t="shared" si="26"/>
        <v>0.16941819423887453</v>
      </c>
    </row>
    <row r="1490" spans="16:18" x14ac:dyDescent="0.3">
      <c r="P1490" s="35">
        <v>21.04</v>
      </c>
      <c r="Q1490">
        <v>305</v>
      </c>
      <c r="R1490" s="34">
        <f t="shared" si="26"/>
        <v>0.1695320505522071</v>
      </c>
    </row>
    <row r="1491" spans="16:18" x14ac:dyDescent="0.3">
      <c r="P1491" s="35">
        <v>21.04</v>
      </c>
      <c r="Q1491">
        <v>305</v>
      </c>
      <c r="R1491" s="34">
        <f t="shared" si="26"/>
        <v>0.16964590686553968</v>
      </c>
    </row>
    <row r="1492" spans="16:18" x14ac:dyDescent="0.3">
      <c r="P1492" s="35">
        <v>21.04</v>
      </c>
      <c r="Q1492">
        <v>305</v>
      </c>
      <c r="R1492" s="34">
        <f t="shared" si="26"/>
        <v>0.16975976317887226</v>
      </c>
    </row>
    <row r="1493" spans="16:18" x14ac:dyDescent="0.3">
      <c r="P1493" s="35">
        <v>21.04</v>
      </c>
      <c r="Q1493">
        <v>305</v>
      </c>
      <c r="R1493" s="34">
        <f t="shared" si="26"/>
        <v>0.16987361949220484</v>
      </c>
    </row>
    <row r="1494" spans="16:18" x14ac:dyDescent="0.3">
      <c r="P1494" s="35">
        <v>21.04</v>
      </c>
      <c r="Q1494">
        <v>305</v>
      </c>
      <c r="R1494" s="34">
        <f t="shared" si="26"/>
        <v>0.16998747580553741</v>
      </c>
    </row>
    <row r="1495" spans="16:18" x14ac:dyDescent="0.3">
      <c r="P1495" s="35">
        <v>21.04</v>
      </c>
      <c r="Q1495">
        <v>305</v>
      </c>
      <c r="R1495" s="34">
        <f t="shared" si="26"/>
        <v>0.17010133211886999</v>
      </c>
    </row>
    <row r="1496" spans="16:18" x14ac:dyDescent="0.3">
      <c r="P1496" s="35">
        <v>21.05</v>
      </c>
      <c r="Q1496">
        <v>305</v>
      </c>
      <c r="R1496" s="34">
        <f t="shared" si="26"/>
        <v>0.17021518843220257</v>
      </c>
    </row>
    <row r="1497" spans="16:18" x14ac:dyDescent="0.3">
      <c r="P1497" s="35">
        <v>21.06</v>
      </c>
      <c r="Q1497">
        <v>305</v>
      </c>
      <c r="R1497" s="34">
        <f t="shared" si="26"/>
        <v>0.17032904474553515</v>
      </c>
    </row>
    <row r="1498" spans="16:18" x14ac:dyDescent="0.3">
      <c r="P1498" s="35">
        <v>21.06</v>
      </c>
      <c r="Q1498">
        <v>305</v>
      </c>
      <c r="R1498" s="34">
        <f t="shared" si="26"/>
        <v>0.17044290105886772</v>
      </c>
    </row>
    <row r="1499" spans="16:18" x14ac:dyDescent="0.3">
      <c r="P1499" s="35">
        <v>21.06</v>
      </c>
      <c r="Q1499">
        <v>305</v>
      </c>
      <c r="R1499" s="34">
        <f t="shared" si="26"/>
        <v>0.1705567573722003</v>
      </c>
    </row>
    <row r="1500" spans="16:18" x14ac:dyDescent="0.3">
      <c r="P1500" s="35">
        <v>21.06</v>
      </c>
      <c r="Q1500">
        <v>305</v>
      </c>
      <c r="R1500" s="34">
        <f t="shared" si="26"/>
        <v>0.17067061368553288</v>
      </c>
    </row>
    <row r="1501" spans="16:18" x14ac:dyDescent="0.3">
      <c r="P1501" s="35">
        <v>21.06</v>
      </c>
      <c r="Q1501">
        <v>305</v>
      </c>
      <c r="R1501" s="34">
        <f t="shared" si="26"/>
        <v>0.17078446999886546</v>
      </c>
    </row>
    <row r="1502" spans="16:18" x14ac:dyDescent="0.3">
      <c r="P1502" s="35">
        <v>21.06</v>
      </c>
      <c r="Q1502">
        <v>305</v>
      </c>
      <c r="R1502" s="34">
        <f t="shared" si="26"/>
        <v>0.17089832631219803</v>
      </c>
    </row>
    <row r="1503" spans="16:18" x14ac:dyDescent="0.3">
      <c r="P1503" s="35">
        <v>21.07</v>
      </c>
      <c r="Q1503">
        <v>305</v>
      </c>
      <c r="R1503" s="34">
        <f t="shared" si="26"/>
        <v>0.17101218262553061</v>
      </c>
    </row>
    <row r="1504" spans="16:18" x14ac:dyDescent="0.3">
      <c r="P1504" s="35">
        <v>21.07</v>
      </c>
      <c r="Q1504">
        <v>305</v>
      </c>
      <c r="R1504" s="34">
        <f t="shared" si="26"/>
        <v>0.17112603893886319</v>
      </c>
    </row>
    <row r="1505" spans="16:18" x14ac:dyDescent="0.3">
      <c r="P1505" s="35">
        <v>21.07</v>
      </c>
      <c r="Q1505">
        <v>305</v>
      </c>
      <c r="R1505" s="34">
        <f t="shared" si="26"/>
        <v>0.17123989525219577</v>
      </c>
    </row>
    <row r="1506" spans="16:18" x14ac:dyDescent="0.3">
      <c r="P1506" s="35">
        <v>21.07</v>
      </c>
      <c r="Q1506">
        <v>305</v>
      </c>
      <c r="R1506" s="34">
        <f t="shared" si="26"/>
        <v>0.17135375156552834</v>
      </c>
    </row>
    <row r="1507" spans="16:18" x14ac:dyDescent="0.3">
      <c r="P1507" s="35">
        <v>21.07</v>
      </c>
      <c r="Q1507">
        <v>305</v>
      </c>
      <c r="R1507" s="34">
        <f t="shared" si="26"/>
        <v>0.17146760787886092</v>
      </c>
    </row>
    <row r="1508" spans="16:18" x14ac:dyDescent="0.3">
      <c r="P1508" s="35">
        <v>21.07</v>
      </c>
      <c r="Q1508">
        <v>305</v>
      </c>
      <c r="R1508" s="34">
        <f t="shared" si="26"/>
        <v>0.1715814641921935</v>
      </c>
    </row>
    <row r="1509" spans="16:18" x14ac:dyDescent="0.3">
      <c r="P1509" s="35">
        <v>21.07</v>
      </c>
      <c r="Q1509">
        <v>305</v>
      </c>
      <c r="R1509" s="34">
        <f t="shared" si="26"/>
        <v>0.17169532050552608</v>
      </c>
    </row>
    <row r="1510" spans="16:18" x14ac:dyDescent="0.3">
      <c r="P1510" s="35">
        <v>21.07</v>
      </c>
      <c r="Q1510">
        <v>305</v>
      </c>
      <c r="R1510" s="34">
        <f t="shared" si="26"/>
        <v>0.17180917681885866</v>
      </c>
    </row>
    <row r="1511" spans="16:18" x14ac:dyDescent="0.3">
      <c r="P1511" s="35">
        <v>21.07</v>
      </c>
      <c r="Q1511">
        <v>305</v>
      </c>
      <c r="R1511" s="34">
        <f t="shared" si="26"/>
        <v>0.17192303313219123</v>
      </c>
    </row>
    <row r="1512" spans="16:18" x14ac:dyDescent="0.3">
      <c r="P1512" s="35">
        <v>21.07</v>
      </c>
      <c r="Q1512">
        <v>305</v>
      </c>
      <c r="R1512" s="34">
        <f t="shared" si="26"/>
        <v>0.17203688944552381</v>
      </c>
    </row>
    <row r="1513" spans="16:18" x14ac:dyDescent="0.3">
      <c r="P1513" s="35">
        <v>21.07</v>
      </c>
      <c r="Q1513">
        <v>305</v>
      </c>
      <c r="R1513" s="34">
        <f t="shared" si="26"/>
        <v>0.17215074575885639</v>
      </c>
    </row>
    <row r="1514" spans="16:18" x14ac:dyDescent="0.3">
      <c r="P1514" s="35">
        <v>21.07</v>
      </c>
      <c r="Q1514">
        <v>305</v>
      </c>
      <c r="R1514" s="34">
        <f t="shared" si="26"/>
        <v>0.17226460207218897</v>
      </c>
    </row>
    <row r="1515" spans="16:18" x14ac:dyDescent="0.3">
      <c r="P1515" s="35">
        <v>21.08</v>
      </c>
      <c r="Q1515">
        <v>305</v>
      </c>
      <c r="R1515" s="34">
        <f t="shared" si="26"/>
        <v>0.17237845838552154</v>
      </c>
    </row>
    <row r="1516" spans="16:18" x14ac:dyDescent="0.3">
      <c r="P1516" s="35">
        <v>21.08</v>
      </c>
      <c r="Q1516">
        <v>305</v>
      </c>
      <c r="R1516" s="34">
        <f t="shared" si="26"/>
        <v>0.17249231469885412</v>
      </c>
    </row>
    <row r="1517" spans="16:18" x14ac:dyDescent="0.3">
      <c r="P1517" s="35">
        <v>21.08</v>
      </c>
      <c r="Q1517">
        <v>305</v>
      </c>
      <c r="R1517" s="34">
        <f t="shared" si="26"/>
        <v>0.1726061710121867</v>
      </c>
    </row>
    <row r="1518" spans="16:18" x14ac:dyDescent="0.3">
      <c r="P1518" s="35">
        <v>21.09</v>
      </c>
      <c r="Q1518">
        <v>305</v>
      </c>
      <c r="R1518" s="34">
        <f t="shared" si="26"/>
        <v>0.17272002732551928</v>
      </c>
    </row>
    <row r="1519" spans="16:18" x14ac:dyDescent="0.3">
      <c r="P1519" s="35">
        <v>21.09</v>
      </c>
      <c r="Q1519">
        <v>305</v>
      </c>
      <c r="R1519" s="34">
        <f t="shared" si="26"/>
        <v>0.17283388363885185</v>
      </c>
    </row>
    <row r="1520" spans="16:18" x14ac:dyDescent="0.3">
      <c r="P1520" s="35">
        <v>21.1</v>
      </c>
      <c r="Q1520">
        <v>305</v>
      </c>
      <c r="R1520" s="34">
        <f t="shared" si="26"/>
        <v>0.17294773995218443</v>
      </c>
    </row>
    <row r="1521" spans="16:18" x14ac:dyDescent="0.3">
      <c r="P1521" s="35">
        <v>21.1</v>
      </c>
      <c r="Q1521">
        <v>305</v>
      </c>
      <c r="R1521" s="34">
        <f t="shared" si="26"/>
        <v>0.17306159626551701</v>
      </c>
    </row>
    <row r="1522" spans="16:18" x14ac:dyDescent="0.3">
      <c r="P1522" s="35">
        <v>21.11</v>
      </c>
      <c r="Q1522">
        <v>305</v>
      </c>
      <c r="R1522" s="34">
        <f t="shared" si="26"/>
        <v>0.17317545257884959</v>
      </c>
    </row>
    <row r="1523" spans="16:18" x14ac:dyDescent="0.3">
      <c r="P1523" s="35">
        <v>21.11</v>
      </c>
      <c r="Q1523">
        <v>305</v>
      </c>
      <c r="R1523" s="34">
        <f t="shared" si="26"/>
        <v>0.17328930889218216</v>
      </c>
    </row>
    <row r="1524" spans="16:18" x14ac:dyDescent="0.3">
      <c r="P1524" s="35">
        <v>21.11</v>
      </c>
      <c r="Q1524">
        <v>305</v>
      </c>
      <c r="R1524" s="34">
        <f t="shared" si="26"/>
        <v>0.17340316520551474</v>
      </c>
    </row>
    <row r="1525" spans="16:18" x14ac:dyDescent="0.3">
      <c r="P1525" s="35">
        <v>21.11</v>
      </c>
      <c r="Q1525">
        <v>305</v>
      </c>
      <c r="R1525" s="34">
        <f t="shared" si="26"/>
        <v>0.17351702151884732</v>
      </c>
    </row>
    <row r="1526" spans="16:18" x14ac:dyDescent="0.3">
      <c r="P1526" s="35">
        <v>21.12</v>
      </c>
      <c r="Q1526">
        <v>305</v>
      </c>
      <c r="R1526" s="34">
        <f t="shared" si="26"/>
        <v>0.1736308778321799</v>
      </c>
    </row>
    <row r="1527" spans="16:18" x14ac:dyDescent="0.3">
      <c r="P1527" s="35">
        <v>21.12</v>
      </c>
      <c r="Q1527">
        <v>305</v>
      </c>
      <c r="R1527" s="34">
        <f t="shared" si="26"/>
        <v>0.17374473414551247</v>
      </c>
    </row>
    <row r="1528" spans="16:18" x14ac:dyDescent="0.3">
      <c r="P1528" s="35">
        <v>21.13</v>
      </c>
      <c r="Q1528">
        <v>305</v>
      </c>
      <c r="R1528" s="34">
        <f t="shared" si="26"/>
        <v>0.17385859045884505</v>
      </c>
    </row>
    <row r="1529" spans="16:18" x14ac:dyDescent="0.3">
      <c r="P1529" s="35">
        <v>21.13</v>
      </c>
      <c r="Q1529">
        <v>305</v>
      </c>
      <c r="R1529" s="34">
        <f t="shared" si="26"/>
        <v>0.17397244677217763</v>
      </c>
    </row>
    <row r="1530" spans="16:18" x14ac:dyDescent="0.3">
      <c r="P1530" s="35">
        <v>21.14</v>
      </c>
      <c r="Q1530">
        <v>305</v>
      </c>
      <c r="R1530" s="34">
        <f t="shared" si="26"/>
        <v>0.17408630308551021</v>
      </c>
    </row>
    <row r="1531" spans="16:18" x14ac:dyDescent="0.3">
      <c r="P1531" s="35">
        <v>21.14</v>
      </c>
      <c r="Q1531">
        <v>305</v>
      </c>
      <c r="R1531" s="34">
        <f t="shared" si="26"/>
        <v>0.17420015939884279</v>
      </c>
    </row>
    <row r="1532" spans="16:18" x14ac:dyDescent="0.3">
      <c r="P1532" s="35">
        <v>21.14</v>
      </c>
      <c r="Q1532">
        <v>305</v>
      </c>
      <c r="R1532" s="34">
        <f t="shared" si="26"/>
        <v>0.17431401571217536</v>
      </c>
    </row>
    <row r="1533" spans="16:18" x14ac:dyDescent="0.3">
      <c r="P1533" s="35">
        <v>21.14</v>
      </c>
      <c r="Q1533">
        <v>305</v>
      </c>
      <c r="R1533" s="34">
        <f t="shared" si="26"/>
        <v>0.17442787202550794</v>
      </c>
    </row>
    <row r="1534" spans="16:18" x14ac:dyDescent="0.3">
      <c r="P1534" s="35">
        <v>21.15</v>
      </c>
      <c r="Q1534">
        <v>305</v>
      </c>
      <c r="R1534" s="34">
        <f t="shared" si="26"/>
        <v>0.17454172833884052</v>
      </c>
    </row>
    <row r="1535" spans="16:18" x14ac:dyDescent="0.3">
      <c r="P1535" s="35">
        <v>21.15</v>
      </c>
      <c r="Q1535">
        <v>305</v>
      </c>
      <c r="R1535" s="34">
        <f t="shared" si="26"/>
        <v>0.1746555846521731</v>
      </c>
    </row>
    <row r="1536" spans="16:18" x14ac:dyDescent="0.3">
      <c r="P1536" s="35">
        <v>21.16</v>
      </c>
      <c r="Q1536">
        <v>305</v>
      </c>
      <c r="R1536" s="34">
        <f t="shared" si="26"/>
        <v>0.17476944096550567</v>
      </c>
    </row>
    <row r="1537" spans="16:18" x14ac:dyDescent="0.3">
      <c r="P1537" s="35">
        <v>21.16</v>
      </c>
      <c r="Q1537">
        <v>305</v>
      </c>
      <c r="R1537" s="34">
        <f t="shared" si="26"/>
        <v>0.17488329727883825</v>
      </c>
    </row>
    <row r="1538" spans="16:18" x14ac:dyDescent="0.3">
      <c r="P1538" s="35">
        <v>21.17</v>
      </c>
      <c r="Q1538">
        <v>305</v>
      </c>
      <c r="R1538" s="34">
        <f t="shared" si="26"/>
        <v>0.17499715359217083</v>
      </c>
    </row>
    <row r="1539" spans="16:18" x14ac:dyDescent="0.3">
      <c r="P1539" s="35">
        <v>21.17</v>
      </c>
      <c r="Q1539">
        <v>305</v>
      </c>
      <c r="R1539" s="34">
        <f t="shared" si="26"/>
        <v>0.17511100990550341</v>
      </c>
    </row>
    <row r="1540" spans="16:18" x14ac:dyDescent="0.3">
      <c r="P1540" s="35">
        <v>21.17</v>
      </c>
      <c r="Q1540">
        <v>305</v>
      </c>
      <c r="R1540" s="34">
        <f t="shared" ref="R1540:R1603" si="27">R1539+R$2</f>
        <v>0.17522486621883598</v>
      </c>
    </row>
    <row r="1541" spans="16:18" x14ac:dyDescent="0.3">
      <c r="P1541" s="35">
        <v>21.18</v>
      </c>
      <c r="Q1541">
        <v>305</v>
      </c>
      <c r="R1541" s="34">
        <f t="shared" si="27"/>
        <v>0.17533872253216856</v>
      </c>
    </row>
    <row r="1542" spans="16:18" x14ac:dyDescent="0.3">
      <c r="P1542" s="35">
        <v>21.18</v>
      </c>
      <c r="Q1542">
        <v>305</v>
      </c>
      <c r="R1542" s="34">
        <f t="shared" si="27"/>
        <v>0.17545257884550114</v>
      </c>
    </row>
    <row r="1543" spans="16:18" x14ac:dyDescent="0.3">
      <c r="P1543" s="35">
        <v>21.18</v>
      </c>
      <c r="Q1543">
        <v>305</v>
      </c>
      <c r="R1543" s="34">
        <f t="shared" si="27"/>
        <v>0.17556643515883372</v>
      </c>
    </row>
    <row r="1544" spans="16:18" x14ac:dyDescent="0.3">
      <c r="P1544" s="35">
        <v>21.18</v>
      </c>
      <c r="Q1544">
        <v>305</v>
      </c>
      <c r="R1544" s="34">
        <f t="shared" si="27"/>
        <v>0.17568029147216629</v>
      </c>
    </row>
    <row r="1545" spans="16:18" x14ac:dyDescent="0.3">
      <c r="P1545" s="35">
        <v>21.19</v>
      </c>
      <c r="Q1545">
        <v>305</v>
      </c>
      <c r="R1545" s="34">
        <f t="shared" si="27"/>
        <v>0.17579414778549887</v>
      </c>
    </row>
    <row r="1546" spans="16:18" x14ac:dyDescent="0.3">
      <c r="P1546" s="35">
        <v>21.19</v>
      </c>
      <c r="Q1546">
        <v>305</v>
      </c>
      <c r="R1546" s="34">
        <f t="shared" si="27"/>
        <v>0.17590800409883145</v>
      </c>
    </row>
    <row r="1547" spans="16:18" x14ac:dyDescent="0.3">
      <c r="P1547" s="35">
        <v>21.2</v>
      </c>
      <c r="Q1547">
        <v>305</v>
      </c>
      <c r="R1547" s="34">
        <f t="shared" si="27"/>
        <v>0.17602186041216403</v>
      </c>
    </row>
    <row r="1548" spans="16:18" x14ac:dyDescent="0.3">
      <c r="P1548" s="35">
        <v>21.2</v>
      </c>
      <c r="Q1548">
        <v>305</v>
      </c>
      <c r="R1548" s="34">
        <f t="shared" si="27"/>
        <v>0.1761357167254966</v>
      </c>
    </row>
    <row r="1549" spans="16:18" x14ac:dyDescent="0.3">
      <c r="P1549" s="35">
        <v>21.2</v>
      </c>
      <c r="Q1549">
        <v>305</v>
      </c>
      <c r="R1549" s="34">
        <f t="shared" si="27"/>
        <v>0.17624957303882918</v>
      </c>
    </row>
    <row r="1550" spans="16:18" x14ac:dyDescent="0.3">
      <c r="P1550" s="35">
        <v>21.2</v>
      </c>
      <c r="Q1550">
        <v>305</v>
      </c>
      <c r="R1550" s="34">
        <f t="shared" si="27"/>
        <v>0.17636342935216176</v>
      </c>
    </row>
    <row r="1551" spans="16:18" x14ac:dyDescent="0.3">
      <c r="P1551" s="35">
        <v>21.21</v>
      </c>
      <c r="Q1551">
        <v>305</v>
      </c>
      <c r="R1551" s="34">
        <f t="shared" si="27"/>
        <v>0.17647728566549434</v>
      </c>
    </row>
    <row r="1552" spans="16:18" x14ac:dyDescent="0.3">
      <c r="P1552" s="35">
        <v>21.21</v>
      </c>
      <c r="Q1552">
        <v>305</v>
      </c>
      <c r="R1552" s="34">
        <f t="shared" si="27"/>
        <v>0.17659114197882692</v>
      </c>
    </row>
    <row r="1553" spans="16:18" x14ac:dyDescent="0.3">
      <c r="P1553" s="35">
        <v>21.21</v>
      </c>
      <c r="Q1553">
        <v>305</v>
      </c>
      <c r="R1553" s="34">
        <f t="shared" si="27"/>
        <v>0.17670499829215949</v>
      </c>
    </row>
    <row r="1554" spans="16:18" x14ac:dyDescent="0.3">
      <c r="P1554" s="35">
        <v>21.22</v>
      </c>
      <c r="Q1554">
        <v>305</v>
      </c>
      <c r="R1554" s="34">
        <f t="shared" si="27"/>
        <v>0.17681885460549207</v>
      </c>
    </row>
    <row r="1555" spans="16:18" x14ac:dyDescent="0.3">
      <c r="P1555" s="35">
        <v>21.22</v>
      </c>
      <c r="Q1555">
        <v>305</v>
      </c>
      <c r="R1555" s="34">
        <f t="shared" si="27"/>
        <v>0.17693271091882465</v>
      </c>
    </row>
    <row r="1556" spans="16:18" x14ac:dyDescent="0.3">
      <c r="P1556" s="35">
        <v>21.22</v>
      </c>
      <c r="Q1556">
        <v>305</v>
      </c>
      <c r="R1556" s="34">
        <f t="shared" si="27"/>
        <v>0.17704656723215723</v>
      </c>
    </row>
    <row r="1557" spans="16:18" x14ac:dyDescent="0.3">
      <c r="P1557" s="35">
        <v>21.22</v>
      </c>
      <c r="Q1557">
        <v>305</v>
      </c>
      <c r="R1557" s="34">
        <f t="shared" si="27"/>
        <v>0.1771604235454898</v>
      </c>
    </row>
    <row r="1558" spans="16:18" x14ac:dyDescent="0.3">
      <c r="P1558" s="35">
        <v>21.22</v>
      </c>
      <c r="Q1558">
        <v>305</v>
      </c>
      <c r="R1558" s="34">
        <f t="shared" si="27"/>
        <v>0.17727427985882238</v>
      </c>
    </row>
    <row r="1559" spans="16:18" x14ac:dyDescent="0.3">
      <c r="P1559" s="35">
        <v>21.22</v>
      </c>
      <c r="Q1559">
        <v>305</v>
      </c>
      <c r="R1559" s="34">
        <f t="shared" si="27"/>
        <v>0.17738813617215496</v>
      </c>
    </row>
    <row r="1560" spans="16:18" x14ac:dyDescent="0.3">
      <c r="P1560" s="35">
        <v>21.23</v>
      </c>
      <c r="Q1560">
        <v>305</v>
      </c>
      <c r="R1560" s="34">
        <f t="shared" si="27"/>
        <v>0.17750199248548754</v>
      </c>
    </row>
    <row r="1561" spans="16:18" x14ac:dyDescent="0.3">
      <c r="P1561" s="35">
        <v>21.23</v>
      </c>
      <c r="Q1561">
        <v>305</v>
      </c>
      <c r="R1561" s="34">
        <f t="shared" si="27"/>
        <v>0.17761584879882011</v>
      </c>
    </row>
    <row r="1562" spans="16:18" x14ac:dyDescent="0.3">
      <c r="P1562" s="35">
        <v>21.24</v>
      </c>
      <c r="Q1562">
        <v>305</v>
      </c>
      <c r="R1562" s="34">
        <f t="shared" si="27"/>
        <v>0.17772970511215269</v>
      </c>
    </row>
    <row r="1563" spans="16:18" x14ac:dyDescent="0.3">
      <c r="P1563" s="35">
        <v>21.24</v>
      </c>
      <c r="Q1563">
        <v>305</v>
      </c>
      <c r="R1563" s="34">
        <f t="shared" si="27"/>
        <v>0.17784356142548527</v>
      </c>
    </row>
    <row r="1564" spans="16:18" x14ac:dyDescent="0.3">
      <c r="P1564" s="35">
        <v>21.25</v>
      </c>
      <c r="Q1564">
        <v>305</v>
      </c>
      <c r="R1564" s="34">
        <f t="shared" si="27"/>
        <v>0.17795741773881785</v>
      </c>
    </row>
    <row r="1565" spans="16:18" x14ac:dyDescent="0.3">
      <c r="P1565" s="35">
        <v>21.25</v>
      </c>
      <c r="Q1565">
        <v>305</v>
      </c>
      <c r="R1565" s="34">
        <f t="shared" si="27"/>
        <v>0.17807127405215042</v>
      </c>
    </row>
    <row r="1566" spans="16:18" x14ac:dyDescent="0.3">
      <c r="P1566" s="35">
        <v>21.25</v>
      </c>
      <c r="Q1566">
        <v>305</v>
      </c>
      <c r="R1566" s="34">
        <f t="shared" si="27"/>
        <v>0.178185130365483</v>
      </c>
    </row>
    <row r="1567" spans="16:18" x14ac:dyDescent="0.3">
      <c r="P1567" s="35">
        <v>21.25</v>
      </c>
      <c r="Q1567">
        <v>305</v>
      </c>
      <c r="R1567" s="34">
        <f t="shared" si="27"/>
        <v>0.17829898667881558</v>
      </c>
    </row>
    <row r="1568" spans="16:18" x14ac:dyDescent="0.3">
      <c r="P1568" s="35">
        <v>21.25</v>
      </c>
      <c r="Q1568">
        <v>305</v>
      </c>
      <c r="R1568" s="34">
        <f t="shared" si="27"/>
        <v>0.17841284299214816</v>
      </c>
    </row>
    <row r="1569" spans="16:18" x14ac:dyDescent="0.3">
      <c r="P1569" s="35">
        <v>21.26</v>
      </c>
      <c r="Q1569">
        <v>305</v>
      </c>
      <c r="R1569" s="34">
        <f t="shared" si="27"/>
        <v>0.17852669930548073</v>
      </c>
    </row>
    <row r="1570" spans="16:18" x14ac:dyDescent="0.3">
      <c r="P1570" s="35">
        <v>21.26</v>
      </c>
      <c r="Q1570">
        <v>305</v>
      </c>
      <c r="R1570" s="34">
        <f t="shared" si="27"/>
        <v>0.17864055561881331</v>
      </c>
    </row>
    <row r="1571" spans="16:18" x14ac:dyDescent="0.3">
      <c r="P1571" s="35">
        <v>21.26</v>
      </c>
      <c r="Q1571">
        <v>305</v>
      </c>
      <c r="R1571" s="34">
        <f t="shared" si="27"/>
        <v>0.17875441193214589</v>
      </c>
    </row>
    <row r="1572" spans="16:18" x14ac:dyDescent="0.3">
      <c r="P1572" s="35">
        <v>21.26</v>
      </c>
      <c r="Q1572">
        <v>305</v>
      </c>
      <c r="R1572" s="34">
        <f t="shared" si="27"/>
        <v>0.17886826824547847</v>
      </c>
    </row>
    <row r="1573" spans="16:18" x14ac:dyDescent="0.3">
      <c r="P1573" s="35">
        <v>21.26</v>
      </c>
      <c r="Q1573">
        <v>305</v>
      </c>
      <c r="R1573" s="34">
        <f t="shared" si="27"/>
        <v>0.17898212455881105</v>
      </c>
    </row>
    <row r="1574" spans="16:18" x14ac:dyDescent="0.3">
      <c r="P1574" s="35">
        <v>21.27</v>
      </c>
      <c r="Q1574">
        <v>305</v>
      </c>
      <c r="R1574" s="34">
        <f t="shared" si="27"/>
        <v>0.17909598087214362</v>
      </c>
    </row>
    <row r="1575" spans="16:18" x14ac:dyDescent="0.3">
      <c r="P1575" s="35">
        <v>21.27</v>
      </c>
      <c r="Q1575">
        <v>305</v>
      </c>
      <c r="R1575" s="34">
        <f t="shared" si="27"/>
        <v>0.1792098371854762</v>
      </c>
    </row>
    <row r="1576" spans="16:18" x14ac:dyDescent="0.3">
      <c r="P1576" s="35">
        <v>21.27</v>
      </c>
      <c r="Q1576">
        <v>305</v>
      </c>
      <c r="R1576" s="34">
        <f t="shared" si="27"/>
        <v>0.17932369349880878</v>
      </c>
    </row>
    <row r="1577" spans="16:18" x14ac:dyDescent="0.3">
      <c r="P1577" s="35">
        <v>21.27</v>
      </c>
      <c r="Q1577">
        <v>305</v>
      </c>
      <c r="R1577" s="34">
        <f t="shared" si="27"/>
        <v>0.17943754981214136</v>
      </c>
    </row>
    <row r="1578" spans="16:18" x14ac:dyDescent="0.3">
      <c r="P1578" s="35">
        <v>21.27</v>
      </c>
      <c r="Q1578">
        <v>305</v>
      </c>
      <c r="R1578" s="34">
        <f t="shared" si="27"/>
        <v>0.17955140612547393</v>
      </c>
    </row>
    <row r="1579" spans="16:18" x14ac:dyDescent="0.3">
      <c r="P1579" s="35">
        <v>21.27</v>
      </c>
      <c r="Q1579">
        <v>305</v>
      </c>
      <c r="R1579" s="34">
        <f t="shared" si="27"/>
        <v>0.17966526243880651</v>
      </c>
    </row>
    <row r="1580" spans="16:18" x14ac:dyDescent="0.3">
      <c r="P1580" s="35">
        <v>21.27</v>
      </c>
      <c r="Q1580">
        <v>305</v>
      </c>
      <c r="R1580" s="34">
        <f t="shared" si="27"/>
        <v>0.17977911875213909</v>
      </c>
    </row>
    <row r="1581" spans="16:18" x14ac:dyDescent="0.3">
      <c r="P1581" s="35">
        <v>21.27</v>
      </c>
      <c r="Q1581">
        <v>305</v>
      </c>
      <c r="R1581" s="34">
        <f t="shared" si="27"/>
        <v>0.17989297506547167</v>
      </c>
    </row>
    <row r="1582" spans="16:18" x14ac:dyDescent="0.3">
      <c r="P1582" s="35">
        <v>21.28</v>
      </c>
      <c r="Q1582">
        <v>305</v>
      </c>
      <c r="R1582" s="34">
        <f t="shared" si="27"/>
        <v>0.18000683137880424</v>
      </c>
    </row>
    <row r="1583" spans="16:18" x14ac:dyDescent="0.3">
      <c r="P1583" s="35">
        <v>21.29</v>
      </c>
      <c r="Q1583">
        <v>305</v>
      </c>
      <c r="R1583" s="34">
        <f t="shared" si="27"/>
        <v>0.18012068769213682</v>
      </c>
    </row>
    <row r="1584" spans="16:18" x14ac:dyDescent="0.3">
      <c r="P1584" s="35">
        <v>21.3</v>
      </c>
      <c r="Q1584">
        <v>305</v>
      </c>
      <c r="R1584" s="34">
        <f t="shared" si="27"/>
        <v>0.1802345440054694</v>
      </c>
    </row>
    <row r="1585" spans="16:18" x14ac:dyDescent="0.3">
      <c r="P1585" s="35">
        <v>21.3</v>
      </c>
      <c r="Q1585">
        <v>305</v>
      </c>
      <c r="R1585" s="34">
        <f t="shared" si="27"/>
        <v>0.18034840031880198</v>
      </c>
    </row>
    <row r="1586" spans="16:18" x14ac:dyDescent="0.3">
      <c r="P1586" s="35">
        <v>21.3</v>
      </c>
      <c r="Q1586">
        <v>305</v>
      </c>
      <c r="R1586" s="34">
        <f t="shared" si="27"/>
        <v>0.18046225663213455</v>
      </c>
    </row>
    <row r="1587" spans="16:18" x14ac:dyDescent="0.3">
      <c r="P1587" s="35">
        <v>21.3</v>
      </c>
      <c r="Q1587">
        <v>305</v>
      </c>
      <c r="R1587" s="34">
        <f t="shared" si="27"/>
        <v>0.18057611294546713</v>
      </c>
    </row>
    <row r="1588" spans="16:18" x14ac:dyDescent="0.3">
      <c r="P1588" s="35">
        <v>21.31</v>
      </c>
      <c r="Q1588">
        <v>305</v>
      </c>
      <c r="R1588" s="34">
        <f t="shared" si="27"/>
        <v>0.18068996925879971</v>
      </c>
    </row>
    <row r="1589" spans="16:18" x14ac:dyDescent="0.3">
      <c r="P1589" s="35">
        <v>21.31</v>
      </c>
      <c r="Q1589">
        <v>305</v>
      </c>
      <c r="R1589" s="34">
        <f t="shared" si="27"/>
        <v>0.18080382557213229</v>
      </c>
    </row>
    <row r="1590" spans="16:18" x14ac:dyDescent="0.3">
      <c r="P1590" s="35">
        <v>21.31</v>
      </c>
      <c r="Q1590">
        <v>305</v>
      </c>
      <c r="R1590" s="34">
        <f t="shared" si="27"/>
        <v>0.18091768188546486</v>
      </c>
    </row>
    <row r="1591" spans="16:18" x14ac:dyDescent="0.3">
      <c r="P1591" s="35">
        <v>21.32</v>
      </c>
      <c r="Q1591">
        <v>305</v>
      </c>
      <c r="R1591" s="34">
        <f t="shared" si="27"/>
        <v>0.18103153819879744</v>
      </c>
    </row>
    <row r="1592" spans="16:18" x14ac:dyDescent="0.3">
      <c r="P1592" s="35">
        <v>21.32</v>
      </c>
      <c r="Q1592">
        <v>305</v>
      </c>
      <c r="R1592" s="34">
        <f t="shared" si="27"/>
        <v>0.18114539451213002</v>
      </c>
    </row>
    <row r="1593" spans="16:18" x14ac:dyDescent="0.3">
      <c r="P1593" s="35">
        <v>21.33</v>
      </c>
      <c r="Q1593">
        <v>305</v>
      </c>
      <c r="R1593" s="34">
        <f t="shared" si="27"/>
        <v>0.1812592508254626</v>
      </c>
    </row>
    <row r="1594" spans="16:18" x14ac:dyDescent="0.3">
      <c r="P1594" s="35">
        <v>21.33</v>
      </c>
      <c r="Q1594">
        <v>305</v>
      </c>
      <c r="R1594" s="34">
        <f t="shared" si="27"/>
        <v>0.18137310713879518</v>
      </c>
    </row>
    <row r="1595" spans="16:18" x14ac:dyDescent="0.3">
      <c r="P1595" s="35">
        <v>21.33</v>
      </c>
      <c r="Q1595">
        <v>305</v>
      </c>
      <c r="R1595" s="34">
        <f t="shared" si="27"/>
        <v>0.18148696345212775</v>
      </c>
    </row>
    <row r="1596" spans="16:18" x14ac:dyDescent="0.3">
      <c r="P1596" s="35">
        <v>21.33</v>
      </c>
      <c r="Q1596">
        <v>305</v>
      </c>
      <c r="R1596" s="34">
        <f t="shared" si="27"/>
        <v>0.18160081976546033</v>
      </c>
    </row>
    <row r="1597" spans="16:18" x14ac:dyDescent="0.3">
      <c r="P1597" s="35">
        <v>21.33</v>
      </c>
      <c r="Q1597">
        <v>305</v>
      </c>
      <c r="R1597" s="34">
        <f t="shared" si="27"/>
        <v>0.18171467607879291</v>
      </c>
    </row>
    <row r="1598" spans="16:18" x14ac:dyDescent="0.3">
      <c r="P1598" s="35">
        <v>21.34</v>
      </c>
      <c r="Q1598">
        <v>305</v>
      </c>
      <c r="R1598" s="34">
        <f t="shared" si="27"/>
        <v>0.18182853239212549</v>
      </c>
    </row>
    <row r="1599" spans="16:18" x14ac:dyDescent="0.3">
      <c r="P1599" s="35">
        <v>21.34</v>
      </c>
      <c r="Q1599">
        <v>305</v>
      </c>
      <c r="R1599" s="34">
        <f t="shared" si="27"/>
        <v>0.18194238870545806</v>
      </c>
    </row>
    <row r="1600" spans="16:18" x14ac:dyDescent="0.3">
      <c r="P1600" s="35">
        <v>21.34</v>
      </c>
      <c r="Q1600">
        <v>305</v>
      </c>
      <c r="R1600" s="34">
        <f t="shared" si="27"/>
        <v>0.18205624501879064</v>
      </c>
    </row>
    <row r="1601" spans="16:18" x14ac:dyDescent="0.3">
      <c r="P1601" s="35">
        <v>21.34</v>
      </c>
      <c r="Q1601">
        <v>305</v>
      </c>
      <c r="R1601" s="34">
        <f t="shared" si="27"/>
        <v>0.18217010133212322</v>
      </c>
    </row>
    <row r="1602" spans="16:18" x14ac:dyDescent="0.3">
      <c r="P1602" s="35">
        <v>21.34</v>
      </c>
      <c r="Q1602">
        <v>305</v>
      </c>
      <c r="R1602" s="34">
        <f t="shared" si="27"/>
        <v>0.1822839576454558</v>
      </c>
    </row>
    <row r="1603" spans="16:18" x14ac:dyDescent="0.3">
      <c r="P1603" s="35">
        <v>21.34</v>
      </c>
      <c r="Q1603">
        <v>305</v>
      </c>
      <c r="R1603" s="34">
        <f t="shared" si="27"/>
        <v>0.18239781395878837</v>
      </c>
    </row>
    <row r="1604" spans="16:18" x14ac:dyDescent="0.3">
      <c r="P1604" s="35">
        <v>21.34</v>
      </c>
      <c r="Q1604">
        <v>305</v>
      </c>
      <c r="R1604" s="34">
        <f t="shared" ref="R1604:R1667" si="28">R1603+R$2</f>
        <v>0.18251167027212095</v>
      </c>
    </row>
    <row r="1605" spans="16:18" x14ac:dyDescent="0.3">
      <c r="P1605" s="35">
        <v>21.34</v>
      </c>
      <c r="Q1605">
        <v>305</v>
      </c>
      <c r="R1605" s="34">
        <f t="shared" si="28"/>
        <v>0.18262552658545353</v>
      </c>
    </row>
    <row r="1606" spans="16:18" x14ac:dyDescent="0.3">
      <c r="P1606" s="35">
        <v>21.35</v>
      </c>
      <c r="Q1606">
        <v>305</v>
      </c>
      <c r="R1606" s="34">
        <f t="shared" si="28"/>
        <v>0.18273938289878611</v>
      </c>
    </row>
    <row r="1607" spans="16:18" x14ac:dyDescent="0.3">
      <c r="P1607" s="35">
        <v>21.35</v>
      </c>
      <c r="Q1607">
        <v>305</v>
      </c>
      <c r="R1607" s="34">
        <f t="shared" si="28"/>
        <v>0.18285323921211868</v>
      </c>
    </row>
    <row r="1608" spans="16:18" x14ac:dyDescent="0.3">
      <c r="P1608" s="35">
        <v>21.35</v>
      </c>
      <c r="Q1608">
        <v>305</v>
      </c>
      <c r="R1608" s="34">
        <f t="shared" si="28"/>
        <v>0.18296709552545126</v>
      </c>
    </row>
    <row r="1609" spans="16:18" x14ac:dyDescent="0.3">
      <c r="P1609" s="35">
        <v>21.35</v>
      </c>
      <c r="Q1609">
        <v>305</v>
      </c>
      <c r="R1609" s="34">
        <f t="shared" si="28"/>
        <v>0.18308095183878384</v>
      </c>
    </row>
    <row r="1610" spans="16:18" x14ac:dyDescent="0.3">
      <c r="P1610" s="35">
        <v>21.35</v>
      </c>
      <c r="Q1610">
        <v>305</v>
      </c>
      <c r="R1610" s="34">
        <f t="shared" si="28"/>
        <v>0.18319480815211642</v>
      </c>
    </row>
    <row r="1611" spans="16:18" x14ac:dyDescent="0.3">
      <c r="P1611" s="35">
        <v>21.36</v>
      </c>
      <c r="Q1611">
        <v>305</v>
      </c>
      <c r="R1611" s="34">
        <f t="shared" si="28"/>
        <v>0.18330866446544899</v>
      </c>
    </row>
    <row r="1612" spans="16:18" x14ac:dyDescent="0.3">
      <c r="P1612" s="35">
        <v>21.36</v>
      </c>
      <c r="Q1612">
        <v>305</v>
      </c>
      <c r="R1612" s="34">
        <f t="shared" si="28"/>
        <v>0.18342252077878157</v>
      </c>
    </row>
    <row r="1613" spans="16:18" x14ac:dyDescent="0.3">
      <c r="P1613" s="35">
        <v>21.37</v>
      </c>
      <c r="Q1613">
        <v>305</v>
      </c>
      <c r="R1613" s="34">
        <f t="shared" si="28"/>
        <v>0.18353637709211415</v>
      </c>
    </row>
    <row r="1614" spans="16:18" x14ac:dyDescent="0.3">
      <c r="P1614" s="35">
        <v>21.37</v>
      </c>
      <c r="Q1614">
        <v>305</v>
      </c>
      <c r="R1614" s="34">
        <f t="shared" si="28"/>
        <v>0.18365023340544673</v>
      </c>
    </row>
    <row r="1615" spans="16:18" x14ac:dyDescent="0.3">
      <c r="P1615" s="35">
        <v>21.37</v>
      </c>
      <c r="Q1615">
        <v>305</v>
      </c>
      <c r="R1615" s="34">
        <f t="shared" si="28"/>
        <v>0.18376408971877931</v>
      </c>
    </row>
    <row r="1616" spans="16:18" x14ac:dyDescent="0.3">
      <c r="P1616" s="35">
        <v>21.37</v>
      </c>
      <c r="Q1616">
        <v>305</v>
      </c>
      <c r="R1616" s="34">
        <f t="shared" si="28"/>
        <v>0.18387794603211188</v>
      </c>
    </row>
    <row r="1617" spans="16:18" x14ac:dyDescent="0.3">
      <c r="P1617" s="35">
        <v>21.38</v>
      </c>
      <c r="Q1617">
        <v>305</v>
      </c>
      <c r="R1617" s="34">
        <f t="shared" si="28"/>
        <v>0.18399180234544446</v>
      </c>
    </row>
    <row r="1618" spans="16:18" x14ac:dyDescent="0.3">
      <c r="P1618" s="35">
        <v>21.38</v>
      </c>
      <c r="Q1618">
        <v>305</v>
      </c>
      <c r="R1618" s="34">
        <f t="shared" si="28"/>
        <v>0.18410565865877704</v>
      </c>
    </row>
    <row r="1619" spans="16:18" x14ac:dyDescent="0.3">
      <c r="P1619" s="35">
        <v>21.39</v>
      </c>
      <c r="Q1619">
        <v>305</v>
      </c>
      <c r="R1619" s="34">
        <f t="shared" si="28"/>
        <v>0.18421951497210962</v>
      </c>
    </row>
    <row r="1620" spans="16:18" x14ac:dyDescent="0.3">
      <c r="P1620" s="35">
        <v>21.39</v>
      </c>
      <c r="Q1620">
        <v>305</v>
      </c>
      <c r="R1620" s="34">
        <f t="shared" si="28"/>
        <v>0.18433337128544219</v>
      </c>
    </row>
    <row r="1621" spans="16:18" x14ac:dyDescent="0.3">
      <c r="P1621" s="35">
        <v>21.39</v>
      </c>
      <c r="Q1621">
        <v>305</v>
      </c>
      <c r="R1621" s="34">
        <f t="shared" si="28"/>
        <v>0.18444722759877477</v>
      </c>
    </row>
    <row r="1622" spans="16:18" x14ac:dyDescent="0.3">
      <c r="P1622" s="35">
        <v>21.39</v>
      </c>
      <c r="Q1622">
        <v>305</v>
      </c>
      <c r="R1622" s="34">
        <f t="shared" si="28"/>
        <v>0.18456108391210735</v>
      </c>
    </row>
    <row r="1623" spans="16:18" x14ac:dyDescent="0.3">
      <c r="P1623" s="35">
        <v>21.39</v>
      </c>
      <c r="Q1623">
        <v>305</v>
      </c>
      <c r="R1623" s="34">
        <f t="shared" si="28"/>
        <v>0.18467494022543993</v>
      </c>
    </row>
    <row r="1624" spans="16:18" x14ac:dyDescent="0.3">
      <c r="P1624" s="35">
        <v>21.4</v>
      </c>
      <c r="Q1624">
        <v>305</v>
      </c>
      <c r="R1624" s="34">
        <f t="shared" si="28"/>
        <v>0.1847887965387725</v>
      </c>
    </row>
    <row r="1625" spans="16:18" x14ac:dyDescent="0.3">
      <c r="P1625" s="35">
        <v>21.4</v>
      </c>
      <c r="Q1625">
        <v>305</v>
      </c>
      <c r="R1625" s="34">
        <f t="shared" si="28"/>
        <v>0.18490265285210508</v>
      </c>
    </row>
    <row r="1626" spans="16:18" x14ac:dyDescent="0.3">
      <c r="P1626" s="35">
        <v>21.4</v>
      </c>
      <c r="Q1626">
        <v>305</v>
      </c>
      <c r="R1626" s="34">
        <f t="shared" si="28"/>
        <v>0.18501650916543766</v>
      </c>
    </row>
    <row r="1627" spans="16:18" x14ac:dyDescent="0.3">
      <c r="P1627" s="35">
        <v>21.41</v>
      </c>
      <c r="Q1627">
        <v>305</v>
      </c>
      <c r="R1627" s="34">
        <f t="shared" si="28"/>
        <v>0.18513036547877024</v>
      </c>
    </row>
    <row r="1628" spans="16:18" x14ac:dyDescent="0.3">
      <c r="P1628" s="35">
        <v>21.41</v>
      </c>
      <c r="Q1628">
        <v>305</v>
      </c>
      <c r="R1628" s="34">
        <f t="shared" si="28"/>
        <v>0.18524422179210281</v>
      </c>
    </row>
    <row r="1629" spans="16:18" x14ac:dyDescent="0.3">
      <c r="P1629" s="35">
        <v>21.41</v>
      </c>
      <c r="Q1629">
        <v>305</v>
      </c>
      <c r="R1629" s="34">
        <f t="shared" si="28"/>
        <v>0.18535807810543539</v>
      </c>
    </row>
    <row r="1630" spans="16:18" x14ac:dyDescent="0.3">
      <c r="P1630" s="35">
        <v>21.41</v>
      </c>
      <c r="Q1630">
        <v>305</v>
      </c>
      <c r="R1630" s="34">
        <f t="shared" si="28"/>
        <v>0.18547193441876797</v>
      </c>
    </row>
    <row r="1631" spans="16:18" x14ac:dyDescent="0.3">
      <c r="P1631" s="35">
        <v>21.41</v>
      </c>
      <c r="Q1631">
        <v>305</v>
      </c>
      <c r="R1631" s="34">
        <f t="shared" si="28"/>
        <v>0.18558579073210055</v>
      </c>
    </row>
    <row r="1632" spans="16:18" x14ac:dyDescent="0.3">
      <c r="P1632" s="35">
        <v>21.43</v>
      </c>
      <c r="Q1632">
        <v>305</v>
      </c>
      <c r="R1632" s="34">
        <f t="shared" si="28"/>
        <v>0.18569964704543312</v>
      </c>
    </row>
    <row r="1633" spans="16:18" x14ac:dyDescent="0.3">
      <c r="P1633" s="35">
        <v>21.43</v>
      </c>
      <c r="Q1633">
        <v>305</v>
      </c>
      <c r="R1633" s="34">
        <f t="shared" si="28"/>
        <v>0.1858135033587657</v>
      </c>
    </row>
    <row r="1634" spans="16:18" x14ac:dyDescent="0.3">
      <c r="P1634" s="35">
        <v>21.43</v>
      </c>
      <c r="Q1634">
        <v>305</v>
      </c>
      <c r="R1634" s="34">
        <f t="shared" si="28"/>
        <v>0.18592735967209828</v>
      </c>
    </row>
    <row r="1635" spans="16:18" x14ac:dyDescent="0.3">
      <c r="P1635" s="35">
        <v>21.44</v>
      </c>
      <c r="Q1635">
        <v>305</v>
      </c>
      <c r="R1635" s="34">
        <f t="shared" si="28"/>
        <v>0.18604121598543086</v>
      </c>
    </row>
    <row r="1636" spans="16:18" x14ac:dyDescent="0.3">
      <c r="P1636" s="35">
        <v>21.44</v>
      </c>
      <c r="Q1636">
        <v>305</v>
      </c>
      <c r="R1636" s="34">
        <f t="shared" si="28"/>
        <v>0.18615507229876344</v>
      </c>
    </row>
    <row r="1637" spans="16:18" x14ac:dyDescent="0.3">
      <c r="P1637" s="35">
        <v>21.44</v>
      </c>
      <c r="Q1637">
        <v>305</v>
      </c>
      <c r="R1637" s="34">
        <f t="shared" si="28"/>
        <v>0.18626892861209601</v>
      </c>
    </row>
    <row r="1638" spans="16:18" x14ac:dyDescent="0.3">
      <c r="P1638" s="35">
        <v>21.44</v>
      </c>
      <c r="Q1638">
        <v>305</v>
      </c>
      <c r="R1638" s="34">
        <f t="shared" si="28"/>
        <v>0.18638278492542859</v>
      </c>
    </row>
    <row r="1639" spans="16:18" x14ac:dyDescent="0.3">
      <c r="P1639" s="35">
        <v>21.44</v>
      </c>
      <c r="Q1639">
        <v>305</v>
      </c>
      <c r="R1639" s="34">
        <f t="shared" si="28"/>
        <v>0.18649664123876117</v>
      </c>
    </row>
    <row r="1640" spans="16:18" x14ac:dyDescent="0.3">
      <c r="P1640" s="35">
        <v>21.44</v>
      </c>
      <c r="Q1640">
        <v>305</v>
      </c>
      <c r="R1640" s="34">
        <f t="shared" si="28"/>
        <v>0.18661049755209375</v>
      </c>
    </row>
    <row r="1641" spans="16:18" x14ac:dyDescent="0.3">
      <c r="P1641" s="35">
        <v>21.44</v>
      </c>
      <c r="Q1641">
        <v>305</v>
      </c>
      <c r="R1641" s="34">
        <f t="shared" si="28"/>
        <v>0.18672435386542632</v>
      </c>
    </row>
    <row r="1642" spans="16:18" x14ac:dyDescent="0.3">
      <c r="P1642" s="35">
        <v>21.44</v>
      </c>
      <c r="Q1642">
        <v>305</v>
      </c>
      <c r="R1642" s="34">
        <f t="shared" si="28"/>
        <v>0.1868382101787589</v>
      </c>
    </row>
    <row r="1643" spans="16:18" x14ac:dyDescent="0.3">
      <c r="P1643" s="35">
        <v>21.45</v>
      </c>
      <c r="Q1643">
        <v>305</v>
      </c>
      <c r="R1643" s="34">
        <f t="shared" si="28"/>
        <v>0.18695206649209148</v>
      </c>
    </row>
    <row r="1644" spans="16:18" x14ac:dyDescent="0.3">
      <c r="P1644" s="35">
        <v>21.45</v>
      </c>
      <c r="Q1644">
        <v>305</v>
      </c>
      <c r="R1644" s="34">
        <f t="shared" si="28"/>
        <v>0.18706592280542406</v>
      </c>
    </row>
    <row r="1645" spans="16:18" x14ac:dyDescent="0.3">
      <c r="P1645" s="35">
        <v>21.45</v>
      </c>
      <c r="Q1645">
        <v>305</v>
      </c>
      <c r="R1645" s="34">
        <f t="shared" si="28"/>
        <v>0.18717977911875663</v>
      </c>
    </row>
    <row r="1646" spans="16:18" x14ac:dyDescent="0.3">
      <c r="P1646" s="35">
        <v>21.45</v>
      </c>
      <c r="Q1646">
        <v>305</v>
      </c>
      <c r="R1646" s="34">
        <f t="shared" si="28"/>
        <v>0.18729363543208921</v>
      </c>
    </row>
    <row r="1647" spans="16:18" x14ac:dyDescent="0.3">
      <c r="P1647" s="35">
        <v>21.46</v>
      </c>
      <c r="Q1647">
        <v>305</v>
      </c>
      <c r="R1647" s="34">
        <f t="shared" si="28"/>
        <v>0.18740749174542179</v>
      </c>
    </row>
    <row r="1648" spans="16:18" x14ac:dyDescent="0.3">
      <c r="P1648" s="35">
        <v>21.46</v>
      </c>
      <c r="Q1648">
        <v>305</v>
      </c>
      <c r="R1648" s="34">
        <f t="shared" si="28"/>
        <v>0.18752134805875437</v>
      </c>
    </row>
    <row r="1649" spans="16:18" x14ac:dyDescent="0.3">
      <c r="P1649" s="35">
        <v>21.47</v>
      </c>
      <c r="Q1649">
        <v>305</v>
      </c>
      <c r="R1649" s="34">
        <f t="shared" si="28"/>
        <v>0.18763520437208694</v>
      </c>
    </row>
    <row r="1650" spans="16:18" x14ac:dyDescent="0.3">
      <c r="P1650" s="35">
        <v>21.47</v>
      </c>
      <c r="Q1650">
        <v>305</v>
      </c>
      <c r="R1650" s="34">
        <f t="shared" si="28"/>
        <v>0.18774906068541952</v>
      </c>
    </row>
    <row r="1651" spans="16:18" x14ac:dyDescent="0.3">
      <c r="P1651" s="35">
        <v>21.48</v>
      </c>
      <c r="Q1651">
        <v>305</v>
      </c>
      <c r="R1651" s="34">
        <f t="shared" si="28"/>
        <v>0.1878629169987521</v>
      </c>
    </row>
    <row r="1652" spans="16:18" x14ac:dyDescent="0.3">
      <c r="P1652" s="35">
        <v>21.48</v>
      </c>
      <c r="Q1652">
        <v>305</v>
      </c>
      <c r="R1652" s="34">
        <f t="shared" si="28"/>
        <v>0.18797677331208468</v>
      </c>
    </row>
    <row r="1653" spans="16:18" x14ac:dyDescent="0.3">
      <c r="P1653" s="35">
        <v>21.48</v>
      </c>
      <c r="Q1653">
        <v>305</v>
      </c>
      <c r="R1653" s="34">
        <f t="shared" si="28"/>
        <v>0.18809062962541725</v>
      </c>
    </row>
    <row r="1654" spans="16:18" x14ac:dyDescent="0.3">
      <c r="P1654" s="35">
        <v>21.48</v>
      </c>
      <c r="Q1654">
        <v>305</v>
      </c>
      <c r="R1654" s="34">
        <f t="shared" si="28"/>
        <v>0.18820448593874983</v>
      </c>
    </row>
    <row r="1655" spans="16:18" x14ac:dyDescent="0.3">
      <c r="P1655" s="35">
        <v>21.48</v>
      </c>
      <c r="Q1655">
        <v>305</v>
      </c>
      <c r="R1655" s="34">
        <f t="shared" si="28"/>
        <v>0.18831834225208241</v>
      </c>
    </row>
    <row r="1656" spans="16:18" x14ac:dyDescent="0.3">
      <c r="P1656" s="35">
        <v>21.49</v>
      </c>
      <c r="Q1656">
        <v>305</v>
      </c>
      <c r="R1656" s="34">
        <f t="shared" si="28"/>
        <v>0.18843219856541499</v>
      </c>
    </row>
    <row r="1657" spans="16:18" x14ac:dyDescent="0.3">
      <c r="P1657" s="35">
        <v>21.49</v>
      </c>
      <c r="Q1657">
        <v>305</v>
      </c>
      <c r="R1657" s="34">
        <f t="shared" si="28"/>
        <v>0.18854605487874757</v>
      </c>
    </row>
    <row r="1658" spans="16:18" x14ac:dyDescent="0.3">
      <c r="P1658" s="35">
        <v>21.49</v>
      </c>
      <c r="Q1658">
        <v>305</v>
      </c>
      <c r="R1658" s="34">
        <f t="shared" si="28"/>
        <v>0.18865991119208014</v>
      </c>
    </row>
    <row r="1659" spans="16:18" x14ac:dyDescent="0.3">
      <c r="P1659" s="35">
        <v>21.49</v>
      </c>
      <c r="Q1659">
        <v>305</v>
      </c>
      <c r="R1659" s="34">
        <f t="shared" si="28"/>
        <v>0.18877376750541272</v>
      </c>
    </row>
    <row r="1660" spans="16:18" x14ac:dyDescent="0.3">
      <c r="P1660" s="35">
        <v>21.5</v>
      </c>
      <c r="Q1660">
        <v>305</v>
      </c>
      <c r="R1660" s="34">
        <f t="shared" si="28"/>
        <v>0.1888876238187453</v>
      </c>
    </row>
    <row r="1661" spans="16:18" x14ac:dyDescent="0.3">
      <c r="P1661" s="35">
        <v>21.5</v>
      </c>
      <c r="Q1661">
        <v>305</v>
      </c>
      <c r="R1661" s="34">
        <f t="shared" si="28"/>
        <v>0.18900148013207788</v>
      </c>
    </row>
    <row r="1662" spans="16:18" x14ac:dyDescent="0.3">
      <c r="P1662" s="35">
        <v>21.51</v>
      </c>
      <c r="Q1662">
        <v>305</v>
      </c>
      <c r="R1662" s="34">
        <f t="shared" si="28"/>
        <v>0.18911533644541045</v>
      </c>
    </row>
    <row r="1663" spans="16:18" x14ac:dyDescent="0.3">
      <c r="P1663" s="35">
        <v>21.51</v>
      </c>
      <c r="Q1663">
        <v>305</v>
      </c>
      <c r="R1663" s="34">
        <f t="shared" si="28"/>
        <v>0.18922919275874303</v>
      </c>
    </row>
    <row r="1664" spans="16:18" x14ac:dyDescent="0.3">
      <c r="P1664" s="35">
        <v>21.51</v>
      </c>
      <c r="Q1664">
        <v>305</v>
      </c>
      <c r="R1664" s="34">
        <f t="shared" si="28"/>
        <v>0.18934304907207561</v>
      </c>
    </row>
    <row r="1665" spans="16:18" x14ac:dyDescent="0.3">
      <c r="P1665" s="35">
        <v>21.51</v>
      </c>
      <c r="Q1665">
        <v>305</v>
      </c>
      <c r="R1665" s="34">
        <f t="shared" si="28"/>
        <v>0.18945690538540819</v>
      </c>
    </row>
    <row r="1666" spans="16:18" x14ac:dyDescent="0.3">
      <c r="P1666" s="35">
        <v>21.51</v>
      </c>
      <c r="Q1666">
        <v>305</v>
      </c>
      <c r="R1666" s="34">
        <f t="shared" si="28"/>
        <v>0.18957076169874076</v>
      </c>
    </row>
    <row r="1667" spans="16:18" x14ac:dyDescent="0.3">
      <c r="P1667" s="35">
        <v>21.52</v>
      </c>
      <c r="Q1667">
        <v>305</v>
      </c>
      <c r="R1667" s="34">
        <f t="shared" si="28"/>
        <v>0.18968461801207334</v>
      </c>
    </row>
    <row r="1668" spans="16:18" x14ac:dyDescent="0.3">
      <c r="P1668" s="35">
        <v>21.52</v>
      </c>
      <c r="Q1668">
        <v>305</v>
      </c>
      <c r="R1668" s="34">
        <f t="shared" ref="R1668:R1731" si="29">R1667+R$2</f>
        <v>0.18979847432540592</v>
      </c>
    </row>
    <row r="1669" spans="16:18" x14ac:dyDescent="0.3">
      <c r="P1669" s="35">
        <v>21.52</v>
      </c>
      <c r="Q1669">
        <v>305</v>
      </c>
      <c r="R1669" s="34">
        <f t="shared" si="29"/>
        <v>0.1899123306387385</v>
      </c>
    </row>
    <row r="1670" spans="16:18" x14ac:dyDescent="0.3">
      <c r="P1670" s="35">
        <v>21.52</v>
      </c>
      <c r="Q1670">
        <v>305</v>
      </c>
      <c r="R1670" s="34">
        <f t="shared" si="29"/>
        <v>0.19002618695207107</v>
      </c>
    </row>
    <row r="1671" spans="16:18" x14ac:dyDescent="0.3">
      <c r="P1671" s="35">
        <v>21.52</v>
      </c>
      <c r="Q1671">
        <v>305</v>
      </c>
      <c r="R1671" s="34">
        <f t="shared" si="29"/>
        <v>0.19014004326540365</v>
      </c>
    </row>
    <row r="1672" spans="16:18" x14ac:dyDescent="0.3">
      <c r="P1672" s="35">
        <v>21.53</v>
      </c>
      <c r="Q1672">
        <v>305</v>
      </c>
      <c r="R1672" s="34">
        <f t="shared" si="29"/>
        <v>0.19025389957873623</v>
      </c>
    </row>
    <row r="1673" spans="16:18" x14ac:dyDescent="0.3">
      <c r="P1673" s="35">
        <v>21.53</v>
      </c>
      <c r="Q1673">
        <v>305</v>
      </c>
      <c r="R1673" s="34">
        <f t="shared" si="29"/>
        <v>0.19036775589206881</v>
      </c>
    </row>
    <row r="1674" spans="16:18" x14ac:dyDescent="0.3">
      <c r="P1674" s="35">
        <v>21.53</v>
      </c>
      <c r="Q1674">
        <v>305</v>
      </c>
      <c r="R1674" s="34">
        <f t="shared" si="29"/>
        <v>0.19048161220540138</v>
      </c>
    </row>
    <row r="1675" spans="16:18" x14ac:dyDescent="0.3">
      <c r="P1675" s="35">
        <v>21.53</v>
      </c>
      <c r="Q1675">
        <v>305</v>
      </c>
      <c r="R1675" s="34">
        <f t="shared" si="29"/>
        <v>0.19059546851873396</v>
      </c>
    </row>
    <row r="1676" spans="16:18" x14ac:dyDescent="0.3">
      <c r="P1676" s="35">
        <v>21.53</v>
      </c>
      <c r="Q1676">
        <v>305</v>
      </c>
      <c r="R1676" s="34">
        <f t="shared" si="29"/>
        <v>0.19070932483206654</v>
      </c>
    </row>
    <row r="1677" spans="16:18" x14ac:dyDescent="0.3">
      <c r="P1677" s="35">
        <v>21.53</v>
      </c>
      <c r="Q1677">
        <v>305</v>
      </c>
      <c r="R1677" s="34">
        <f t="shared" si="29"/>
        <v>0.19082318114539912</v>
      </c>
    </row>
    <row r="1678" spans="16:18" x14ac:dyDescent="0.3">
      <c r="P1678" s="35">
        <v>21.53</v>
      </c>
      <c r="Q1678">
        <v>305</v>
      </c>
      <c r="R1678" s="34">
        <f t="shared" si="29"/>
        <v>0.1909370374587317</v>
      </c>
    </row>
    <row r="1679" spans="16:18" x14ac:dyDescent="0.3">
      <c r="P1679" s="35">
        <v>21.54</v>
      </c>
      <c r="Q1679">
        <v>305</v>
      </c>
      <c r="R1679" s="34">
        <f t="shared" si="29"/>
        <v>0.19105089377206427</v>
      </c>
    </row>
    <row r="1680" spans="16:18" x14ac:dyDescent="0.3">
      <c r="P1680" s="35">
        <v>21.54</v>
      </c>
      <c r="Q1680">
        <v>305</v>
      </c>
      <c r="R1680" s="34">
        <f t="shared" si="29"/>
        <v>0.19116475008539685</v>
      </c>
    </row>
    <row r="1681" spans="16:18" x14ac:dyDescent="0.3">
      <c r="P1681" s="35">
        <v>21.55</v>
      </c>
      <c r="Q1681">
        <v>305</v>
      </c>
      <c r="R1681" s="34">
        <f t="shared" si="29"/>
        <v>0.19127860639872943</v>
      </c>
    </row>
    <row r="1682" spans="16:18" x14ac:dyDescent="0.3">
      <c r="P1682" s="35">
        <v>21.55</v>
      </c>
      <c r="Q1682">
        <v>305</v>
      </c>
      <c r="R1682" s="34">
        <f t="shared" si="29"/>
        <v>0.19139246271206201</v>
      </c>
    </row>
    <row r="1683" spans="16:18" x14ac:dyDescent="0.3">
      <c r="P1683" s="35">
        <v>21.55</v>
      </c>
      <c r="Q1683">
        <v>305</v>
      </c>
      <c r="R1683" s="34">
        <f t="shared" si="29"/>
        <v>0.19150631902539458</v>
      </c>
    </row>
    <row r="1684" spans="16:18" x14ac:dyDescent="0.3">
      <c r="P1684" s="35">
        <v>21.55</v>
      </c>
      <c r="Q1684">
        <v>305</v>
      </c>
      <c r="R1684" s="34">
        <f t="shared" si="29"/>
        <v>0.19162017533872716</v>
      </c>
    </row>
    <row r="1685" spans="16:18" x14ac:dyDescent="0.3">
      <c r="P1685" s="35">
        <v>21.56</v>
      </c>
      <c r="Q1685">
        <v>305</v>
      </c>
      <c r="R1685" s="34">
        <f t="shared" si="29"/>
        <v>0.19173403165205974</v>
      </c>
    </row>
    <row r="1686" spans="16:18" x14ac:dyDescent="0.3">
      <c r="P1686" s="35">
        <v>21.56</v>
      </c>
      <c r="Q1686">
        <v>305</v>
      </c>
      <c r="R1686" s="34">
        <f t="shared" si="29"/>
        <v>0.19184788796539232</v>
      </c>
    </row>
    <row r="1687" spans="16:18" x14ac:dyDescent="0.3">
      <c r="P1687" s="35">
        <v>21.56</v>
      </c>
      <c r="Q1687">
        <v>305</v>
      </c>
      <c r="R1687" s="34">
        <f t="shared" si="29"/>
        <v>0.19196174427872489</v>
      </c>
    </row>
    <row r="1688" spans="16:18" x14ac:dyDescent="0.3">
      <c r="P1688" s="35">
        <v>21.57</v>
      </c>
      <c r="Q1688">
        <v>305</v>
      </c>
      <c r="R1688" s="34">
        <f t="shared" si="29"/>
        <v>0.19207560059205747</v>
      </c>
    </row>
    <row r="1689" spans="16:18" x14ac:dyDescent="0.3">
      <c r="P1689" s="35">
        <v>21.57</v>
      </c>
      <c r="Q1689">
        <v>305</v>
      </c>
      <c r="R1689" s="34">
        <f t="shared" si="29"/>
        <v>0.19218945690539005</v>
      </c>
    </row>
    <row r="1690" spans="16:18" x14ac:dyDescent="0.3">
      <c r="P1690" s="35">
        <v>21.57</v>
      </c>
      <c r="Q1690">
        <v>305</v>
      </c>
      <c r="R1690" s="34">
        <f t="shared" si="29"/>
        <v>0.19230331321872263</v>
      </c>
    </row>
    <row r="1691" spans="16:18" x14ac:dyDescent="0.3">
      <c r="P1691" s="35">
        <v>21.57</v>
      </c>
      <c r="Q1691">
        <v>305</v>
      </c>
      <c r="R1691" s="34">
        <f t="shared" si="29"/>
        <v>0.1924171695320552</v>
      </c>
    </row>
    <row r="1692" spans="16:18" x14ac:dyDescent="0.3">
      <c r="P1692" s="35">
        <v>21.57</v>
      </c>
      <c r="Q1692">
        <v>305</v>
      </c>
      <c r="R1692" s="34">
        <f t="shared" si="29"/>
        <v>0.19253102584538778</v>
      </c>
    </row>
    <row r="1693" spans="16:18" x14ac:dyDescent="0.3">
      <c r="P1693" s="35">
        <v>21.57</v>
      </c>
      <c r="Q1693">
        <v>305</v>
      </c>
      <c r="R1693" s="34">
        <f t="shared" si="29"/>
        <v>0.19264488215872036</v>
      </c>
    </row>
    <row r="1694" spans="16:18" x14ac:dyDescent="0.3">
      <c r="P1694" s="35">
        <v>21.57</v>
      </c>
      <c r="Q1694">
        <v>305</v>
      </c>
      <c r="R1694" s="34">
        <f t="shared" si="29"/>
        <v>0.19275873847205294</v>
      </c>
    </row>
    <row r="1695" spans="16:18" x14ac:dyDescent="0.3">
      <c r="P1695" s="35">
        <v>21.58</v>
      </c>
      <c r="Q1695">
        <v>305</v>
      </c>
      <c r="R1695" s="34">
        <f t="shared" si="29"/>
        <v>0.19287259478538551</v>
      </c>
    </row>
    <row r="1696" spans="16:18" x14ac:dyDescent="0.3">
      <c r="P1696" s="35">
        <v>21.58</v>
      </c>
      <c r="Q1696">
        <v>305</v>
      </c>
      <c r="R1696" s="34">
        <f t="shared" si="29"/>
        <v>0.19298645109871809</v>
      </c>
    </row>
    <row r="1697" spans="16:18" x14ac:dyDescent="0.3">
      <c r="P1697" s="35">
        <v>21.58</v>
      </c>
      <c r="Q1697">
        <v>305</v>
      </c>
      <c r="R1697" s="34">
        <f t="shared" si="29"/>
        <v>0.19310030741205067</v>
      </c>
    </row>
    <row r="1698" spans="16:18" x14ac:dyDescent="0.3">
      <c r="P1698" s="35">
        <v>21.59</v>
      </c>
      <c r="Q1698">
        <v>305</v>
      </c>
      <c r="R1698" s="34">
        <f t="shared" si="29"/>
        <v>0.19321416372538325</v>
      </c>
    </row>
    <row r="1699" spans="16:18" x14ac:dyDescent="0.3">
      <c r="P1699" s="35">
        <v>21.59</v>
      </c>
      <c r="Q1699">
        <v>305</v>
      </c>
      <c r="R1699" s="34">
        <f t="shared" si="29"/>
        <v>0.19332802003871583</v>
      </c>
    </row>
    <row r="1700" spans="16:18" x14ac:dyDescent="0.3">
      <c r="P1700" s="35">
        <v>21.59</v>
      </c>
      <c r="Q1700">
        <v>305</v>
      </c>
      <c r="R1700" s="34">
        <f t="shared" si="29"/>
        <v>0.1934418763520484</v>
      </c>
    </row>
    <row r="1701" spans="16:18" x14ac:dyDescent="0.3">
      <c r="P1701" s="35">
        <v>21.59</v>
      </c>
      <c r="Q1701">
        <v>305</v>
      </c>
      <c r="R1701" s="34">
        <f t="shared" si="29"/>
        <v>0.19355573266538098</v>
      </c>
    </row>
    <row r="1702" spans="16:18" x14ac:dyDescent="0.3">
      <c r="P1702" s="35">
        <v>21.59</v>
      </c>
      <c r="Q1702">
        <v>305</v>
      </c>
      <c r="R1702" s="34">
        <f t="shared" si="29"/>
        <v>0.19366958897871356</v>
      </c>
    </row>
    <row r="1703" spans="16:18" x14ac:dyDescent="0.3">
      <c r="P1703" s="35">
        <v>21.59</v>
      </c>
      <c r="Q1703">
        <v>305</v>
      </c>
      <c r="R1703" s="34">
        <f t="shared" si="29"/>
        <v>0.19378344529204614</v>
      </c>
    </row>
    <row r="1704" spans="16:18" x14ac:dyDescent="0.3">
      <c r="P1704" s="35">
        <v>21.6</v>
      </c>
      <c r="Q1704">
        <v>305</v>
      </c>
      <c r="R1704" s="34">
        <f t="shared" si="29"/>
        <v>0.19389730160537871</v>
      </c>
    </row>
    <row r="1705" spans="16:18" x14ac:dyDescent="0.3">
      <c r="P1705" s="35">
        <v>21.6</v>
      </c>
      <c r="Q1705">
        <v>305</v>
      </c>
      <c r="R1705" s="34">
        <f t="shared" si="29"/>
        <v>0.19401115791871129</v>
      </c>
    </row>
    <row r="1706" spans="16:18" x14ac:dyDescent="0.3">
      <c r="P1706" s="35">
        <v>21.6</v>
      </c>
      <c r="Q1706">
        <v>305</v>
      </c>
      <c r="R1706" s="34">
        <f t="shared" si="29"/>
        <v>0.19412501423204387</v>
      </c>
    </row>
    <row r="1707" spans="16:18" x14ac:dyDescent="0.3">
      <c r="P1707" s="35">
        <v>21.6</v>
      </c>
      <c r="Q1707">
        <v>305</v>
      </c>
      <c r="R1707" s="34">
        <f t="shared" si="29"/>
        <v>0.19423887054537645</v>
      </c>
    </row>
    <row r="1708" spans="16:18" x14ac:dyDescent="0.3">
      <c r="P1708" s="35">
        <v>21.6</v>
      </c>
      <c r="Q1708">
        <v>305</v>
      </c>
      <c r="R1708" s="34">
        <f t="shared" si="29"/>
        <v>0.19435272685870902</v>
      </c>
    </row>
    <row r="1709" spans="16:18" x14ac:dyDescent="0.3">
      <c r="P1709" s="35">
        <v>21.6</v>
      </c>
      <c r="Q1709">
        <v>305</v>
      </c>
      <c r="R1709" s="34">
        <f t="shared" si="29"/>
        <v>0.1944665831720416</v>
      </c>
    </row>
    <row r="1710" spans="16:18" x14ac:dyDescent="0.3">
      <c r="P1710" s="35">
        <v>21.61</v>
      </c>
      <c r="Q1710">
        <v>305</v>
      </c>
      <c r="R1710" s="34">
        <f t="shared" si="29"/>
        <v>0.19458043948537418</v>
      </c>
    </row>
    <row r="1711" spans="16:18" x14ac:dyDescent="0.3">
      <c r="P1711" s="35">
        <v>21.62</v>
      </c>
      <c r="Q1711">
        <v>305</v>
      </c>
      <c r="R1711" s="34">
        <f t="shared" si="29"/>
        <v>0.19469429579870676</v>
      </c>
    </row>
    <row r="1712" spans="16:18" x14ac:dyDescent="0.3">
      <c r="P1712" s="35">
        <v>21.62</v>
      </c>
      <c r="Q1712">
        <v>305</v>
      </c>
      <c r="R1712" s="34">
        <f t="shared" si="29"/>
        <v>0.19480815211203933</v>
      </c>
    </row>
    <row r="1713" spans="16:18" x14ac:dyDescent="0.3">
      <c r="P1713" s="35">
        <v>21.62</v>
      </c>
      <c r="Q1713">
        <v>305</v>
      </c>
      <c r="R1713" s="34">
        <f t="shared" si="29"/>
        <v>0.19492200842537191</v>
      </c>
    </row>
    <row r="1714" spans="16:18" x14ac:dyDescent="0.3">
      <c r="P1714" s="35">
        <v>21.62</v>
      </c>
      <c r="Q1714">
        <v>305</v>
      </c>
      <c r="R1714" s="34">
        <f t="shared" si="29"/>
        <v>0.19503586473870449</v>
      </c>
    </row>
    <row r="1715" spans="16:18" x14ac:dyDescent="0.3">
      <c r="P1715" s="35">
        <v>21.63</v>
      </c>
      <c r="Q1715">
        <v>305</v>
      </c>
      <c r="R1715" s="34">
        <f t="shared" si="29"/>
        <v>0.19514972105203707</v>
      </c>
    </row>
    <row r="1716" spans="16:18" x14ac:dyDescent="0.3">
      <c r="P1716" s="35">
        <v>21.63</v>
      </c>
      <c r="Q1716">
        <v>305</v>
      </c>
      <c r="R1716" s="34">
        <f t="shared" si="29"/>
        <v>0.19526357736536964</v>
      </c>
    </row>
    <row r="1717" spans="16:18" x14ac:dyDescent="0.3">
      <c r="P1717" s="35">
        <v>21.64</v>
      </c>
      <c r="Q1717">
        <v>305</v>
      </c>
      <c r="R1717" s="34">
        <f t="shared" si="29"/>
        <v>0.19537743367870222</v>
      </c>
    </row>
    <row r="1718" spans="16:18" x14ac:dyDescent="0.3">
      <c r="P1718" s="35">
        <v>21.64</v>
      </c>
      <c r="Q1718">
        <v>305</v>
      </c>
      <c r="R1718" s="34">
        <f t="shared" si="29"/>
        <v>0.1954912899920348</v>
      </c>
    </row>
    <row r="1719" spans="16:18" x14ac:dyDescent="0.3">
      <c r="P1719" s="35">
        <v>21.65</v>
      </c>
      <c r="Q1719">
        <v>305</v>
      </c>
      <c r="R1719" s="34">
        <f t="shared" si="29"/>
        <v>0.19560514630536738</v>
      </c>
    </row>
    <row r="1720" spans="16:18" x14ac:dyDescent="0.3">
      <c r="P1720" s="35">
        <v>21.65</v>
      </c>
      <c r="Q1720">
        <v>305</v>
      </c>
      <c r="R1720" s="34">
        <f t="shared" si="29"/>
        <v>0.19571900261869996</v>
      </c>
    </row>
    <row r="1721" spans="16:18" x14ac:dyDescent="0.3">
      <c r="P1721" s="35">
        <v>21.65</v>
      </c>
      <c r="Q1721">
        <v>305</v>
      </c>
      <c r="R1721" s="34">
        <f t="shared" si="29"/>
        <v>0.19583285893203253</v>
      </c>
    </row>
    <row r="1722" spans="16:18" x14ac:dyDescent="0.3">
      <c r="P1722" s="35">
        <v>21.65</v>
      </c>
      <c r="Q1722">
        <v>305</v>
      </c>
      <c r="R1722" s="34">
        <f t="shared" si="29"/>
        <v>0.19594671524536511</v>
      </c>
    </row>
    <row r="1723" spans="16:18" x14ac:dyDescent="0.3">
      <c r="P1723" s="35">
        <v>21.65</v>
      </c>
      <c r="Q1723">
        <v>305</v>
      </c>
      <c r="R1723" s="34">
        <f t="shared" si="29"/>
        <v>0.19606057155869769</v>
      </c>
    </row>
    <row r="1724" spans="16:18" x14ac:dyDescent="0.3">
      <c r="P1724" s="35">
        <v>21.66</v>
      </c>
      <c r="Q1724">
        <v>305</v>
      </c>
      <c r="R1724" s="34">
        <f t="shared" si="29"/>
        <v>0.19617442787203027</v>
      </c>
    </row>
    <row r="1725" spans="16:18" x14ac:dyDescent="0.3">
      <c r="P1725" s="35">
        <v>21.66</v>
      </c>
      <c r="Q1725">
        <v>305</v>
      </c>
      <c r="R1725" s="34">
        <f t="shared" si="29"/>
        <v>0.19628828418536284</v>
      </c>
    </row>
    <row r="1726" spans="16:18" x14ac:dyDescent="0.3">
      <c r="P1726" s="35">
        <v>21.66</v>
      </c>
      <c r="Q1726">
        <v>305</v>
      </c>
      <c r="R1726" s="34">
        <f t="shared" si="29"/>
        <v>0.19640214049869542</v>
      </c>
    </row>
    <row r="1727" spans="16:18" x14ac:dyDescent="0.3">
      <c r="P1727" s="35">
        <v>21.66</v>
      </c>
      <c r="Q1727">
        <v>305</v>
      </c>
      <c r="R1727" s="34">
        <f t="shared" si="29"/>
        <v>0.196515996812028</v>
      </c>
    </row>
    <row r="1728" spans="16:18" x14ac:dyDescent="0.3">
      <c r="P1728" s="35">
        <v>21.67</v>
      </c>
      <c r="Q1728">
        <v>305</v>
      </c>
      <c r="R1728" s="34">
        <f t="shared" si="29"/>
        <v>0.19662985312536058</v>
      </c>
    </row>
    <row r="1729" spans="16:18" x14ac:dyDescent="0.3">
      <c r="P1729" s="35">
        <v>21.67</v>
      </c>
      <c r="Q1729">
        <v>305</v>
      </c>
      <c r="R1729" s="34">
        <f t="shared" si="29"/>
        <v>0.19674370943869315</v>
      </c>
    </row>
    <row r="1730" spans="16:18" x14ac:dyDescent="0.3">
      <c r="P1730" s="35">
        <v>21.67</v>
      </c>
      <c r="Q1730">
        <v>305</v>
      </c>
      <c r="R1730" s="34">
        <f t="shared" si="29"/>
        <v>0.19685756575202573</v>
      </c>
    </row>
    <row r="1731" spans="16:18" x14ac:dyDescent="0.3">
      <c r="P1731" s="35">
        <v>21.67</v>
      </c>
      <c r="Q1731">
        <v>305</v>
      </c>
      <c r="R1731" s="34">
        <f t="shared" si="29"/>
        <v>0.19697142206535831</v>
      </c>
    </row>
    <row r="1732" spans="16:18" x14ac:dyDescent="0.3">
      <c r="P1732" s="35">
        <v>21.67</v>
      </c>
      <c r="Q1732">
        <v>305</v>
      </c>
      <c r="R1732" s="34">
        <f t="shared" ref="R1732:R1795" si="30">R1731+R$2</f>
        <v>0.19708527837869089</v>
      </c>
    </row>
    <row r="1733" spans="16:18" x14ac:dyDescent="0.3">
      <c r="P1733" s="35">
        <v>21.67</v>
      </c>
      <c r="Q1733">
        <v>305</v>
      </c>
      <c r="R1733" s="34">
        <f t="shared" si="30"/>
        <v>0.19719913469202346</v>
      </c>
    </row>
    <row r="1734" spans="16:18" x14ac:dyDescent="0.3">
      <c r="P1734" s="35">
        <v>21.67</v>
      </c>
      <c r="Q1734">
        <v>305</v>
      </c>
      <c r="R1734" s="34">
        <f t="shared" si="30"/>
        <v>0.19731299100535604</v>
      </c>
    </row>
    <row r="1735" spans="16:18" x14ac:dyDescent="0.3">
      <c r="P1735" s="35">
        <v>21.68</v>
      </c>
      <c r="Q1735">
        <v>305</v>
      </c>
      <c r="R1735" s="34">
        <f t="shared" si="30"/>
        <v>0.19742684731868862</v>
      </c>
    </row>
    <row r="1736" spans="16:18" x14ac:dyDescent="0.3">
      <c r="P1736" s="35">
        <v>21.68</v>
      </c>
      <c r="Q1736">
        <v>305</v>
      </c>
      <c r="R1736" s="34">
        <f t="shared" si="30"/>
        <v>0.1975407036320212</v>
      </c>
    </row>
    <row r="1737" spans="16:18" x14ac:dyDescent="0.3">
      <c r="P1737" s="35">
        <v>21.68</v>
      </c>
      <c r="Q1737">
        <v>305</v>
      </c>
      <c r="R1737" s="34">
        <f t="shared" si="30"/>
        <v>0.19765455994535377</v>
      </c>
    </row>
    <row r="1738" spans="16:18" x14ac:dyDescent="0.3">
      <c r="P1738" s="35">
        <v>21.68</v>
      </c>
      <c r="Q1738">
        <v>305</v>
      </c>
      <c r="R1738" s="34">
        <f t="shared" si="30"/>
        <v>0.19776841625868635</v>
      </c>
    </row>
    <row r="1739" spans="16:18" x14ac:dyDescent="0.3">
      <c r="P1739" s="35">
        <v>21.68</v>
      </c>
      <c r="Q1739">
        <v>305</v>
      </c>
      <c r="R1739" s="34">
        <f t="shared" si="30"/>
        <v>0.19788227257201893</v>
      </c>
    </row>
    <row r="1740" spans="16:18" x14ac:dyDescent="0.3">
      <c r="P1740" s="35">
        <v>21.69</v>
      </c>
      <c r="Q1740">
        <v>305</v>
      </c>
      <c r="R1740" s="34">
        <f t="shared" si="30"/>
        <v>0.19799612888535151</v>
      </c>
    </row>
    <row r="1741" spans="16:18" x14ac:dyDescent="0.3">
      <c r="P1741" s="35">
        <v>21.69</v>
      </c>
      <c r="Q1741">
        <v>305</v>
      </c>
      <c r="R1741" s="34">
        <f t="shared" si="30"/>
        <v>0.19810998519868409</v>
      </c>
    </row>
    <row r="1742" spans="16:18" x14ac:dyDescent="0.3">
      <c r="P1742" s="35">
        <v>21.69</v>
      </c>
      <c r="Q1742">
        <v>305</v>
      </c>
      <c r="R1742" s="34">
        <f t="shared" si="30"/>
        <v>0.19822384151201666</v>
      </c>
    </row>
    <row r="1743" spans="16:18" x14ac:dyDescent="0.3">
      <c r="P1743" s="35">
        <v>21.69</v>
      </c>
      <c r="Q1743">
        <v>305</v>
      </c>
      <c r="R1743" s="34">
        <f t="shared" si="30"/>
        <v>0.19833769782534924</v>
      </c>
    </row>
    <row r="1744" spans="16:18" x14ac:dyDescent="0.3">
      <c r="P1744" s="35">
        <v>21.69</v>
      </c>
      <c r="Q1744">
        <v>305</v>
      </c>
      <c r="R1744" s="34">
        <f t="shared" si="30"/>
        <v>0.19845155413868182</v>
      </c>
    </row>
    <row r="1745" spans="16:18" x14ac:dyDescent="0.3">
      <c r="P1745" s="35">
        <v>21.7</v>
      </c>
      <c r="Q1745">
        <v>305</v>
      </c>
      <c r="R1745" s="34">
        <f t="shared" si="30"/>
        <v>0.1985654104520144</v>
      </c>
    </row>
    <row r="1746" spans="16:18" x14ac:dyDescent="0.3">
      <c r="P1746" s="35">
        <v>21.7</v>
      </c>
      <c r="Q1746">
        <v>305</v>
      </c>
      <c r="R1746" s="34">
        <f t="shared" si="30"/>
        <v>0.19867926676534697</v>
      </c>
    </row>
    <row r="1747" spans="16:18" x14ac:dyDescent="0.3">
      <c r="P1747" s="35">
        <v>21.71</v>
      </c>
      <c r="Q1747">
        <v>305</v>
      </c>
      <c r="R1747" s="34">
        <f t="shared" si="30"/>
        <v>0.19879312307867955</v>
      </c>
    </row>
    <row r="1748" spans="16:18" x14ac:dyDescent="0.3">
      <c r="P1748" s="35">
        <v>21.71</v>
      </c>
      <c r="Q1748">
        <v>305</v>
      </c>
      <c r="R1748" s="34">
        <f t="shared" si="30"/>
        <v>0.19890697939201213</v>
      </c>
    </row>
    <row r="1749" spans="16:18" x14ac:dyDescent="0.3">
      <c r="P1749" s="35">
        <v>21.71</v>
      </c>
      <c r="Q1749">
        <v>305</v>
      </c>
      <c r="R1749" s="34">
        <f t="shared" si="30"/>
        <v>0.19902083570534471</v>
      </c>
    </row>
    <row r="1750" spans="16:18" x14ac:dyDescent="0.3">
      <c r="P1750" s="35">
        <v>21.72</v>
      </c>
      <c r="Q1750">
        <v>305</v>
      </c>
      <c r="R1750" s="34">
        <f t="shared" si="30"/>
        <v>0.19913469201867728</v>
      </c>
    </row>
    <row r="1751" spans="16:18" x14ac:dyDescent="0.3">
      <c r="P1751" s="35">
        <v>21.72</v>
      </c>
      <c r="Q1751">
        <v>305</v>
      </c>
      <c r="R1751" s="34">
        <f t="shared" si="30"/>
        <v>0.19924854833200986</v>
      </c>
    </row>
    <row r="1752" spans="16:18" x14ac:dyDescent="0.3">
      <c r="P1752" s="35">
        <v>21.72</v>
      </c>
      <c r="Q1752">
        <v>305</v>
      </c>
      <c r="R1752" s="34">
        <f t="shared" si="30"/>
        <v>0.19936240464534244</v>
      </c>
    </row>
    <row r="1753" spans="16:18" x14ac:dyDescent="0.3">
      <c r="P1753" s="35">
        <v>21.72</v>
      </c>
      <c r="Q1753">
        <v>305</v>
      </c>
      <c r="R1753" s="34">
        <f t="shared" si="30"/>
        <v>0.19947626095867502</v>
      </c>
    </row>
    <row r="1754" spans="16:18" x14ac:dyDescent="0.3">
      <c r="P1754" s="35">
        <v>21.73</v>
      </c>
      <c r="Q1754">
        <v>305</v>
      </c>
      <c r="R1754" s="34">
        <f t="shared" si="30"/>
        <v>0.19959011727200759</v>
      </c>
    </row>
    <row r="1755" spans="16:18" x14ac:dyDescent="0.3">
      <c r="P1755" s="35">
        <v>21.73</v>
      </c>
      <c r="Q1755">
        <v>305</v>
      </c>
      <c r="R1755" s="34">
        <f t="shared" si="30"/>
        <v>0.19970397358534017</v>
      </c>
    </row>
    <row r="1756" spans="16:18" x14ac:dyDescent="0.3">
      <c r="P1756" s="35">
        <v>21.73</v>
      </c>
      <c r="Q1756">
        <v>305</v>
      </c>
      <c r="R1756" s="34">
        <f t="shared" si="30"/>
        <v>0.19981782989867275</v>
      </c>
    </row>
    <row r="1757" spans="16:18" x14ac:dyDescent="0.3">
      <c r="P1757" s="35">
        <v>21.73</v>
      </c>
      <c r="Q1757">
        <v>305</v>
      </c>
      <c r="R1757" s="34">
        <f t="shared" si="30"/>
        <v>0.19993168621200533</v>
      </c>
    </row>
    <row r="1758" spans="16:18" x14ac:dyDescent="0.3">
      <c r="P1758" s="35">
        <v>21.74</v>
      </c>
      <c r="Q1758">
        <v>305</v>
      </c>
      <c r="R1758" s="34">
        <f t="shared" si="30"/>
        <v>0.2000455425253379</v>
      </c>
    </row>
    <row r="1759" spans="16:18" x14ac:dyDescent="0.3">
      <c r="P1759" s="35">
        <v>21.74</v>
      </c>
      <c r="Q1759">
        <v>305</v>
      </c>
      <c r="R1759" s="34">
        <f t="shared" si="30"/>
        <v>0.20015939883867048</v>
      </c>
    </row>
    <row r="1760" spans="16:18" x14ac:dyDescent="0.3">
      <c r="P1760" s="35">
        <v>21.75</v>
      </c>
      <c r="Q1760">
        <v>305</v>
      </c>
      <c r="R1760" s="34">
        <f t="shared" si="30"/>
        <v>0.20027325515200306</v>
      </c>
    </row>
    <row r="1761" spans="16:18" x14ac:dyDescent="0.3">
      <c r="P1761" s="35">
        <v>21.75</v>
      </c>
      <c r="Q1761">
        <v>305</v>
      </c>
      <c r="R1761" s="34">
        <f t="shared" si="30"/>
        <v>0.20038711146533564</v>
      </c>
    </row>
    <row r="1762" spans="16:18" x14ac:dyDescent="0.3">
      <c r="P1762" s="35">
        <v>21.76</v>
      </c>
      <c r="Q1762">
        <v>305</v>
      </c>
      <c r="R1762" s="34">
        <f t="shared" si="30"/>
        <v>0.20050096777866822</v>
      </c>
    </row>
    <row r="1763" spans="16:18" x14ac:dyDescent="0.3">
      <c r="P1763" s="35">
        <v>21.76</v>
      </c>
      <c r="Q1763">
        <v>305</v>
      </c>
      <c r="R1763" s="34">
        <f t="shared" si="30"/>
        <v>0.20061482409200079</v>
      </c>
    </row>
    <row r="1764" spans="16:18" x14ac:dyDescent="0.3">
      <c r="P1764" s="35">
        <v>21.76</v>
      </c>
      <c r="Q1764">
        <v>305</v>
      </c>
      <c r="R1764" s="34">
        <f t="shared" si="30"/>
        <v>0.20072868040533337</v>
      </c>
    </row>
    <row r="1765" spans="16:18" x14ac:dyDescent="0.3">
      <c r="P1765" s="35">
        <v>21.76</v>
      </c>
      <c r="Q1765">
        <v>305</v>
      </c>
      <c r="R1765" s="34">
        <f t="shared" si="30"/>
        <v>0.20084253671866595</v>
      </c>
    </row>
    <row r="1766" spans="16:18" x14ac:dyDescent="0.3">
      <c r="P1766" s="35">
        <v>21.76</v>
      </c>
      <c r="Q1766">
        <v>305</v>
      </c>
      <c r="R1766" s="34">
        <f t="shared" si="30"/>
        <v>0.20095639303199853</v>
      </c>
    </row>
    <row r="1767" spans="16:18" x14ac:dyDescent="0.3">
      <c r="P1767" s="35">
        <v>21.77</v>
      </c>
      <c r="Q1767">
        <v>305</v>
      </c>
      <c r="R1767" s="34">
        <f t="shared" si="30"/>
        <v>0.2010702493453311</v>
      </c>
    </row>
    <row r="1768" spans="16:18" x14ac:dyDescent="0.3">
      <c r="P1768" s="35">
        <v>21.77</v>
      </c>
      <c r="Q1768">
        <v>305</v>
      </c>
      <c r="R1768" s="34">
        <f t="shared" si="30"/>
        <v>0.20118410565866368</v>
      </c>
    </row>
    <row r="1769" spans="16:18" x14ac:dyDescent="0.3">
      <c r="P1769" s="35">
        <v>21.77</v>
      </c>
      <c r="Q1769">
        <v>305</v>
      </c>
      <c r="R1769" s="34">
        <f t="shared" si="30"/>
        <v>0.20129796197199626</v>
      </c>
    </row>
    <row r="1770" spans="16:18" x14ac:dyDescent="0.3">
      <c r="P1770" s="35">
        <v>21.77</v>
      </c>
      <c r="Q1770">
        <v>305</v>
      </c>
      <c r="R1770" s="34">
        <f t="shared" si="30"/>
        <v>0.20141181828532884</v>
      </c>
    </row>
    <row r="1771" spans="16:18" x14ac:dyDescent="0.3">
      <c r="P1771" s="35">
        <v>21.78</v>
      </c>
      <c r="Q1771">
        <v>305</v>
      </c>
      <c r="R1771" s="34">
        <f t="shared" si="30"/>
        <v>0.20152567459866141</v>
      </c>
    </row>
    <row r="1772" spans="16:18" x14ac:dyDescent="0.3">
      <c r="P1772" s="35">
        <v>21.78</v>
      </c>
      <c r="Q1772">
        <v>305</v>
      </c>
      <c r="R1772" s="34">
        <f t="shared" si="30"/>
        <v>0.20163953091199399</v>
      </c>
    </row>
    <row r="1773" spans="16:18" x14ac:dyDescent="0.3">
      <c r="P1773" s="35">
        <v>21.78</v>
      </c>
      <c r="Q1773">
        <v>305</v>
      </c>
      <c r="R1773" s="34">
        <f t="shared" si="30"/>
        <v>0.20175338722532657</v>
      </c>
    </row>
    <row r="1774" spans="16:18" x14ac:dyDescent="0.3">
      <c r="P1774" s="35">
        <v>21.78</v>
      </c>
      <c r="Q1774">
        <v>305</v>
      </c>
      <c r="R1774" s="34">
        <f t="shared" si="30"/>
        <v>0.20186724353865915</v>
      </c>
    </row>
    <row r="1775" spans="16:18" x14ac:dyDescent="0.3">
      <c r="P1775" s="35">
        <v>21.78</v>
      </c>
      <c r="Q1775">
        <v>305</v>
      </c>
      <c r="R1775" s="34">
        <f t="shared" si="30"/>
        <v>0.20198109985199172</v>
      </c>
    </row>
    <row r="1776" spans="16:18" x14ac:dyDescent="0.3">
      <c r="P1776" s="35">
        <v>21.78</v>
      </c>
      <c r="Q1776">
        <v>305</v>
      </c>
      <c r="R1776" s="34">
        <f t="shared" si="30"/>
        <v>0.2020949561653243</v>
      </c>
    </row>
    <row r="1777" spans="16:18" x14ac:dyDescent="0.3">
      <c r="P1777" s="35">
        <v>21.78</v>
      </c>
      <c r="Q1777">
        <v>305</v>
      </c>
      <c r="R1777" s="34">
        <f t="shared" si="30"/>
        <v>0.20220881247865688</v>
      </c>
    </row>
    <row r="1778" spans="16:18" x14ac:dyDescent="0.3">
      <c r="P1778" s="35">
        <v>21.78</v>
      </c>
      <c r="Q1778">
        <v>305</v>
      </c>
      <c r="R1778" s="34">
        <f t="shared" si="30"/>
        <v>0.20232266879198946</v>
      </c>
    </row>
    <row r="1779" spans="16:18" x14ac:dyDescent="0.3">
      <c r="P1779" s="35">
        <v>21.79</v>
      </c>
      <c r="Q1779">
        <v>305</v>
      </c>
      <c r="R1779" s="34">
        <f t="shared" si="30"/>
        <v>0.20243652510532203</v>
      </c>
    </row>
    <row r="1780" spans="16:18" x14ac:dyDescent="0.3">
      <c r="P1780" s="35">
        <v>21.79</v>
      </c>
      <c r="Q1780">
        <v>305</v>
      </c>
      <c r="R1780" s="34">
        <f t="shared" si="30"/>
        <v>0.20255038141865461</v>
      </c>
    </row>
    <row r="1781" spans="16:18" x14ac:dyDescent="0.3">
      <c r="P1781" s="35">
        <v>21.8</v>
      </c>
      <c r="Q1781">
        <v>305</v>
      </c>
      <c r="R1781" s="34">
        <f t="shared" si="30"/>
        <v>0.20266423773198719</v>
      </c>
    </row>
    <row r="1782" spans="16:18" x14ac:dyDescent="0.3">
      <c r="P1782" s="35">
        <v>21.8</v>
      </c>
      <c r="Q1782">
        <v>305</v>
      </c>
      <c r="R1782" s="34">
        <f t="shared" si="30"/>
        <v>0.20277809404531977</v>
      </c>
    </row>
    <row r="1783" spans="16:18" x14ac:dyDescent="0.3">
      <c r="P1783" s="35">
        <v>21.8</v>
      </c>
      <c r="Q1783">
        <v>305</v>
      </c>
      <c r="R1783" s="34">
        <f t="shared" si="30"/>
        <v>0.20289195035865235</v>
      </c>
    </row>
    <row r="1784" spans="16:18" x14ac:dyDescent="0.3">
      <c r="P1784" s="35">
        <v>21.8</v>
      </c>
      <c r="Q1784">
        <v>305</v>
      </c>
      <c r="R1784" s="34">
        <f t="shared" si="30"/>
        <v>0.20300580667198492</v>
      </c>
    </row>
    <row r="1785" spans="16:18" x14ac:dyDescent="0.3">
      <c r="P1785" s="35">
        <v>21.81</v>
      </c>
      <c r="Q1785">
        <v>305</v>
      </c>
      <c r="R1785" s="34">
        <f t="shared" si="30"/>
        <v>0.2031196629853175</v>
      </c>
    </row>
    <row r="1786" spans="16:18" x14ac:dyDescent="0.3">
      <c r="P1786" s="35">
        <v>21.83</v>
      </c>
      <c r="Q1786">
        <v>305</v>
      </c>
      <c r="R1786" s="34">
        <f t="shared" si="30"/>
        <v>0.20323351929865008</v>
      </c>
    </row>
    <row r="1787" spans="16:18" x14ac:dyDescent="0.3">
      <c r="P1787" s="35">
        <v>21.83</v>
      </c>
      <c r="Q1787">
        <v>305</v>
      </c>
      <c r="R1787" s="34">
        <f t="shared" si="30"/>
        <v>0.20334737561198266</v>
      </c>
    </row>
    <row r="1788" spans="16:18" x14ac:dyDescent="0.3">
      <c r="P1788" s="35">
        <v>21.83</v>
      </c>
      <c r="Q1788">
        <v>305</v>
      </c>
      <c r="R1788" s="34">
        <f t="shared" si="30"/>
        <v>0.20346123192531523</v>
      </c>
    </row>
    <row r="1789" spans="16:18" x14ac:dyDescent="0.3">
      <c r="P1789" s="35">
        <v>21.83</v>
      </c>
      <c r="Q1789">
        <v>305</v>
      </c>
      <c r="R1789" s="34">
        <f t="shared" si="30"/>
        <v>0.20357508823864781</v>
      </c>
    </row>
    <row r="1790" spans="16:18" x14ac:dyDescent="0.3">
      <c r="P1790" s="35">
        <v>21.83</v>
      </c>
      <c r="Q1790">
        <v>305</v>
      </c>
      <c r="R1790" s="34">
        <f t="shared" si="30"/>
        <v>0.20368894455198039</v>
      </c>
    </row>
    <row r="1791" spans="16:18" x14ac:dyDescent="0.3">
      <c r="P1791" s="35">
        <v>21.84</v>
      </c>
      <c r="Q1791">
        <v>305</v>
      </c>
      <c r="R1791" s="34">
        <f t="shared" si="30"/>
        <v>0.20380280086531297</v>
      </c>
    </row>
    <row r="1792" spans="16:18" x14ac:dyDescent="0.3">
      <c r="P1792" s="35">
        <v>21.84</v>
      </c>
      <c r="Q1792">
        <v>305</v>
      </c>
      <c r="R1792" s="34">
        <f t="shared" si="30"/>
        <v>0.20391665717864554</v>
      </c>
    </row>
    <row r="1793" spans="16:18" x14ac:dyDescent="0.3">
      <c r="P1793" s="35">
        <v>21.85</v>
      </c>
      <c r="Q1793">
        <v>305</v>
      </c>
      <c r="R1793" s="34">
        <f t="shared" si="30"/>
        <v>0.20403051349197812</v>
      </c>
    </row>
    <row r="1794" spans="16:18" x14ac:dyDescent="0.3">
      <c r="P1794" s="35">
        <v>21.85</v>
      </c>
      <c r="Q1794">
        <v>305</v>
      </c>
      <c r="R1794" s="34">
        <f t="shared" si="30"/>
        <v>0.2041443698053107</v>
      </c>
    </row>
    <row r="1795" spans="16:18" x14ac:dyDescent="0.3">
      <c r="P1795" s="35">
        <v>21.85</v>
      </c>
      <c r="Q1795">
        <v>305</v>
      </c>
      <c r="R1795" s="34">
        <f t="shared" si="30"/>
        <v>0.20425822611864328</v>
      </c>
    </row>
    <row r="1796" spans="16:18" x14ac:dyDescent="0.3">
      <c r="P1796" s="35">
        <v>21.86</v>
      </c>
      <c r="Q1796">
        <v>305</v>
      </c>
      <c r="R1796" s="34">
        <f t="shared" ref="R1796:R1859" si="31">R1795+R$2</f>
        <v>0.20437208243197585</v>
      </c>
    </row>
    <row r="1797" spans="16:18" x14ac:dyDescent="0.3">
      <c r="P1797" s="35">
        <v>21.86</v>
      </c>
      <c r="Q1797">
        <v>305</v>
      </c>
      <c r="R1797" s="34">
        <f t="shared" si="31"/>
        <v>0.20448593874530843</v>
      </c>
    </row>
    <row r="1798" spans="16:18" x14ac:dyDescent="0.3">
      <c r="P1798" s="35">
        <v>21.87</v>
      </c>
      <c r="Q1798">
        <v>305</v>
      </c>
      <c r="R1798" s="34">
        <f t="shared" si="31"/>
        <v>0.20459979505864101</v>
      </c>
    </row>
    <row r="1799" spans="16:18" x14ac:dyDescent="0.3">
      <c r="P1799" s="35">
        <v>21.87</v>
      </c>
      <c r="Q1799">
        <v>305</v>
      </c>
      <c r="R1799" s="34">
        <f t="shared" si="31"/>
        <v>0.20471365137197359</v>
      </c>
    </row>
    <row r="1800" spans="16:18" x14ac:dyDescent="0.3">
      <c r="P1800" s="35">
        <v>21.88</v>
      </c>
      <c r="Q1800">
        <v>305</v>
      </c>
      <c r="R1800" s="34">
        <f t="shared" si="31"/>
        <v>0.20482750768530616</v>
      </c>
    </row>
    <row r="1801" spans="16:18" x14ac:dyDescent="0.3">
      <c r="P1801" s="35">
        <v>21.88</v>
      </c>
      <c r="Q1801">
        <v>305</v>
      </c>
      <c r="R1801" s="34">
        <f t="shared" si="31"/>
        <v>0.20494136399863874</v>
      </c>
    </row>
    <row r="1802" spans="16:18" x14ac:dyDescent="0.3">
      <c r="P1802" s="35">
        <v>21.88</v>
      </c>
      <c r="Q1802">
        <v>305</v>
      </c>
      <c r="R1802" s="34">
        <f t="shared" si="31"/>
        <v>0.20505522031197132</v>
      </c>
    </row>
    <row r="1803" spans="16:18" x14ac:dyDescent="0.3">
      <c r="P1803" s="35">
        <v>21.88</v>
      </c>
      <c r="Q1803">
        <v>305</v>
      </c>
      <c r="R1803" s="34">
        <f t="shared" si="31"/>
        <v>0.2051690766253039</v>
      </c>
    </row>
    <row r="1804" spans="16:18" x14ac:dyDescent="0.3">
      <c r="P1804" s="35">
        <v>21.88</v>
      </c>
      <c r="Q1804">
        <v>305</v>
      </c>
      <c r="R1804" s="34">
        <f t="shared" si="31"/>
        <v>0.20528293293863648</v>
      </c>
    </row>
    <row r="1805" spans="16:18" x14ac:dyDescent="0.3">
      <c r="P1805" s="35">
        <v>21.89</v>
      </c>
      <c r="Q1805">
        <v>305</v>
      </c>
      <c r="R1805" s="34">
        <f t="shared" si="31"/>
        <v>0.20539678925196905</v>
      </c>
    </row>
    <row r="1806" spans="16:18" x14ac:dyDescent="0.3">
      <c r="P1806" s="35">
        <v>21.89</v>
      </c>
      <c r="Q1806">
        <v>305</v>
      </c>
      <c r="R1806" s="34">
        <f t="shared" si="31"/>
        <v>0.20551064556530163</v>
      </c>
    </row>
    <row r="1807" spans="16:18" x14ac:dyDescent="0.3">
      <c r="P1807" s="35">
        <v>21.89</v>
      </c>
      <c r="Q1807">
        <v>305</v>
      </c>
      <c r="R1807" s="34">
        <f t="shared" si="31"/>
        <v>0.20562450187863421</v>
      </c>
    </row>
    <row r="1808" spans="16:18" x14ac:dyDescent="0.3">
      <c r="P1808" s="35">
        <v>21.9</v>
      </c>
      <c r="Q1808">
        <v>305</v>
      </c>
      <c r="R1808" s="34">
        <f t="shared" si="31"/>
        <v>0.20573835819196679</v>
      </c>
    </row>
    <row r="1809" spans="16:18" x14ac:dyDescent="0.3">
      <c r="P1809" s="35">
        <v>21.9</v>
      </c>
      <c r="Q1809">
        <v>305</v>
      </c>
      <c r="R1809" s="34">
        <f t="shared" si="31"/>
        <v>0.20585221450529936</v>
      </c>
    </row>
    <row r="1810" spans="16:18" x14ac:dyDescent="0.3">
      <c r="P1810" s="35">
        <v>21.9</v>
      </c>
      <c r="Q1810">
        <v>305</v>
      </c>
      <c r="R1810" s="34">
        <f t="shared" si="31"/>
        <v>0.20596607081863194</v>
      </c>
    </row>
    <row r="1811" spans="16:18" x14ac:dyDescent="0.3">
      <c r="P1811" s="35">
        <v>21.9</v>
      </c>
      <c r="Q1811">
        <v>305</v>
      </c>
      <c r="R1811" s="34">
        <f t="shared" si="31"/>
        <v>0.20607992713196452</v>
      </c>
    </row>
    <row r="1812" spans="16:18" x14ac:dyDescent="0.3">
      <c r="P1812" s="35">
        <v>21.91</v>
      </c>
      <c r="Q1812">
        <v>305</v>
      </c>
      <c r="R1812" s="34">
        <f t="shared" si="31"/>
        <v>0.2061937834452971</v>
      </c>
    </row>
    <row r="1813" spans="16:18" x14ac:dyDescent="0.3">
      <c r="P1813" s="35">
        <v>21.91</v>
      </c>
      <c r="Q1813">
        <v>305</v>
      </c>
      <c r="R1813" s="34">
        <f t="shared" si="31"/>
        <v>0.20630763975862967</v>
      </c>
    </row>
    <row r="1814" spans="16:18" x14ac:dyDescent="0.3">
      <c r="P1814" s="35">
        <v>21.91</v>
      </c>
      <c r="Q1814">
        <v>305</v>
      </c>
      <c r="R1814" s="34">
        <f t="shared" si="31"/>
        <v>0.20642149607196225</v>
      </c>
    </row>
    <row r="1815" spans="16:18" x14ac:dyDescent="0.3">
      <c r="P1815" s="35">
        <v>21.92</v>
      </c>
      <c r="Q1815">
        <v>305</v>
      </c>
      <c r="R1815" s="34">
        <f t="shared" si="31"/>
        <v>0.20653535238529483</v>
      </c>
    </row>
    <row r="1816" spans="16:18" x14ac:dyDescent="0.3">
      <c r="P1816" s="35">
        <v>21.92</v>
      </c>
      <c r="Q1816">
        <v>305</v>
      </c>
      <c r="R1816" s="34">
        <f t="shared" si="31"/>
        <v>0.20664920869862741</v>
      </c>
    </row>
    <row r="1817" spans="16:18" x14ac:dyDescent="0.3">
      <c r="P1817" s="35">
        <v>21.92</v>
      </c>
      <c r="Q1817">
        <v>305</v>
      </c>
      <c r="R1817" s="34">
        <f t="shared" si="31"/>
        <v>0.20676306501195998</v>
      </c>
    </row>
    <row r="1818" spans="16:18" x14ac:dyDescent="0.3">
      <c r="P1818" s="35">
        <v>21.93</v>
      </c>
      <c r="Q1818">
        <v>305</v>
      </c>
      <c r="R1818" s="34">
        <f t="shared" si="31"/>
        <v>0.20687692132529256</v>
      </c>
    </row>
    <row r="1819" spans="16:18" x14ac:dyDescent="0.3">
      <c r="P1819" s="35">
        <v>21.93</v>
      </c>
      <c r="Q1819">
        <v>305</v>
      </c>
      <c r="R1819" s="34">
        <f t="shared" si="31"/>
        <v>0.20699077763862514</v>
      </c>
    </row>
    <row r="1820" spans="16:18" x14ac:dyDescent="0.3">
      <c r="P1820" s="35">
        <v>21.93</v>
      </c>
      <c r="Q1820">
        <v>305</v>
      </c>
      <c r="R1820" s="34">
        <f t="shared" si="31"/>
        <v>0.20710463395195772</v>
      </c>
    </row>
    <row r="1821" spans="16:18" x14ac:dyDescent="0.3">
      <c r="P1821" s="35">
        <v>21.93</v>
      </c>
      <c r="Q1821">
        <v>305</v>
      </c>
      <c r="R1821" s="34">
        <f t="shared" si="31"/>
        <v>0.20721849026529029</v>
      </c>
    </row>
    <row r="1822" spans="16:18" x14ac:dyDescent="0.3">
      <c r="P1822" s="35">
        <v>21.93</v>
      </c>
      <c r="Q1822">
        <v>305</v>
      </c>
      <c r="R1822" s="34">
        <f t="shared" si="31"/>
        <v>0.20733234657862287</v>
      </c>
    </row>
    <row r="1823" spans="16:18" x14ac:dyDescent="0.3">
      <c r="P1823" s="35">
        <v>21.93</v>
      </c>
      <c r="Q1823">
        <v>305</v>
      </c>
      <c r="R1823" s="34">
        <f t="shared" si="31"/>
        <v>0.20744620289195545</v>
      </c>
    </row>
    <row r="1824" spans="16:18" x14ac:dyDescent="0.3">
      <c r="P1824" s="35">
        <v>21.94</v>
      </c>
      <c r="Q1824">
        <v>305</v>
      </c>
      <c r="R1824" s="34">
        <f t="shared" si="31"/>
        <v>0.20756005920528803</v>
      </c>
    </row>
    <row r="1825" spans="16:18" x14ac:dyDescent="0.3">
      <c r="P1825" s="35">
        <v>21.94</v>
      </c>
      <c r="Q1825">
        <v>305</v>
      </c>
      <c r="R1825" s="34">
        <f t="shared" si="31"/>
        <v>0.20767391551862061</v>
      </c>
    </row>
    <row r="1826" spans="16:18" x14ac:dyDescent="0.3">
      <c r="P1826" s="35">
        <v>21.94</v>
      </c>
      <c r="Q1826">
        <v>305</v>
      </c>
      <c r="R1826" s="34">
        <f t="shared" si="31"/>
        <v>0.20778777183195318</v>
      </c>
    </row>
    <row r="1827" spans="16:18" x14ac:dyDescent="0.3">
      <c r="P1827" s="35">
        <v>21.94</v>
      </c>
      <c r="Q1827">
        <v>305</v>
      </c>
      <c r="R1827" s="34">
        <f t="shared" si="31"/>
        <v>0.20790162814528576</v>
      </c>
    </row>
    <row r="1828" spans="16:18" x14ac:dyDescent="0.3">
      <c r="P1828" s="35">
        <v>21.95</v>
      </c>
      <c r="Q1828">
        <v>305</v>
      </c>
      <c r="R1828" s="34">
        <f t="shared" si="31"/>
        <v>0.20801548445861834</v>
      </c>
    </row>
    <row r="1829" spans="16:18" x14ac:dyDescent="0.3">
      <c r="P1829" s="35">
        <v>21.95</v>
      </c>
      <c r="Q1829">
        <v>305</v>
      </c>
      <c r="R1829" s="34">
        <f t="shared" si="31"/>
        <v>0.20812934077195092</v>
      </c>
    </row>
    <row r="1830" spans="16:18" x14ac:dyDescent="0.3">
      <c r="P1830" s="35">
        <v>21.95</v>
      </c>
      <c r="Q1830">
        <v>305</v>
      </c>
      <c r="R1830" s="34">
        <f t="shared" si="31"/>
        <v>0.20824319708528349</v>
      </c>
    </row>
    <row r="1831" spans="16:18" x14ac:dyDescent="0.3">
      <c r="P1831" s="35">
        <v>21.95</v>
      </c>
      <c r="Q1831">
        <v>305</v>
      </c>
      <c r="R1831" s="34">
        <f t="shared" si="31"/>
        <v>0.20835705339861607</v>
      </c>
    </row>
    <row r="1832" spans="16:18" x14ac:dyDescent="0.3">
      <c r="P1832" s="35">
        <v>21.96</v>
      </c>
      <c r="Q1832">
        <v>305</v>
      </c>
      <c r="R1832" s="34">
        <f t="shared" si="31"/>
        <v>0.20847090971194865</v>
      </c>
    </row>
    <row r="1833" spans="16:18" x14ac:dyDescent="0.3">
      <c r="P1833" s="35">
        <v>21.96</v>
      </c>
      <c r="Q1833">
        <v>305</v>
      </c>
      <c r="R1833" s="34">
        <f t="shared" si="31"/>
        <v>0.20858476602528123</v>
      </c>
    </row>
    <row r="1834" spans="16:18" x14ac:dyDescent="0.3">
      <c r="P1834" s="35">
        <v>21.96</v>
      </c>
      <c r="Q1834">
        <v>305</v>
      </c>
      <c r="R1834" s="34">
        <f t="shared" si="31"/>
        <v>0.2086986223386138</v>
      </c>
    </row>
    <row r="1835" spans="16:18" x14ac:dyDescent="0.3">
      <c r="P1835" s="35">
        <v>21.96</v>
      </c>
      <c r="Q1835">
        <v>305</v>
      </c>
      <c r="R1835" s="34">
        <f t="shared" si="31"/>
        <v>0.20881247865194638</v>
      </c>
    </row>
    <row r="1836" spans="16:18" x14ac:dyDescent="0.3">
      <c r="P1836" s="35">
        <v>21.96</v>
      </c>
      <c r="Q1836">
        <v>305</v>
      </c>
      <c r="R1836" s="34">
        <f t="shared" si="31"/>
        <v>0.20892633496527896</v>
      </c>
    </row>
    <row r="1837" spans="16:18" x14ac:dyDescent="0.3">
      <c r="P1837" s="35">
        <v>21.97</v>
      </c>
      <c r="Q1837">
        <v>305</v>
      </c>
      <c r="R1837" s="34">
        <f t="shared" si="31"/>
        <v>0.20904019127861154</v>
      </c>
    </row>
    <row r="1838" spans="16:18" x14ac:dyDescent="0.3">
      <c r="P1838" s="35">
        <v>21.97</v>
      </c>
      <c r="Q1838">
        <v>305</v>
      </c>
      <c r="R1838" s="34">
        <f t="shared" si="31"/>
        <v>0.20915404759194411</v>
      </c>
    </row>
    <row r="1839" spans="16:18" x14ac:dyDescent="0.3">
      <c r="P1839" s="35">
        <v>21.98</v>
      </c>
      <c r="Q1839">
        <v>305</v>
      </c>
      <c r="R1839" s="34">
        <f t="shared" si="31"/>
        <v>0.20926790390527669</v>
      </c>
    </row>
    <row r="1840" spans="16:18" x14ac:dyDescent="0.3">
      <c r="P1840" s="35">
        <v>21.98</v>
      </c>
      <c r="Q1840">
        <v>305</v>
      </c>
      <c r="R1840" s="34">
        <f t="shared" si="31"/>
        <v>0.20938176021860927</v>
      </c>
    </row>
    <row r="1841" spans="16:18" x14ac:dyDescent="0.3">
      <c r="P1841" s="35">
        <v>21.98</v>
      </c>
      <c r="Q1841">
        <v>305</v>
      </c>
      <c r="R1841" s="34">
        <f t="shared" si="31"/>
        <v>0.20949561653194185</v>
      </c>
    </row>
    <row r="1842" spans="16:18" x14ac:dyDescent="0.3">
      <c r="P1842" s="35">
        <v>21.98</v>
      </c>
      <c r="Q1842">
        <v>305</v>
      </c>
      <c r="R1842" s="34">
        <f t="shared" si="31"/>
        <v>0.20960947284527442</v>
      </c>
    </row>
    <row r="1843" spans="16:18" x14ac:dyDescent="0.3">
      <c r="P1843" s="35">
        <v>21.98</v>
      </c>
      <c r="Q1843">
        <v>305</v>
      </c>
      <c r="R1843" s="34">
        <f t="shared" si="31"/>
        <v>0.209723329158607</v>
      </c>
    </row>
    <row r="1844" spans="16:18" x14ac:dyDescent="0.3">
      <c r="P1844" s="35">
        <v>21.99</v>
      </c>
      <c r="Q1844">
        <v>305</v>
      </c>
      <c r="R1844" s="34">
        <f t="shared" si="31"/>
        <v>0.20983718547193958</v>
      </c>
    </row>
    <row r="1845" spans="16:18" x14ac:dyDescent="0.3">
      <c r="P1845" s="35">
        <v>21.99</v>
      </c>
      <c r="Q1845">
        <v>305</v>
      </c>
      <c r="R1845" s="34">
        <f t="shared" si="31"/>
        <v>0.20995104178527216</v>
      </c>
    </row>
    <row r="1846" spans="16:18" x14ac:dyDescent="0.3">
      <c r="P1846" s="35">
        <v>21.99</v>
      </c>
      <c r="Q1846">
        <v>305</v>
      </c>
      <c r="R1846" s="34">
        <f t="shared" si="31"/>
        <v>0.21006489809860474</v>
      </c>
    </row>
    <row r="1847" spans="16:18" x14ac:dyDescent="0.3">
      <c r="P1847" s="35">
        <v>21.99</v>
      </c>
      <c r="Q1847">
        <v>305</v>
      </c>
      <c r="R1847" s="34">
        <f t="shared" si="31"/>
        <v>0.21017875441193731</v>
      </c>
    </row>
    <row r="1848" spans="16:18" x14ac:dyDescent="0.3">
      <c r="P1848" s="35">
        <v>21.99</v>
      </c>
      <c r="Q1848">
        <v>305</v>
      </c>
      <c r="R1848" s="34">
        <f t="shared" si="31"/>
        <v>0.21029261072526989</v>
      </c>
    </row>
    <row r="1849" spans="16:18" x14ac:dyDescent="0.3">
      <c r="P1849" s="35">
        <v>22</v>
      </c>
      <c r="Q1849">
        <v>305</v>
      </c>
      <c r="R1849" s="34">
        <f t="shared" si="31"/>
        <v>0.21040646703860247</v>
      </c>
    </row>
    <row r="1850" spans="16:18" x14ac:dyDescent="0.3">
      <c r="P1850" s="35">
        <v>22</v>
      </c>
      <c r="Q1850">
        <v>305</v>
      </c>
      <c r="R1850" s="34">
        <f t="shared" si="31"/>
        <v>0.21052032335193505</v>
      </c>
    </row>
    <row r="1851" spans="16:18" x14ac:dyDescent="0.3">
      <c r="P1851" s="35">
        <v>22</v>
      </c>
      <c r="Q1851">
        <v>305</v>
      </c>
      <c r="R1851" s="34">
        <f t="shared" si="31"/>
        <v>0.21063417966526762</v>
      </c>
    </row>
    <row r="1852" spans="16:18" x14ac:dyDescent="0.3">
      <c r="P1852" s="35">
        <v>22.01</v>
      </c>
      <c r="Q1852">
        <v>305</v>
      </c>
      <c r="R1852" s="34">
        <f t="shared" si="31"/>
        <v>0.2107480359786002</v>
      </c>
    </row>
    <row r="1853" spans="16:18" x14ac:dyDescent="0.3">
      <c r="P1853" s="35">
        <v>22.01</v>
      </c>
      <c r="Q1853">
        <v>305</v>
      </c>
      <c r="R1853" s="34">
        <f t="shared" si="31"/>
        <v>0.21086189229193278</v>
      </c>
    </row>
    <row r="1854" spans="16:18" x14ac:dyDescent="0.3">
      <c r="P1854" s="35">
        <v>22.01</v>
      </c>
      <c r="Q1854">
        <v>305</v>
      </c>
      <c r="R1854" s="34">
        <f t="shared" si="31"/>
        <v>0.21097574860526536</v>
      </c>
    </row>
    <row r="1855" spans="16:18" x14ac:dyDescent="0.3">
      <c r="P1855" s="35">
        <v>22.02</v>
      </c>
      <c r="Q1855">
        <v>305</v>
      </c>
      <c r="R1855" s="34">
        <f t="shared" si="31"/>
        <v>0.21108960491859793</v>
      </c>
    </row>
    <row r="1856" spans="16:18" x14ac:dyDescent="0.3">
      <c r="P1856" s="35">
        <v>22.02</v>
      </c>
      <c r="Q1856">
        <v>305</v>
      </c>
      <c r="R1856" s="34">
        <f t="shared" si="31"/>
        <v>0.21120346123193051</v>
      </c>
    </row>
    <row r="1857" spans="16:18" x14ac:dyDescent="0.3">
      <c r="P1857" s="35">
        <v>22.02</v>
      </c>
      <c r="Q1857">
        <v>305</v>
      </c>
      <c r="R1857" s="34">
        <f t="shared" si="31"/>
        <v>0.21131731754526309</v>
      </c>
    </row>
    <row r="1858" spans="16:18" x14ac:dyDescent="0.3">
      <c r="P1858" s="35">
        <v>22.02</v>
      </c>
      <c r="Q1858">
        <v>305</v>
      </c>
      <c r="R1858" s="34">
        <f t="shared" si="31"/>
        <v>0.21143117385859567</v>
      </c>
    </row>
    <row r="1859" spans="16:18" x14ac:dyDescent="0.3">
      <c r="P1859" s="35">
        <v>22.03</v>
      </c>
      <c r="Q1859">
        <v>305</v>
      </c>
      <c r="R1859" s="34">
        <f t="shared" si="31"/>
        <v>0.21154503017192824</v>
      </c>
    </row>
    <row r="1860" spans="16:18" x14ac:dyDescent="0.3">
      <c r="P1860" s="35">
        <v>22.03</v>
      </c>
      <c r="Q1860">
        <v>305</v>
      </c>
      <c r="R1860" s="34">
        <f t="shared" ref="R1860:R1923" si="32">R1859+R$2</f>
        <v>0.21165888648526082</v>
      </c>
    </row>
    <row r="1861" spans="16:18" x14ac:dyDescent="0.3">
      <c r="P1861" s="35">
        <v>22.03</v>
      </c>
      <c r="Q1861">
        <v>305</v>
      </c>
      <c r="R1861" s="34">
        <f t="shared" si="32"/>
        <v>0.2117727427985934</v>
      </c>
    </row>
    <row r="1862" spans="16:18" x14ac:dyDescent="0.3">
      <c r="P1862" s="35">
        <v>22.03</v>
      </c>
      <c r="Q1862">
        <v>305</v>
      </c>
      <c r="R1862" s="34">
        <f t="shared" si="32"/>
        <v>0.21188659911192598</v>
      </c>
    </row>
    <row r="1863" spans="16:18" x14ac:dyDescent="0.3">
      <c r="P1863" s="35">
        <v>22.03</v>
      </c>
      <c r="Q1863">
        <v>305</v>
      </c>
      <c r="R1863" s="34">
        <f t="shared" si="32"/>
        <v>0.21200045542525855</v>
      </c>
    </row>
    <row r="1864" spans="16:18" x14ac:dyDescent="0.3">
      <c r="P1864" s="35">
        <v>22.04</v>
      </c>
      <c r="Q1864">
        <v>305</v>
      </c>
      <c r="R1864" s="34">
        <f t="shared" si="32"/>
        <v>0.21211431173859113</v>
      </c>
    </row>
    <row r="1865" spans="16:18" x14ac:dyDescent="0.3">
      <c r="P1865" s="35">
        <v>22.04</v>
      </c>
      <c r="Q1865">
        <v>305</v>
      </c>
      <c r="R1865" s="34">
        <f t="shared" si="32"/>
        <v>0.21222816805192371</v>
      </c>
    </row>
    <row r="1866" spans="16:18" x14ac:dyDescent="0.3">
      <c r="P1866" s="35">
        <v>22.04</v>
      </c>
      <c r="Q1866">
        <v>305</v>
      </c>
      <c r="R1866" s="34">
        <f t="shared" si="32"/>
        <v>0.21234202436525629</v>
      </c>
    </row>
    <row r="1867" spans="16:18" x14ac:dyDescent="0.3">
      <c r="P1867" s="35">
        <v>22.04</v>
      </c>
      <c r="Q1867">
        <v>305</v>
      </c>
      <c r="R1867" s="34">
        <f t="shared" si="32"/>
        <v>0.21245588067858887</v>
      </c>
    </row>
    <row r="1868" spans="16:18" x14ac:dyDescent="0.3">
      <c r="P1868" s="35">
        <v>22.04</v>
      </c>
      <c r="Q1868">
        <v>305</v>
      </c>
      <c r="R1868" s="34">
        <f t="shared" si="32"/>
        <v>0.21256973699192144</v>
      </c>
    </row>
    <row r="1869" spans="16:18" x14ac:dyDescent="0.3">
      <c r="P1869" s="35">
        <v>22.04</v>
      </c>
      <c r="Q1869">
        <v>305</v>
      </c>
      <c r="R1869" s="34">
        <f t="shared" si="32"/>
        <v>0.21268359330525402</v>
      </c>
    </row>
    <row r="1870" spans="16:18" x14ac:dyDescent="0.3">
      <c r="P1870" s="35">
        <v>22.05</v>
      </c>
      <c r="Q1870">
        <v>305</v>
      </c>
      <c r="R1870" s="34">
        <f t="shared" si="32"/>
        <v>0.2127974496185866</v>
      </c>
    </row>
    <row r="1871" spans="16:18" x14ac:dyDescent="0.3">
      <c r="P1871" s="35">
        <v>22.05</v>
      </c>
      <c r="Q1871">
        <v>305</v>
      </c>
      <c r="R1871" s="34">
        <f t="shared" si="32"/>
        <v>0.21291130593191918</v>
      </c>
    </row>
    <row r="1872" spans="16:18" x14ac:dyDescent="0.3">
      <c r="P1872" s="35">
        <v>22.05</v>
      </c>
      <c r="Q1872">
        <v>305</v>
      </c>
      <c r="R1872" s="34">
        <f t="shared" si="32"/>
        <v>0.21302516224525175</v>
      </c>
    </row>
    <row r="1873" spans="16:18" x14ac:dyDescent="0.3">
      <c r="P1873" s="35">
        <v>22.05</v>
      </c>
      <c r="Q1873">
        <v>305</v>
      </c>
      <c r="R1873" s="34">
        <f t="shared" si="32"/>
        <v>0.21313901855858433</v>
      </c>
    </row>
    <row r="1874" spans="16:18" x14ac:dyDescent="0.3">
      <c r="P1874" s="35">
        <v>22.05</v>
      </c>
      <c r="Q1874">
        <v>305</v>
      </c>
      <c r="R1874" s="34">
        <f t="shared" si="32"/>
        <v>0.21325287487191691</v>
      </c>
    </row>
    <row r="1875" spans="16:18" x14ac:dyDescent="0.3">
      <c r="P1875" s="35">
        <v>22.06</v>
      </c>
      <c r="Q1875">
        <v>305</v>
      </c>
      <c r="R1875" s="34">
        <f t="shared" si="32"/>
        <v>0.21336673118524949</v>
      </c>
    </row>
    <row r="1876" spans="16:18" x14ac:dyDescent="0.3">
      <c r="P1876" s="35">
        <v>22.06</v>
      </c>
      <c r="Q1876">
        <v>305</v>
      </c>
      <c r="R1876" s="34">
        <f t="shared" si="32"/>
        <v>0.21348058749858206</v>
      </c>
    </row>
    <row r="1877" spans="16:18" x14ac:dyDescent="0.3">
      <c r="P1877" s="35">
        <v>22.06</v>
      </c>
      <c r="Q1877">
        <v>305</v>
      </c>
      <c r="R1877" s="34">
        <f t="shared" si="32"/>
        <v>0.21359444381191464</v>
      </c>
    </row>
    <row r="1878" spans="16:18" x14ac:dyDescent="0.3">
      <c r="P1878" s="35">
        <v>22.07</v>
      </c>
      <c r="Q1878">
        <v>305</v>
      </c>
      <c r="R1878" s="34">
        <f t="shared" si="32"/>
        <v>0.21370830012524722</v>
      </c>
    </row>
    <row r="1879" spans="16:18" x14ac:dyDescent="0.3">
      <c r="P1879" s="35">
        <v>22.07</v>
      </c>
      <c r="Q1879">
        <v>305</v>
      </c>
      <c r="R1879" s="34">
        <f t="shared" si="32"/>
        <v>0.2138221564385798</v>
      </c>
    </row>
    <row r="1880" spans="16:18" x14ac:dyDescent="0.3">
      <c r="P1880" s="35">
        <v>22.07</v>
      </c>
      <c r="Q1880">
        <v>305</v>
      </c>
      <c r="R1880" s="34">
        <f t="shared" si="32"/>
        <v>0.21393601275191237</v>
      </c>
    </row>
    <row r="1881" spans="16:18" x14ac:dyDescent="0.3">
      <c r="P1881" s="35">
        <v>22.07</v>
      </c>
      <c r="Q1881">
        <v>305</v>
      </c>
      <c r="R1881" s="34">
        <f t="shared" si="32"/>
        <v>0.21404986906524495</v>
      </c>
    </row>
    <row r="1882" spans="16:18" x14ac:dyDescent="0.3">
      <c r="P1882" s="35">
        <v>22.07</v>
      </c>
      <c r="Q1882">
        <v>305</v>
      </c>
      <c r="R1882" s="34">
        <f t="shared" si="32"/>
        <v>0.21416372537857753</v>
      </c>
    </row>
    <row r="1883" spans="16:18" x14ac:dyDescent="0.3">
      <c r="P1883" s="35">
        <v>22.07</v>
      </c>
      <c r="Q1883">
        <v>305</v>
      </c>
      <c r="R1883" s="34">
        <f t="shared" si="32"/>
        <v>0.21427758169191011</v>
      </c>
    </row>
    <row r="1884" spans="16:18" x14ac:dyDescent="0.3">
      <c r="P1884" s="35">
        <v>22.08</v>
      </c>
      <c r="Q1884">
        <v>305</v>
      </c>
      <c r="R1884" s="34">
        <f t="shared" si="32"/>
        <v>0.21439143800524268</v>
      </c>
    </row>
    <row r="1885" spans="16:18" x14ac:dyDescent="0.3">
      <c r="P1885" s="35">
        <v>22.08</v>
      </c>
      <c r="Q1885">
        <v>305</v>
      </c>
      <c r="R1885" s="34">
        <f t="shared" si="32"/>
        <v>0.21450529431857526</v>
      </c>
    </row>
    <row r="1886" spans="16:18" x14ac:dyDescent="0.3">
      <c r="P1886" s="35">
        <v>22.08</v>
      </c>
      <c r="Q1886">
        <v>305</v>
      </c>
      <c r="R1886" s="34">
        <f t="shared" si="32"/>
        <v>0.21461915063190784</v>
      </c>
    </row>
    <row r="1887" spans="16:18" x14ac:dyDescent="0.3">
      <c r="P1887" s="35">
        <v>22.08</v>
      </c>
      <c r="Q1887">
        <v>305</v>
      </c>
      <c r="R1887" s="34">
        <f t="shared" si="32"/>
        <v>0.21473300694524042</v>
      </c>
    </row>
    <row r="1888" spans="16:18" x14ac:dyDescent="0.3">
      <c r="P1888" s="35">
        <v>22.08</v>
      </c>
      <c r="Q1888">
        <v>305</v>
      </c>
      <c r="R1888" s="34">
        <f t="shared" si="32"/>
        <v>0.214846863258573</v>
      </c>
    </row>
    <row r="1889" spans="16:18" x14ac:dyDescent="0.3">
      <c r="P1889" s="35">
        <v>22.08</v>
      </c>
      <c r="Q1889">
        <v>305</v>
      </c>
      <c r="R1889" s="34">
        <f t="shared" si="32"/>
        <v>0.21496071957190557</v>
      </c>
    </row>
    <row r="1890" spans="16:18" x14ac:dyDescent="0.3">
      <c r="P1890" s="35">
        <v>22.09</v>
      </c>
      <c r="Q1890">
        <v>305</v>
      </c>
      <c r="R1890" s="34">
        <f t="shared" si="32"/>
        <v>0.21507457588523815</v>
      </c>
    </row>
    <row r="1891" spans="16:18" x14ac:dyDescent="0.3">
      <c r="P1891" s="35">
        <v>22.09</v>
      </c>
      <c r="Q1891">
        <v>305</v>
      </c>
      <c r="R1891" s="34">
        <f t="shared" si="32"/>
        <v>0.21518843219857073</v>
      </c>
    </row>
    <row r="1892" spans="16:18" x14ac:dyDescent="0.3">
      <c r="P1892" s="35">
        <v>22.09</v>
      </c>
      <c r="Q1892">
        <v>305</v>
      </c>
      <c r="R1892" s="34">
        <f t="shared" si="32"/>
        <v>0.21530228851190331</v>
      </c>
    </row>
    <row r="1893" spans="16:18" x14ac:dyDescent="0.3">
      <c r="P1893" s="35">
        <v>22.09</v>
      </c>
      <c r="Q1893">
        <v>305</v>
      </c>
      <c r="R1893" s="34">
        <f t="shared" si="32"/>
        <v>0.21541614482523588</v>
      </c>
    </row>
    <row r="1894" spans="16:18" x14ac:dyDescent="0.3">
      <c r="P1894" s="35">
        <v>22.09</v>
      </c>
      <c r="Q1894">
        <v>305</v>
      </c>
      <c r="R1894" s="34">
        <f t="shared" si="32"/>
        <v>0.21553000113856846</v>
      </c>
    </row>
    <row r="1895" spans="16:18" x14ac:dyDescent="0.3">
      <c r="P1895" s="35">
        <v>22.1</v>
      </c>
      <c r="Q1895">
        <v>305</v>
      </c>
      <c r="R1895" s="34">
        <f t="shared" si="32"/>
        <v>0.21564385745190104</v>
      </c>
    </row>
    <row r="1896" spans="16:18" x14ac:dyDescent="0.3">
      <c r="P1896" s="35">
        <v>22.1</v>
      </c>
      <c r="Q1896">
        <v>305</v>
      </c>
      <c r="R1896" s="34">
        <f t="shared" si="32"/>
        <v>0.21575771376523362</v>
      </c>
    </row>
    <row r="1897" spans="16:18" x14ac:dyDescent="0.3">
      <c r="P1897" s="35">
        <v>22.1</v>
      </c>
      <c r="Q1897">
        <v>305</v>
      </c>
      <c r="R1897" s="34">
        <f t="shared" si="32"/>
        <v>0.21587157007856619</v>
      </c>
    </row>
    <row r="1898" spans="16:18" x14ac:dyDescent="0.3">
      <c r="P1898" s="35">
        <v>22.1</v>
      </c>
      <c r="Q1898">
        <v>305</v>
      </c>
      <c r="R1898" s="34">
        <f t="shared" si="32"/>
        <v>0.21598542639189877</v>
      </c>
    </row>
    <row r="1899" spans="16:18" x14ac:dyDescent="0.3">
      <c r="P1899" s="35">
        <v>22.1</v>
      </c>
      <c r="Q1899">
        <v>305</v>
      </c>
      <c r="R1899" s="34">
        <f t="shared" si="32"/>
        <v>0.21609928270523135</v>
      </c>
    </row>
    <row r="1900" spans="16:18" x14ac:dyDescent="0.3">
      <c r="P1900" s="35">
        <v>22.11</v>
      </c>
      <c r="Q1900">
        <v>305</v>
      </c>
      <c r="R1900" s="34">
        <f t="shared" si="32"/>
        <v>0.21621313901856393</v>
      </c>
    </row>
    <row r="1901" spans="16:18" x14ac:dyDescent="0.3">
      <c r="P1901" s="35">
        <v>22.11</v>
      </c>
      <c r="Q1901">
        <v>305</v>
      </c>
      <c r="R1901" s="34">
        <f t="shared" si="32"/>
        <v>0.2163269953318965</v>
      </c>
    </row>
    <row r="1902" spans="16:18" x14ac:dyDescent="0.3">
      <c r="P1902" s="35">
        <v>22.11</v>
      </c>
      <c r="Q1902">
        <v>305</v>
      </c>
      <c r="R1902" s="34">
        <f t="shared" si="32"/>
        <v>0.21644085164522908</v>
      </c>
    </row>
    <row r="1903" spans="16:18" x14ac:dyDescent="0.3">
      <c r="P1903" s="35">
        <v>22.11</v>
      </c>
      <c r="Q1903">
        <v>305</v>
      </c>
      <c r="R1903" s="34">
        <f t="shared" si="32"/>
        <v>0.21655470795856166</v>
      </c>
    </row>
    <row r="1904" spans="16:18" x14ac:dyDescent="0.3">
      <c r="P1904" s="35">
        <v>22.12</v>
      </c>
      <c r="Q1904">
        <v>305</v>
      </c>
      <c r="R1904" s="34">
        <f t="shared" si="32"/>
        <v>0.21666856427189424</v>
      </c>
    </row>
    <row r="1905" spans="16:18" x14ac:dyDescent="0.3">
      <c r="P1905" s="35">
        <v>22.13</v>
      </c>
      <c r="Q1905">
        <v>305</v>
      </c>
      <c r="R1905" s="34">
        <f t="shared" si="32"/>
        <v>0.21678242058522681</v>
      </c>
    </row>
    <row r="1906" spans="16:18" x14ac:dyDescent="0.3">
      <c r="P1906" s="35">
        <v>22.13</v>
      </c>
      <c r="Q1906">
        <v>305</v>
      </c>
      <c r="R1906" s="34">
        <f t="shared" si="32"/>
        <v>0.21689627689855939</v>
      </c>
    </row>
    <row r="1907" spans="16:18" x14ac:dyDescent="0.3">
      <c r="P1907" s="35">
        <v>22.14</v>
      </c>
      <c r="Q1907">
        <v>305</v>
      </c>
      <c r="R1907" s="34">
        <f t="shared" si="32"/>
        <v>0.21701013321189197</v>
      </c>
    </row>
    <row r="1908" spans="16:18" x14ac:dyDescent="0.3">
      <c r="P1908" s="35">
        <v>22.14</v>
      </c>
      <c r="Q1908">
        <v>305</v>
      </c>
      <c r="R1908" s="34">
        <f t="shared" si="32"/>
        <v>0.21712398952522455</v>
      </c>
    </row>
    <row r="1909" spans="16:18" x14ac:dyDescent="0.3">
      <c r="P1909" s="35">
        <v>22.14</v>
      </c>
      <c r="Q1909">
        <v>305</v>
      </c>
      <c r="R1909" s="34">
        <f t="shared" si="32"/>
        <v>0.21723784583855713</v>
      </c>
    </row>
    <row r="1910" spans="16:18" x14ac:dyDescent="0.3">
      <c r="P1910" s="35">
        <v>22.14</v>
      </c>
      <c r="Q1910">
        <v>305</v>
      </c>
      <c r="R1910" s="34">
        <f t="shared" si="32"/>
        <v>0.2173517021518897</v>
      </c>
    </row>
    <row r="1911" spans="16:18" x14ac:dyDescent="0.3">
      <c r="P1911" s="35">
        <v>22.14</v>
      </c>
      <c r="Q1911">
        <v>305</v>
      </c>
      <c r="R1911" s="34">
        <f t="shared" si="32"/>
        <v>0.21746555846522228</v>
      </c>
    </row>
    <row r="1912" spans="16:18" x14ac:dyDescent="0.3">
      <c r="P1912" s="35">
        <v>22.15</v>
      </c>
      <c r="Q1912">
        <v>305</v>
      </c>
      <c r="R1912" s="34">
        <f t="shared" si="32"/>
        <v>0.21757941477855486</v>
      </c>
    </row>
    <row r="1913" spans="16:18" x14ac:dyDescent="0.3">
      <c r="P1913" s="35">
        <v>22.15</v>
      </c>
      <c r="Q1913">
        <v>305</v>
      </c>
      <c r="R1913" s="34">
        <f t="shared" si="32"/>
        <v>0.21769327109188744</v>
      </c>
    </row>
    <row r="1914" spans="16:18" x14ac:dyDescent="0.3">
      <c r="P1914" s="35">
        <v>22.15</v>
      </c>
      <c r="Q1914">
        <v>305</v>
      </c>
      <c r="R1914" s="34">
        <f t="shared" si="32"/>
        <v>0.21780712740522001</v>
      </c>
    </row>
    <row r="1915" spans="16:18" x14ac:dyDescent="0.3">
      <c r="P1915" s="35">
        <v>22.16</v>
      </c>
      <c r="Q1915">
        <v>305</v>
      </c>
      <c r="R1915" s="34">
        <f t="shared" si="32"/>
        <v>0.21792098371855259</v>
      </c>
    </row>
    <row r="1916" spans="16:18" x14ac:dyDescent="0.3">
      <c r="P1916" s="35">
        <v>22.16</v>
      </c>
      <c r="Q1916">
        <v>305</v>
      </c>
      <c r="R1916" s="34">
        <f t="shared" si="32"/>
        <v>0.21803484003188517</v>
      </c>
    </row>
    <row r="1917" spans="16:18" x14ac:dyDescent="0.3">
      <c r="P1917" s="35">
        <v>22.16</v>
      </c>
      <c r="Q1917">
        <v>305</v>
      </c>
      <c r="R1917" s="34">
        <f t="shared" si="32"/>
        <v>0.21814869634521775</v>
      </c>
    </row>
    <row r="1918" spans="16:18" x14ac:dyDescent="0.3">
      <c r="P1918" s="35">
        <v>22.16</v>
      </c>
      <c r="Q1918">
        <v>305</v>
      </c>
      <c r="R1918" s="34">
        <f t="shared" si="32"/>
        <v>0.21826255265855032</v>
      </c>
    </row>
    <row r="1919" spans="16:18" x14ac:dyDescent="0.3">
      <c r="P1919" s="35">
        <v>22.16</v>
      </c>
      <c r="Q1919">
        <v>305</v>
      </c>
      <c r="R1919" s="34">
        <f t="shared" si="32"/>
        <v>0.2183764089718829</v>
      </c>
    </row>
    <row r="1920" spans="16:18" x14ac:dyDescent="0.3">
      <c r="P1920" s="35">
        <v>22.16</v>
      </c>
      <c r="Q1920">
        <v>305</v>
      </c>
      <c r="R1920" s="34">
        <f t="shared" si="32"/>
        <v>0.21849026528521548</v>
      </c>
    </row>
    <row r="1921" spans="16:18" x14ac:dyDescent="0.3">
      <c r="P1921" s="35">
        <v>22.16</v>
      </c>
      <c r="Q1921">
        <v>305</v>
      </c>
      <c r="R1921" s="34">
        <f t="shared" si="32"/>
        <v>0.21860412159854806</v>
      </c>
    </row>
    <row r="1922" spans="16:18" x14ac:dyDescent="0.3">
      <c r="P1922" s="35">
        <v>22.16</v>
      </c>
      <c r="Q1922">
        <v>305</v>
      </c>
      <c r="R1922" s="34">
        <f t="shared" si="32"/>
        <v>0.21871797791188063</v>
      </c>
    </row>
    <row r="1923" spans="16:18" x14ac:dyDescent="0.3">
      <c r="P1923" s="35">
        <v>22.16</v>
      </c>
      <c r="Q1923">
        <v>305</v>
      </c>
      <c r="R1923" s="34">
        <f t="shared" si="32"/>
        <v>0.21883183422521321</v>
      </c>
    </row>
    <row r="1924" spans="16:18" x14ac:dyDescent="0.3">
      <c r="P1924" s="35">
        <v>22.17</v>
      </c>
      <c r="Q1924">
        <v>305</v>
      </c>
      <c r="R1924" s="34">
        <f t="shared" ref="R1924:R1987" si="33">R1923+R$2</f>
        <v>0.21894569053854579</v>
      </c>
    </row>
    <row r="1925" spans="16:18" x14ac:dyDescent="0.3">
      <c r="P1925" s="35">
        <v>22.17</v>
      </c>
      <c r="Q1925">
        <v>305</v>
      </c>
      <c r="R1925" s="34">
        <f t="shared" si="33"/>
        <v>0.21905954685187837</v>
      </c>
    </row>
    <row r="1926" spans="16:18" x14ac:dyDescent="0.3">
      <c r="P1926" s="35">
        <v>22.17</v>
      </c>
      <c r="Q1926">
        <v>305</v>
      </c>
      <c r="R1926" s="34">
        <f t="shared" si="33"/>
        <v>0.21917340316521094</v>
      </c>
    </row>
    <row r="1927" spans="16:18" x14ac:dyDescent="0.3">
      <c r="P1927" s="35">
        <v>22.17</v>
      </c>
      <c r="Q1927">
        <v>305</v>
      </c>
      <c r="R1927" s="34">
        <f t="shared" si="33"/>
        <v>0.21928725947854352</v>
      </c>
    </row>
    <row r="1928" spans="16:18" x14ac:dyDescent="0.3">
      <c r="P1928" s="35">
        <v>22.18</v>
      </c>
      <c r="Q1928">
        <v>305</v>
      </c>
      <c r="R1928" s="34">
        <f t="shared" si="33"/>
        <v>0.2194011157918761</v>
      </c>
    </row>
    <row r="1929" spans="16:18" x14ac:dyDescent="0.3">
      <c r="P1929" s="35">
        <v>22.18</v>
      </c>
      <c r="Q1929">
        <v>305</v>
      </c>
      <c r="R1929" s="34">
        <f t="shared" si="33"/>
        <v>0.21951497210520868</v>
      </c>
    </row>
    <row r="1930" spans="16:18" x14ac:dyDescent="0.3">
      <c r="P1930" s="35">
        <v>22.18</v>
      </c>
      <c r="Q1930">
        <v>305</v>
      </c>
      <c r="R1930" s="34">
        <f t="shared" si="33"/>
        <v>0.21962882841854126</v>
      </c>
    </row>
    <row r="1931" spans="16:18" x14ac:dyDescent="0.3">
      <c r="P1931" s="35">
        <v>22.19</v>
      </c>
      <c r="Q1931">
        <v>305</v>
      </c>
      <c r="R1931" s="34">
        <f t="shared" si="33"/>
        <v>0.21974268473187383</v>
      </c>
    </row>
    <row r="1932" spans="16:18" x14ac:dyDescent="0.3">
      <c r="P1932" s="35">
        <v>22.19</v>
      </c>
      <c r="Q1932">
        <v>305</v>
      </c>
      <c r="R1932" s="34">
        <f t="shared" si="33"/>
        <v>0.21985654104520641</v>
      </c>
    </row>
    <row r="1933" spans="16:18" x14ac:dyDescent="0.3">
      <c r="P1933" s="35">
        <v>22.2</v>
      </c>
      <c r="Q1933">
        <v>305</v>
      </c>
      <c r="R1933" s="34">
        <f t="shared" si="33"/>
        <v>0.21997039735853899</v>
      </c>
    </row>
    <row r="1934" spans="16:18" x14ac:dyDescent="0.3">
      <c r="P1934" s="35">
        <v>22.2</v>
      </c>
      <c r="Q1934">
        <v>305</v>
      </c>
      <c r="R1934" s="34">
        <f t="shared" si="33"/>
        <v>0.22008425367187157</v>
      </c>
    </row>
    <row r="1935" spans="16:18" x14ac:dyDescent="0.3">
      <c r="P1935" s="35">
        <v>22.2</v>
      </c>
      <c r="Q1935">
        <v>305</v>
      </c>
      <c r="R1935" s="34">
        <f t="shared" si="33"/>
        <v>0.22019810998520414</v>
      </c>
    </row>
    <row r="1936" spans="16:18" x14ac:dyDescent="0.3">
      <c r="P1936" s="35">
        <v>22.2</v>
      </c>
      <c r="Q1936">
        <v>305</v>
      </c>
      <c r="R1936" s="34">
        <f t="shared" si="33"/>
        <v>0.22031196629853672</v>
      </c>
    </row>
    <row r="1937" spans="16:18" x14ac:dyDescent="0.3">
      <c r="P1937" s="35">
        <v>22.21</v>
      </c>
      <c r="Q1937">
        <v>305</v>
      </c>
      <c r="R1937" s="34">
        <f t="shared" si="33"/>
        <v>0.2204258226118693</v>
      </c>
    </row>
    <row r="1938" spans="16:18" x14ac:dyDescent="0.3">
      <c r="P1938" s="35">
        <v>22.22</v>
      </c>
      <c r="Q1938">
        <v>305</v>
      </c>
      <c r="R1938" s="34">
        <f t="shared" si="33"/>
        <v>0.22053967892520188</v>
      </c>
    </row>
    <row r="1939" spans="16:18" x14ac:dyDescent="0.3">
      <c r="P1939" s="35">
        <v>22.22</v>
      </c>
      <c r="Q1939">
        <v>305</v>
      </c>
      <c r="R1939" s="34">
        <f t="shared" si="33"/>
        <v>0.22065353523853445</v>
      </c>
    </row>
    <row r="1940" spans="16:18" x14ac:dyDescent="0.3">
      <c r="P1940" s="35">
        <v>22.23</v>
      </c>
      <c r="Q1940">
        <v>305</v>
      </c>
      <c r="R1940" s="34">
        <f t="shared" si="33"/>
        <v>0.22076739155186703</v>
      </c>
    </row>
    <row r="1941" spans="16:18" x14ac:dyDescent="0.3">
      <c r="P1941" s="35">
        <v>22.23</v>
      </c>
      <c r="Q1941">
        <v>305</v>
      </c>
      <c r="R1941" s="34">
        <f t="shared" si="33"/>
        <v>0.22088124786519961</v>
      </c>
    </row>
    <row r="1942" spans="16:18" x14ac:dyDescent="0.3">
      <c r="P1942" s="35">
        <v>22.23</v>
      </c>
      <c r="Q1942">
        <v>305</v>
      </c>
      <c r="R1942" s="34">
        <f t="shared" si="33"/>
        <v>0.22099510417853219</v>
      </c>
    </row>
    <row r="1943" spans="16:18" x14ac:dyDescent="0.3">
      <c r="P1943" s="35">
        <v>22.23</v>
      </c>
      <c r="Q1943">
        <v>305</v>
      </c>
      <c r="R1943" s="34">
        <f t="shared" si="33"/>
        <v>0.22110896049186476</v>
      </c>
    </row>
    <row r="1944" spans="16:18" x14ac:dyDescent="0.3">
      <c r="P1944" s="35">
        <v>22.23</v>
      </c>
      <c r="Q1944">
        <v>305</v>
      </c>
      <c r="R1944" s="34">
        <f t="shared" si="33"/>
        <v>0.22122281680519734</v>
      </c>
    </row>
    <row r="1945" spans="16:18" x14ac:dyDescent="0.3">
      <c r="P1945" s="35">
        <v>22.24</v>
      </c>
      <c r="Q1945">
        <v>305</v>
      </c>
      <c r="R1945" s="34">
        <f t="shared" si="33"/>
        <v>0.22133667311852992</v>
      </c>
    </row>
    <row r="1946" spans="16:18" x14ac:dyDescent="0.3">
      <c r="P1946" s="35">
        <v>22.24</v>
      </c>
      <c r="Q1946">
        <v>305</v>
      </c>
      <c r="R1946" s="34">
        <f t="shared" si="33"/>
        <v>0.2214505294318625</v>
      </c>
    </row>
    <row r="1947" spans="16:18" x14ac:dyDescent="0.3">
      <c r="P1947" s="35">
        <v>22.24</v>
      </c>
      <c r="Q1947">
        <v>305</v>
      </c>
      <c r="R1947" s="34">
        <f t="shared" si="33"/>
        <v>0.22156438574519507</v>
      </c>
    </row>
    <row r="1948" spans="16:18" x14ac:dyDescent="0.3">
      <c r="P1948" s="35">
        <v>22.25</v>
      </c>
      <c r="Q1948">
        <v>305</v>
      </c>
      <c r="R1948" s="34">
        <f t="shared" si="33"/>
        <v>0.22167824205852765</v>
      </c>
    </row>
    <row r="1949" spans="16:18" x14ac:dyDescent="0.3">
      <c r="P1949" s="35">
        <v>22.25</v>
      </c>
      <c r="Q1949">
        <v>305</v>
      </c>
      <c r="R1949" s="34">
        <f t="shared" si="33"/>
        <v>0.22179209837186023</v>
      </c>
    </row>
    <row r="1950" spans="16:18" x14ac:dyDescent="0.3">
      <c r="P1950" s="35">
        <v>22.25</v>
      </c>
      <c r="Q1950">
        <v>305</v>
      </c>
      <c r="R1950" s="34">
        <f t="shared" si="33"/>
        <v>0.22190595468519281</v>
      </c>
    </row>
    <row r="1951" spans="16:18" x14ac:dyDescent="0.3">
      <c r="P1951" s="35">
        <v>22.25</v>
      </c>
      <c r="Q1951">
        <v>305</v>
      </c>
      <c r="R1951" s="34">
        <f t="shared" si="33"/>
        <v>0.22201981099852539</v>
      </c>
    </row>
    <row r="1952" spans="16:18" x14ac:dyDescent="0.3">
      <c r="P1952" s="35">
        <v>22.25</v>
      </c>
      <c r="Q1952">
        <v>305</v>
      </c>
      <c r="R1952" s="34">
        <f t="shared" si="33"/>
        <v>0.22213366731185796</v>
      </c>
    </row>
    <row r="1953" spans="16:18" x14ac:dyDescent="0.3">
      <c r="P1953" s="35">
        <v>22.25</v>
      </c>
      <c r="Q1953">
        <v>305</v>
      </c>
      <c r="R1953" s="34">
        <f t="shared" si="33"/>
        <v>0.22224752362519054</v>
      </c>
    </row>
    <row r="1954" spans="16:18" x14ac:dyDescent="0.3">
      <c r="P1954" s="35">
        <v>22.26</v>
      </c>
      <c r="Q1954">
        <v>305</v>
      </c>
      <c r="R1954" s="34">
        <f t="shared" si="33"/>
        <v>0.22236137993852312</v>
      </c>
    </row>
    <row r="1955" spans="16:18" x14ac:dyDescent="0.3">
      <c r="P1955" s="35">
        <v>22.26</v>
      </c>
      <c r="Q1955">
        <v>305</v>
      </c>
      <c r="R1955" s="34">
        <f t="shared" si="33"/>
        <v>0.2224752362518557</v>
      </c>
    </row>
    <row r="1956" spans="16:18" x14ac:dyDescent="0.3">
      <c r="P1956" s="35">
        <v>22.27</v>
      </c>
      <c r="Q1956">
        <v>305</v>
      </c>
      <c r="R1956" s="34">
        <f t="shared" si="33"/>
        <v>0.22258909256518827</v>
      </c>
    </row>
    <row r="1957" spans="16:18" x14ac:dyDescent="0.3">
      <c r="P1957" s="35">
        <v>22.27</v>
      </c>
      <c r="Q1957">
        <v>305</v>
      </c>
      <c r="R1957" s="34">
        <f t="shared" si="33"/>
        <v>0.22270294887852085</v>
      </c>
    </row>
    <row r="1958" spans="16:18" x14ac:dyDescent="0.3">
      <c r="P1958" s="35">
        <v>22.27</v>
      </c>
      <c r="Q1958">
        <v>305</v>
      </c>
      <c r="R1958" s="34">
        <f t="shared" si="33"/>
        <v>0.22281680519185343</v>
      </c>
    </row>
    <row r="1959" spans="16:18" x14ac:dyDescent="0.3">
      <c r="P1959" s="35">
        <v>22.28</v>
      </c>
      <c r="Q1959">
        <v>305</v>
      </c>
      <c r="R1959" s="34">
        <f t="shared" si="33"/>
        <v>0.22293066150518601</v>
      </c>
    </row>
    <row r="1960" spans="16:18" x14ac:dyDescent="0.3">
      <c r="P1960" s="35">
        <v>22.28</v>
      </c>
      <c r="Q1960">
        <v>305</v>
      </c>
      <c r="R1960" s="34">
        <f t="shared" si="33"/>
        <v>0.22304451781851858</v>
      </c>
    </row>
    <row r="1961" spans="16:18" x14ac:dyDescent="0.3">
      <c r="P1961" s="35">
        <v>22.28</v>
      </c>
      <c r="Q1961">
        <v>305</v>
      </c>
      <c r="R1961" s="34">
        <f t="shared" si="33"/>
        <v>0.22315837413185116</v>
      </c>
    </row>
    <row r="1962" spans="16:18" x14ac:dyDescent="0.3">
      <c r="P1962" s="35">
        <v>22.28</v>
      </c>
      <c r="Q1962">
        <v>305</v>
      </c>
      <c r="R1962" s="34">
        <f t="shared" si="33"/>
        <v>0.22327223044518374</v>
      </c>
    </row>
    <row r="1963" spans="16:18" x14ac:dyDescent="0.3">
      <c r="P1963" s="35">
        <v>22.28</v>
      </c>
      <c r="Q1963">
        <v>305</v>
      </c>
      <c r="R1963" s="34">
        <f t="shared" si="33"/>
        <v>0.22338608675851632</v>
      </c>
    </row>
    <row r="1964" spans="16:18" x14ac:dyDescent="0.3">
      <c r="P1964" s="35">
        <v>22.28</v>
      </c>
      <c r="Q1964">
        <v>305</v>
      </c>
      <c r="R1964" s="34">
        <f t="shared" si="33"/>
        <v>0.22349994307184889</v>
      </c>
    </row>
    <row r="1965" spans="16:18" x14ac:dyDescent="0.3">
      <c r="P1965" s="35">
        <v>22.29</v>
      </c>
      <c r="Q1965">
        <v>305</v>
      </c>
      <c r="R1965" s="34">
        <f t="shared" si="33"/>
        <v>0.22361379938518147</v>
      </c>
    </row>
    <row r="1966" spans="16:18" x14ac:dyDescent="0.3">
      <c r="P1966" s="35">
        <v>22.29</v>
      </c>
      <c r="Q1966">
        <v>305</v>
      </c>
      <c r="R1966" s="34">
        <f t="shared" si="33"/>
        <v>0.22372765569851405</v>
      </c>
    </row>
    <row r="1967" spans="16:18" x14ac:dyDescent="0.3">
      <c r="P1967" s="35">
        <v>22.29</v>
      </c>
      <c r="Q1967">
        <v>305</v>
      </c>
      <c r="R1967" s="34">
        <f t="shared" si="33"/>
        <v>0.22384151201184663</v>
      </c>
    </row>
    <row r="1968" spans="16:18" x14ac:dyDescent="0.3">
      <c r="P1968" s="35">
        <v>22.3</v>
      </c>
      <c r="Q1968">
        <v>305</v>
      </c>
      <c r="R1968" s="34">
        <f t="shared" si="33"/>
        <v>0.2239553683251792</v>
      </c>
    </row>
    <row r="1969" spans="16:18" x14ac:dyDescent="0.3">
      <c r="P1969" s="35">
        <v>22.3</v>
      </c>
      <c r="Q1969">
        <v>305</v>
      </c>
      <c r="R1969" s="34">
        <f t="shared" si="33"/>
        <v>0.22406922463851178</v>
      </c>
    </row>
    <row r="1970" spans="16:18" x14ac:dyDescent="0.3">
      <c r="P1970" s="35">
        <v>22.31</v>
      </c>
      <c r="Q1970">
        <v>305</v>
      </c>
      <c r="R1970" s="34">
        <f t="shared" si="33"/>
        <v>0.22418308095184436</v>
      </c>
    </row>
    <row r="1971" spans="16:18" x14ac:dyDescent="0.3">
      <c r="P1971" s="35">
        <v>22.31</v>
      </c>
      <c r="Q1971">
        <v>305</v>
      </c>
      <c r="R1971" s="34">
        <f t="shared" si="33"/>
        <v>0.22429693726517694</v>
      </c>
    </row>
    <row r="1972" spans="16:18" x14ac:dyDescent="0.3">
      <c r="P1972" s="35">
        <v>22.31</v>
      </c>
      <c r="Q1972">
        <v>305</v>
      </c>
      <c r="R1972" s="34">
        <f t="shared" si="33"/>
        <v>0.22441079357850952</v>
      </c>
    </row>
    <row r="1973" spans="16:18" x14ac:dyDescent="0.3">
      <c r="P1973" s="35">
        <v>22.32</v>
      </c>
      <c r="Q1973">
        <v>305</v>
      </c>
      <c r="R1973" s="34">
        <f t="shared" si="33"/>
        <v>0.22452464989184209</v>
      </c>
    </row>
    <row r="1974" spans="16:18" x14ac:dyDescent="0.3">
      <c r="P1974" s="35">
        <v>22.32</v>
      </c>
      <c r="Q1974">
        <v>305</v>
      </c>
      <c r="R1974" s="34">
        <f t="shared" si="33"/>
        <v>0.22463850620517467</v>
      </c>
    </row>
    <row r="1975" spans="16:18" x14ac:dyDescent="0.3">
      <c r="P1975" s="35">
        <v>22.33</v>
      </c>
      <c r="Q1975">
        <v>305</v>
      </c>
      <c r="R1975" s="34">
        <f t="shared" si="33"/>
        <v>0.22475236251850725</v>
      </c>
    </row>
    <row r="1976" spans="16:18" x14ac:dyDescent="0.3">
      <c r="P1976" s="35">
        <v>22.33</v>
      </c>
      <c r="Q1976">
        <v>305</v>
      </c>
      <c r="R1976" s="34">
        <f t="shared" si="33"/>
        <v>0.22486621883183983</v>
      </c>
    </row>
    <row r="1977" spans="16:18" x14ac:dyDescent="0.3">
      <c r="P1977" s="35">
        <v>22.33</v>
      </c>
      <c r="Q1977">
        <v>305</v>
      </c>
      <c r="R1977" s="34">
        <f t="shared" si="33"/>
        <v>0.2249800751451724</v>
      </c>
    </row>
    <row r="1978" spans="16:18" x14ac:dyDescent="0.3">
      <c r="P1978" s="35">
        <v>22.34</v>
      </c>
      <c r="Q1978">
        <v>305</v>
      </c>
      <c r="R1978" s="34">
        <f t="shared" si="33"/>
        <v>0.22509393145850498</v>
      </c>
    </row>
    <row r="1979" spans="16:18" x14ac:dyDescent="0.3">
      <c r="P1979" s="35">
        <v>22.34</v>
      </c>
      <c r="Q1979">
        <v>305</v>
      </c>
      <c r="R1979" s="34">
        <f t="shared" si="33"/>
        <v>0.22520778777183756</v>
      </c>
    </row>
    <row r="1980" spans="16:18" x14ac:dyDescent="0.3">
      <c r="P1980" s="35">
        <v>22.35</v>
      </c>
      <c r="Q1980">
        <v>305</v>
      </c>
      <c r="R1980" s="34">
        <f t="shared" si="33"/>
        <v>0.22532164408517014</v>
      </c>
    </row>
    <row r="1981" spans="16:18" x14ac:dyDescent="0.3">
      <c r="P1981" s="35">
        <v>22.35</v>
      </c>
      <c r="Q1981">
        <v>305</v>
      </c>
      <c r="R1981" s="34">
        <f t="shared" si="33"/>
        <v>0.22543550039850271</v>
      </c>
    </row>
    <row r="1982" spans="16:18" x14ac:dyDescent="0.3">
      <c r="P1982" s="35">
        <v>22.35</v>
      </c>
      <c r="Q1982">
        <v>305</v>
      </c>
      <c r="R1982" s="34">
        <f t="shared" si="33"/>
        <v>0.22554935671183529</v>
      </c>
    </row>
    <row r="1983" spans="16:18" x14ac:dyDescent="0.3">
      <c r="P1983" s="35">
        <v>22.35</v>
      </c>
      <c r="Q1983">
        <v>305</v>
      </c>
      <c r="R1983" s="34">
        <f t="shared" si="33"/>
        <v>0.22566321302516787</v>
      </c>
    </row>
    <row r="1984" spans="16:18" x14ac:dyDescent="0.3">
      <c r="P1984" s="35">
        <v>22.35</v>
      </c>
      <c r="Q1984">
        <v>305</v>
      </c>
      <c r="R1984" s="34">
        <f t="shared" si="33"/>
        <v>0.22577706933850045</v>
      </c>
    </row>
    <row r="1985" spans="16:18" x14ac:dyDescent="0.3">
      <c r="P1985" s="35">
        <v>22.35</v>
      </c>
      <c r="Q1985">
        <v>305</v>
      </c>
      <c r="R1985" s="34">
        <f t="shared" si="33"/>
        <v>0.22589092565183302</v>
      </c>
    </row>
    <row r="1986" spans="16:18" x14ac:dyDescent="0.3">
      <c r="P1986" s="35">
        <v>22.35</v>
      </c>
      <c r="Q1986">
        <v>305</v>
      </c>
      <c r="R1986" s="34">
        <f t="shared" si="33"/>
        <v>0.2260047819651656</v>
      </c>
    </row>
    <row r="1987" spans="16:18" x14ac:dyDescent="0.3">
      <c r="P1987" s="35">
        <v>22.36</v>
      </c>
      <c r="Q1987">
        <v>305</v>
      </c>
      <c r="R1987" s="34">
        <f t="shared" si="33"/>
        <v>0.22611863827849818</v>
      </c>
    </row>
    <row r="1988" spans="16:18" x14ac:dyDescent="0.3">
      <c r="P1988" s="35">
        <v>22.36</v>
      </c>
      <c r="Q1988">
        <v>305</v>
      </c>
      <c r="R1988" s="34">
        <f t="shared" ref="R1988:R2051" si="34">R1987+R$2</f>
        <v>0.22623249459183076</v>
      </c>
    </row>
    <row r="1989" spans="16:18" x14ac:dyDescent="0.3">
      <c r="P1989" s="35">
        <v>22.36</v>
      </c>
      <c r="Q1989">
        <v>305</v>
      </c>
      <c r="R1989" s="34">
        <f t="shared" si="34"/>
        <v>0.22634635090516333</v>
      </c>
    </row>
    <row r="1990" spans="16:18" x14ac:dyDescent="0.3">
      <c r="P1990" s="35">
        <v>22.36</v>
      </c>
      <c r="Q1990">
        <v>305</v>
      </c>
      <c r="R1990" s="34">
        <f t="shared" si="34"/>
        <v>0.22646020721849591</v>
      </c>
    </row>
    <row r="1991" spans="16:18" x14ac:dyDescent="0.3">
      <c r="P1991" s="35">
        <v>22.36</v>
      </c>
      <c r="Q1991">
        <v>305</v>
      </c>
      <c r="R1991" s="34">
        <f t="shared" si="34"/>
        <v>0.22657406353182849</v>
      </c>
    </row>
    <row r="1992" spans="16:18" x14ac:dyDescent="0.3">
      <c r="P1992" s="35">
        <v>22.36</v>
      </c>
      <c r="Q1992">
        <v>305</v>
      </c>
      <c r="R1992" s="34">
        <f t="shared" si="34"/>
        <v>0.22668791984516107</v>
      </c>
    </row>
    <row r="1993" spans="16:18" x14ac:dyDescent="0.3">
      <c r="P1993" s="35">
        <v>22.37</v>
      </c>
      <c r="Q1993">
        <v>305</v>
      </c>
      <c r="R1993" s="34">
        <f t="shared" si="34"/>
        <v>0.22680177615849365</v>
      </c>
    </row>
    <row r="1994" spans="16:18" x14ac:dyDescent="0.3">
      <c r="P1994" s="35">
        <v>22.37</v>
      </c>
      <c r="Q1994">
        <v>305</v>
      </c>
      <c r="R1994" s="34">
        <f t="shared" si="34"/>
        <v>0.22691563247182622</v>
      </c>
    </row>
    <row r="1995" spans="16:18" x14ac:dyDescent="0.3">
      <c r="P1995" s="35">
        <v>22.37</v>
      </c>
      <c r="Q1995">
        <v>305</v>
      </c>
      <c r="R1995" s="34">
        <f t="shared" si="34"/>
        <v>0.2270294887851588</v>
      </c>
    </row>
    <row r="1996" spans="16:18" x14ac:dyDescent="0.3">
      <c r="P1996" s="35">
        <v>22.37</v>
      </c>
      <c r="Q1996">
        <v>305</v>
      </c>
      <c r="R1996" s="34">
        <f t="shared" si="34"/>
        <v>0.22714334509849138</v>
      </c>
    </row>
    <row r="1997" spans="16:18" x14ac:dyDescent="0.3">
      <c r="P1997" s="35">
        <v>22.37</v>
      </c>
      <c r="Q1997">
        <v>305</v>
      </c>
      <c r="R1997" s="34">
        <f t="shared" si="34"/>
        <v>0.22725720141182396</v>
      </c>
    </row>
    <row r="1998" spans="16:18" x14ac:dyDescent="0.3">
      <c r="P1998" s="35">
        <v>22.37</v>
      </c>
      <c r="Q1998">
        <v>305</v>
      </c>
      <c r="R1998" s="34">
        <f t="shared" si="34"/>
        <v>0.22737105772515653</v>
      </c>
    </row>
    <row r="1999" spans="16:18" x14ac:dyDescent="0.3">
      <c r="P1999" s="35">
        <v>22.38</v>
      </c>
      <c r="Q1999">
        <v>305</v>
      </c>
      <c r="R1999" s="34">
        <f t="shared" si="34"/>
        <v>0.22748491403848911</v>
      </c>
    </row>
    <row r="2000" spans="16:18" x14ac:dyDescent="0.3">
      <c r="P2000" s="35">
        <v>22.38</v>
      </c>
      <c r="Q2000">
        <v>305</v>
      </c>
      <c r="R2000" s="34">
        <f t="shared" si="34"/>
        <v>0.22759877035182169</v>
      </c>
    </row>
    <row r="2001" spans="16:18" x14ac:dyDescent="0.3">
      <c r="P2001" s="35">
        <v>22.39</v>
      </c>
      <c r="Q2001">
        <v>305</v>
      </c>
      <c r="R2001" s="34">
        <f t="shared" si="34"/>
        <v>0.22771262666515427</v>
      </c>
    </row>
    <row r="2002" spans="16:18" x14ac:dyDescent="0.3">
      <c r="P2002" s="35">
        <v>22.39</v>
      </c>
      <c r="Q2002">
        <v>305</v>
      </c>
      <c r="R2002" s="34">
        <f t="shared" si="34"/>
        <v>0.22782648297848684</v>
      </c>
    </row>
    <row r="2003" spans="16:18" x14ac:dyDescent="0.3">
      <c r="P2003" s="35">
        <v>22.39</v>
      </c>
      <c r="Q2003">
        <v>305</v>
      </c>
      <c r="R2003" s="34">
        <f t="shared" si="34"/>
        <v>0.22794033929181942</v>
      </c>
    </row>
    <row r="2004" spans="16:18" x14ac:dyDescent="0.3">
      <c r="P2004" s="35">
        <v>22.39</v>
      </c>
      <c r="Q2004">
        <v>305</v>
      </c>
      <c r="R2004" s="34">
        <f t="shared" si="34"/>
        <v>0.228054195605152</v>
      </c>
    </row>
    <row r="2005" spans="16:18" x14ac:dyDescent="0.3">
      <c r="P2005" s="35">
        <v>22.39</v>
      </c>
      <c r="Q2005">
        <v>305</v>
      </c>
      <c r="R2005" s="34">
        <f t="shared" si="34"/>
        <v>0.22816805191848458</v>
      </c>
    </row>
    <row r="2006" spans="16:18" x14ac:dyDescent="0.3">
      <c r="P2006" s="35">
        <v>22.4</v>
      </c>
      <c r="Q2006">
        <v>305</v>
      </c>
      <c r="R2006" s="34">
        <f t="shared" si="34"/>
        <v>0.22828190823181715</v>
      </c>
    </row>
    <row r="2007" spans="16:18" x14ac:dyDescent="0.3">
      <c r="P2007" s="35">
        <v>22.4</v>
      </c>
      <c r="Q2007">
        <v>305</v>
      </c>
      <c r="R2007" s="34">
        <f t="shared" si="34"/>
        <v>0.22839576454514973</v>
      </c>
    </row>
    <row r="2008" spans="16:18" x14ac:dyDescent="0.3">
      <c r="P2008" s="35">
        <v>22.4</v>
      </c>
      <c r="Q2008">
        <v>305</v>
      </c>
      <c r="R2008" s="34">
        <f t="shared" si="34"/>
        <v>0.22850962085848231</v>
      </c>
    </row>
    <row r="2009" spans="16:18" x14ac:dyDescent="0.3">
      <c r="P2009" s="35">
        <v>22.4</v>
      </c>
      <c r="Q2009">
        <v>305</v>
      </c>
      <c r="R2009" s="34">
        <f t="shared" si="34"/>
        <v>0.22862347717181489</v>
      </c>
    </row>
    <row r="2010" spans="16:18" x14ac:dyDescent="0.3">
      <c r="P2010" s="35">
        <v>22.4</v>
      </c>
      <c r="Q2010">
        <v>305</v>
      </c>
      <c r="R2010" s="34">
        <f t="shared" si="34"/>
        <v>0.22873733348514746</v>
      </c>
    </row>
    <row r="2011" spans="16:18" x14ac:dyDescent="0.3">
      <c r="P2011" s="35">
        <v>22.41</v>
      </c>
      <c r="Q2011">
        <v>305</v>
      </c>
      <c r="R2011" s="34">
        <f t="shared" si="34"/>
        <v>0.22885118979848004</v>
      </c>
    </row>
    <row r="2012" spans="16:18" x14ac:dyDescent="0.3">
      <c r="P2012" s="35">
        <v>22.41</v>
      </c>
      <c r="Q2012">
        <v>305</v>
      </c>
      <c r="R2012" s="34">
        <f t="shared" si="34"/>
        <v>0.22896504611181262</v>
      </c>
    </row>
    <row r="2013" spans="16:18" x14ac:dyDescent="0.3">
      <c r="P2013" s="35">
        <v>22.42</v>
      </c>
      <c r="Q2013">
        <v>305</v>
      </c>
      <c r="R2013" s="34">
        <f t="shared" si="34"/>
        <v>0.2290789024251452</v>
      </c>
    </row>
    <row r="2014" spans="16:18" x14ac:dyDescent="0.3">
      <c r="P2014" s="35">
        <v>22.42</v>
      </c>
      <c r="Q2014">
        <v>305</v>
      </c>
      <c r="R2014" s="34">
        <f t="shared" si="34"/>
        <v>0.22919275873847778</v>
      </c>
    </row>
    <row r="2015" spans="16:18" x14ac:dyDescent="0.3">
      <c r="P2015" s="35">
        <v>22.43</v>
      </c>
      <c r="Q2015">
        <v>305</v>
      </c>
      <c r="R2015" s="34">
        <f t="shared" si="34"/>
        <v>0.22930661505181035</v>
      </c>
    </row>
    <row r="2016" spans="16:18" x14ac:dyDescent="0.3">
      <c r="P2016" s="35">
        <v>22.43</v>
      </c>
      <c r="Q2016">
        <v>305</v>
      </c>
      <c r="R2016" s="34">
        <f t="shared" si="34"/>
        <v>0.22942047136514293</v>
      </c>
    </row>
    <row r="2017" spans="16:18" x14ac:dyDescent="0.3">
      <c r="P2017" s="35">
        <v>22.43</v>
      </c>
      <c r="Q2017">
        <v>305</v>
      </c>
      <c r="R2017" s="34">
        <f t="shared" si="34"/>
        <v>0.22953432767847551</v>
      </c>
    </row>
    <row r="2018" spans="16:18" x14ac:dyDescent="0.3">
      <c r="P2018" s="35">
        <v>22.44</v>
      </c>
      <c r="Q2018">
        <v>305</v>
      </c>
      <c r="R2018" s="34">
        <f t="shared" si="34"/>
        <v>0.22964818399180809</v>
      </c>
    </row>
    <row r="2019" spans="16:18" x14ac:dyDescent="0.3">
      <c r="P2019" s="35">
        <v>22.44</v>
      </c>
      <c r="Q2019">
        <v>305</v>
      </c>
      <c r="R2019" s="34">
        <f t="shared" si="34"/>
        <v>0.22976204030514066</v>
      </c>
    </row>
    <row r="2020" spans="16:18" x14ac:dyDescent="0.3">
      <c r="P2020" s="35">
        <v>22.44</v>
      </c>
      <c r="Q2020">
        <v>305</v>
      </c>
      <c r="R2020" s="34">
        <f t="shared" si="34"/>
        <v>0.22987589661847324</v>
      </c>
    </row>
    <row r="2021" spans="16:18" x14ac:dyDescent="0.3">
      <c r="P2021" s="35">
        <v>22.44</v>
      </c>
      <c r="Q2021">
        <v>305</v>
      </c>
      <c r="R2021" s="34">
        <f t="shared" si="34"/>
        <v>0.22998975293180582</v>
      </c>
    </row>
    <row r="2022" spans="16:18" x14ac:dyDescent="0.3">
      <c r="P2022" s="35">
        <v>22.44</v>
      </c>
      <c r="Q2022">
        <v>305</v>
      </c>
      <c r="R2022" s="34">
        <f t="shared" si="34"/>
        <v>0.2301036092451384</v>
      </c>
    </row>
    <row r="2023" spans="16:18" x14ac:dyDescent="0.3">
      <c r="P2023" s="35">
        <v>22.44</v>
      </c>
      <c r="Q2023">
        <v>305</v>
      </c>
      <c r="R2023" s="34">
        <f t="shared" si="34"/>
        <v>0.23021746555847097</v>
      </c>
    </row>
    <row r="2024" spans="16:18" x14ac:dyDescent="0.3">
      <c r="P2024" s="35">
        <v>22.44</v>
      </c>
      <c r="Q2024">
        <v>305</v>
      </c>
      <c r="R2024" s="34">
        <f t="shared" si="34"/>
        <v>0.23033132187180355</v>
      </c>
    </row>
    <row r="2025" spans="16:18" x14ac:dyDescent="0.3">
      <c r="P2025" s="35">
        <v>22.45</v>
      </c>
      <c r="Q2025">
        <v>305</v>
      </c>
      <c r="R2025" s="34">
        <f t="shared" si="34"/>
        <v>0.23044517818513613</v>
      </c>
    </row>
    <row r="2026" spans="16:18" x14ac:dyDescent="0.3">
      <c r="P2026" s="35">
        <v>22.45</v>
      </c>
      <c r="Q2026">
        <v>305</v>
      </c>
      <c r="R2026" s="34">
        <f t="shared" si="34"/>
        <v>0.23055903449846871</v>
      </c>
    </row>
    <row r="2027" spans="16:18" x14ac:dyDescent="0.3">
      <c r="P2027" s="35">
        <v>22.45</v>
      </c>
      <c r="Q2027">
        <v>305</v>
      </c>
      <c r="R2027" s="34">
        <f t="shared" si="34"/>
        <v>0.23067289081180128</v>
      </c>
    </row>
    <row r="2028" spans="16:18" x14ac:dyDescent="0.3">
      <c r="P2028" s="35">
        <v>22.45</v>
      </c>
      <c r="Q2028">
        <v>305</v>
      </c>
      <c r="R2028" s="34">
        <f t="shared" si="34"/>
        <v>0.23078674712513386</v>
      </c>
    </row>
    <row r="2029" spans="16:18" x14ac:dyDescent="0.3">
      <c r="P2029" s="35">
        <v>22.46</v>
      </c>
      <c r="Q2029">
        <v>305</v>
      </c>
      <c r="R2029" s="34">
        <f t="shared" si="34"/>
        <v>0.23090060343846644</v>
      </c>
    </row>
    <row r="2030" spans="16:18" x14ac:dyDescent="0.3">
      <c r="P2030" s="35">
        <v>22.46</v>
      </c>
      <c r="Q2030">
        <v>305</v>
      </c>
      <c r="R2030" s="34">
        <f t="shared" si="34"/>
        <v>0.23101445975179902</v>
      </c>
    </row>
    <row r="2031" spans="16:18" x14ac:dyDescent="0.3">
      <c r="P2031" s="35">
        <v>22.46</v>
      </c>
      <c r="Q2031">
        <v>305</v>
      </c>
      <c r="R2031" s="34">
        <f t="shared" si="34"/>
        <v>0.23112831606513159</v>
      </c>
    </row>
    <row r="2032" spans="16:18" x14ac:dyDescent="0.3">
      <c r="P2032" s="35">
        <v>22.46</v>
      </c>
      <c r="Q2032">
        <v>305</v>
      </c>
      <c r="R2032" s="34">
        <f t="shared" si="34"/>
        <v>0.23124217237846417</v>
      </c>
    </row>
    <row r="2033" spans="16:18" x14ac:dyDescent="0.3">
      <c r="P2033" s="35">
        <v>22.46</v>
      </c>
      <c r="Q2033">
        <v>305</v>
      </c>
      <c r="R2033" s="34">
        <f t="shared" si="34"/>
        <v>0.23135602869179675</v>
      </c>
    </row>
    <row r="2034" spans="16:18" x14ac:dyDescent="0.3">
      <c r="P2034" s="35">
        <v>22.46</v>
      </c>
      <c r="Q2034">
        <v>305</v>
      </c>
      <c r="R2034" s="34">
        <f t="shared" si="34"/>
        <v>0.23146988500512933</v>
      </c>
    </row>
    <row r="2035" spans="16:18" x14ac:dyDescent="0.3">
      <c r="P2035" s="35">
        <v>22.47</v>
      </c>
      <c r="Q2035">
        <v>305</v>
      </c>
      <c r="R2035" s="34">
        <f t="shared" si="34"/>
        <v>0.23158374131846191</v>
      </c>
    </row>
    <row r="2036" spans="16:18" x14ac:dyDescent="0.3">
      <c r="P2036" s="35">
        <v>22.47</v>
      </c>
      <c r="Q2036">
        <v>305</v>
      </c>
      <c r="R2036" s="34">
        <f t="shared" si="34"/>
        <v>0.23169759763179448</v>
      </c>
    </row>
    <row r="2037" spans="16:18" x14ac:dyDescent="0.3">
      <c r="P2037" s="35">
        <v>22.47</v>
      </c>
      <c r="Q2037">
        <v>305</v>
      </c>
      <c r="R2037" s="34">
        <f t="shared" si="34"/>
        <v>0.23181145394512706</v>
      </c>
    </row>
    <row r="2038" spans="16:18" x14ac:dyDescent="0.3">
      <c r="P2038" s="35">
        <v>22.47</v>
      </c>
      <c r="Q2038">
        <v>305</v>
      </c>
      <c r="R2038" s="34">
        <f t="shared" si="34"/>
        <v>0.23192531025845964</v>
      </c>
    </row>
    <row r="2039" spans="16:18" x14ac:dyDescent="0.3">
      <c r="P2039" s="35">
        <v>22.48</v>
      </c>
      <c r="Q2039">
        <v>305</v>
      </c>
      <c r="R2039" s="34">
        <f t="shared" si="34"/>
        <v>0.23203916657179222</v>
      </c>
    </row>
    <row r="2040" spans="16:18" x14ac:dyDescent="0.3">
      <c r="P2040" s="35">
        <v>22.48</v>
      </c>
      <c r="Q2040">
        <v>305</v>
      </c>
      <c r="R2040" s="34">
        <f t="shared" si="34"/>
        <v>0.23215302288512479</v>
      </c>
    </row>
    <row r="2041" spans="16:18" x14ac:dyDescent="0.3">
      <c r="P2041" s="35">
        <v>22.49</v>
      </c>
      <c r="Q2041">
        <v>305</v>
      </c>
      <c r="R2041" s="34">
        <f t="shared" si="34"/>
        <v>0.23226687919845737</v>
      </c>
    </row>
    <row r="2042" spans="16:18" x14ac:dyDescent="0.3">
      <c r="P2042" s="35">
        <v>22.49</v>
      </c>
      <c r="Q2042">
        <v>305</v>
      </c>
      <c r="R2042" s="34">
        <f t="shared" si="34"/>
        <v>0.23238073551178995</v>
      </c>
    </row>
    <row r="2043" spans="16:18" x14ac:dyDescent="0.3">
      <c r="P2043" s="35">
        <v>22.5</v>
      </c>
      <c r="Q2043">
        <v>305</v>
      </c>
      <c r="R2043" s="34">
        <f t="shared" si="34"/>
        <v>0.23249459182512253</v>
      </c>
    </row>
    <row r="2044" spans="16:18" x14ac:dyDescent="0.3">
      <c r="P2044" s="35">
        <v>22.5</v>
      </c>
      <c r="Q2044">
        <v>305</v>
      </c>
      <c r="R2044" s="34">
        <f t="shared" si="34"/>
        <v>0.2326084481384551</v>
      </c>
    </row>
    <row r="2045" spans="16:18" x14ac:dyDescent="0.3">
      <c r="P2045" s="35">
        <v>22.5</v>
      </c>
      <c r="Q2045">
        <v>305</v>
      </c>
      <c r="R2045" s="34">
        <f t="shared" si="34"/>
        <v>0.23272230445178768</v>
      </c>
    </row>
    <row r="2046" spans="16:18" x14ac:dyDescent="0.3">
      <c r="P2046" s="35">
        <v>22.5</v>
      </c>
      <c r="Q2046">
        <v>305</v>
      </c>
      <c r="R2046" s="34">
        <f t="shared" si="34"/>
        <v>0.23283616076512026</v>
      </c>
    </row>
    <row r="2047" spans="16:18" x14ac:dyDescent="0.3">
      <c r="P2047" s="35">
        <v>22.51</v>
      </c>
      <c r="Q2047">
        <v>305</v>
      </c>
      <c r="R2047" s="34">
        <f t="shared" si="34"/>
        <v>0.23295001707845284</v>
      </c>
    </row>
    <row r="2048" spans="16:18" x14ac:dyDescent="0.3">
      <c r="P2048" s="35">
        <v>22.51</v>
      </c>
      <c r="Q2048">
        <v>305</v>
      </c>
      <c r="R2048" s="34">
        <f t="shared" si="34"/>
        <v>0.23306387339178541</v>
      </c>
    </row>
    <row r="2049" spans="16:18" x14ac:dyDescent="0.3">
      <c r="P2049" s="35">
        <v>22.51</v>
      </c>
      <c r="Q2049">
        <v>305</v>
      </c>
      <c r="R2049" s="34">
        <f t="shared" si="34"/>
        <v>0.23317772970511799</v>
      </c>
    </row>
    <row r="2050" spans="16:18" x14ac:dyDescent="0.3">
      <c r="P2050" s="35">
        <v>22.51</v>
      </c>
      <c r="Q2050">
        <v>305</v>
      </c>
      <c r="R2050" s="34">
        <f t="shared" si="34"/>
        <v>0.23329158601845057</v>
      </c>
    </row>
    <row r="2051" spans="16:18" x14ac:dyDescent="0.3">
      <c r="P2051" s="35">
        <v>22.52</v>
      </c>
      <c r="Q2051">
        <v>305</v>
      </c>
      <c r="R2051" s="34">
        <f t="shared" si="34"/>
        <v>0.23340544233178315</v>
      </c>
    </row>
    <row r="2052" spans="16:18" x14ac:dyDescent="0.3">
      <c r="P2052" s="35">
        <v>22.52</v>
      </c>
      <c r="Q2052">
        <v>305</v>
      </c>
      <c r="R2052" s="34">
        <f t="shared" ref="R2052:R2115" si="35">R2051+R$2</f>
        <v>0.23351929864511572</v>
      </c>
    </row>
    <row r="2053" spans="16:18" x14ac:dyDescent="0.3">
      <c r="P2053" s="35">
        <v>22.52</v>
      </c>
      <c r="Q2053">
        <v>305</v>
      </c>
      <c r="R2053" s="34">
        <f t="shared" si="35"/>
        <v>0.2336331549584483</v>
      </c>
    </row>
    <row r="2054" spans="16:18" x14ac:dyDescent="0.3">
      <c r="P2054" s="35">
        <v>22.53</v>
      </c>
      <c r="Q2054">
        <v>305</v>
      </c>
      <c r="R2054" s="34">
        <f t="shared" si="35"/>
        <v>0.23374701127178088</v>
      </c>
    </row>
    <row r="2055" spans="16:18" x14ac:dyDescent="0.3">
      <c r="P2055" s="35">
        <v>22.53</v>
      </c>
      <c r="Q2055">
        <v>305</v>
      </c>
      <c r="R2055" s="34">
        <f t="shared" si="35"/>
        <v>0.23386086758511346</v>
      </c>
    </row>
    <row r="2056" spans="16:18" x14ac:dyDescent="0.3">
      <c r="P2056" s="35">
        <v>22.53</v>
      </c>
      <c r="Q2056">
        <v>305</v>
      </c>
      <c r="R2056" s="34">
        <f t="shared" si="35"/>
        <v>0.23397472389844604</v>
      </c>
    </row>
    <row r="2057" spans="16:18" x14ac:dyDescent="0.3">
      <c r="P2057" s="35">
        <v>22.53</v>
      </c>
      <c r="Q2057">
        <v>305</v>
      </c>
      <c r="R2057" s="34">
        <f t="shared" si="35"/>
        <v>0.23408858021177861</v>
      </c>
    </row>
    <row r="2058" spans="16:18" x14ac:dyDescent="0.3">
      <c r="P2058" s="35">
        <v>22.54</v>
      </c>
      <c r="Q2058">
        <v>305</v>
      </c>
      <c r="R2058" s="34">
        <f t="shared" si="35"/>
        <v>0.23420243652511119</v>
      </c>
    </row>
    <row r="2059" spans="16:18" x14ac:dyDescent="0.3">
      <c r="P2059" s="35">
        <v>22.54</v>
      </c>
      <c r="Q2059">
        <v>305</v>
      </c>
      <c r="R2059" s="34">
        <f t="shared" si="35"/>
        <v>0.23431629283844377</v>
      </c>
    </row>
    <row r="2060" spans="16:18" x14ac:dyDescent="0.3">
      <c r="P2060" s="35">
        <v>22.54</v>
      </c>
      <c r="Q2060">
        <v>305</v>
      </c>
      <c r="R2060" s="34">
        <f t="shared" si="35"/>
        <v>0.23443014915177635</v>
      </c>
    </row>
    <row r="2061" spans="16:18" x14ac:dyDescent="0.3">
      <c r="P2061" s="35">
        <v>22.54</v>
      </c>
      <c r="Q2061">
        <v>305</v>
      </c>
      <c r="R2061" s="34">
        <f t="shared" si="35"/>
        <v>0.23454400546510892</v>
      </c>
    </row>
    <row r="2062" spans="16:18" x14ac:dyDescent="0.3">
      <c r="P2062" s="35">
        <v>22.55</v>
      </c>
      <c r="Q2062">
        <v>305</v>
      </c>
      <c r="R2062" s="34">
        <f t="shared" si="35"/>
        <v>0.2346578617784415</v>
      </c>
    </row>
    <row r="2063" spans="16:18" x14ac:dyDescent="0.3">
      <c r="P2063" s="35">
        <v>22.55</v>
      </c>
      <c r="Q2063">
        <v>305</v>
      </c>
      <c r="R2063" s="34">
        <f t="shared" si="35"/>
        <v>0.23477171809177408</v>
      </c>
    </row>
    <row r="2064" spans="16:18" x14ac:dyDescent="0.3">
      <c r="P2064" s="35">
        <v>22.55</v>
      </c>
      <c r="Q2064">
        <v>305</v>
      </c>
      <c r="R2064" s="34">
        <f t="shared" si="35"/>
        <v>0.23488557440510666</v>
      </c>
    </row>
    <row r="2065" spans="16:18" x14ac:dyDescent="0.3">
      <c r="P2065" s="35">
        <v>22.55</v>
      </c>
      <c r="Q2065">
        <v>305</v>
      </c>
      <c r="R2065" s="34">
        <f t="shared" si="35"/>
        <v>0.23499943071843923</v>
      </c>
    </row>
    <row r="2066" spans="16:18" x14ac:dyDescent="0.3">
      <c r="P2066" s="35">
        <v>22.56</v>
      </c>
      <c r="Q2066">
        <v>305</v>
      </c>
      <c r="R2066" s="34">
        <f t="shared" si="35"/>
        <v>0.23511328703177181</v>
      </c>
    </row>
    <row r="2067" spans="16:18" x14ac:dyDescent="0.3">
      <c r="P2067" s="35">
        <v>22.56</v>
      </c>
      <c r="Q2067">
        <v>305</v>
      </c>
      <c r="R2067" s="34">
        <f t="shared" si="35"/>
        <v>0.23522714334510439</v>
      </c>
    </row>
    <row r="2068" spans="16:18" x14ac:dyDescent="0.3">
      <c r="P2068" s="35">
        <v>22.57</v>
      </c>
      <c r="Q2068">
        <v>305</v>
      </c>
      <c r="R2068" s="34">
        <f t="shared" si="35"/>
        <v>0.23534099965843697</v>
      </c>
    </row>
    <row r="2069" spans="16:18" x14ac:dyDescent="0.3">
      <c r="P2069" s="35">
        <v>22.57</v>
      </c>
      <c r="Q2069">
        <v>305</v>
      </c>
      <c r="R2069" s="34">
        <f t="shared" si="35"/>
        <v>0.23545485597176954</v>
      </c>
    </row>
    <row r="2070" spans="16:18" x14ac:dyDescent="0.3">
      <c r="P2070" s="35">
        <v>22.57</v>
      </c>
      <c r="Q2070">
        <v>305</v>
      </c>
      <c r="R2070" s="34">
        <f t="shared" si="35"/>
        <v>0.23556871228510212</v>
      </c>
    </row>
    <row r="2071" spans="16:18" x14ac:dyDescent="0.3">
      <c r="P2071" s="35">
        <v>22.57</v>
      </c>
      <c r="Q2071">
        <v>305</v>
      </c>
      <c r="R2071" s="34">
        <f t="shared" si="35"/>
        <v>0.2356825685984347</v>
      </c>
    </row>
    <row r="2072" spans="16:18" x14ac:dyDescent="0.3">
      <c r="P2072" s="35">
        <v>22.58</v>
      </c>
      <c r="Q2072">
        <v>305</v>
      </c>
      <c r="R2072" s="34">
        <f t="shared" si="35"/>
        <v>0.23579642491176728</v>
      </c>
    </row>
    <row r="2073" spans="16:18" x14ac:dyDescent="0.3">
      <c r="P2073" s="35">
        <v>22.58</v>
      </c>
      <c r="Q2073">
        <v>305</v>
      </c>
      <c r="R2073" s="34">
        <f t="shared" si="35"/>
        <v>0.23591028122509985</v>
      </c>
    </row>
    <row r="2074" spans="16:18" x14ac:dyDescent="0.3">
      <c r="P2074" s="35">
        <v>22.59</v>
      </c>
      <c r="Q2074">
        <v>305</v>
      </c>
      <c r="R2074" s="34">
        <f t="shared" si="35"/>
        <v>0.23602413753843243</v>
      </c>
    </row>
    <row r="2075" spans="16:18" x14ac:dyDescent="0.3">
      <c r="P2075" s="35">
        <v>22.59</v>
      </c>
      <c r="Q2075">
        <v>305</v>
      </c>
      <c r="R2075" s="34">
        <f t="shared" si="35"/>
        <v>0.23613799385176501</v>
      </c>
    </row>
    <row r="2076" spans="16:18" x14ac:dyDescent="0.3">
      <c r="P2076" s="35">
        <v>22.59</v>
      </c>
      <c r="Q2076">
        <v>305</v>
      </c>
      <c r="R2076" s="34">
        <f t="shared" si="35"/>
        <v>0.23625185016509759</v>
      </c>
    </row>
    <row r="2077" spans="16:18" x14ac:dyDescent="0.3">
      <c r="P2077" s="35">
        <v>22.6</v>
      </c>
      <c r="Q2077">
        <v>305</v>
      </c>
      <c r="R2077" s="34">
        <f t="shared" si="35"/>
        <v>0.23636570647843017</v>
      </c>
    </row>
    <row r="2078" spans="16:18" x14ac:dyDescent="0.3">
      <c r="P2078" s="35">
        <v>22.6</v>
      </c>
      <c r="Q2078">
        <v>305</v>
      </c>
      <c r="R2078" s="34">
        <f t="shared" si="35"/>
        <v>0.23647956279176274</v>
      </c>
    </row>
    <row r="2079" spans="16:18" x14ac:dyDescent="0.3">
      <c r="P2079" s="35">
        <v>22.6</v>
      </c>
      <c r="Q2079">
        <v>305</v>
      </c>
      <c r="R2079" s="34">
        <f t="shared" si="35"/>
        <v>0.23659341910509532</v>
      </c>
    </row>
    <row r="2080" spans="16:18" x14ac:dyDescent="0.3">
      <c r="P2080" s="35">
        <v>22.6</v>
      </c>
      <c r="Q2080">
        <v>305</v>
      </c>
      <c r="R2080" s="34">
        <f t="shared" si="35"/>
        <v>0.2367072754184279</v>
      </c>
    </row>
    <row r="2081" spans="16:18" x14ac:dyDescent="0.3">
      <c r="P2081" s="35">
        <v>22.61</v>
      </c>
      <c r="Q2081">
        <v>305</v>
      </c>
      <c r="R2081" s="34">
        <f t="shared" si="35"/>
        <v>0.23682113173176048</v>
      </c>
    </row>
    <row r="2082" spans="16:18" x14ac:dyDescent="0.3">
      <c r="P2082" s="35">
        <v>22.61</v>
      </c>
      <c r="Q2082">
        <v>305</v>
      </c>
      <c r="R2082" s="34">
        <f t="shared" si="35"/>
        <v>0.23693498804509305</v>
      </c>
    </row>
    <row r="2083" spans="16:18" x14ac:dyDescent="0.3">
      <c r="P2083" s="35">
        <v>22.61</v>
      </c>
      <c r="Q2083">
        <v>305</v>
      </c>
      <c r="R2083" s="34">
        <f t="shared" si="35"/>
        <v>0.23704884435842563</v>
      </c>
    </row>
    <row r="2084" spans="16:18" x14ac:dyDescent="0.3">
      <c r="P2084" s="35">
        <v>22.62</v>
      </c>
      <c r="Q2084">
        <v>305</v>
      </c>
      <c r="R2084" s="34">
        <f t="shared" si="35"/>
        <v>0.23716270067175821</v>
      </c>
    </row>
    <row r="2085" spans="16:18" x14ac:dyDescent="0.3">
      <c r="P2085" s="35">
        <v>22.62</v>
      </c>
      <c r="Q2085">
        <v>305</v>
      </c>
      <c r="R2085" s="34">
        <f t="shared" si="35"/>
        <v>0.23727655698509079</v>
      </c>
    </row>
    <row r="2086" spans="16:18" x14ac:dyDescent="0.3">
      <c r="P2086" s="35">
        <v>22.62</v>
      </c>
      <c r="Q2086">
        <v>305</v>
      </c>
      <c r="R2086" s="34">
        <f t="shared" si="35"/>
        <v>0.23739041329842336</v>
      </c>
    </row>
    <row r="2087" spans="16:18" x14ac:dyDescent="0.3">
      <c r="P2087" s="35">
        <v>22.62</v>
      </c>
      <c r="Q2087">
        <v>305</v>
      </c>
      <c r="R2087" s="34">
        <f t="shared" si="35"/>
        <v>0.23750426961175594</v>
      </c>
    </row>
    <row r="2088" spans="16:18" x14ac:dyDescent="0.3">
      <c r="P2088" s="35">
        <v>22.63</v>
      </c>
      <c r="Q2088">
        <v>305</v>
      </c>
      <c r="R2088" s="34">
        <f t="shared" si="35"/>
        <v>0.23761812592508852</v>
      </c>
    </row>
    <row r="2089" spans="16:18" x14ac:dyDescent="0.3">
      <c r="P2089" s="35">
        <v>22.63</v>
      </c>
      <c r="Q2089">
        <v>305</v>
      </c>
      <c r="R2089" s="34">
        <f t="shared" si="35"/>
        <v>0.2377319822384211</v>
      </c>
    </row>
    <row r="2090" spans="16:18" x14ac:dyDescent="0.3">
      <c r="P2090" s="35">
        <v>22.63</v>
      </c>
      <c r="Q2090">
        <v>305</v>
      </c>
      <c r="R2090" s="34">
        <f t="shared" si="35"/>
        <v>0.23784583855175367</v>
      </c>
    </row>
    <row r="2091" spans="16:18" x14ac:dyDescent="0.3">
      <c r="P2091" s="35">
        <v>22.65</v>
      </c>
      <c r="Q2091">
        <v>305</v>
      </c>
      <c r="R2091" s="34">
        <f t="shared" si="35"/>
        <v>0.23795969486508625</v>
      </c>
    </row>
    <row r="2092" spans="16:18" x14ac:dyDescent="0.3">
      <c r="P2092" s="35">
        <v>22.65</v>
      </c>
      <c r="Q2092">
        <v>305</v>
      </c>
      <c r="R2092" s="34">
        <f t="shared" si="35"/>
        <v>0.23807355117841883</v>
      </c>
    </row>
    <row r="2093" spans="16:18" x14ac:dyDescent="0.3">
      <c r="P2093" s="35">
        <v>22.65</v>
      </c>
      <c r="Q2093">
        <v>305</v>
      </c>
      <c r="R2093" s="34">
        <f t="shared" si="35"/>
        <v>0.23818740749175141</v>
      </c>
    </row>
    <row r="2094" spans="16:18" x14ac:dyDescent="0.3">
      <c r="P2094" s="35">
        <v>22.65</v>
      </c>
      <c r="Q2094">
        <v>305</v>
      </c>
      <c r="R2094" s="34">
        <f t="shared" si="35"/>
        <v>0.23830126380508398</v>
      </c>
    </row>
    <row r="2095" spans="16:18" x14ac:dyDescent="0.3">
      <c r="P2095" s="35">
        <v>22.65</v>
      </c>
      <c r="Q2095">
        <v>305</v>
      </c>
      <c r="R2095" s="34">
        <f t="shared" si="35"/>
        <v>0.23841512011841656</v>
      </c>
    </row>
    <row r="2096" spans="16:18" x14ac:dyDescent="0.3">
      <c r="P2096" s="35">
        <v>22.65</v>
      </c>
      <c r="Q2096">
        <v>305</v>
      </c>
      <c r="R2096" s="34">
        <f t="shared" si="35"/>
        <v>0.23852897643174914</v>
      </c>
    </row>
    <row r="2097" spans="16:18" x14ac:dyDescent="0.3">
      <c r="P2097" s="35">
        <v>22.65</v>
      </c>
      <c r="Q2097">
        <v>305</v>
      </c>
      <c r="R2097" s="34">
        <f t="shared" si="35"/>
        <v>0.23864283274508172</v>
      </c>
    </row>
    <row r="2098" spans="16:18" x14ac:dyDescent="0.3">
      <c r="P2098" s="35">
        <v>22.66</v>
      </c>
      <c r="Q2098">
        <v>305</v>
      </c>
      <c r="R2098" s="34">
        <f t="shared" si="35"/>
        <v>0.2387566890584143</v>
      </c>
    </row>
    <row r="2099" spans="16:18" x14ac:dyDescent="0.3">
      <c r="P2099" s="35">
        <v>22.66</v>
      </c>
      <c r="Q2099">
        <v>305</v>
      </c>
      <c r="R2099" s="34">
        <f t="shared" si="35"/>
        <v>0.23887054537174687</v>
      </c>
    </row>
    <row r="2100" spans="16:18" x14ac:dyDescent="0.3">
      <c r="P2100" s="35">
        <v>22.66</v>
      </c>
      <c r="Q2100">
        <v>305</v>
      </c>
      <c r="R2100" s="34">
        <f t="shared" si="35"/>
        <v>0.23898440168507945</v>
      </c>
    </row>
    <row r="2101" spans="16:18" x14ac:dyDescent="0.3">
      <c r="P2101" s="35">
        <v>22.66</v>
      </c>
      <c r="Q2101">
        <v>305</v>
      </c>
      <c r="R2101" s="34">
        <f t="shared" si="35"/>
        <v>0.23909825799841203</v>
      </c>
    </row>
    <row r="2102" spans="16:18" x14ac:dyDescent="0.3">
      <c r="P2102" s="35">
        <v>22.66</v>
      </c>
      <c r="Q2102">
        <v>305</v>
      </c>
      <c r="R2102" s="34">
        <f t="shared" si="35"/>
        <v>0.23921211431174461</v>
      </c>
    </row>
    <row r="2103" spans="16:18" x14ac:dyDescent="0.3">
      <c r="P2103" s="35">
        <v>22.66</v>
      </c>
      <c r="Q2103">
        <v>305</v>
      </c>
      <c r="R2103" s="34">
        <f t="shared" si="35"/>
        <v>0.23932597062507718</v>
      </c>
    </row>
    <row r="2104" spans="16:18" x14ac:dyDescent="0.3">
      <c r="P2104" s="35">
        <v>22.67</v>
      </c>
      <c r="Q2104">
        <v>305</v>
      </c>
      <c r="R2104" s="34">
        <f t="shared" si="35"/>
        <v>0.23943982693840976</v>
      </c>
    </row>
    <row r="2105" spans="16:18" x14ac:dyDescent="0.3">
      <c r="P2105" s="35">
        <v>22.67</v>
      </c>
      <c r="Q2105">
        <v>305</v>
      </c>
      <c r="R2105" s="34">
        <f t="shared" si="35"/>
        <v>0.23955368325174234</v>
      </c>
    </row>
    <row r="2106" spans="16:18" x14ac:dyDescent="0.3">
      <c r="P2106" s="35">
        <v>22.67</v>
      </c>
      <c r="Q2106">
        <v>305</v>
      </c>
      <c r="R2106" s="34">
        <f t="shared" si="35"/>
        <v>0.23966753956507492</v>
      </c>
    </row>
    <row r="2107" spans="16:18" x14ac:dyDescent="0.3">
      <c r="P2107" s="35">
        <v>22.67</v>
      </c>
      <c r="Q2107">
        <v>305</v>
      </c>
      <c r="R2107" s="34">
        <f t="shared" si="35"/>
        <v>0.23978139587840749</v>
      </c>
    </row>
    <row r="2108" spans="16:18" x14ac:dyDescent="0.3">
      <c r="P2108" s="35">
        <v>22.67</v>
      </c>
      <c r="Q2108">
        <v>305</v>
      </c>
      <c r="R2108" s="34">
        <f t="shared" si="35"/>
        <v>0.23989525219174007</v>
      </c>
    </row>
    <row r="2109" spans="16:18" x14ac:dyDescent="0.3">
      <c r="P2109" s="35">
        <v>22.67</v>
      </c>
      <c r="Q2109">
        <v>305</v>
      </c>
      <c r="R2109" s="34">
        <f t="shared" si="35"/>
        <v>0.24000910850507265</v>
      </c>
    </row>
    <row r="2110" spans="16:18" x14ac:dyDescent="0.3">
      <c r="P2110" s="35">
        <v>22.67</v>
      </c>
      <c r="Q2110">
        <v>305</v>
      </c>
      <c r="R2110" s="34">
        <f t="shared" si="35"/>
        <v>0.24012296481840523</v>
      </c>
    </row>
    <row r="2111" spans="16:18" x14ac:dyDescent="0.3">
      <c r="P2111" s="35">
        <v>22.69</v>
      </c>
      <c r="Q2111">
        <v>305</v>
      </c>
      <c r="R2111" s="34">
        <f t="shared" si="35"/>
        <v>0.2402368211317378</v>
      </c>
    </row>
    <row r="2112" spans="16:18" x14ac:dyDescent="0.3">
      <c r="P2112" s="35">
        <v>22.69</v>
      </c>
      <c r="Q2112">
        <v>305</v>
      </c>
      <c r="R2112" s="34">
        <f t="shared" si="35"/>
        <v>0.24035067744507038</v>
      </c>
    </row>
    <row r="2113" spans="16:18" x14ac:dyDescent="0.3">
      <c r="P2113" s="35">
        <v>22.69</v>
      </c>
      <c r="Q2113">
        <v>305</v>
      </c>
      <c r="R2113" s="34">
        <f t="shared" si="35"/>
        <v>0.24046453375840296</v>
      </c>
    </row>
    <row r="2114" spans="16:18" x14ac:dyDescent="0.3">
      <c r="P2114" s="35">
        <v>22.69</v>
      </c>
      <c r="Q2114">
        <v>305</v>
      </c>
      <c r="R2114" s="34">
        <f t="shared" si="35"/>
        <v>0.24057839007173554</v>
      </c>
    </row>
    <row r="2115" spans="16:18" x14ac:dyDescent="0.3">
      <c r="P2115" s="35">
        <v>22.69</v>
      </c>
      <c r="Q2115">
        <v>305</v>
      </c>
      <c r="R2115" s="34">
        <f t="shared" si="35"/>
        <v>0.24069224638506811</v>
      </c>
    </row>
    <row r="2116" spans="16:18" x14ac:dyDescent="0.3">
      <c r="P2116" s="35">
        <v>22.69</v>
      </c>
      <c r="Q2116">
        <v>305</v>
      </c>
      <c r="R2116" s="34">
        <f t="shared" ref="R2116:R2179" si="36">R2115+R$2</f>
        <v>0.24080610269840069</v>
      </c>
    </row>
    <row r="2117" spans="16:18" x14ac:dyDescent="0.3">
      <c r="P2117" s="35">
        <v>22.69</v>
      </c>
      <c r="Q2117">
        <v>305</v>
      </c>
      <c r="R2117" s="34">
        <f t="shared" si="36"/>
        <v>0.24091995901173327</v>
      </c>
    </row>
    <row r="2118" spans="16:18" x14ac:dyDescent="0.3">
      <c r="P2118" s="35">
        <v>22.69</v>
      </c>
      <c r="Q2118">
        <v>305</v>
      </c>
      <c r="R2118" s="34">
        <f t="shared" si="36"/>
        <v>0.24103381532506585</v>
      </c>
    </row>
    <row r="2119" spans="16:18" x14ac:dyDescent="0.3">
      <c r="P2119" s="35">
        <v>22.7</v>
      </c>
      <c r="Q2119">
        <v>305</v>
      </c>
      <c r="R2119" s="34">
        <f t="shared" si="36"/>
        <v>0.24114767163839843</v>
      </c>
    </row>
    <row r="2120" spans="16:18" x14ac:dyDescent="0.3">
      <c r="P2120" s="35">
        <v>22.7</v>
      </c>
      <c r="Q2120">
        <v>305</v>
      </c>
      <c r="R2120" s="34">
        <f t="shared" si="36"/>
        <v>0.241261527951731</v>
      </c>
    </row>
    <row r="2121" spans="16:18" x14ac:dyDescent="0.3">
      <c r="P2121" s="35">
        <v>22.7</v>
      </c>
      <c r="Q2121">
        <v>305</v>
      </c>
      <c r="R2121" s="34">
        <f t="shared" si="36"/>
        <v>0.24137538426506358</v>
      </c>
    </row>
    <row r="2122" spans="16:18" x14ac:dyDescent="0.3">
      <c r="P2122" s="35">
        <v>22.7</v>
      </c>
      <c r="Q2122">
        <v>305</v>
      </c>
      <c r="R2122" s="34">
        <f t="shared" si="36"/>
        <v>0.24148924057839616</v>
      </c>
    </row>
    <row r="2123" spans="16:18" x14ac:dyDescent="0.3">
      <c r="P2123" s="35">
        <v>22.7</v>
      </c>
      <c r="Q2123">
        <v>305</v>
      </c>
      <c r="R2123" s="34">
        <f t="shared" si="36"/>
        <v>0.24160309689172874</v>
      </c>
    </row>
    <row r="2124" spans="16:18" x14ac:dyDescent="0.3">
      <c r="P2124" s="35">
        <v>22.71</v>
      </c>
      <c r="Q2124">
        <v>305</v>
      </c>
      <c r="R2124" s="34">
        <f t="shared" si="36"/>
        <v>0.24171695320506131</v>
      </c>
    </row>
    <row r="2125" spans="16:18" x14ac:dyDescent="0.3">
      <c r="P2125" s="35">
        <v>22.71</v>
      </c>
      <c r="Q2125">
        <v>305</v>
      </c>
      <c r="R2125" s="34">
        <f t="shared" si="36"/>
        <v>0.24183080951839389</v>
      </c>
    </row>
    <row r="2126" spans="16:18" x14ac:dyDescent="0.3">
      <c r="P2126" s="35">
        <v>22.72</v>
      </c>
      <c r="Q2126">
        <v>305</v>
      </c>
      <c r="R2126" s="34">
        <f t="shared" si="36"/>
        <v>0.24194466583172647</v>
      </c>
    </row>
    <row r="2127" spans="16:18" x14ac:dyDescent="0.3">
      <c r="P2127" s="35">
        <v>22.72</v>
      </c>
      <c r="Q2127">
        <v>305</v>
      </c>
      <c r="R2127" s="34">
        <f t="shared" si="36"/>
        <v>0.24205852214505905</v>
      </c>
    </row>
    <row r="2128" spans="16:18" x14ac:dyDescent="0.3">
      <c r="P2128" s="35">
        <v>22.72</v>
      </c>
      <c r="Q2128">
        <v>305</v>
      </c>
      <c r="R2128" s="34">
        <f t="shared" si="36"/>
        <v>0.24217237845839162</v>
      </c>
    </row>
    <row r="2129" spans="16:18" x14ac:dyDescent="0.3">
      <c r="P2129" s="35">
        <v>22.73</v>
      </c>
      <c r="Q2129">
        <v>305</v>
      </c>
      <c r="R2129" s="34">
        <f t="shared" si="36"/>
        <v>0.2422862347717242</v>
      </c>
    </row>
    <row r="2130" spans="16:18" x14ac:dyDescent="0.3">
      <c r="P2130" s="35">
        <v>22.73</v>
      </c>
      <c r="Q2130">
        <v>305</v>
      </c>
      <c r="R2130" s="34">
        <f t="shared" si="36"/>
        <v>0.24240009108505678</v>
      </c>
    </row>
    <row r="2131" spans="16:18" x14ac:dyDescent="0.3">
      <c r="P2131" s="35">
        <v>22.73</v>
      </c>
      <c r="Q2131">
        <v>305</v>
      </c>
      <c r="R2131" s="34">
        <f t="shared" si="36"/>
        <v>0.24251394739838936</v>
      </c>
    </row>
    <row r="2132" spans="16:18" x14ac:dyDescent="0.3">
      <c r="P2132" s="35">
        <v>22.73</v>
      </c>
      <c r="Q2132">
        <v>305</v>
      </c>
      <c r="R2132" s="34">
        <f t="shared" si="36"/>
        <v>0.24262780371172193</v>
      </c>
    </row>
    <row r="2133" spans="16:18" x14ac:dyDescent="0.3">
      <c r="P2133" s="35">
        <v>22.73</v>
      </c>
      <c r="Q2133">
        <v>305</v>
      </c>
      <c r="R2133" s="34">
        <f t="shared" si="36"/>
        <v>0.24274166002505451</v>
      </c>
    </row>
    <row r="2134" spans="16:18" x14ac:dyDescent="0.3">
      <c r="P2134" s="35">
        <v>22.74</v>
      </c>
      <c r="Q2134">
        <v>305</v>
      </c>
      <c r="R2134" s="34">
        <f t="shared" si="36"/>
        <v>0.24285551633838709</v>
      </c>
    </row>
    <row r="2135" spans="16:18" x14ac:dyDescent="0.3">
      <c r="P2135" s="35">
        <v>22.74</v>
      </c>
      <c r="Q2135">
        <v>305</v>
      </c>
      <c r="R2135" s="34">
        <f t="shared" si="36"/>
        <v>0.24296937265171967</v>
      </c>
    </row>
    <row r="2136" spans="16:18" x14ac:dyDescent="0.3">
      <c r="P2136" s="35">
        <v>22.74</v>
      </c>
      <c r="Q2136">
        <v>305</v>
      </c>
      <c r="R2136" s="34">
        <f t="shared" si="36"/>
        <v>0.24308322896505224</v>
      </c>
    </row>
    <row r="2137" spans="16:18" x14ac:dyDescent="0.3">
      <c r="P2137" s="35">
        <v>22.74</v>
      </c>
      <c r="Q2137">
        <v>305</v>
      </c>
      <c r="R2137" s="34">
        <f t="shared" si="36"/>
        <v>0.24319708527838482</v>
      </c>
    </row>
    <row r="2138" spans="16:18" x14ac:dyDescent="0.3">
      <c r="P2138" s="35">
        <v>22.74</v>
      </c>
      <c r="Q2138">
        <v>305</v>
      </c>
      <c r="R2138" s="34">
        <f t="shared" si="36"/>
        <v>0.2433109415917174</v>
      </c>
    </row>
    <row r="2139" spans="16:18" x14ac:dyDescent="0.3">
      <c r="P2139" s="35">
        <v>22.75</v>
      </c>
      <c r="Q2139">
        <v>305</v>
      </c>
      <c r="R2139" s="34">
        <f t="shared" si="36"/>
        <v>0.24342479790504998</v>
      </c>
    </row>
    <row r="2140" spans="16:18" x14ac:dyDescent="0.3">
      <c r="P2140" s="35">
        <v>22.75</v>
      </c>
      <c r="Q2140">
        <v>305</v>
      </c>
      <c r="R2140" s="34">
        <f t="shared" si="36"/>
        <v>0.24353865421838256</v>
      </c>
    </row>
    <row r="2141" spans="16:18" x14ac:dyDescent="0.3">
      <c r="P2141" s="35">
        <v>22.75</v>
      </c>
      <c r="Q2141">
        <v>305</v>
      </c>
      <c r="R2141" s="34">
        <f t="shared" si="36"/>
        <v>0.24365251053171513</v>
      </c>
    </row>
    <row r="2142" spans="16:18" x14ac:dyDescent="0.3">
      <c r="P2142" s="35">
        <v>22.75</v>
      </c>
      <c r="Q2142">
        <v>305</v>
      </c>
      <c r="R2142" s="34">
        <f t="shared" si="36"/>
        <v>0.24376636684504771</v>
      </c>
    </row>
    <row r="2143" spans="16:18" x14ac:dyDescent="0.3">
      <c r="P2143" s="35">
        <v>22.75</v>
      </c>
      <c r="Q2143">
        <v>305</v>
      </c>
      <c r="R2143" s="34">
        <f t="shared" si="36"/>
        <v>0.24388022315838029</v>
      </c>
    </row>
    <row r="2144" spans="16:18" x14ac:dyDescent="0.3">
      <c r="P2144" s="35">
        <v>22.75</v>
      </c>
      <c r="Q2144">
        <v>305</v>
      </c>
      <c r="R2144" s="34">
        <f t="shared" si="36"/>
        <v>0.24399407947171287</v>
      </c>
    </row>
    <row r="2145" spans="16:18" x14ac:dyDescent="0.3">
      <c r="P2145" s="35">
        <v>22.75</v>
      </c>
      <c r="Q2145">
        <v>305</v>
      </c>
      <c r="R2145" s="34">
        <f t="shared" si="36"/>
        <v>0.24410793578504544</v>
      </c>
    </row>
    <row r="2146" spans="16:18" x14ac:dyDescent="0.3">
      <c r="P2146" s="35">
        <v>22.76</v>
      </c>
      <c r="Q2146">
        <v>305</v>
      </c>
      <c r="R2146" s="34">
        <f t="shared" si="36"/>
        <v>0.24422179209837802</v>
      </c>
    </row>
    <row r="2147" spans="16:18" x14ac:dyDescent="0.3">
      <c r="P2147" s="35">
        <v>22.77</v>
      </c>
      <c r="Q2147">
        <v>305</v>
      </c>
      <c r="R2147" s="34">
        <f t="shared" si="36"/>
        <v>0.2443356484117106</v>
      </c>
    </row>
    <row r="2148" spans="16:18" x14ac:dyDescent="0.3">
      <c r="P2148" s="35">
        <v>22.77</v>
      </c>
      <c r="Q2148">
        <v>305</v>
      </c>
      <c r="R2148" s="34">
        <f t="shared" si="36"/>
        <v>0.24444950472504318</v>
      </c>
    </row>
    <row r="2149" spans="16:18" x14ac:dyDescent="0.3">
      <c r="P2149" s="35">
        <v>22.77</v>
      </c>
      <c r="Q2149">
        <v>305</v>
      </c>
      <c r="R2149" s="34">
        <f t="shared" si="36"/>
        <v>0.24456336103837575</v>
      </c>
    </row>
    <row r="2150" spans="16:18" x14ac:dyDescent="0.3">
      <c r="P2150" s="35">
        <v>22.77</v>
      </c>
      <c r="Q2150">
        <v>305</v>
      </c>
      <c r="R2150" s="34">
        <f t="shared" si="36"/>
        <v>0.24467721735170833</v>
      </c>
    </row>
    <row r="2151" spans="16:18" x14ac:dyDescent="0.3">
      <c r="P2151" s="35">
        <v>22.77</v>
      </c>
      <c r="Q2151">
        <v>305</v>
      </c>
      <c r="R2151" s="34">
        <f t="shared" si="36"/>
        <v>0.24479107366504091</v>
      </c>
    </row>
    <row r="2152" spans="16:18" x14ac:dyDescent="0.3">
      <c r="P2152" s="35">
        <v>22.77</v>
      </c>
      <c r="Q2152">
        <v>305</v>
      </c>
      <c r="R2152" s="34">
        <f t="shared" si="36"/>
        <v>0.24490492997837349</v>
      </c>
    </row>
    <row r="2153" spans="16:18" x14ac:dyDescent="0.3">
      <c r="P2153" s="35">
        <v>22.77</v>
      </c>
      <c r="Q2153">
        <v>305</v>
      </c>
      <c r="R2153" s="34">
        <f t="shared" si="36"/>
        <v>0.24501878629170606</v>
      </c>
    </row>
    <row r="2154" spans="16:18" x14ac:dyDescent="0.3">
      <c r="P2154" s="35">
        <v>22.77</v>
      </c>
      <c r="Q2154">
        <v>305</v>
      </c>
      <c r="R2154" s="34">
        <f t="shared" si="36"/>
        <v>0.24513264260503864</v>
      </c>
    </row>
    <row r="2155" spans="16:18" x14ac:dyDescent="0.3">
      <c r="P2155" s="35">
        <v>22.78</v>
      </c>
      <c r="Q2155">
        <v>305</v>
      </c>
      <c r="R2155" s="34">
        <f t="shared" si="36"/>
        <v>0.24524649891837122</v>
      </c>
    </row>
    <row r="2156" spans="16:18" x14ac:dyDescent="0.3">
      <c r="P2156" s="35">
        <v>22.78</v>
      </c>
      <c r="Q2156">
        <v>305</v>
      </c>
      <c r="R2156" s="34">
        <f t="shared" si="36"/>
        <v>0.2453603552317038</v>
      </c>
    </row>
    <row r="2157" spans="16:18" x14ac:dyDescent="0.3">
      <c r="P2157" s="35">
        <v>22.78</v>
      </c>
      <c r="Q2157">
        <v>305</v>
      </c>
      <c r="R2157" s="34">
        <f t="shared" si="36"/>
        <v>0.24547421154503637</v>
      </c>
    </row>
    <row r="2158" spans="16:18" x14ac:dyDescent="0.3">
      <c r="P2158" s="35">
        <v>22.78</v>
      </c>
      <c r="Q2158">
        <v>305</v>
      </c>
      <c r="R2158" s="34">
        <f t="shared" si="36"/>
        <v>0.24558806785836895</v>
      </c>
    </row>
    <row r="2159" spans="16:18" x14ac:dyDescent="0.3">
      <c r="P2159" s="35">
        <v>22.79</v>
      </c>
      <c r="Q2159">
        <v>305</v>
      </c>
      <c r="R2159" s="34">
        <f t="shared" si="36"/>
        <v>0.24570192417170153</v>
      </c>
    </row>
    <row r="2160" spans="16:18" x14ac:dyDescent="0.3">
      <c r="P2160" s="35">
        <v>22.8</v>
      </c>
      <c r="Q2160">
        <v>305</v>
      </c>
      <c r="R2160" s="34">
        <f t="shared" si="36"/>
        <v>0.24581578048503411</v>
      </c>
    </row>
    <row r="2161" spans="16:18" x14ac:dyDescent="0.3">
      <c r="P2161" s="35">
        <v>22.8</v>
      </c>
      <c r="Q2161">
        <v>305</v>
      </c>
      <c r="R2161" s="34">
        <f t="shared" si="36"/>
        <v>0.24592963679836669</v>
      </c>
    </row>
    <row r="2162" spans="16:18" x14ac:dyDescent="0.3">
      <c r="P2162" s="35">
        <v>22.8</v>
      </c>
      <c r="Q2162">
        <v>305</v>
      </c>
      <c r="R2162" s="34">
        <f t="shared" si="36"/>
        <v>0.24604349311169926</v>
      </c>
    </row>
    <row r="2163" spans="16:18" x14ac:dyDescent="0.3">
      <c r="P2163" s="35">
        <v>22.8</v>
      </c>
      <c r="Q2163">
        <v>305</v>
      </c>
      <c r="R2163" s="34">
        <f t="shared" si="36"/>
        <v>0.24615734942503184</v>
      </c>
    </row>
    <row r="2164" spans="16:18" x14ac:dyDescent="0.3">
      <c r="P2164" s="35">
        <v>22.8</v>
      </c>
      <c r="Q2164">
        <v>305</v>
      </c>
      <c r="R2164" s="34">
        <f t="shared" si="36"/>
        <v>0.24627120573836442</v>
      </c>
    </row>
    <row r="2165" spans="16:18" x14ac:dyDescent="0.3">
      <c r="P2165" s="35">
        <v>22.8</v>
      </c>
      <c r="Q2165">
        <v>305</v>
      </c>
      <c r="R2165" s="34">
        <f t="shared" si="36"/>
        <v>0.246385062051697</v>
      </c>
    </row>
    <row r="2166" spans="16:18" x14ac:dyDescent="0.3">
      <c r="P2166" s="35">
        <v>22.81</v>
      </c>
      <c r="Q2166">
        <v>305</v>
      </c>
      <c r="R2166" s="34">
        <f t="shared" si="36"/>
        <v>0.24649891836502957</v>
      </c>
    </row>
    <row r="2167" spans="16:18" x14ac:dyDescent="0.3">
      <c r="P2167" s="35">
        <v>22.82</v>
      </c>
      <c r="Q2167">
        <v>305</v>
      </c>
      <c r="R2167" s="34">
        <f t="shared" si="36"/>
        <v>0.24661277467836215</v>
      </c>
    </row>
    <row r="2168" spans="16:18" x14ac:dyDescent="0.3">
      <c r="P2168" s="35">
        <v>22.82</v>
      </c>
      <c r="Q2168">
        <v>305</v>
      </c>
      <c r="R2168" s="34">
        <f t="shared" si="36"/>
        <v>0.24672663099169473</v>
      </c>
    </row>
    <row r="2169" spans="16:18" x14ac:dyDescent="0.3">
      <c r="P2169" s="35">
        <v>22.82</v>
      </c>
      <c r="Q2169">
        <v>305</v>
      </c>
      <c r="R2169" s="34">
        <f t="shared" si="36"/>
        <v>0.24684048730502731</v>
      </c>
    </row>
    <row r="2170" spans="16:18" x14ac:dyDescent="0.3">
      <c r="P2170" s="35">
        <v>22.82</v>
      </c>
      <c r="Q2170">
        <v>305</v>
      </c>
      <c r="R2170" s="34">
        <f t="shared" si="36"/>
        <v>0.24695434361835988</v>
      </c>
    </row>
    <row r="2171" spans="16:18" x14ac:dyDescent="0.3">
      <c r="P2171" s="35">
        <v>22.82</v>
      </c>
      <c r="Q2171">
        <v>305</v>
      </c>
      <c r="R2171" s="34">
        <f t="shared" si="36"/>
        <v>0.24706819993169246</v>
      </c>
    </row>
    <row r="2172" spans="16:18" x14ac:dyDescent="0.3">
      <c r="P2172" s="35">
        <v>22.84</v>
      </c>
      <c r="Q2172">
        <v>305</v>
      </c>
      <c r="R2172" s="34">
        <f t="shared" si="36"/>
        <v>0.24718205624502504</v>
      </c>
    </row>
    <row r="2173" spans="16:18" x14ac:dyDescent="0.3">
      <c r="P2173" s="35">
        <v>22.84</v>
      </c>
      <c r="Q2173">
        <v>305</v>
      </c>
      <c r="R2173" s="34">
        <f t="shared" si="36"/>
        <v>0.24729591255835762</v>
      </c>
    </row>
    <row r="2174" spans="16:18" x14ac:dyDescent="0.3">
      <c r="P2174" s="35">
        <v>22.84</v>
      </c>
      <c r="Q2174">
        <v>305</v>
      </c>
      <c r="R2174" s="34">
        <f t="shared" si="36"/>
        <v>0.24740976887169019</v>
      </c>
    </row>
    <row r="2175" spans="16:18" x14ac:dyDescent="0.3">
      <c r="P2175" s="35">
        <v>22.84</v>
      </c>
      <c r="Q2175">
        <v>305</v>
      </c>
      <c r="R2175" s="34">
        <f t="shared" si="36"/>
        <v>0.24752362518502277</v>
      </c>
    </row>
    <row r="2176" spans="16:18" x14ac:dyDescent="0.3">
      <c r="P2176" s="35">
        <v>22.85</v>
      </c>
      <c r="Q2176">
        <v>305</v>
      </c>
      <c r="R2176" s="34">
        <f t="shared" si="36"/>
        <v>0.24763748149835535</v>
      </c>
    </row>
    <row r="2177" spans="16:18" x14ac:dyDescent="0.3">
      <c r="P2177" s="35">
        <v>22.85</v>
      </c>
      <c r="Q2177">
        <v>305</v>
      </c>
      <c r="R2177" s="34">
        <f t="shared" si="36"/>
        <v>0.24775133781168793</v>
      </c>
    </row>
    <row r="2178" spans="16:18" x14ac:dyDescent="0.3">
      <c r="P2178" s="35">
        <v>22.85</v>
      </c>
      <c r="Q2178">
        <v>305</v>
      </c>
      <c r="R2178" s="34">
        <f t="shared" si="36"/>
        <v>0.2478651941250205</v>
      </c>
    </row>
    <row r="2179" spans="16:18" x14ac:dyDescent="0.3">
      <c r="P2179" s="35">
        <v>22.85</v>
      </c>
      <c r="Q2179">
        <v>305</v>
      </c>
      <c r="R2179" s="34">
        <f t="shared" si="36"/>
        <v>0.24797905043835308</v>
      </c>
    </row>
    <row r="2180" spans="16:18" x14ac:dyDescent="0.3">
      <c r="P2180" s="35">
        <v>22.86</v>
      </c>
      <c r="Q2180">
        <v>305</v>
      </c>
      <c r="R2180" s="34">
        <f t="shared" ref="R2180:R2243" si="37">R2179+R$2</f>
        <v>0.24809290675168566</v>
      </c>
    </row>
    <row r="2181" spans="16:18" x14ac:dyDescent="0.3">
      <c r="P2181" s="35">
        <v>22.86</v>
      </c>
      <c r="Q2181">
        <v>305</v>
      </c>
      <c r="R2181" s="34">
        <f t="shared" si="37"/>
        <v>0.24820676306501824</v>
      </c>
    </row>
    <row r="2182" spans="16:18" x14ac:dyDescent="0.3">
      <c r="P2182" s="35">
        <v>22.87</v>
      </c>
      <c r="Q2182">
        <v>305</v>
      </c>
      <c r="R2182" s="34">
        <f t="shared" si="37"/>
        <v>0.24832061937835082</v>
      </c>
    </row>
    <row r="2183" spans="16:18" x14ac:dyDescent="0.3">
      <c r="P2183" s="35">
        <v>22.87</v>
      </c>
      <c r="Q2183">
        <v>305</v>
      </c>
      <c r="R2183" s="34">
        <f t="shared" si="37"/>
        <v>0.24843447569168339</v>
      </c>
    </row>
    <row r="2184" spans="16:18" x14ac:dyDescent="0.3">
      <c r="P2184" s="35">
        <v>22.87</v>
      </c>
      <c r="Q2184">
        <v>305</v>
      </c>
      <c r="R2184" s="34">
        <f t="shared" si="37"/>
        <v>0.24854833200501597</v>
      </c>
    </row>
    <row r="2185" spans="16:18" x14ac:dyDescent="0.3">
      <c r="P2185" s="35">
        <v>22.88</v>
      </c>
      <c r="Q2185">
        <v>305</v>
      </c>
      <c r="R2185" s="34">
        <f t="shared" si="37"/>
        <v>0.24866218831834855</v>
      </c>
    </row>
    <row r="2186" spans="16:18" x14ac:dyDescent="0.3">
      <c r="P2186" s="35">
        <v>22.88</v>
      </c>
      <c r="Q2186">
        <v>305</v>
      </c>
      <c r="R2186" s="34">
        <f t="shared" si="37"/>
        <v>0.24877604463168113</v>
      </c>
    </row>
    <row r="2187" spans="16:18" x14ac:dyDescent="0.3">
      <c r="P2187" s="35">
        <v>22.88</v>
      </c>
      <c r="Q2187">
        <v>305</v>
      </c>
      <c r="R2187" s="34">
        <f t="shared" si="37"/>
        <v>0.2488899009450137</v>
      </c>
    </row>
    <row r="2188" spans="16:18" x14ac:dyDescent="0.3">
      <c r="P2188" s="35">
        <v>22.89</v>
      </c>
      <c r="Q2188">
        <v>305</v>
      </c>
      <c r="R2188" s="34">
        <f t="shared" si="37"/>
        <v>0.24900375725834628</v>
      </c>
    </row>
    <row r="2189" spans="16:18" x14ac:dyDescent="0.3">
      <c r="P2189" s="35">
        <v>22.89</v>
      </c>
      <c r="Q2189">
        <v>305</v>
      </c>
      <c r="R2189" s="34">
        <f t="shared" si="37"/>
        <v>0.24911761357167886</v>
      </c>
    </row>
    <row r="2190" spans="16:18" x14ac:dyDescent="0.3">
      <c r="P2190" s="35">
        <v>22.89</v>
      </c>
      <c r="Q2190">
        <v>305</v>
      </c>
      <c r="R2190" s="34">
        <f t="shared" si="37"/>
        <v>0.24923146988501144</v>
      </c>
    </row>
    <row r="2191" spans="16:18" x14ac:dyDescent="0.3">
      <c r="P2191" s="35">
        <v>22.89</v>
      </c>
      <c r="Q2191">
        <v>305</v>
      </c>
      <c r="R2191" s="34">
        <f t="shared" si="37"/>
        <v>0.24934532619834401</v>
      </c>
    </row>
    <row r="2192" spans="16:18" x14ac:dyDescent="0.3">
      <c r="P2192" s="35">
        <v>22.89</v>
      </c>
      <c r="Q2192">
        <v>305</v>
      </c>
      <c r="R2192" s="34">
        <f t="shared" si="37"/>
        <v>0.24945918251167659</v>
      </c>
    </row>
    <row r="2193" spans="16:18" x14ac:dyDescent="0.3">
      <c r="P2193" s="35">
        <v>22.9</v>
      </c>
      <c r="Q2193">
        <v>305</v>
      </c>
      <c r="R2193" s="34">
        <f t="shared" si="37"/>
        <v>0.24957303882500917</v>
      </c>
    </row>
    <row r="2194" spans="16:18" x14ac:dyDescent="0.3">
      <c r="P2194" s="35">
        <v>22.91</v>
      </c>
      <c r="Q2194">
        <v>305</v>
      </c>
      <c r="R2194" s="34">
        <f t="shared" si="37"/>
        <v>0.24968689513834175</v>
      </c>
    </row>
    <row r="2195" spans="16:18" x14ac:dyDescent="0.3">
      <c r="P2195" s="35">
        <v>22.91</v>
      </c>
      <c r="Q2195">
        <v>305</v>
      </c>
      <c r="R2195" s="34">
        <f t="shared" si="37"/>
        <v>0.24980075145167432</v>
      </c>
    </row>
    <row r="2196" spans="16:18" x14ac:dyDescent="0.3">
      <c r="P2196" s="35">
        <v>22.91</v>
      </c>
      <c r="Q2196">
        <v>305</v>
      </c>
      <c r="R2196" s="34">
        <f t="shared" si="37"/>
        <v>0.2499146077650069</v>
      </c>
    </row>
    <row r="2197" spans="16:18" x14ac:dyDescent="0.3">
      <c r="P2197" s="35">
        <v>22.91</v>
      </c>
      <c r="Q2197">
        <v>305</v>
      </c>
      <c r="R2197" s="34">
        <f t="shared" si="37"/>
        <v>0.25002846407833945</v>
      </c>
    </row>
    <row r="2198" spans="16:18" x14ac:dyDescent="0.3">
      <c r="P2198" s="35">
        <v>22.91</v>
      </c>
      <c r="Q2198">
        <v>305</v>
      </c>
      <c r="R2198" s="34">
        <f t="shared" si="37"/>
        <v>0.250142320391672</v>
      </c>
    </row>
    <row r="2199" spans="16:18" x14ac:dyDescent="0.3">
      <c r="P2199" s="35">
        <v>22.92</v>
      </c>
      <c r="Q2199">
        <v>305</v>
      </c>
      <c r="R2199" s="34">
        <f t="shared" si="37"/>
        <v>0.25025617670500455</v>
      </c>
    </row>
    <row r="2200" spans="16:18" x14ac:dyDescent="0.3">
      <c r="P2200" s="35">
        <v>22.92</v>
      </c>
      <c r="Q2200">
        <v>305</v>
      </c>
      <c r="R2200" s="34">
        <f t="shared" si="37"/>
        <v>0.2503700330183371</v>
      </c>
    </row>
    <row r="2201" spans="16:18" x14ac:dyDescent="0.3">
      <c r="P2201" s="35">
        <v>22.92</v>
      </c>
      <c r="Q2201">
        <v>305</v>
      </c>
      <c r="R2201" s="34">
        <f t="shared" si="37"/>
        <v>0.25048388933166965</v>
      </c>
    </row>
    <row r="2202" spans="16:18" x14ac:dyDescent="0.3">
      <c r="P2202" s="35">
        <v>22.93</v>
      </c>
      <c r="Q2202">
        <v>305</v>
      </c>
      <c r="R2202" s="34">
        <f t="shared" si="37"/>
        <v>0.2505977456450022</v>
      </c>
    </row>
    <row r="2203" spans="16:18" x14ac:dyDescent="0.3">
      <c r="P2203" s="35">
        <v>22.93</v>
      </c>
      <c r="Q2203">
        <v>305</v>
      </c>
      <c r="R2203" s="34">
        <f t="shared" si="37"/>
        <v>0.25071160195833475</v>
      </c>
    </row>
    <row r="2204" spans="16:18" x14ac:dyDescent="0.3">
      <c r="P2204" s="35">
        <v>22.93</v>
      </c>
      <c r="Q2204">
        <v>305</v>
      </c>
      <c r="R2204" s="34">
        <f t="shared" si="37"/>
        <v>0.2508254582716673</v>
      </c>
    </row>
    <row r="2205" spans="16:18" x14ac:dyDescent="0.3">
      <c r="P2205" s="35">
        <v>22.93</v>
      </c>
      <c r="Q2205">
        <v>305</v>
      </c>
      <c r="R2205" s="34">
        <f t="shared" si="37"/>
        <v>0.25093931458499985</v>
      </c>
    </row>
    <row r="2206" spans="16:18" x14ac:dyDescent="0.3">
      <c r="P2206" s="35">
        <v>22.93</v>
      </c>
      <c r="Q2206">
        <v>305</v>
      </c>
      <c r="R2206" s="34">
        <f t="shared" si="37"/>
        <v>0.2510531708983324</v>
      </c>
    </row>
    <row r="2207" spans="16:18" x14ac:dyDescent="0.3">
      <c r="P2207" s="35">
        <v>22.93</v>
      </c>
      <c r="Q2207">
        <v>305</v>
      </c>
      <c r="R2207" s="34">
        <f t="shared" si="37"/>
        <v>0.25116702721166495</v>
      </c>
    </row>
    <row r="2208" spans="16:18" x14ac:dyDescent="0.3">
      <c r="P2208" s="35">
        <v>22.94</v>
      </c>
      <c r="Q2208">
        <v>305</v>
      </c>
      <c r="R2208" s="34">
        <f t="shared" si="37"/>
        <v>0.2512808835249975</v>
      </c>
    </row>
    <row r="2209" spans="16:18" x14ac:dyDescent="0.3">
      <c r="P2209" s="35">
        <v>22.94</v>
      </c>
      <c r="Q2209">
        <v>305</v>
      </c>
      <c r="R2209" s="34">
        <f t="shared" si="37"/>
        <v>0.25139473983833005</v>
      </c>
    </row>
    <row r="2210" spans="16:18" x14ac:dyDescent="0.3">
      <c r="P2210" s="35">
        <v>22.94</v>
      </c>
      <c r="Q2210">
        <v>305</v>
      </c>
      <c r="R2210" s="34">
        <f t="shared" si="37"/>
        <v>0.2515085961516626</v>
      </c>
    </row>
    <row r="2211" spans="16:18" x14ac:dyDescent="0.3">
      <c r="P2211" s="35">
        <v>22.95</v>
      </c>
      <c r="Q2211">
        <v>305</v>
      </c>
      <c r="R2211" s="34">
        <f t="shared" si="37"/>
        <v>0.25162245246499515</v>
      </c>
    </row>
    <row r="2212" spans="16:18" x14ac:dyDescent="0.3">
      <c r="P2212" s="35">
        <v>22.95</v>
      </c>
      <c r="Q2212">
        <v>305</v>
      </c>
      <c r="R2212" s="34">
        <f t="shared" si="37"/>
        <v>0.2517363087783277</v>
      </c>
    </row>
    <row r="2213" spans="16:18" x14ac:dyDescent="0.3">
      <c r="P2213" s="35">
        <v>22.95</v>
      </c>
      <c r="Q2213">
        <v>305</v>
      </c>
      <c r="R2213" s="34">
        <f t="shared" si="37"/>
        <v>0.25185016509166025</v>
      </c>
    </row>
    <row r="2214" spans="16:18" x14ac:dyDescent="0.3">
      <c r="P2214" s="35">
        <v>22.95</v>
      </c>
      <c r="Q2214">
        <v>305</v>
      </c>
      <c r="R2214" s="34">
        <f t="shared" si="37"/>
        <v>0.2519640214049928</v>
      </c>
    </row>
    <row r="2215" spans="16:18" x14ac:dyDescent="0.3">
      <c r="P2215" s="35">
        <v>22.96</v>
      </c>
      <c r="Q2215">
        <v>305</v>
      </c>
      <c r="R2215" s="34">
        <f t="shared" si="37"/>
        <v>0.25207787771832535</v>
      </c>
    </row>
    <row r="2216" spans="16:18" x14ac:dyDescent="0.3">
      <c r="P2216" s="35">
        <v>22.96</v>
      </c>
      <c r="Q2216">
        <v>305</v>
      </c>
      <c r="R2216" s="34">
        <f t="shared" si="37"/>
        <v>0.2521917340316579</v>
      </c>
    </row>
    <row r="2217" spans="16:18" x14ac:dyDescent="0.3">
      <c r="P2217" s="35">
        <v>22.96</v>
      </c>
      <c r="Q2217">
        <v>305</v>
      </c>
      <c r="R2217" s="34">
        <f t="shared" si="37"/>
        <v>0.25230559034499045</v>
      </c>
    </row>
    <row r="2218" spans="16:18" x14ac:dyDescent="0.3">
      <c r="P2218" s="35">
        <v>22.97</v>
      </c>
      <c r="Q2218">
        <v>305</v>
      </c>
      <c r="R2218" s="34">
        <f t="shared" si="37"/>
        <v>0.252419446658323</v>
      </c>
    </row>
    <row r="2219" spans="16:18" x14ac:dyDescent="0.3">
      <c r="P2219" s="35">
        <v>22.97</v>
      </c>
      <c r="Q2219">
        <v>305</v>
      </c>
      <c r="R2219" s="34">
        <f t="shared" si="37"/>
        <v>0.25253330297165555</v>
      </c>
    </row>
    <row r="2220" spans="16:18" x14ac:dyDescent="0.3">
      <c r="P2220" s="35">
        <v>22.97</v>
      </c>
      <c r="Q2220">
        <v>305</v>
      </c>
      <c r="R2220" s="34">
        <f t="shared" si="37"/>
        <v>0.2526471592849881</v>
      </c>
    </row>
    <row r="2221" spans="16:18" x14ac:dyDescent="0.3">
      <c r="P2221" s="35">
        <v>22.98</v>
      </c>
      <c r="Q2221">
        <v>305</v>
      </c>
      <c r="R2221" s="34">
        <f t="shared" si="37"/>
        <v>0.25276101559832065</v>
      </c>
    </row>
    <row r="2222" spans="16:18" x14ac:dyDescent="0.3">
      <c r="P2222" s="35">
        <v>22.98</v>
      </c>
      <c r="Q2222">
        <v>305</v>
      </c>
      <c r="R2222" s="34">
        <f t="shared" si="37"/>
        <v>0.2528748719116532</v>
      </c>
    </row>
    <row r="2223" spans="16:18" x14ac:dyDescent="0.3">
      <c r="P2223" s="35">
        <v>22.99</v>
      </c>
      <c r="Q2223">
        <v>305</v>
      </c>
      <c r="R2223" s="34">
        <f t="shared" si="37"/>
        <v>0.25298872822498575</v>
      </c>
    </row>
    <row r="2224" spans="16:18" x14ac:dyDescent="0.3">
      <c r="P2224" s="35">
        <v>22.99</v>
      </c>
      <c r="Q2224">
        <v>305</v>
      </c>
      <c r="R2224" s="34">
        <f t="shared" si="37"/>
        <v>0.2531025845383183</v>
      </c>
    </row>
    <row r="2225" spans="16:18" x14ac:dyDescent="0.3">
      <c r="P2225" s="35">
        <v>22.99</v>
      </c>
      <c r="Q2225">
        <v>305</v>
      </c>
      <c r="R2225" s="34">
        <f t="shared" si="37"/>
        <v>0.25321644085165085</v>
      </c>
    </row>
    <row r="2226" spans="16:18" x14ac:dyDescent="0.3">
      <c r="P2226" s="35">
        <v>22.99</v>
      </c>
      <c r="Q2226">
        <v>305</v>
      </c>
      <c r="R2226" s="34">
        <f t="shared" si="37"/>
        <v>0.2533302971649834</v>
      </c>
    </row>
    <row r="2227" spans="16:18" x14ac:dyDescent="0.3">
      <c r="P2227" s="35">
        <v>22.99</v>
      </c>
      <c r="Q2227">
        <v>305</v>
      </c>
      <c r="R2227" s="34">
        <f t="shared" si="37"/>
        <v>0.25344415347831595</v>
      </c>
    </row>
    <row r="2228" spans="16:18" x14ac:dyDescent="0.3">
      <c r="P2228" s="35">
        <v>22.99</v>
      </c>
      <c r="Q2228">
        <v>305</v>
      </c>
      <c r="R2228" s="34">
        <f t="shared" si="37"/>
        <v>0.2535580097916485</v>
      </c>
    </row>
    <row r="2229" spans="16:18" x14ac:dyDescent="0.3">
      <c r="P2229" s="35">
        <v>22.99</v>
      </c>
      <c r="Q2229">
        <v>305</v>
      </c>
      <c r="R2229" s="34">
        <f t="shared" si="37"/>
        <v>0.25367186610498105</v>
      </c>
    </row>
    <row r="2230" spans="16:18" x14ac:dyDescent="0.3">
      <c r="P2230" s="35">
        <v>23</v>
      </c>
      <c r="Q2230">
        <v>305</v>
      </c>
      <c r="R2230" s="34">
        <f t="shared" si="37"/>
        <v>0.2537857224183136</v>
      </c>
    </row>
    <row r="2231" spans="16:18" x14ac:dyDescent="0.3">
      <c r="P2231" s="35">
        <v>23</v>
      </c>
      <c r="Q2231">
        <v>305</v>
      </c>
      <c r="R2231" s="34">
        <f t="shared" si="37"/>
        <v>0.25389957873164615</v>
      </c>
    </row>
    <row r="2232" spans="16:18" x14ac:dyDescent="0.3">
      <c r="P2232" s="35">
        <v>23.01</v>
      </c>
      <c r="Q2232">
        <v>305</v>
      </c>
      <c r="R2232" s="34">
        <f t="shared" si="37"/>
        <v>0.2540134350449787</v>
      </c>
    </row>
    <row r="2233" spans="16:18" x14ac:dyDescent="0.3">
      <c r="P2233" s="35">
        <v>23.02</v>
      </c>
      <c r="Q2233">
        <v>305</v>
      </c>
      <c r="R2233" s="34">
        <f t="shared" si="37"/>
        <v>0.25412729135831125</v>
      </c>
    </row>
    <row r="2234" spans="16:18" x14ac:dyDescent="0.3">
      <c r="P2234" s="35">
        <v>23.02</v>
      </c>
      <c r="Q2234">
        <v>305</v>
      </c>
      <c r="R2234" s="34">
        <f t="shared" si="37"/>
        <v>0.2542411476716438</v>
      </c>
    </row>
    <row r="2235" spans="16:18" x14ac:dyDescent="0.3">
      <c r="P2235" s="35">
        <v>23.03</v>
      </c>
      <c r="Q2235">
        <v>305</v>
      </c>
      <c r="R2235" s="34">
        <f t="shared" si="37"/>
        <v>0.25435500398497635</v>
      </c>
    </row>
    <row r="2236" spans="16:18" x14ac:dyDescent="0.3">
      <c r="P2236" s="35">
        <v>23.03</v>
      </c>
      <c r="Q2236">
        <v>305</v>
      </c>
      <c r="R2236" s="34">
        <f t="shared" si="37"/>
        <v>0.2544688602983089</v>
      </c>
    </row>
    <row r="2237" spans="16:18" x14ac:dyDescent="0.3">
      <c r="P2237" s="35">
        <v>23.03</v>
      </c>
      <c r="Q2237">
        <v>305</v>
      </c>
      <c r="R2237" s="34">
        <f t="shared" si="37"/>
        <v>0.25458271661164145</v>
      </c>
    </row>
    <row r="2238" spans="16:18" x14ac:dyDescent="0.3">
      <c r="P2238" s="35">
        <v>23.03</v>
      </c>
      <c r="Q2238">
        <v>305</v>
      </c>
      <c r="R2238" s="34">
        <f t="shared" si="37"/>
        <v>0.254696572924974</v>
      </c>
    </row>
    <row r="2239" spans="16:18" x14ac:dyDescent="0.3">
      <c r="P2239" s="35">
        <v>23.03</v>
      </c>
      <c r="Q2239">
        <v>305</v>
      </c>
      <c r="R2239" s="34">
        <f t="shared" si="37"/>
        <v>0.25481042923830655</v>
      </c>
    </row>
    <row r="2240" spans="16:18" x14ac:dyDescent="0.3">
      <c r="P2240" s="35">
        <v>23.04</v>
      </c>
      <c r="Q2240">
        <v>305</v>
      </c>
      <c r="R2240" s="34">
        <f t="shared" si="37"/>
        <v>0.2549242855516391</v>
      </c>
    </row>
    <row r="2241" spans="16:18" x14ac:dyDescent="0.3">
      <c r="P2241" s="35">
        <v>23.04</v>
      </c>
      <c r="Q2241">
        <v>305</v>
      </c>
      <c r="R2241" s="34">
        <f t="shared" si="37"/>
        <v>0.25503814186497165</v>
      </c>
    </row>
    <row r="2242" spans="16:18" x14ac:dyDescent="0.3">
      <c r="P2242" s="35">
        <v>23.04</v>
      </c>
      <c r="Q2242">
        <v>305</v>
      </c>
      <c r="R2242" s="34">
        <f t="shared" si="37"/>
        <v>0.2551519981783042</v>
      </c>
    </row>
    <row r="2243" spans="16:18" x14ac:dyDescent="0.3">
      <c r="P2243" s="35">
        <v>23.04</v>
      </c>
      <c r="Q2243">
        <v>305</v>
      </c>
      <c r="R2243" s="34">
        <f t="shared" si="37"/>
        <v>0.25526585449163675</v>
      </c>
    </row>
    <row r="2244" spans="16:18" x14ac:dyDescent="0.3">
      <c r="P2244" s="35">
        <v>23.05</v>
      </c>
      <c r="Q2244">
        <v>305</v>
      </c>
      <c r="R2244" s="34">
        <f t="shared" ref="R2244:R2307" si="38">R2243+R$2</f>
        <v>0.2553797108049693</v>
      </c>
    </row>
    <row r="2245" spans="16:18" x14ac:dyDescent="0.3">
      <c r="P2245" s="35">
        <v>23.05</v>
      </c>
      <c r="Q2245">
        <v>305</v>
      </c>
      <c r="R2245" s="34">
        <f t="shared" si="38"/>
        <v>0.25549356711830185</v>
      </c>
    </row>
    <row r="2246" spans="16:18" x14ac:dyDescent="0.3">
      <c r="P2246" s="35">
        <v>23.05</v>
      </c>
      <c r="Q2246">
        <v>305</v>
      </c>
      <c r="R2246" s="34">
        <f t="shared" si="38"/>
        <v>0.2556074234316344</v>
      </c>
    </row>
    <row r="2247" spans="16:18" x14ac:dyDescent="0.3">
      <c r="P2247" s="35">
        <v>23.05</v>
      </c>
      <c r="Q2247">
        <v>305</v>
      </c>
      <c r="R2247" s="34">
        <f t="shared" si="38"/>
        <v>0.25572127974496695</v>
      </c>
    </row>
    <row r="2248" spans="16:18" x14ac:dyDescent="0.3">
      <c r="P2248" s="35">
        <v>23.06</v>
      </c>
      <c r="Q2248">
        <v>305</v>
      </c>
      <c r="R2248" s="34">
        <f t="shared" si="38"/>
        <v>0.25583513605829949</v>
      </c>
    </row>
    <row r="2249" spans="16:18" x14ac:dyDescent="0.3">
      <c r="P2249" s="35">
        <v>23.06</v>
      </c>
      <c r="Q2249">
        <v>305</v>
      </c>
      <c r="R2249" s="34">
        <f t="shared" si="38"/>
        <v>0.25594899237163204</v>
      </c>
    </row>
    <row r="2250" spans="16:18" x14ac:dyDescent="0.3">
      <c r="P2250" s="35">
        <v>23.06</v>
      </c>
      <c r="Q2250">
        <v>305</v>
      </c>
      <c r="R2250" s="34">
        <f t="shared" si="38"/>
        <v>0.25606284868496459</v>
      </c>
    </row>
    <row r="2251" spans="16:18" x14ac:dyDescent="0.3">
      <c r="P2251" s="35">
        <v>23.06</v>
      </c>
      <c r="Q2251">
        <v>305</v>
      </c>
      <c r="R2251" s="34">
        <f t="shared" si="38"/>
        <v>0.25617670499829714</v>
      </c>
    </row>
    <row r="2252" spans="16:18" x14ac:dyDescent="0.3">
      <c r="P2252" s="35">
        <v>23.06</v>
      </c>
      <c r="Q2252">
        <v>305</v>
      </c>
      <c r="R2252" s="34">
        <f t="shared" si="38"/>
        <v>0.25629056131162969</v>
      </c>
    </row>
    <row r="2253" spans="16:18" x14ac:dyDescent="0.3">
      <c r="P2253" s="35">
        <v>23.06</v>
      </c>
      <c r="Q2253">
        <v>305</v>
      </c>
      <c r="R2253" s="34">
        <f t="shared" si="38"/>
        <v>0.25640441762496224</v>
      </c>
    </row>
    <row r="2254" spans="16:18" x14ac:dyDescent="0.3">
      <c r="P2254" s="35">
        <v>23.06</v>
      </c>
      <c r="Q2254">
        <v>305</v>
      </c>
      <c r="R2254" s="34">
        <f t="shared" si="38"/>
        <v>0.25651827393829479</v>
      </c>
    </row>
    <row r="2255" spans="16:18" x14ac:dyDescent="0.3">
      <c r="P2255" s="35">
        <v>23.06</v>
      </c>
      <c r="Q2255">
        <v>305</v>
      </c>
      <c r="R2255" s="34">
        <f t="shared" si="38"/>
        <v>0.25663213025162734</v>
      </c>
    </row>
    <row r="2256" spans="16:18" x14ac:dyDescent="0.3">
      <c r="P2256" s="35">
        <v>23.06</v>
      </c>
      <c r="Q2256">
        <v>305</v>
      </c>
      <c r="R2256" s="34">
        <f t="shared" si="38"/>
        <v>0.25674598656495989</v>
      </c>
    </row>
    <row r="2257" spans="16:18" x14ac:dyDescent="0.3">
      <c r="P2257" s="35">
        <v>23.07</v>
      </c>
      <c r="Q2257">
        <v>305</v>
      </c>
      <c r="R2257" s="34">
        <f t="shared" si="38"/>
        <v>0.25685984287829244</v>
      </c>
    </row>
    <row r="2258" spans="16:18" x14ac:dyDescent="0.3">
      <c r="P2258" s="35">
        <v>23.07</v>
      </c>
      <c r="Q2258">
        <v>305</v>
      </c>
      <c r="R2258" s="34">
        <f t="shared" si="38"/>
        <v>0.25697369919162499</v>
      </c>
    </row>
    <row r="2259" spans="16:18" x14ac:dyDescent="0.3">
      <c r="P2259" s="35">
        <v>23.07</v>
      </c>
      <c r="Q2259">
        <v>305</v>
      </c>
      <c r="R2259" s="34">
        <f t="shared" si="38"/>
        <v>0.25708755550495754</v>
      </c>
    </row>
    <row r="2260" spans="16:18" x14ac:dyDescent="0.3">
      <c r="P2260" s="35">
        <v>23.07</v>
      </c>
      <c r="Q2260">
        <v>305</v>
      </c>
      <c r="R2260" s="34">
        <f t="shared" si="38"/>
        <v>0.25720141181829009</v>
      </c>
    </row>
    <row r="2261" spans="16:18" x14ac:dyDescent="0.3">
      <c r="P2261" s="35">
        <v>23.08</v>
      </c>
      <c r="Q2261">
        <v>305</v>
      </c>
      <c r="R2261" s="34">
        <f t="shared" si="38"/>
        <v>0.25731526813162264</v>
      </c>
    </row>
    <row r="2262" spans="16:18" x14ac:dyDescent="0.3">
      <c r="P2262" s="35">
        <v>23.08</v>
      </c>
      <c r="Q2262">
        <v>305</v>
      </c>
      <c r="R2262" s="34">
        <f t="shared" si="38"/>
        <v>0.25742912444495519</v>
      </c>
    </row>
    <row r="2263" spans="16:18" x14ac:dyDescent="0.3">
      <c r="P2263" s="35">
        <v>23.08</v>
      </c>
      <c r="Q2263">
        <v>305</v>
      </c>
      <c r="R2263" s="34">
        <f t="shared" si="38"/>
        <v>0.25754298075828774</v>
      </c>
    </row>
    <row r="2264" spans="16:18" x14ac:dyDescent="0.3">
      <c r="P2264" s="35">
        <v>23.08</v>
      </c>
      <c r="Q2264">
        <v>305</v>
      </c>
      <c r="R2264" s="34">
        <f t="shared" si="38"/>
        <v>0.25765683707162029</v>
      </c>
    </row>
    <row r="2265" spans="16:18" x14ac:dyDescent="0.3">
      <c r="P2265" s="35">
        <v>23.09</v>
      </c>
      <c r="Q2265">
        <v>305</v>
      </c>
      <c r="R2265" s="34">
        <f t="shared" si="38"/>
        <v>0.25777069338495284</v>
      </c>
    </row>
    <row r="2266" spans="16:18" x14ac:dyDescent="0.3">
      <c r="P2266" s="35">
        <v>23.09</v>
      </c>
      <c r="Q2266">
        <v>305</v>
      </c>
      <c r="R2266" s="34">
        <f t="shared" si="38"/>
        <v>0.25788454969828539</v>
      </c>
    </row>
    <row r="2267" spans="16:18" x14ac:dyDescent="0.3">
      <c r="P2267" s="35">
        <v>23.09</v>
      </c>
      <c r="Q2267">
        <v>305</v>
      </c>
      <c r="R2267" s="34">
        <f t="shared" si="38"/>
        <v>0.25799840601161794</v>
      </c>
    </row>
    <row r="2268" spans="16:18" x14ac:dyDescent="0.3">
      <c r="P2268" s="35">
        <v>23.09</v>
      </c>
      <c r="Q2268">
        <v>305</v>
      </c>
      <c r="R2268" s="34">
        <f t="shared" si="38"/>
        <v>0.25811226232495049</v>
      </c>
    </row>
    <row r="2269" spans="16:18" x14ac:dyDescent="0.3">
      <c r="P2269" s="35">
        <v>23.09</v>
      </c>
      <c r="Q2269">
        <v>305</v>
      </c>
      <c r="R2269" s="34">
        <f t="shared" si="38"/>
        <v>0.25822611863828304</v>
      </c>
    </row>
    <row r="2270" spans="16:18" x14ac:dyDescent="0.3">
      <c r="P2270" s="35">
        <v>23.09</v>
      </c>
      <c r="Q2270">
        <v>305</v>
      </c>
      <c r="R2270" s="34">
        <f t="shared" si="38"/>
        <v>0.25833997495161559</v>
      </c>
    </row>
    <row r="2271" spans="16:18" x14ac:dyDescent="0.3">
      <c r="P2271" s="35">
        <v>23.1</v>
      </c>
      <c r="Q2271">
        <v>305</v>
      </c>
      <c r="R2271" s="34">
        <f t="shared" si="38"/>
        <v>0.25845383126494814</v>
      </c>
    </row>
    <row r="2272" spans="16:18" x14ac:dyDescent="0.3">
      <c r="P2272" s="35">
        <v>23.1</v>
      </c>
      <c r="Q2272">
        <v>305</v>
      </c>
      <c r="R2272" s="34">
        <f t="shared" si="38"/>
        <v>0.25856768757828069</v>
      </c>
    </row>
    <row r="2273" spans="16:18" x14ac:dyDescent="0.3">
      <c r="P2273" s="35">
        <v>23.1</v>
      </c>
      <c r="Q2273">
        <v>305</v>
      </c>
      <c r="R2273" s="34">
        <f t="shared" si="38"/>
        <v>0.25868154389161324</v>
      </c>
    </row>
    <row r="2274" spans="16:18" x14ac:dyDescent="0.3">
      <c r="P2274" s="35">
        <v>23.1</v>
      </c>
      <c r="Q2274">
        <v>305</v>
      </c>
      <c r="R2274" s="34">
        <f t="shared" si="38"/>
        <v>0.25879540020494579</v>
      </c>
    </row>
    <row r="2275" spans="16:18" x14ac:dyDescent="0.3">
      <c r="P2275" s="35">
        <v>23.11</v>
      </c>
      <c r="Q2275">
        <v>305</v>
      </c>
      <c r="R2275" s="34">
        <f t="shared" si="38"/>
        <v>0.25890925651827834</v>
      </c>
    </row>
    <row r="2276" spans="16:18" x14ac:dyDescent="0.3">
      <c r="P2276" s="35">
        <v>23.11</v>
      </c>
      <c r="Q2276">
        <v>305</v>
      </c>
      <c r="R2276" s="34">
        <f t="shared" si="38"/>
        <v>0.25902311283161089</v>
      </c>
    </row>
    <row r="2277" spans="16:18" x14ac:dyDescent="0.3">
      <c r="P2277" s="35">
        <v>23.11</v>
      </c>
      <c r="Q2277">
        <v>305</v>
      </c>
      <c r="R2277" s="34">
        <f t="shared" si="38"/>
        <v>0.25913696914494344</v>
      </c>
    </row>
    <row r="2278" spans="16:18" x14ac:dyDescent="0.3">
      <c r="P2278" s="35">
        <v>23.11</v>
      </c>
      <c r="Q2278">
        <v>305</v>
      </c>
      <c r="R2278" s="34">
        <f t="shared" si="38"/>
        <v>0.25925082545827599</v>
      </c>
    </row>
    <row r="2279" spans="16:18" x14ac:dyDescent="0.3">
      <c r="P2279" s="35">
        <v>23.11</v>
      </c>
      <c r="Q2279">
        <v>305</v>
      </c>
      <c r="R2279" s="34">
        <f t="shared" si="38"/>
        <v>0.25936468177160854</v>
      </c>
    </row>
    <row r="2280" spans="16:18" x14ac:dyDescent="0.3">
      <c r="P2280" s="35">
        <v>23.12</v>
      </c>
      <c r="Q2280">
        <v>305</v>
      </c>
      <c r="R2280" s="34">
        <f t="shared" si="38"/>
        <v>0.25947853808494109</v>
      </c>
    </row>
    <row r="2281" spans="16:18" x14ac:dyDescent="0.3">
      <c r="P2281" s="35">
        <v>23.13</v>
      </c>
      <c r="Q2281">
        <v>305</v>
      </c>
      <c r="R2281" s="34">
        <f t="shared" si="38"/>
        <v>0.25959239439827364</v>
      </c>
    </row>
    <row r="2282" spans="16:18" x14ac:dyDescent="0.3">
      <c r="P2282" s="35">
        <v>23.13</v>
      </c>
      <c r="Q2282">
        <v>305</v>
      </c>
      <c r="R2282" s="34">
        <f t="shared" si="38"/>
        <v>0.25970625071160619</v>
      </c>
    </row>
    <row r="2283" spans="16:18" x14ac:dyDescent="0.3">
      <c r="P2283" s="35">
        <v>23.13</v>
      </c>
      <c r="Q2283">
        <v>305</v>
      </c>
      <c r="R2283" s="34">
        <f t="shared" si="38"/>
        <v>0.25982010702493874</v>
      </c>
    </row>
    <row r="2284" spans="16:18" x14ac:dyDescent="0.3">
      <c r="P2284" s="35">
        <v>23.14</v>
      </c>
      <c r="Q2284">
        <v>305</v>
      </c>
      <c r="R2284" s="34">
        <f t="shared" si="38"/>
        <v>0.25993396333827129</v>
      </c>
    </row>
    <row r="2285" spans="16:18" x14ac:dyDescent="0.3">
      <c r="P2285" s="35">
        <v>23.14</v>
      </c>
      <c r="Q2285">
        <v>305</v>
      </c>
      <c r="R2285" s="34">
        <f t="shared" si="38"/>
        <v>0.26004781965160384</v>
      </c>
    </row>
    <row r="2286" spans="16:18" x14ac:dyDescent="0.3">
      <c r="P2286" s="35">
        <v>23.15</v>
      </c>
      <c r="Q2286">
        <v>305</v>
      </c>
      <c r="R2286" s="34">
        <f t="shared" si="38"/>
        <v>0.26016167596493639</v>
      </c>
    </row>
    <row r="2287" spans="16:18" x14ac:dyDescent="0.3">
      <c r="P2287" s="35">
        <v>23.15</v>
      </c>
      <c r="Q2287">
        <v>305</v>
      </c>
      <c r="R2287" s="34">
        <f t="shared" si="38"/>
        <v>0.26027553227826894</v>
      </c>
    </row>
    <row r="2288" spans="16:18" x14ac:dyDescent="0.3">
      <c r="P2288" s="35">
        <v>23.16</v>
      </c>
      <c r="Q2288">
        <v>305</v>
      </c>
      <c r="R2288" s="34">
        <f t="shared" si="38"/>
        <v>0.26038938859160149</v>
      </c>
    </row>
    <row r="2289" spans="16:18" x14ac:dyDescent="0.3">
      <c r="P2289" s="35">
        <v>23.16</v>
      </c>
      <c r="Q2289">
        <v>305</v>
      </c>
      <c r="R2289" s="34">
        <f t="shared" si="38"/>
        <v>0.26050324490493404</v>
      </c>
    </row>
    <row r="2290" spans="16:18" x14ac:dyDescent="0.3">
      <c r="P2290" s="35">
        <v>23.16</v>
      </c>
      <c r="Q2290">
        <v>305</v>
      </c>
      <c r="R2290" s="34">
        <f t="shared" si="38"/>
        <v>0.26061710121826659</v>
      </c>
    </row>
    <row r="2291" spans="16:18" x14ac:dyDescent="0.3">
      <c r="P2291" s="35">
        <v>23.16</v>
      </c>
      <c r="Q2291">
        <v>305</v>
      </c>
      <c r="R2291" s="34">
        <f t="shared" si="38"/>
        <v>0.26073095753159914</v>
      </c>
    </row>
    <row r="2292" spans="16:18" x14ac:dyDescent="0.3">
      <c r="P2292" s="35">
        <v>23.16</v>
      </c>
      <c r="Q2292">
        <v>305</v>
      </c>
      <c r="R2292" s="34">
        <f t="shared" si="38"/>
        <v>0.26084481384493169</v>
      </c>
    </row>
    <row r="2293" spans="16:18" x14ac:dyDescent="0.3">
      <c r="P2293" s="35">
        <v>23.17</v>
      </c>
      <c r="Q2293">
        <v>305</v>
      </c>
      <c r="R2293" s="34">
        <f t="shared" si="38"/>
        <v>0.26095867015826424</v>
      </c>
    </row>
    <row r="2294" spans="16:18" x14ac:dyDescent="0.3">
      <c r="P2294" s="35">
        <v>23.17</v>
      </c>
      <c r="Q2294">
        <v>305</v>
      </c>
      <c r="R2294" s="34">
        <f t="shared" si="38"/>
        <v>0.26107252647159679</v>
      </c>
    </row>
    <row r="2295" spans="16:18" x14ac:dyDescent="0.3">
      <c r="P2295" s="35">
        <v>23.17</v>
      </c>
      <c r="Q2295">
        <v>305</v>
      </c>
      <c r="R2295" s="34">
        <f t="shared" si="38"/>
        <v>0.26118638278492934</v>
      </c>
    </row>
    <row r="2296" spans="16:18" x14ac:dyDescent="0.3">
      <c r="P2296" s="35">
        <v>23.18</v>
      </c>
      <c r="Q2296">
        <v>305</v>
      </c>
      <c r="R2296" s="34">
        <f t="shared" si="38"/>
        <v>0.26130023909826189</v>
      </c>
    </row>
    <row r="2297" spans="16:18" x14ac:dyDescent="0.3">
      <c r="P2297" s="35">
        <v>23.18</v>
      </c>
      <c r="Q2297">
        <v>305</v>
      </c>
      <c r="R2297" s="34">
        <f t="shared" si="38"/>
        <v>0.26141409541159444</v>
      </c>
    </row>
    <row r="2298" spans="16:18" x14ac:dyDescent="0.3">
      <c r="P2298" s="35">
        <v>23.19</v>
      </c>
      <c r="Q2298">
        <v>305</v>
      </c>
      <c r="R2298" s="34">
        <f t="shared" si="38"/>
        <v>0.26152795172492699</v>
      </c>
    </row>
    <row r="2299" spans="16:18" x14ac:dyDescent="0.3">
      <c r="P2299" s="35">
        <v>23.19</v>
      </c>
      <c r="Q2299">
        <v>305</v>
      </c>
      <c r="R2299" s="34">
        <f t="shared" si="38"/>
        <v>0.26164180803825954</v>
      </c>
    </row>
    <row r="2300" spans="16:18" x14ac:dyDescent="0.3">
      <c r="P2300" s="35">
        <v>23.19</v>
      </c>
      <c r="Q2300">
        <v>305</v>
      </c>
      <c r="R2300" s="34">
        <f t="shared" si="38"/>
        <v>0.26175566435159209</v>
      </c>
    </row>
    <row r="2301" spans="16:18" x14ac:dyDescent="0.3">
      <c r="P2301" s="35">
        <v>23.19</v>
      </c>
      <c r="Q2301">
        <v>305</v>
      </c>
      <c r="R2301" s="34">
        <f t="shared" si="38"/>
        <v>0.26186952066492464</v>
      </c>
    </row>
    <row r="2302" spans="16:18" x14ac:dyDescent="0.3">
      <c r="P2302" s="35">
        <v>23.19</v>
      </c>
      <c r="Q2302">
        <v>305</v>
      </c>
      <c r="R2302" s="34">
        <f t="shared" si="38"/>
        <v>0.26198337697825719</v>
      </c>
    </row>
    <row r="2303" spans="16:18" x14ac:dyDescent="0.3">
      <c r="P2303" s="35">
        <v>23.2</v>
      </c>
      <c r="Q2303">
        <v>305</v>
      </c>
      <c r="R2303" s="34">
        <f t="shared" si="38"/>
        <v>0.26209723329158974</v>
      </c>
    </row>
    <row r="2304" spans="16:18" x14ac:dyDescent="0.3">
      <c r="P2304" s="35">
        <v>23.21</v>
      </c>
      <c r="Q2304">
        <v>305</v>
      </c>
      <c r="R2304" s="34">
        <f t="shared" si="38"/>
        <v>0.26221108960492229</v>
      </c>
    </row>
    <row r="2305" spans="16:18" x14ac:dyDescent="0.3">
      <c r="P2305" s="35">
        <v>23.21</v>
      </c>
      <c r="Q2305">
        <v>305</v>
      </c>
      <c r="R2305" s="34">
        <f t="shared" si="38"/>
        <v>0.26232494591825484</v>
      </c>
    </row>
    <row r="2306" spans="16:18" x14ac:dyDescent="0.3">
      <c r="P2306" s="35">
        <v>23.21</v>
      </c>
      <c r="Q2306">
        <v>305</v>
      </c>
      <c r="R2306" s="34">
        <f t="shared" si="38"/>
        <v>0.26243880223158739</v>
      </c>
    </row>
    <row r="2307" spans="16:18" x14ac:dyDescent="0.3">
      <c r="P2307" s="35">
        <v>23.21</v>
      </c>
      <c r="Q2307">
        <v>305</v>
      </c>
      <c r="R2307" s="34">
        <f t="shared" si="38"/>
        <v>0.26255265854491994</v>
      </c>
    </row>
    <row r="2308" spans="16:18" x14ac:dyDescent="0.3">
      <c r="P2308" s="35">
        <v>23.21</v>
      </c>
      <c r="Q2308">
        <v>305</v>
      </c>
      <c r="R2308" s="34">
        <f t="shared" ref="R2308:R2371" si="39">R2307+R$2</f>
        <v>0.26266651485825249</v>
      </c>
    </row>
    <row r="2309" spans="16:18" x14ac:dyDescent="0.3">
      <c r="P2309" s="35">
        <v>23.21</v>
      </c>
      <c r="Q2309">
        <v>305</v>
      </c>
      <c r="R2309" s="34">
        <f t="shared" si="39"/>
        <v>0.26278037117158504</v>
      </c>
    </row>
    <row r="2310" spans="16:18" x14ac:dyDescent="0.3">
      <c r="P2310" s="35">
        <v>23.22</v>
      </c>
      <c r="Q2310">
        <v>305</v>
      </c>
      <c r="R2310" s="34">
        <f t="shared" si="39"/>
        <v>0.26289422748491759</v>
      </c>
    </row>
    <row r="2311" spans="16:18" x14ac:dyDescent="0.3">
      <c r="P2311" s="35">
        <v>23.22</v>
      </c>
      <c r="Q2311">
        <v>305</v>
      </c>
      <c r="R2311" s="34">
        <f t="shared" si="39"/>
        <v>0.26300808379825014</v>
      </c>
    </row>
    <row r="2312" spans="16:18" x14ac:dyDescent="0.3">
      <c r="P2312" s="35">
        <v>23.22</v>
      </c>
      <c r="Q2312">
        <v>305</v>
      </c>
      <c r="R2312" s="34">
        <f t="shared" si="39"/>
        <v>0.26312194011158269</v>
      </c>
    </row>
    <row r="2313" spans="16:18" x14ac:dyDescent="0.3">
      <c r="P2313" s="35">
        <v>23.22</v>
      </c>
      <c r="Q2313">
        <v>305</v>
      </c>
      <c r="R2313" s="34">
        <f t="shared" si="39"/>
        <v>0.26323579642491524</v>
      </c>
    </row>
    <row r="2314" spans="16:18" x14ac:dyDescent="0.3">
      <c r="P2314" s="35">
        <v>23.23</v>
      </c>
      <c r="Q2314">
        <v>305</v>
      </c>
      <c r="R2314" s="34">
        <f t="shared" si="39"/>
        <v>0.26334965273824779</v>
      </c>
    </row>
    <row r="2315" spans="16:18" x14ac:dyDescent="0.3">
      <c r="P2315" s="35">
        <v>23.23</v>
      </c>
      <c r="Q2315">
        <v>305</v>
      </c>
      <c r="R2315" s="34">
        <f t="shared" si="39"/>
        <v>0.26346350905158034</v>
      </c>
    </row>
    <row r="2316" spans="16:18" x14ac:dyDescent="0.3">
      <c r="P2316" s="35">
        <v>23.23</v>
      </c>
      <c r="Q2316">
        <v>305</v>
      </c>
      <c r="R2316" s="34">
        <f t="shared" si="39"/>
        <v>0.26357736536491289</v>
      </c>
    </row>
    <row r="2317" spans="16:18" x14ac:dyDescent="0.3">
      <c r="P2317" s="35">
        <v>23.23</v>
      </c>
      <c r="Q2317">
        <v>305</v>
      </c>
      <c r="R2317" s="34">
        <f t="shared" si="39"/>
        <v>0.26369122167824544</v>
      </c>
    </row>
    <row r="2318" spans="16:18" x14ac:dyDescent="0.3">
      <c r="P2318" s="35">
        <v>23.24</v>
      </c>
      <c r="Q2318">
        <v>305</v>
      </c>
      <c r="R2318" s="34">
        <f t="shared" si="39"/>
        <v>0.26380507799157799</v>
      </c>
    </row>
    <row r="2319" spans="16:18" x14ac:dyDescent="0.3">
      <c r="P2319" s="35">
        <v>23.24</v>
      </c>
      <c r="Q2319">
        <v>305</v>
      </c>
      <c r="R2319" s="34">
        <f t="shared" si="39"/>
        <v>0.26391893430491054</v>
      </c>
    </row>
    <row r="2320" spans="16:18" x14ac:dyDescent="0.3">
      <c r="P2320" s="35">
        <v>23.24</v>
      </c>
      <c r="Q2320">
        <v>305</v>
      </c>
      <c r="R2320" s="34">
        <f t="shared" si="39"/>
        <v>0.26403279061824309</v>
      </c>
    </row>
    <row r="2321" spans="16:18" x14ac:dyDescent="0.3">
      <c r="P2321" s="35">
        <v>23.24</v>
      </c>
      <c r="Q2321">
        <v>305</v>
      </c>
      <c r="R2321" s="34">
        <f t="shared" si="39"/>
        <v>0.26414664693157563</v>
      </c>
    </row>
    <row r="2322" spans="16:18" x14ac:dyDescent="0.3">
      <c r="P2322" s="35">
        <v>23.24</v>
      </c>
      <c r="Q2322">
        <v>305</v>
      </c>
      <c r="R2322" s="34">
        <f t="shared" si="39"/>
        <v>0.26426050324490818</v>
      </c>
    </row>
    <row r="2323" spans="16:18" x14ac:dyDescent="0.3">
      <c r="P2323" s="35">
        <v>23.25</v>
      </c>
      <c r="Q2323">
        <v>305</v>
      </c>
      <c r="R2323" s="34">
        <f t="shared" si="39"/>
        <v>0.26437435955824073</v>
      </c>
    </row>
    <row r="2324" spans="16:18" x14ac:dyDescent="0.3">
      <c r="P2324" s="35">
        <v>23.25</v>
      </c>
      <c r="Q2324">
        <v>305</v>
      </c>
      <c r="R2324" s="34">
        <f t="shared" si="39"/>
        <v>0.26448821587157328</v>
      </c>
    </row>
    <row r="2325" spans="16:18" x14ac:dyDescent="0.3">
      <c r="P2325" s="35">
        <v>23.25</v>
      </c>
      <c r="Q2325">
        <v>305</v>
      </c>
      <c r="R2325" s="34">
        <f t="shared" si="39"/>
        <v>0.26460207218490583</v>
      </c>
    </row>
    <row r="2326" spans="16:18" x14ac:dyDescent="0.3">
      <c r="P2326" s="35">
        <v>23.25</v>
      </c>
      <c r="Q2326">
        <v>305</v>
      </c>
      <c r="R2326" s="34">
        <f t="shared" si="39"/>
        <v>0.26471592849823838</v>
      </c>
    </row>
    <row r="2327" spans="16:18" x14ac:dyDescent="0.3">
      <c r="P2327" s="35">
        <v>23.25</v>
      </c>
      <c r="Q2327">
        <v>305</v>
      </c>
      <c r="R2327" s="34">
        <f t="shared" si="39"/>
        <v>0.26482978481157093</v>
      </c>
    </row>
    <row r="2328" spans="16:18" x14ac:dyDescent="0.3">
      <c r="P2328" s="35">
        <v>23.26</v>
      </c>
      <c r="Q2328">
        <v>305</v>
      </c>
      <c r="R2328" s="34">
        <f t="shared" si="39"/>
        <v>0.26494364112490348</v>
      </c>
    </row>
    <row r="2329" spans="16:18" x14ac:dyDescent="0.3">
      <c r="P2329" s="35">
        <v>23.26</v>
      </c>
      <c r="Q2329">
        <v>305</v>
      </c>
      <c r="R2329" s="34">
        <f t="shared" si="39"/>
        <v>0.26505749743823603</v>
      </c>
    </row>
    <row r="2330" spans="16:18" x14ac:dyDescent="0.3">
      <c r="P2330" s="35">
        <v>23.26</v>
      </c>
      <c r="Q2330">
        <v>305</v>
      </c>
      <c r="R2330" s="34">
        <f t="shared" si="39"/>
        <v>0.26517135375156858</v>
      </c>
    </row>
    <row r="2331" spans="16:18" x14ac:dyDescent="0.3">
      <c r="P2331" s="35">
        <v>23.26</v>
      </c>
      <c r="Q2331">
        <v>305</v>
      </c>
      <c r="R2331" s="34">
        <f t="shared" si="39"/>
        <v>0.26528521006490113</v>
      </c>
    </row>
    <row r="2332" spans="16:18" x14ac:dyDescent="0.3">
      <c r="P2332" s="35">
        <v>23.26</v>
      </c>
      <c r="Q2332">
        <v>305</v>
      </c>
      <c r="R2332" s="34">
        <f t="shared" si="39"/>
        <v>0.26539906637823368</v>
      </c>
    </row>
    <row r="2333" spans="16:18" x14ac:dyDescent="0.3">
      <c r="P2333" s="35">
        <v>23.27</v>
      </c>
      <c r="Q2333">
        <v>305</v>
      </c>
      <c r="R2333" s="34">
        <f t="shared" si="39"/>
        <v>0.26551292269156623</v>
      </c>
    </row>
    <row r="2334" spans="16:18" x14ac:dyDescent="0.3">
      <c r="P2334" s="35">
        <v>23.27</v>
      </c>
      <c r="Q2334">
        <v>305</v>
      </c>
      <c r="R2334" s="34">
        <f t="shared" si="39"/>
        <v>0.26562677900489878</v>
      </c>
    </row>
    <row r="2335" spans="16:18" x14ac:dyDescent="0.3">
      <c r="P2335" s="35">
        <v>23.28</v>
      </c>
      <c r="Q2335">
        <v>305</v>
      </c>
      <c r="R2335" s="34">
        <f t="shared" si="39"/>
        <v>0.26574063531823133</v>
      </c>
    </row>
    <row r="2336" spans="16:18" x14ac:dyDescent="0.3">
      <c r="P2336" s="35">
        <v>23.28</v>
      </c>
      <c r="Q2336">
        <v>305</v>
      </c>
      <c r="R2336" s="34">
        <f t="shared" si="39"/>
        <v>0.26585449163156388</v>
      </c>
    </row>
    <row r="2337" spans="16:18" x14ac:dyDescent="0.3">
      <c r="P2337" s="35">
        <v>23.28</v>
      </c>
      <c r="Q2337">
        <v>305</v>
      </c>
      <c r="R2337" s="34">
        <f t="shared" si="39"/>
        <v>0.26596834794489643</v>
      </c>
    </row>
    <row r="2338" spans="16:18" x14ac:dyDescent="0.3">
      <c r="P2338" s="35">
        <v>23.28</v>
      </c>
      <c r="Q2338">
        <v>305</v>
      </c>
      <c r="R2338" s="34">
        <f t="shared" si="39"/>
        <v>0.26608220425822898</v>
      </c>
    </row>
    <row r="2339" spans="16:18" x14ac:dyDescent="0.3">
      <c r="P2339" s="35">
        <v>23.28</v>
      </c>
      <c r="Q2339">
        <v>305</v>
      </c>
      <c r="R2339" s="34">
        <f t="shared" si="39"/>
        <v>0.26619606057156153</v>
      </c>
    </row>
    <row r="2340" spans="16:18" x14ac:dyDescent="0.3">
      <c r="P2340" s="35">
        <v>23.28</v>
      </c>
      <c r="Q2340">
        <v>305</v>
      </c>
      <c r="R2340" s="34">
        <f t="shared" si="39"/>
        <v>0.26630991688489408</v>
      </c>
    </row>
    <row r="2341" spans="16:18" x14ac:dyDescent="0.3">
      <c r="P2341" s="35">
        <v>23.28</v>
      </c>
      <c r="Q2341">
        <v>305</v>
      </c>
      <c r="R2341" s="34">
        <f t="shared" si="39"/>
        <v>0.26642377319822663</v>
      </c>
    </row>
    <row r="2342" spans="16:18" x14ac:dyDescent="0.3">
      <c r="P2342" s="35">
        <v>23.28</v>
      </c>
      <c r="Q2342">
        <v>305</v>
      </c>
      <c r="R2342" s="34">
        <f t="shared" si="39"/>
        <v>0.26653762951155918</v>
      </c>
    </row>
    <row r="2343" spans="16:18" x14ac:dyDescent="0.3">
      <c r="P2343" s="35">
        <v>23.28</v>
      </c>
      <c r="Q2343">
        <v>305</v>
      </c>
      <c r="R2343" s="34">
        <f t="shared" si="39"/>
        <v>0.26665148582489173</v>
      </c>
    </row>
    <row r="2344" spans="16:18" x14ac:dyDescent="0.3">
      <c r="P2344" s="35">
        <v>23.29</v>
      </c>
      <c r="Q2344">
        <v>305</v>
      </c>
      <c r="R2344" s="34">
        <f t="shared" si="39"/>
        <v>0.26676534213822428</v>
      </c>
    </row>
    <row r="2345" spans="16:18" x14ac:dyDescent="0.3">
      <c r="P2345" s="35">
        <v>23.29</v>
      </c>
      <c r="Q2345">
        <v>305</v>
      </c>
      <c r="R2345" s="34">
        <f t="shared" si="39"/>
        <v>0.26687919845155683</v>
      </c>
    </row>
    <row r="2346" spans="16:18" x14ac:dyDescent="0.3">
      <c r="P2346" s="35">
        <v>23.29</v>
      </c>
      <c r="Q2346">
        <v>305</v>
      </c>
      <c r="R2346" s="34">
        <f t="shared" si="39"/>
        <v>0.26699305476488938</v>
      </c>
    </row>
    <row r="2347" spans="16:18" x14ac:dyDescent="0.3">
      <c r="P2347" s="35">
        <v>23.29</v>
      </c>
      <c r="Q2347">
        <v>305</v>
      </c>
      <c r="R2347" s="34">
        <f t="shared" si="39"/>
        <v>0.26710691107822193</v>
      </c>
    </row>
    <row r="2348" spans="16:18" x14ac:dyDescent="0.3">
      <c r="P2348" s="35">
        <v>23.29</v>
      </c>
      <c r="Q2348">
        <v>305</v>
      </c>
      <c r="R2348" s="34">
        <f t="shared" si="39"/>
        <v>0.26722076739155448</v>
      </c>
    </row>
    <row r="2349" spans="16:18" x14ac:dyDescent="0.3">
      <c r="P2349" s="35">
        <v>23.29</v>
      </c>
      <c r="Q2349">
        <v>305</v>
      </c>
      <c r="R2349" s="34">
        <f t="shared" si="39"/>
        <v>0.26733462370488703</v>
      </c>
    </row>
    <row r="2350" spans="16:18" x14ac:dyDescent="0.3">
      <c r="P2350" s="35">
        <v>23.29</v>
      </c>
      <c r="Q2350">
        <v>305</v>
      </c>
      <c r="R2350" s="34">
        <f t="shared" si="39"/>
        <v>0.26744848001821958</v>
      </c>
    </row>
    <row r="2351" spans="16:18" x14ac:dyDescent="0.3">
      <c r="P2351" s="35">
        <v>23.29</v>
      </c>
      <c r="Q2351">
        <v>305</v>
      </c>
      <c r="R2351" s="34">
        <f t="shared" si="39"/>
        <v>0.26756233633155213</v>
      </c>
    </row>
    <row r="2352" spans="16:18" x14ac:dyDescent="0.3">
      <c r="P2352" s="35">
        <v>23.3</v>
      </c>
      <c r="Q2352">
        <v>305</v>
      </c>
      <c r="R2352" s="34">
        <f t="shared" si="39"/>
        <v>0.26767619264488468</v>
      </c>
    </row>
    <row r="2353" spans="16:18" x14ac:dyDescent="0.3">
      <c r="P2353" s="35">
        <v>23.3</v>
      </c>
      <c r="Q2353">
        <v>305</v>
      </c>
      <c r="R2353" s="34">
        <f t="shared" si="39"/>
        <v>0.26779004895821723</v>
      </c>
    </row>
    <row r="2354" spans="16:18" x14ac:dyDescent="0.3">
      <c r="P2354" s="35">
        <v>23.31</v>
      </c>
      <c r="Q2354">
        <v>305</v>
      </c>
      <c r="R2354" s="34">
        <f t="shared" si="39"/>
        <v>0.26790390527154978</v>
      </c>
    </row>
    <row r="2355" spans="16:18" x14ac:dyDescent="0.3">
      <c r="P2355" s="35">
        <v>23.32</v>
      </c>
      <c r="Q2355">
        <v>305</v>
      </c>
      <c r="R2355" s="34">
        <f t="shared" si="39"/>
        <v>0.26801776158488233</v>
      </c>
    </row>
    <row r="2356" spans="16:18" x14ac:dyDescent="0.3">
      <c r="P2356" s="35">
        <v>23.32</v>
      </c>
      <c r="Q2356">
        <v>305</v>
      </c>
      <c r="R2356" s="34">
        <f t="shared" si="39"/>
        <v>0.26813161789821488</v>
      </c>
    </row>
    <row r="2357" spans="16:18" x14ac:dyDescent="0.3">
      <c r="P2357" s="35">
        <v>23.32</v>
      </c>
      <c r="Q2357">
        <v>305</v>
      </c>
      <c r="R2357" s="34">
        <f t="shared" si="39"/>
        <v>0.26824547421154743</v>
      </c>
    </row>
    <row r="2358" spans="16:18" x14ac:dyDescent="0.3">
      <c r="P2358" s="35">
        <v>23.32</v>
      </c>
      <c r="Q2358">
        <v>305</v>
      </c>
      <c r="R2358" s="34">
        <f t="shared" si="39"/>
        <v>0.26835933052487998</v>
      </c>
    </row>
    <row r="2359" spans="16:18" x14ac:dyDescent="0.3">
      <c r="P2359" s="35">
        <v>23.32</v>
      </c>
      <c r="Q2359">
        <v>305</v>
      </c>
      <c r="R2359" s="34">
        <f t="shared" si="39"/>
        <v>0.26847318683821253</v>
      </c>
    </row>
    <row r="2360" spans="16:18" x14ac:dyDescent="0.3">
      <c r="P2360" s="35">
        <v>23.33</v>
      </c>
      <c r="Q2360">
        <v>305</v>
      </c>
      <c r="R2360" s="34">
        <f t="shared" si="39"/>
        <v>0.26858704315154508</v>
      </c>
    </row>
    <row r="2361" spans="16:18" x14ac:dyDescent="0.3">
      <c r="P2361" s="35">
        <v>23.33</v>
      </c>
      <c r="Q2361">
        <v>305</v>
      </c>
      <c r="R2361" s="34">
        <f t="shared" si="39"/>
        <v>0.26870089946487763</v>
      </c>
    </row>
    <row r="2362" spans="16:18" x14ac:dyDescent="0.3">
      <c r="P2362" s="35">
        <v>23.34</v>
      </c>
      <c r="Q2362">
        <v>305</v>
      </c>
      <c r="R2362" s="34">
        <f t="shared" si="39"/>
        <v>0.26881475577821018</v>
      </c>
    </row>
    <row r="2363" spans="16:18" x14ac:dyDescent="0.3">
      <c r="P2363" s="35">
        <v>23.35</v>
      </c>
      <c r="Q2363">
        <v>305</v>
      </c>
      <c r="R2363" s="34">
        <f t="shared" si="39"/>
        <v>0.26892861209154273</v>
      </c>
    </row>
    <row r="2364" spans="16:18" x14ac:dyDescent="0.3">
      <c r="P2364" s="35">
        <v>23.35</v>
      </c>
      <c r="Q2364">
        <v>305</v>
      </c>
      <c r="R2364" s="34">
        <f t="shared" si="39"/>
        <v>0.26904246840487528</v>
      </c>
    </row>
    <row r="2365" spans="16:18" x14ac:dyDescent="0.3">
      <c r="P2365" s="35">
        <v>23.35</v>
      </c>
      <c r="Q2365">
        <v>305</v>
      </c>
      <c r="R2365" s="34">
        <f t="shared" si="39"/>
        <v>0.26915632471820783</v>
      </c>
    </row>
    <row r="2366" spans="16:18" x14ac:dyDescent="0.3">
      <c r="P2366" s="35">
        <v>23.36</v>
      </c>
      <c r="Q2366">
        <v>305</v>
      </c>
      <c r="R2366" s="34">
        <f t="shared" si="39"/>
        <v>0.26927018103154038</v>
      </c>
    </row>
    <row r="2367" spans="16:18" x14ac:dyDescent="0.3">
      <c r="P2367" s="35">
        <v>23.36</v>
      </c>
      <c r="Q2367">
        <v>305</v>
      </c>
      <c r="R2367" s="34">
        <f t="shared" si="39"/>
        <v>0.26938403734487293</v>
      </c>
    </row>
    <row r="2368" spans="16:18" x14ac:dyDescent="0.3">
      <c r="P2368" s="35">
        <v>23.36</v>
      </c>
      <c r="Q2368">
        <v>305</v>
      </c>
      <c r="R2368" s="34">
        <f t="shared" si="39"/>
        <v>0.26949789365820548</v>
      </c>
    </row>
    <row r="2369" spans="16:18" x14ac:dyDescent="0.3">
      <c r="P2369" s="35">
        <v>23.36</v>
      </c>
      <c r="Q2369">
        <v>305</v>
      </c>
      <c r="R2369" s="34">
        <f t="shared" si="39"/>
        <v>0.26961174997153803</v>
      </c>
    </row>
    <row r="2370" spans="16:18" x14ac:dyDescent="0.3">
      <c r="P2370" s="35">
        <v>23.36</v>
      </c>
      <c r="Q2370">
        <v>305</v>
      </c>
      <c r="R2370" s="34">
        <f t="shared" si="39"/>
        <v>0.26972560628487058</v>
      </c>
    </row>
    <row r="2371" spans="16:18" x14ac:dyDescent="0.3">
      <c r="P2371" s="35">
        <v>23.37</v>
      </c>
      <c r="Q2371">
        <v>305</v>
      </c>
      <c r="R2371" s="34">
        <f t="shared" si="39"/>
        <v>0.26983946259820313</v>
      </c>
    </row>
    <row r="2372" spans="16:18" x14ac:dyDescent="0.3">
      <c r="P2372" s="35">
        <v>23.37</v>
      </c>
      <c r="Q2372">
        <v>305</v>
      </c>
      <c r="R2372" s="34">
        <f t="shared" ref="R2372:R2435" si="40">R2371+R$2</f>
        <v>0.26995331891153568</v>
      </c>
    </row>
    <row r="2373" spans="16:18" x14ac:dyDescent="0.3">
      <c r="P2373" s="35">
        <v>23.37</v>
      </c>
      <c r="Q2373">
        <v>305</v>
      </c>
      <c r="R2373" s="34">
        <f t="shared" si="40"/>
        <v>0.27006717522486823</v>
      </c>
    </row>
    <row r="2374" spans="16:18" x14ac:dyDescent="0.3">
      <c r="P2374" s="35">
        <v>23.37</v>
      </c>
      <c r="Q2374">
        <v>305</v>
      </c>
      <c r="R2374" s="34">
        <f t="shared" si="40"/>
        <v>0.27018103153820078</v>
      </c>
    </row>
    <row r="2375" spans="16:18" x14ac:dyDescent="0.3">
      <c r="P2375" s="35">
        <v>23.37</v>
      </c>
      <c r="Q2375">
        <v>305</v>
      </c>
      <c r="R2375" s="34">
        <f t="shared" si="40"/>
        <v>0.27029488785153333</v>
      </c>
    </row>
    <row r="2376" spans="16:18" x14ac:dyDescent="0.3">
      <c r="P2376" s="35">
        <v>23.37</v>
      </c>
      <c r="Q2376">
        <v>305</v>
      </c>
      <c r="R2376" s="34">
        <f t="shared" si="40"/>
        <v>0.27040874416486588</v>
      </c>
    </row>
    <row r="2377" spans="16:18" x14ac:dyDescent="0.3">
      <c r="P2377" s="35">
        <v>23.38</v>
      </c>
      <c r="Q2377">
        <v>305</v>
      </c>
      <c r="R2377" s="34">
        <f t="shared" si="40"/>
        <v>0.27052260047819843</v>
      </c>
    </row>
    <row r="2378" spans="16:18" x14ac:dyDescent="0.3">
      <c r="P2378" s="35">
        <v>23.38</v>
      </c>
      <c r="Q2378">
        <v>305</v>
      </c>
      <c r="R2378" s="34">
        <f t="shared" si="40"/>
        <v>0.27063645679153098</v>
      </c>
    </row>
    <row r="2379" spans="16:18" x14ac:dyDescent="0.3">
      <c r="P2379" s="35">
        <v>23.38</v>
      </c>
      <c r="Q2379">
        <v>305</v>
      </c>
      <c r="R2379" s="34">
        <f t="shared" si="40"/>
        <v>0.27075031310486353</v>
      </c>
    </row>
    <row r="2380" spans="16:18" x14ac:dyDescent="0.3">
      <c r="P2380" s="35">
        <v>23.39</v>
      </c>
      <c r="Q2380">
        <v>305</v>
      </c>
      <c r="R2380" s="34">
        <f t="shared" si="40"/>
        <v>0.27086416941819608</v>
      </c>
    </row>
    <row r="2381" spans="16:18" x14ac:dyDescent="0.3">
      <c r="P2381" s="35">
        <v>23.39</v>
      </c>
      <c r="Q2381">
        <v>305</v>
      </c>
      <c r="R2381" s="34">
        <f t="shared" si="40"/>
        <v>0.27097802573152863</v>
      </c>
    </row>
    <row r="2382" spans="16:18" x14ac:dyDescent="0.3">
      <c r="P2382" s="35">
        <v>23.39</v>
      </c>
      <c r="Q2382">
        <v>305</v>
      </c>
      <c r="R2382" s="34">
        <f t="shared" si="40"/>
        <v>0.27109188204486118</v>
      </c>
    </row>
    <row r="2383" spans="16:18" x14ac:dyDescent="0.3">
      <c r="P2383" s="35">
        <v>23.39</v>
      </c>
      <c r="Q2383">
        <v>305</v>
      </c>
      <c r="R2383" s="34">
        <f t="shared" si="40"/>
        <v>0.27120573835819373</v>
      </c>
    </row>
    <row r="2384" spans="16:18" x14ac:dyDescent="0.3">
      <c r="P2384" s="35">
        <v>23.39</v>
      </c>
      <c r="Q2384">
        <v>305</v>
      </c>
      <c r="R2384" s="34">
        <f t="shared" si="40"/>
        <v>0.27131959467152628</v>
      </c>
    </row>
    <row r="2385" spans="16:18" x14ac:dyDescent="0.3">
      <c r="P2385" s="35">
        <v>23.39</v>
      </c>
      <c r="Q2385">
        <v>305</v>
      </c>
      <c r="R2385" s="34">
        <f t="shared" si="40"/>
        <v>0.27143345098485883</v>
      </c>
    </row>
    <row r="2386" spans="16:18" x14ac:dyDescent="0.3">
      <c r="P2386" s="35">
        <v>23.4</v>
      </c>
      <c r="Q2386">
        <v>305</v>
      </c>
      <c r="R2386" s="34">
        <f t="shared" si="40"/>
        <v>0.27154730729819138</v>
      </c>
    </row>
    <row r="2387" spans="16:18" x14ac:dyDescent="0.3">
      <c r="P2387" s="35">
        <v>23.4</v>
      </c>
      <c r="Q2387">
        <v>305</v>
      </c>
      <c r="R2387" s="34">
        <f t="shared" si="40"/>
        <v>0.27166116361152393</v>
      </c>
    </row>
    <row r="2388" spans="16:18" x14ac:dyDescent="0.3">
      <c r="P2388" s="35">
        <v>23.41</v>
      </c>
      <c r="Q2388">
        <v>305</v>
      </c>
      <c r="R2388" s="34">
        <f t="shared" si="40"/>
        <v>0.27177501992485648</v>
      </c>
    </row>
    <row r="2389" spans="16:18" x14ac:dyDescent="0.3">
      <c r="P2389" s="35">
        <v>23.41</v>
      </c>
      <c r="Q2389">
        <v>305</v>
      </c>
      <c r="R2389" s="34">
        <f t="shared" si="40"/>
        <v>0.27188887623818903</v>
      </c>
    </row>
    <row r="2390" spans="16:18" x14ac:dyDescent="0.3">
      <c r="P2390" s="35">
        <v>23.42</v>
      </c>
      <c r="Q2390">
        <v>305</v>
      </c>
      <c r="R2390" s="34">
        <f t="shared" si="40"/>
        <v>0.27200273255152158</v>
      </c>
    </row>
    <row r="2391" spans="16:18" x14ac:dyDescent="0.3">
      <c r="P2391" s="35">
        <v>23.43</v>
      </c>
      <c r="Q2391">
        <v>305</v>
      </c>
      <c r="R2391" s="34">
        <f t="shared" si="40"/>
        <v>0.27211658886485413</v>
      </c>
    </row>
    <row r="2392" spans="16:18" x14ac:dyDescent="0.3">
      <c r="P2392" s="35">
        <v>23.43</v>
      </c>
      <c r="Q2392">
        <v>305</v>
      </c>
      <c r="R2392" s="34">
        <f t="shared" si="40"/>
        <v>0.27223044517818668</v>
      </c>
    </row>
    <row r="2393" spans="16:18" x14ac:dyDescent="0.3">
      <c r="P2393" s="35">
        <v>23.43</v>
      </c>
      <c r="Q2393">
        <v>305</v>
      </c>
      <c r="R2393" s="34">
        <f t="shared" si="40"/>
        <v>0.27234430149151923</v>
      </c>
    </row>
    <row r="2394" spans="16:18" x14ac:dyDescent="0.3">
      <c r="P2394" s="35">
        <v>23.43</v>
      </c>
      <c r="Q2394">
        <v>305</v>
      </c>
      <c r="R2394" s="34">
        <f t="shared" si="40"/>
        <v>0.27245815780485177</v>
      </c>
    </row>
    <row r="2395" spans="16:18" x14ac:dyDescent="0.3">
      <c r="P2395" s="35">
        <v>23.43</v>
      </c>
      <c r="Q2395">
        <v>305</v>
      </c>
      <c r="R2395" s="34">
        <f t="shared" si="40"/>
        <v>0.27257201411818432</v>
      </c>
    </row>
    <row r="2396" spans="16:18" x14ac:dyDescent="0.3">
      <c r="P2396" s="35">
        <v>23.45</v>
      </c>
      <c r="Q2396">
        <v>305</v>
      </c>
      <c r="R2396" s="34">
        <f t="shared" si="40"/>
        <v>0.27268587043151687</v>
      </c>
    </row>
    <row r="2397" spans="16:18" x14ac:dyDescent="0.3">
      <c r="P2397" s="35">
        <v>23.45</v>
      </c>
      <c r="Q2397">
        <v>305</v>
      </c>
      <c r="R2397" s="34">
        <f t="shared" si="40"/>
        <v>0.27279972674484942</v>
      </c>
    </row>
    <row r="2398" spans="16:18" x14ac:dyDescent="0.3">
      <c r="P2398" s="35">
        <v>23.45</v>
      </c>
      <c r="Q2398">
        <v>305</v>
      </c>
      <c r="R2398" s="34">
        <f t="shared" si="40"/>
        <v>0.27291358305818197</v>
      </c>
    </row>
    <row r="2399" spans="16:18" x14ac:dyDescent="0.3">
      <c r="P2399" s="35">
        <v>23.45</v>
      </c>
      <c r="Q2399">
        <v>305</v>
      </c>
      <c r="R2399" s="34">
        <f t="shared" si="40"/>
        <v>0.27302743937151452</v>
      </c>
    </row>
    <row r="2400" spans="16:18" x14ac:dyDescent="0.3">
      <c r="P2400" s="35">
        <v>23.45</v>
      </c>
      <c r="Q2400">
        <v>305</v>
      </c>
      <c r="R2400" s="34">
        <f t="shared" si="40"/>
        <v>0.27314129568484707</v>
      </c>
    </row>
    <row r="2401" spans="16:18" x14ac:dyDescent="0.3">
      <c r="P2401" s="35">
        <v>23.46</v>
      </c>
      <c r="Q2401">
        <v>305</v>
      </c>
      <c r="R2401" s="34">
        <f t="shared" si="40"/>
        <v>0.27325515199817962</v>
      </c>
    </row>
    <row r="2402" spans="16:18" x14ac:dyDescent="0.3">
      <c r="P2402" s="35">
        <v>23.46</v>
      </c>
      <c r="Q2402">
        <v>305</v>
      </c>
      <c r="R2402" s="34">
        <f t="shared" si="40"/>
        <v>0.27336900831151217</v>
      </c>
    </row>
    <row r="2403" spans="16:18" x14ac:dyDescent="0.3">
      <c r="P2403" s="35">
        <v>23.46</v>
      </c>
      <c r="Q2403">
        <v>305</v>
      </c>
      <c r="R2403" s="34">
        <f t="shared" si="40"/>
        <v>0.27348286462484472</v>
      </c>
    </row>
    <row r="2404" spans="16:18" x14ac:dyDescent="0.3">
      <c r="P2404" s="35">
        <v>23.47</v>
      </c>
      <c r="Q2404">
        <v>305</v>
      </c>
      <c r="R2404" s="34">
        <f t="shared" si="40"/>
        <v>0.27359672093817727</v>
      </c>
    </row>
    <row r="2405" spans="16:18" x14ac:dyDescent="0.3">
      <c r="P2405" s="35">
        <v>23.47</v>
      </c>
      <c r="Q2405">
        <v>305</v>
      </c>
      <c r="R2405" s="34">
        <f t="shared" si="40"/>
        <v>0.27371057725150982</v>
      </c>
    </row>
    <row r="2406" spans="16:18" x14ac:dyDescent="0.3">
      <c r="P2406" s="35">
        <v>23.47</v>
      </c>
      <c r="Q2406">
        <v>305</v>
      </c>
      <c r="R2406" s="34">
        <f t="shared" si="40"/>
        <v>0.27382443356484237</v>
      </c>
    </row>
    <row r="2407" spans="16:18" x14ac:dyDescent="0.3">
      <c r="P2407" s="35">
        <v>23.48</v>
      </c>
      <c r="Q2407">
        <v>305</v>
      </c>
      <c r="R2407" s="34">
        <f t="shared" si="40"/>
        <v>0.27393828987817492</v>
      </c>
    </row>
    <row r="2408" spans="16:18" x14ac:dyDescent="0.3">
      <c r="P2408" s="35">
        <v>23.48</v>
      </c>
      <c r="Q2408">
        <v>305</v>
      </c>
      <c r="R2408" s="34">
        <f t="shared" si="40"/>
        <v>0.27405214619150747</v>
      </c>
    </row>
    <row r="2409" spans="16:18" x14ac:dyDescent="0.3">
      <c r="P2409" s="35">
        <v>23.48</v>
      </c>
      <c r="Q2409">
        <v>305</v>
      </c>
      <c r="R2409" s="34">
        <f t="shared" si="40"/>
        <v>0.27416600250484002</v>
      </c>
    </row>
    <row r="2410" spans="16:18" x14ac:dyDescent="0.3">
      <c r="P2410" s="35">
        <v>23.48</v>
      </c>
      <c r="Q2410">
        <v>305</v>
      </c>
      <c r="R2410" s="34">
        <f t="shared" si="40"/>
        <v>0.27427985881817257</v>
      </c>
    </row>
    <row r="2411" spans="16:18" x14ac:dyDescent="0.3">
      <c r="P2411" s="35">
        <v>23.49</v>
      </c>
      <c r="Q2411">
        <v>305</v>
      </c>
      <c r="R2411" s="34">
        <f t="shared" si="40"/>
        <v>0.27439371513150512</v>
      </c>
    </row>
    <row r="2412" spans="16:18" x14ac:dyDescent="0.3">
      <c r="P2412" s="35">
        <v>23.5</v>
      </c>
      <c r="Q2412">
        <v>305</v>
      </c>
      <c r="R2412" s="34">
        <f t="shared" si="40"/>
        <v>0.27450757144483767</v>
      </c>
    </row>
    <row r="2413" spans="16:18" x14ac:dyDescent="0.3">
      <c r="P2413" s="35">
        <v>23.5</v>
      </c>
      <c r="Q2413">
        <v>305</v>
      </c>
      <c r="R2413" s="34">
        <f t="shared" si="40"/>
        <v>0.27462142775817022</v>
      </c>
    </row>
    <row r="2414" spans="16:18" x14ac:dyDescent="0.3">
      <c r="P2414" s="35">
        <v>23.5</v>
      </c>
      <c r="Q2414">
        <v>305</v>
      </c>
      <c r="R2414" s="34">
        <f t="shared" si="40"/>
        <v>0.27473528407150277</v>
      </c>
    </row>
    <row r="2415" spans="16:18" x14ac:dyDescent="0.3">
      <c r="P2415" s="35">
        <v>23.5</v>
      </c>
      <c r="Q2415">
        <v>305</v>
      </c>
      <c r="R2415" s="34">
        <f t="shared" si="40"/>
        <v>0.27484914038483532</v>
      </c>
    </row>
    <row r="2416" spans="16:18" x14ac:dyDescent="0.3">
      <c r="P2416" s="35">
        <v>23.51</v>
      </c>
      <c r="Q2416">
        <v>305</v>
      </c>
      <c r="R2416" s="34">
        <f t="shared" si="40"/>
        <v>0.27496299669816787</v>
      </c>
    </row>
    <row r="2417" spans="16:18" x14ac:dyDescent="0.3">
      <c r="P2417" s="35">
        <v>23.51</v>
      </c>
      <c r="Q2417">
        <v>305</v>
      </c>
      <c r="R2417" s="34">
        <f t="shared" si="40"/>
        <v>0.27507685301150042</v>
      </c>
    </row>
    <row r="2418" spans="16:18" x14ac:dyDescent="0.3">
      <c r="P2418" s="35">
        <v>23.51</v>
      </c>
      <c r="Q2418">
        <v>305</v>
      </c>
      <c r="R2418" s="34">
        <f t="shared" si="40"/>
        <v>0.27519070932483297</v>
      </c>
    </row>
    <row r="2419" spans="16:18" x14ac:dyDescent="0.3">
      <c r="P2419" s="35">
        <v>23.51</v>
      </c>
      <c r="Q2419">
        <v>305</v>
      </c>
      <c r="R2419" s="34">
        <f t="shared" si="40"/>
        <v>0.27530456563816552</v>
      </c>
    </row>
    <row r="2420" spans="16:18" x14ac:dyDescent="0.3">
      <c r="P2420" s="35">
        <v>23.51</v>
      </c>
      <c r="Q2420">
        <v>305</v>
      </c>
      <c r="R2420" s="34">
        <f t="shared" si="40"/>
        <v>0.27541842195149807</v>
      </c>
    </row>
    <row r="2421" spans="16:18" x14ac:dyDescent="0.3">
      <c r="P2421" s="35">
        <v>23.53</v>
      </c>
      <c r="Q2421">
        <v>305</v>
      </c>
      <c r="R2421" s="34">
        <f t="shared" si="40"/>
        <v>0.27553227826483062</v>
      </c>
    </row>
    <row r="2422" spans="16:18" x14ac:dyDescent="0.3">
      <c r="P2422" s="35">
        <v>23.53</v>
      </c>
      <c r="Q2422">
        <v>305</v>
      </c>
      <c r="R2422" s="34">
        <f t="shared" si="40"/>
        <v>0.27564613457816317</v>
      </c>
    </row>
    <row r="2423" spans="16:18" x14ac:dyDescent="0.3">
      <c r="P2423" s="35">
        <v>23.54</v>
      </c>
      <c r="Q2423">
        <v>305</v>
      </c>
      <c r="R2423" s="34">
        <f t="shared" si="40"/>
        <v>0.27575999089149572</v>
      </c>
    </row>
    <row r="2424" spans="16:18" x14ac:dyDescent="0.3">
      <c r="P2424" s="35">
        <v>23.54</v>
      </c>
      <c r="Q2424">
        <v>305</v>
      </c>
      <c r="R2424" s="34">
        <f t="shared" si="40"/>
        <v>0.27587384720482827</v>
      </c>
    </row>
    <row r="2425" spans="16:18" x14ac:dyDescent="0.3">
      <c r="P2425" s="35">
        <v>23.55</v>
      </c>
      <c r="Q2425">
        <v>305</v>
      </c>
      <c r="R2425" s="34">
        <f t="shared" si="40"/>
        <v>0.27598770351816082</v>
      </c>
    </row>
    <row r="2426" spans="16:18" x14ac:dyDescent="0.3">
      <c r="P2426" s="35">
        <v>23.56</v>
      </c>
      <c r="Q2426">
        <v>305</v>
      </c>
      <c r="R2426" s="34">
        <f t="shared" si="40"/>
        <v>0.27610155983149337</v>
      </c>
    </row>
    <row r="2427" spans="16:18" x14ac:dyDescent="0.3">
      <c r="P2427" s="35">
        <v>23.56</v>
      </c>
      <c r="Q2427">
        <v>305</v>
      </c>
      <c r="R2427" s="34">
        <f t="shared" si="40"/>
        <v>0.27621541614482592</v>
      </c>
    </row>
    <row r="2428" spans="16:18" x14ac:dyDescent="0.3">
      <c r="P2428" s="35">
        <v>23.56</v>
      </c>
      <c r="Q2428">
        <v>305</v>
      </c>
      <c r="R2428" s="34">
        <f t="shared" si="40"/>
        <v>0.27632927245815847</v>
      </c>
    </row>
    <row r="2429" spans="16:18" x14ac:dyDescent="0.3">
      <c r="P2429" s="35">
        <v>23.56</v>
      </c>
      <c r="Q2429">
        <v>305</v>
      </c>
      <c r="R2429" s="34">
        <f t="shared" si="40"/>
        <v>0.27644312877149102</v>
      </c>
    </row>
    <row r="2430" spans="16:18" x14ac:dyDescent="0.3">
      <c r="P2430" s="35">
        <v>23.57</v>
      </c>
      <c r="Q2430">
        <v>305</v>
      </c>
      <c r="R2430" s="34">
        <f t="shared" si="40"/>
        <v>0.27655698508482357</v>
      </c>
    </row>
    <row r="2431" spans="16:18" x14ac:dyDescent="0.3">
      <c r="P2431" s="35">
        <v>23.57</v>
      </c>
      <c r="Q2431">
        <v>305</v>
      </c>
      <c r="R2431" s="34">
        <f t="shared" si="40"/>
        <v>0.27667084139815612</v>
      </c>
    </row>
    <row r="2432" spans="16:18" x14ac:dyDescent="0.3">
      <c r="P2432" s="35">
        <v>23.57</v>
      </c>
      <c r="Q2432">
        <v>305</v>
      </c>
      <c r="R2432" s="34">
        <f t="shared" si="40"/>
        <v>0.27678469771148867</v>
      </c>
    </row>
    <row r="2433" spans="16:18" x14ac:dyDescent="0.3">
      <c r="P2433" s="35">
        <v>23.58</v>
      </c>
      <c r="Q2433">
        <v>305</v>
      </c>
      <c r="R2433" s="34">
        <f t="shared" si="40"/>
        <v>0.27689855402482122</v>
      </c>
    </row>
    <row r="2434" spans="16:18" x14ac:dyDescent="0.3">
      <c r="P2434" s="35">
        <v>23.58</v>
      </c>
      <c r="Q2434">
        <v>305</v>
      </c>
      <c r="R2434" s="34">
        <f t="shared" si="40"/>
        <v>0.27701241033815377</v>
      </c>
    </row>
    <row r="2435" spans="16:18" x14ac:dyDescent="0.3">
      <c r="P2435" s="35">
        <v>23.58</v>
      </c>
      <c r="Q2435">
        <v>305</v>
      </c>
      <c r="R2435" s="34">
        <f t="shared" si="40"/>
        <v>0.27712626665148632</v>
      </c>
    </row>
    <row r="2436" spans="16:18" x14ac:dyDescent="0.3">
      <c r="P2436" s="35">
        <v>23.58</v>
      </c>
      <c r="Q2436">
        <v>305</v>
      </c>
      <c r="R2436" s="34">
        <f t="shared" ref="R2436:R2499" si="41">R2435+R$2</f>
        <v>0.27724012296481887</v>
      </c>
    </row>
    <row r="2437" spans="16:18" x14ac:dyDescent="0.3">
      <c r="P2437" s="35">
        <v>23.59</v>
      </c>
      <c r="Q2437">
        <v>305</v>
      </c>
      <c r="R2437" s="34">
        <f t="shared" si="41"/>
        <v>0.27735397927815142</v>
      </c>
    </row>
    <row r="2438" spans="16:18" x14ac:dyDescent="0.3">
      <c r="P2438" s="35">
        <v>23.6</v>
      </c>
      <c r="Q2438">
        <v>305</v>
      </c>
      <c r="R2438" s="34">
        <f t="shared" si="41"/>
        <v>0.27746783559148397</v>
      </c>
    </row>
    <row r="2439" spans="16:18" x14ac:dyDescent="0.3">
      <c r="P2439" s="35">
        <v>23.6</v>
      </c>
      <c r="Q2439">
        <v>305</v>
      </c>
      <c r="R2439" s="34">
        <f t="shared" si="41"/>
        <v>0.27758169190481652</v>
      </c>
    </row>
    <row r="2440" spans="16:18" x14ac:dyDescent="0.3">
      <c r="P2440" s="35">
        <v>23.6</v>
      </c>
      <c r="Q2440">
        <v>305</v>
      </c>
      <c r="R2440" s="34">
        <f t="shared" si="41"/>
        <v>0.27769554821814907</v>
      </c>
    </row>
    <row r="2441" spans="16:18" x14ac:dyDescent="0.3">
      <c r="P2441" s="35">
        <v>23.6</v>
      </c>
      <c r="Q2441">
        <v>305</v>
      </c>
      <c r="R2441" s="34">
        <f t="shared" si="41"/>
        <v>0.27780940453148162</v>
      </c>
    </row>
    <row r="2442" spans="16:18" x14ac:dyDescent="0.3">
      <c r="P2442" s="35">
        <v>23.6</v>
      </c>
      <c r="Q2442">
        <v>305</v>
      </c>
      <c r="R2442" s="34">
        <f t="shared" si="41"/>
        <v>0.27792326084481417</v>
      </c>
    </row>
    <row r="2443" spans="16:18" x14ac:dyDescent="0.3">
      <c r="P2443" s="35">
        <v>23.61</v>
      </c>
      <c r="Q2443">
        <v>305</v>
      </c>
      <c r="R2443" s="34">
        <f t="shared" si="41"/>
        <v>0.27803711715814672</v>
      </c>
    </row>
    <row r="2444" spans="16:18" x14ac:dyDescent="0.3">
      <c r="P2444" s="35">
        <v>23.61</v>
      </c>
      <c r="Q2444">
        <v>305</v>
      </c>
      <c r="R2444" s="34">
        <f t="shared" si="41"/>
        <v>0.27815097347147927</v>
      </c>
    </row>
    <row r="2445" spans="16:18" x14ac:dyDescent="0.3">
      <c r="P2445" s="35">
        <v>23.61</v>
      </c>
      <c r="Q2445">
        <v>305</v>
      </c>
      <c r="R2445" s="34">
        <f t="shared" si="41"/>
        <v>0.27826482978481182</v>
      </c>
    </row>
    <row r="2446" spans="16:18" x14ac:dyDescent="0.3">
      <c r="P2446" s="35">
        <v>23.62</v>
      </c>
      <c r="Q2446">
        <v>305</v>
      </c>
      <c r="R2446" s="34">
        <f t="shared" si="41"/>
        <v>0.27837868609814437</v>
      </c>
    </row>
    <row r="2447" spans="16:18" x14ac:dyDescent="0.3">
      <c r="P2447" s="35">
        <v>23.62</v>
      </c>
      <c r="Q2447">
        <v>305</v>
      </c>
      <c r="R2447" s="34">
        <f t="shared" si="41"/>
        <v>0.27849254241147692</v>
      </c>
    </row>
    <row r="2448" spans="16:18" x14ac:dyDescent="0.3">
      <c r="P2448" s="35">
        <v>23.62</v>
      </c>
      <c r="Q2448">
        <v>305</v>
      </c>
      <c r="R2448" s="34">
        <f t="shared" si="41"/>
        <v>0.27860639872480947</v>
      </c>
    </row>
    <row r="2449" spans="16:18" x14ac:dyDescent="0.3">
      <c r="P2449" s="35">
        <v>23.62</v>
      </c>
      <c r="Q2449">
        <v>305</v>
      </c>
      <c r="R2449" s="34">
        <f t="shared" si="41"/>
        <v>0.27872025503814202</v>
      </c>
    </row>
    <row r="2450" spans="16:18" x14ac:dyDescent="0.3">
      <c r="P2450" s="35">
        <v>23.62</v>
      </c>
      <c r="Q2450">
        <v>305</v>
      </c>
      <c r="R2450" s="34">
        <f t="shared" si="41"/>
        <v>0.27883411135147457</v>
      </c>
    </row>
    <row r="2451" spans="16:18" x14ac:dyDescent="0.3">
      <c r="P2451" s="35">
        <v>23.62</v>
      </c>
      <c r="Q2451">
        <v>305</v>
      </c>
      <c r="R2451" s="34">
        <f t="shared" si="41"/>
        <v>0.27894796766480712</v>
      </c>
    </row>
    <row r="2452" spans="16:18" x14ac:dyDescent="0.3">
      <c r="P2452" s="35">
        <v>23.62</v>
      </c>
      <c r="Q2452">
        <v>305</v>
      </c>
      <c r="R2452" s="34">
        <f t="shared" si="41"/>
        <v>0.27906182397813967</v>
      </c>
    </row>
    <row r="2453" spans="16:18" x14ac:dyDescent="0.3">
      <c r="P2453" s="35">
        <v>23.62</v>
      </c>
      <c r="Q2453">
        <v>305</v>
      </c>
      <c r="R2453" s="34">
        <f t="shared" si="41"/>
        <v>0.27917568029147222</v>
      </c>
    </row>
    <row r="2454" spans="16:18" x14ac:dyDescent="0.3">
      <c r="P2454" s="35">
        <v>23.63</v>
      </c>
      <c r="Q2454">
        <v>305</v>
      </c>
      <c r="R2454" s="34">
        <f t="shared" si="41"/>
        <v>0.27928953660480477</v>
      </c>
    </row>
    <row r="2455" spans="16:18" x14ac:dyDescent="0.3">
      <c r="P2455" s="35">
        <v>23.63</v>
      </c>
      <c r="Q2455">
        <v>305</v>
      </c>
      <c r="R2455" s="34">
        <f t="shared" si="41"/>
        <v>0.27940339291813732</v>
      </c>
    </row>
    <row r="2456" spans="16:18" x14ac:dyDescent="0.3">
      <c r="P2456" s="35">
        <v>23.63</v>
      </c>
      <c r="Q2456">
        <v>305</v>
      </c>
      <c r="R2456" s="34">
        <f t="shared" si="41"/>
        <v>0.27951724923146987</v>
      </c>
    </row>
    <row r="2457" spans="16:18" x14ac:dyDescent="0.3">
      <c r="P2457" s="35">
        <v>23.63</v>
      </c>
      <c r="Q2457">
        <v>305</v>
      </c>
      <c r="R2457" s="34">
        <f t="shared" si="41"/>
        <v>0.27963110554480242</v>
      </c>
    </row>
    <row r="2458" spans="16:18" x14ac:dyDescent="0.3">
      <c r="P2458" s="35">
        <v>23.64</v>
      </c>
      <c r="Q2458">
        <v>305</v>
      </c>
      <c r="R2458" s="34">
        <f t="shared" si="41"/>
        <v>0.27974496185813497</v>
      </c>
    </row>
    <row r="2459" spans="16:18" x14ac:dyDescent="0.3">
      <c r="P2459" s="35">
        <v>23.64</v>
      </c>
      <c r="Q2459">
        <v>305</v>
      </c>
      <c r="R2459" s="34">
        <f t="shared" si="41"/>
        <v>0.27985881817146752</v>
      </c>
    </row>
    <row r="2460" spans="16:18" x14ac:dyDescent="0.3">
      <c r="P2460" s="35">
        <v>23.64</v>
      </c>
      <c r="Q2460">
        <v>305</v>
      </c>
      <c r="R2460" s="34">
        <f t="shared" si="41"/>
        <v>0.27997267448480007</v>
      </c>
    </row>
    <row r="2461" spans="16:18" x14ac:dyDescent="0.3">
      <c r="P2461" s="35">
        <v>23.64</v>
      </c>
      <c r="Q2461">
        <v>305</v>
      </c>
      <c r="R2461" s="34">
        <f t="shared" si="41"/>
        <v>0.28008653079813262</v>
      </c>
    </row>
    <row r="2462" spans="16:18" x14ac:dyDescent="0.3">
      <c r="P2462" s="35">
        <v>23.64</v>
      </c>
      <c r="Q2462">
        <v>305</v>
      </c>
      <c r="R2462" s="34">
        <f t="shared" si="41"/>
        <v>0.28020038711146517</v>
      </c>
    </row>
    <row r="2463" spans="16:18" x14ac:dyDescent="0.3">
      <c r="P2463" s="35">
        <v>23.65</v>
      </c>
      <c r="Q2463">
        <v>305</v>
      </c>
      <c r="R2463" s="34">
        <f t="shared" si="41"/>
        <v>0.28031424342479772</v>
      </c>
    </row>
    <row r="2464" spans="16:18" x14ac:dyDescent="0.3">
      <c r="P2464" s="35">
        <v>23.65</v>
      </c>
      <c r="Q2464">
        <v>305</v>
      </c>
      <c r="R2464" s="34">
        <f t="shared" si="41"/>
        <v>0.28042809973813027</v>
      </c>
    </row>
    <row r="2465" spans="16:18" x14ac:dyDescent="0.3">
      <c r="P2465" s="35">
        <v>23.66</v>
      </c>
      <c r="Q2465">
        <v>305</v>
      </c>
      <c r="R2465" s="34">
        <f t="shared" si="41"/>
        <v>0.28054195605146282</v>
      </c>
    </row>
    <row r="2466" spans="16:18" x14ac:dyDescent="0.3">
      <c r="P2466" s="35">
        <v>23.66</v>
      </c>
      <c r="Q2466">
        <v>305</v>
      </c>
      <c r="R2466" s="34">
        <f t="shared" si="41"/>
        <v>0.28065581236479537</v>
      </c>
    </row>
    <row r="2467" spans="16:18" x14ac:dyDescent="0.3">
      <c r="P2467" s="35">
        <v>23.66</v>
      </c>
      <c r="Q2467">
        <v>305</v>
      </c>
      <c r="R2467" s="34">
        <f t="shared" si="41"/>
        <v>0.28076966867812791</v>
      </c>
    </row>
    <row r="2468" spans="16:18" x14ac:dyDescent="0.3">
      <c r="P2468" s="35">
        <v>23.67</v>
      </c>
      <c r="Q2468">
        <v>305</v>
      </c>
      <c r="R2468" s="34">
        <f t="shared" si="41"/>
        <v>0.28088352499146046</v>
      </c>
    </row>
    <row r="2469" spans="16:18" x14ac:dyDescent="0.3">
      <c r="P2469" s="35">
        <v>23.67</v>
      </c>
      <c r="Q2469">
        <v>305</v>
      </c>
      <c r="R2469" s="34">
        <f t="shared" si="41"/>
        <v>0.28099738130479301</v>
      </c>
    </row>
    <row r="2470" spans="16:18" x14ac:dyDescent="0.3">
      <c r="P2470" s="35">
        <v>23.67</v>
      </c>
      <c r="Q2470">
        <v>305</v>
      </c>
      <c r="R2470" s="34">
        <f t="shared" si="41"/>
        <v>0.28111123761812556</v>
      </c>
    </row>
    <row r="2471" spans="16:18" x14ac:dyDescent="0.3">
      <c r="P2471" s="35">
        <v>23.67</v>
      </c>
      <c r="Q2471">
        <v>305</v>
      </c>
      <c r="R2471" s="34">
        <f t="shared" si="41"/>
        <v>0.28122509393145811</v>
      </c>
    </row>
    <row r="2472" spans="16:18" x14ac:dyDescent="0.3">
      <c r="P2472" s="35">
        <v>23.67</v>
      </c>
      <c r="Q2472">
        <v>305</v>
      </c>
      <c r="R2472" s="34">
        <f t="shared" si="41"/>
        <v>0.28133895024479066</v>
      </c>
    </row>
    <row r="2473" spans="16:18" x14ac:dyDescent="0.3">
      <c r="P2473" s="35">
        <v>23.68</v>
      </c>
      <c r="Q2473">
        <v>305</v>
      </c>
      <c r="R2473" s="34">
        <f t="shared" si="41"/>
        <v>0.28145280655812321</v>
      </c>
    </row>
    <row r="2474" spans="16:18" x14ac:dyDescent="0.3">
      <c r="P2474" s="35">
        <v>23.68</v>
      </c>
      <c r="Q2474">
        <v>305</v>
      </c>
      <c r="R2474" s="34">
        <f t="shared" si="41"/>
        <v>0.28156666287145576</v>
      </c>
    </row>
    <row r="2475" spans="16:18" x14ac:dyDescent="0.3">
      <c r="P2475" s="35">
        <v>23.68</v>
      </c>
      <c r="Q2475">
        <v>305</v>
      </c>
      <c r="R2475" s="34">
        <f t="shared" si="41"/>
        <v>0.28168051918478831</v>
      </c>
    </row>
    <row r="2476" spans="16:18" x14ac:dyDescent="0.3">
      <c r="P2476" s="35">
        <v>23.69</v>
      </c>
      <c r="Q2476">
        <v>305</v>
      </c>
      <c r="R2476" s="34">
        <f t="shared" si="41"/>
        <v>0.28179437549812086</v>
      </c>
    </row>
    <row r="2477" spans="16:18" x14ac:dyDescent="0.3">
      <c r="P2477" s="35">
        <v>23.69</v>
      </c>
      <c r="Q2477">
        <v>305</v>
      </c>
      <c r="R2477" s="34">
        <f t="shared" si="41"/>
        <v>0.28190823181145341</v>
      </c>
    </row>
    <row r="2478" spans="16:18" x14ac:dyDescent="0.3">
      <c r="P2478" s="35">
        <v>23.69</v>
      </c>
      <c r="Q2478">
        <v>305</v>
      </c>
      <c r="R2478" s="34">
        <f t="shared" si="41"/>
        <v>0.28202208812478596</v>
      </c>
    </row>
    <row r="2479" spans="16:18" x14ac:dyDescent="0.3">
      <c r="P2479" s="35">
        <v>23.69</v>
      </c>
      <c r="Q2479">
        <v>305</v>
      </c>
      <c r="R2479" s="34">
        <f t="shared" si="41"/>
        <v>0.28213594443811851</v>
      </c>
    </row>
    <row r="2480" spans="16:18" x14ac:dyDescent="0.3">
      <c r="P2480" s="35">
        <v>23.69</v>
      </c>
      <c r="Q2480">
        <v>305</v>
      </c>
      <c r="R2480" s="34">
        <f t="shared" si="41"/>
        <v>0.28224980075145106</v>
      </c>
    </row>
    <row r="2481" spans="16:18" x14ac:dyDescent="0.3">
      <c r="P2481" s="35">
        <v>23.69</v>
      </c>
      <c r="Q2481">
        <v>305</v>
      </c>
      <c r="R2481" s="34">
        <f t="shared" si="41"/>
        <v>0.28236365706478361</v>
      </c>
    </row>
    <row r="2482" spans="16:18" x14ac:dyDescent="0.3">
      <c r="P2482" s="35">
        <v>23.69</v>
      </c>
      <c r="Q2482">
        <v>305</v>
      </c>
      <c r="R2482" s="34">
        <f t="shared" si="41"/>
        <v>0.28247751337811616</v>
      </c>
    </row>
    <row r="2483" spans="16:18" x14ac:dyDescent="0.3">
      <c r="P2483" s="35">
        <v>23.7</v>
      </c>
      <c r="Q2483">
        <v>305</v>
      </c>
      <c r="R2483" s="34">
        <f t="shared" si="41"/>
        <v>0.28259136969144871</v>
      </c>
    </row>
    <row r="2484" spans="16:18" x14ac:dyDescent="0.3">
      <c r="P2484" s="35">
        <v>23.7</v>
      </c>
      <c r="Q2484">
        <v>305</v>
      </c>
      <c r="R2484" s="34">
        <f t="shared" si="41"/>
        <v>0.28270522600478126</v>
      </c>
    </row>
    <row r="2485" spans="16:18" x14ac:dyDescent="0.3">
      <c r="P2485" s="35">
        <v>23.7</v>
      </c>
      <c r="Q2485">
        <v>305</v>
      </c>
      <c r="R2485" s="34">
        <f t="shared" si="41"/>
        <v>0.28281908231811381</v>
      </c>
    </row>
    <row r="2486" spans="16:18" x14ac:dyDescent="0.3">
      <c r="P2486" s="35">
        <v>23.7</v>
      </c>
      <c r="Q2486">
        <v>305</v>
      </c>
      <c r="R2486" s="34">
        <f t="shared" si="41"/>
        <v>0.28293293863144636</v>
      </c>
    </row>
    <row r="2487" spans="16:18" x14ac:dyDescent="0.3">
      <c r="P2487" s="35">
        <v>23.7</v>
      </c>
      <c r="Q2487">
        <v>305</v>
      </c>
      <c r="R2487" s="34">
        <f t="shared" si="41"/>
        <v>0.28304679494477891</v>
      </c>
    </row>
    <row r="2488" spans="16:18" x14ac:dyDescent="0.3">
      <c r="P2488" s="35">
        <v>23.71</v>
      </c>
      <c r="Q2488">
        <v>305</v>
      </c>
      <c r="R2488" s="34">
        <f t="shared" si="41"/>
        <v>0.28316065125811146</v>
      </c>
    </row>
    <row r="2489" spans="16:18" x14ac:dyDescent="0.3">
      <c r="P2489" s="35">
        <v>23.71</v>
      </c>
      <c r="Q2489">
        <v>305</v>
      </c>
      <c r="R2489" s="34">
        <f t="shared" si="41"/>
        <v>0.28327450757144401</v>
      </c>
    </row>
    <row r="2490" spans="16:18" x14ac:dyDescent="0.3">
      <c r="P2490" s="35">
        <v>23.71</v>
      </c>
      <c r="Q2490">
        <v>305</v>
      </c>
      <c r="R2490" s="34">
        <f t="shared" si="41"/>
        <v>0.28338836388477656</v>
      </c>
    </row>
    <row r="2491" spans="16:18" x14ac:dyDescent="0.3">
      <c r="P2491" s="35">
        <v>23.71</v>
      </c>
      <c r="Q2491">
        <v>305</v>
      </c>
      <c r="R2491" s="34">
        <f t="shared" si="41"/>
        <v>0.28350222019810911</v>
      </c>
    </row>
    <row r="2492" spans="16:18" x14ac:dyDescent="0.3">
      <c r="P2492" s="35">
        <v>23.72</v>
      </c>
      <c r="Q2492">
        <v>305</v>
      </c>
      <c r="R2492" s="34">
        <f t="shared" si="41"/>
        <v>0.28361607651144166</v>
      </c>
    </row>
    <row r="2493" spans="16:18" x14ac:dyDescent="0.3">
      <c r="P2493" s="35">
        <v>23.72</v>
      </c>
      <c r="Q2493">
        <v>305</v>
      </c>
      <c r="R2493" s="34">
        <f t="shared" si="41"/>
        <v>0.28372993282477421</v>
      </c>
    </row>
    <row r="2494" spans="16:18" x14ac:dyDescent="0.3">
      <c r="P2494" s="35">
        <v>23.72</v>
      </c>
      <c r="Q2494">
        <v>305</v>
      </c>
      <c r="R2494" s="34">
        <f t="shared" si="41"/>
        <v>0.28384378913810676</v>
      </c>
    </row>
    <row r="2495" spans="16:18" x14ac:dyDescent="0.3">
      <c r="P2495" s="35">
        <v>23.73</v>
      </c>
      <c r="Q2495">
        <v>305</v>
      </c>
      <c r="R2495" s="34">
        <f t="shared" si="41"/>
        <v>0.28395764545143931</v>
      </c>
    </row>
    <row r="2496" spans="16:18" x14ac:dyDescent="0.3">
      <c r="P2496" s="35">
        <v>23.73</v>
      </c>
      <c r="Q2496">
        <v>305</v>
      </c>
      <c r="R2496" s="34">
        <f t="shared" si="41"/>
        <v>0.28407150176477186</v>
      </c>
    </row>
    <row r="2497" spans="16:18" x14ac:dyDescent="0.3">
      <c r="P2497" s="35">
        <v>23.74</v>
      </c>
      <c r="Q2497">
        <v>305</v>
      </c>
      <c r="R2497" s="34">
        <f t="shared" si="41"/>
        <v>0.28418535807810441</v>
      </c>
    </row>
    <row r="2498" spans="16:18" x14ac:dyDescent="0.3">
      <c r="P2498" s="35">
        <v>23.74</v>
      </c>
      <c r="Q2498">
        <v>305</v>
      </c>
      <c r="R2498" s="34">
        <f t="shared" si="41"/>
        <v>0.28429921439143696</v>
      </c>
    </row>
    <row r="2499" spans="16:18" x14ac:dyDescent="0.3">
      <c r="P2499" s="35">
        <v>23.74</v>
      </c>
      <c r="Q2499">
        <v>305</v>
      </c>
      <c r="R2499" s="34">
        <f t="shared" si="41"/>
        <v>0.28441307070476951</v>
      </c>
    </row>
    <row r="2500" spans="16:18" x14ac:dyDescent="0.3">
      <c r="P2500" s="35">
        <v>23.75</v>
      </c>
      <c r="Q2500">
        <v>305</v>
      </c>
      <c r="R2500" s="34">
        <f t="shared" ref="R2500:R2563" si="42">R2499+R$2</f>
        <v>0.28452692701810206</v>
      </c>
    </row>
    <row r="2501" spans="16:18" x14ac:dyDescent="0.3">
      <c r="P2501" s="35">
        <v>23.75</v>
      </c>
      <c r="Q2501">
        <v>305</v>
      </c>
      <c r="R2501" s="34">
        <f t="shared" si="42"/>
        <v>0.28464078333143461</v>
      </c>
    </row>
    <row r="2502" spans="16:18" x14ac:dyDescent="0.3">
      <c r="P2502" s="35">
        <v>23.75</v>
      </c>
      <c r="Q2502">
        <v>305</v>
      </c>
      <c r="R2502" s="34">
        <f t="shared" si="42"/>
        <v>0.28475463964476716</v>
      </c>
    </row>
    <row r="2503" spans="16:18" x14ac:dyDescent="0.3">
      <c r="P2503" s="35">
        <v>23.75</v>
      </c>
      <c r="Q2503">
        <v>305</v>
      </c>
      <c r="R2503" s="34">
        <f t="shared" si="42"/>
        <v>0.28486849595809971</v>
      </c>
    </row>
    <row r="2504" spans="16:18" x14ac:dyDescent="0.3">
      <c r="P2504" s="35">
        <v>23.75</v>
      </c>
      <c r="Q2504">
        <v>305</v>
      </c>
      <c r="R2504" s="34">
        <f t="shared" si="42"/>
        <v>0.28498235227143226</v>
      </c>
    </row>
    <row r="2505" spans="16:18" x14ac:dyDescent="0.3">
      <c r="P2505" s="35">
        <v>23.75</v>
      </c>
      <c r="Q2505">
        <v>305</v>
      </c>
      <c r="R2505" s="34">
        <f t="shared" si="42"/>
        <v>0.28509620858476481</v>
      </c>
    </row>
    <row r="2506" spans="16:18" x14ac:dyDescent="0.3">
      <c r="P2506" s="35">
        <v>23.76</v>
      </c>
      <c r="Q2506">
        <v>305</v>
      </c>
      <c r="R2506" s="34">
        <f t="shared" si="42"/>
        <v>0.28521006489809736</v>
      </c>
    </row>
    <row r="2507" spans="16:18" x14ac:dyDescent="0.3">
      <c r="P2507" s="35">
        <v>23.76</v>
      </c>
      <c r="Q2507">
        <v>305</v>
      </c>
      <c r="R2507" s="34">
        <f t="shared" si="42"/>
        <v>0.28532392121142991</v>
      </c>
    </row>
    <row r="2508" spans="16:18" x14ac:dyDescent="0.3">
      <c r="P2508" s="35">
        <v>23.76</v>
      </c>
      <c r="Q2508">
        <v>305</v>
      </c>
      <c r="R2508" s="34">
        <f t="shared" si="42"/>
        <v>0.28543777752476246</v>
      </c>
    </row>
    <row r="2509" spans="16:18" x14ac:dyDescent="0.3">
      <c r="P2509" s="35">
        <v>23.77</v>
      </c>
      <c r="Q2509">
        <v>305</v>
      </c>
      <c r="R2509" s="34">
        <f t="shared" si="42"/>
        <v>0.28555163383809501</v>
      </c>
    </row>
    <row r="2510" spans="16:18" x14ac:dyDescent="0.3">
      <c r="P2510" s="35">
        <v>23.78</v>
      </c>
      <c r="Q2510">
        <v>305</v>
      </c>
      <c r="R2510" s="34">
        <f t="shared" si="42"/>
        <v>0.28566549015142756</v>
      </c>
    </row>
    <row r="2511" spans="16:18" x14ac:dyDescent="0.3">
      <c r="P2511" s="35">
        <v>23.78</v>
      </c>
      <c r="Q2511">
        <v>305</v>
      </c>
      <c r="R2511" s="34">
        <f t="shared" si="42"/>
        <v>0.28577934646476011</v>
      </c>
    </row>
    <row r="2512" spans="16:18" x14ac:dyDescent="0.3">
      <c r="P2512" s="35">
        <v>23.79</v>
      </c>
      <c r="Q2512">
        <v>305</v>
      </c>
      <c r="R2512" s="34">
        <f t="shared" si="42"/>
        <v>0.28589320277809266</v>
      </c>
    </row>
    <row r="2513" spans="16:18" x14ac:dyDescent="0.3">
      <c r="P2513" s="35">
        <v>23.79</v>
      </c>
      <c r="Q2513">
        <v>305</v>
      </c>
      <c r="R2513" s="34">
        <f t="shared" si="42"/>
        <v>0.28600705909142521</v>
      </c>
    </row>
    <row r="2514" spans="16:18" x14ac:dyDescent="0.3">
      <c r="P2514" s="35">
        <v>23.79</v>
      </c>
      <c r="Q2514">
        <v>305</v>
      </c>
      <c r="R2514" s="34">
        <f t="shared" si="42"/>
        <v>0.28612091540475776</v>
      </c>
    </row>
    <row r="2515" spans="16:18" x14ac:dyDescent="0.3">
      <c r="P2515" s="35">
        <v>23.8</v>
      </c>
      <c r="Q2515">
        <v>305</v>
      </c>
      <c r="R2515" s="34">
        <f t="shared" si="42"/>
        <v>0.28623477171809031</v>
      </c>
    </row>
    <row r="2516" spans="16:18" x14ac:dyDescent="0.3">
      <c r="P2516" s="35">
        <v>23.81</v>
      </c>
      <c r="Q2516">
        <v>305</v>
      </c>
      <c r="R2516" s="34">
        <f t="shared" si="42"/>
        <v>0.28634862803142286</v>
      </c>
    </row>
    <row r="2517" spans="16:18" x14ac:dyDescent="0.3">
      <c r="P2517" s="35">
        <v>23.81</v>
      </c>
      <c r="Q2517">
        <v>305</v>
      </c>
      <c r="R2517" s="34">
        <f t="shared" si="42"/>
        <v>0.28646248434475541</v>
      </c>
    </row>
    <row r="2518" spans="16:18" x14ac:dyDescent="0.3">
      <c r="P2518" s="35">
        <v>23.81</v>
      </c>
      <c r="Q2518">
        <v>305</v>
      </c>
      <c r="R2518" s="34">
        <f t="shared" si="42"/>
        <v>0.28657634065808796</v>
      </c>
    </row>
    <row r="2519" spans="16:18" x14ac:dyDescent="0.3">
      <c r="P2519" s="35">
        <v>23.82</v>
      </c>
      <c r="Q2519">
        <v>305</v>
      </c>
      <c r="R2519" s="34">
        <f t="shared" si="42"/>
        <v>0.28669019697142051</v>
      </c>
    </row>
    <row r="2520" spans="16:18" x14ac:dyDescent="0.3">
      <c r="P2520" s="35">
        <v>23.82</v>
      </c>
      <c r="Q2520">
        <v>305</v>
      </c>
      <c r="R2520" s="34">
        <f t="shared" si="42"/>
        <v>0.28680405328475306</v>
      </c>
    </row>
    <row r="2521" spans="16:18" x14ac:dyDescent="0.3">
      <c r="P2521" s="35">
        <v>23.83</v>
      </c>
      <c r="Q2521">
        <v>305</v>
      </c>
      <c r="R2521" s="34">
        <f t="shared" si="42"/>
        <v>0.28691790959808561</v>
      </c>
    </row>
    <row r="2522" spans="16:18" x14ac:dyDescent="0.3">
      <c r="P2522" s="35">
        <v>23.83</v>
      </c>
      <c r="Q2522">
        <v>305</v>
      </c>
      <c r="R2522" s="34">
        <f t="shared" si="42"/>
        <v>0.28703176591141816</v>
      </c>
    </row>
    <row r="2523" spans="16:18" x14ac:dyDescent="0.3">
      <c r="P2523" s="35">
        <v>23.83</v>
      </c>
      <c r="Q2523">
        <v>305</v>
      </c>
      <c r="R2523" s="34">
        <f t="shared" si="42"/>
        <v>0.28714562222475071</v>
      </c>
    </row>
    <row r="2524" spans="16:18" x14ac:dyDescent="0.3">
      <c r="P2524" s="35">
        <v>23.83</v>
      </c>
      <c r="Q2524">
        <v>305</v>
      </c>
      <c r="R2524" s="34">
        <f t="shared" si="42"/>
        <v>0.28725947853808326</v>
      </c>
    </row>
    <row r="2525" spans="16:18" x14ac:dyDescent="0.3">
      <c r="P2525" s="35">
        <v>23.83</v>
      </c>
      <c r="Q2525">
        <v>305</v>
      </c>
      <c r="R2525" s="34">
        <f t="shared" si="42"/>
        <v>0.28737333485141581</v>
      </c>
    </row>
    <row r="2526" spans="16:18" x14ac:dyDescent="0.3">
      <c r="P2526" s="35">
        <v>23.84</v>
      </c>
      <c r="Q2526">
        <v>305</v>
      </c>
      <c r="R2526" s="34">
        <f t="shared" si="42"/>
        <v>0.28748719116474836</v>
      </c>
    </row>
    <row r="2527" spans="16:18" x14ac:dyDescent="0.3">
      <c r="P2527" s="35">
        <v>23.84</v>
      </c>
      <c r="Q2527">
        <v>305</v>
      </c>
      <c r="R2527" s="34">
        <f t="shared" si="42"/>
        <v>0.28760104747808091</v>
      </c>
    </row>
    <row r="2528" spans="16:18" x14ac:dyDescent="0.3">
      <c r="P2528" s="35">
        <v>23.85</v>
      </c>
      <c r="Q2528">
        <v>305</v>
      </c>
      <c r="R2528" s="34">
        <f t="shared" si="42"/>
        <v>0.28771490379141346</v>
      </c>
    </row>
    <row r="2529" spans="16:18" x14ac:dyDescent="0.3">
      <c r="P2529" s="35">
        <v>23.85</v>
      </c>
      <c r="Q2529">
        <v>305</v>
      </c>
      <c r="R2529" s="34">
        <f t="shared" si="42"/>
        <v>0.28782876010474601</v>
      </c>
    </row>
    <row r="2530" spans="16:18" x14ac:dyDescent="0.3">
      <c r="P2530" s="35">
        <v>23.85</v>
      </c>
      <c r="Q2530">
        <v>305</v>
      </c>
      <c r="R2530" s="34">
        <f t="shared" si="42"/>
        <v>0.28794261641807856</v>
      </c>
    </row>
    <row r="2531" spans="16:18" x14ac:dyDescent="0.3">
      <c r="P2531" s="35">
        <v>23.85</v>
      </c>
      <c r="Q2531">
        <v>305</v>
      </c>
      <c r="R2531" s="34">
        <f t="shared" si="42"/>
        <v>0.28805647273141111</v>
      </c>
    </row>
    <row r="2532" spans="16:18" x14ac:dyDescent="0.3">
      <c r="P2532" s="35">
        <v>23.85</v>
      </c>
      <c r="Q2532">
        <v>305</v>
      </c>
      <c r="R2532" s="34">
        <f t="shared" si="42"/>
        <v>0.28817032904474366</v>
      </c>
    </row>
    <row r="2533" spans="16:18" x14ac:dyDescent="0.3">
      <c r="P2533" s="35">
        <v>23.85</v>
      </c>
      <c r="Q2533">
        <v>305</v>
      </c>
      <c r="R2533" s="34">
        <f t="shared" si="42"/>
        <v>0.28828418535807621</v>
      </c>
    </row>
    <row r="2534" spans="16:18" x14ac:dyDescent="0.3">
      <c r="P2534" s="35">
        <v>23.85</v>
      </c>
      <c r="Q2534">
        <v>305</v>
      </c>
      <c r="R2534" s="34">
        <f t="shared" si="42"/>
        <v>0.28839804167140876</v>
      </c>
    </row>
    <row r="2535" spans="16:18" x14ac:dyDescent="0.3">
      <c r="P2535" s="35">
        <v>23.85</v>
      </c>
      <c r="Q2535">
        <v>305</v>
      </c>
      <c r="R2535" s="34">
        <f t="shared" si="42"/>
        <v>0.28851189798474131</v>
      </c>
    </row>
    <row r="2536" spans="16:18" x14ac:dyDescent="0.3">
      <c r="P2536" s="35">
        <v>23.86</v>
      </c>
      <c r="Q2536">
        <v>305</v>
      </c>
      <c r="R2536" s="34">
        <f t="shared" si="42"/>
        <v>0.28862575429807386</v>
      </c>
    </row>
    <row r="2537" spans="16:18" x14ac:dyDescent="0.3">
      <c r="P2537" s="35">
        <v>23.86</v>
      </c>
      <c r="Q2537">
        <v>305</v>
      </c>
      <c r="R2537" s="34">
        <f t="shared" si="42"/>
        <v>0.28873961061140641</v>
      </c>
    </row>
    <row r="2538" spans="16:18" x14ac:dyDescent="0.3">
      <c r="P2538" s="35">
        <v>23.86</v>
      </c>
      <c r="Q2538">
        <v>305</v>
      </c>
      <c r="R2538" s="34">
        <f t="shared" si="42"/>
        <v>0.28885346692473896</v>
      </c>
    </row>
    <row r="2539" spans="16:18" x14ac:dyDescent="0.3">
      <c r="P2539" s="35">
        <v>23.86</v>
      </c>
      <c r="Q2539">
        <v>305</v>
      </c>
      <c r="R2539" s="34">
        <f t="shared" si="42"/>
        <v>0.28896732323807151</v>
      </c>
    </row>
    <row r="2540" spans="16:18" x14ac:dyDescent="0.3">
      <c r="P2540" s="35">
        <v>23.87</v>
      </c>
      <c r="Q2540">
        <v>305</v>
      </c>
      <c r="R2540" s="34">
        <f t="shared" si="42"/>
        <v>0.28908117955140405</v>
      </c>
    </row>
    <row r="2541" spans="16:18" x14ac:dyDescent="0.3">
      <c r="P2541" s="35">
        <v>23.87</v>
      </c>
      <c r="Q2541">
        <v>305</v>
      </c>
      <c r="R2541" s="34">
        <f t="shared" si="42"/>
        <v>0.2891950358647366</v>
      </c>
    </row>
    <row r="2542" spans="16:18" x14ac:dyDescent="0.3">
      <c r="P2542" s="35">
        <v>23.87</v>
      </c>
      <c r="Q2542">
        <v>305</v>
      </c>
      <c r="R2542" s="34">
        <f t="shared" si="42"/>
        <v>0.28930889217806915</v>
      </c>
    </row>
    <row r="2543" spans="16:18" x14ac:dyDescent="0.3">
      <c r="P2543" s="35">
        <v>23.87</v>
      </c>
      <c r="Q2543">
        <v>305</v>
      </c>
      <c r="R2543" s="34">
        <f t="shared" si="42"/>
        <v>0.2894227484914017</v>
      </c>
    </row>
    <row r="2544" spans="16:18" x14ac:dyDescent="0.3">
      <c r="P2544" s="35">
        <v>23.87</v>
      </c>
      <c r="Q2544">
        <v>305</v>
      </c>
      <c r="R2544" s="34">
        <f t="shared" si="42"/>
        <v>0.28953660480473425</v>
      </c>
    </row>
    <row r="2545" spans="16:18" x14ac:dyDescent="0.3">
      <c r="P2545" s="35">
        <v>23.87</v>
      </c>
      <c r="Q2545">
        <v>305</v>
      </c>
      <c r="R2545" s="34">
        <f t="shared" si="42"/>
        <v>0.2896504611180668</v>
      </c>
    </row>
    <row r="2546" spans="16:18" x14ac:dyDescent="0.3">
      <c r="P2546" s="35">
        <v>23.88</v>
      </c>
      <c r="Q2546">
        <v>305</v>
      </c>
      <c r="R2546" s="34">
        <f t="shared" si="42"/>
        <v>0.28976431743139935</v>
      </c>
    </row>
    <row r="2547" spans="16:18" x14ac:dyDescent="0.3">
      <c r="P2547" s="35">
        <v>23.88</v>
      </c>
      <c r="Q2547">
        <v>305</v>
      </c>
      <c r="R2547" s="34">
        <f t="shared" si="42"/>
        <v>0.2898781737447319</v>
      </c>
    </row>
    <row r="2548" spans="16:18" x14ac:dyDescent="0.3">
      <c r="P2548" s="35">
        <v>23.88</v>
      </c>
      <c r="Q2548">
        <v>305</v>
      </c>
      <c r="R2548" s="34">
        <f t="shared" si="42"/>
        <v>0.28999203005806445</v>
      </c>
    </row>
    <row r="2549" spans="16:18" x14ac:dyDescent="0.3">
      <c r="P2549" s="35">
        <v>23.89</v>
      </c>
      <c r="Q2549">
        <v>305</v>
      </c>
      <c r="R2549" s="34">
        <f t="shared" si="42"/>
        <v>0.290105886371397</v>
      </c>
    </row>
    <row r="2550" spans="16:18" x14ac:dyDescent="0.3">
      <c r="P2550" s="35">
        <v>23.89</v>
      </c>
      <c r="Q2550">
        <v>305</v>
      </c>
      <c r="R2550" s="34">
        <f t="shared" si="42"/>
        <v>0.29021974268472955</v>
      </c>
    </row>
    <row r="2551" spans="16:18" x14ac:dyDescent="0.3">
      <c r="P2551" s="35">
        <v>23.9</v>
      </c>
      <c r="Q2551">
        <v>305</v>
      </c>
      <c r="R2551" s="34">
        <f t="shared" si="42"/>
        <v>0.2903335989980621</v>
      </c>
    </row>
    <row r="2552" spans="16:18" x14ac:dyDescent="0.3">
      <c r="P2552" s="35">
        <v>23.9</v>
      </c>
      <c r="Q2552">
        <v>305</v>
      </c>
      <c r="R2552" s="34">
        <f t="shared" si="42"/>
        <v>0.29044745531139465</v>
      </c>
    </row>
    <row r="2553" spans="16:18" x14ac:dyDescent="0.3">
      <c r="P2553" s="35">
        <v>23.91</v>
      </c>
      <c r="Q2553">
        <v>305</v>
      </c>
      <c r="R2553" s="34">
        <f t="shared" si="42"/>
        <v>0.2905613116247272</v>
      </c>
    </row>
    <row r="2554" spans="16:18" x14ac:dyDescent="0.3">
      <c r="P2554" s="35">
        <v>23.91</v>
      </c>
      <c r="Q2554">
        <v>305</v>
      </c>
      <c r="R2554" s="34">
        <f t="shared" si="42"/>
        <v>0.29067516793805975</v>
      </c>
    </row>
    <row r="2555" spans="16:18" x14ac:dyDescent="0.3">
      <c r="P2555" s="35">
        <v>23.91</v>
      </c>
      <c r="Q2555">
        <v>305</v>
      </c>
      <c r="R2555" s="34">
        <f t="shared" si="42"/>
        <v>0.2907890242513923</v>
      </c>
    </row>
    <row r="2556" spans="16:18" x14ac:dyDescent="0.3">
      <c r="P2556" s="35">
        <v>23.92</v>
      </c>
      <c r="Q2556">
        <v>305</v>
      </c>
      <c r="R2556" s="34">
        <f t="shared" si="42"/>
        <v>0.29090288056472485</v>
      </c>
    </row>
    <row r="2557" spans="16:18" x14ac:dyDescent="0.3">
      <c r="P2557" s="35">
        <v>23.93</v>
      </c>
      <c r="Q2557">
        <v>305</v>
      </c>
      <c r="R2557" s="34">
        <f t="shared" si="42"/>
        <v>0.2910167368780574</v>
      </c>
    </row>
    <row r="2558" spans="16:18" x14ac:dyDescent="0.3">
      <c r="P2558" s="35">
        <v>23.93</v>
      </c>
      <c r="Q2558">
        <v>305</v>
      </c>
      <c r="R2558" s="34">
        <f t="shared" si="42"/>
        <v>0.29113059319138995</v>
      </c>
    </row>
    <row r="2559" spans="16:18" x14ac:dyDescent="0.3">
      <c r="P2559" s="35">
        <v>23.93</v>
      </c>
      <c r="Q2559">
        <v>305</v>
      </c>
      <c r="R2559" s="34">
        <f t="shared" si="42"/>
        <v>0.2912444495047225</v>
      </c>
    </row>
    <row r="2560" spans="16:18" x14ac:dyDescent="0.3">
      <c r="P2560" s="35">
        <v>23.94</v>
      </c>
      <c r="Q2560">
        <v>305</v>
      </c>
      <c r="R2560" s="34">
        <f t="shared" si="42"/>
        <v>0.29135830581805505</v>
      </c>
    </row>
    <row r="2561" spans="16:18" x14ac:dyDescent="0.3">
      <c r="P2561" s="35">
        <v>23.94</v>
      </c>
      <c r="Q2561">
        <v>305</v>
      </c>
      <c r="R2561" s="34">
        <f t="shared" si="42"/>
        <v>0.2914721621313876</v>
      </c>
    </row>
    <row r="2562" spans="16:18" x14ac:dyDescent="0.3">
      <c r="P2562" s="35">
        <v>23.94</v>
      </c>
      <c r="Q2562">
        <v>305</v>
      </c>
      <c r="R2562" s="34">
        <f t="shared" si="42"/>
        <v>0.29158601844472015</v>
      </c>
    </row>
    <row r="2563" spans="16:18" x14ac:dyDescent="0.3">
      <c r="P2563" s="35">
        <v>23.95</v>
      </c>
      <c r="Q2563">
        <v>305</v>
      </c>
      <c r="R2563" s="34">
        <f t="shared" si="42"/>
        <v>0.2916998747580527</v>
      </c>
    </row>
    <row r="2564" spans="16:18" x14ac:dyDescent="0.3">
      <c r="P2564" s="35">
        <v>23.95</v>
      </c>
      <c r="Q2564">
        <v>305</v>
      </c>
      <c r="R2564" s="34">
        <f t="shared" ref="R2564:R2627" si="43">R2563+R$2</f>
        <v>0.29181373107138525</v>
      </c>
    </row>
    <row r="2565" spans="16:18" x14ac:dyDescent="0.3">
      <c r="P2565" s="35">
        <v>23.95</v>
      </c>
      <c r="Q2565">
        <v>305</v>
      </c>
      <c r="R2565" s="34">
        <f t="shared" si="43"/>
        <v>0.2919275873847178</v>
      </c>
    </row>
    <row r="2566" spans="16:18" x14ac:dyDescent="0.3">
      <c r="P2566" s="35">
        <v>23.95</v>
      </c>
      <c r="Q2566">
        <v>305</v>
      </c>
      <c r="R2566" s="34">
        <f t="shared" si="43"/>
        <v>0.29204144369805035</v>
      </c>
    </row>
    <row r="2567" spans="16:18" x14ac:dyDescent="0.3">
      <c r="P2567" s="35">
        <v>23.95</v>
      </c>
      <c r="Q2567">
        <v>305</v>
      </c>
      <c r="R2567" s="34">
        <f t="shared" si="43"/>
        <v>0.2921553000113829</v>
      </c>
    </row>
    <row r="2568" spans="16:18" x14ac:dyDescent="0.3">
      <c r="P2568" s="35">
        <v>23.96</v>
      </c>
      <c r="Q2568">
        <v>305</v>
      </c>
      <c r="R2568" s="34">
        <f t="shared" si="43"/>
        <v>0.29226915632471545</v>
      </c>
    </row>
    <row r="2569" spans="16:18" x14ac:dyDescent="0.3">
      <c r="P2569" s="35">
        <v>23.96</v>
      </c>
      <c r="Q2569">
        <v>305</v>
      </c>
      <c r="R2569" s="34">
        <f t="shared" si="43"/>
        <v>0.292383012638048</v>
      </c>
    </row>
    <row r="2570" spans="16:18" x14ac:dyDescent="0.3">
      <c r="P2570" s="35">
        <v>23.96</v>
      </c>
      <c r="Q2570">
        <v>305</v>
      </c>
      <c r="R2570" s="34">
        <f t="shared" si="43"/>
        <v>0.29249686895138055</v>
      </c>
    </row>
    <row r="2571" spans="16:18" x14ac:dyDescent="0.3">
      <c r="P2571" s="35">
        <v>23.96</v>
      </c>
      <c r="Q2571">
        <v>305</v>
      </c>
      <c r="R2571" s="34">
        <f t="shared" si="43"/>
        <v>0.2926107252647131</v>
      </c>
    </row>
    <row r="2572" spans="16:18" x14ac:dyDescent="0.3">
      <c r="P2572" s="35">
        <v>23.97</v>
      </c>
      <c r="Q2572">
        <v>305</v>
      </c>
      <c r="R2572" s="34">
        <f t="shared" si="43"/>
        <v>0.29272458157804565</v>
      </c>
    </row>
    <row r="2573" spans="16:18" x14ac:dyDescent="0.3">
      <c r="P2573" s="35">
        <v>23.97</v>
      </c>
      <c r="Q2573">
        <v>305</v>
      </c>
      <c r="R2573" s="34">
        <f t="shared" si="43"/>
        <v>0.2928384378913782</v>
      </c>
    </row>
    <row r="2574" spans="16:18" x14ac:dyDescent="0.3">
      <c r="P2574" s="35">
        <v>23.97</v>
      </c>
      <c r="Q2574">
        <v>305</v>
      </c>
      <c r="R2574" s="34">
        <f t="shared" si="43"/>
        <v>0.29295229420471075</v>
      </c>
    </row>
    <row r="2575" spans="16:18" x14ac:dyDescent="0.3">
      <c r="P2575" s="35">
        <v>23.97</v>
      </c>
      <c r="Q2575">
        <v>305</v>
      </c>
      <c r="R2575" s="34">
        <f t="shared" si="43"/>
        <v>0.2930661505180433</v>
      </c>
    </row>
    <row r="2576" spans="16:18" x14ac:dyDescent="0.3">
      <c r="P2576" s="35">
        <v>23.97</v>
      </c>
      <c r="Q2576">
        <v>305</v>
      </c>
      <c r="R2576" s="34">
        <f t="shared" si="43"/>
        <v>0.29318000683137585</v>
      </c>
    </row>
    <row r="2577" spans="16:18" x14ac:dyDescent="0.3">
      <c r="P2577" s="35">
        <v>23.98</v>
      </c>
      <c r="Q2577">
        <v>305</v>
      </c>
      <c r="R2577" s="34">
        <f t="shared" si="43"/>
        <v>0.2932938631447084</v>
      </c>
    </row>
    <row r="2578" spans="16:18" x14ac:dyDescent="0.3">
      <c r="P2578" s="35">
        <v>23.98</v>
      </c>
      <c r="Q2578">
        <v>305</v>
      </c>
      <c r="R2578" s="34">
        <f t="shared" si="43"/>
        <v>0.29340771945804095</v>
      </c>
    </row>
    <row r="2579" spans="16:18" x14ac:dyDescent="0.3">
      <c r="P2579" s="35">
        <v>23.98</v>
      </c>
      <c r="Q2579">
        <v>305</v>
      </c>
      <c r="R2579" s="34">
        <f t="shared" si="43"/>
        <v>0.2935215757713735</v>
      </c>
    </row>
    <row r="2580" spans="16:18" x14ac:dyDescent="0.3">
      <c r="P2580" s="35">
        <v>23.99</v>
      </c>
      <c r="Q2580">
        <v>305</v>
      </c>
      <c r="R2580" s="34">
        <f t="shared" si="43"/>
        <v>0.29363543208470605</v>
      </c>
    </row>
    <row r="2581" spans="16:18" x14ac:dyDescent="0.3">
      <c r="P2581" s="35">
        <v>23.99</v>
      </c>
      <c r="Q2581">
        <v>305</v>
      </c>
      <c r="R2581" s="34">
        <f t="shared" si="43"/>
        <v>0.2937492883980386</v>
      </c>
    </row>
    <row r="2582" spans="16:18" x14ac:dyDescent="0.3">
      <c r="P2582" s="35">
        <v>23.99</v>
      </c>
      <c r="Q2582">
        <v>305</v>
      </c>
      <c r="R2582" s="34">
        <f t="shared" si="43"/>
        <v>0.29386314471137115</v>
      </c>
    </row>
    <row r="2583" spans="16:18" x14ac:dyDescent="0.3">
      <c r="P2583" s="35">
        <v>23.99</v>
      </c>
      <c r="Q2583">
        <v>305</v>
      </c>
      <c r="R2583" s="34">
        <f t="shared" si="43"/>
        <v>0.2939770010247037</v>
      </c>
    </row>
    <row r="2584" spans="16:18" x14ac:dyDescent="0.3">
      <c r="P2584" s="35">
        <v>23.99</v>
      </c>
      <c r="Q2584">
        <v>305</v>
      </c>
      <c r="R2584" s="34">
        <f t="shared" si="43"/>
        <v>0.29409085733803625</v>
      </c>
    </row>
    <row r="2585" spans="16:18" x14ac:dyDescent="0.3">
      <c r="P2585" s="35">
        <v>23.99</v>
      </c>
      <c r="Q2585">
        <v>305</v>
      </c>
      <c r="R2585" s="34">
        <f t="shared" si="43"/>
        <v>0.2942047136513688</v>
      </c>
    </row>
    <row r="2586" spans="16:18" x14ac:dyDescent="0.3">
      <c r="P2586" s="35">
        <v>23.99</v>
      </c>
      <c r="Q2586">
        <v>305</v>
      </c>
      <c r="R2586" s="34">
        <f t="shared" si="43"/>
        <v>0.29431856996470135</v>
      </c>
    </row>
    <row r="2587" spans="16:18" x14ac:dyDescent="0.3">
      <c r="P2587" s="35">
        <v>24</v>
      </c>
      <c r="Q2587">
        <v>305</v>
      </c>
      <c r="R2587" s="34">
        <f t="shared" si="43"/>
        <v>0.2944324262780339</v>
      </c>
    </row>
    <row r="2588" spans="16:18" x14ac:dyDescent="0.3">
      <c r="P2588" s="35">
        <v>24</v>
      </c>
      <c r="Q2588">
        <v>305</v>
      </c>
      <c r="R2588" s="34">
        <f t="shared" si="43"/>
        <v>0.29454628259136645</v>
      </c>
    </row>
    <row r="2589" spans="16:18" x14ac:dyDescent="0.3">
      <c r="P2589" s="35">
        <v>24</v>
      </c>
      <c r="Q2589">
        <v>305</v>
      </c>
      <c r="R2589" s="34">
        <f t="shared" si="43"/>
        <v>0.294660138904699</v>
      </c>
    </row>
    <row r="2590" spans="16:18" x14ac:dyDescent="0.3">
      <c r="P2590" s="35">
        <v>24.01</v>
      </c>
      <c r="Q2590">
        <v>305</v>
      </c>
      <c r="R2590" s="34">
        <f t="shared" si="43"/>
        <v>0.29477399521803155</v>
      </c>
    </row>
    <row r="2591" spans="16:18" x14ac:dyDescent="0.3">
      <c r="P2591" s="35">
        <v>24.01</v>
      </c>
      <c r="Q2591">
        <v>305</v>
      </c>
      <c r="R2591" s="34">
        <f t="shared" si="43"/>
        <v>0.2948878515313641</v>
      </c>
    </row>
    <row r="2592" spans="16:18" x14ac:dyDescent="0.3">
      <c r="P2592" s="35">
        <v>24.01</v>
      </c>
      <c r="Q2592">
        <v>305</v>
      </c>
      <c r="R2592" s="34">
        <f t="shared" si="43"/>
        <v>0.29500170784469665</v>
      </c>
    </row>
    <row r="2593" spans="16:18" x14ac:dyDescent="0.3">
      <c r="P2593" s="35">
        <v>24.01</v>
      </c>
      <c r="Q2593">
        <v>305</v>
      </c>
      <c r="R2593" s="34">
        <f t="shared" si="43"/>
        <v>0.2951155641580292</v>
      </c>
    </row>
    <row r="2594" spans="16:18" x14ac:dyDescent="0.3">
      <c r="P2594" s="35">
        <v>24.02</v>
      </c>
      <c r="Q2594">
        <v>305</v>
      </c>
      <c r="R2594" s="34">
        <f t="shared" si="43"/>
        <v>0.29522942047136175</v>
      </c>
    </row>
    <row r="2595" spans="16:18" x14ac:dyDescent="0.3">
      <c r="P2595" s="35">
        <v>24.02</v>
      </c>
      <c r="Q2595">
        <v>305</v>
      </c>
      <c r="R2595" s="34">
        <f t="shared" si="43"/>
        <v>0.2953432767846943</v>
      </c>
    </row>
    <row r="2596" spans="16:18" x14ac:dyDescent="0.3">
      <c r="P2596" s="35">
        <v>24.02</v>
      </c>
      <c r="Q2596">
        <v>305</v>
      </c>
      <c r="R2596" s="34">
        <f t="shared" si="43"/>
        <v>0.29545713309802685</v>
      </c>
    </row>
    <row r="2597" spans="16:18" x14ac:dyDescent="0.3">
      <c r="P2597" s="35">
        <v>24.02</v>
      </c>
      <c r="Q2597">
        <v>305</v>
      </c>
      <c r="R2597" s="34">
        <f t="shared" si="43"/>
        <v>0.2955709894113594</v>
      </c>
    </row>
    <row r="2598" spans="16:18" x14ac:dyDescent="0.3">
      <c r="P2598" s="35">
        <v>24.02</v>
      </c>
      <c r="Q2598">
        <v>305</v>
      </c>
      <c r="R2598" s="34">
        <f t="shared" si="43"/>
        <v>0.29568484572469195</v>
      </c>
    </row>
    <row r="2599" spans="16:18" x14ac:dyDescent="0.3">
      <c r="P2599" s="35">
        <v>24.02</v>
      </c>
      <c r="Q2599">
        <v>305</v>
      </c>
      <c r="R2599" s="34">
        <f t="shared" si="43"/>
        <v>0.2957987020380245</v>
      </c>
    </row>
    <row r="2600" spans="16:18" x14ac:dyDescent="0.3">
      <c r="P2600" s="35">
        <v>24.03</v>
      </c>
      <c r="Q2600">
        <v>305</v>
      </c>
      <c r="R2600" s="34">
        <f t="shared" si="43"/>
        <v>0.29591255835135705</v>
      </c>
    </row>
    <row r="2601" spans="16:18" x14ac:dyDescent="0.3">
      <c r="P2601" s="35">
        <v>24.03</v>
      </c>
      <c r="Q2601">
        <v>305</v>
      </c>
      <c r="R2601" s="34">
        <f t="shared" si="43"/>
        <v>0.2960264146646896</v>
      </c>
    </row>
    <row r="2602" spans="16:18" x14ac:dyDescent="0.3">
      <c r="P2602" s="35">
        <v>24.03</v>
      </c>
      <c r="Q2602">
        <v>305</v>
      </c>
      <c r="R2602" s="34">
        <f t="shared" si="43"/>
        <v>0.29614027097802215</v>
      </c>
    </row>
    <row r="2603" spans="16:18" x14ac:dyDescent="0.3">
      <c r="P2603" s="35">
        <v>24.03</v>
      </c>
      <c r="Q2603">
        <v>305</v>
      </c>
      <c r="R2603" s="34">
        <f t="shared" si="43"/>
        <v>0.2962541272913547</v>
      </c>
    </row>
    <row r="2604" spans="16:18" x14ac:dyDescent="0.3">
      <c r="P2604" s="35">
        <v>24.04</v>
      </c>
      <c r="Q2604">
        <v>305</v>
      </c>
      <c r="R2604" s="34">
        <f t="shared" si="43"/>
        <v>0.29636798360468725</v>
      </c>
    </row>
    <row r="2605" spans="16:18" x14ac:dyDescent="0.3">
      <c r="P2605" s="35">
        <v>24.04</v>
      </c>
      <c r="Q2605">
        <v>305</v>
      </c>
      <c r="R2605" s="34">
        <f t="shared" si="43"/>
        <v>0.2964818399180198</v>
      </c>
    </row>
    <row r="2606" spans="16:18" x14ac:dyDescent="0.3">
      <c r="P2606" s="35">
        <v>24.04</v>
      </c>
      <c r="Q2606">
        <v>305</v>
      </c>
      <c r="R2606" s="34">
        <f t="shared" si="43"/>
        <v>0.29659569623135235</v>
      </c>
    </row>
    <row r="2607" spans="16:18" x14ac:dyDescent="0.3">
      <c r="P2607" s="35">
        <v>24.04</v>
      </c>
      <c r="Q2607">
        <v>305</v>
      </c>
      <c r="R2607" s="34">
        <f t="shared" si="43"/>
        <v>0.2967095525446849</v>
      </c>
    </row>
    <row r="2608" spans="16:18" x14ac:dyDescent="0.3">
      <c r="P2608" s="35">
        <v>24.04</v>
      </c>
      <c r="Q2608">
        <v>305</v>
      </c>
      <c r="R2608" s="34">
        <f t="shared" si="43"/>
        <v>0.29682340885801745</v>
      </c>
    </row>
    <row r="2609" spans="16:18" x14ac:dyDescent="0.3">
      <c r="P2609" s="35">
        <v>24.04</v>
      </c>
      <c r="Q2609">
        <v>305</v>
      </c>
      <c r="R2609" s="34">
        <f t="shared" si="43"/>
        <v>0.29693726517135</v>
      </c>
    </row>
    <row r="2610" spans="16:18" x14ac:dyDescent="0.3">
      <c r="P2610" s="35">
        <v>24.04</v>
      </c>
      <c r="Q2610">
        <v>305</v>
      </c>
      <c r="R2610" s="34">
        <f t="shared" si="43"/>
        <v>0.29705112148468255</v>
      </c>
    </row>
    <row r="2611" spans="16:18" x14ac:dyDescent="0.3">
      <c r="P2611" s="35">
        <v>24.05</v>
      </c>
      <c r="Q2611">
        <v>305</v>
      </c>
      <c r="R2611" s="34">
        <f t="shared" si="43"/>
        <v>0.2971649777980151</v>
      </c>
    </row>
    <row r="2612" spans="16:18" x14ac:dyDescent="0.3">
      <c r="P2612" s="35">
        <v>24.05</v>
      </c>
      <c r="Q2612">
        <v>305</v>
      </c>
      <c r="R2612" s="34">
        <f t="shared" si="43"/>
        <v>0.29727883411134765</v>
      </c>
    </row>
    <row r="2613" spans="16:18" x14ac:dyDescent="0.3">
      <c r="P2613" s="35">
        <v>24.05</v>
      </c>
      <c r="Q2613">
        <v>305</v>
      </c>
      <c r="R2613" s="34">
        <f t="shared" si="43"/>
        <v>0.29739269042468019</v>
      </c>
    </row>
    <row r="2614" spans="16:18" x14ac:dyDescent="0.3">
      <c r="P2614" s="35">
        <v>24.07</v>
      </c>
      <c r="Q2614">
        <v>305</v>
      </c>
      <c r="R2614" s="34">
        <f t="shared" si="43"/>
        <v>0.29750654673801274</v>
      </c>
    </row>
    <row r="2615" spans="16:18" x14ac:dyDescent="0.3">
      <c r="P2615" s="35">
        <v>24.07</v>
      </c>
      <c r="Q2615">
        <v>305</v>
      </c>
      <c r="R2615" s="34">
        <f t="shared" si="43"/>
        <v>0.29762040305134529</v>
      </c>
    </row>
    <row r="2616" spans="16:18" x14ac:dyDescent="0.3">
      <c r="P2616" s="35">
        <v>24.07</v>
      </c>
      <c r="Q2616">
        <v>305</v>
      </c>
      <c r="R2616" s="34">
        <f t="shared" si="43"/>
        <v>0.29773425936467784</v>
      </c>
    </row>
    <row r="2617" spans="16:18" x14ac:dyDescent="0.3">
      <c r="P2617" s="35">
        <v>24.07</v>
      </c>
      <c r="Q2617">
        <v>305</v>
      </c>
      <c r="R2617" s="34">
        <f t="shared" si="43"/>
        <v>0.29784811567801039</v>
      </c>
    </row>
    <row r="2618" spans="16:18" x14ac:dyDescent="0.3">
      <c r="P2618" s="35">
        <v>24.07</v>
      </c>
      <c r="Q2618">
        <v>305</v>
      </c>
      <c r="R2618" s="34">
        <f t="shared" si="43"/>
        <v>0.29796197199134294</v>
      </c>
    </row>
    <row r="2619" spans="16:18" x14ac:dyDescent="0.3">
      <c r="P2619" s="35">
        <v>24.09</v>
      </c>
      <c r="Q2619">
        <v>305</v>
      </c>
      <c r="R2619" s="34">
        <f t="shared" si="43"/>
        <v>0.29807582830467549</v>
      </c>
    </row>
    <row r="2620" spans="16:18" x14ac:dyDescent="0.3">
      <c r="P2620" s="35">
        <v>24.09</v>
      </c>
      <c r="Q2620">
        <v>305</v>
      </c>
      <c r="R2620" s="34">
        <f t="shared" si="43"/>
        <v>0.29818968461800804</v>
      </c>
    </row>
    <row r="2621" spans="16:18" x14ac:dyDescent="0.3">
      <c r="P2621" s="35">
        <v>24.09</v>
      </c>
      <c r="Q2621">
        <v>305</v>
      </c>
      <c r="R2621" s="34">
        <f t="shared" si="43"/>
        <v>0.29830354093134059</v>
      </c>
    </row>
    <row r="2622" spans="16:18" x14ac:dyDescent="0.3">
      <c r="P2622" s="35">
        <v>24.09</v>
      </c>
      <c r="Q2622">
        <v>305</v>
      </c>
      <c r="R2622" s="34">
        <f t="shared" si="43"/>
        <v>0.29841739724467314</v>
      </c>
    </row>
    <row r="2623" spans="16:18" x14ac:dyDescent="0.3">
      <c r="P2623" s="35">
        <v>24.09</v>
      </c>
      <c r="Q2623">
        <v>305</v>
      </c>
      <c r="R2623" s="34">
        <f t="shared" si="43"/>
        <v>0.29853125355800569</v>
      </c>
    </row>
    <row r="2624" spans="16:18" x14ac:dyDescent="0.3">
      <c r="P2624" s="35">
        <v>24.09</v>
      </c>
      <c r="Q2624">
        <v>305</v>
      </c>
      <c r="R2624" s="34">
        <f t="shared" si="43"/>
        <v>0.29864510987133824</v>
      </c>
    </row>
    <row r="2625" spans="16:18" x14ac:dyDescent="0.3">
      <c r="P2625" s="35">
        <v>24.09</v>
      </c>
      <c r="Q2625">
        <v>305</v>
      </c>
      <c r="R2625" s="34">
        <f t="shared" si="43"/>
        <v>0.29875896618467079</v>
      </c>
    </row>
    <row r="2626" spans="16:18" x14ac:dyDescent="0.3">
      <c r="P2626" s="35">
        <v>24.1</v>
      </c>
      <c r="Q2626">
        <v>305</v>
      </c>
      <c r="R2626" s="34">
        <f t="shared" si="43"/>
        <v>0.29887282249800334</v>
      </c>
    </row>
    <row r="2627" spans="16:18" x14ac:dyDescent="0.3">
      <c r="P2627" s="35">
        <v>24.1</v>
      </c>
      <c r="Q2627">
        <v>305</v>
      </c>
      <c r="R2627" s="34">
        <f t="shared" si="43"/>
        <v>0.29898667881133589</v>
      </c>
    </row>
    <row r="2628" spans="16:18" x14ac:dyDescent="0.3">
      <c r="P2628" s="35">
        <v>24.1</v>
      </c>
      <c r="Q2628">
        <v>305</v>
      </c>
      <c r="R2628" s="34">
        <f t="shared" ref="R2628:R2691" si="44">R2627+R$2</f>
        <v>0.29910053512466844</v>
      </c>
    </row>
    <row r="2629" spans="16:18" x14ac:dyDescent="0.3">
      <c r="P2629" s="35">
        <v>24.11</v>
      </c>
      <c r="Q2629">
        <v>305</v>
      </c>
      <c r="R2629" s="34">
        <f t="shared" si="44"/>
        <v>0.29921439143800099</v>
      </c>
    </row>
    <row r="2630" spans="16:18" x14ac:dyDescent="0.3">
      <c r="P2630" s="35">
        <v>24.11</v>
      </c>
      <c r="Q2630">
        <v>305</v>
      </c>
      <c r="R2630" s="34">
        <f t="shared" si="44"/>
        <v>0.29932824775133354</v>
      </c>
    </row>
    <row r="2631" spans="16:18" x14ac:dyDescent="0.3">
      <c r="P2631" s="35">
        <v>24.12</v>
      </c>
      <c r="Q2631">
        <v>305</v>
      </c>
      <c r="R2631" s="34">
        <f t="shared" si="44"/>
        <v>0.29944210406466609</v>
      </c>
    </row>
    <row r="2632" spans="16:18" x14ac:dyDescent="0.3">
      <c r="P2632" s="35">
        <v>24.12</v>
      </c>
      <c r="Q2632">
        <v>305</v>
      </c>
      <c r="R2632" s="34">
        <f t="shared" si="44"/>
        <v>0.29955596037799864</v>
      </c>
    </row>
    <row r="2633" spans="16:18" x14ac:dyDescent="0.3">
      <c r="P2633" s="35">
        <v>24.12</v>
      </c>
      <c r="Q2633">
        <v>305</v>
      </c>
      <c r="R2633" s="34">
        <f t="shared" si="44"/>
        <v>0.29966981669133119</v>
      </c>
    </row>
    <row r="2634" spans="16:18" x14ac:dyDescent="0.3">
      <c r="P2634" s="35">
        <v>24.12</v>
      </c>
      <c r="Q2634">
        <v>305</v>
      </c>
      <c r="R2634" s="34">
        <f t="shared" si="44"/>
        <v>0.29978367300466374</v>
      </c>
    </row>
    <row r="2635" spans="16:18" x14ac:dyDescent="0.3">
      <c r="P2635" s="35">
        <v>24.12</v>
      </c>
      <c r="Q2635">
        <v>305</v>
      </c>
      <c r="R2635" s="34">
        <f t="shared" si="44"/>
        <v>0.29989752931799629</v>
      </c>
    </row>
    <row r="2636" spans="16:18" x14ac:dyDescent="0.3">
      <c r="P2636" s="35">
        <v>24.13</v>
      </c>
      <c r="Q2636">
        <v>305</v>
      </c>
      <c r="R2636" s="34">
        <f t="shared" si="44"/>
        <v>0.30001138563132884</v>
      </c>
    </row>
    <row r="2637" spans="16:18" x14ac:dyDescent="0.3">
      <c r="P2637" s="35">
        <v>24.13</v>
      </c>
      <c r="Q2637">
        <v>305</v>
      </c>
      <c r="R2637" s="34">
        <f t="shared" si="44"/>
        <v>0.30012524194466139</v>
      </c>
    </row>
    <row r="2638" spans="16:18" x14ac:dyDescent="0.3">
      <c r="P2638" s="35">
        <v>24.13</v>
      </c>
      <c r="Q2638">
        <v>305</v>
      </c>
      <c r="R2638" s="34">
        <f t="shared" si="44"/>
        <v>0.30023909825799394</v>
      </c>
    </row>
    <row r="2639" spans="16:18" x14ac:dyDescent="0.3">
      <c r="P2639" s="35">
        <v>24.13</v>
      </c>
      <c r="Q2639">
        <v>305</v>
      </c>
      <c r="R2639" s="34">
        <f t="shared" si="44"/>
        <v>0.30035295457132649</v>
      </c>
    </row>
    <row r="2640" spans="16:18" x14ac:dyDescent="0.3">
      <c r="P2640" s="35">
        <v>24.14</v>
      </c>
      <c r="Q2640">
        <v>305</v>
      </c>
      <c r="R2640" s="34">
        <f t="shared" si="44"/>
        <v>0.30046681088465904</v>
      </c>
    </row>
    <row r="2641" spans="16:18" x14ac:dyDescent="0.3">
      <c r="P2641" s="35">
        <v>24.14</v>
      </c>
      <c r="Q2641">
        <v>305</v>
      </c>
      <c r="R2641" s="34">
        <f t="shared" si="44"/>
        <v>0.30058066719799159</v>
      </c>
    </row>
    <row r="2642" spans="16:18" x14ac:dyDescent="0.3">
      <c r="P2642" s="35">
        <v>24.15</v>
      </c>
      <c r="Q2642">
        <v>305</v>
      </c>
      <c r="R2642" s="34">
        <f t="shared" si="44"/>
        <v>0.30069452351132414</v>
      </c>
    </row>
    <row r="2643" spans="16:18" x14ac:dyDescent="0.3">
      <c r="P2643" s="35">
        <v>24.15</v>
      </c>
      <c r="Q2643">
        <v>305</v>
      </c>
      <c r="R2643" s="34">
        <f t="shared" si="44"/>
        <v>0.30080837982465669</v>
      </c>
    </row>
    <row r="2644" spans="16:18" x14ac:dyDescent="0.3">
      <c r="P2644" s="35">
        <v>24.15</v>
      </c>
      <c r="Q2644">
        <v>305</v>
      </c>
      <c r="R2644" s="34">
        <f t="shared" si="44"/>
        <v>0.30092223613798924</v>
      </c>
    </row>
    <row r="2645" spans="16:18" x14ac:dyDescent="0.3">
      <c r="P2645" s="35">
        <v>24.16</v>
      </c>
      <c r="Q2645">
        <v>305</v>
      </c>
      <c r="R2645" s="34">
        <f t="shared" si="44"/>
        <v>0.30103609245132179</v>
      </c>
    </row>
    <row r="2646" spans="16:18" x14ac:dyDescent="0.3">
      <c r="P2646" s="35">
        <v>24.16</v>
      </c>
      <c r="Q2646">
        <v>305</v>
      </c>
      <c r="R2646" s="34">
        <f t="shared" si="44"/>
        <v>0.30114994876465434</v>
      </c>
    </row>
    <row r="2647" spans="16:18" x14ac:dyDescent="0.3">
      <c r="P2647" s="35">
        <v>24.16</v>
      </c>
      <c r="Q2647">
        <v>305</v>
      </c>
      <c r="R2647" s="34">
        <f t="shared" si="44"/>
        <v>0.30126380507798689</v>
      </c>
    </row>
    <row r="2648" spans="16:18" x14ac:dyDescent="0.3">
      <c r="P2648" s="35">
        <v>24.16</v>
      </c>
      <c r="Q2648">
        <v>305</v>
      </c>
      <c r="R2648" s="34">
        <f t="shared" si="44"/>
        <v>0.30137766139131944</v>
      </c>
    </row>
    <row r="2649" spans="16:18" x14ac:dyDescent="0.3">
      <c r="P2649" s="35">
        <v>24.16</v>
      </c>
      <c r="Q2649">
        <v>305</v>
      </c>
      <c r="R2649" s="34">
        <f t="shared" si="44"/>
        <v>0.30149151770465199</v>
      </c>
    </row>
    <row r="2650" spans="16:18" x14ac:dyDescent="0.3">
      <c r="P2650" s="35">
        <v>24.17</v>
      </c>
      <c r="Q2650">
        <v>305</v>
      </c>
      <c r="R2650" s="34">
        <f t="shared" si="44"/>
        <v>0.30160537401798454</v>
      </c>
    </row>
    <row r="2651" spans="16:18" x14ac:dyDescent="0.3">
      <c r="P2651" s="35">
        <v>24.17</v>
      </c>
      <c r="Q2651">
        <v>305</v>
      </c>
      <c r="R2651" s="34">
        <f t="shared" si="44"/>
        <v>0.30171923033131709</v>
      </c>
    </row>
    <row r="2652" spans="16:18" x14ac:dyDescent="0.3">
      <c r="P2652" s="35">
        <v>24.18</v>
      </c>
      <c r="Q2652">
        <v>305</v>
      </c>
      <c r="R2652" s="34">
        <f t="shared" si="44"/>
        <v>0.30183308664464964</v>
      </c>
    </row>
    <row r="2653" spans="16:18" x14ac:dyDescent="0.3">
      <c r="P2653" s="35">
        <v>24.18</v>
      </c>
      <c r="Q2653">
        <v>305</v>
      </c>
      <c r="R2653" s="34">
        <f t="shared" si="44"/>
        <v>0.30194694295798219</v>
      </c>
    </row>
    <row r="2654" spans="16:18" x14ac:dyDescent="0.3">
      <c r="P2654" s="35">
        <v>24.18</v>
      </c>
      <c r="Q2654">
        <v>305</v>
      </c>
      <c r="R2654" s="34">
        <f t="shared" si="44"/>
        <v>0.30206079927131474</v>
      </c>
    </row>
    <row r="2655" spans="16:18" x14ac:dyDescent="0.3">
      <c r="P2655" s="35">
        <v>24.18</v>
      </c>
      <c r="Q2655">
        <v>305</v>
      </c>
      <c r="R2655" s="34">
        <f t="shared" si="44"/>
        <v>0.30217465558464729</v>
      </c>
    </row>
    <row r="2656" spans="16:18" x14ac:dyDescent="0.3">
      <c r="P2656" s="35">
        <v>24.18</v>
      </c>
      <c r="Q2656">
        <v>305</v>
      </c>
      <c r="R2656" s="34">
        <f t="shared" si="44"/>
        <v>0.30228851189797984</v>
      </c>
    </row>
    <row r="2657" spans="16:18" x14ac:dyDescent="0.3">
      <c r="P2657" s="35">
        <v>24.18</v>
      </c>
      <c r="Q2657">
        <v>305</v>
      </c>
      <c r="R2657" s="34">
        <f t="shared" si="44"/>
        <v>0.30240236821131239</v>
      </c>
    </row>
    <row r="2658" spans="16:18" x14ac:dyDescent="0.3">
      <c r="P2658" s="35">
        <v>24.18</v>
      </c>
      <c r="Q2658">
        <v>305</v>
      </c>
      <c r="R2658" s="34">
        <f t="shared" si="44"/>
        <v>0.30251622452464494</v>
      </c>
    </row>
    <row r="2659" spans="16:18" x14ac:dyDescent="0.3">
      <c r="P2659" s="35">
        <v>24.18</v>
      </c>
      <c r="Q2659">
        <v>305</v>
      </c>
      <c r="R2659" s="34">
        <f t="shared" si="44"/>
        <v>0.30263008083797749</v>
      </c>
    </row>
    <row r="2660" spans="16:18" x14ac:dyDescent="0.3">
      <c r="P2660" s="35">
        <v>24.19</v>
      </c>
      <c r="Q2660">
        <v>305</v>
      </c>
      <c r="R2660" s="34">
        <f t="shared" si="44"/>
        <v>0.30274393715131004</v>
      </c>
    </row>
    <row r="2661" spans="16:18" x14ac:dyDescent="0.3">
      <c r="P2661" s="35">
        <v>24.19</v>
      </c>
      <c r="Q2661">
        <v>305</v>
      </c>
      <c r="R2661" s="34">
        <f t="shared" si="44"/>
        <v>0.30285779346464259</v>
      </c>
    </row>
    <row r="2662" spans="16:18" x14ac:dyDescent="0.3">
      <c r="P2662" s="35">
        <v>24.19</v>
      </c>
      <c r="Q2662">
        <v>305</v>
      </c>
      <c r="R2662" s="34">
        <f t="shared" si="44"/>
        <v>0.30297164977797514</v>
      </c>
    </row>
    <row r="2663" spans="16:18" x14ac:dyDescent="0.3">
      <c r="P2663" s="35">
        <v>24.19</v>
      </c>
      <c r="Q2663">
        <v>305</v>
      </c>
      <c r="R2663" s="34">
        <f t="shared" si="44"/>
        <v>0.30308550609130769</v>
      </c>
    </row>
    <row r="2664" spans="16:18" x14ac:dyDescent="0.3">
      <c r="P2664" s="35">
        <v>24.2</v>
      </c>
      <c r="Q2664">
        <v>305</v>
      </c>
      <c r="R2664" s="34">
        <f t="shared" si="44"/>
        <v>0.30319936240464024</v>
      </c>
    </row>
    <row r="2665" spans="16:18" x14ac:dyDescent="0.3">
      <c r="P2665" s="35">
        <v>24.2</v>
      </c>
      <c r="Q2665">
        <v>305</v>
      </c>
      <c r="R2665" s="34">
        <f t="shared" si="44"/>
        <v>0.30331321871797279</v>
      </c>
    </row>
    <row r="2666" spans="16:18" x14ac:dyDescent="0.3">
      <c r="P2666" s="35">
        <v>24.2</v>
      </c>
      <c r="Q2666">
        <v>305</v>
      </c>
      <c r="R2666" s="34">
        <f t="shared" si="44"/>
        <v>0.30342707503130534</v>
      </c>
    </row>
    <row r="2667" spans="16:18" x14ac:dyDescent="0.3">
      <c r="P2667" s="35">
        <v>24.2</v>
      </c>
      <c r="Q2667">
        <v>305</v>
      </c>
      <c r="R2667" s="34">
        <f t="shared" si="44"/>
        <v>0.30354093134463789</v>
      </c>
    </row>
    <row r="2668" spans="16:18" x14ac:dyDescent="0.3">
      <c r="P2668" s="35">
        <v>24.2</v>
      </c>
      <c r="Q2668">
        <v>305</v>
      </c>
      <c r="R2668" s="34">
        <f t="shared" si="44"/>
        <v>0.30365478765797044</v>
      </c>
    </row>
    <row r="2669" spans="16:18" x14ac:dyDescent="0.3">
      <c r="P2669" s="35">
        <v>24.21</v>
      </c>
      <c r="Q2669">
        <v>305</v>
      </c>
      <c r="R2669" s="34">
        <f t="shared" si="44"/>
        <v>0.30376864397130299</v>
      </c>
    </row>
    <row r="2670" spans="16:18" x14ac:dyDescent="0.3">
      <c r="P2670" s="35">
        <v>24.21</v>
      </c>
      <c r="Q2670">
        <v>305</v>
      </c>
      <c r="R2670" s="34">
        <f t="shared" si="44"/>
        <v>0.30388250028463554</v>
      </c>
    </row>
    <row r="2671" spans="16:18" x14ac:dyDescent="0.3">
      <c r="P2671" s="35">
        <v>24.21</v>
      </c>
      <c r="Q2671">
        <v>305</v>
      </c>
      <c r="R2671" s="34">
        <f t="shared" si="44"/>
        <v>0.30399635659796809</v>
      </c>
    </row>
    <row r="2672" spans="16:18" x14ac:dyDescent="0.3">
      <c r="P2672" s="35">
        <v>24.21</v>
      </c>
      <c r="Q2672">
        <v>305</v>
      </c>
      <c r="R2672" s="34">
        <f t="shared" si="44"/>
        <v>0.30411021291130064</v>
      </c>
    </row>
    <row r="2673" spans="16:18" x14ac:dyDescent="0.3">
      <c r="P2673" s="35">
        <v>24.21</v>
      </c>
      <c r="Q2673">
        <v>305</v>
      </c>
      <c r="R2673" s="34">
        <f t="shared" si="44"/>
        <v>0.30422406922463319</v>
      </c>
    </row>
    <row r="2674" spans="16:18" x14ac:dyDescent="0.3">
      <c r="P2674" s="35">
        <v>24.22</v>
      </c>
      <c r="Q2674">
        <v>305</v>
      </c>
      <c r="R2674" s="34">
        <f t="shared" si="44"/>
        <v>0.30433792553796574</v>
      </c>
    </row>
    <row r="2675" spans="16:18" x14ac:dyDescent="0.3">
      <c r="P2675" s="35">
        <v>24.22</v>
      </c>
      <c r="Q2675">
        <v>305</v>
      </c>
      <c r="R2675" s="34">
        <f t="shared" si="44"/>
        <v>0.30445178185129829</v>
      </c>
    </row>
    <row r="2676" spans="16:18" x14ac:dyDescent="0.3">
      <c r="P2676" s="35">
        <v>24.22</v>
      </c>
      <c r="Q2676">
        <v>305</v>
      </c>
      <c r="R2676" s="34">
        <f t="shared" si="44"/>
        <v>0.30456563816463084</v>
      </c>
    </row>
    <row r="2677" spans="16:18" x14ac:dyDescent="0.3">
      <c r="P2677" s="35">
        <v>24.23</v>
      </c>
      <c r="Q2677">
        <v>305</v>
      </c>
      <c r="R2677" s="34">
        <f t="shared" si="44"/>
        <v>0.30467949447796339</v>
      </c>
    </row>
    <row r="2678" spans="16:18" x14ac:dyDescent="0.3">
      <c r="P2678" s="35">
        <v>24.23</v>
      </c>
      <c r="Q2678">
        <v>305</v>
      </c>
      <c r="R2678" s="34">
        <f t="shared" si="44"/>
        <v>0.30479335079129594</v>
      </c>
    </row>
    <row r="2679" spans="16:18" x14ac:dyDescent="0.3">
      <c r="P2679" s="35">
        <v>24.24</v>
      </c>
      <c r="Q2679">
        <v>305</v>
      </c>
      <c r="R2679" s="34">
        <f t="shared" si="44"/>
        <v>0.30490720710462849</v>
      </c>
    </row>
    <row r="2680" spans="16:18" x14ac:dyDescent="0.3">
      <c r="P2680" s="35">
        <v>24.24</v>
      </c>
      <c r="Q2680">
        <v>305</v>
      </c>
      <c r="R2680" s="34">
        <f t="shared" si="44"/>
        <v>0.30502106341796104</v>
      </c>
    </row>
    <row r="2681" spans="16:18" x14ac:dyDescent="0.3">
      <c r="P2681" s="35">
        <v>24.24</v>
      </c>
      <c r="Q2681">
        <v>305</v>
      </c>
      <c r="R2681" s="34">
        <f t="shared" si="44"/>
        <v>0.30513491973129359</v>
      </c>
    </row>
    <row r="2682" spans="16:18" x14ac:dyDescent="0.3">
      <c r="P2682" s="35">
        <v>24.25</v>
      </c>
      <c r="Q2682">
        <v>305</v>
      </c>
      <c r="R2682" s="34">
        <f t="shared" si="44"/>
        <v>0.30524877604462614</v>
      </c>
    </row>
    <row r="2683" spans="16:18" x14ac:dyDescent="0.3">
      <c r="P2683" s="35">
        <v>24.25</v>
      </c>
      <c r="Q2683">
        <v>305</v>
      </c>
      <c r="R2683" s="34">
        <f t="shared" si="44"/>
        <v>0.30536263235795869</v>
      </c>
    </row>
    <row r="2684" spans="16:18" x14ac:dyDescent="0.3">
      <c r="P2684" s="35">
        <v>24.25</v>
      </c>
      <c r="Q2684">
        <v>305</v>
      </c>
      <c r="R2684" s="34">
        <f t="shared" si="44"/>
        <v>0.30547648867129124</v>
      </c>
    </row>
    <row r="2685" spans="16:18" x14ac:dyDescent="0.3">
      <c r="P2685" s="35">
        <v>24.26</v>
      </c>
      <c r="Q2685">
        <v>305</v>
      </c>
      <c r="R2685" s="34">
        <f t="shared" si="44"/>
        <v>0.30559034498462379</v>
      </c>
    </row>
    <row r="2686" spans="16:18" x14ac:dyDescent="0.3">
      <c r="P2686" s="35">
        <v>24.26</v>
      </c>
      <c r="Q2686">
        <v>305</v>
      </c>
      <c r="R2686" s="34">
        <f t="shared" si="44"/>
        <v>0.30570420129795634</v>
      </c>
    </row>
    <row r="2687" spans="16:18" x14ac:dyDescent="0.3">
      <c r="P2687" s="35">
        <v>24.26</v>
      </c>
      <c r="Q2687">
        <v>305</v>
      </c>
      <c r="R2687" s="34">
        <f t="shared" si="44"/>
        <v>0.30581805761128888</v>
      </c>
    </row>
    <row r="2688" spans="16:18" x14ac:dyDescent="0.3">
      <c r="P2688" s="35">
        <v>24.26</v>
      </c>
      <c r="Q2688">
        <v>305</v>
      </c>
      <c r="R2688" s="34">
        <f t="shared" si="44"/>
        <v>0.30593191392462143</v>
      </c>
    </row>
    <row r="2689" spans="16:18" x14ac:dyDescent="0.3">
      <c r="P2689" s="35">
        <v>24.26</v>
      </c>
      <c r="Q2689">
        <v>305</v>
      </c>
      <c r="R2689" s="34">
        <f t="shared" si="44"/>
        <v>0.30604577023795398</v>
      </c>
    </row>
    <row r="2690" spans="16:18" x14ac:dyDescent="0.3">
      <c r="P2690" s="35">
        <v>24.27</v>
      </c>
      <c r="Q2690">
        <v>305</v>
      </c>
      <c r="R2690" s="34">
        <f t="shared" si="44"/>
        <v>0.30615962655128653</v>
      </c>
    </row>
    <row r="2691" spans="16:18" x14ac:dyDescent="0.3">
      <c r="P2691" s="35">
        <v>24.27</v>
      </c>
      <c r="Q2691">
        <v>305</v>
      </c>
      <c r="R2691" s="34">
        <f t="shared" si="44"/>
        <v>0.30627348286461908</v>
      </c>
    </row>
    <row r="2692" spans="16:18" x14ac:dyDescent="0.3">
      <c r="P2692" s="35">
        <v>24.27</v>
      </c>
      <c r="Q2692">
        <v>305</v>
      </c>
      <c r="R2692" s="34">
        <f t="shared" ref="R2692:R2755" si="45">R2691+R$2</f>
        <v>0.30638733917795163</v>
      </c>
    </row>
    <row r="2693" spans="16:18" x14ac:dyDescent="0.3">
      <c r="P2693" s="35">
        <v>24.27</v>
      </c>
      <c r="Q2693">
        <v>305</v>
      </c>
      <c r="R2693" s="34">
        <f t="shared" si="45"/>
        <v>0.30650119549128418</v>
      </c>
    </row>
    <row r="2694" spans="16:18" x14ac:dyDescent="0.3">
      <c r="P2694" s="35">
        <v>24.27</v>
      </c>
      <c r="Q2694">
        <v>305</v>
      </c>
      <c r="R2694" s="34">
        <f t="shared" si="45"/>
        <v>0.30661505180461673</v>
      </c>
    </row>
    <row r="2695" spans="16:18" x14ac:dyDescent="0.3">
      <c r="P2695" s="35">
        <v>24.27</v>
      </c>
      <c r="Q2695">
        <v>305</v>
      </c>
      <c r="R2695" s="34">
        <f t="shared" si="45"/>
        <v>0.30672890811794928</v>
      </c>
    </row>
    <row r="2696" spans="16:18" x14ac:dyDescent="0.3">
      <c r="P2696" s="35">
        <v>24.27</v>
      </c>
      <c r="Q2696">
        <v>305</v>
      </c>
      <c r="R2696" s="34">
        <f t="shared" si="45"/>
        <v>0.30684276443128183</v>
      </c>
    </row>
    <row r="2697" spans="16:18" x14ac:dyDescent="0.3">
      <c r="P2697" s="35">
        <v>24.28</v>
      </c>
      <c r="Q2697">
        <v>305</v>
      </c>
      <c r="R2697" s="34">
        <f t="shared" si="45"/>
        <v>0.30695662074461438</v>
      </c>
    </row>
    <row r="2698" spans="16:18" x14ac:dyDescent="0.3">
      <c r="P2698" s="35">
        <v>24.28</v>
      </c>
      <c r="Q2698">
        <v>305</v>
      </c>
      <c r="R2698" s="34">
        <f t="shared" si="45"/>
        <v>0.30707047705794693</v>
      </c>
    </row>
    <row r="2699" spans="16:18" x14ac:dyDescent="0.3">
      <c r="P2699" s="35">
        <v>24.28</v>
      </c>
      <c r="Q2699">
        <v>305</v>
      </c>
      <c r="R2699" s="34">
        <f t="shared" si="45"/>
        <v>0.30718433337127948</v>
      </c>
    </row>
    <row r="2700" spans="16:18" x14ac:dyDescent="0.3">
      <c r="P2700" s="35">
        <v>24.28</v>
      </c>
      <c r="Q2700">
        <v>305</v>
      </c>
      <c r="R2700" s="34">
        <f t="shared" si="45"/>
        <v>0.30729818968461203</v>
      </c>
    </row>
    <row r="2701" spans="16:18" x14ac:dyDescent="0.3">
      <c r="P2701" s="35">
        <v>24.28</v>
      </c>
      <c r="Q2701">
        <v>305</v>
      </c>
      <c r="R2701" s="34">
        <f t="shared" si="45"/>
        <v>0.30741204599794458</v>
      </c>
    </row>
    <row r="2702" spans="16:18" x14ac:dyDescent="0.3">
      <c r="P2702" s="35">
        <v>24.28</v>
      </c>
      <c r="Q2702">
        <v>305</v>
      </c>
      <c r="R2702" s="34">
        <f t="shared" si="45"/>
        <v>0.30752590231127713</v>
      </c>
    </row>
    <row r="2703" spans="16:18" x14ac:dyDescent="0.3">
      <c r="P2703" s="35">
        <v>24.28</v>
      </c>
      <c r="Q2703">
        <v>305</v>
      </c>
      <c r="R2703" s="34">
        <f t="shared" si="45"/>
        <v>0.30763975862460968</v>
      </c>
    </row>
    <row r="2704" spans="16:18" x14ac:dyDescent="0.3">
      <c r="P2704" s="35">
        <v>24.28</v>
      </c>
      <c r="Q2704">
        <v>305</v>
      </c>
      <c r="R2704" s="34">
        <f t="shared" si="45"/>
        <v>0.30775361493794223</v>
      </c>
    </row>
    <row r="2705" spans="16:18" x14ac:dyDescent="0.3">
      <c r="P2705" s="35">
        <v>24.29</v>
      </c>
      <c r="Q2705">
        <v>305</v>
      </c>
      <c r="R2705" s="34">
        <f t="shared" si="45"/>
        <v>0.30786747125127478</v>
      </c>
    </row>
    <row r="2706" spans="16:18" x14ac:dyDescent="0.3">
      <c r="P2706" s="35">
        <v>24.29</v>
      </c>
      <c r="Q2706">
        <v>305</v>
      </c>
      <c r="R2706" s="34">
        <f t="shared" si="45"/>
        <v>0.30798132756460733</v>
      </c>
    </row>
    <row r="2707" spans="16:18" x14ac:dyDescent="0.3">
      <c r="P2707" s="35">
        <v>24.29</v>
      </c>
      <c r="Q2707">
        <v>305</v>
      </c>
      <c r="R2707" s="34">
        <f t="shared" si="45"/>
        <v>0.30809518387793988</v>
      </c>
    </row>
    <row r="2708" spans="16:18" x14ac:dyDescent="0.3">
      <c r="P2708" s="35">
        <v>24.29</v>
      </c>
      <c r="Q2708">
        <v>305</v>
      </c>
      <c r="R2708" s="34">
        <f t="shared" si="45"/>
        <v>0.30820904019127243</v>
      </c>
    </row>
    <row r="2709" spans="16:18" x14ac:dyDescent="0.3">
      <c r="P2709" s="35">
        <v>24.29</v>
      </c>
      <c r="Q2709">
        <v>305</v>
      </c>
      <c r="R2709" s="34">
        <f t="shared" si="45"/>
        <v>0.30832289650460498</v>
      </c>
    </row>
    <row r="2710" spans="16:18" x14ac:dyDescent="0.3">
      <c r="P2710" s="35">
        <v>24.3</v>
      </c>
      <c r="Q2710">
        <v>305</v>
      </c>
      <c r="R2710" s="34">
        <f t="shared" si="45"/>
        <v>0.30843675281793753</v>
      </c>
    </row>
    <row r="2711" spans="16:18" x14ac:dyDescent="0.3">
      <c r="P2711" s="35">
        <v>24.3</v>
      </c>
      <c r="Q2711">
        <v>305</v>
      </c>
      <c r="R2711" s="34">
        <f t="shared" si="45"/>
        <v>0.30855060913127008</v>
      </c>
    </row>
    <row r="2712" spans="16:18" x14ac:dyDescent="0.3">
      <c r="P2712" s="35">
        <v>24.3</v>
      </c>
      <c r="Q2712">
        <v>305</v>
      </c>
      <c r="R2712" s="34">
        <f t="shared" si="45"/>
        <v>0.30866446544460263</v>
      </c>
    </row>
    <row r="2713" spans="16:18" x14ac:dyDescent="0.3">
      <c r="P2713" s="35">
        <v>24.3</v>
      </c>
      <c r="Q2713">
        <v>305</v>
      </c>
      <c r="R2713" s="34">
        <f t="shared" si="45"/>
        <v>0.30877832175793518</v>
      </c>
    </row>
    <row r="2714" spans="16:18" x14ac:dyDescent="0.3">
      <c r="P2714" s="35">
        <v>24.3</v>
      </c>
      <c r="Q2714">
        <v>305</v>
      </c>
      <c r="R2714" s="34">
        <f t="shared" si="45"/>
        <v>0.30889217807126773</v>
      </c>
    </row>
    <row r="2715" spans="16:18" x14ac:dyDescent="0.3">
      <c r="P2715" s="35">
        <v>24.31</v>
      </c>
      <c r="Q2715">
        <v>305</v>
      </c>
      <c r="R2715" s="34">
        <f t="shared" si="45"/>
        <v>0.30900603438460028</v>
      </c>
    </row>
    <row r="2716" spans="16:18" x14ac:dyDescent="0.3">
      <c r="P2716" s="35">
        <v>24.32</v>
      </c>
      <c r="Q2716">
        <v>305</v>
      </c>
      <c r="R2716" s="34">
        <f t="shared" si="45"/>
        <v>0.30911989069793283</v>
      </c>
    </row>
    <row r="2717" spans="16:18" x14ac:dyDescent="0.3">
      <c r="P2717" s="35">
        <v>24.32</v>
      </c>
      <c r="Q2717">
        <v>305</v>
      </c>
      <c r="R2717" s="34">
        <f t="shared" si="45"/>
        <v>0.30923374701126538</v>
      </c>
    </row>
    <row r="2718" spans="16:18" x14ac:dyDescent="0.3">
      <c r="P2718" s="35">
        <v>24.32</v>
      </c>
      <c r="Q2718">
        <v>305</v>
      </c>
      <c r="R2718" s="34">
        <f t="shared" si="45"/>
        <v>0.30934760332459793</v>
      </c>
    </row>
    <row r="2719" spans="16:18" x14ac:dyDescent="0.3">
      <c r="P2719" s="35">
        <v>24.32</v>
      </c>
      <c r="Q2719">
        <v>305</v>
      </c>
      <c r="R2719" s="34">
        <f t="shared" si="45"/>
        <v>0.30946145963793048</v>
      </c>
    </row>
    <row r="2720" spans="16:18" x14ac:dyDescent="0.3">
      <c r="P2720" s="35">
        <v>24.32</v>
      </c>
      <c r="Q2720">
        <v>305</v>
      </c>
      <c r="R2720" s="34">
        <f t="shared" si="45"/>
        <v>0.30957531595126303</v>
      </c>
    </row>
    <row r="2721" spans="16:18" x14ac:dyDescent="0.3">
      <c r="P2721" s="35">
        <v>24.33</v>
      </c>
      <c r="Q2721">
        <v>305</v>
      </c>
      <c r="R2721" s="34">
        <f t="shared" si="45"/>
        <v>0.30968917226459558</v>
      </c>
    </row>
    <row r="2722" spans="16:18" x14ac:dyDescent="0.3">
      <c r="P2722" s="35">
        <v>24.34</v>
      </c>
      <c r="Q2722">
        <v>305</v>
      </c>
      <c r="R2722" s="34">
        <f t="shared" si="45"/>
        <v>0.30980302857792813</v>
      </c>
    </row>
    <row r="2723" spans="16:18" x14ac:dyDescent="0.3">
      <c r="P2723" s="35">
        <v>24.34</v>
      </c>
      <c r="Q2723">
        <v>305</v>
      </c>
      <c r="R2723" s="34">
        <f t="shared" si="45"/>
        <v>0.30991688489126068</v>
      </c>
    </row>
    <row r="2724" spans="16:18" x14ac:dyDescent="0.3">
      <c r="P2724" s="35">
        <v>24.34</v>
      </c>
      <c r="Q2724">
        <v>305</v>
      </c>
      <c r="R2724" s="34">
        <f t="shared" si="45"/>
        <v>0.31003074120459323</v>
      </c>
    </row>
    <row r="2725" spans="16:18" x14ac:dyDescent="0.3">
      <c r="P2725" s="35">
        <v>24.34</v>
      </c>
      <c r="Q2725">
        <v>305</v>
      </c>
      <c r="R2725" s="34">
        <f t="shared" si="45"/>
        <v>0.31014459751792578</v>
      </c>
    </row>
    <row r="2726" spans="16:18" x14ac:dyDescent="0.3">
      <c r="P2726" s="35">
        <v>24.34</v>
      </c>
      <c r="Q2726">
        <v>305</v>
      </c>
      <c r="R2726" s="34">
        <f t="shared" si="45"/>
        <v>0.31025845383125833</v>
      </c>
    </row>
    <row r="2727" spans="16:18" x14ac:dyDescent="0.3">
      <c r="P2727" s="35">
        <v>24.34</v>
      </c>
      <c r="Q2727">
        <v>305</v>
      </c>
      <c r="R2727" s="34">
        <f t="shared" si="45"/>
        <v>0.31037231014459088</v>
      </c>
    </row>
    <row r="2728" spans="16:18" x14ac:dyDescent="0.3">
      <c r="P2728" s="35">
        <v>24.34</v>
      </c>
      <c r="Q2728">
        <v>305</v>
      </c>
      <c r="R2728" s="34">
        <f t="shared" si="45"/>
        <v>0.31048616645792343</v>
      </c>
    </row>
    <row r="2729" spans="16:18" x14ac:dyDescent="0.3">
      <c r="P2729" s="35">
        <v>24.35</v>
      </c>
      <c r="Q2729">
        <v>305</v>
      </c>
      <c r="R2729" s="34">
        <f t="shared" si="45"/>
        <v>0.31060002277125598</v>
      </c>
    </row>
    <row r="2730" spans="16:18" x14ac:dyDescent="0.3">
      <c r="P2730" s="35">
        <v>24.35</v>
      </c>
      <c r="Q2730">
        <v>305</v>
      </c>
      <c r="R2730" s="34">
        <f t="shared" si="45"/>
        <v>0.31071387908458853</v>
      </c>
    </row>
    <row r="2731" spans="16:18" x14ac:dyDescent="0.3">
      <c r="P2731" s="35">
        <v>24.35</v>
      </c>
      <c r="Q2731">
        <v>305</v>
      </c>
      <c r="R2731" s="34">
        <f t="shared" si="45"/>
        <v>0.31082773539792108</v>
      </c>
    </row>
    <row r="2732" spans="16:18" x14ac:dyDescent="0.3">
      <c r="P2732" s="35">
        <v>24.35</v>
      </c>
      <c r="Q2732">
        <v>305</v>
      </c>
      <c r="R2732" s="34">
        <f t="shared" si="45"/>
        <v>0.31094159171125363</v>
      </c>
    </row>
    <row r="2733" spans="16:18" x14ac:dyDescent="0.3">
      <c r="P2733" s="35">
        <v>24.35</v>
      </c>
      <c r="Q2733">
        <v>305</v>
      </c>
      <c r="R2733" s="34">
        <f t="shared" si="45"/>
        <v>0.31105544802458618</v>
      </c>
    </row>
    <row r="2734" spans="16:18" x14ac:dyDescent="0.3">
      <c r="P2734" s="35">
        <v>24.35</v>
      </c>
      <c r="Q2734">
        <v>305</v>
      </c>
      <c r="R2734" s="34">
        <f t="shared" si="45"/>
        <v>0.31116930433791873</v>
      </c>
    </row>
    <row r="2735" spans="16:18" x14ac:dyDescent="0.3">
      <c r="P2735" s="35">
        <v>24.35</v>
      </c>
      <c r="Q2735">
        <v>305</v>
      </c>
      <c r="R2735" s="34">
        <f t="shared" si="45"/>
        <v>0.31128316065125128</v>
      </c>
    </row>
    <row r="2736" spans="16:18" x14ac:dyDescent="0.3">
      <c r="P2736" s="35">
        <v>24.37</v>
      </c>
      <c r="Q2736">
        <v>305</v>
      </c>
      <c r="R2736" s="34">
        <f t="shared" si="45"/>
        <v>0.31139701696458383</v>
      </c>
    </row>
    <row r="2737" spans="16:18" x14ac:dyDescent="0.3">
      <c r="P2737" s="35">
        <v>24.37</v>
      </c>
      <c r="Q2737">
        <v>305</v>
      </c>
      <c r="R2737" s="34">
        <f t="shared" si="45"/>
        <v>0.31151087327791638</v>
      </c>
    </row>
    <row r="2738" spans="16:18" x14ac:dyDescent="0.3">
      <c r="P2738" s="35">
        <v>24.38</v>
      </c>
      <c r="Q2738">
        <v>305</v>
      </c>
      <c r="R2738" s="34">
        <f t="shared" si="45"/>
        <v>0.31162472959124893</v>
      </c>
    </row>
    <row r="2739" spans="16:18" x14ac:dyDescent="0.3">
      <c r="P2739" s="35">
        <v>24.38</v>
      </c>
      <c r="Q2739">
        <v>305</v>
      </c>
      <c r="R2739" s="34">
        <f t="shared" si="45"/>
        <v>0.31173858590458148</v>
      </c>
    </row>
    <row r="2740" spans="16:18" x14ac:dyDescent="0.3">
      <c r="P2740" s="35">
        <v>24.38</v>
      </c>
      <c r="Q2740">
        <v>305</v>
      </c>
      <c r="R2740" s="34">
        <f t="shared" si="45"/>
        <v>0.31185244221791403</v>
      </c>
    </row>
    <row r="2741" spans="16:18" x14ac:dyDescent="0.3">
      <c r="P2741" s="35">
        <v>24.38</v>
      </c>
      <c r="Q2741">
        <v>305</v>
      </c>
      <c r="R2741" s="34">
        <f t="shared" si="45"/>
        <v>0.31196629853124658</v>
      </c>
    </row>
    <row r="2742" spans="16:18" x14ac:dyDescent="0.3">
      <c r="P2742" s="35">
        <v>24.38</v>
      </c>
      <c r="Q2742">
        <v>305</v>
      </c>
      <c r="R2742" s="34">
        <f t="shared" si="45"/>
        <v>0.31208015484457913</v>
      </c>
    </row>
    <row r="2743" spans="16:18" x14ac:dyDescent="0.3">
      <c r="P2743" s="35">
        <v>24.39</v>
      </c>
      <c r="Q2743">
        <v>305</v>
      </c>
      <c r="R2743" s="34">
        <f t="shared" si="45"/>
        <v>0.31219401115791168</v>
      </c>
    </row>
    <row r="2744" spans="16:18" x14ac:dyDescent="0.3">
      <c r="P2744" s="35">
        <v>24.39</v>
      </c>
      <c r="Q2744">
        <v>305</v>
      </c>
      <c r="R2744" s="34">
        <f t="shared" si="45"/>
        <v>0.31230786747124423</v>
      </c>
    </row>
    <row r="2745" spans="16:18" x14ac:dyDescent="0.3">
      <c r="P2745" s="35">
        <v>24.4</v>
      </c>
      <c r="Q2745">
        <v>305</v>
      </c>
      <c r="R2745" s="34">
        <f t="shared" si="45"/>
        <v>0.31242172378457678</v>
      </c>
    </row>
    <row r="2746" spans="16:18" x14ac:dyDescent="0.3">
      <c r="P2746" s="35">
        <v>24.4</v>
      </c>
      <c r="Q2746">
        <v>305</v>
      </c>
      <c r="R2746" s="34">
        <f t="shared" si="45"/>
        <v>0.31253558009790933</v>
      </c>
    </row>
    <row r="2747" spans="16:18" x14ac:dyDescent="0.3">
      <c r="P2747" s="35">
        <v>24.41</v>
      </c>
      <c r="Q2747">
        <v>305</v>
      </c>
      <c r="R2747" s="34">
        <f t="shared" si="45"/>
        <v>0.31264943641124188</v>
      </c>
    </row>
    <row r="2748" spans="16:18" x14ac:dyDescent="0.3">
      <c r="P2748" s="35">
        <v>24.41</v>
      </c>
      <c r="Q2748">
        <v>305</v>
      </c>
      <c r="R2748" s="34">
        <f t="shared" si="45"/>
        <v>0.31276329272457443</v>
      </c>
    </row>
    <row r="2749" spans="16:18" x14ac:dyDescent="0.3">
      <c r="P2749" s="35">
        <v>24.41</v>
      </c>
      <c r="Q2749">
        <v>305</v>
      </c>
      <c r="R2749" s="34">
        <f t="shared" si="45"/>
        <v>0.31287714903790698</v>
      </c>
    </row>
    <row r="2750" spans="16:18" x14ac:dyDescent="0.3">
      <c r="P2750" s="35">
        <v>24.41</v>
      </c>
      <c r="Q2750">
        <v>305</v>
      </c>
      <c r="R2750" s="34">
        <f t="shared" si="45"/>
        <v>0.31299100535123953</v>
      </c>
    </row>
    <row r="2751" spans="16:18" x14ac:dyDescent="0.3">
      <c r="P2751" s="35">
        <v>24.41</v>
      </c>
      <c r="Q2751">
        <v>305</v>
      </c>
      <c r="R2751" s="34">
        <f t="shared" si="45"/>
        <v>0.31310486166457208</v>
      </c>
    </row>
    <row r="2752" spans="16:18" x14ac:dyDescent="0.3">
      <c r="P2752" s="35">
        <v>24.41</v>
      </c>
      <c r="Q2752">
        <v>305</v>
      </c>
      <c r="R2752" s="34">
        <f t="shared" si="45"/>
        <v>0.31321871797790463</v>
      </c>
    </row>
    <row r="2753" spans="16:18" x14ac:dyDescent="0.3">
      <c r="P2753" s="35">
        <v>24.42</v>
      </c>
      <c r="Q2753">
        <v>305</v>
      </c>
      <c r="R2753" s="34">
        <f t="shared" si="45"/>
        <v>0.31333257429123718</v>
      </c>
    </row>
    <row r="2754" spans="16:18" x14ac:dyDescent="0.3">
      <c r="P2754" s="35">
        <v>24.42</v>
      </c>
      <c r="Q2754">
        <v>305</v>
      </c>
      <c r="R2754" s="34">
        <f t="shared" si="45"/>
        <v>0.31344643060456973</v>
      </c>
    </row>
    <row r="2755" spans="16:18" x14ac:dyDescent="0.3">
      <c r="P2755" s="35">
        <v>24.42</v>
      </c>
      <c r="Q2755">
        <v>305</v>
      </c>
      <c r="R2755" s="34">
        <f t="shared" si="45"/>
        <v>0.31356028691790228</v>
      </c>
    </row>
    <row r="2756" spans="16:18" x14ac:dyDescent="0.3">
      <c r="P2756" s="35">
        <v>24.42</v>
      </c>
      <c r="Q2756">
        <v>305</v>
      </c>
      <c r="R2756" s="34">
        <f t="shared" ref="R2756:R2819" si="46">R2755+R$2</f>
        <v>0.31367414323123483</v>
      </c>
    </row>
    <row r="2757" spans="16:18" x14ac:dyDescent="0.3">
      <c r="P2757" s="35">
        <v>24.43</v>
      </c>
      <c r="Q2757">
        <v>305</v>
      </c>
      <c r="R2757" s="34">
        <f t="shared" si="46"/>
        <v>0.31378799954456738</v>
      </c>
    </row>
    <row r="2758" spans="16:18" x14ac:dyDescent="0.3">
      <c r="P2758" s="35">
        <v>24.44</v>
      </c>
      <c r="Q2758">
        <v>305</v>
      </c>
      <c r="R2758" s="34">
        <f t="shared" si="46"/>
        <v>0.31390185585789993</v>
      </c>
    </row>
    <row r="2759" spans="16:18" x14ac:dyDescent="0.3">
      <c r="P2759" s="35">
        <v>24.44</v>
      </c>
      <c r="Q2759">
        <v>305</v>
      </c>
      <c r="R2759" s="34">
        <f t="shared" si="46"/>
        <v>0.31401571217123248</v>
      </c>
    </row>
    <row r="2760" spans="16:18" x14ac:dyDescent="0.3">
      <c r="P2760" s="35">
        <v>24.44</v>
      </c>
      <c r="Q2760">
        <v>305</v>
      </c>
      <c r="R2760" s="34">
        <f t="shared" si="46"/>
        <v>0.31412956848456502</v>
      </c>
    </row>
    <row r="2761" spans="16:18" x14ac:dyDescent="0.3">
      <c r="P2761" s="35">
        <v>24.45</v>
      </c>
      <c r="Q2761">
        <v>305</v>
      </c>
      <c r="R2761" s="34">
        <f t="shared" si="46"/>
        <v>0.31424342479789757</v>
      </c>
    </row>
    <row r="2762" spans="16:18" x14ac:dyDescent="0.3">
      <c r="P2762" s="35">
        <v>24.45</v>
      </c>
      <c r="Q2762">
        <v>305</v>
      </c>
      <c r="R2762" s="34">
        <f t="shared" si="46"/>
        <v>0.31435728111123012</v>
      </c>
    </row>
    <row r="2763" spans="16:18" x14ac:dyDescent="0.3">
      <c r="P2763" s="35">
        <v>24.46</v>
      </c>
      <c r="Q2763">
        <v>305</v>
      </c>
      <c r="R2763" s="34">
        <f t="shared" si="46"/>
        <v>0.31447113742456267</v>
      </c>
    </row>
    <row r="2764" spans="16:18" x14ac:dyDescent="0.3">
      <c r="P2764" s="35">
        <v>24.46</v>
      </c>
      <c r="Q2764">
        <v>305</v>
      </c>
      <c r="R2764" s="34">
        <f t="shared" si="46"/>
        <v>0.31458499373789522</v>
      </c>
    </row>
    <row r="2765" spans="16:18" x14ac:dyDescent="0.3">
      <c r="P2765" s="35">
        <v>24.47</v>
      </c>
      <c r="Q2765">
        <v>305</v>
      </c>
      <c r="R2765" s="34">
        <f t="shared" si="46"/>
        <v>0.31469885005122777</v>
      </c>
    </row>
    <row r="2766" spans="16:18" x14ac:dyDescent="0.3">
      <c r="P2766" s="35">
        <v>24.47</v>
      </c>
      <c r="Q2766">
        <v>305</v>
      </c>
      <c r="R2766" s="34">
        <f t="shared" si="46"/>
        <v>0.31481270636456032</v>
      </c>
    </row>
    <row r="2767" spans="16:18" x14ac:dyDescent="0.3">
      <c r="P2767" s="35">
        <v>24.47</v>
      </c>
      <c r="Q2767">
        <v>305</v>
      </c>
      <c r="R2767" s="34">
        <f t="shared" si="46"/>
        <v>0.31492656267789287</v>
      </c>
    </row>
    <row r="2768" spans="16:18" x14ac:dyDescent="0.3">
      <c r="P2768" s="35">
        <v>24.48</v>
      </c>
      <c r="Q2768">
        <v>305</v>
      </c>
      <c r="R2768" s="34">
        <f t="shared" si="46"/>
        <v>0.31504041899122542</v>
      </c>
    </row>
    <row r="2769" spans="16:18" x14ac:dyDescent="0.3">
      <c r="P2769" s="35">
        <v>24.49</v>
      </c>
      <c r="Q2769">
        <v>305</v>
      </c>
      <c r="R2769" s="34">
        <f t="shared" si="46"/>
        <v>0.31515427530455797</v>
      </c>
    </row>
    <row r="2770" spans="16:18" x14ac:dyDescent="0.3">
      <c r="P2770" s="35">
        <v>24.49</v>
      </c>
      <c r="Q2770">
        <v>305</v>
      </c>
      <c r="R2770" s="34">
        <f t="shared" si="46"/>
        <v>0.31526813161789052</v>
      </c>
    </row>
    <row r="2771" spans="16:18" x14ac:dyDescent="0.3">
      <c r="P2771" s="35">
        <v>24.5</v>
      </c>
      <c r="Q2771">
        <v>305</v>
      </c>
      <c r="R2771" s="34">
        <f t="shared" si="46"/>
        <v>0.31538198793122307</v>
      </c>
    </row>
    <row r="2772" spans="16:18" x14ac:dyDescent="0.3">
      <c r="P2772" s="35">
        <v>24.5</v>
      </c>
      <c r="Q2772">
        <v>305</v>
      </c>
      <c r="R2772" s="34">
        <f t="shared" si="46"/>
        <v>0.31549584424455562</v>
      </c>
    </row>
    <row r="2773" spans="16:18" x14ac:dyDescent="0.3">
      <c r="P2773" s="35">
        <v>24.51</v>
      </c>
      <c r="Q2773">
        <v>305</v>
      </c>
      <c r="R2773" s="34">
        <f t="shared" si="46"/>
        <v>0.31560970055788817</v>
      </c>
    </row>
    <row r="2774" spans="16:18" x14ac:dyDescent="0.3">
      <c r="P2774" s="35">
        <v>24.51</v>
      </c>
      <c r="Q2774">
        <v>305</v>
      </c>
      <c r="R2774" s="34">
        <f t="shared" si="46"/>
        <v>0.31572355687122072</v>
      </c>
    </row>
    <row r="2775" spans="16:18" x14ac:dyDescent="0.3">
      <c r="P2775" s="35">
        <v>24.51</v>
      </c>
      <c r="Q2775">
        <v>305</v>
      </c>
      <c r="R2775" s="34">
        <f t="shared" si="46"/>
        <v>0.31583741318455327</v>
      </c>
    </row>
    <row r="2776" spans="16:18" x14ac:dyDescent="0.3">
      <c r="P2776" s="35">
        <v>24.51</v>
      </c>
      <c r="Q2776">
        <v>305</v>
      </c>
      <c r="R2776" s="34">
        <f t="shared" si="46"/>
        <v>0.31595126949788582</v>
      </c>
    </row>
    <row r="2777" spans="16:18" x14ac:dyDescent="0.3">
      <c r="P2777" s="35">
        <v>24.51</v>
      </c>
      <c r="Q2777">
        <v>305</v>
      </c>
      <c r="R2777" s="34">
        <f t="shared" si="46"/>
        <v>0.31606512581121837</v>
      </c>
    </row>
    <row r="2778" spans="16:18" x14ac:dyDescent="0.3">
      <c r="P2778" s="35">
        <v>24.52</v>
      </c>
      <c r="Q2778">
        <v>305</v>
      </c>
      <c r="R2778" s="34">
        <f t="shared" si="46"/>
        <v>0.31617898212455092</v>
      </c>
    </row>
    <row r="2779" spans="16:18" x14ac:dyDescent="0.3">
      <c r="P2779" s="35">
        <v>24.52</v>
      </c>
      <c r="Q2779">
        <v>305</v>
      </c>
      <c r="R2779" s="34">
        <f t="shared" si="46"/>
        <v>0.31629283843788347</v>
      </c>
    </row>
    <row r="2780" spans="16:18" x14ac:dyDescent="0.3">
      <c r="P2780" s="35">
        <v>24.52</v>
      </c>
      <c r="Q2780">
        <v>305</v>
      </c>
      <c r="R2780" s="34">
        <f t="shared" si="46"/>
        <v>0.31640669475121602</v>
      </c>
    </row>
    <row r="2781" spans="16:18" x14ac:dyDescent="0.3">
      <c r="P2781" s="35">
        <v>24.52</v>
      </c>
      <c r="Q2781">
        <v>305</v>
      </c>
      <c r="R2781" s="34">
        <f t="shared" si="46"/>
        <v>0.31652055106454857</v>
      </c>
    </row>
    <row r="2782" spans="16:18" x14ac:dyDescent="0.3">
      <c r="P2782" s="35">
        <v>24.53</v>
      </c>
      <c r="Q2782">
        <v>305</v>
      </c>
      <c r="R2782" s="34">
        <f t="shared" si="46"/>
        <v>0.31663440737788112</v>
      </c>
    </row>
    <row r="2783" spans="16:18" x14ac:dyDescent="0.3">
      <c r="P2783" s="35">
        <v>24.53</v>
      </c>
      <c r="Q2783">
        <v>305</v>
      </c>
      <c r="R2783" s="34">
        <f t="shared" si="46"/>
        <v>0.31674826369121367</v>
      </c>
    </row>
    <row r="2784" spans="16:18" x14ac:dyDescent="0.3">
      <c r="P2784" s="35">
        <v>24.54</v>
      </c>
      <c r="Q2784">
        <v>305</v>
      </c>
      <c r="R2784" s="34">
        <f t="shared" si="46"/>
        <v>0.31686212000454622</v>
      </c>
    </row>
    <row r="2785" spans="16:18" x14ac:dyDescent="0.3">
      <c r="P2785" s="35">
        <v>24.54</v>
      </c>
      <c r="Q2785">
        <v>305</v>
      </c>
      <c r="R2785" s="34">
        <f t="shared" si="46"/>
        <v>0.31697597631787877</v>
      </c>
    </row>
    <row r="2786" spans="16:18" x14ac:dyDescent="0.3">
      <c r="P2786" s="35">
        <v>24.55</v>
      </c>
      <c r="Q2786">
        <v>305</v>
      </c>
      <c r="R2786" s="34">
        <f t="shared" si="46"/>
        <v>0.31708983263121132</v>
      </c>
    </row>
    <row r="2787" spans="16:18" x14ac:dyDescent="0.3">
      <c r="P2787" s="35">
        <v>24.55</v>
      </c>
      <c r="Q2787">
        <v>305</v>
      </c>
      <c r="R2787" s="34">
        <f t="shared" si="46"/>
        <v>0.31720368894454387</v>
      </c>
    </row>
    <row r="2788" spans="16:18" x14ac:dyDescent="0.3">
      <c r="P2788" s="35">
        <v>24.55</v>
      </c>
      <c r="Q2788">
        <v>305</v>
      </c>
      <c r="R2788" s="34">
        <f t="shared" si="46"/>
        <v>0.31731754525787642</v>
      </c>
    </row>
    <row r="2789" spans="16:18" x14ac:dyDescent="0.3">
      <c r="P2789" s="35">
        <v>24.55</v>
      </c>
      <c r="Q2789">
        <v>305</v>
      </c>
      <c r="R2789" s="34">
        <f t="shared" si="46"/>
        <v>0.31743140157120897</v>
      </c>
    </row>
    <row r="2790" spans="16:18" x14ac:dyDescent="0.3">
      <c r="P2790" s="35">
        <v>24.56</v>
      </c>
      <c r="Q2790">
        <v>305</v>
      </c>
      <c r="R2790" s="34">
        <f t="shared" si="46"/>
        <v>0.31754525788454152</v>
      </c>
    </row>
    <row r="2791" spans="16:18" x14ac:dyDescent="0.3">
      <c r="P2791" s="35">
        <v>24.56</v>
      </c>
      <c r="Q2791">
        <v>305</v>
      </c>
      <c r="R2791" s="34">
        <f t="shared" si="46"/>
        <v>0.31765911419787407</v>
      </c>
    </row>
    <row r="2792" spans="16:18" x14ac:dyDescent="0.3">
      <c r="P2792" s="35">
        <v>24.56</v>
      </c>
      <c r="Q2792">
        <v>305</v>
      </c>
      <c r="R2792" s="34">
        <f t="shared" si="46"/>
        <v>0.31777297051120662</v>
      </c>
    </row>
    <row r="2793" spans="16:18" x14ac:dyDescent="0.3">
      <c r="P2793" s="35">
        <v>24.56</v>
      </c>
      <c r="Q2793">
        <v>305</v>
      </c>
      <c r="R2793" s="34">
        <f t="shared" si="46"/>
        <v>0.31788682682453917</v>
      </c>
    </row>
    <row r="2794" spans="16:18" x14ac:dyDescent="0.3">
      <c r="P2794" s="35">
        <v>24.56</v>
      </c>
      <c r="Q2794">
        <v>305</v>
      </c>
      <c r="R2794" s="34">
        <f t="shared" si="46"/>
        <v>0.31800068313787172</v>
      </c>
    </row>
    <row r="2795" spans="16:18" x14ac:dyDescent="0.3">
      <c r="P2795" s="35">
        <v>24.56</v>
      </c>
      <c r="Q2795">
        <v>305</v>
      </c>
      <c r="R2795" s="34">
        <f t="shared" si="46"/>
        <v>0.31811453945120427</v>
      </c>
    </row>
    <row r="2796" spans="16:18" x14ac:dyDescent="0.3">
      <c r="P2796" s="35">
        <v>24.56</v>
      </c>
      <c r="Q2796">
        <v>305</v>
      </c>
      <c r="R2796" s="34">
        <f t="shared" si="46"/>
        <v>0.31822839576453682</v>
      </c>
    </row>
    <row r="2797" spans="16:18" x14ac:dyDescent="0.3">
      <c r="P2797" s="35">
        <v>24.57</v>
      </c>
      <c r="Q2797">
        <v>305</v>
      </c>
      <c r="R2797" s="34">
        <f t="shared" si="46"/>
        <v>0.31834225207786937</v>
      </c>
    </row>
    <row r="2798" spans="16:18" x14ac:dyDescent="0.3">
      <c r="P2798" s="35">
        <v>24.57</v>
      </c>
      <c r="Q2798">
        <v>305</v>
      </c>
      <c r="R2798" s="34">
        <f t="shared" si="46"/>
        <v>0.31845610839120192</v>
      </c>
    </row>
    <row r="2799" spans="16:18" x14ac:dyDescent="0.3">
      <c r="P2799" s="35">
        <v>24.58</v>
      </c>
      <c r="Q2799">
        <v>305</v>
      </c>
      <c r="R2799" s="34">
        <f t="shared" si="46"/>
        <v>0.31856996470453447</v>
      </c>
    </row>
    <row r="2800" spans="16:18" x14ac:dyDescent="0.3">
      <c r="P2800" s="35">
        <v>24.58</v>
      </c>
      <c r="Q2800">
        <v>305</v>
      </c>
      <c r="R2800" s="34">
        <f t="shared" si="46"/>
        <v>0.31868382101786702</v>
      </c>
    </row>
    <row r="2801" spans="16:18" x14ac:dyDescent="0.3">
      <c r="P2801" s="35">
        <v>24.58</v>
      </c>
      <c r="Q2801">
        <v>305</v>
      </c>
      <c r="R2801" s="34">
        <f t="shared" si="46"/>
        <v>0.31879767733119957</v>
      </c>
    </row>
    <row r="2802" spans="16:18" x14ac:dyDescent="0.3">
      <c r="P2802" s="35">
        <v>24.58</v>
      </c>
      <c r="Q2802">
        <v>305</v>
      </c>
      <c r="R2802" s="34">
        <f t="shared" si="46"/>
        <v>0.31891153364453212</v>
      </c>
    </row>
    <row r="2803" spans="16:18" x14ac:dyDescent="0.3">
      <c r="P2803" s="35">
        <v>24.58</v>
      </c>
      <c r="Q2803">
        <v>305</v>
      </c>
      <c r="R2803" s="34">
        <f t="shared" si="46"/>
        <v>0.31902538995786467</v>
      </c>
    </row>
    <row r="2804" spans="16:18" x14ac:dyDescent="0.3">
      <c r="P2804" s="35">
        <v>24.58</v>
      </c>
      <c r="Q2804">
        <v>305</v>
      </c>
      <c r="R2804" s="34">
        <f t="shared" si="46"/>
        <v>0.31913924627119722</v>
      </c>
    </row>
    <row r="2805" spans="16:18" x14ac:dyDescent="0.3">
      <c r="P2805" s="35">
        <v>24.58</v>
      </c>
      <c r="Q2805">
        <v>305</v>
      </c>
      <c r="R2805" s="34">
        <f t="shared" si="46"/>
        <v>0.31925310258452977</v>
      </c>
    </row>
    <row r="2806" spans="16:18" x14ac:dyDescent="0.3">
      <c r="P2806" s="35">
        <v>24.58</v>
      </c>
      <c r="Q2806">
        <v>305</v>
      </c>
      <c r="R2806" s="34">
        <f t="shared" si="46"/>
        <v>0.31936695889786232</v>
      </c>
    </row>
    <row r="2807" spans="16:18" x14ac:dyDescent="0.3">
      <c r="P2807" s="35">
        <v>24.59</v>
      </c>
      <c r="Q2807">
        <v>305</v>
      </c>
      <c r="R2807" s="34">
        <f t="shared" si="46"/>
        <v>0.31948081521119487</v>
      </c>
    </row>
    <row r="2808" spans="16:18" x14ac:dyDescent="0.3">
      <c r="P2808" s="35">
        <v>24.59</v>
      </c>
      <c r="Q2808">
        <v>305</v>
      </c>
      <c r="R2808" s="34">
        <f t="shared" si="46"/>
        <v>0.31959467152452742</v>
      </c>
    </row>
    <row r="2809" spans="16:18" x14ac:dyDescent="0.3">
      <c r="P2809" s="35">
        <v>24.59</v>
      </c>
      <c r="Q2809">
        <v>305</v>
      </c>
      <c r="R2809" s="34">
        <f t="shared" si="46"/>
        <v>0.31970852783785997</v>
      </c>
    </row>
    <row r="2810" spans="16:18" x14ac:dyDescent="0.3">
      <c r="P2810" s="35">
        <v>24.59</v>
      </c>
      <c r="Q2810">
        <v>305</v>
      </c>
      <c r="R2810" s="34">
        <f t="shared" si="46"/>
        <v>0.31982238415119252</v>
      </c>
    </row>
    <row r="2811" spans="16:18" x14ac:dyDescent="0.3">
      <c r="P2811" s="35">
        <v>24.59</v>
      </c>
      <c r="Q2811">
        <v>305</v>
      </c>
      <c r="R2811" s="34">
        <f t="shared" si="46"/>
        <v>0.31993624046452507</v>
      </c>
    </row>
    <row r="2812" spans="16:18" x14ac:dyDescent="0.3">
      <c r="P2812" s="35">
        <v>24.6</v>
      </c>
      <c r="Q2812">
        <v>305</v>
      </c>
      <c r="R2812" s="34">
        <f t="shared" si="46"/>
        <v>0.32005009677785762</v>
      </c>
    </row>
    <row r="2813" spans="16:18" x14ac:dyDescent="0.3">
      <c r="P2813" s="35">
        <v>24.6</v>
      </c>
      <c r="Q2813">
        <v>305</v>
      </c>
      <c r="R2813" s="34">
        <f t="shared" si="46"/>
        <v>0.32016395309119017</v>
      </c>
    </row>
    <row r="2814" spans="16:18" x14ac:dyDescent="0.3">
      <c r="P2814" s="35">
        <v>24.61</v>
      </c>
      <c r="Q2814">
        <v>305</v>
      </c>
      <c r="R2814" s="34">
        <f t="shared" si="46"/>
        <v>0.32027780940452272</v>
      </c>
    </row>
    <row r="2815" spans="16:18" x14ac:dyDescent="0.3">
      <c r="P2815" s="35">
        <v>24.61</v>
      </c>
      <c r="Q2815">
        <v>305</v>
      </c>
      <c r="R2815" s="34">
        <f t="shared" si="46"/>
        <v>0.32039166571785527</v>
      </c>
    </row>
    <row r="2816" spans="16:18" x14ac:dyDescent="0.3">
      <c r="P2816" s="35">
        <v>24.61</v>
      </c>
      <c r="Q2816">
        <v>305</v>
      </c>
      <c r="R2816" s="34">
        <f t="shared" si="46"/>
        <v>0.32050552203118782</v>
      </c>
    </row>
    <row r="2817" spans="16:18" x14ac:dyDescent="0.3">
      <c r="P2817" s="35">
        <v>24.61</v>
      </c>
      <c r="Q2817">
        <v>305</v>
      </c>
      <c r="R2817" s="34">
        <f t="shared" si="46"/>
        <v>0.32061937834452037</v>
      </c>
    </row>
    <row r="2818" spans="16:18" x14ac:dyDescent="0.3">
      <c r="P2818" s="35">
        <v>24.61</v>
      </c>
      <c r="Q2818">
        <v>305</v>
      </c>
      <c r="R2818" s="34">
        <f t="shared" si="46"/>
        <v>0.32073323465785292</v>
      </c>
    </row>
    <row r="2819" spans="16:18" x14ac:dyDescent="0.3">
      <c r="P2819" s="35">
        <v>24.61</v>
      </c>
      <c r="Q2819">
        <v>305</v>
      </c>
      <c r="R2819" s="34">
        <f t="shared" si="46"/>
        <v>0.32084709097118547</v>
      </c>
    </row>
    <row r="2820" spans="16:18" x14ac:dyDescent="0.3">
      <c r="P2820" s="35">
        <v>24.61</v>
      </c>
      <c r="Q2820">
        <v>305</v>
      </c>
      <c r="R2820" s="34">
        <f t="shared" ref="R2820:R2883" si="47">R2819+R$2</f>
        <v>0.32096094728451802</v>
      </c>
    </row>
    <row r="2821" spans="16:18" x14ac:dyDescent="0.3">
      <c r="P2821" s="35">
        <v>24.62</v>
      </c>
      <c r="Q2821">
        <v>305</v>
      </c>
      <c r="R2821" s="34">
        <f t="shared" si="47"/>
        <v>0.32107480359785057</v>
      </c>
    </row>
    <row r="2822" spans="16:18" x14ac:dyDescent="0.3">
      <c r="P2822" s="35">
        <v>24.62</v>
      </c>
      <c r="Q2822">
        <v>305</v>
      </c>
      <c r="R2822" s="34">
        <f t="shared" si="47"/>
        <v>0.32118865991118312</v>
      </c>
    </row>
    <row r="2823" spans="16:18" x14ac:dyDescent="0.3">
      <c r="P2823" s="35">
        <v>24.63</v>
      </c>
      <c r="Q2823">
        <v>305</v>
      </c>
      <c r="R2823" s="34">
        <f t="shared" si="47"/>
        <v>0.32130251622451567</v>
      </c>
    </row>
    <row r="2824" spans="16:18" x14ac:dyDescent="0.3">
      <c r="P2824" s="35">
        <v>24.63</v>
      </c>
      <c r="Q2824">
        <v>305</v>
      </c>
      <c r="R2824" s="34">
        <f t="shared" si="47"/>
        <v>0.32141637253784822</v>
      </c>
    </row>
    <row r="2825" spans="16:18" x14ac:dyDescent="0.3">
      <c r="P2825" s="35">
        <v>24.64</v>
      </c>
      <c r="Q2825">
        <v>305</v>
      </c>
      <c r="R2825" s="34">
        <f t="shared" si="47"/>
        <v>0.32153022885118077</v>
      </c>
    </row>
    <row r="2826" spans="16:18" x14ac:dyDescent="0.3">
      <c r="P2826" s="35">
        <v>24.64</v>
      </c>
      <c r="Q2826">
        <v>305</v>
      </c>
      <c r="R2826" s="34">
        <f t="shared" si="47"/>
        <v>0.32164408516451332</v>
      </c>
    </row>
    <row r="2827" spans="16:18" x14ac:dyDescent="0.3">
      <c r="P2827" s="35">
        <v>24.64</v>
      </c>
      <c r="Q2827">
        <v>305</v>
      </c>
      <c r="R2827" s="34">
        <f t="shared" si="47"/>
        <v>0.32175794147784587</v>
      </c>
    </row>
    <row r="2828" spans="16:18" x14ac:dyDescent="0.3">
      <c r="P2828" s="35">
        <v>24.64</v>
      </c>
      <c r="Q2828">
        <v>305</v>
      </c>
      <c r="R2828" s="34">
        <f t="shared" si="47"/>
        <v>0.32187179779117842</v>
      </c>
    </row>
    <row r="2829" spans="16:18" x14ac:dyDescent="0.3">
      <c r="P2829" s="35">
        <v>24.64</v>
      </c>
      <c r="Q2829">
        <v>305</v>
      </c>
      <c r="R2829" s="34">
        <f t="shared" si="47"/>
        <v>0.32198565410451097</v>
      </c>
    </row>
    <row r="2830" spans="16:18" x14ac:dyDescent="0.3">
      <c r="P2830" s="35">
        <v>24.65</v>
      </c>
      <c r="Q2830">
        <v>305</v>
      </c>
      <c r="R2830" s="34">
        <f t="shared" si="47"/>
        <v>0.32209951041784352</v>
      </c>
    </row>
    <row r="2831" spans="16:18" x14ac:dyDescent="0.3">
      <c r="P2831" s="35">
        <v>24.65</v>
      </c>
      <c r="Q2831">
        <v>305</v>
      </c>
      <c r="R2831" s="34">
        <f t="shared" si="47"/>
        <v>0.32221336673117607</v>
      </c>
    </row>
    <row r="2832" spans="16:18" x14ac:dyDescent="0.3">
      <c r="P2832" s="35">
        <v>24.65</v>
      </c>
      <c r="Q2832">
        <v>305</v>
      </c>
      <c r="R2832" s="34">
        <f t="shared" si="47"/>
        <v>0.32232722304450862</v>
      </c>
    </row>
    <row r="2833" spans="16:18" x14ac:dyDescent="0.3">
      <c r="P2833" s="35">
        <v>24.65</v>
      </c>
      <c r="Q2833">
        <v>305</v>
      </c>
      <c r="R2833" s="34">
        <f t="shared" si="47"/>
        <v>0.32244107935784116</v>
      </c>
    </row>
    <row r="2834" spans="16:18" x14ac:dyDescent="0.3">
      <c r="P2834" s="35">
        <v>24.66</v>
      </c>
      <c r="Q2834">
        <v>305</v>
      </c>
      <c r="R2834" s="34">
        <f t="shared" si="47"/>
        <v>0.32255493567117371</v>
      </c>
    </row>
    <row r="2835" spans="16:18" x14ac:dyDescent="0.3">
      <c r="P2835" s="35">
        <v>24.67</v>
      </c>
      <c r="Q2835">
        <v>305</v>
      </c>
      <c r="R2835" s="34">
        <f t="shared" si="47"/>
        <v>0.32266879198450626</v>
      </c>
    </row>
    <row r="2836" spans="16:18" x14ac:dyDescent="0.3">
      <c r="P2836" s="35">
        <v>24.67</v>
      </c>
      <c r="Q2836">
        <v>305</v>
      </c>
      <c r="R2836" s="34">
        <f t="shared" si="47"/>
        <v>0.32278264829783881</v>
      </c>
    </row>
    <row r="2837" spans="16:18" x14ac:dyDescent="0.3">
      <c r="P2837" s="35">
        <v>24.68</v>
      </c>
      <c r="Q2837">
        <v>305</v>
      </c>
      <c r="R2837" s="34">
        <f t="shared" si="47"/>
        <v>0.32289650461117136</v>
      </c>
    </row>
    <row r="2838" spans="16:18" x14ac:dyDescent="0.3">
      <c r="P2838" s="35">
        <v>24.68</v>
      </c>
      <c r="Q2838">
        <v>305</v>
      </c>
      <c r="R2838" s="34">
        <f t="shared" si="47"/>
        <v>0.32301036092450391</v>
      </c>
    </row>
    <row r="2839" spans="16:18" x14ac:dyDescent="0.3">
      <c r="P2839" s="35">
        <v>24.68</v>
      </c>
      <c r="Q2839">
        <v>305</v>
      </c>
      <c r="R2839" s="34">
        <f t="shared" si="47"/>
        <v>0.32312421723783646</v>
      </c>
    </row>
    <row r="2840" spans="16:18" x14ac:dyDescent="0.3">
      <c r="P2840" s="35">
        <v>24.68</v>
      </c>
      <c r="Q2840">
        <v>305</v>
      </c>
      <c r="R2840" s="34">
        <f t="shared" si="47"/>
        <v>0.32323807355116901</v>
      </c>
    </row>
    <row r="2841" spans="16:18" x14ac:dyDescent="0.3">
      <c r="P2841" s="35">
        <v>24.68</v>
      </c>
      <c r="Q2841">
        <v>305</v>
      </c>
      <c r="R2841" s="34">
        <f t="shared" si="47"/>
        <v>0.32335192986450156</v>
      </c>
    </row>
    <row r="2842" spans="16:18" x14ac:dyDescent="0.3">
      <c r="P2842" s="35">
        <v>24.69</v>
      </c>
      <c r="Q2842">
        <v>305</v>
      </c>
      <c r="R2842" s="34">
        <f t="shared" si="47"/>
        <v>0.32346578617783411</v>
      </c>
    </row>
    <row r="2843" spans="16:18" x14ac:dyDescent="0.3">
      <c r="P2843" s="35">
        <v>24.69</v>
      </c>
      <c r="Q2843">
        <v>305</v>
      </c>
      <c r="R2843" s="34">
        <f t="shared" si="47"/>
        <v>0.32357964249116666</v>
      </c>
    </row>
    <row r="2844" spans="16:18" x14ac:dyDescent="0.3">
      <c r="P2844" s="35">
        <v>24.69</v>
      </c>
      <c r="Q2844">
        <v>305</v>
      </c>
      <c r="R2844" s="34">
        <f t="shared" si="47"/>
        <v>0.32369349880449921</v>
      </c>
    </row>
    <row r="2845" spans="16:18" x14ac:dyDescent="0.3">
      <c r="P2845" s="35">
        <v>24.7</v>
      </c>
      <c r="Q2845">
        <v>305</v>
      </c>
      <c r="R2845" s="34">
        <f t="shared" si="47"/>
        <v>0.32380735511783176</v>
      </c>
    </row>
    <row r="2846" spans="16:18" x14ac:dyDescent="0.3">
      <c r="P2846" s="35">
        <v>24.7</v>
      </c>
      <c r="Q2846">
        <v>305</v>
      </c>
      <c r="R2846" s="34">
        <f t="shared" si="47"/>
        <v>0.32392121143116431</v>
      </c>
    </row>
    <row r="2847" spans="16:18" x14ac:dyDescent="0.3">
      <c r="P2847" s="35">
        <v>24.7</v>
      </c>
      <c r="Q2847">
        <v>305</v>
      </c>
      <c r="R2847" s="34">
        <f t="shared" si="47"/>
        <v>0.32403506774449686</v>
      </c>
    </row>
    <row r="2848" spans="16:18" x14ac:dyDescent="0.3">
      <c r="P2848" s="35">
        <v>24.71</v>
      </c>
      <c r="Q2848">
        <v>305</v>
      </c>
      <c r="R2848" s="34">
        <f t="shared" si="47"/>
        <v>0.32414892405782941</v>
      </c>
    </row>
    <row r="2849" spans="16:18" x14ac:dyDescent="0.3">
      <c r="P2849" s="35">
        <v>24.72</v>
      </c>
      <c r="Q2849">
        <v>305</v>
      </c>
      <c r="R2849" s="34">
        <f t="shared" si="47"/>
        <v>0.32426278037116196</v>
      </c>
    </row>
    <row r="2850" spans="16:18" x14ac:dyDescent="0.3">
      <c r="P2850" s="35">
        <v>24.72</v>
      </c>
      <c r="Q2850">
        <v>305</v>
      </c>
      <c r="R2850" s="34">
        <f t="shared" si="47"/>
        <v>0.32437663668449451</v>
      </c>
    </row>
    <row r="2851" spans="16:18" x14ac:dyDescent="0.3">
      <c r="P2851" s="35">
        <v>24.72</v>
      </c>
      <c r="Q2851">
        <v>305</v>
      </c>
      <c r="R2851" s="34">
        <f t="shared" si="47"/>
        <v>0.32449049299782706</v>
      </c>
    </row>
    <row r="2852" spans="16:18" x14ac:dyDescent="0.3">
      <c r="P2852" s="35">
        <v>24.73</v>
      </c>
      <c r="Q2852">
        <v>305</v>
      </c>
      <c r="R2852" s="34">
        <f t="shared" si="47"/>
        <v>0.32460434931115961</v>
      </c>
    </row>
    <row r="2853" spans="16:18" x14ac:dyDescent="0.3">
      <c r="P2853" s="35">
        <v>24.73</v>
      </c>
      <c r="Q2853">
        <v>305</v>
      </c>
      <c r="R2853" s="34">
        <f t="shared" si="47"/>
        <v>0.32471820562449216</v>
      </c>
    </row>
    <row r="2854" spans="16:18" x14ac:dyDescent="0.3">
      <c r="P2854" s="35">
        <v>24.74</v>
      </c>
      <c r="Q2854">
        <v>305</v>
      </c>
      <c r="R2854" s="34">
        <f t="shared" si="47"/>
        <v>0.32483206193782471</v>
      </c>
    </row>
    <row r="2855" spans="16:18" x14ac:dyDescent="0.3">
      <c r="P2855" s="35">
        <v>24.74</v>
      </c>
      <c r="Q2855">
        <v>305</v>
      </c>
      <c r="R2855" s="34">
        <f t="shared" si="47"/>
        <v>0.32494591825115726</v>
      </c>
    </row>
    <row r="2856" spans="16:18" x14ac:dyDescent="0.3">
      <c r="P2856" s="35">
        <v>24.75</v>
      </c>
      <c r="Q2856">
        <v>305</v>
      </c>
      <c r="R2856" s="34">
        <f t="shared" si="47"/>
        <v>0.32505977456448981</v>
      </c>
    </row>
    <row r="2857" spans="16:18" x14ac:dyDescent="0.3">
      <c r="P2857" s="35">
        <v>24.76</v>
      </c>
      <c r="Q2857">
        <v>305</v>
      </c>
      <c r="R2857" s="34">
        <f t="shared" si="47"/>
        <v>0.32517363087782236</v>
      </c>
    </row>
    <row r="2858" spans="16:18" x14ac:dyDescent="0.3">
      <c r="P2858" s="35">
        <v>24.76</v>
      </c>
      <c r="Q2858">
        <v>305</v>
      </c>
      <c r="R2858" s="34">
        <f t="shared" si="47"/>
        <v>0.32528748719115491</v>
      </c>
    </row>
    <row r="2859" spans="16:18" x14ac:dyDescent="0.3">
      <c r="P2859" s="35">
        <v>24.77</v>
      </c>
      <c r="Q2859">
        <v>305</v>
      </c>
      <c r="R2859" s="34">
        <f t="shared" si="47"/>
        <v>0.32540134350448746</v>
      </c>
    </row>
    <row r="2860" spans="16:18" x14ac:dyDescent="0.3">
      <c r="P2860" s="35">
        <v>24.77</v>
      </c>
      <c r="Q2860">
        <v>305</v>
      </c>
      <c r="R2860" s="34">
        <f t="shared" si="47"/>
        <v>0.32551519981782001</v>
      </c>
    </row>
    <row r="2861" spans="16:18" x14ac:dyDescent="0.3">
      <c r="P2861" s="35">
        <v>24.77</v>
      </c>
      <c r="Q2861">
        <v>305</v>
      </c>
      <c r="R2861" s="34">
        <f t="shared" si="47"/>
        <v>0.32562905613115256</v>
      </c>
    </row>
    <row r="2862" spans="16:18" x14ac:dyDescent="0.3">
      <c r="P2862" s="35">
        <v>24.77</v>
      </c>
      <c r="Q2862">
        <v>305</v>
      </c>
      <c r="R2862" s="34">
        <f t="shared" si="47"/>
        <v>0.32574291244448511</v>
      </c>
    </row>
    <row r="2863" spans="16:18" x14ac:dyDescent="0.3">
      <c r="P2863" s="35">
        <v>24.77</v>
      </c>
      <c r="Q2863">
        <v>305</v>
      </c>
      <c r="R2863" s="34">
        <f t="shared" si="47"/>
        <v>0.32585676875781766</v>
      </c>
    </row>
    <row r="2864" spans="16:18" x14ac:dyDescent="0.3">
      <c r="P2864" s="35">
        <v>24.78</v>
      </c>
      <c r="Q2864">
        <v>305</v>
      </c>
      <c r="R2864" s="34">
        <f t="shared" si="47"/>
        <v>0.32597062507115021</v>
      </c>
    </row>
    <row r="2865" spans="16:18" x14ac:dyDescent="0.3">
      <c r="P2865" s="35">
        <v>24.79</v>
      </c>
      <c r="Q2865">
        <v>305</v>
      </c>
      <c r="R2865" s="34">
        <f t="shared" si="47"/>
        <v>0.32608448138448276</v>
      </c>
    </row>
    <row r="2866" spans="16:18" x14ac:dyDescent="0.3">
      <c r="P2866" s="35">
        <v>24.79</v>
      </c>
      <c r="Q2866">
        <v>305</v>
      </c>
      <c r="R2866" s="34">
        <f t="shared" si="47"/>
        <v>0.32619833769781531</v>
      </c>
    </row>
    <row r="2867" spans="16:18" x14ac:dyDescent="0.3">
      <c r="P2867" s="35">
        <v>24.79</v>
      </c>
      <c r="Q2867">
        <v>305</v>
      </c>
      <c r="R2867" s="34">
        <f t="shared" si="47"/>
        <v>0.32631219401114786</v>
      </c>
    </row>
    <row r="2868" spans="16:18" x14ac:dyDescent="0.3">
      <c r="P2868" s="35">
        <v>24.79</v>
      </c>
      <c r="Q2868">
        <v>305</v>
      </c>
      <c r="R2868" s="34">
        <f t="shared" si="47"/>
        <v>0.32642605032448041</v>
      </c>
    </row>
    <row r="2869" spans="16:18" x14ac:dyDescent="0.3">
      <c r="P2869" s="35">
        <v>24.8</v>
      </c>
      <c r="Q2869">
        <v>305</v>
      </c>
      <c r="R2869" s="34">
        <f t="shared" si="47"/>
        <v>0.32653990663781296</v>
      </c>
    </row>
    <row r="2870" spans="16:18" x14ac:dyDescent="0.3">
      <c r="P2870" s="35">
        <v>24.8</v>
      </c>
      <c r="Q2870">
        <v>305</v>
      </c>
      <c r="R2870" s="34">
        <f t="shared" si="47"/>
        <v>0.32665376295114551</v>
      </c>
    </row>
    <row r="2871" spans="16:18" x14ac:dyDescent="0.3">
      <c r="P2871" s="35">
        <v>24.8</v>
      </c>
      <c r="Q2871">
        <v>305</v>
      </c>
      <c r="R2871" s="34">
        <f t="shared" si="47"/>
        <v>0.32676761926447806</v>
      </c>
    </row>
    <row r="2872" spans="16:18" x14ac:dyDescent="0.3">
      <c r="P2872" s="35">
        <v>24.81</v>
      </c>
      <c r="Q2872">
        <v>305</v>
      </c>
      <c r="R2872" s="34">
        <f t="shared" si="47"/>
        <v>0.32688147557781061</v>
      </c>
    </row>
    <row r="2873" spans="16:18" x14ac:dyDescent="0.3">
      <c r="P2873" s="35">
        <v>24.81</v>
      </c>
      <c r="Q2873">
        <v>305</v>
      </c>
      <c r="R2873" s="34">
        <f t="shared" si="47"/>
        <v>0.32699533189114316</v>
      </c>
    </row>
    <row r="2874" spans="16:18" x14ac:dyDescent="0.3">
      <c r="P2874" s="35">
        <v>24.81</v>
      </c>
      <c r="Q2874">
        <v>305</v>
      </c>
      <c r="R2874" s="34">
        <f t="shared" si="47"/>
        <v>0.32710918820447571</v>
      </c>
    </row>
    <row r="2875" spans="16:18" x14ac:dyDescent="0.3">
      <c r="P2875" s="35">
        <v>24.82</v>
      </c>
      <c r="Q2875">
        <v>305</v>
      </c>
      <c r="R2875" s="34">
        <f t="shared" si="47"/>
        <v>0.32722304451780826</v>
      </c>
    </row>
    <row r="2876" spans="16:18" x14ac:dyDescent="0.3">
      <c r="P2876" s="35">
        <v>24.83</v>
      </c>
      <c r="Q2876">
        <v>305</v>
      </c>
      <c r="R2876" s="34">
        <f t="shared" si="47"/>
        <v>0.32733690083114081</v>
      </c>
    </row>
    <row r="2877" spans="16:18" x14ac:dyDescent="0.3">
      <c r="P2877" s="35">
        <v>24.83</v>
      </c>
      <c r="Q2877">
        <v>305</v>
      </c>
      <c r="R2877" s="34">
        <f t="shared" si="47"/>
        <v>0.32745075714447336</v>
      </c>
    </row>
    <row r="2878" spans="16:18" x14ac:dyDescent="0.3">
      <c r="P2878" s="35">
        <v>24.84</v>
      </c>
      <c r="Q2878">
        <v>305</v>
      </c>
      <c r="R2878" s="34">
        <f t="shared" si="47"/>
        <v>0.32756461345780591</v>
      </c>
    </row>
    <row r="2879" spans="16:18" x14ac:dyDescent="0.3">
      <c r="P2879" s="35">
        <v>24.84</v>
      </c>
      <c r="Q2879">
        <v>305</v>
      </c>
      <c r="R2879" s="34">
        <f t="shared" si="47"/>
        <v>0.32767846977113846</v>
      </c>
    </row>
    <row r="2880" spans="16:18" x14ac:dyDescent="0.3">
      <c r="P2880" s="35">
        <v>24.84</v>
      </c>
      <c r="Q2880">
        <v>305</v>
      </c>
      <c r="R2880" s="34">
        <f t="shared" si="47"/>
        <v>0.32779232608447101</v>
      </c>
    </row>
    <row r="2881" spans="16:18" x14ac:dyDescent="0.3">
      <c r="P2881" s="35">
        <v>24.84</v>
      </c>
      <c r="Q2881">
        <v>305</v>
      </c>
      <c r="R2881" s="34">
        <f t="shared" si="47"/>
        <v>0.32790618239780356</v>
      </c>
    </row>
    <row r="2882" spans="16:18" x14ac:dyDescent="0.3">
      <c r="P2882" s="35">
        <v>24.85</v>
      </c>
      <c r="Q2882">
        <v>305</v>
      </c>
      <c r="R2882" s="34">
        <f t="shared" si="47"/>
        <v>0.32802003871113611</v>
      </c>
    </row>
    <row r="2883" spans="16:18" x14ac:dyDescent="0.3">
      <c r="P2883" s="35">
        <v>24.85</v>
      </c>
      <c r="Q2883">
        <v>305</v>
      </c>
      <c r="R2883" s="34">
        <f t="shared" si="47"/>
        <v>0.32813389502446866</v>
      </c>
    </row>
    <row r="2884" spans="16:18" x14ac:dyDescent="0.3">
      <c r="P2884" s="35">
        <v>24.86</v>
      </c>
      <c r="Q2884">
        <v>305</v>
      </c>
      <c r="R2884" s="34">
        <f t="shared" ref="R2884:R2947" si="48">R2883+R$2</f>
        <v>0.32824775133780121</v>
      </c>
    </row>
    <row r="2885" spans="16:18" x14ac:dyDescent="0.3">
      <c r="P2885" s="35">
        <v>24.87</v>
      </c>
      <c r="Q2885">
        <v>305</v>
      </c>
      <c r="R2885" s="34">
        <f t="shared" si="48"/>
        <v>0.32836160765113376</v>
      </c>
    </row>
    <row r="2886" spans="16:18" x14ac:dyDescent="0.3">
      <c r="P2886" s="35">
        <v>24.87</v>
      </c>
      <c r="Q2886">
        <v>305</v>
      </c>
      <c r="R2886" s="34">
        <f t="shared" si="48"/>
        <v>0.32847546396446631</v>
      </c>
    </row>
    <row r="2887" spans="16:18" x14ac:dyDescent="0.3">
      <c r="P2887" s="35">
        <v>24.87</v>
      </c>
      <c r="Q2887">
        <v>305</v>
      </c>
      <c r="R2887" s="34">
        <f t="shared" si="48"/>
        <v>0.32858932027779886</v>
      </c>
    </row>
    <row r="2888" spans="16:18" x14ac:dyDescent="0.3">
      <c r="P2888" s="35">
        <v>24.88</v>
      </c>
      <c r="Q2888">
        <v>305</v>
      </c>
      <c r="R2888" s="34">
        <f t="shared" si="48"/>
        <v>0.32870317659113141</v>
      </c>
    </row>
    <row r="2889" spans="16:18" x14ac:dyDescent="0.3">
      <c r="P2889" s="35">
        <v>24.88</v>
      </c>
      <c r="Q2889">
        <v>305</v>
      </c>
      <c r="R2889" s="34">
        <f t="shared" si="48"/>
        <v>0.32881703290446396</v>
      </c>
    </row>
    <row r="2890" spans="16:18" x14ac:dyDescent="0.3">
      <c r="P2890" s="35">
        <v>24.89</v>
      </c>
      <c r="Q2890">
        <v>305</v>
      </c>
      <c r="R2890" s="34">
        <f t="shared" si="48"/>
        <v>0.32893088921779651</v>
      </c>
    </row>
    <row r="2891" spans="16:18" x14ac:dyDescent="0.3">
      <c r="P2891" s="35">
        <v>24.89</v>
      </c>
      <c r="Q2891">
        <v>305</v>
      </c>
      <c r="R2891" s="34">
        <f t="shared" si="48"/>
        <v>0.32904474553112906</v>
      </c>
    </row>
    <row r="2892" spans="16:18" x14ac:dyDescent="0.3">
      <c r="P2892" s="35">
        <v>24.9</v>
      </c>
      <c r="Q2892">
        <v>305</v>
      </c>
      <c r="R2892" s="34">
        <f t="shared" si="48"/>
        <v>0.32915860184446161</v>
      </c>
    </row>
    <row r="2893" spans="16:18" x14ac:dyDescent="0.3">
      <c r="P2893" s="35">
        <v>24.9</v>
      </c>
      <c r="Q2893">
        <v>305</v>
      </c>
      <c r="R2893" s="34">
        <f t="shared" si="48"/>
        <v>0.32927245815779416</v>
      </c>
    </row>
    <row r="2894" spans="16:18" x14ac:dyDescent="0.3">
      <c r="P2894" s="35">
        <v>24.9</v>
      </c>
      <c r="Q2894">
        <v>305</v>
      </c>
      <c r="R2894" s="34">
        <f t="shared" si="48"/>
        <v>0.32938631447112671</v>
      </c>
    </row>
    <row r="2895" spans="16:18" x14ac:dyDescent="0.3">
      <c r="P2895" s="35">
        <v>24.9</v>
      </c>
      <c r="Q2895">
        <v>305</v>
      </c>
      <c r="R2895" s="34">
        <f t="shared" si="48"/>
        <v>0.32950017078445926</v>
      </c>
    </row>
    <row r="2896" spans="16:18" x14ac:dyDescent="0.3">
      <c r="P2896" s="35">
        <v>24.91</v>
      </c>
      <c r="Q2896">
        <v>305</v>
      </c>
      <c r="R2896" s="34">
        <f t="shared" si="48"/>
        <v>0.32961402709779181</v>
      </c>
    </row>
    <row r="2897" spans="16:18" x14ac:dyDescent="0.3">
      <c r="P2897" s="35">
        <v>24.91</v>
      </c>
      <c r="Q2897">
        <v>305</v>
      </c>
      <c r="R2897" s="34">
        <f t="shared" si="48"/>
        <v>0.32972788341112436</v>
      </c>
    </row>
    <row r="2898" spans="16:18" x14ac:dyDescent="0.3">
      <c r="P2898" s="35">
        <v>24.91</v>
      </c>
      <c r="Q2898">
        <v>305</v>
      </c>
      <c r="R2898" s="34">
        <f t="shared" si="48"/>
        <v>0.32984173972445691</v>
      </c>
    </row>
    <row r="2899" spans="16:18" x14ac:dyDescent="0.3">
      <c r="P2899" s="35">
        <v>24.91</v>
      </c>
      <c r="Q2899">
        <v>305</v>
      </c>
      <c r="R2899" s="34">
        <f t="shared" si="48"/>
        <v>0.32995559603778946</v>
      </c>
    </row>
    <row r="2900" spans="16:18" x14ac:dyDescent="0.3">
      <c r="P2900" s="35">
        <v>24.91</v>
      </c>
      <c r="Q2900">
        <v>305</v>
      </c>
      <c r="R2900" s="34">
        <f t="shared" si="48"/>
        <v>0.33006945235112201</v>
      </c>
    </row>
    <row r="2901" spans="16:18" x14ac:dyDescent="0.3">
      <c r="P2901" s="35">
        <v>24.92</v>
      </c>
      <c r="Q2901">
        <v>305</v>
      </c>
      <c r="R2901" s="34">
        <f t="shared" si="48"/>
        <v>0.33018330866445456</v>
      </c>
    </row>
    <row r="2902" spans="16:18" x14ac:dyDescent="0.3">
      <c r="P2902" s="35">
        <v>24.92</v>
      </c>
      <c r="Q2902">
        <v>305</v>
      </c>
      <c r="R2902" s="34">
        <f t="shared" si="48"/>
        <v>0.33029716497778711</v>
      </c>
    </row>
    <row r="2903" spans="16:18" x14ac:dyDescent="0.3">
      <c r="P2903" s="35">
        <v>24.92</v>
      </c>
      <c r="Q2903">
        <v>305</v>
      </c>
      <c r="R2903" s="34">
        <f t="shared" si="48"/>
        <v>0.33041102129111966</v>
      </c>
    </row>
    <row r="2904" spans="16:18" x14ac:dyDescent="0.3">
      <c r="P2904" s="35">
        <v>24.92</v>
      </c>
      <c r="Q2904">
        <v>305</v>
      </c>
      <c r="R2904" s="34">
        <f t="shared" si="48"/>
        <v>0.33052487760445221</v>
      </c>
    </row>
    <row r="2905" spans="16:18" x14ac:dyDescent="0.3">
      <c r="P2905" s="35">
        <v>24.94</v>
      </c>
      <c r="Q2905">
        <v>305</v>
      </c>
      <c r="R2905" s="34">
        <f t="shared" si="48"/>
        <v>0.33063873391778476</v>
      </c>
    </row>
    <row r="2906" spans="16:18" x14ac:dyDescent="0.3">
      <c r="P2906" s="35">
        <v>24.94</v>
      </c>
      <c r="Q2906">
        <v>305</v>
      </c>
      <c r="R2906" s="34">
        <f t="shared" si="48"/>
        <v>0.3307525902311173</v>
      </c>
    </row>
    <row r="2907" spans="16:18" x14ac:dyDescent="0.3">
      <c r="P2907" s="35">
        <v>24.94</v>
      </c>
      <c r="Q2907">
        <v>305</v>
      </c>
      <c r="R2907" s="34">
        <f t="shared" si="48"/>
        <v>0.33086644654444985</v>
      </c>
    </row>
    <row r="2908" spans="16:18" x14ac:dyDescent="0.3">
      <c r="P2908" s="35">
        <v>24.94</v>
      </c>
      <c r="Q2908">
        <v>305</v>
      </c>
      <c r="R2908" s="34">
        <f t="shared" si="48"/>
        <v>0.3309803028577824</v>
      </c>
    </row>
    <row r="2909" spans="16:18" x14ac:dyDescent="0.3">
      <c r="P2909" s="35">
        <v>24.94</v>
      </c>
      <c r="Q2909">
        <v>305</v>
      </c>
      <c r="R2909" s="34">
        <f t="shared" si="48"/>
        <v>0.33109415917111495</v>
      </c>
    </row>
    <row r="2910" spans="16:18" x14ac:dyDescent="0.3">
      <c r="P2910" s="35">
        <v>24.94</v>
      </c>
      <c r="Q2910">
        <v>305</v>
      </c>
      <c r="R2910" s="34">
        <f t="shared" si="48"/>
        <v>0.3312080154844475</v>
      </c>
    </row>
    <row r="2911" spans="16:18" x14ac:dyDescent="0.3">
      <c r="P2911" s="35">
        <v>24.94</v>
      </c>
      <c r="Q2911">
        <v>305</v>
      </c>
      <c r="R2911" s="34">
        <f t="shared" si="48"/>
        <v>0.33132187179778005</v>
      </c>
    </row>
    <row r="2912" spans="16:18" x14ac:dyDescent="0.3">
      <c r="P2912" s="35">
        <v>24.95</v>
      </c>
      <c r="Q2912">
        <v>305</v>
      </c>
      <c r="R2912" s="34">
        <f t="shared" si="48"/>
        <v>0.3314357281111126</v>
      </c>
    </row>
    <row r="2913" spans="16:18" x14ac:dyDescent="0.3">
      <c r="P2913" s="35">
        <v>24.95</v>
      </c>
      <c r="Q2913">
        <v>305</v>
      </c>
      <c r="R2913" s="34">
        <f t="shared" si="48"/>
        <v>0.33154958442444515</v>
      </c>
    </row>
    <row r="2914" spans="16:18" x14ac:dyDescent="0.3">
      <c r="P2914" s="35">
        <v>24.95</v>
      </c>
      <c r="Q2914">
        <v>305</v>
      </c>
      <c r="R2914" s="34">
        <f t="shared" si="48"/>
        <v>0.3316634407377777</v>
      </c>
    </row>
    <row r="2915" spans="16:18" x14ac:dyDescent="0.3">
      <c r="P2915" s="35">
        <v>24.95</v>
      </c>
      <c r="Q2915">
        <v>305</v>
      </c>
      <c r="R2915" s="34">
        <f t="shared" si="48"/>
        <v>0.33177729705111025</v>
      </c>
    </row>
    <row r="2916" spans="16:18" x14ac:dyDescent="0.3">
      <c r="P2916" s="35">
        <v>24.96</v>
      </c>
      <c r="Q2916">
        <v>305</v>
      </c>
      <c r="R2916" s="34">
        <f t="shared" si="48"/>
        <v>0.3318911533644428</v>
      </c>
    </row>
    <row r="2917" spans="16:18" x14ac:dyDescent="0.3">
      <c r="P2917" s="35">
        <v>24.97</v>
      </c>
      <c r="Q2917">
        <v>305</v>
      </c>
      <c r="R2917" s="34">
        <f t="shared" si="48"/>
        <v>0.33200500967777535</v>
      </c>
    </row>
    <row r="2918" spans="16:18" x14ac:dyDescent="0.3">
      <c r="P2918" s="35">
        <v>24.97</v>
      </c>
      <c r="Q2918">
        <v>305</v>
      </c>
      <c r="R2918" s="34">
        <f t="shared" si="48"/>
        <v>0.3321188659911079</v>
      </c>
    </row>
    <row r="2919" spans="16:18" x14ac:dyDescent="0.3">
      <c r="P2919" s="35">
        <v>24.97</v>
      </c>
      <c r="Q2919">
        <v>305</v>
      </c>
      <c r="R2919" s="34">
        <f t="shared" si="48"/>
        <v>0.33223272230444045</v>
      </c>
    </row>
    <row r="2920" spans="16:18" x14ac:dyDescent="0.3">
      <c r="P2920" s="35">
        <v>24.97</v>
      </c>
      <c r="Q2920">
        <v>305</v>
      </c>
      <c r="R2920" s="34">
        <f t="shared" si="48"/>
        <v>0.332346578617773</v>
      </c>
    </row>
    <row r="2921" spans="16:18" x14ac:dyDescent="0.3">
      <c r="P2921" s="35">
        <v>24.97</v>
      </c>
      <c r="Q2921">
        <v>305</v>
      </c>
      <c r="R2921" s="34">
        <f t="shared" si="48"/>
        <v>0.33246043493110555</v>
      </c>
    </row>
    <row r="2922" spans="16:18" x14ac:dyDescent="0.3">
      <c r="P2922" s="35">
        <v>24.97</v>
      </c>
      <c r="Q2922">
        <v>305</v>
      </c>
      <c r="R2922" s="34">
        <f t="shared" si="48"/>
        <v>0.3325742912444381</v>
      </c>
    </row>
    <row r="2923" spans="16:18" x14ac:dyDescent="0.3">
      <c r="P2923" s="35">
        <v>24.97</v>
      </c>
      <c r="Q2923">
        <v>305</v>
      </c>
      <c r="R2923" s="34">
        <f t="shared" si="48"/>
        <v>0.33268814755777065</v>
      </c>
    </row>
    <row r="2924" spans="16:18" x14ac:dyDescent="0.3">
      <c r="P2924" s="35">
        <v>24.98</v>
      </c>
      <c r="Q2924">
        <v>305</v>
      </c>
      <c r="R2924" s="34">
        <f t="shared" si="48"/>
        <v>0.3328020038711032</v>
      </c>
    </row>
    <row r="2925" spans="16:18" x14ac:dyDescent="0.3">
      <c r="P2925" s="35">
        <v>24.98</v>
      </c>
      <c r="Q2925">
        <v>305</v>
      </c>
      <c r="R2925" s="34">
        <f t="shared" si="48"/>
        <v>0.33291586018443575</v>
      </c>
    </row>
    <row r="2926" spans="16:18" x14ac:dyDescent="0.3">
      <c r="P2926" s="35">
        <v>24.99</v>
      </c>
      <c r="Q2926">
        <v>305</v>
      </c>
      <c r="R2926" s="34">
        <f t="shared" si="48"/>
        <v>0.3330297164977683</v>
      </c>
    </row>
    <row r="2927" spans="16:18" x14ac:dyDescent="0.3">
      <c r="P2927" s="35">
        <v>24.99</v>
      </c>
      <c r="Q2927">
        <v>305</v>
      </c>
      <c r="R2927" s="34">
        <f t="shared" si="48"/>
        <v>0.33314357281110085</v>
      </c>
    </row>
    <row r="2928" spans="16:18" x14ac:dyDescent="0.3">
      <c r="P2928" s="35">
        <v>24.99</v>
      </c>
      <c r="Q2928">
        <v>305</v>
      </c>
      <c r="R2928" s="34">
        <f t="shared" si="48"/>
        <v>0.3332574291244334</v>
      </c>
    </row>
    <row r="2929" spans="16:18" x14ac:dyDescent="0.3">
      <c r="P2929" s="35">
        <v>24.99</v>
      </c>
      <c r="Q2929">
        <v>305</v>
      </c>
      <c r="R2929" s="34">
        <f t="shared" si="48"/>
        <v>0.33337128543776595</v>
      </c>
    </row>
    <row r="2930" spans="16:18" x14ac:dyDescent="0.3">
      <c r="P2930" s="35">
        <v>24.99</v>
      </c>
      <c r="Q2930">
        <v>305</v>
      </c>
      <c r="R2930" s="34">
        <f t="shared" si="48"/>
        <v>0.3334851417510985</v>
      </c>
    </row>
    <row r="2931" spans="16:18" x14ac:dyDescent="0.3">
      <c r="P2931" s="35">
        <v>24.99</v>
      </c>
      <c r="Q2931">
        <v>305</v>
      </c>
      <c r="R2931" s="34">
        <f t="shared" si="48"/>
        <v>0.33359899806443105</v>
      </c>
    </row>
    <row r="2932" spans="16:18" x14ac:dyDescent="0.3">
      <c r="P2932" s="35">
        <v>25</v>
      </c>
      <c r="Q2932">
        <v>305</v>
      </c>
      <c r="R2932" s="34">
        <f t="shared" si="48"/>
        <v>0.3337128543777636</v>
      </c>
    </row>
    <row r="2933" spans="16:18" x14ac:dyDescent="0.3">
      <c r="P2933" s="35">
        <v>25</v>
      </c>
      <c r="Q2933">
        <v>305</v>
      </c>
      <c r="R2933" s="34">
        <f t="shared" si="48"/>
        <v>0.33382671069109615</v>
      </c>
    </row>
    <row r="2934" spans="16:18" x14ac:dyDescent="0.3">
      <c r="P2934" s="35">
        <v>25.01</v>
      </c>
      <c r="Q2934">
        <v>305</v>
      </c>
      <c r="R2934" s="34">
        <f t="shared" si="48"/>
        <v>0.3339405670044287</v>
      </c>
    </row>
    <row r="2935" spans="16:18" x14ac:dyDescent="0.3">
      <c r="P2935" s="35">
        <v>25.02</v>
      </c>
      <c r="Q2935">
        <v>305</v>
      </c>
      <c r="R2935" s="34">
        <f t="shared" si="48"/>
        <v>0.33405442331776125</v>
      </c>
    </row>
    <row r="2936" spans="16:18" x14ac:dyDescent="0.3">
      <c r="P2936" s="35">
        <v>25.02</v>
      </c>
      <c r="Q2936">
        <v>305</v>
      </c>
      <c r="R2936" s="34">
        <f t="shared" si="48"/>
        <v>0.3341682796310938</v>
      </c>
    </row>
    <row r="2937" spans="16:18" x14ac:dyDescent="0.3">
      <c r="P2937" s="35">
        <v>25.03</v>
      </c>
      <c r="Q2937">
        <v>305</v>
      </c>
      <c r="R2937" s="34">
        <f t="shared" si="48"/>
        <v>0.33428213594442635</v>
      </c>
    </row>
    <row r="2938" spans="16:18" x14ac:dyDescent="0.3">
      <c r="P2938" s="35">
        <v>25.03</v>
      </c>
      <c r="Q2938">
        <v>305</v>
      </c>
      <c r="R2938" s="34">
        <f t="shared" si="48"/>
        <v>0.3343959922577589</v>
      </c>
    </row>
    <row r="2939" spans="16:18" x14ac:dyDescent="0.3">
      <c r="P2939" s="35">
        <v>25.03</v>
      </c>
      <c r="Q2939">
        <v>305</v>
      </c>
      <c r="R2939" s="34">
        <f t="shared" si="48"/>
        <v>0.33450984857109145</v>
      </c>
    </row>
    <row r="2940" spans="16:18" x14ac:dyDescent="0.3">
      <c r="P2940" s="35">
        <v>25.04</v>
      </c>
      <c r="Q2940">
        <v>305</v>
      </c>
      <c r="R2940" s="34">
        <f t="shared" si="48"/>
        <v>0.334623704884424</v>
      </c>
    </row>
    <row r="2941" spans="16:18" x14ac:dyDescent="0.3">
      <c r="P2941" s="35">
        <v>25.04</v>
      </c>
      <c r="Q2941">
        <v>305</v>
      </c>
      <c r="R2941" s="34">
        <f t="shared" si="48"/>
        <v>0.33473756119775655</v>
      </c>
    </row>
    <row r="2942" spans="16:18" x14ac:dyDescent="0.3">
      <c r="P2942" s="35">
        <v>25.04</v>
      </c>
      <c r="Q2942">
        <v>305</v>
      </c>
      <c r="R2942" s="34">
        <f t="shared" si="48"/>
        <v>0.3348514175110891</v>
      </c>
    </row>
    <row r="2943" spans="16:18" x14ac:dyDescent="0.3">
      <c r="P2943" s="35">
        <v>25.04</v>
      </c>
      <c r="Q2943">
        <v>305</v>
      </c>
      <c r="R2943" s="34">
        <f t="shared" si="48"/>
        <v>0.33496527382442165</v>
      </c>
    </row>
    <row r="2944" spans="16:18" x14ac:dyDescent="0.3">
      <c r="P2944" s="35">
        <v>25.04</v>
      </c>
      <c r="Q2944">
        <v>305</v>
      </c>
      <c r="R2944" s="34">
        <f t="shared" si="48"/>
        <v>0.3350791301377542</v>
      </c>
    </row>
    <row r="2945" spans="16:18" x14ac:dyDescent="0.3">
      <c r="P2945" s="35">
        <v>25.04</v>
      </c>
      <c r="Q2945">
        <v>305</v>
      </c>
      <c r="R2945" s="34">
        <f t="shared" si="48"/>
        <v>0.33519298645108675</v>
      </c>
    </row>
    <row r="2946" spans="16:18" x14ac:dyDescent="0.3">
      <c r="P2946" s="35">
        <v>25.05</v>
      </c>
      <c r="Q2946">
        <v>305</v>
      </c>
      <c r="R2946" s="34">
        <f t="shared" si="48"/>
        <v>0.3353068427644193</v>
      </c>
    </row>
    <row r="2947" spans="16:18" x14ac:dyDescent="0.3">
      <c r="P2947" s="35">
        <v>25.05</v>
      </c>
      <c r="Q2947">
        <v>305</v>
      </c>
      <c r="R2947" s="34">
        <f t="shared" si="48"/>
        <v>0.33542069907775185</v>
      </c>
    </row>
    <row r="2948" spans="16:18" x14ac:dyDescent="0.3">
      <c r="P2948" s="35">
        <v>25.05</v>
      </c>
      <c r="Q2948">
        <v>305</v>
      </c>
      <c r="R2948" s="34">
        <f t="shared" ref="R2948:R3011" si="49">R2947+R$2</f>
        <v>0.3355345553910844</v>
      </c>
    </row>
    <row r="2949" spans="16:18" x14ac:dyDescent="0.3">
      <c r="P2949" s="35">
        <v>25.06</v>
      </c>
      <c r="Q2949">
        <v>305</v>
      </c>
      <c r="R2949" s="34">
        <f t="shared" si="49"/>
        <v>0.33564841170441695</v>
      </c>
    </row>
    <row r="2950" spans="16:18" x14ac:dyDescent="0.3">
      <c r="P2950" s="35">
        <v>25.06</v>
      </c>
      <c r="Q2950">
        <v>305</v>
      </c>
      <c r="R2950" s="34">
        <f t="shared" si="49"/>
        <v>0.3357622680177495</v>
      </c>
    </row>
    <row r="2951" spans="16:18" x14ac:dyDescent="0.3">
      <c r="P2951" s="35">
        <v>25.06</v>
      </c>
      <c r="Q2951">
        <v>305</v>
      </c>
      <c r="R2951" s="34">
        <f t="shared" si="49"/>
        <v>0.33587612433108205</v>
      </c>
    </row>
    <row r="2952" spans="16:18" x14ac:dyDescent="0.3">
      <c r="P2952" s="35">
        <v>25.06</v>
      </c>
      <c r="Q2952">
        <v>305</v>
      </c>
      <c r="R2952" s="34">
        <f t="shared" si="49"/>
        <v>0.3359899806444146</v>
      </c>
    </row>
    <row r="2953" spans="16:18" x14ac:dyDescent="0.3">
      <c r="P2953" s="35">
        <v>25.07</v>
      </c>
      <c r="Q2953">
        <v>305</v>
      </c>
      <c r="R2953" s="34">
        <f t="shared" si="49"/>
        <v>0.33610383695774715</v>
      </c>
    </row>
    <row r="2954" spans="16:18" x14ac:dyDescent="0.3">
      <c r="P2954" s="35">
        <v>25.07</v>
      </c>
      <c r="Q2954">
        <v>305</v>
      </c>
      <c r="R2954" s="34">
        <f t="shared" si="49"/>
        <v>0.3362176932710797</v>
      </c>
    </row>
    <row r="2955" spans="16:18" x14ac:dyDescent="0.3">
      <c r="P2955" s="35">
        <v>25.07</v>
      </c>
      <c r="Q2955">
        <v>305</v>
      </c>
      <c r="R2955" s="34">
        <f t="shared" si="49"/>
        <v>0.33633154958441225</v>
      </c>
    </row>
    <row r="2956" spans="16:18" x14ac:dyDescent="0.3">
      <c r="P2956" s="35">
        <v>25.07</v>
      </c>
      <c r="Q2956">
        <v>305</v>
      </c>
      <c r="R2956" s="34">
        <f t="shared" si="49"/>
        <v>0.3364454058977448</v>
      </c>
    </row>
    <row r="2957" spans="16:18" x14ac:dyDescent="0.3">
      <c r="P2957" s="35">
        <v>25.07</v>
      </c>
      <c r="Q2957">
        <v>305</v>
      </c>
      <c r="R2957" s="34">
        <f t="shared" si="49"/>
        <v>0.33655926221107735</v>
      </c>
    </row>
    <row r="2958" spans="16:18" x14ac:dyDescent="0.3">
      <c r="P2958" s="35">
        <v>25.08</v>
      </c>
      <c r="Q2958">
        <v>305</v>
      </c>
      <c r="R2958" s="34">
        <f t="shared" si="49"/>
        <v>0.3366731185244099</v>
      </c>
    </row>
    <row r="2959" spans="16:18" x14ac:dyDescent="0.3">
      <c r="P2959" s="35">
        <v>25.08</v>
      </c>
      <c r="Q2959">
        <v>305</v>
      </c>
      <c r="R2959" s="34">
        <f t="shared" si="49"/>
        <v>0.33678697483774245</v>
      </c>
    </row>
    <row r="2960" spans="16:18" x14ac:dyDescent="0.3">
      <c r="P2960" s="35">
        <v>25.08</v>
      </c>
      <c r="Q2960">
        <v>305</v>
      </c>
      <c r="R2960" s="34">
        <f t="shared" si="49"/>
        <v>0.336900831151075</v>
      </c>
    </row>
    <row r="2961" spans="16:18" x14ac:dyDescent="0.3">
      <c r="P2961" s="35">
        <v>25.08</v>
      </c>
      <c r="Q2961">
        <v>305</v>
      </c>
      <c r="R2961" s="34">
        <f t="shared" si="49"/>
        <v>0.33701468746440755</v>
      </c>
    </row>
    <row r="2962" spans="16:18" x14ac:dyDescent="0.3">
      <c r="P2962" s="35">
        <v>25.09</v>
      </c>
      <c r="Q2962">
        <v>305</v>
      </c>
      <c r="R2962" s="34">
        <f t="shared" si="49"/>
        <v>0.3371285437777401</v>
      </c>
    </row>
    <row r="2963" spans="16:18" x14ac:dyDescent="0.3">
      <c r="P2963" s="35">
        <v>25.09</v>
      </c>
      <c r="Q2963">
        <v>305</v>
      </c>
      <c r="R2963" s="34">
        <f t="shared" si="49"/>
        <v>0.33724240009107265</v>
      </c>
    </row>
    <row r="2964" spans="16:18" x14ac:dyDescent="0.3">
      <c r="P2964" s="35">
        <v>25.09</v>
      </c>
      <c r="Q2964">
        <v>305</v>
      </c>
      <c r="R2964" s="34">
        <f t="shared" si="49"/>
        <v>0.3373562564044052</v>
      </c>
    </row>
    <row r="2965" spans="16:18" x14ac:dyDescent="0.3">
      <c r="P2965" s="35">
        <v>25.1</v>
      </c>
      <c r="Q2965">
        <v>305</v>
      </c>
      <c r="R2965" s="34">
        <f t="shared" si="49"/>
        <v>0.33747011271773775</v>
      </c>
    </row>
    <row r="2966" spans="16:18" x14ac:dyDescent="0.3">
      <c r="P2966" s="35">
        <v>25.1</v>
      </c>
      <c r="Q2966">
        <v>305</v>
      </c>
      <c r="R2966" s="34">
        <f t="shared" si="49"/>
        <v>0.3375839690310703</v>
      </c>
    </row>
    <row r="2967" spans="16:18" x14ac:dyDescent="0.3">
      <c r="P2967" s="35">
        <v>25.1</v>
      </c>
      <c r="Q2967">
        <v>305</v>
      </c>
      <c r="R2967" s="34">
        <f t="shared" si="49"/>
        <v>0.33769782534440285</v>
      </c>
    </row>
    <row r="2968" spans="16:18" x14ac:dyDescent="0.3">
      <c r="P2968" s="35">
        <v>25.1</v>
      </c>
      <c r="Q2968">
        <v>305</v>
      </c>
      <c r="R2968" s="34">
        <f t="shared" si="49"/>
        <v>0.3378116816577354</v>
      </c>
    </row>
    <row r="2969" spans="16:18" x14ac:dyDescent="0.3">
      <c r="P2969" s="35">
        <v>25.1</v>
      </c>
      <c r="Q2969">
        <v>305</v>
      </c>
      <c r="R2969" s="34">
        <f t="shared" si="49"/>
        <v>0.33792553797106795</v>
      </c>
    </row>
    <row r="2970" spans="16:18" x14ac:dyDescent="0.3">
      <c r="P2970" s="35">
        <v>25.11</v>
      </c>
      <c r="Q2970">
        <v>305</v>
      </c>
      <c r="R2970" s="34">
        <f t="shared" si="49"/>
        <v>0.3380393942844005</v>
      </c>
    </row>
    <row r="2971" spans="16:18" x14ac:dyDescent="0.3">
      <c r="P2971" s="35">
        <v>25.11</v>
      </c>
      <c r="Q2971">
        <v>305</v>
      </c>
      <c r="R2971" s="34">
        <f t="shared" si="49"/>
        <v>0.33815325059773305</v>
      </c>
    </row>
    <row r="2972" spans="16:18" x14ac:dyDescent="0.3">
      <c r="P2972" s="35">
        <v>25.11</v>
      </c>
      <c r="Q2972">
        <v>305</v>
      </c>
      <c r="R2972" s="34">
        <f t="shared" si="49"/>
        <v>0.3382671069110656</v>
      </c>
    </row>
    <row r="2973" spans="16:18" x14ac:dyDescent="0.3">
      <c r="P2973" s="35">
        <v>25.11</v>
      </c>
      <c r="Q2973">
        <v>305</v>
      </c>
      <c r="R2973" s="34">
        <f t="shared" si="49"/>
        <v>0.33838096322439815</v>
      </c>
    </row>
    <row r="2974" spans="16:18" x14ac:dyDescent="0.3">
      <c r="P2974" s="35">
        <v>25.11</v>
      </c>
      <c r="Q2974">
        <v>305</v>
      </c>
      <c r="R2974" s="34">
        <f t="shared" si="49"/>
        <v>0.3384948195377307</v>
      </c>
    </row>
    <row r="2975" spans="16:18" x14ac:dyDescent="0.3">
      <c r="P2975" s="35">
        <v>25.12</v>
      </c>
      <c r="Q2975">
        <v>305</v>
      </c>
      <c r="R2975" s="34">
        <f t="shared" si="49"/>
        <v>0.33860867585106325</v>
      </c>
    </row>
    <row r="2976" spans="16:18" x14ac:dyDescent="0.3">
      <c r="P2976" s="35">
        <v>25.12</v>
      </c>
      <c r="Q2976">
        <v>305</v>
      </c>
      <c r="R2976" s="34">
        <f t="shared" si="49"/>
        <v>0.3387225321643958</v>
      </c>
    </row>
    <row r="2977" spans="16:18" x14ac:dyDescent="0.3">
      <c r="P2977" s="35">
        <v>25.12</v>
      </c>
      <c r="Q2977">
        <v>305</v>
      </c>
      <c r="R2977" s="34">
        <f t="shared" si="49"/>
        <v>0.33883638847772835</v>
      </c>
    </row>
    <row r="2978" spans="16:18" x14ac:dyDescent="0.3">
      <c r="P2978" s="35">
        <v>25.13</v>
      </c>
      <c r="Q2978">
        <v>305</v>
      </c>
      <c r="R2978" s="34">
        <f t="shared" si="49"/>
        <v>0.3389502447910609</v>
      </c>
    </row>
    <row r="2979" spans="16:18" x14ac:dyDescent="0.3">
      <c r="P2979" s="35">
        <v>25.13</v>
      </c>
      <c r="Q2979">
        <v>305</v>
      </c>
      <c r="R2979" s="34">
        <f t="shared" si="49"/>
        <v>0.33906410110439344</v>
      </c>
    </row>
    <row r="2980" spans="16:18" x14ac:dyDescent="0.3">
      <c r="P2980" s="35">
        <v>25.13</v>
      </c>
      <c r="Q2980">
        <v>305</v>
      </c>
      <c r="R2980" s="34">
        <f t="shared" si="49"/>
        <v>0.33917795741772599</v>
      </c>
    </row>
    <row r="2981" spans="16:18" x14ac:dyDescent="0.3">
      <c r="P2981" s="35">
        <v>25.14</v>
      </c>
      <c r="Q2981">
        <v>305</v>
      </c>
      <c r="R2981" s="34">
        <f t="shared" si="49"/>
        <v>0.33929181373105854</v>
      </c>
    </row>
    <row r="2982" spans="16:18" x14ac:dyDescent="0.3">
      <c r="P2982" s="35">
        <v>25.14</v>
      </c>
      <c r="Q2982">
        <v>305</v>
      </c>
      <c r="R2982" s="34">
        <f t="shared" si="49"/>
        <v>0.33940567004439109</v>
      </c>
    </row>
    <row r="2983" spans="16:18" x14ac:dyDescent="0.3">
      <c r="P2983" s="35">
        <v>25.14</v>
      </c>
      <c r="Q2983">
        <v>305</v>
      </c>
      <c r="R2983" s="34">
        <f t="shared" si="49"/>
        <v>0.33951952635772364</v>
      </c>
    </row>
    <row r="2984" spans="16:18" x14ac:dyDescent="0.3">
      <c r="P2984" s="35">
        <v>25.14</v>
      </c>
      <c r="Q2984">
        <v>305</v>
      </c>
      <c r="R2984" s="34">
        <f t="shared" si="49"/>
        <v>0.33963338267105619</v>
      </c>
    </row>
    <row r="2985" spans="16:18" x14ac:dyDescent="0.3">
      <c r="P2985" s="35">
        <v>25.14</v>
      </c>
      <c r="Q2985">
        <v>305</v>
      </c>
      <c r="R2985" s="34">
        <f t="shared" si="49"/>
        <v>0.33974723898438874</v>
      </c>
    </row>
    <row r="2986" spans="16:18" x14ac:dyDescent="0.3">
      <c r="P2986" s="35">
        <v>25.15</v>
      </c>
      <c r="Q2986">
        <v>305</v>
      </c>
      <c r="R2986" s="34">
        <f t="shared" si="49"/>
        <v>0.33986109529772129</v>
      </c>
    </row>
    <row r="2987" spans="16:18" x14ac:dyDescent="0.3">
      <c r="P2987" s="35">
        <v>25.15</v>
      </c>
      <c r="Q2987">
        <v>305</v>
      </c>
      <c r="R2987" s="34">
        <f t="shared" si="49"/>
        <v>0.33997495161105384</v>
      </c>
    </row>
    <row r="2988" spans="16:18" x14ac:dyDescent="0.3">
      <c r="P2988" s="35">
        <v>25.15</v>
      </c>
      <c r="Q2988">
        <v>305</v>
      </c>
      <c r="R2988" s="34">
        <f t="shared" si="49"/>
        <v>0.34008880792438639</v>
      </c>
    </row>
    <row r="2989" spans="16:18" x14ac:dyDescent="0.3">
      <c r="P2989" s="35">
        <v>25.16</v>
      </c>
      <c r="Q2989">
        <v>305</v>
      </c>
      <c r="R2989" s="34">
        <f t="shared" si="49"/>
        <v>0.34020266423771894</v>
      </c>
    </row>
    <row r="2990" spans="16:18" x14ac:dyDescent="0.3">
      <c r="P2990" s="35">
        <v>25.16</v>
      </c>
      <c r="Q2990">
        <v>305</v>
      </c>
      <c r="R2990" s="34">
        <f t="shared" si="49"/>
        <v>0.34031652055105149</v>
      </c>
    </row>
    <row r="2991" spans="16:18" x14ac:dyDescent="0.3">
      <c r="P2991" s="35">
        <v>25.16</v>
      </c>
      <c r="Q2991">
        <v>305</v>
      </c>
      <c r="R2991" s="34">
        <f t="shared" si="49"/>
        <v>0.34043037686438404</v>
      </c>
    </row>
    <row r="2992" spans="16:18" x14ac:dyDescent="0.3">
      <c r="P2992" s="35">
        <v>25.16</v>
      </c>
      <c r="Q2992">
        <v>305</v>
      </c>
      <c r="R2992" s="34">
        <f t="shared" si="49"/>
        <v>0.34054423317771659</v>
      </c>
    </row>
    <row r="2993" spans="16:18" x14ac:dyDescent="0.3">
      <c r="P2993" s="35">
        <v>25.17</v>
      </c>
      <c r="Q2993">
        <v>305</v>
      </c>
      <c r="R2993" s="34">
        <f t="shared" si="49"/>
        <v>0.34065808949104914</v>
      </c>
    </row>
    <row r="2994" spans="16:18" x14ac:dyDescent="0.3">
      <c r="P2994" s="35">
        <v>25.18</v>
      </c>
      <c r="Q2994">
        <v>305</v>
      </c>
      <c r="R2994" s="34">
        <f t="shared" si="49"/>
        <v>0.34077194580438169</v>
      </c>
    </row>
    <row r="2995" spans="16:18" x14ac:dyDescent="0.3">
      <c r="P2995" s="35">
        <v>25.18</v>
      </c>
      <c r="Q2995">
        <v>305</v>
      </c>
      <c r="R2995" s="34">
        <f t="shared" si="49"/>
        <v>0.34088580211771424</v>
      </c>
    </row>
    <row r="2996" spans="16:18" x14ac:dyDescent="0.3">
      <c r="P2996" s="35">
        <v>25.18</v>
      </c>
      <c r="Q2996">
        <v>305</v>
      </c>
      <c r="R2996" s="34">
        <f t="shared" si="49"/>
        <v>0.34099965843104679</v>
      </c>
    </row>
    <row r="2997" spans="16:18" x14ac:dyDescent="0.3">
      <c r="P2997" s="35">
        <v>25.18</v>
      </c>
      <c r="Q2997">
        <v>305</v>
      </c>
      <c r="R2997" s="34">
        <f t="shared" si="49"/>
        <v>0.34111351474437934</v>
      </c>
    </row>
    <row r="2998" spans="16:18" x14ac:dyDescent="0.3">
      <c r="P2998" s="35">
        <v>25.19</v>
      </c>
      <c r="Q2998">
        <v>305</v>
      </c>
      <c r="R2998" s="34">
        <f t="shared" si="49"/>
        <v>0.34122737105771189</v>
      </c>
    </row>
    <row r="2999" spans="16:18" x14ac:dyDescent="0.3">
      <c r="P2999" s="35">
        <v>25.19</v>
      </c>
      <c r="Q2999">
        <v>305</v>
      </c>
      <c r="R2999" s="34">
        <f t="shared" si="49"/>
        <v>0.34134122737104444</v>
      </c>
    </row>
    <row r="3000" spans="16:18" x14ac:dyDescent="0.3">
      <c r="P3000" s="35">
        <v>25.19</v>
      </c>
      <c r="Q3000">
        <v>305</v>
      </c>
      <c r="R3000" s="34">
        <f t="shared" si="49"/>
        <v>0.34145508368437699</v>
      </c>
    </row>
    <row r="3001" spans="16:18" x14ac:dyDescent="0.3">
      <c r="P3001" s="35">
        <v>25.2</v>
      </c>
      <c r="Q3001">
        <v>305</v>
      </c>
      <c r="R3001" s="34">
        <f t="shared" si="49"/>
        <v>0.34156893999770954</v>
      </c>
    </row>
    <row r="3002" spans="16:18" x14ac:dyDescent="0.3">
      <c r="P3002" s="35">
        <v>25.2</v>
      </c>
      <c r="Q3002">
        <v>305</v>
      </c>
      <c r="R3002" s="34">
        <f t="shared" si="49"/>
        <v>0.34168279631104209</v>
      </c>
    </row>
    <row r="3003" spans="16:18" x14ac:dyDescent="0.3">
      <c r="P3003" s="35">
        <v>25.2</v>
      </c>
      <c r="Q3003">
        <v>305</v>
      </c>
      <c r="R3003" s="34">
        <f t="shared" si="49"/>
        <v>0.34179665262437464</v>
      </c>
    </row>
    <row r="3004" spans="16:18" x14ac:dyDescent="0.3">
      <c r="P3004" s="35">
        <v>25.21</v>
      </c>
      <c r="Q3004">
        <v>305</v>
      </c>
      <c r="R3004" s="34">
        <f t="shared" si="49"/>
        <v>0.34191050893770719</v>
      </c>
    </row>
    <row r="3005" spans="16:18" x14ac:dyDescent="0.3">
      <c r="P3005" s="35">
        <v>25.21</v>
      </c>
      <c r="Q3005">
        <v>305</v>
      </c>
      <c r="R3005" s="34">
        <f t="shared" si="49"/>
        <v>0.34202436525103974</v>
      </c>
    </row>
    <row r="3006" spans="16:18" x14ac:dyDescent="0.3">
      <c r="P3006" s="35">
        <v>25.21</v>
      </c>
      <c r="Q3006">
        <v>305</v>
      </c>
      <c r="R3006" s="34">
        <f t="shared" si="49"/>
        <v>0.34213822156437229</v>
      </c>
    </row>
    <row r="3007" spans="16:18" x14ac:dyDescent="0.3">
      <c r="P3007" s="35">
        <v>25.21</v>
      </c>
      <c r="Q3007">
        <v>305</v>
      </c>
      <c r="R3007" s="34">
        <f t="shared" si="49"/>
        <v>0.34225207787770484</v>
      </c>
    </row>
    <row r="3008" spans="16:18" x14ac:dyDescent="0.3">
      <c r="P3008" s="35">
        <v>25.21</v>
      </c>
      <c r="Q3008">
        <v>305</v>
      </c>
      <c r="R3008" s="34">
        <f t="shared" si="49"/>
        <v>0.34236593419103739</v>
      </c>
    </row>
    <row r="3009" spans="16:18" x14ac:dyDescent="0.3">
      <c r="P3009" s="35">
        <v>25.22</v>
      </c>
      <c r="Q3009">
        <v>305</v>
      </c>
      <c r="R3009" s="34">
        <f t="shared" si="49"/>
        <v>0.34247979050436994</v>
      </c>
    </row>
    <row r="3010" spans="16:18" x14ac:dyDescent="0.3">
      <c r="P3010" s="35">
        <v>25.22</v>
      </c>
      <c r="Q3010">
        <v>305</v>
      </c>
      <c r="R3010" s="34">
        <f t="shared" si="49"/>
        <v>0.34259364681770249</v>
      </c>
    </row>
    <row r="3011" spans="16:18" x14ac:dyDescent="0.3">
      <c r="P3011" s="35">
        <v>25.23</v>
      </c>
      <c r="Q3011">
        <v>305</v>
      </c>
      <c r="R3011" s="34">
        <f t="shared" si="49"/>
        <v>0.34270750313103504</v>
      </c>
    </row>
    <row r="3012" spans="16:18" x14ac:dyDescent="0.3">
      <c r="P3012" s="35">
        <v>25.23</v>
      </c>
      <c r="Q3012">
        <v>305</v>
      </c>
      <c r="R3012" s="34">
        <f t="shared" ref="R3012:R3075" si="50">R3011+R$2</f>
        <v>0.34282135944436759</v>
      </c>
    </row>
    <row r="3013" spans="16:18" x14ac:dyDescent="0.3">
      <c r="P3013" s="35">
        <v>25.23</v>
      </c>
      <c r="Q3013">
        <v>305</v>
      </c>
      <c r="R3013" s="34">
        <f t="shared" si="50"/>
        <v>0.34293521575770014</v>
      </c>
    </row>
    <row r="3014" spans="16:18" x14ac:dyDescent="0.3">
      <c r="P3014" s="35">
        <v>25.24</v>
      </c>
      <c r="Q3014">
        <v>305</v>
      </c>
      <c r="R3014" s="34">
        <f t="shared" si="50"/>
        <v>0.34304907207103269</v>
      </c>
    </row>
    <row r="3015" spans="16:18" x14ac:dyDescent="0.3">
      <c r="P3015" s="35">
        <v>25.24</v>
      </c>
      <c r="Q3015">
        <v>305</v>
      </c>
      <c r="R3015" s="34">
        <f t="shared" si="50"/>
        <v>0.34316292838436524</v>
      </c>
    </row>
    <row r="3016" spans="16:18" x14ac:dyDescent="0.3">
      <c r="P3016" s="35">
        <v>25.24</v>
      </c>
      <c r="Q3016">
        <v>305</v>
      </c>
      <c r="R3016" s="34">
        <f t="shared" si="50"/>
        <v>0.34327678469769779</v>
      </c>
    </row>
    <row r="3017" spans="16:18" x14ac:dyDescent="0.3">
      <c r="P3017" s="35">
        <v>25.24</v>
      </c>
      <c r="Q3017">
        <v>305</v>
      </c>
      <c r="R3017" s="34">
        <f t="shared" si="50"/>
        <v>0.34339064101103034</v>
      </c>
    </row>
    <row r="3018" spans="16:18" x14ac:dyDescent="0.3">
      <c r="P3018" s="35">
        <v>25.24</v>
      </c>
      <c r="Q3018">
        <v>305</v>
      </c>
      <c r="R3018" s="34">
        <f t="shared" si="50"/>
        <v>0.34350449732436289</v>
      </c>
    </row>
    <row r="3019" spans="16:18" x14ac:dyDescent="0.3">
      <c r="P3019" s="35">
        <v>25.25</v>
      </c>
      <c r="Q3019">
        <v>305</v>
      </c>
      <c r="R3019" s="34">
        <f t="shared" si="50"/>
        <v>0.34361835363769544</v>
      </c>
    </row>
    <row r="3020" spans="16:18" x14ac:dyDescent="0.3">
      <c r="P3020" s="35">
        <v>25.25</v>
      </c>
      <c r="Q3020">
        <v>305</v>
      </c>
      <c r="R3020" s="34">
        <f t="shared" si="50"/>
        <v>0.34373220995102799</v>
      </c>
    </row>
    <row r="3021" spans="16:18" x14ac:dyDescent="0.3">
      <c r="P3021" s="35">
        <v>25.25</v>
      </c>
      <c r="Q3021">
        <v>305</v>
      </c>
      <c r="R3021" s="34">
        <f t="shared" si="50"/>
        <v>0.34384606626436054</v>
      </c>
    </row>
    <row r="3022" spans="16:18" x14ac:dyDescent="0.3">
      <c r="P3022" s="35">
        <v>25.25</v>
      </c>
      <c r="Q3022">
        <v>305</v>
      </c>
      <c r="R3022" s="34">
        <f t="shared" si="50"/>
        <v>0.34395992257769309</v>
      </c>
    </row>
    <row r="3023" spans="16:18" x14ac:dyDescent="0.3">
      <c r="P3023" s="35">
        <v>25.25</v>
      </c>
      <c r="Q3023">
        <v>305</v>
      </c>
      <c r="R3023" s="34">
        <f t="shared" si="50"/>
        <v>0.34407377889102564</v>
      </c>
    </row>
    <row r="3024" spans="16:18" x14ac:dyDescent="0.3">
      <c r="P3024" s="35">
        <v>25.26</v>
      </c>
      <c r="Q3024">
        <v>305</v>
      </c>
      <c r="R3024" s="34">
        <f t="shared" si="50"/>
        <v>0.34418763520435819</v>
      </c>
    </row>
    <row r="3025" spans="16:18" x14ac:dyDescent="0.3">
      <c r="P3025" s="35">
        <v>25.26</v>
      </c>
      <c r="Q3025">
        <v>305</v>
      </c>
      <c r="R3025" s="34">
        <f t="shared" si="50"/>
        <v>0.34430149151769074</v>
      </c>
    </row>
    <row r="3026" spans="16:18" x14ac:dyDescent="0.3">
      <c r="P3026" s="35">
        <v>25.26</v>
      </c>
      <c r="Q3026">
        <v>305</v>
      </c>
      <c r="R3026" s="34">
        <f t="shared" si="50"/>
        <v>0.34441534783102329</v>
      </c>
    </row>
    <row r="3027" spans="16:18" x14ac:dyDescent="0.3">
      <c r="P3027" s="35">
        <v>25.27</v>
      </c>
      <c r="Q3027">
        <v>305</v>
      </c>
      <c r="R3027" s="34">
        <f t="shared" si="50"/>
        <v>0.34452920414435584</v>
      </c>
    </row>
    <row r="3028" spans="16:18" x14ac:dyDescent="0.3">
      <c r="P3028" s="35">
        <v>25.27</v>
      </c>
      <c r="Q3028">
        <v>305</v>
      </c>
      <c r="R3028" s="34">
        <f t="shared" si="50"/>
        <v>0.34464306045768839</v>
      </c>
    </row>
    <row r="3029" spans="16:18" x14ac:dyDescent="0.3">
      <c r="P3029" s="35">
        <v>25.27</v>
      </c>
      <c r="Q3029">
        <v>305</v>
      </c>
      <c r="R3029" s="34">
        <f t="shared" si="50"/>
        <v>0.34475691677102094</v>
      </c>
    </row>
    <row r="3030" spans="16:18" x14ac:dyDescent="0.3">
      <c r="P3030" s="35">
        <v>25.27</v>
      </c>
      <c r="Q3030">
        <v>305</v>
      </c>
      <c r="R3030" s="34">
        <f t="shared" si="50"/>
        <v>0.34487077308435349</v>
      </c>
    </row>
    <row r="3031" spans="16:18" x14ac:dyDescent="0.3">
      <c r="P3031" s="35">
        <v>25.28</v>
      </c>
      <c r="Q3031">
        <v>305</v>
      </c>
      <c r="R3031" s="34">
        <f t="shared" si="50"/>
        <v>0.34498462939768604</v>
      </c>
    </row>
    <row r="3032" spans="16:18" x14ac:dyDescent="0.3">
      <c r="P3032" s="35">
        <v>25.29</v>
      </c>
      <c r="Q3032">
        <v>305</v>
      </c>
      <c r="R3032" s="34">
        <f t="shared" si="50"/>
        <v>0.34509848571101859</v>
      </c>
    </row>
    <row r="3033" spans="16:18" x14ac:dyDescent="0.3">
      <c r="P3033" s="35">
        <v>25.29</v>
      </c>
      <c r="Q3033">
        <v>305</v>
      </c>
      <c r="R3033" s="34">
        <f t="shared" si="50"/>
        <v>0.34521234202435114</v>
      </c>
    </row>
    <row r="3034" spans="16:18" x14ac:dyDescent="0.3">
      <c r="P3034" s="35">
        <v>25.29</v>
      </c>
      <c r="Q3034">
        <v>305</v>
      </c>
      <c r="R3034" s="34">
        <f t="shared" si="50"/>
        <v>0.34532619833768369</v>
      </c>
    </row>
    <row r="3035" spans="16:18" x14ac:dyDescent="0.3">
      <c r="P3035" s="35">
        <v>25.3</v>
      </c>
      <c r="Q3035">
        <v>305</v>
      </c>
      <c r="R3035" s="34">
        <f t="shared" si="50"/>
        <v>0.34544005465101624</v>
      </c>
    </row>
    <row r="3036" spans="16:18" x14ac:dyDescent="0.3">
      <c r="P3036" s="35">
        <v>25.3</v>
      </c>
      <c r="Q3036">
        <v>305</v>
      </c>
      <c r="R3036" s="34">
        <f t="shared" si="50"/>
        <v>0.34555391096434879</v>
      </c>
    </row>
    <row r="3037" spans="16:18" x14ac:dyDescent="0.3">
      <c r="P3037" s="35">
        <v>25.3</v>
      </c>
      <c r="Q3037">
        <v>305</v>
      </c>
      <c r="R3037" s="34">
        <f t="shared" si="50"/>
        <v>0.34566776727768134</v>
      </c>
    </row>
    <row r="3038" spans="16:18" x14ac:dyDescent="0.3">
      <c r="P3038" s="35">
        <v>25.3</v>
      </c>
      <c r="Q3038">
        <v>305</v>
      </c>
      <c r="R3038" s="34">
        <f t="shared" si="50"/>
        <v>0.34578162359101389</v>
      </c>
    </row>
    <row r="3039" spans="16:18" x14ac:dyDescent="0.3">
      <c r="P3039" s="35">
        <v>25.3</v>
      </c>
      <c r="Q3039">
        <v>305</v>
      </c>
      <c r="R3039" s="34">
        <f t="shared" si="50"/>
        <v>0.34589547990434644</v>
      </c>
    </row>
    <row r="3040" spans="16:18" x14ac:dyDescent="0.3">
      <c r="P3040" s="35">
        <v>25.31</v>
      </c>
      <c r="Q3040">
        <v>305</v>
      </c>
      <c r="R3040" s="34">
        <f t="shared" si="50"/>
        <v>0.34600933621767899</v>
      </c>
    </row>
    <row r="3041" spans="16:18" x14ac:dyDescent="0.3">
      <c r="P3041" s="35">
        <v>25.31</v>
      </c>
      <c r="Q3041">
        <v>305</v>
      </c>
      <c r="R3041" s="34">
        <f t="shared" si="50"/>
        <v>0.34612319253101154</v>
      </c>
    </row>
    <row r="3042" spans="16:18" x14ac:dyDescent="0.3">
      <c r="P3042" s="35">
        <v>25.31</v>
      </c>
      <c r="Q3042">
        <v>305</v>
      </c>
      <c r="R3042" s="34">
        <f t="shared" si="50"/>
        <v>0.34623704884434409</v>
      </c>
    </row>
    <row r="3043" spans="16:18" x14ac:dyDescent="0.3">
      <c r="P3043" s="35">
        <v>25.31</v>
      </c>
      <c r="Q3043">
        <v>305</v>
      </c>
      <c r="R3043" s="34">
        <f t="shared" si="50"/>
        <v>0.34635090515767664</v>
      </c>
    </row>
    <row r="3044" spans="16:18" x14ac:dyDescent="0.3">
      <c r="P3044" s="35">
        <v>25.31</v>
      </c>
      <c r="Q3044">
        <v>305</v>
      </c>
      <c r="R3044" s="34">
        <f t="shared" si="50"/>
        <v>0.34646476147100919</v>
      </c>
    </row>
    <row r="3045" spans="16:18" x14ac:dyDescent="0.3">
      <c r="P3045" s="35">
        <v>25.32</v>
      </c>
      <c r="Q3045">
        <v>305</v>
      </c>
      <c r="R3045" s="34">
        <f t="shared" si="50"/>
        <v>0.34657861778434174</v>
      </c>
    </row>
    <row r="3046" spans="16:18" x14ac:dyDescent="0.3">
      <c r="P3046" s="35">
        <v>25.32</v>
      </c>
      <c r="Q3046">
        <v>305</v>
      </c>
      <c r="R3046" s="34">
        <f t="shared" si="50"/>
        <v>0.34669247409767429</v>
      </c>
    </row>
    <row r="3047" spans="16:18" x14ac:dyDescent="0.3">
      <c r="P3047" s="35">
        <v>25.32</v>
      </c>
      <c r="Q3047">
        <v>305</v>
      </c>
      <c r="R3047" s="34">
        <f t="shared" si="50"/>
        <v>0.34680633041100684</v>
      </c>
    </row>
    <row r="3048" spans="16:18" x14ac:dyDescent="0.3">
      <c r="P3048" s="35">
        <v>25.32</v>
      </c>
      <c r="Q3048">
        <v>305</v>
      </c>
      <c r="R3048" s="34">
        <f t="shared" si="50"/>
        <v>0.34692018672433939</v>
      </c>
    </row>
    <row r="3049" spans="16:18" x14ac:dyDescent="0.3">
      <c r="P3049" s="35">
        <v>25.32</v>
      </c>
      <c r="Q3049">
        <v>305</v>
      </c>
      <c r="R3049" s="34">
        <f t="shared" si="50"/>
        <v>0.34703404303767194</v>
      </c>
    </row>
    <row r="3050" spans="16:18" x14ac:dyDescent="0.3">
      <c r="P3050" s="35">
        <v>25.33</v>
      </c>
      <c r="Q3050">
        <v>305</v>
      </c>
      <c r="R3050" s="34">
        <f t="shared" si="50"/>
        <v>0.34714789935100449</v>
      </c>
    </row>
    <row r="3051" spans="16:18" x14ac:dyDescent="0.3">
      <c r="P3051" s="35">
        <v>25.33</v>
      </c>
      <c r="Q3051">
        <v>305</v>
      </c>
      <c r="R3051" s="34">
        <f t="shared" si="50"/>
        <v>0.34726175566433704</v>
      </c>
    </row>
    <row r="3052" spans="16:18" x14ac:dyDescent="0.3">
      <c r="P3052" s="35">
        <v>25.34</v>
      </c>
      <c r="Q3052">
        <v>305</v>
      </c>
      <c r="R3052" s="34">
        <f t="shared" si="50"/>
        <v>0.34737561197766958</v>
      </c>
    </row>
    <row r="3053" spans="16:18" x14ac:dyDescent="0.3">
      <c r="P3053" s="35">
        <v>25.34</v>
      </c>
      <c r="Q3053">
        <v>305</v>
      </c>
      <c r="R3053" s="34">
        <f t="shared" si="50"/>
        <v>0.34748946829100213</v>
      </c>
    </row>
    <row r="3054" spans="16:18" x14ac:dyDescent="0.3">
      <c r="P3054" s="35">
        <v>25.34</v>
      </c>
      <c r="Q3054">
        <v>305</v>
      </c>
      <c r="R3054" s="34">
        <f t="shared" si="50"/>
        <v>0.34760332460433468</v>
      </c>
    </row>
    <row r="3055" spans="16:18" x14ac:dyDescent="0.3">
      <c r="P3055" s="35">
        <v>25.35</v>
      </c>
      <c r="Q3055">
        <v>305</v>
      </c>
      <c r="R3055" s="34">
        <f t="shared" si="50"/>
        <v>0.34771718091766723</v>
      </c>
    </row>
    <row r="3056" spans="16:18" x14ac:dyDescent="0.3">
      <c r="P3056" s="35">
        <v>25.35</v>
      </c>
      <c r="Q3056">
        <v>305</v>
      </c>
      <c r="R3056" s="34">
        <f t="shared" si="50"/>
        <v>0.34783103723099978</v>
      </c>
    </row>
    <row r="3057" spans="16:18" x14ac:dyDescent="0.3">
      <c r="P3057" s="35">
        <v>25.35</v>
      </c>
      <c r="Q3057">
        <v>305</v>
      </c>
      <c r="R3057" s="34">
        <f t="shared" si="50"/>
        <v>0.34794489354433233</v>
      </c>
    </row>
    <row r="3058" spans="16:18" x14ac:dyDescent="0.3">
      <c r="P3058" s="35">
        <v>25.35</v>
      </c>
      <c r="Q3058">
        <v>305</v>
      </c>
      <c r="R3058" s="34">
        <f t="shared" si="50"/>
        <v>0.34805874985766488</v>
      </c>
    </row>
    <row r="3059" spans="16:18" x14ac:dyDescent="0.3">
      <c r="P3059" s="35">
        <v>25.35</v>
      </c>
      <c r="Q3059">
        <v>305</v>
      </c>
      <c r="R3059" s="34">
        <f t="shared" si="50"/>
        <v>0.34817260617099743</v>
      </c>
    </row>
    <row r="3060" spans="16:18" x14ac:dyDescent="0.3">
      <c r="P3060" s="35">
        <v>25.37</v>
      </c>
      <c r="Q3060">
        <v>305</v>
      </c>
      <c r="R3060" s="34">
        <f t="shared" si="50"/>
        <v>0.34828646248432998</v>
      </c>
    </row>
    <row r="3061" spans="16:18" x14ac:dyDescent="0.3">
      <c r="P3061" s="35">
        <v>25.37</v>
      </c>
      <c r="Q3061">
        <v>305</v>
      </c>
      <c r="R3061" s="34">
        <f t="shared" si="50"/>
        <v>0.34840031879766253</v>
      </c>
    </row>
    <row r="3062" spans="16:18" x14ac:dyDescent="0.3">
      <c r="P3062" s="35">
        <v>25.37</v>
      </c>
      <c r="Q3062">
        <v>305</v>
      </c>
      <c r="R3062" s="34">
        <f t="shared" si="50"/>
        <v>0.34851417511099508</v>
      </c>
    </row>
    <row r="3063" spans="16:18" x14ac:dyDescent="0.3">
      <c r="P3063" s="35">
        <v>25.37</v>
      </c>
      <c r="Q3063">
        <v>305</v>
      </c>
      <c r="R3063" s="34">
        <f t="shared" si="50"/>
        <v>0.34862803142432763</v>
      </c>
    </row>
    <row r="3064" spans="16:18" x14ac:dyDescent="0.3">
      <c r="P3064" s="35">
        <v>25.38</v>
      </c>
      <c r="Q3064">
        <v>305</v>
      </c>
      <c r="R3064" s="34">
        <f t="shared" si="50"/>
        <v>0.34874188773766018</v>
      </c>
    </row>
    <row r="3065" spans="16:18" x14ac:dyDescent="0.3">
      <c r="P3065" s="35">
        <v>25.38</v>
      </c>
      <c r="Q3065">
        <v>305</v>
      </c>
      <c r="R3065" s="34">
        <f t="shared" si="50"/>
        <v>0.34885574405099273</v>
      </c>
    </row>
    <row r="3066" spans="16:18" x14ac:dyDescent="0.3">
      <c r="P3066" s="35">
        <v>25.38</v>
      </c>
      <c r="Q3066">
        <v>305</v>
      </c>
      <c r="R3066" s="34">
        <f t="shared" si="50"/>
        <v>0.34896960036432528</v>
      </c>
    </row>
    <row r="3067" spans="16:18" x14ac:dyDescent="0.3">
      <c r="P3067" s="35">
        <v>25.39</v>
      </c>
      <c r="Q3067">
        <v>305</v>
      </c>
      <c r="R3067" s="34">
        <f t="shared" si="50"/>
        <v>0.34908345667765783</v>
      </c>
    </row>
    <row r="3068" spans="16:18" x14ac:dyDescent="0.3">
      <c r="P3068" s="35">
        <v>25.39</v>
      </c>
      <c r="Q3068">
        <v>305</v>
      </c>
      <c r="R3068" s="34">
        <f t="shared" si="50"/>
        <v>0.34919731299099038</v>
      </c>
    </row>
    <row r="3069" spans="16:18" x14ac:dyDescent="0.3">
      <c r="P3069" s="35">
        <v>25.39</v>
      </c>
      <c r="Q3069">
        <v>305</v>
      </c>
      <c r="R3069" s="34">
        <f t="shared" si="50"/>
        <v>0.34931116930432293</v>
      </c>
    </row>
    <row r="3070" spans="16:18" x14ac:dyDescent="0.3">
      <c r="P3070" s="35">
        <v>25.4</v>
      </c>
      <c r="Q3070">
        <v>305</v>
      </c>
      <c r="R3070" s="34">
        <f t="shared" si="50"/>
        <v>0.34942502561765548</v>
      </c>
    </row>
    <row r="3071" spans="16:18" x14ac:dyDescent="0.3">
      <c r="P3071" s="35">
        <v>25.4</v>
      </c>
      <c r="Q3071">
        <v>305</v>
      </c>
      <c r="R3071" s="34">
        <f t="shared" si="50"/>
        <v>0.34953888193098803</v>
      </c>
    </row>
    <row r="3072" spans="16:18" x14ac:dyDescent="0.3">
      <c r="P3072" s="35">
        <v>25.41</v>
      </c>
      <c r="Q3072">
        <v>305</v>
      </c>
      <c r="R3072" s="34">
        <f t="shared" si="50"/>
        <v>0.34965273824432058</v>
      </c>
    </row>
    <row r="3073" spans="16:18" x14ac:dyDescent="0.3">
      <c r="P3073" s="35">
        <v>25.43</v>
      </c>
      <c r="Q3073">
        <v>305</v>
      </c>
      <c r="R3073" s="34">
        <f t="shared" si="50"/>
        <v>0.34976659455765313</v>
      </c>
    </row>
    <row r="3074" spans="16:18" x14ac:dyDescent="0.3">
      <c r="P3074" s="35">
        <v>25.43</v>
      </c>
      <c r="Q3074">
        <v>305</v>
      </c>
      <c r="R3074" s="34">
        <f t="shared" si="50"/>
        <v>0.34988045087098568</v>
      </c>
    </row>
    <row r="3075" spans="16:18" x14ac:dyDescent="0.3">
      <c r="P3075" s="35">
        <v>25.43</v>
      </c>
      <c r="Q3075">
        <v>305</v>
      </c>
      <c r="R3075" s="34">
        <f t="shared" si="50"/>
        <v>0.34999430718431823</v>
      </c>
    </row>
    <row r="3076" spans="16:18" x14ac:dyDescent="0.3">
      <c r="P3076" s="35">
        <v>25.43</v>
      </c>
      <c r="Q3076">
        <v>305</v>
      </c>
      <c r="R3076" s="34">
        <f t="shared" ref="R3076:R3139" si="51">R3075+R$2</f>
        <v>0.35010816349765078</v>
      </c>
    </row>
    <row r="3077" spans="16:18" x14ac:dyDescent="0.3">
      <c r="P3077" s="35">
        <v>25.43</v>
      </c>
      <c r="Q3077">
        <v>305</v>
      </c>
      <c r="R3077" s="34">
        <f t="shared" si="51"/>
        <v>0.35022201981098333</v>
      </c>
    </row>
    <row r="3078" spans="16:18" x14ac:dyDescent="0.3">
      <c r="P3078" s="35">
        <v>25.43</v>
      </c>
      <c r="Q3078">
        <v>305</v>
      </c>
      <c r="R3078" s="34">
        <f t="shared" si="51"/>
        <v>0.35033587612431588</v>
      </c>
    </row>
    <row r="3079" spans="16:18" x14ac:dyDescent="0.3">
      <c r="P3079" s="35">
        <v>25.43</v>
      </c>
      <c r="Q3079">
        <v>305</v>
      </c>
      <c r="R3079" s="34">
        <f t="shared" si="51"/>
        <v>0.35044973243764843</v>
      </c>
    </row>
    <row r="3080" spans="16:18" x14ac:dyDescent="0.3">
      <c r="P3080" s="35">
        <v>25.43</v>
      </c>
      <c r="Q3080">
        <v>305</v>
      </c>
      <c r="R3080" s="34">
        <f t="shared" si="51"/>
        <v>0.35056358875098098</v>
      </c>
    </row>
    <row r="3081" spans="16:18" x14ac:dyDescent="0.3">
      <c r="P3081" s="35">
        <v>25.44</v>
      </c>
      <c r="Q3081">
        <v>305</v>
      </c>
      <c r="R3081" s="34">
        <f t="shared" si="51"/>
        <v>0.35067744506431353</v>
      </c>
    </row>
    <row r="3082" spans="16:18" x14ac:dyDescent="0.3">
      <c r="P3082" s="35">
        <v>25.44</v>
      </c>
      <c r="Q3082">
        <v>305</v>
      </c>
      <c r="R3082" s="34">
        <f t="shared" si="51"/>
        <v>0.35079130137764608</v>
      </c>
    </row>
    <row r="3083" spans="16:18" x14ac:dyDescent="0.3">
      <c r="P3083" s="35">
        <v>25.44</v>
      </c>
      <c r="Q3083">
        <v>305</v>
      </c>
      <c r="R3083" s="34">
        <f t="shared" si="51"/>
        <v>0.35090515769097863</v>
      </c>
    </row>
    <row r="3084" spans="16:18" x14ac:dyDescent="0.3">
      <c r="P3084" s="35">
        <v>25.45</v>
      </c>
      <c r="Q3084">
        <v>305</v>
      </c>
      <c r="R3084" s="34">
        <f t="shared" si="51"/>
        <v>0.35101901400431118</v>
      </c>
    </row>
    <row r="3085" spans="16:18" x14ac:dyDescent="0.3">
      <c r="P3085" s="35">
        <v>25.45</v>
      </c>
      <c r="Q3085">
        <v>305</v>
      </c>
      <c r="R3085" s="34">
        <f t="shared" si="51"/>
        <v>0.35113287031764373</v>
      </c>
    </row>
    <row r="3086" spans="16:18" x14ac:dyDescent="0.3">
      <c r="P3086" s="35">
        <v>25.45</v>
      </c>
      <c r="Q3086">
        <v>305</v>
      </c>
      <c r="R3086" s="34">
        <f t="shared" si="51"/>
        <v>0.35124672663097628</v>
      </c>
    </row>
    <row r="3087" spans="16:18" x14ac:dyDescent="0.3">
      <c r="P3087" s="35">
        <v>25.45</v>
      </c>
      <c r="Q3087">
        <v>305</v>
      </c>
      <c r="R3087" s="34">
        <f t="shared" si="51"/>
        <v>0.35136058294430883</v>
      </c>
    </row>
    <row r="3088" spans="16:18" x14ac:dyDescent="0.3">
      <c r="P3088" s="35">
        <v>25.45</v>
      </c>
      <c r="Q3088">
        <v>305</v>
      </c>
      <c r="R3088" s="34">
        <f t="shared" si="51"/>
        <v>0.35147443925764138</v>
      </c>
    </row>
    <row r="3089" spans="16:18" x14ac:dyDescent="0.3">
      <c r="P3089" s="35">
        <v>25.45</v>
      </c>
      <c r="Q3089">
        <v>305</v>
      </c>
      <c r="R3089" s="34">
        <f t="shared" si="51"/>
        <v>0.35158829557097393</v>
      </c>
    </row>
    <row r="3090" spans="16:18" x14ac:dyDescent="0.3">
      <c r="P3090" s="35">
        <v>25.46</v>
      </c>
      <c r="Q3090">
        <v>305</v>
      </c>
      <c r="R3090" s="34">
        <f t="shared" si="51"/>
        <v>0.35170215188430648</v>
      </c>
    </row>
    <row r="3091" spans="16:18" x14ac:dyDescent="0.3">
      <c r="P3091" s="35">
        <v>25.47</v>
      </c>
      <c r="Q3091">
        <v>305</v>
      </c>
      <c r="R3091" s="34">
        <f t="shared" si="51"/>
        <v>0.35181600819763903</v>
      </c>
    </row>
    <row r="3092" spans="16:18" x14ac:dyDescent="0.3">
      <c r="P3092" s="35">
        <v>25.47</v>
      </c>
      <c r="Q3092">
        <v>305</v>
      </c>
      <c r="R3092" s="34">
        <f t="shared" si="51"/>
        <v>0.35192986451097158</v>
      </c>
    </row>
    <row r="3093" spans="16:18" x14ac:dyDescent="0.3">
      <c r="P3093" s="35">
        <v>25.47</v>
      </c>
      <c r="Q3093">
        <v>305</v>
      </c>
      <c r="R3093" s="34">
        <f t="shared" si="51"/>
        <v>0.35204372082430413</v>
      </c>
    </row>
    <row r="3094" spans="16:18" x14ac:dyDescent="0.3">
      <c r="P3094" s="35">
        <v>25.47</v>
      </c>
      <c r="Q3094">
        <v>305</v>
      </c>
      <c r="R3094" s="34">
        <f t="shared" si="51"/>
        <v>0.35215757713763668</v>
      </c>
    </row>
    <row r="3095" spans="16:18" x14ac:dyDescent="0.3">
      <c r="P3095" s="35">
        <v>25.47</v>
      </c>
      <c r="Q3095">
        <v>305</v>
      </c>
      <c r="R3095" s="34">
        <f t="shared" si="51"/>
        <v>0.35227143345096923</v>
      </c>
    </row>
    <row r="3096" spans="16:18" x14ac:dyDescent="0.3">
      <c r="P3096" s="35">
        <v>25.48</v>
      </c>
      <c r="Q3096">
        <v>305</v>
      </c>
      <c r="R3096" s="34">
        <f t="shared" si="51"/>
        <v>0.35238528976430178</v>
      </c>
    </row>
    <row r="3097" spans="16:18" x14ac:dyDescent="0.3">
      <c r="P3097" s="35">
        <v>25.49</v>
      </c>
      <c r="Q3097">
        <v>305</v>
      </c>
      <c r="R3097" s="34">
        <f t="shared" si="51"/>
        <v>0.35249914607763433</v>
      </c>
    </row>
    <row r="3098" spans="16:18" x14ac:dyDescent="0.3">
      <c r="P3098" s="35">
        <v>25.49</v>
      </c>
      <c r="Q3098">
        <v>305</v>
      </c>
      <c r="R3098" s="34">
        <f t="shared" si="51"/>
        <v>0.35261300239096688</v>
      </c>
    </row>
    <row r="3099" spans="16:18" x14ac:dyDescent="0.3">
      <c r="P3099" s="35">
        <v>25.5</v>
      </c>
      <c r="Q3099">
        <v>305</v>
      </c>
      <c r="R3099" s="34">
        <f t="shared" si="51"/>
        <v>0.35272685870429943</v>
      </c>
    </row>
    <row r="3100" spans="16:18" x14ac:dyDescent="0.3">
      <c r="P3100" s="35">
        <v>25.51</v>
      </c>
      <c r="Q3100">
        <v>305</v>
      </c>
      <c r="R3100" s="34">
        <f t="shared" si="51"/>
        <v>0.35284071501763198</v>
      </c>
    </row>
    <row r="3101" spans="16:18" x14ac:dyDescent="0.3">
      <c r="P3101" s="35">
        <v>25.51</v>
      </c>
      <c r="Q3101">
        <v>305</v>
      </c>
      <c r="R3101" s="34">
        <f t="shared" si="51"/>
        <v>0.35295457133096453</v>
      </c>
    </row>
    <row r="3102" spans="16:18" x14ac:dyDescent="0.3">
      <c r="P3102" s="35">
        <v>25.51</v>
      </c>
      <c r="Q3102">
        <v>305</v>
      </c>
      <c r="R3102" s="34">
        <f t="shared" si="51"/>
        <v>0.35306842764429708</v>
      </c>
    </row>
    <row r="3103" spans="16:18" x14ac:dyDescent="0.3">
      <c r="P3103" s="35">
        <v>25.52</v>
      </c>
      <c r="Q3103">
        <v>305</v>
      </c>
      <c r="R3103" s="34">
        <f t="shared" si="51"/>
        <v>0.35318228395762963</v>
      </c>
    </row>
    <row r="3104" spans="16:18" x14ac:dyDescent="0.3">
      <c r="P3104" s="35">
        <v>25.52</v>
      </c>
      <c r="Q3104">
        <v>305</v>
      </c>
      <c r="R3104" s="34">
        <f t="shared" si="51"/>
        <v>0.35329614027096218</v>
      </c>
    </row>
    <row r="3105" spans="16:18" x14ac:dyDescent="0.3">
      <c r="P3105" s="35">
        <v>25.52</v>
      </c>
      <c r="Q3105">
        <v>305</v>
      </c>
      <c r="R3105" s="34">
        <f t="shared" si="51"/>
        <v>0.35340999658429473</v>
      </c>
    </row>
    <row r="3106" spans="16:18" x14ac:dyDescent="0.3">
      <c r="P3106" s="35">
        <v>25.52</v>
      </c>
      <c r="Q3106">
        <v>305</v>
      </c>
      <c r="R3106" s="34">
        <f t="shared" si="51"/>
        <v>0.35352385289762728</v>
      </c>
    </row>
    <row r="3107" spans="16:18" x14ac:dyDescent="0.3">
      <c r="P3107" s="35">
        <v>25.52</v>
      </c>
      <c r="Q3107">
        <v>305</v>
      </c>
      <c r="R3107" s="34">
        <f t="shared" si="51"/>
        <v>0.35363770921095983</v>
      </c>
    </row>
    <row r="3108" spans="16:18" x14ac:dyDescent="0.3">
      <c r="P3108" s="35">
        <v>25.52</v>
      </c>
      <c r="Q3108">
        <v>305</v>
      </c>
      <c r="R3108" s="34">
        <f t="shared" si="51"/>
        <v>0.35375156552429238</v>
      </c>
    </row>
    <row r="3109" spans="16:18" x14ac:dyDescent="0.3">
      <c r="P3109" s="35">
        <v>25.53</v>
      </c>
      <c r="Q3109">
        <v>305</v>
      </c>
      <c r="R3109" s="34">
        <f t="shared" si="51"/>
        <v>0.35386542183762493</v>
      </c>
    </row>
    <row r="3110" spans="16:18" x14ac:dyDescent="0.3">
      <c r="P3110" s="35">
        <v>25.54</v>
      </c>
      <c r="Q3110">
        <v>305</v>
      </c>
      <c r="R3110" s="34">
        <f t="shared" si="51"/>
        <v>0.35397927815095748</v>
      </c>
    </row>
    <row r="3111" spans="16:18" x14ac:dyDescent="0.3">
      <c r="P3111" s="35">
        <v>25.54</v>
      </c>
      <c r="Q3111">
        <v>305</v>
      </c>
      <c r="R3111" s="34">
        <f t="shared" si="51"/>
        <v>0.35409313446429003</v>
      </c>
    </row>
    <row r="3112" spans="16:18" x14ac:dyDescent="0.3">
      <c r="P3112" s="35">
        <v>25.55</v>
      </c>
      <c r="Q3112">
        <v>305</v>
      </c>
      <c r="R3112" s="34">
        <f t="shared" si="51"/>
        <v>0.35420699077762258</v>
      </c>
    </row>
    <row r="3113" spans="16:18" x14ac:dyDescent="0.3">
      <c r="P3113" s="35">
        <v>25.55</v>
      </c>
      <c r="Q3113">
        <v>305</v>
      </c>
      <c r="R3113" s="34">
        <f t="shared" si="51"/>
        <v>0.35432084709095513</v>
      </c>
    </row>
    <row r="3114" spans="16:18" x14ac:dyDescent="0.3">
      <c r="P3114" s="35">
        <v>25.55</v>
      </c>
      <c r="Q3114">
        <v>305</v>
      </c>
      <c r="R3114" s="34">
        <f t="shared" si="51"/>
        <v>0.35443470340428768</v>
      </c>
    </row>
    <row r="3115" spans="16:18" x14ac:dyDescent="0.3">
      <c r="P3115" s="35">
        <v>25.56</v>
      </c>
      <c r="Q3115">
        <v>305</v>
      </c>
      <c r="R3115" s="34">
        <f t="shared" si="51"/>
        <v>0.35454855971762023</v>
      </c>
    </row>
    <row r="3116" spans="16:18" x14ac:dyDescent="0.3">
      <c r="P3116" s="35">
        <v>25.56</v>
      </c>
      <c r="Q3116">
        <v>305</v>
      </c>
      <c r="R3116" s="34">
        <f t="shared" si="51"/>
        <v>0.35466241603095278</v>
      </c>
    </row>
    <row r="3117" spans="16:18" x14ac:dyDescent="0.3">
      <c r="P3117" s="35">
        <v>25.56</v>
      </c>
      <c r="Q3117">
        <v>305</v>
      </c>
      <c r="R3117" s="34">
        <f t="shared" si="51"/>
        <v>0.35477627234428533</v>
      </c>
    </row>
    <row r="3118" spans="16:18" x14ac:dyDescent="0.3">
      <c r="P3118" s="35">
        <v>25.56</v>
      </c>
      <c r="Q3118">
        <v>305</v>
      </c>
      <c r="R3118" s="34">
        <f t="shared" si="51"/>
        <v>0.35489012865761788</v>
      </c>
    </row>
    <row r="3119" spans="16:18" x14ac:dyDescent="0.3">
      <c r="P3119" s="35">
        <v>25.56</v>
      </c>
      <c r="Q3119">
        <v>305</v>
      </c>
      <c r="R3119" s="34">
        <f t="shared" si="51"/>
        <v>0.35500398497095043</v>
      </c>
    </row>
    <row r="3120" spans="16:18" x14ac:dyDescent="0.3">
      <c r="P3120" s="35">
        <v>25.57</v>
      </c>
      <c r="Q3120">
        <v>305</v>
      </c>
      <c r="R3120" s="34">
        <f t="shared" si="51"/>
        <v>0.35511784128428298</v>
      </c>
    </row>
    <row r="3121" spans="16:18" x14ac:dyDescent="0.3">
      <c r="P3121" s="35">
        <v>25.57</v>
      </c>
      <c r="Q3121">
        <v>305</v>
      </c>
      <c r="R3121" s="34">
        <f t="shared" si="51"/>
        <v>0.35523169759761553</v>
      </c>
    </row>
    <row r="3122" spans="16:18" x14ac:dyDescent="0.3">
      <c r="P3122" s="35">
        <v>25.58</v>
      </c>
      <c r="Q3122">
        <v>305</v>
      </c>
      <c r="R3122" s="34">
        <f t="shared" si="51"/>
        <v>0.35534555391094808</v>
      </c>
    </row>
    <row r="3123" spans="16:18" x14ac:dyDescent="0.3">
      <c r="P3123" s="35">
        <v>25.58</v>
      </c>
      <c r="Q3123">
        <v>305</v>
      </c>
      <c r="R3123" s="34">
        <f t="shared" si="51"/>
        <v>0.35545941022428063</v>
      </c>
    </row>
    <row r="3124" spans="16:18" x14ac:dyDescent="0.3">
      <c r="P3124" s="35">
        <v>25.58</v>
      </c>
      <c r="Q3124">
        <v>305</v>
      </c>
      <c r="R3124" s="34">
        <f t="shared" si="51"/>
        <v>0.35557326653761318</v>
      </c>
    </row>
    <row r="3125" spans="16:18" x14ac:dyDescent="0.3">
      <c r="P3125" s="35">
        <v>25.58</v>
      </c>
      <c r="Q3125">
        <v>305</v>
      </c>
      <c r="R3125" s="34">
        <f t="shared" si="51"/>
        <v>0.35568712285094573</v>
      </c>
    </row>
    <row r="3126" spans="16:18" x14ac:dyDescent="0.3">
      <c r="P3126" s="35">
        <v>25.58</v>
      </c>
      <c r="Q3126">
        <v>305</v>
      </c>
      <c r="R3126" s="34">
        <f t="shared" si="51"/>
        <v>0.35580097916427827</v>
      </c>
    </row>
    <row r="3127" spans="16:18" x14ac:dyDescent="0.3">
      <c r="P3127" s="35">
        <v>25.58</v>
      </c>
      <c r="Q3127">
        <v>305</v>
      </c>
      <c r="R3127" s="34">
        <f t="shared" si="51"/>
        <v>0.35591483547761082</v>
      </c>
    </row>
    <row r="3128" spans="16:18" x14ac:dyDescent="0.3">
      <c r="P3128" s="35">
        <v>25.58</v>
      </c>
      <c r="Q3128">
        <v>305</v>
      </c>
      <c r="R3128" s="34">
        <f t="shared" si="51"/>
        <v>0.35602869179094337</v>
      </c>
    </row>
    <row r="3129" spans="16:18" x14ac:dyDescent="0.3">
      <c r="P3129" s="35">
        <v>25.58</v>
      </c>
      <c r="Q3129">
        <v>305</v>
      </c>
      <c r="R3129" s="34">
        <f t="shared" si="51"/>
        <v>0.35614254810427592</v>
      </c>
    </row>
    <row r="3130" spans="16:18" x14ac:dyDescent="0.3">
      <c r="P3130" s="35">
        <v>25.59</v>
      </c>
      <c r="Q3130">
        <v>305</v>
      </c>
      <c r="R3130" s="34">
        <f t="shared" si="51"/>
        <v>0.35625640441760847</v>
      </c>
    </row>
    <row r="3131" spans="16:18" x14ac:dyDescent="0.3">
      <c r="P3131" s="35">
        <v>25.59</v>
      </c>
      <c r="Q3131">
        <v>305</v>
      </c>
      <c r="R3131" s="34">
        <f t="shared" si="51"/>
        <v>0.35637026073094102</v>
      </c>
    </row>
    <row r="3132" spans="16:18" x14ac:dyDescent="0.3">
      <c r="P3132" s="35">
        <v>25.59</v>
      </c>
      <c r="Q3132">
        <v>305</v>
      </c>
      <c r="R3132" s="34">
        <f t="shared" si="51"/>
        <v>0.35648411704427357</v>
      </c>
    </row>
    <row r="3133" spans="16:18" x14ac:dyDescent="0.3">
      <c r="P3133" s="35">
        <v>25.59</v>
      </c>
      <c r="Q3133">
        <v>305</v>
      </c>
      <c r="R3133" s="34">
        <f t="shared" si="51"/>
        <v>0.35659797335760612</v>
      </c>
    </row>
    <row r="3134" spans="16:18" x14ac:dyDescent="0.3">
      <c r="P3134" s="35">
        <v>25.6</v>
      </c>
      <c r="Q3134">
        <v>305</v>
      </c>
      <c r="R3134" s="34">
        <f t="shared" si="51"/>
        <v>0.35671182967093867</v>
      </c>
    </row>
    <row r="3135" spans="16:18" x14ac:dyDescent="0.3">
      <c r="P3135" s="35">
        <v>25.6</v>
      </c>
      <c r="Q3135">
        <v>305</v>
      </c>
      <c r="R3135" s="34">
        <f t="shared" si="51"/>
        <v>0.35682568598427122</v>
      </c>
    </row>
    <row r="3136" spans="16:18" x14ac:dyDescent="0.3">
      <c r="P3136" s="35">
        <v>25.6</v>
      </c>
      <c r="Q3136">
        <v>305</v>
      </c>
      <c r="R3136" s="34">
        <f t="shared" si="51"/>
        <v>0.35693954229760377</v>
      </c>
    </row>
    <row r="3137" spans="16:18" x14ac:dyDescent="0.3">
      <c r="P3137" s="35">
        <v>25.6</v>
      </c>
      <c r="Q3137">
        <v>305</v>
      </c>
      <c r="R3137" s="34">
        <f t="shared" si="51"/>
        <v>0.35705339861093632</v>
      </c>
    </row>
    <row r="3138" spans="16:18" x14ac:dyDescent="0.3">
      <c r="P3138" s="35">
        <v>25.6</v>
      </c>
      <c r="Q3138">
        <v>305</v>
      </c>
      <c r="R3138" s="34">
        <f t="shared" si="51"/>
        <v>0.35716725492426887</v>
      </c>
    </row>
    <row r="3139" spans="16:18" x14ac:dyDescent="0.3">
      <c r="P3139" s="35">
        <v>25.6</v>
      </c>
      <c r="Q3139">
        <v>305</v>
      </c>
      <c r="R3139" s="34">
        <f t="shared" si="51"/>
        <v>0.35728111123760142</v>
      </c>
    </row>
    <row r="3140" spans="16:18" x14ac:dyDescent="0.3">
      <c r="P3140" s="35">
        <v>25.61</v>
      </c>
      <c r="Q3140">
        <v>305</v>
      </c>
      <c r="R3140" s="34">
        <f t="shared" ref="R3140:R3203" si="52">R3139+R$2</f>
        <v>0.35739496755093397</v>
      </c>
    </row>
    <row r="3141" spans="16:18" x14ac:dyDescent="0.3">
      <c r="P3141" s="35">
        <v>25.61</v>
      </c>
      <c r="Q3141">
        <v>305</v>
      </c>
      <c r="R3141" s="34">
        <f t="shared" si="52"/>
        <v>0.35750882386426652</v>
      </c>
    </row>
    <row r="3142" spans="16:18" x14ac:dyDescent="0.3">
      <c r="P3142" s="35">
        <v>25.63</v>
      </c>
      <c r="Q3142">
        <v>305</v>
      </c>
      <c r="R3142" s="34">
        <f t="shared" si="52"/>
        <v>0.35762268017759907</v>
      </c>
    </row>
    <row r="3143" spans="16:18" x14ac:dyDescent="0.3">
      <c r="P3143" s="35">
        <v>25.64</v>
      </c>
      <c r="Q3143">
        <v>305</v>
      </c>
      <c r="R3143" s="34">
        <f t="shared" si="52"/>
        <v>0.35773653649093162</v>
      </c>
    </row>
    <row r="3144" spans="16:18" x14ac:dyDescent="0.3">
      <c r="P3144" s="35">
        <v>25.65</v>
      </c>
      <c r="Q3144">
        <v>305</v>
      </c>
      <c r="R3144" s="34">
        <f t="shared" si="52"/>
        <v>0.35785039280426417</v>
      </c>
    </row>
    <row r="3145" spans="16:18" x14ac:dyDescent="0.3">
      <c r="P3145" s="35">
        <v>25.65</v>
      </c>
      <c r="Q3145">
        <v>305</v>
      </c>
      <c r="R3145" s="34">
        <f t="shared" si="52"/>
        <v>0.35796424911759672</v>
      </c>
    </row>
    <row r="3146" spans="16:18" x14ac:dyDescent="0.3">
      <c r="P3146" s="35">
        <v>25.66</v>
      </c>
      <c r="Q3146">
        <v>305</v>
      </c>
      <c r="R3146" s="34">
        <f t="shared" si="52"/>
        <v>0.35807810543092927</v>
      </c>
    </row>
    <row r="3147" spans="16:18" x14ac:dyDescent="0.3">
      <c r="P3147" s="35">
        <v>25.66</v>
      </c>
      <c r="Q3147">
        <v>305</v>
      </c>
      <c r="R3147" s="34">
        <f t="shared" si="52"/>
        <v>0.35819196174426182</v>
      </c>
    </row>
    <row r="3148" spans="16:18" x14ac:dyDescent="0.3">
      <c r="P3148" s="35">
        <v>25.66</v>
      </c>
      <c r="Q3148">
        <v>305</v>
      </c>
      <c r="R3148" s="34">
        <f t="shared" si="52"/>
        <v>0.35830581805759437</v>
      </c>
    </row>
    <row r="3149" spans="16:18" x14ac:dyDescent="0.3">
      <c r="P3149" s="35">
        <v>25.66</v>
      </c>
      <c r="Q3149">
        <v>305</v>
      </c>
      <c r="R3149" s="34">
        <f t="shared" si="52"/>
        <v>0.35841967437092692</v>
      </c>
    </row>
    <row r="3150" spans="16:18" x14ac:dyDescent="0.3">
      <c r="P3150" s="35">
        <v>25.66</v>
      </c>
      <c r="Q3150">
        <v>305</v>
      </c>
      <c r="R3150" s="34">
        <f t="shared" si="52"/>
        <v>0.35853353068425947</v>
      </c>
    </row>
    <row r="3151" spans="16:18" x14ac:dyDescent="0.3">
      <c r="P3151" s="35">
        <v>25.67</v>
      </c>
      <c r="Q3151">
        <v>305</v>
      </c>
      <c r="R3151" s="34">
        <f t="shared" si="52"/>
        <v>0.35864738699759202</v>
      </c>
    </row>
    <row r="3152" spans="16:18" x14ac:dyDescent="0.3">
      <c r="P3152" s="35">
        <v>25.67</v>
      </c>
      <c r="Q3152">
        <v>305</v>
      </c>
      <c r="R3152" s="34">
        <f t="shared" si="52"/>
        <v>0.35876124331092457</v>
      </c>
    </row>
    <row r="3153" spans="16:18" x14ac:dyDescent="0.3">
      <c r="P3153" s="35">
        <v>25.67</v>
      </c>
      <c r="Q3153">
        <v>305</v>
      </c>
      <c r="R3153" s="34">
        <f t="shared" si="52"/>
        <v>0.35887509962425712</v>
      </c>
    </row>
    <row r="3154" spans="16:18" x14ac:dyDescent="0.3">
      <c r="P3154" s="35">
        <v>25.68</v>
      </c>
      <c r="Q3154">
        <v>305</v>
      </c>
      <c r="R3154" s="34">
        <f t="shared" si="52"/>
        <v>0.35898895593758967</v>
      </c>
    </row>
    <row r="3155" spans="16:18" x14ac:dyDescent="0.3">
      <c r="P3155" s="35">
        <v>25.68</v>
      </c>
      <c r="Q3155">
        <v>305</v>
      </c>
      <c r="R3155" s="34">
        <f t="shared" si="52"/>
        <v>0.35910281225092222</v>
      </c>
    </row>
    <row r="3156" spans="16:18" x14ac:dyDescent="0.3">
      <c r="P3156" s="35">
        <v>25.68</v>
      </c>
      <c r="Q3156">
        <v>305</v>
      </c>
      <c r="R3156" s="34">
        <f t="shared" si="52"/>
        <v>0.35921666856425477</v>
      </c>
    </row>
    <row r="3157" spans="16:18" x14ac:dyDescent="0.3">
      <c r="P3157" s="35">
        <v>25.68</v>
      </c>
      <c r="Q3157">
        <v>305</v>
      </c>
      <c r="R3157" s="34">
        <f t="shared" si="52"/>
        <v>0.35933052487758732</v>
      </c>
    </row>
    <row r="3158" spans="16:18" x14ac:dyDescent="0.3">
      <c r="P3158" s="35">
        <v>25.69</v>
      </c>
      <c r="Q3158">
        <v>305</v>
      </c>
      <c r="R3158" s="34">
        <f t="shared" si="52"/>
        <v>0.35944438119091987</v>
      </c>
    </row>
    <row r="3159" spans="16:18" x14ac:dyDescent="0.3">
      <c r="P3159" s="35">
        <v>25.69</v>
      </c>
      <c r="Q3159">
        <v>305</v>
      </c>
      <c r="R3159" s="34">
        <f t="shared" si="52"/>
        <v>0.35955823750425242</v>
      </c>
    </row>
    <row r="3160" spans="16:18" x14ac:dyDescent="0.3">
      <c r="P3160" s="35">
        <v>25.69</v>
      </c>
      <c r="Q3160">
        <v>305</v>
      </c>
      <c r="R3160" s="34">
        <f t="shared" si="52"/>
        <v>0.35967209381758497</v>
      </c>
    </row>
    <row r="3161" spans="16:18" x14ac:dyDescent="0.3">
      <c r="P3161" s="35">
        <v>25.69</v>
      </c>
      <c r="Q3161">
        <v>305</v>
      </c>
      <c r="R3161" s="34">
        <f t="shared" si="52"/>
        <v>0.35978595013091752</v>
      </c>
    </row>
    <row r="3162" spans="16:18" x14ac:dyDescent="0.3">
      <c r="P3162" s="35">
        <v>25.7</v>
      </c>
      <c r="Q3162">
        <v>305</v>
      </c>
      <c r="R3162" s="34">
        <f t="shared" si="52"/>
        <v>0.35989980644425007</v>
      </c>
    </row>
    <row r="3163" spans="16:18" x14ac:dyDescent="0.3">
      <c r="P3163" s="35">
        <v>25.7</v>
      </c>
      <c r="Q3163">
        <v>305</v>
      </c>
      <c r="R3163" s="34">
        <f t="shared" si="52"/>
        <v>0.36001366275758262</v>
      </c>
    </row>
    <row r="3164" spans="16:18" x14ac:dyDescent="0.3">
      <c r="P3164" s="35">
        <v>25.7</v>
      </c>
      <c r="Q3164">
        <v>305</v>
      </c>
      <c r="R3164" s="34">
        <f t="shared" si="52"/>
        <v>0.36012751907091517</v>
      </c>
    </row>
    <row r="3165" spans="16:18" x14ac:dyDescent="0.3">
      <c r="P3165" s="35">
        <v>25.71</v>
      </c>
      <c r="Q3165">
        <v>305</v>
      </c>
      <c r="R3165" s="34">
        <f t="shared" si="52"/>
        <v>0.36024137538424772</v>
      </c>
    </row>
    <row r="3166" spans="16:18" x14ac:dyDescent="0.3">
      <c r="P3166" s="35">
        <v>25.71</v>
      </c>
      <c r="Q3166">
        <v>305</v>
      </c>
      <c r="R3166" s="34">
        <f t="shared" si="52"/>
        <v>0.36035523169758027</v>
      </c>
    </row>
    <row r="3167" spans="16:18" x14ac:dyDescent="0.3">
      <c r="P3167" s="35">
        <v>25.71</v>
      </c>
      <c r="Q3167">
        <v>305</v>
      </c>
      <c r="R3167" s="34">
        <f t="shared" si="52"/>
        <v>0.36046908801091282</v>
      </c>
    </row>
    <row r="3168" spans="16:18" x14ac:dyDescent="0.3">
      <c r="P3168" s="35">
        <v>25.71</v>
      </c>
      <c r="Q3168">
        <v>305</v>
      </c>
      <c r="R3168" s="34">
        <f t="shared" si="52"/>
        <v>0.36058294432424537</v>
      </c>
    </row>
    <row r="3169" spans="16:18" x14ac:dyDescent="0.3">
      <c r="P3169" s="35">
        <v>25.72</v>
      </c>
      <c r="Q3169">
        <v>305</v>
      </c>
      <c r="R3169" s="34">
        <f t="shared" si="52"/>
        <v>0.36069680063757792</v>
      </c>
    </row>
    <row r="3170" spans="16:18" x14ac:dyDescent="0.3">
      <c r="P3170" s="35">
        <v>25.73</v>
      </c>
      <c r="Q3170">
        <v>305</v>
      </c>
      <c r="R3170" s="34">
        <f t="shared" si="52"/>
        <v>0.36081065695091047</v>
      </c>
    </row>
    <row r="3171" spans="16:18" x14ac:dyDescent="0.3">
      <c r="P3171" s="35">
        <v>25.73</v>
      </c>
      <c r="Q3171">
        <v>305</v>
      </c>
      <c r="R3171" s="34">
        <f t="shared" si="52"/>
        <v>0.36092451326424302</v>
      </c>
    </row>
    <row r="3172" spans="16:18" x14ac:dyDescent="0.3">
      <c r="P3172" s="35">
        <v>25.73</v>
      </c>
      <c r="Q3172">
        <v>305</v>
      </c>
      <c r="R3172" s="34">
        <f t="shared" si="52"/>
        <v>0.36103836957757557</v>
      </c>
    </row>
    <row r="3173" spans="16:18" x14ac:dyDescent="0.3">
      <c r="P3173" s="35">
        <v>25.73</v>
      </c>
      <c r="Q3173">
        <v>305</v>
      </c>
      <c r="R3173" s="34">
        <f t="shared" si="52"/>
        <v>0.36115222589090812</v>
      </c>
    </row>
    <row r="3174" spans="16:18" x14ac:dyDescent="0.3">
      <c r="P3174" s="35">
        <v>25.73</v>
      </c>
      <c r="Q3174">
        <v>305</v>
      </c>
      <c r="R3174" s="34">
        <f t="shared" si="52"/>
        <v>0.36126608220424067</v>
      </c>
    </row>
    <row r="3175" spans="16:18" x14ac:dyDescent="0.3">
      <c r="P3175" s="35">
        <v>25.73</v>
      </c>
      <c r="Q3175">
        <v>305</v>
      </c>
      <c r="R3175" s="34">
        <f t="shared" si="52"/>
        <v>0.36137993851757322</v>
      </c>
    </row>
    <row r="3176" spans="16:18" x14ac:dyDescent="0.3">
      <c r="P3176" s="35">
        <v>25.74</v>
      </c>
      <c r="Q3176">
        <v>305</v>
      </c>
      <c r="R3176" s="34">
        <f t="shared" si="52"/>
        <v>0.36149379483090577</v>
      </c>
    </row>
    <row r="3177" spans="16:18" x14ac:dyDescent="0.3">
      <c r="P3177" s="35">
        <v>25.74</v>
      </c>
      <c r="Q3177">
        <v>305</v>
      </c>
      <c r="R3177" s="34">
        <f t="shared" si="52"/>
        <v>0.36160765114423832</v>
      </c>
    </row>
    <row r="3178" spans="16:18" x14ac:dyDescent="0.3">
      <c r="P3178" s="35">
        <v>25.74</v>
      </c>
      <c r="Q3178">
        <v>305</v>
      </c>
      <c r="R3178" s="34">
        <f t="shared" si="52"/>
        <v>0.36172150745757087</v>
      </c>
    </row>
    <row r="3179" spans="16:18" x14ac:dyDescent="0.3">
      <c r="P3179" s="35">
        <v>25.74</v>
      </c>
      <c r="Q3179">
        <v>305</v>
      </c>
      <c r="R3179" s="34">
        <f t="shared" si="52"/>
        <v>0.36183536377090342</v>
      </c>
    </row>
    <row r="3180" spans="16:18" x14ac:dyDescent="0.3">
      <c r="P3180" s="35">
        <v>25.74</v>
      </c>
      <c r="Q3180">
        <v>305</v>
      </c>
      <c r="R3180" s="34">
        <f t="shared" si="52"/>
        <v>0.36194922008423597</v>
      </c>
    </row>
    <row r="3181" spans="16:18" x14ac:dyDescent="0.3">
      <c r="P3181" s="35">
        <v>25.75</v>
      </c>
      <c r="Q3181">
        <v>305</v>
      </c>
      <c r="R3181" s="34">
        <f t="shared" si="52"/>
        <v>0.36206307639756852</v>
      </c>
    </row>
    <row r="3182" spans="16:18" x14ac:dyDescent="0.3">
      <c r="P3182" s="35">
        <v>25.75</v>
      </c>
      <c r="Q3182">
        <v>305</v>
      </c>
      <c r="R3182" s="34">
        <f t="shared" si="52"/>
        <v>0.36217693271090107</v>
      </c>
    </row>
    <row r="3183" spans="16:18" x14ac:dyDescent="0.3">
      <c r="P3183" s="35">
        <v>25.75</v>
      </c>
      <c r="Q3183">
        <v>305</v>
      </c>
      <c r="R3183" s="34">
        <f t="shared" si="52"/>
        <v>0.36229078902423362</v>
      </c>
    </row>
    <row r="3184" spans="16:18" x14ac:dyDescent="0.3">
      <c r="P3184" s="35">
        <v>25.75</v>
      </c>
      <c r="Q3184">
        <v>305</v>
      </c>
      <c r="R3184" s="34">
        <f t="shared" si="52"/>
        <v>0.36240464533756617</v>
      </c>
    </row>
    <row r="3185" spans="16:18" x14ac:dyDescent="0.3">
      <c r="P3185" s="35">
        <v>25.75</v>
      </c>
      <c r="Q3185">
        <v>305</v>
      </c>
      <c r="R3185" s="34">
        <f t="shared" si="52"/>
        <v>0.36251850165089872</v>
      </c>
    </row>
    <row r="3186" spans="16:18" x14ac:dyDescent="0.3">
      <c r="P3186" s="35">
        <v>25.75</v>
      </c>
      <c r="Q3186">
        <v>305</v>
      </c>
      <c r="R3186" s="34">
        <f t="shared" si="52"/>
        <v>0.36263235796423127</v>
      </c>
    </row>
    <row r="3187" spans="16:18" x14ac:dyDescent="0.3">
      <c r="P3187" s="35">
        <v>25.75</v>
      </c>
      <c r="Q3187">
        <v>305</v>
      </c>
      <c r="R3187" s="34">
        <f t="shared" si="52"/>
        <v>0.36274621427756382</v>
      </c>
    </row>
    <row r="3188" spans="16:18" x14ac:dyDescent="0.3">
      <c r="P3188" s="35">
        <v>25.75</v>
      </c>
      <c r="Q3188">
        <v>305</v>
      </c>
      <c r="R3188" s="34">
        <f t="shared" si="52"/>
        <v>0.36286007059089637</v>
      </c>
    </row>
    <row r="3189" spans="16:18" x14ac:dyDescent="0.3">
      <c r="P3189" s="35">
        <v>25.76</v>
      </c>
      <c r="Q3189">
        <v>305</v>
      </c>
      <c r="R3189" s="34">
        <f t="shared" si="52"/>
        <v>0.36297392690422892</v>
      </c>
    </row>
    <row r="3190" spans="16:18" x14ac:dyDescent="0.3">
      <c r="P3190" s="35">
        <v>25.77</v>
      </c>
      <c r="Q3190">
        <v>305</v>
      </c>
      <c r="R3190" s="34">
        <f t="shared" si="52"/>
        <v>0.36308778321756147</v>
      </c>
    </row>
    <row r="3191" spans="16:18" x14ac:dyDescent="0.3">
      <c r="P3191" s="35">
        <v>25.77</v>
      </c>
      <c r="Q3191">
        <v>305</v>
      </c>
      <c r="R3191" s="34">
        <f t="shared" si="52"/>
        <v>0.36320163953089402</v>
      </c>
    </row>
    <row r="3192" spans="16:18" x14ac:dyDescent="0.3">
      <c r="P3192" s="35">
        <v>25.77</v>
      </c>
      <c r="Q3192">
        <v>305</v>
      </c>
      <c r="R3192" s="34">
        <f t="shared" si="52"/>
        <v>0.36331549584422657</v>
      </c>
    </row>
    <row r="3193" spans="16:18" x14ac:dyDescent="0.3">
      <c r="P3193" s="35">
        <v>25.77</v>
      </c>
      <c r="Q3193">
        <v>305</v>
      </c>
      <c r="R3193" s="34">
        <f t="shared" si="52"/>
        <v>0.36342935215755912</v>
      </c>
    </row>
    <row r="3194" spans="16:18" x14ac:dyDescent="0.3">
      <c r="P3194" s="35">
        <v>25.77</v>
      </c>
      <c r="Q3194">
        <v>305</v>
      </c>
      <c r="R3194" s="34">
        <f t="shared" si="52"/>
        <v>0.36354320847089167</v>
      </c>
    </row>
    <row r="3195" spans="16:18" x14ac:dyDescent="0.3">
      <c r="P3195" s="35">
        <v>25.78</v>
      </c>
      <c r="Q3195">
        <v>305</v>
      </c>
      <c r="R3195" s="34">
        <f t="shared" si="52"/>
        <v>0.36365706478422422</v>
      </c>
    </row>
    <row r="3196" spans="16:18" x14ac:dyDescent="0.3">
      <c r="P3196" s="35">
        <v>25.78</v>
      </c>
      <c r="Q3196">
        <v>305</v>
      </c>
      <c r="R3196" s="34">
        <f t="shared" si="52"/>
        <v>0.36377092109755677</v>
      </c>
    </row>
    <row r="3197" spans="16:18" x14ac:dyDescent="0.3">
      <c r="P3197" s="35">
        <v>25.78</v>
      </c>
      <c r="Q3197">
        <v>305</v>
      </c>
      <c r="R3197" s="34">
        <f t="shared" si="52"/>
        <v>0.36388477741088932</v>
      </c>
    </row>
    <row r="3198" spans="16:18" x14ac:dyDescent="0.3">
      <c r="P3198" s="35">
        <v>25.78</v>
      </c>
      <c r="Q3198">
        <v>305</v>
      </c>
      <c r="R3198" s="34">
        <f t="shared" si="52"/>
        <v>0.36399863372422187</v>
      </c>
    </row>
    <row r="3199" spans="16:18" x14ac:dyDescent="0.3">
      <c r="P3199" s="35">
        <v>25.78</v>
      </c>
      <c r="Q3199">
        <v>305</v>
      </c>
      <c r="R3199" s="34">
        <f t="shared" si="52"/>
        <v>0.36411249003755441</v>
      </c>
    </row>
    <row r="3200" spans="16:18" x14ac:dyDescent="0.3">
      <c r="P3200" s="35">
        <v>25.78</v>
      </c>
      <c r="Q3200">
        <v>305</v>
      </c>
      <c r="R3200" s="34">
        <f t="shared" si="52"/>
        <v>0.36422634635088696</v>
      </c>
    </row>
    <row r="3201" spans="16:18" x14ac:dyDescent="0.3">
      <c r="P3201" s="35">
        <v>25.79</v>
      </c>
      <c r="Q3201">
        <v>305</v>
      </c>
      <c r="R3201" s="34">
        <f t="shared" si="52"/>
        <v>0.36434020266421951</v>
      </c>
    </row>
    <row r="3202" spans="16:18" x14ac:dyDescent="0.3">
      <c r="P3202" s="35">
        <v>25.79</v>
      </c>
      <c r="Q3202">
        <v>305</v>
      </c>
      <c r="R3202" s="34">
        <f t="shared" si="52"/>
        <v>0.36445405897755206</v>
      </c>
    </row>
    <row r="3203" spans="16:18" x14ac:dyDescent="0.3">
      <c r="P3203" s="35">
        <v>25.8</v>
      </c>
      <c r="Q3203">
        <v>305</v>
      </c>
      <c r="R3203" s="34">
        <f t="shared" si="52"/>
        <v>0.36456791529088461</v>
      </c>
    </row>
    <row r="3204" spans="16:18" x14ac:dyDescent="0.3">
      <c r="P3204" s="35">
        <v>25.8</v>
      </c>
      <c r="Q3204">
        <v>305</v>
      </c>
      <c r="R3204" s="34">
        <f t="shared" ref="R3204:R3267" si="53">R3203+R$2</f>
        <v>0.36468177160421716</v>
      </c>
    </row>
    <row r="3205" spans="16:18" x14ac:dyDescent="0.3">
      <c r="P3205" s="35">
        <v>25.81</v>
      </c>
      <c r="Q3205">
        <v>305</v>
      </c>
      <c r="R3205" s="34">
        <f t="shared" si="53"/>
        <v>0.36479562791754971</v>
      </c>
    </row>
    <row r="3206" spans="16:18" x14ac:dyDescent="0.3">
      <c r="P3206" s="35">
        <v>25.81</v>
      </c>
      <c r="Q3206">
        <v>305</v>
      </c>
      <c r="R3206" s="34">
        <f t="shared" si="53"/>
        <v>0.36490948423088226</v>
      </c>
    </row>
    <row r="3207" spans="16:18" x14ac:dyDescent="0.3">
      <c r="P3207" s="35">
        <v>25.81</v>
      </c>
      <c r="Q3207">
        <v>305</v>
      </c>
      <c r="R3207" s="34">
        <f t="shared" si="53"/>
        <v>0.36502334054421481</v>
      </c>
    </row>
    <row r="3208" spans="16:18" x14ac:dyDescent="0.3">
      <c r="P3208" s="35">
        <v>25.81</v>
      </c>
      <c r="Q3208">
        <v>305</v>
      </c>
      <c r="R3208" s="34">
        <f t="shared" si="53"/>
        <v>0.36513719685754736</v>
      </c>
    </row>
    <row r="3209" spans="16:18" x14ac:dyDescent="0.3">
      <c r="P3209" s="35">
        <v>25.82</v>
      </c>
      <c r="Q3209">
        <v>305</v>
      </c>
      <c r="R3209" s="34">
        <f t="shared" si="53"/>
        <v>0.36525105317087991</v>
      </c>
    </row>
    <row r="3210" spans="16:18" x14ac:dyDescent="0.3">
      <c r="P3210" s="35">
        <v>25.83</v>
      </c>
      <c r="Q3210">
        <v>305</v>
      </c>
      <c r="R3210" s="34">
        <f t="shared" si="53"/>
        <v>0.36536490948421246</v>
      </c>
    </row>
    <row r="3211" spans="16:18" x14ac:dyDescent="0.3">
      <c r="P3211" s="35">
        <v>25.83</v>
      </c>
      <c r="Q3211">
        <v>305</v>
      </c>
      <c r="R3211" s="34">
        <f t="shared" si="53"/>
        <v>0.36547876579754501</v>
      </c>
    </row>
    <row r="3212" spans="16:18" x14ac:dyDescent="0.3">
      <c r="P3212" s="35">
        <v>25.83</v>
      </c>
      <c r="Q3212">
        <v>305</v>
      </c>
      <c r="R3212" s="34">
        <f t="shared" si="53"/>
        <v>0.36559262211087756</v>
      </c>
    </row>
    <row r="3213" spans="16:18" x14ac:dyDescent="0.3">
      <c r="P3213" s="35">
        <v>25.83</v>
      </c>
      <c r="Q3213">
        <v>305</v>
      </c>
      <c r="R3213" s="34">
        <f t="shared" si="53"/>
        <v>0.36570647842421011</v>
      </c>
    </row>
    <row r="3214" spans="16:18" x14ac:dyDescent="0.3">
      <c r="P3214" s="35">
        <v>25.84</v>
      </c>
      <c r="Q3214">
        <v>305</v>
      </c>
      <c r="R3214" s="34">
        <f t="shared" si="53"/>
        <v>0.36582033473754266</v>
      </c>
    </row>
    <row r="3215" spans="16:18" x14ac:dyDescent="0.3">
      <c r="P3215" s="35">
        <v>25.84</v>
      </c>
      <c r="Q3215">
        <v>305</v>
      </c>
      <c r="R3215" s="34">
        <f t="shared" si="53"/>
        <v>0.36593419105087521</v>
      </c>
    </row>
    <row r="3216" spans="16:18" x14ac:dyDescent="0.3">
      <c r="P3216" s="35">
        <v>25.84</v>
      </c>
      <c r="Q3216">
        <v>305</v>
      </c>
      <c r="R3216" s="34">
        <f t="shared" si="53"/>
        <v>0.36604804736420776</v>
      </c>
    </row>
    <row r="3217" spans="16:18" x14ac:dyDescent="0.3">
      <c r="P3217" s="35">
        <v>25.85</v>
      </c>
      <c r="Q3217">
        <v>305</v>
      </c>
      <c r="R3217" s="34">
        <f t="shared" si="53"/>
        <v>0.36616190367754031</v>
      </c>
    </row>
    <row r="3218" spans="16:18" x14ac:dyDescent="0.3">
      <c r="P3218" s="35">
        <v>25.85</v>
      </c>
      <c r="Q3218">
        <v>305</v>
      </c>
      <c r="R3218" s="34">
        <f t="shared" si="53"/>
        <v>0.36627575999087286</v>
      </c>
    </row>
    <row r="3219" spans="16:18" x14ac:dyDescent="0.3">
      <c r="P3219" s="35">
        <v>25.86</v>
      </c>
      <c r="Q3219">
        <v>305</v>
      </c>
      <c r="R3219" s="34">
        <f t="shared" si="53"/>
        <v>0.36638961630420541</v>
      </c>
    </row>
    <row r="3220" spans="16:18" x14ac:dyDescent="0.3">
      <c r="P3220" s="35">
        <v>25.86</v>
      </c>
      <c r="Q3220">
        <v>305</v>
      </c>
      <c r="R3220" s="34">
        <f t="shared" si="53"/>
        <v>0.36650347261753796</v>
      </c>
    </row>
    <row r="3221" spans="16:18" x14ac:dyDescent="0.3">
      <c r="P3221" s="35">
        <v>25.86</v>
      </c>
      <c r="Q3221">
        <v>305</v>
      </c>
      <c r="R3221" s="34">
        <f t="shared" si="53"/>
        <v>0.36661732893087051</v>
      </c>
    </row>
    <row r="3222" spans="16:18" x14ac:dyDescent="0.3">
      <c r="P3222" s="35">
        <v>25.86</v>
      </c>
      <c r="Q3222">
        <v>305</v>
      </c>
      <c r="R3222" s="34">
        <f t="shared" si="53"/>
        <v>0.36673118524420306</v>
      </c>
    </row>
    <row r="3223" spans="16:18" x14ac:dyDescent="0.3">
      <c r="P3223" s="35">
        <v>25.86</v>
      </c>
      <c r="Q3223">
        <v>305</v>
      </c>
      <c r="R3223" s="34">
        <f t="shared" si="53"/>
        <v>0.36684504155753561</v>
      </c>
    </row>
    <row r="3224" spans="16:18" x14ac:dyDescent="0.3">
      <c r="P3224" s="35">
        <v>25.87</v>
      </c>
      <c r="Q3224">
        <v>305</v>
      </c>
      <c r="R3224" s="34">
        <f t="shared" si="53"/>
        <v>0.36695889787086816</v>
      </c>
    </row>
    <row r="3225" spans="16:18" x14ac:dyDescent="0.3">
      <c r="P3225" s="35">
        <v>25.87</v>
      </c>
      <c r="Q3225">
        <v>305</v>
      </c>
      <c r="R3225" s="34">
        <f t="shared" si="53"/>
        <v>0.36707275418420071</v>
      </c>
    </row>
    <row r="3226" spans="16:18" x14ac:dyDescent="0.3">
      <c r="P3226" s="35">
        <v>25.87</v>
      </c>
      <c r="Q3226">
        <v>305</v>
      </c>
      <c r="R3226" s="34">
        <f t="shared" si="53"/>
        <v>0.36718661049753326</v>
      </c>
    </row>
    <row r="3227" spans="16:18" x14ac:dyDescent="0.3">
      <c r="P3227" s="35">
        <v>25.88</v>
      </c>
      <c r="Q3227">
        <v>305</v>
      </c>
      <c r="R3227" s="34">
        <f t="shared" si="53"/>
        <v>0.36730046681086581</v>
      </c>
    </row>
    <row r="3228" spans="16:18" x14ac:dyDescent="0.3">
      <c r="P3228" s="35">
        <v>25.88</v>
      </c>
      <c r="Q3228">
        <v>305</v>
      </c>
      <c r="R3228" s="34">
        <f t="shared" si="53"/>
        <v>0.36741432312419836</v>
      </c>
    </row>
    <row r="3229" spans="16:18" x14ac:dyDescent="0.3">
      <c r="P3229" s="35">
        <v>25.88</v>
      </c>
      <c r="Q3229">
        <v>305</v>
      </c>
      <c r="R3229" s="34">
        <f t="shared" si="53"/>
        <v>0.36752817943753091</v>
      </c>
    </row>
    <row r="3230" spans="16:18" x14ac:dyDescent="0.3">
      <c r="P3230" s="35">
        <v>25.88</v>
      </c>
      <c r="Q3230">
        <v>305</v>
      </c>
      <c r="R3230" s="34">
        <f t="shared" si="53"/>
        <v>0.36764203575086346</v>
      </c>
    </row>
    <row r="3231" spans="16:18" x14ac:dyDescent="0.3">
      <c r="P3231" s="35">
        <v>25.88</v>
      </c>
      <c r="Q3231">
        <v>305</v>
      </c>
      <c r="R3231" s="34">
        <f t="shared" si="53"/>
        <v>0.36775589206419601</v>
      </c>
    </row>
    <row r="3232" spans="16:18" x14ac:dyDescent="0.3">
      <c r="P3232" s="35">
        <v>25.88</v>
      </c>
      <c r="Q3232">
        <v>305</v>
      </c>
      <c r="R3232" s="34">
        <f t="shared" si="53"/>
        <v>0.36786974837752856</v>
      </c>
    </row>
    <row r="3233" spans="16:18" x14ac:dyDescent="0.3">
      <c r="P3233" s="35">
        <v>25.88</v>
      </c>
      <c r="Q3233">
        <v>305</v>
      </c>
      <c r="R3233" s="34">
        <f t="shared" si="53"/>
        <v>0.36798360469086111</v>
      </c>
    </row>
    <row r="3234" spans="16:18" x14ac:dyDescent="0.3">
      <c r="P3234" s="35">
        <v>25.89</v>
      </c>
      <c r="Q3234">
        <v>305</v>
      </c>
      <c r="R3234" s="34">
        <f t="shared" si="53"/>
        <v>0.36809746100419366</v>
      </c>
    </row>
    <row r="3235" spans="16:18" x14ac:dyDescent="0.3">
      <c r="P3235" s="35">
        <v>25.89</v>
      </c>
      <c r="Q3235">
        <v>305</v>
      </c>
      <c r="R3235" s="34">
        <f t="shared" si="53"/>
        <v>0.36821131731752621</v>
      </c>
    </row>
    <row r="3236" spans="16:18" x14ac:dyDescent="0.3">
      <c r="P3236" s="35">
        <v>25.89</v>
      </c>
      <c r="Q3236">
        <v>305</v>
      </c>
      <c r="R3236" s="34">
        <f t="shared" si="53"/>
        <v>0.36832517363085876</v>
      </c>
    </row>
    <row r="3237" spans="16:18" x14ac:dyDescent="0.3">
      <c r="P3237" s="35">
        <v>25.89</v>
      </c>
      <c r="Q3237">
        <v>305</v>
      </c>
      <c r="R3237" s="34">
        <f t="shared" si="53"/>
        <v>0.36843902994419131</v>
      </c>
    </row>
    <row r="3238" spans="16:18" x14ac:dyDescent="0.3">
      <c r="P3238" s="35">
        <v>25.9</v>
      </c>
      <c r="Q3238">
        <v>305</v>
      </c>
      <c r="R3238" s="34">
        <f t="shared" si="53"/>
        <v>0.36855288625752386</v>
      </c>
    </row>
    <row r="3239" spans="16:18" x14ac:dyDescent="0.3">
      <c r="P3239" s="35">
        <v>25.91</v>
      </c>
      <c r="Q3239">
        <v>305</v>
      </c>
      <c r="R3239" s="34">
        <f t="shared" si="53"/>
        <v>0.36866674257085641</v>
      </c>
    </row>
    <row r="3240" spans="16:18" x14ac:dyDescent="0.3">
      <c r="P3240" s="35">
        <v>25.91</v>
      </c>
      <c r="Q3240">
        <v>305</v>
      </c>
      <c r="R3240" s="34">
        <f t="shared" si="53"/>
        <v>0.36878059888418896</v>
      </c>
    </row>
    <row r="3241" spans="16:18" x14ac:dyDescent="0.3">
      <c r="P3241" s="35">
        <v>25.91</v>
      </c>
      <c r="Q3241">
        <v>305</v>
      </c>
      <c r="R3241" s="34">
        <f t="shared" si="53"/>
        <v>0.36889445519752151</v>
      </c>
    </row>
    <row r="3242" spans="16:18" x14ac:dyDescent="0.3">
      <c r="P3242" s="35">
        <v>25.91</v>
      </c>
      <c r="Q3242">
        <v>305</v>
      </c>
      <c r="R3242" s="34">
        <f t="shared" si="53"/>
        <v>0.36900831151085406</v>
      </c>
    </row>
    <row r="3243" spans="16:18" x14ac:dyDescent="0.3">
      <c r="P3243" s="35">
        <v>25.91</v>
      </c>
      <c r="Q3243">
        <v>305</v>
      </c>
      <c r="R3243" s="34">
        <f t="shared" si="53"/>
        <v>0.36912216782418661</v>
      </c>
    </row>
    <row r="3244" spans="16:18" x14ac:dyDescent="0.3">
      <c r="P3244" s="35">
        <v>25.91</v>
      </c>
      <c r="Q3244">
        <v>305</v>
      </c>
      <c r="R3244" s="34">
        <f t="shared" si="53"/>
        <v>0.36923602413751916</v>
      </c>
    </row>
    <row r="3245" spans="16:18" x14ac:dyDescent="0.3">
      <c r="P3245" s="35">
        <v>25.91</v>
      </c>
      <c r="Q3245">
        <v>305</v>
      </c>
      <c r="R3245" s="34">
        <f t="shared" si="53"/>
        <v>0.36934988045085171</v>
      </c>
    </row>
    <row r="3246" spans="16:18" x14ac:dyDescent="0.3">
      <c r="P3246" s="35">
        <v>25.92</v>
      </c>
      <c r="Q3246">
        <v>305</v>
      </c>
      <c r="R3246" s="34">
        <f t="shared" si="53"/>
        <v>0.36946373676418426</v>
      </c>
    </row>
    <row r="3247" spans="16:18" x14ac:dyDescent="0.3">
      <c r="P3247" s="35">
        <v>25.92</v>
      </c>
      <c r="Q3247">
        <v>305</v>
      </c>
      <c r="R3247" s="34">
        <f t="shared" si="53"/>
        <v>0.36957759307751681</v>
      </c>
    </row>
    <row r="3248" spans="16:18" x14ac:dyDescent="0.3">
      <c r="P3248" s="35">
        <v>25.92</v>
      </c>
      <c r="Q3248">
        <v>305</v>
      </c>
      <c r="R3248" s="34">
        <f t="shared" si="53"/>
        <v>0.36969144939084936</v>
      </c>
    </row>
    <row r="3249" spans="16:18" x14ac:dyDescent="0.3">
      <c r="P3249" s="35">
        <v>25.92</v>
      </c>
      <c r="Q3249">
        <v>305</v>
      </c>
      <c r="R3249" s="34">
        <f t="shared" si="53"/>
        <v>0.36980530570418191</v>
      </c>
    </row>
    <row r="3250" spans="16:18" x14ac:dyDescent="0.3">
      <c r="P3250" s="35">
        <v>25.92</v>
      </c>
      <c r="Q3250">
        <v>305</v>
      </c>
      <c r="R3250" s="34">
        <f t="shared" si="53"/>
        <v>0.36991916201751446</v>
      </c>
    </row>
    <row r="3251" spans="16:18" x14ac:dyDescent="0.3">
      <c r="P3251" s="35">
        <v>25.93</v>
      </c>
      <c r="Q3251">
        <v>305</v>
      </c>
      <c r="R3251" s="34">
        <f t="shared" si="53"/>
        <v>0.37003301833084701</v>
      </c>
    </row>
    <row r="3252" spans="16:18" x14ac:dyDescent="0.3">
      <c r="P3252" s="35">
        <v>25.93</v>
      </c>
      <c r="Q3252">
        <v>305</v>
      </c>
      <c r="R3252" s="34">
        <f t="shared" si="53"/>
        <v>0.37014687464417956</v>
      </c>
    </row>
    <row r="3253" spans="16:18" x14ac:dyDescent="0.3">
      <c r="P3253" s="35">
        <v>25.94</v>
      </c>
      <c r="Q3253">
        <v>305</v>
      </c>
      <c r="R3253" s="34">
        <f t="shared" si="53"/>
        <v>0.37026073095751211</v>
      </c>
    </row>
    <row r="3254" spans="16:18" x14ac:dyDescent="0.3">
      <c r="P3254" s="35">
        <v>25.94</v>
      </c>
      <c r="Q3254">
        <v>305</v>
      </c>
      <c r="R3254" s="34">
        <f t="shared" si="53"/>
        <v>0.37037458727084466</v>
      </c>
    </row>
    <row r="3255" spans="16:18" x14ac:dyDescent="0.3">
      <c r="P3255" s="35">
        <v>25.94</v>
      </c>
      <c r="Q3255">
        <v>305</v>
      </c>
      <c r="R3255" s="34">
        <f t="shared" si="53"/>
        <v>0.37048844358417721</v>
      </c>
    </row>
    <row r="3256" spans="16:18" x14ac:dyDescent="0.3">
      <c r="P3256" s="35">
        <v>25.94</v>
      </c>
      <c r="Q3256">
        <v>305</v>
      </c>
      <c r="R3256" s="34">
        <f t="shared" si="53"/>
        <v>0.37060229989750976</v>
      </c>
    </row>
    <row r="3257" spans="16:18" x14ac:dyDescent="0.3">
      <c r="P3257" s="35">
        <v>25.95</v>
      </c>
      <c r="Q3257">
        <v>305</v>
      </c>
      <c r="R3257" s="34">
        <f t="shared" si="53"/>
        <v>0.37071615621084231</v>
      </c>
    </row>
    <row r="3258" spans="16:18" x14ac:dyDescent="0.3">
      <c r="P3258" s="35">
        <v>25.95</v>
      </c>
      <c r="Q3258">
        <v>305</v>
      </c>
      <c r="R3258" s="34">
        <f t="shared" si="53"/>
        <v>0.37083001252417486</v>
      </c>
    </row>
    <row r="3259" spans="16:18" x14ac:dyDescent="0.3">
      <c r="P3259" s="35">
        <v>25.95</v>
      </c>
      <c r="Q3259">
        <v>305</v>
      </c>
      <c r="R3259" s="34">
        <f t="shared" si="53"/>
        <v>0.37094386883750741</v>
      </c>
    </row>
    <row r="3260" spans="16:18" x14ac:dyDescent="0.3">
      <c r="P3260" s="35">
        <v>25.97</v>
      </c>
      <c r="Q3260">
        <v>305</v>
      </c>
      <c r="R3260" s="34">
        <f t="shared" si="53"/>
        <v>0.37105772515083996</v>
      </c>
    </row>
    <row r="3261" spans="16:18" x14ac:dyDescent="0.3">
      <c r="P3261" s="35">
        <v>25.97</v>
      </c>
      <c r="Q3261">
        <v>305</v>
      </c>
      <c r="R3261" s="34">
        <f t="shared" si="53"/>
        <v>0.37117158146417251</v>
      </c>
    </row>
    <row r="3262" spans="16:18" x14ac:dyDescent="0.3">
      <c r="P3262" s="35">
        <v>25.97</v>
      </c>
      <c r="Q3262">
        <v>305</v>
      </c>
      <c r="R3262" s="34">
        <f t="shared" si="53"/>
        <v>0.37128543777750506</v>
      </c>
    </row>
    <row r="3263" spans="16:18" x14ac:dyDescent="0.3">
      <c r="P3263" s="35">
        <v>25.97</v>
      </c>
      <c r="Q3263">
        <v>305</v>
      </c>
      <c r="R3263" s="34">
        <f t="shared" si="53"/>
        <v>0.37139929409083761</v>
      </c>
    </row>
    <row r="3264" spans="16:18" x14ac:dyDescent="0.3">
      <c r="P3264" s="35">
        <v>25.98</v>
      </c>
      <c r="Q3264">
        <v>305</v>
      </c>
      <c r="R3264" s="34">
        <f t="shared" si="53"/>
        <v>0.37151315040417016</v>
      </c>
    </row>
    <row r="3265" spans="16:18" x14ac:dyDescent="0.3">
      <c r="P3265" s="35">
        <v>25.98</v>
      </c>
      <c r="Q3265">
        <v>305</v>
      </c>
      <c r="R3265" s="34">
        <f t="shared" si="53"/>
        <v>0.37162700671750271</v>
      </c>
    </row>
    <row r="3266" spans="16:18" x14ac:dyDescent="0.3">
      <c r="P3266" s="35">
        <v>25.98</v>
      </c>
      <c r="Q3266">
        <v>305</v>
      </c>
      <c r="R3266" s="34">
        <f t="shared" si="53"/>
        <v>0.37174086303083526</v>
      </c>
    </row>
    <row r="3267" spans="16:18" x14ac:dyDescent="0.3">
      <c r="P3267" s="35">
        <v>25.99</v>
      </c>
      <c r="Q3267">
        <v>305</v>
      </c>
      <c r="R3267" s="34">
        <f t="shared" si="53"/>
        <v>0.37185471934416781</v>
      </c>
    </row>
    <row r="3268" spans="16:18" x14ac:dyDescent="0.3">
      <c r="P3268" s="35">
        <v>25.99</v>
      </c>
      <c r="Q3268">
        <v>305</v>
      </c>
      <c r="R3268" s="34">
        <f t="shared" ref="R3268:R3331" si="54">R3267+R$2</f>
        <v>0.37196857565750036</v>
      </c>
    </row>
    <row r="3269" spans="16:18" x14ac:dyDescent="0.3">
      <c r="P3269" s="35">
        <v>25.99</v>
      </c>
      <c r="Q3269">
        <v>305</v>
      </c>
      <c r="R3269" s="34">
        <f t="shared" si="54"/>
        <v>0.37208243197083291</v>
      </c>
    </row>
    <row r="3270" spans="16:18" x14ac:dyDescent="0.3">
      <c r="P3270" s="35">
        <v>25.99</v>
      </c>
      <c r="Q3270">
        <v>305</v>
      </c>
      <c r="R3270" s="34">
        <f t="shared" si="54"/>
        <v>0.37219628828416546</v>
      </c>
    </row>
    <row r="3271" spans="16:18" x14ac:dyDescent="0.3">
      <c r="P3271" s="35">
        <v>26</v>
      </c>
      <c r="Q3271">
        <v>305</v>
      </c>
      <c r="R3271" s="34">
        <f t="shared" si="54"/>
        <v>0.37231014459749801</v>
      </c>
    </row>
    <row r="3272" spans="16:18" x14ac:dyDescent="0.3">
      <c r="P3272" s="35">
        <v>26</v>
      </c>
      <c r="Q3272">
        <v>305</v>
      </c>
      <c r="R3272" s="34">
        <f t="shared" si="54"/>
        <v>0.37242400091083055</v>
      </c>
    </row>
    <row r="3273" spans="16:18" x14ac:dyDescent="0.3">
      <c r="P3273" s="35">
        <v>26</v>
      </c>
      <c r="Q3273">
        <v>305</v>
      </c>
      <c r="R3273" s="34">
        <f t="shared" si="54"/>
        <v>0.3725378572241631</v>
      </c>
    </row>
    <row r="3274" spans="16:18" x14ac:dyDescent="0.3">
      <c r="P3274" s="35">
        <v>26.01</v>
      </c>
      <c r="Q3274">
        <v>305</v>
      </c>
      <c r="R3274" s="34">
        <f t="shared" si="54"/>
        <v>0.37265171353749565</v>
      </c>
    </row>
    <row r="3275" spans="16:18" x14ac:dyDescent="0.3">
      <c r="P3275" s="35">
        <v>26.01</v>
      </c>
      <c r="Q3275">
        <v>305</v>
      </c>
      <c r="R3275" s="34">
        <f t="shared" si="54"/>
        <v>0.3727655698508282</v>
      </c>
    </row>
    <row r="3276" spans="16:18" x14ac:dyDescent="0.3">
      <c r="P3276" s="35">
        <v>26.01</v>
      </c>
      <c r="Q3276">
        <v>305</v>
      </c>
      <c r="R3276" s="34">
        <f t="shared" si="54"/>
        <v>0.37287942616416075</v>
      </c>
    </row>
    <row r="3277" spans="16:18" x14ac:dyDescent="0.3">
      <c r="P3277" s="35">
        <v>26.02</v>
      </c>
      <c r="Q3277">
        <v>305</v>
      </c>
      <c r="R3277" s="34">
        <f t="shared" si="54"/>
        <v>0.3729932824774933</v>
      </c>
    </row>
    <row r="3278" spans="16:18" x14ac:dyDescent="0.3">
      <c r="P3278" s="35">
        <v>26.02</v>
      </c>
      <c r="Q3278">
        <v>305</v>
      </c>
      <c r="R3278" s="34">
        <f t="shared" si="54"/>
        <v>0.37310713879082585</v>
      </c>
    </row>
    <row r="3279" spans="16:18" x14ac:dyDescent="0.3">
      <c r="P3279" s="35">
        <v>26.02</v>
      </c>
      <c r="Q3279">
        <v>305</v>
      </c>
      <c r="R3279" s="34">
        <f t="shared" si="54"/>
        <v>0.3732209951041584</v>
      </c>
    </row>
    <row r="3280" spans="16:18" x14ac:dyDescent="0.3">
      <c r="P3280" s="35">
        <v>26.02</v>
      </c>
      <c r="Q3280">
        <v>305</v>
      </c>
      <c r="R3280" s="34">
        <f t="shared" si="54"/>
        <v>0.37333485141749095</v>
      </c>
    </row>
    <row r="3281" spans="16:18" x14ac:dyDescent="0.3">
      <c r="P3281" s="35">
        <v>26.03</v>
      </c>
      <c r="Q3281">
        <v>305</v>
      </c>
      <c r="R3281" s="34">
        <f t="shared" si="54"/>
        <v>0.3734487077308235</v>
      </c>
    </row>
    <row r="3282" spans="16:18" x14ac:dyDescent="0.3">
      <c r="P3282" s="35">
        <v>26.03</v>
      </c>
      <c r="Q3282">
        <v>305</v>
      </c>
      <c r="R3282" s="34">
        <f t="shared" si="54"/>
        <v>0.37356256404415605</v>
      </c>
    </row>
    <row r="3283" spans="16:18" x14ac:dyDescent="0.3">
      <c r="P3283" s="35">
        <v>26.04</v>
      </c>
      <c r="Q3283">
        <v>305</v>
      </c>
      <c r="R3283" s="34">
        <f t="shared" si="54"/>
        <v>0.3736764203574886</v>
      </c>
    </row>
    <row r="3284" spans="16:18" x14ac:dyDescent="0.3">
      <c r="P3284" s="35">
        <v>26.04</v>
      </c>
      <c r="Q3284">
        <v>305</v>
      </c>
      <c r="R3284" s="34">
        <f t="shared" si="54"/>
        <v>0.37379027667082115</v>
      </c>
    </row>
    <row r="3285" spans="16:18" x14ac:dyDescent="0.3">
      <c r="P3285" s="35">
        <v>26.05</v>
      </c>
      <c r="Q3285">
        <v>305</v>
      </c>
      <c r="R3285" s="34">
        <f t="shared" si="54"/>
        <v>0.3739041329841537</v>
      </c>
    </row>
    <row r="3286" spans="16:18" x14ac:dyDescent="0.3">
      <c r="P3286" s="35">
        <v>26.05</v>
      </c>
      <c r="Q3286">
        <v>305</v>
      </c>
      <c r="R3286" s="34">
        <f t="shared" si="54"/>
        <v>0.37401798929748625</v>
      </c>
    </row>
    <row r="3287" spans="16:18" x14ac:dyDescent="0.3">
      <c r="P3287" s="35">
        <v>26.06</v>
      </c>
      <c r="Q3287">
        <v>305</v>
      </c>
      <c r="R3287" s="34">
        <f t="shared" si="54"/>
        <v>0.3741318456108188</v>
      </c>
    </row>
    <row r="3288" spans="16:18" x14ac:dyDescent="0.3">
      <c r="P3288" s="35">
        <v>26.06</v>
      </c>
      <c r="Q3288">
        <v>305</v>
      </c>
      <c r="R3288" s="34">
        <f t="shared" si="54"/>
        <v>0.37424570192415135</v>
      </c>
    </row>
    <row r="3289" spans="16:18" x14ac:dyDescent="0.3">
      <c r="P3289" s="35">
        <v>26.07</v>
      </c>
      <c r="Q3289">
        <v>305</v>
      </c>
      <c r="R3289" s="34">
        <f t="shared" si="54"/>
        <v>0.3743595582374839</v>
      </c>
    </row>
    <row r="3290" spans="16:18" x14ac:dyDescent="0.3">
      <c r="P3290" s="35">
        <v>26.07</v>
      </c>
      <c r="Q3290">
        <v>305</v>
      </c>
      <c r="R3290" s="34">
        <f t="shared" si="54"/>
        <v>0.37447341455081645</v>
      </c>
    </row>
    <row r="3291" spans="16:18" x14ac:dyDescent="0.3">
      <c r="P3291" s="35">
        <v>26.07</v>
      </c>
      <c r="Q3291">
        <v>305</v>
      </c>
      <c r="R3291" s="34">
        <f t="shared" si="54"/>
        <v>0.374587270864149</v>
      </c>
    </row>
    <row r="3292" spans="16:18" x14ac:dyDescent="0.3">
      <c r="P3292" s="35">
        <v>26.07</v>
      </c>
      <c r="Q3292">
        <v>305</v>
      </c>
      <c r="R3292" s="34">
        <f t="shared" si="54"/>
        <v>0.37470112717748155</v>
      </c>
    </row>
    <row r="3293" spans="16:18" x14ac:dyDescent="0.3">
      <c r="P3293" s="35">
        <v>26.08</v>
      </c>
      <c r="Q3293">
        <v>305</v>
      </c>
      <c r="R3293" s="34">
        <f t="shared" si="54"/>
        <v>0.3748149834908141</v>
      </c>
    </row>
    <row r="3294" spans="16:18" x14ac:dyDescent="0.3">
      <c r="P3294" s="35">
        <v>26.08</v>
      </c>
      <c r="Q3294">
        <v>305</v>
      </c>
      <c r="R3294" s="34">
        <f t="shared" si="54"/>
        <v>0.37492883980414665</v>
      </c>
    </row>
    <row r="3295" spans="16:18" x14ac:dyDescent="0.3">
      <c r="P3295" s="35">
        <v>26.08</v>
      </c>
      <c r="Q3295">
        <v>305</v>
      </c>
      <c r="R3295" s="34">
        <f t="shared" si="54"/>
        <v>0.3750426961174792</v>
      </c>
    </row>
    <row r="3296" spans="16:18" x14ac:dyDescent="0.3">
      <c r="P3296" s="35">
        <v>26.08</v>
      </c>
      <c r="Q3296">
        <v>305</v>
      </c>
      <c r="R3296" s="34">
        <f t="shared" si="54"/>
        <v>0.37515655243081175</v>
      </c>
    </row>
    <row r="3297" spans="16:18" x14ac:dyDescent="0.3">
      <c r="P3297" s="35">
        <v>26.09</v>
      </c>
      <c r="Q3297">
        <v>305</v>
      </c>
      <c r="R3297" s="34">
        <f t="shared" si="54"/>
        <v>0.3752704087441443</v>
      </c>
    </row>
    <row r="3298" spans="16:18" x14ac:dyDescent="0.3">
      <c r="P3298" s="35">
        <v>26.09</v>
      </c>
      <c r="Q3298">
        <v>305</v>
      </c>
      <c r="R3298" s="34">
        <f t="shared" si="54"/>
        <v>0.37538426505747685</v>
      </c>
    </row>
    <row r="3299" spans="16:18" x14ac:dyDescent="0.3">
      <c r="P3299" s="35">
        <v>26.09</v>
      </c>
      <c r="Q3299">
        <v>305</v>
      </c>
      <c r="R3299" s="34">
        <f t="shared" si="54"/>
        <v>0.3754981213708094</v>
      </c>
    </row>
    <row r="3300" spans="16:18" x14ac:dyDescent="0.3">
      <c r="P3300" s="35">
        <v>26.1</v>
      </c>
      <c r="Q3300">
        <v>305</v>
      </c>
      <c r="R3300" s="34">
        <f t="shared" si="54"/>
        <v>0.37561197768414195</v>
      </c>
    </row>
    <row r="3301" spans="16:18" x14ac:dyDescent="0.3">
      <c r="P3301" s="35">
        <v>26.1</v>
      </c>
      <c r="Q3301">
        <v>305</v>
      </c>
      <c r="R3301" s="34">
        <f t="shared" si="54"/>
        <v>0.3757258339974745</v>
      </c>
    </row>
    <row r="3302" spans="16:18" x14ac:dyDescent="0.3">
      <c r="P3302" s="35">
        <v>26.1</v>
      </c>
      <c r="Q3302">
        <v>305</v>
      </c>
      <c r="R3302" s="34">
        <f t="shared" si="54"/>
        <v>0.37583969031080705</v>
      </c>
    </row>
    <row r="3303" spans="16:18" x14ac:dyDescent="0.3">
      <c r="P3303" s="35">
        <v>26.11</v>
      </c>
      <c r="Q3303">
        <v>305</v>
      </c>
      <c r="R3303" s="34">
        <f t="shared" si="54"/>
        <v>0.3759535466241396</v>
      </c>
    </row>
    <row r="3304" spans="16:18" x14ac:dyDescent="0.3">
      <c r="P3304" s="35">
        <v>26.11</v>
      </c>
      <c r="Q3304">
        <v>305</v>
      </c>
      <c r="R3304" s="34">
        <f t="shared" si="54"/>
        <v>0.37606740293747215</v>
      </c>
    </row>
    <row r="3305" spans="16:18" x14ac:dyDescent="0.3">
      <c r="P3305" s="35">
        <v>26.11</v>
      </c>
      <c r="Q3305">
        <v>305</v>
      </c>
      <c r="R3305" s="34">
        <f t="shared" si="54"/>
        <v>0.3761812592508047</v>
      </c>
    </row>
    <row r="3306" spans="16:18" x14ac:dyDescent="0.3">
      <c r="P3306" s="35">
        <v>26.12</v>
      </c>
      <c r="Q3306">
        <v>305</v>
      </c>
      <c r="R3306" s="34">
        <f t="shared" si="54"/>
        <v>0.37629511556413725</v>
      </c>
    </row>
    <row r="3307" spans="16:18" x14ac:dyDescent="0.3">
      <c r="P3307" s="35">
        <v>26.12</v>
      </c>
      <c r="Q3307">
        <v>305</v>
      </c>
      <c r="R3307" s="34">
        <f t="shared" si="54"/>
        <v>0.3764089718774698</v>
      </c>
    </row>
    <row r="3308" spans="16:18" x14ac:dyDescent="0.3">
      <c r="P3308" s="35">
        <v>26.12</v>
      </c>
      <c r="Q3308">
        <v>305</v>
      </c>
      <c r="R3308" s="34">
        <f t="shared" si="54"/>
        <v>0.37652282819080235</v>
      </c>
    </row>
    <row r="3309" spans="16:18" x14ac:dyDescent="0.3">
      <c r="P3309" s="35">
        <v>26.13</v>
      </c>
      <c r="Q3309">
        <v>305</v>
      </c>
      <c r="R3309" s="34">
        <f t="shared" si="54"/>
        <v>0.3766366845041349</v>
      </c>
    </row>
    <row r="3310" spans="16:18" x14ac:dyDescent="0.3">
      <c r="P3310" s="35">
        <v>26.13</v>
      </c>
      <c r="Q3310">
        <v>305</v>
      </c>
      <c r="R3310" s="34">
        <f t="shared" si="54"/>
        <v>0.37675054081746745</v>
      </c>
    </row>
    <row r="3311" spans="16:18" x14ac:dyDescent="0.3">
      <c r="P3311" s="35">
        <v>26.13</v>
      </c>
      <c r="Q3311">
        <v>305</v>
      </c>
      <c r="R3311" s="34">
        <f t="shared" si="54"/>
        <v>0.3768643971308</v>
      </c>
    </row>
    <row r="3312" spans="16:18" x14ac:dyDescent="0.3">
      <c r="P3312" s="35">
        <v>26.14</v>
      </c>
      <c r="Q3312">
        <v>305</v>
      </c>
      <c r="R3312" s="34">
        <f t="shared" si="54"/>
        <v>0.37697825344413255</v>
      </c>
    </row>
    <row r="3313" spans="16:18" x14ac:dyDescent="0.3">
      <c r="P3313" s="35">
        <v>26.15</v>
      </c>
      <c r="Q3313">
        <v>305</v>
      </c>
      <c r="R3313" s="34">
        <f t="shared" si="54"/>
        <v>0.3770921097574651</v>
      </c>
    </row>
    <row r="3314" spans="16:18" x14ac:dyDescent="0.3">
      <c r="P3314" s="35">
        <v>26.15</v>
      </c>
      <c r="Q3314">
        <v>305</v>
      </c>
      <c r="R3314" s="34">
        <f t="shared" si="54"/>
        <v>0.37720596607079765</v>
      </c>
    </row>
    <row r="3315" spans="16:18" x14ac:dyDescent="0.3">
      <c r="P3315" s="35">
        <v>26.15</v>
      </c>
      <c r="Q3315">
        <v>305</v>
      </c>
      <c r="R3315" s="34">
        <f t="shared" si="54"/>
        <v>0.3773198223841302</v>
      </c>
    </row>
    <row r="3316" spans="16:18" x14ac:dyDescent="0.3">
      <c r="P3316" s="35">
        <v>26.16</v>
      </c>
      <c r="Q3316">
        <v>305</v>
      </c>
      <c r="R3316" s="34">
        <f t="shared" si="54"/>
        <v>0.37743367869746275</v>
      </c>
    </row>
    <row r="3317" spans="16:18" x14ac:dyDescent="0.3">
      <c r="P3317" s="35">
        <v>26.16</v>
      </c>
      <c r="Q3317">
        <v>305</v>
      </c>
      <c r="R3317" s="34">
        <f t="shared" si="54"/>
        <v>0.3775475350107953</v>
      </c>
    </row>
    <row r="3318" spans="16:18" x14ac:dyDescent="0.3">
      <c r="P3318" s="35">
        <v>26.16</v>
      </c>
      <c r="Q3318">
        <v>305</v>
      </c>
      <c r="R3318" s="34">
        <f t="shared" si="54"/>
        <v>0.37766139132412785</v>
      </c>
    </row>
    <row r="3319" spans="16:18" x14ac:dyDescent="0.3">
      <c r="P3319" s="35">
        <v>26.16</v>
      </c>
      <c r="Q3319">
        <v>305</v>
      </c>
      <c r="R3319" s="34">
        <f t="shared" si="54"/>
        <v>0.3777752476374604</v>
      </c>
    </row>
    <row r="3320" spans="16:18" x14ac:dyDescent="0.3">
      <c r="P3320" s="35">
        <v>26.17</v>
      </c>
      <c r="Q3320">
        <v>305</v>
      </c>
      <c r="R3320" s="34">
        <f t="shared" si="54"/>
        <v>0.37788910395079295</v>
      </c>
    </row>
    <row r="3321" spans="16:18" x14ac:dyDescent="0.3">
      <c r="P3321" s="35">
        <v>26.17</v>
      </c>
      <c r="Q3321">
        <v>305</v>
      </c>
      <c r="R3321" s="34">
        <f t="shared" si="54"/>
        <v>0.3780029602641255</v>
      </c>
    </row>
    <row r="3322" spans="16:18" x14ac:dyDescent="0.3">
      <c r="P3322" s="35">
        <v>26.17</v>
      </c>
      <c r="Q3322">
        <v>305</v>
      </c>
      <c r="R3322" s="34">
        <f t="shared" si="54"/>
        <v>0.37811681657745805</v>
      </c>
    </row>
    <row r="3323" spans="16:18" x14ac:dyDescent="0.3">
      <c r="P3323" s="35">
        <v>26.17</v>
      </c>
      <c r="Q3323">
        <v>305</v>
      </c>
      <c r="R3323" s="34">
        <f t="shared" si="54"/>
        <v>0.3782306728907906</v>
      </c>
    </row>
    <row r="3324" spans="16:18" x14ac:dyDescent="0.3">
      <c r="P3324" s="35">
        <v>26.17</v>
      </c>
      <c r="Q3324">
        <v>305</v>
      </c>
      <c r="R3324" s="34">
        <f t="shared" si="54"/>
        <v>0.37834452920412315</v>
      </c>
    </row>
    <row r="3325" spans="16:18" x14ac:dyDescent="0.3">
      <c r="P3325" s="35">
        <v>26.18</v>
      </c>
      <c r="Q3325">
        <v>305</v>
      </c>
      <c r="R3325" s="34">
        <f t="shared" si="54"/>
        <v>0.3784583855174557</v>
      </c>
    </row>
    <row r="3326" spans="16:18" x14ac:dyDescent="0.3">
      <c r="P3326" s="35">
        <v>26.18</v>
      </c>
      <c r="Q3326">
        <v>305</v>
      </c>
      <c r="R3326" s="34">
        <f t="shared" si="54"/>
        <v>0.37857224183078825</v>
      </c>
    </row>
    <row r="3327" spans="16:18" x14ac:dyDescent="0.3">
      <c r="P3327" s="35">
        <v>26.19</v>
      </c>
      <c r="Q3327">
        <v>305</v>
      </c>
      <c r="R3327" s="34">
        <f t="shared" si="54"/>
        <v>0.3786860981441208</v>
      </c>
    </row>
    <row r="3328" spans="16:18" x14ac:dyDescent="0.3">
      <c r="P3328" s="35">
        <v>26.19</v>
      </c>
      <c r="Q3328">
        <v>305</v>
      </c>
      <c r="R3328" s="34">
        <f t="shared" si="54"/>
        <v>0.37879995445745335</v>
      </c>
    </row>
    <row r="3329" spans="16:18" x14ac:dyDescent="0.3">
      <c r="P3329" s="35">
        <v>26.2</v>
      </c>
      <c r="Q3329">
        <v>305</v>
      </c>
      <c r="R3329" s="34">
        <f t="shared" si="54"/>
        <v>0.3789138107707859</v>
      </c>
    </row>
    <row r="3330" spans="16:18" x14ac:dyDescent="0.3">
      <c r="P3330" s="35">
        <v>26.2</v>
      </c>
      <c r="Q3330">
        <v>305</v>
      </c>
      <c r="R3330" s="34">
        <f t="shared" si="54"/>
        <v>0.37902766708411845</v>
      </c>
    </row>
    <row r="3331" spans="16:18" x14ac:dyDescent="0.3">
      <c r="P3331" s="35">
        <v>26.21</v>
      </c>
      <c r="Q3331">
        <v>305</v>
      </c>
      <c r="R3331" s="34">
        <f t="shared" si="54"/>
        <v>0.379141523397451</v>
      </c>
    </row>
    <row r="3332" spans="16:18" x14ac:dyDescent="0.3">
      <c r="P3332" s="35">
        <v>26.21</v>
      </c>
      <c r="Q3332">
        <v>305</v>
      </c>
      <c r="R3332" s="34">
        <f t="shared" ref="R3332:R3395" si="55">R3331+R$2</f>
        <v>0.37925537971078355</v>
      </c>
    </row>
    <row r="3333" spans="16:18" x14ac:dyDescent="0.3">
      <c r="P3333" s="35">
        <v>26.22</v>
      </c>
      <c r="Q3333">
        <v>305</v>
      </c>
      <c r="R3333" s="34">
        <f t="shared" si="55"/>
        <v>0.3793692360241161</v>
      </c>
    </row>
    <row r="3334" spans="16:18" x14ac:dyDescent="0.3">
      <c r="P3334" s="35">
        <v>26.23</v>
      </c>
      <c r="Q3334">
        <v>305</v>
      </c>
      <c r="R3334" s="34">
        <f t="shared" si="55"/>
        <v>0.37948309233744865</v>
      </c>
    </row>
    <row r="3335" spans="16:18" x14ac:dyDescent="0.3">
      <c r="P3335" s="35">
        <v>26.23</v>
      </c>
      <c r="Q3335">
        <v>305</v>
      </c>
      <c r="R3335" s="34">
        <f t="shared" si="55"/>
        <v>0.3795969486507812</v>
      </c>
    </row>
    <row r="3336" spans="16:18" x14ac:dyDescent="0.3">
      <c r="P3336" s="35">
        <v>26.23</v>
      </c>
      <c r="Q3336">
        <v>305</v>
      </c>
      <c r="R3336" s="34">
        <f t="shared" si="55"/>
        <v>0.37971080496411375</v>
      </c>
    </row>
    <row r="3337" spans="16:18" x14ac:dyDescent="0.3">
      <c r="P3337" s="35">
        <v>26.23</v>
      </c>
      <c r="Q3337">
        <v>305</v>
      </c>
      <c r="R3337" s="34">
        <f t="shared" si="55"/>
        <v>0.3798246612774463</v>
      </c>
    </row>
    <row r="3338" spans="16:18" x14ac:dyDescent="0.3">
      <c r="P3338" s="35">
        <v>26.24</v>
      </c>
      <c r="Q3338">
        <v>305</v>
      </c>
      <c r="R3338" s="34">
        <f t="shared" si="55"/>
        <v>0.37993851759077885</v>
      </c>
    </row>
    <row r="3339" spans="16:18" x14ac:dyDescent="0.3">
      <c r="P3339" s="35">
        <v>26.24</v>
      </c>
      <c r="Q3339">
        <v>305</v>
      </c>
      <c r="R3339" s="34">
        <f t="shared" si="55"/>
        <v>0.3800523739041114</v>
      </c>
    </row>
    <row r="3340" spans="16:18" x14ac:dyDescent="0.3">
      <c r="P3340" s="35">
        <v>26.25</v>
      </c>
      <c r="Q3340">
        <v>305</v>
      </c>
      <c r="R3340" s="34">
        <f t="shared" si="55"/>
        <v>0.38016623021744395</v>
      </c>
    </row>
    <row r="3341" spans="16:18" x14ac:dyDescent="0.3">
      <c r="P3341" s="35">
        <v>26.25</v>
      </c>
      <c r="Q3341">
        <v>305</v>
      </c>
      <c r="R3341" s="34">
        <f t="shared" si="55"/>
        <v>0.3802800865307765</v>
      </c>
    </row>
    <row r="3342" spans="16:18" x14ac:dyDescent="0.3">
      <c r="P3342" s="35">
        <v>26.25</v>
      </c>
      <c r="Q3342">
        <v>305</v>
      </c>
      <c r="R3342" s="34">
        <f t="shared" si="55"/>
        <v>0.38039394284410905</v>
      </c>
    </row>
    <row r="3343" spans="16:18" x14ac:dyDescent="0.3">
      <c r="P3343" s="35">
        <v>26.26</v>
      </c>
      <c r="Q3343">
        <v>305</v>
      </c>
      <c r="R3343" s="34">
        <f t="shared" si="55"/>
        <v>0.3805077991574416</v>
      </c>
    </row>
    <row r="3344" spans="16:18" x14ac:dyDescent="0.3">
      <c r="P3344" s="35">
        <v>26.26</v>
      </c>
      <c r="Q3344">
        <v>305</v>
      </c>
      <c r="R3344" s="34">
        <f t="shared" si="55"/>
        <v>0.38062165547077415</v>
      </c>
    </row>
    <row r="3345" spans="16:18" x14ac:dyDescent="0.3">
      <c r="P3345" s="35">
        <v>26.26</v>
      </c>
      <c r="Q3345">
        <v>305</v>
      </c>
      <c r="R3345" s="34">
        <f t="shared" si="55"/>
        <v>0.38073551178410669</v>
      </c>
    </row>
    <row r="3346" spans="16:18" x14ac:dyDescent="0.3">
      <c r="P3346" s="35">
        <v>26.28</v>
      </c>
      <c r="Q3346">
        <v>305</v>
      </c>
      <c r="R3346" s="34">
        <f t="shared" si="55"/>
        <v>0.38084936809743924</v>
      </c>
    </row>
    <row r="3347" spans="16:18" x14ac:dyDescent="0.3">
      <c r="P3347" s="35">
        <v>26.28</v>
      </c>
      <c r="Q3347">
        <v>305</v>
      </c>
      <c r="R3347" s="34">
        <f t="shared" si="55"/>
        <v>0.38096322441077179</v>
      </c>
    </row>
    <row r="3348" spans="16:18" x14ac:dyDescent="0.3">
      <c r="P3348" s="35">
        <v>26.28</v>
      </c>
      <c r="Q3348">
        <v>305</v>
      </c>
      <c r="R3348" s="34">
        <f t="shared" si="55"/>
        <v>0.38107708072410434</v>
      </c>
    </row>
    <row r="3349" spans="16:18" x14ac:dyDescent="0.3">
      <c r="P3349" s="35">
        <v>26.29</v>
      </c>
      <c r="Q3349">
        <v>305</v>
      </c>
      <c r="R3349" s="34">
        <f t="shared" si="55"/>
        <v>0.38119093703743689</v>
      </c>
    </row>
    <row r="3350" spans="16:18" x14ac:dyDescent="0.3">
      <c r="P3350" s="35">
        <v>26.29</v>
      </c>
      <c r="Q3350">
        <v>305</v>
      </c>
      <c r="R3350" s="34">
        <f t="shared" si="55"/>
        <v>0.38130479335076944</v>
      </c>
    </row>
    <row r="3351" spans="16:18" x14ac:dyDescent="0.3">
      <c r="P3351" s="35">
        <v>26.29</v>
      </c>
      <c r="Q3351">
        <v>305</v>
      </c>
      <c r="R3351" s="34">
        <f t="shared" si="55"/>
        <v>0.38141864966410199</v>
      </c>
    </row>
    <row r="3352" spans="16:18" x14ac:dyDescent="0.3">
      <c r="P3352" s="35">
        <v>26.3</v>
      </c>
      <c r="Q3352">
        <v>305</v>
      </c>
      <c r="R3352" s="34">
        <f t="shared" si="55"/>
        <v>0.38153250597743454</v>
      </c>
    </row>
    <row r="3353" spans="16:18" x14ac:dyDescent="0.3">
      <c r="P3353" s="35">
        <v>26.3</v>
      </c>
      <c r="Q3353">
        <v>305</v>
      </c>
      <c r="R3353" s="34">
        <f t="shared" si="55"/>
        <v>0.38164636229076709</v>
      </c>
    </row>
    <row r="3354" spans="16:18" x14ac:dyDescent="0.3">
      <c r="P3354" s="35">
        <v>26.3</v>
      </c>
      <c r="Q3354">
        <v>305</v>
      </c>
      <c r="R3354" s="34">
        <f t="shared" si="55"/>
        <v>0.38176021860409964</v>
      </c>
    </row>
    <row r="3355" spans="16:18" x14ac:dyDescent="0.3">
      <c r="P3355" s="35">
        <v>26.3</v>
      </c>
      <c r="Q3355">
        <v>305</v>
      </c>
      <c r="R3355" s="34">
        <f t="shared" si="55"/>
        <v>0.38187407491743219</v>
      </c>
    </row>
    <row r="3356" spans="16:18" x14ac:dyDescent="0.3">
      <c r="P3356" s="35">
        <v>26.31</v>
      </c>
      <c r="Q3356">
        <v>305</v>
      </c>
      <c r="R3356" s="34">
        <f t="shared" si="55"/>
        <v>0.38198793123076474</v>
      </c>
    </row>
    <row r="3357" spans="16:18" x14ac:dyDescent="0.3">
      <c r="P3357" s="35">
        <v>26.31</v>
      </c>
      <c r="Q3357">
        <v>305</v>
      </c>
      <c r="R3357" s="34">
        <f t="shared" si="55"/>
        <v>0.38210178754409729</v>
      </c>
    </row>
    <row r="3358" spans="16:18" x14ac:dyDescent="0.3">
      <c r="P3358" s="35">
        <v>26.31</v>
      </c>
      <c r="Q3358">
        <v>305</v>
      </c>
      <c r="R3358" s="34">
        <f t="shared" si="55"/>
        <v>0.38221564385742984</v>
      </c>
    </row>
    <row r="3359" spans="16:18" x14ac:dyDescent="0.3">
      <c r="P3359" s="35">
        <v>26.31</v>
      </c>
      <c r="Q3359">
        <v>305</v>
      </c>
      <c r="R3359" s="34">
        <f t="shared" si="55"/>
        <v>0.38232950017076239</v>
      </c>
    </row>
    <row r="3360" spans="16:18" x14ac:dyDescent="0.3">
      <c r="P3360" s="35">
        <v>26.32</v>
      </c>
      <c r="Q3360">
        <v>305</v>
      </c>
      <c r="R3360" s="34">
        <f t="shared" si="55"/>
        <v>0.38244335648409494</v>
      </c>
    </row>
    <row r="3361" spans="16:18" x14ac:dyDescent="0.3">
      <c r="P3361" s="35">
        <v>26.32</v>
      </c>
      <c r="Q3361">
        <v>305</v>
      </c>
      <c r="R3361" s="34">
        <f t="shared" si="55"/>
        <v>0.38255721279742749</v>
      </c>
    </row>
    <row r="3362" spans="16:18" x14ac:dyDescent="0.3">
      <c r="P3362" s="35">
        <v>26.32</v>
      </c>
      <c r="Q3362">
        <v>305</v>
      </c>
      <c r="R3362" s="34">
        <f t="shared" si="55"/>
        <v>0.38267106911076004</v>
      </c>
    </row>
    <row r="3363" spans="16:18" x14ac:dyDescent="0.3">
      <c r="P3363" s="35">
        <v>26.33</v>
      </c>
      <c r="Q3363">
        <v>305</v>
      </c>
      <c r="R3363" s="34">
        <f t="shared" si="55"/>
        <v>0.38278492542409259</v>
      </c>
    </row>
    <row r="3364" spans="16:18" x14ac:dyDescent="0.3">
      <c r="P3364" s="35">
        <v>26.33</v>
      </c>
      <c r="Q3364">
        <v>305</v>
      </c>
      <c r="R3364" s="34">
        <f t="shared" si="55"/>
        <v>0.38289878173742514</v>
      </c>
    </row>
    <row r="3365" spans="16:18" x14ac:dyDescent="0.3">
      <c r="P3365" s="35">
        <v>26.33</v>
      </c>
      <c r="Q3365">
        <v>305</v>
      </c>
      <c r="R3365" s="34">
        <f t="shared" si="55"/>
        <v>0.38301263805075769</v>
      </c>
    </row>
    <row r="3366" spans="16:18" x14ac:dyDescent="0.3">
      <c r="P3366" s="35">
        <v>26.34</v>
      </c>
      <c r="Q3366">
        <v>305</v>
      </c>
      <c r="R3366" s="34">
        <f t="shared" si="55"/>
        <v>0.38312649436409024</v>
      </c>
    </row>
    <row r="3367" spans="16:18" x14ac:dyDescent="0.3">
      <c r="P3367" s="35">
        <v>26.34</v>
      </c>
      <c r="Q3367">
        <v>305</v>
      </c>
      <c r="R3367" s="34">
        <f t="shared" si="55"/>
        <v>0.38324035067742279</v>
      </c>
    </row>
    <row r="3368" spans="16:18" x14ac:dyDescent="0.3">
      <c r="P3368" s="35">
        <v>26.34</v>
      </c>
      <c r="Q3368">
        <v>305</v>
      </c>
      <c r="R3368" s="34">
        <f t="shared" si="55"/>
        <v>0.38335420699075534</v>
      </c>
    </row>
    <row r="3369" spans="16:18" x14ac:dyDescent="0.3">
      <c r="P3369" s="35">
        <v>26.35</v>
      </c>
      <c r="Q3369">
        <v>305</v>
      </c>
      <c r="R3369" s="34">
        <f t="shared" si="55"/>
        <v>0.38346806330408789</v>
      </c>
    </row>
    <row r="3370" spans="16:18" x14ac:dyDescent="0.3">
      <c r="P3370" s="35">
        <v>26.35</v>
      </c>
      <c r="Q3370">
        <v>305</v>
      </c>
      <c r="R3370" s="34">
        <f t="shared" si="55"/>
        <v>0.38358191961742044</v>
      </c>
    </row>
    <row r="3371" spans="16:18" x14ac:dyDescent="0.3">
      <c r="P3371" s="35">
        <v>26.35</v>
      </c>
      <c r="Q3371">
        <v>305</v>
      </c>
      <c r="R3371" s="34">
        <f t="shared" si="55"/>
        <v>0.38369577593075299</v>
      </c>
    </row>
    <row r="3372" spans="16:18" x14ac:dyDescent="0.3">
      <c r="P3372" s="35">
        <v>26.35</v>
      </c>
      <c r="Q3372">
        <v>305</v>
      </c>
      <c r="R3372" s="34">
        <f t="shared" si="55"/>
        <v>0.38380963224408554</v>
      </c>
    </row>
    <row r="3373" spans="16:18" x14ac:dyDescent="0.3">
      <c r="P3373" s="35">
        <v>26.35</v>
      </c>
      <c r="Q3373">
        <v>305</v>
      </c>
      <c r="R3373" s="34">
        <f t="shared" si="55"/>
        <v>0.38392348855741809</v>
      </c>
    </row>
    <row r="3374" spans="16:18" x14ac:dyDescent="0.3">
      <c r="P3374" s="35">
        <v>26.35</v>
      </c>
      <c r="Q3374">
        <v>305</v>
      </c>
      <c r="R3374" s="34">
        <f t="shared" si="55"/>
        <v>0.38403734487075064</v>
      </c>
    </row>
    <row r="3375" spans="16:18" x14ac:dyDescent="0.3">
      <c r="P3375" s="35">
        <v>26.36</v>
      </c>
      <c r="Q3375">
        <v>305</v>
      </c>
      <c r="R3375" s="34">
        <f t="shared" si="55"/>
        <v>0.38415120118408319</v>
      </c>
    </row>
    <row r="3376" spans="16:18" x14ac:dyDescent="0.3">
      <c r="P3376" s="35">
        <v>26.36</v>
      </c>
      <c r="Q3376">
        <v>305</v>
      </c>
      <c r="R3376" s="34">
        <f t="shared" si="55"/>
        <v>0.38426505749741574</v>
      </c>
    </row>
    <row r="3377" spans="16:18" x14ac:dyDescent="0.3">
      <c r="P3377" s="35">
        <v>26.36</v>
      </c>
      <c r="Q3377">
        <v>305</v>
      </c>
      <c r="R3377" s="34">
        <f t="shared" si="55"/>
        <v>0.38437891381074829</v>
      </c>
    </row>
    <row r="3378" spans="16:18" x14ac:dyDescent="0.3">
      <c r="P3378" s="35">
        <v>26.37</v>
      </c>
      <c r="Q3378">
        <v>305</v>
      </c>
      <c r="R3378" s="34">
        <f t="shared" si="55"/>
        <v>0.38449277012408084</v>
      </c>
    </row>
    <row r="3379" spans="16:18" x14ac:dyDescent="0.3">
      <c r="P3379" s="35">
        <v>26.37</v>
      </c>
      <c r="Q3379">
        <v>305</v>
      </c>
      <c r="R3379" s="34">
        <f t="shared" si="55"/>
        <v>0.38460662643741339</v>
      </c>
    </row>
    <row r="3380" spans="16:18" x14ac:dyDescent="0.3">
      <c r="P3380" s="35">
        <v>26.37</v>
      </c>
      <c r="Q3380">
        <v>305</v>
      </c>
      <c r="R3380" s="34">
        <f t="shared" si="55"/>
        <v>0.38472048275074594</v>
      </c>
    </row>
    <row r="3381" spans="16:18" x14ac:dyDescent="0.3">
      <c r="P3381" s="35">
        <v>26.37</v>
      </c>
      <c r="Q3381">
        <v>305</v>
      </c>
      <c r="R3381" s="34">
        <f t="shared" si="55"/>
        <v>0.38483433906407849</v>
      </c>
    </row>
    <row r="3382" spans="16:18" x14ac:dyDescent="0.3">
      <c r="P3382" s="35">
        <v>26.37</v>
      </c>
      <c r="Q3382">
        <v>305</v>
      </c>
      <c r="R3382" s="34">
        <f t="shared" si="55"/>
        <v>0.38494819537741104</v>
      </c>
    </row>
    <row r="3383" spans="16:18" x14ac:dyDescent="0.3">
      <c r="P3383" s="35">
        <v>26.37</v>
      </c>
      <c r="Q3383">
        <v>305</v>
      </c>
      <c r="R3383" s="34">
        <f t="shared" si="55"/>
        <v>0.38506205169074359</v>
      </c>
    </row>
    <row r="3384" spans="16:18" x14ac:dyDescent="0.3">
      <c r="P3384" s="35">
        <v>26.37</v>
      </c>
      <c r="Q3384">
        <v>305</v>
      </c>
      <c r="R3384" s="34">
        <f t="shared" si="55"/>
        <v>0.38517590800407614</v>
      </c>
    </row>
    <row r="3385" spans="16:18" x14ac:dyDescent="0.3">
      <c r="P3385" s="35">
        <v>26.37</v>
      </c>
      <c r="Q3385">
        <v>305</v>
      </c>
      <c r="R3385" s="34">
        <f t="shared" si="55"/>
        <v>0.38528976431740869</v>
      </c>
    </row>
    <row r="3386" spans="16:18" x14ac:dyDescent="0.3">
      <c r="P3386" s="35">
        <v>26.38</v>
      </c>
      <c r="Q3386">
        <v>305</v>
      </c>
      <c r="R3386" s="34">
        <f t="shared" si="55"/>
        <v>0.38540362063074124</v>
      </c>
    </row>
    <row r="3387" spans="16:18" x14ac:dyDescent="0.3">
      <c r="P3387" s="35">
        <v>26.38</v>
      </c>
      <c r="Q3387">
        <v>305</v>
      </c>
      <c r="R3387" s="34">
        <f t="shared" si="55"/>
        <v>0.38551747694407379</v>
      </c>
    </row>
    <row r="3388" spans="16:18" x14ac:dyDescent="0.3">
      <c r="P3388" s="35">
        <v>26.39</v>
      </c>
      <c r="Q3388">
        <v>305</v>
      </c>
      <c r="R3388" s="34">
        <f t="shared" si="55"/>
        <v>0.38563133325740634</v>
      </c>
    </row>
    <row r="3389" spans="16:18" x14ac:dyDescent="0.3">
      <c r="P3389" s="35">
        <v>26.39</v>
      </c>
      <c r="Q3389">
        <v>305</v>
      </c>
      <c r="R3389" s="34">
        <f t="shared" si="55"/>
        <v>0.38574518957073889</v>
      </c>
    </row>
    <row r="3390" spans="16:18" x14ac:dyDescent="0.3">
      <c r="P3390" s="35">
        <v>26.39</v>
      </c>
      <c r="Q3390">
        <v>305</v>
      </c>
      <c r="R3390" s="34">
        <f t="shared" si="55"/>
        <v>0.38585904588407144</v>
      </c>
    </row>
    <row r="3391" spans="16:18" x14ac:dyDescent="0.3">
      <c r="P3391" s="35">
        <v>26.39</v>
      </c>
      <c r="Q3391">
        <v>305</v>
      </c>
      <c r="R3391" s="34">
        <f t="shared" si="55"/>
        <v>0.38597290219740399</v>
      </c>
    </row>
    <row r="3392" spans="16:18" x14ac:dyDescent="0.3">
      <c r="P3392" s="35">
        <v>26.39</v>
      </c>
      <c r="Q3392">
        <v>305</v>
      </c>
      <c r="R3392" s="34">
        <f t="shared" si="55"/>
        <v>0.38608675851073654</v>
      </c>
    </row>
    <row r="3393" spans="16:18" x14ac:dyDescent="0.3">
      <c r="P3393" s="35">
        <v>26.41</v>
      </c>
      <c r="Q3393">
        <v>305</v>
      </c>
      <c r="R3393" s="34">
        <f t="shared" si="55"/>
        <v>0.38620061482406909</v>
      </c>
    </row>
    <row r="3394" spans="16:18" x14ac:dyDescent="0.3">
      <c r="P3394" s="35">
        <v>26.41</v>
      </c>
      <c r="Q3394">
        <v>305</v>
      </c>
      <c r="R3394" s="34">
        <f t="shared" si="55"/>
        <v>0.38631447113740164</v>
      </c>
    </row>
    <row r="3395" spans="16:18" x14ac:dyDescent="0.3">
      <c r="P3395" s="35">
        <v>26.41</v>
      </c>
      <c r="Q3395">
        <v>305</v>
      </c>
      <c r="R3395" s="34">
        <f t="shared" si="55"/>
        <v>0.38642832745073419</v>
      </c>
    </row>
    <row r="3396" spans="16:18" x14ac:dyDescent="0.3">
      <c r="P3396" s="35">
        <v>26.41</v>
      </c>
      <c r="Q3396">
        <v>305</v>
      </c>
      <c r="R3396" s="34">
        <f t="shared" ref="R3396:R3459" si="56">R3395+R$2</f>
        <v>0.38654218376406674</v>
      </c>
    </row>
    <row r="3397" spans="16:18" x14ac:dyDescent="0.3">
      <c r="P3397" s="35">
        <v>26.42</v>
      </c>
      <c r="Q3397">
        <v>305</v>
      </c>
      <c r="R3397" s="34">
        <f t="shared" si="56"/>
        <v>0.38665604007739929</v>
      </c>
    </row>
    <row r="3398" spans="16:18" x14ac:dyDescent="0.3">
      <c r="P3398" s="35">
        <v>26.42</v>
      </c>
      <c r="Q3398">
        <v>305</v>
      </c>
      <c r="R3398" s="34">
        <f t="shared" si="56"/>
        <v>0.38676989639073184</v>
      </c>
    </row>
    <row r="3399" spans="16:18" x14ac:dyDescent="0.3">
      <c r="P3399" s="35">
        <v>26.42</v>
      </c>
      <c r="Q3399">
        <v>305</v>
      </c>
      <c r="R3399" s="34">
        <f t="shared" si="56"/>
        <v>0.38688375270406439</v>
      </c>
    </row>
    <row r="3400" spans="16:18" x14ac:dyDescent="0.3">
      <c r="P3400" s="35">
        <v>26.42</v>
      </c>
      <c r="Q3400">
        <v>305</v>
      </c>
      <c r="R3400" s="34">
        <f t="shared" si="56"/>
        <v>0.38699760901739694</v>
      </c>
    </row>
    <row r="3401" spans="16:18" x14ac:dyDescent="0.3">
      <c r="P3401" s="35">
        <v>26.44</v>
      </c>
      <c r="Q3401">
        <v>305</v>
      </c>
      <c r="R3401" s="34">
        <f t="shared" si="56"/>
        <v>0.38711146533072949</v>
      </c>
    </row>
    <row r="3402" spans="16:18" x14ac:dyDescent="0.3">
      <c r="P3402" s="35">
        <v>26.44</v>
      </c>
      <c r="Q3402">
        <v>305</v>
      </c>
      <c r="R3402" s="34">
        <f t="shared" si="56"/>
        <v>0.38722532164406204</v>
      </c>
    </row>
    <row r="3403" spans="16:18" x14ac:dyDescent="0.3">
      <c r="P3403" s="35">
        <v>26.45</v>
      </c>
      <c r="Q3403">
        <v>305</v>
      </c>
      <c r="R3403" s="34">
        <f t="shared" si="56"/>
        <v>0.38733917795739459</v>
      </c>
    </row>
    <row r="3404" spans="16:18" x14ac:dyDescent="0.3">
      <c r="P3404" s="35">
        <v>26.45</v>
      </c>
      <c r="Q3404">
        <v>305</v>
      </c>
      <c r="R3404" s="34">
        <f t="shared" si="56"/>
        <v>0.38745303427072714</v>
      </c>
    </row>
    <row r="3405" spans="16:18" x14ac:dyDescent="0.3">
      <c r="P3405" s="35">
        <v>26.46</v>
      </c>
      <c r="Q3405">
        <v>305</v>
      </c>
      <c r="R3405" s="34">
        <f t="shared" si="56"/>
        <v>0.38756689058405969</v>
      </c>
    </row>
    <row r="3406" spans="16:18" x14ac:dyDescent="0.3">
      <c r="P3406" s="35">
        <v>26.46</v>
      </c>
      <c r="Q3406">
        <v>305</v>
      </c>
      <c r="R3406" s="34">
        <f t="shared" si="56"/>
        <v>0.38768074689739224</v>
      </c>
    </row>
    <row r="3407" spans="16:18" x14ac:dyDescent="0.3">
      <c r="P3407" s="35">
        <v>26.46</v>
      </c>
      <c r="Q3407">
        <v>305</v>
      </c>
      <c r="R3407" s="34">
        <f t="shared" si="56"/>
        <v>0.38779460321072479</v>
      </c>
    </row>
    <row r="3408" spans="16:18" x14ac:dyDescent="0.3">
      <c r="P3408" s="35">
        <v>26.46</v>
      </c>
      <c r="Q3408">
        <v>305</v>
      </c>
      <c r="R3408" s="34">
        <f t="shared" si="56"/>
        <v>0.38790845952405734</v>
      </c>
    </row>
    <row r="3409" spans="16:18" x14ac:dyDescent="0.3">
      <c r="P3409" s="35">
        <v>26.46</v>
      </c>
      <c r="Q3409">
        <v>305</v>
      </c>
      <c r="R3409" s="34">
        <f t="shared" si="56"/>
        <v>0.38802231583738989</v>
      </c>
    </row>
    <row r="3410" spans="16:18" x14ac:dyDescent="0.3">
      <c r="P3410" s="35">
        <v>26.46</v>
      </c>
      <c r="Q3410">
        <v>305</v>
      </c>
      <c r="R3410" s="34">
        <f t="shared" si="56"/>
        <v>0.38813617215072244</v>
      </c>
    </row>
    <row r="3411" spans="16:18" x14ac:dyDescent="0.3">
      <c r="P3411" s="35">
        <v>26.46</v>
      </c>
      <c r="Q3411">
        <v>305</v>
      </c>
      <c r="R3411" s="34">
        <f t="shared" si="56"/>
        <v>0.38825002846405499</v>
      </c>
    </row>
    <row r="3412" spans="16:18" x14ac:dyDescent="0.3">
      <c r="P3412" s="35">
        <v>26.47</v>
      </c>
      <c r="Q3412">
        <v>305</v>
      </c>
      <c r="R3412" s="34">
        <f t="shared" si="56"/>
        <v>0.38836388477738754</v>
      </c>
    </row>
    <row r="3413" spans="16:18" x14ac:dyDescent="0.3">
      <c r="P3413" s="35">
        <v>26.47</v>
      </c>
      <c r="Q3413">
        <v>305</v>
      </c>
      <c r="R3413" s="34">
        <f t="shared" si="56"/>
        <v>0.38847774109072009</v>
      </c>
    </row>
    <row r="3414" spans="16:18" x14ac:dyDescent="0.3">
      <c r="P3414" s="35">
        <v>26.48</v>
      </c>
      <c r="Q3414">
        <v>305</v>
      </c>
      <c r="R3414" s="34">
        <f t="shared" si="56"/>
        <v>0.38859159740405264</v>
      </c>
    </row>
    <row r="3415" spans="16:18" x14ac:dyDescent="0.3">
      <c r="P3415" s="35">
        <v>26.48</v>
      </c>
      <c r="Q3415">
        <v>305</v>
      </c>
      <c r="R3415" s="34">
        <f t="shared" si="56"/>
        <v>0.38870545371738519</v>
      </c>
    </row>
    <row r="3416" spans="16:18" x14ac:dyDescent="0.3">
      <c r="P3416" s="35">
        <v>26.49</v>
      </c>
      <c r="Q3416">
        <v>305</v>
      </c>
      <c r="R3416" s="34">
        <f t="shared" si="56"/>
        <v>0.38881931003071774</v>
      </c>
    </row>
    <row r="3417" spans="16:18" x14ac:dyDescent="0.3">
      <c r="P3417" s="35">
        <v>26.49</v>
      </c>
      <c r="Q3417">
        <v>305</v>
      </c>
      <c r="R3417" s="34">
        <f t="shared" si="56"/>
        <v>0.38893316634405029</v>
      </c>
    </row>
    <row r="3418" spans="16:18" x14ac:dyDescent="0.3">
      <c r="P3418" s="35">
        <v>26.51</v>
      </c>
      <c r="Q3418">
        <v>305</v>
      </c>
      <c r="R3418" s="34">
        <f t="shared" si="56"/>
        <v>0.38904702265738283</v>
      </c>
    </row>
    <row r="3419" spans="16:18" x14ac:dyDescent="0.3">
      <c r="P3419" s="35">
        <v>26.51</v>
      </c>
      <c r="Q3419">
        <v>305</v>
      </c>
      <c r="R3419" s="34">
        <f t="shared" si="56"/>
        <v>0.38916087897071538</v>
      </c>
    </row>
    <row r="3420" spans="16:18" x14ac:dyDescent="0.3">
      <c r="P3420" s="35">
        <v>26.51</v>
      </c>
      <c r="Q3420">
        <v>305</v>
      </c>
      <c r="R3420" s="34">
        <f t="shared" si="56"/>
        <v>0.38927473528404793</v>
      </c>
    </row>
    <row r="3421" spans="16:18" x14ac:dyDescent="0.3">
      <c r="P3421" s="35">
        <v>26.51</v>
      </c>
      <c r="Q3421">
        <v>305</v>
      </c>
      <c r="R3421" s="34">
        <f t="shared" si="56"/>
        <v>0.38938859159738048</v>
      </c>
    </row>
    <row r="3422" spans="16:18" x14ac:dyDescent="0.3">
      <c r="P3422" s="35">
        <v>26.52</v>
      </c>
      <c r="Q3422">
        <v>305</v>
      </c>
      <c r="R3422" s="34">
        <f t="shared" si="56"/>
        <v>0.38950244791071303</v>
      </c>
    </row>
    <row r="3423" spans="16:18" x14ac:dyDescent="0.3">
      <c r="P3423" s="35">
        <v>26.52</v>
      </c>
      <c r="Q3423">
        <v>305</v>
      </c>
      <c r="R3423" s="34">
        <f t="shared" si="56"/>
        <v>0.38961630422404558</v>
      </c>
    </row>
    <row r="3424" spans="16:18" x14ac:dyDescent="0.3">
      <c r="P3424" s="35">
        <v>26.52</v>
      </c>
      <c r="Q3424">
        <v>305</v>
      </c>
      <c r="R3424" s="34">
        <f t="shared" si="56"/>
        <v>0.38973016053737813</v>
      </c>
    </row>
    <row r="3425" spans="16:18" x14ac:dyDescent="0.3">
      <c r="P3425" s="35">
        <v>26.53</v>
      </c>
      <c r="Q3425">
        <v>305</v>
      </c>
      <c r="R3425" s="34">
        <f t="shared" si="56"/>
        <v>0.38984401685071068</v>
      </c>
    </row>
    <row r="3426" spans="16:18" x14ac:dyDescent="0.3">
      <c r="P3426" s="35">
        <v>26.54</v>
      </c>
      <c r="Q3426">
        <v>305</v>
      </c>
      <c r="R3426" s="34">
        <f t="shared" si="56"/>
        <v>0.38995787316404323</v>
      </c>
    </row>
    <row r="3427" spans="16:18" x14ac:dyDescent="0.3">
      <c r="P3427" s="35">
        <v>26.54</v>
      </c>
      <c r="Q3427">
        <v>305</v>
      </c>
      <c r="R3427" s="34">
        <f t="shared" si="56"/>
        <v>0.39007172947737578</v>
      </c>
    </row>
    <row r="3428" spans="16:18" x14ac:dyDescent="0.3">
      <c r="P3428" s="35">
        <v>26.54</v>
      </c>
      <c r="Q3428">
        <v>305</v>
      </c>
      <c r="R3428" s="34">
        <f t="shared" si="56"/>
        <v>0.39018558579070833</v>
      </c>
    </row>
    <row r="3429" spans="16:18" x14ac:dyDescent="0.3">
      <c r="P3429" s="35">
        <v>26.56</v>
      </c>
      <c r="Q3429">
        <v>305</v>
      </c>
      <c r="R3429" s="34">
        <f t="shared" si="56"/>
        <v>0.39029944210404088</v>
      </c>
    </row>
    <row r="3430" spans="16:18" x14ac:dyDescent="0.3">
      <c r="P3430" s="35">
        <v>26.56</v>
      </c>
      <c r="Q3430">
        <v>305</v>
      </c>
      <c r="R3430" s="34">
        <f t="shared" si="56"/>
        <v>0.39041329841737343</v>
      </c>
    </row>
    <row r="3431" spans="16:18" x14ac:dyDescent="0.3">
      <c r="P3431" s="35">
        <v>26.57</v>
      </c>
      <c r="Q3431">
        <v>305</v>
      </c>
      <c r="R3431" s="34">
        <f t="shared" si="56"/>
        <v>0.39052715473070598</v>
      </c>
    </row>
    <row r="3432" spans="16:18" x14ac:dyDescent="0.3">
      <c r="P3432" s="35">
        <v>26.57</v>
      </c>
      <c r="Q3432">
        <v>305</v>
      </c>
      <c r="R3432" s="34">
        <f t="shared" si="56"/>
        <v>0.39064101104403853</v>
      </c>
    </row>
    <row r="3433" spans="16:18" x14ac:dyDescent="0.3">
      <c r="P3433" s="35">
        <v>26.57</v>
      </c>
      <c r="Q3433">
        <v>305</v>
      </c>
      <c r="R3433" s="34">
        <f t="shared" si="56"/>
        <v>0.39075486735737108</v>
      </c>
    </row>
    <row r="3434" spans="16:18" x14ac:dyDescent="0.3">
      <c r="P3434" s="35">
        <v>26.57</v>
      </c>
      <c r="Q3434">
        <v>305</v>
      </c>
      <c r="R3434" s="34">
        <f t="shared" si="56"/>
        <v>0.39086872367070363</v>
      </c>
    </row>
    <row r="3435" spans="16:18" x14ac:dyDescent="0.3">
      <c r="P3435" s="35">
        <v>26.58</v>
      </c>
      <c r="Q3435">
        <v>305</v>
      </c>
      <c r="R3435" s="34">
        <f t="shared" si="56"/>
        <v>0.39098257998403618</v>
      </c>
    </row>
    <row r="3436" spans="16:18" x14ac:dyDescent="0.3">
      <c r="P3436" s="35">
        <v>26.58</v>
      </c>
      <c r="Q3436">
        <v>305</v>
      </c>
      <c r="R3436" s="34">
        <f t="shared" si="56"/>
        <v>0.39109643629736873</v>
      </c>
    </row>
    <row r="3437" spans="16:18" x14ac:dyDescent="0.3">
      <c r="P3437" s="35">
        <v>26.58</v>
      </c>
      <c r="Q3437">
        <v>305</v>
      </c>
      <c r="R3437" s="34">
        <f t="shared" si="56"/>
        <v>0.39121029261070128</v>
      </c>
    </row>
    <row r="3438" spans="16:18" x14ac:dyDescent="0.3">
      <c r="P3438" s="35">
        <v>26.59</v>
      </c>
      <c r="Q3438">
        <v>305</v>
      </c>
      <c r="R3438" s="34">
        <f t="shared" si="56"/>
        <v>0.39132414892403383</v>
      </c>
    </row>
    <row r="3439" spans="16:18" x14ac:dyDescent="0.3">
      <c r="P3439" s="35">
        <v>26.59</v>
      </c>
      <c r="Q3439">
        <v>305</v>
      </c>
      <c r="R3439" s="34">
        <f t="shared" si="56"/>
        <v>0.39143800523736638</v>
      </c>
    </row>
    <row r="3440" spans="16:18" x14ac:dyDescent="0.3">
      <c r="P3440" s="35">
        <v>26.59</v>
      </c>
      <c r="Q3440">
        <v>305</v>
      </c>
      <c r="R3440" s="34">
        <f t="shared" si="56"/>
        <v>0.39155186155069893</v>
      </c>
    </row>
    <row r="3441" spans="16:18" x14ac:dyDescent="0.3">
      <c r="P3441" s="35">
        <v>26.6</v>
      </c>
      <c r="Q3441">
        <v>305</v>
      </c>
      <c r="R3441" s="34">
        <f t="shared" si="56"/>
        <v>0.39166571786403148</v>
      </c>
    </row>
    <row r="3442" spans="16:18" x14ac:dyDescent="0.3">
      <c r="P3442" s="35">
        <v>26.6</v>
      </c>
      <c r="Q3442">
        <v>305</v>
      </c>
      <c r="R3442" s="34">
        <f t="shared" si="56"/>
        <v>0.39177957417736403</v>
      </c>
    </row>
    <row r="3443" spans="16:18" x14ac:dyDescent="0.3">
      <c r="P3443" s="35">
        <v>26.6</v>
      </c>
      <c r="Q3443">
        <v>305</v>
      </c>
      <c r="R3443" s="34">
        <f t="shared" si="56"/>
        <v>0.39189343049069658</v>
      </c>
    </row>
    <row r="3444" spans="16:18" x14ac:dyDescent="0.3">
      <c r="P3444" s="35">
        <v>26.6</v>
      </c>
      <c r="Q3444">
        <v>305</v>
      </c>
      <c r="R3444" s="34">
        <f t="shared" si="56"/>
        <v>0.39200728680402913</v>
      </c>
    </row>
    <row r="3445" spans="16:18" x14ac:dyDescent="0.3">
      <c r="P3445" s="35">
        <v>26.61</v>
      </c>
      <c r="Q3445">
        <v>305</v>
      </c>
      <c r="R3445" s="34">
        <f t="shared" si="56"/>
        <v>0.39212114311736168</v>
      </c>
    </row>
    <row r="3446" spans="16:18" x14ac:dyDescent="0.3">
      <c r="P3446" s="35">
        <v>26.61</v>
      </c>
      <c r="Q3446">
        <v>305</v>
      </c>
      <c r="R3446" s="34">
        <f t="shared" si="56"/>
        <v>0.39223499943069423</v>
      </c>
    </row>
    <row r="3447" spans="16:18" x14ac:dyDescent="0.3">
      <c r="P3447" s="35">
        <v>26.61</v>
      </c>
      <c r="Q3447">
        <v>305</v>
      </c>
      <c r="R3447" s="34">
        <f t="shared" si="56"/>
        <v>0.39234885574402678</v>
      </c>
    </row>
    <row r="3448" spans="16:18" x14ac:dyDescent="0.3">
      <c r="P3448" s="35">
        <v>26.61</v>
      </c>
      <c r="Q3448">
        <v>305</v>
      </c>
      <c r="R3448" s="34">
        <f t="shared" si="56"/>
        <v>0.39246271205735933</v>
      </c>
    </row>
    <row r="3449" spans="16:18" x14ac:dyDescent="0.3">
      <c r="P3449" s="35">
        <v>26.62</v>
      </c>
      <c r="Q3449">
        <v>305</v>
      </c>
      <c r="R3449" s="34">
        <f t="shared" si="56"/>
        <v>0.39257656837069188</v>
      </c>
    </row>
    <row r="3450" spans="16:18" x14ac:dyDescent="0.3">
      <c r="P3450" s="35">
        <v>26.63</v>
      </c>
      <c r="Q3450">
        <v>305</v>
      </c>
      <c r="R3450" s="34">
        <f t="shared" si="56"/>
        <v>0.39269042468402443</v>
      </c>
    </row>
    <row r="3451" spans="16:18" x14ac:dyDescent="0.3">
      <c r="P3451" s="35">
        <v>26.63</v>
      </c>
      <c r="Q3451">
        <v>305</v>
      </c>
      <c r="R3451" s="34">
        <f t="shared" si="56"/>
        <v>0.39280428099735698</v>
      </c>
    </row>
    <row r="3452" spans="16:18" x14ac:dyDescent="0.3">
      <c r="P3452" s="35">
        <v>26.63</v>
      </c>
      <c r="Q3452">
        <v>305</v>
      </c>
      <c r="R3452" s="34">
        <f t="shared" si="56"/>
        <v>0.39291813731068953</v>
      </c>
    </row>
    <row r="3453" spans="16:18" x14ac:dyDescent="0.3">
      <c r="P3453" s="35">
        <v>26.63</v>
      </c>
      <c r="Q3453">
        <v>305</v>
      </c>
      <c r="R3453" s="34">
        <f t="shared" si="56"/>
        <v>0.39303199362402208</v>
      </c>
    </row>
    <row r="3454" spans="16:18" x14ac:dyDescent="0.3">
      <c r="P3454" s="35">
        <v>26.64</v>
      </c>
      <c r="Q3454">
        <v>305</v>
      </c>
      <c r="R3454" s="34">
        <f t="shared" si="56"/>
        <v>0.39314584993735463</v>
      </c>
    </row>
    <row r="3455" spans="16:18" x14ac:dyDescent="0.3">
      <c r="P3455" s="35">
        <v>26.64</v>
      </c>
      <c r="Q3455">
        <v>305</v>
      </c>
      <c r="R3455" s="34">
        <f t="shared" si="56"/>
        <v>0.39325970625068718</v>
      </c>
    </row>
    <row r="3456" spans="16:18" x14ac:dyDescent="0.3">
      <c r="P3456" s="35">
        <v>26.64</v>
      </c>
      <c r="Q3456">
        <v>305</v>
      </c>
      <c r="R3456" s="34">
        <f t="shared" si="56"/>
        <v>0.39337356256401973</v>
      </c>
    </row>
    <row r="3457" spans="16:18" x14ac:dyDescent="0.3">
      <c r="P3457" s="35">
        <v>26.64</v>
      </c>
      <c r="Q3457">
        <v>305</v>
      </c>
      <c r="R3457" s="34">
        <f t="shared" si="56"/>
        <v>0.39348741887735228</v>
      </c>
    </row>
    <row r="3458" spans="16:18" x14ac:dyDescent="0.3">
      <c r="P3458" s="35">
        <v>26.66</v>
      </c>
      <c r="Q3458">
        <v>305</v>
      </c>
      <c r="R3458" s="34">
        <f t="shared" si="56"/>
        <v>0.39360127519068483</v>
      </c>
    </row>
    <row r="3459" spans="16:18" x14ac:dyDescent="0.3">
      <c r="P3459" s="35">
        <v>26.66</v>
      </c>
      <c r="Q3459">
        <v>305</v>
      </c>
      <c r="R3459" s="34">
        <f t="shared" si="56"/>
        <v>0.39371513150401738</v>
      </c>
    </row>
    <row r="3460" spans="16:18" x14ac:dyDescent="0.3">
      <c r="P3460" s="35">
        <v>26.66</v>
      </c>
      <c r="Q3460">
        <v>305</v>
      </c>
      <c r="R3460" s="34">
        <f t="shared" ref="R3460:R3523" si="57">R3459+R$2</f>
        <v>0.39382898781734993</v>
      </c>
    </row>
    <row r="3461" spans="16:18" x14ac:dyDescent="0.3">
      <c r="P3461" s="35">
        <v>26.67</v>
      </c>
      <c r="Q3461">
        <v>305</v>
      </c>
      <c r="R3461" s="34">
        <f t="shared" si="57"/>
        <v>0.39394284413068248</v>
      </c>
    </row>
    <row r="3462" spans="16:18" x14ac:dyDescent="0.3">
      <c r="P3462" s="35">
        <v>26.67</v>
      </c>
      <c r="Q3462">
        <v>305</v>
      </c>
      <c r="R3462" s="34">
        <f t="shared" si="57"/>
        <v>0.39405670044401503</v>
      </c>
    </row>
    <row r="3463" spans="16:18" x14ac:dyDescent="0.3">
      <c r="P3463" s="35">
        <v>26.67</v>
      </c>
      <c r="Q3463">
        <v>305</v>
      </c>
      <c r="R3463" s="34">
        <f t="shared" si="57"/>
        <v>0.39417055675734758</v>
      </c>
    </row>
    <row r="3464" spans="16:18" x14ac:dyDescent="0.3">
      <c r="P3464" s="35">
        <v>26.67</v>
      </c>
      <c r="Q3464">
        <v>305</v>
      </c>
      <c r="R3464" s="34">
        <f t="shared" si="57"/>
        <v>0.39428441307068013</v>
      </c>
    </row>
    <row r="3465" spans="16:18" x14ac:dyDescent="0.3">
      <c r="P3465" s="35">
        <v>26.68</v>
      </c>
      <c r="Q3465">
        <v>305</v>
      </c>
      <c r="R3465" s="34">
        <f t="shared" si="57"/>
        <v>0.39439826938401268</v>
      </c>
    </row>
    <row r="3466" spans="16:18" x14ac:dyDescent="0.3">
      <c r="P3466" s="35">
        <v>26.69</v>
      </c>
      <c r="Q3466">
        <v>305</v>
      </c>
      <c r="R3466" s="34">
        <f t="shared" si="57"/>
        <v>0.39451212569734523</v>
      </c>
    </row>
    <row r="3467" spans="16:18" x14ac:dyDescent="0.3">
      <c r="P3467" s="35">
        <v>26.69</v>
      </c>
      <c r="Q3467">
        <v>305</v>
      </c>
      <c r="R3467" s="34">
        <f t="shared" si="57"/>
        <v>0.39462598201067778</v>
      </c>
    </row>
    <row r="3468" spans="16:18" x14ac:dyDescent="0.3">
      <c r="P3468" s="35">
        <v>26.69</v>
      </c>
      <c r="Q3468">
        <v>305</v>
      </c>
      <c r="R3468" s="34">
        <f t="shared" si="57"/>
        <v>0.39473983832401033</v>
      </c>
    </row>
    <row r="3469" spans="16:18" x14ac:dyDescent="0.3">
      <c r="P3469" s="35">
        <v>26.7</v>
      </c>
      <c r="Q3469">
        <v>305</v>
      </c>
      <c r="R3469" s="34">
        <f t="shared" si="57"/>
        <v>0.39485369463734288</v>
      </c>
    </row>
    <row r="3470" spans="16:18" x14ac:dyDescent="0.3">
      <c r="P3470" s="35">
        <v>26.7</v>
      </c>
      <c r="Q3470">
        <v>305</v>
      </c>
      <c r="R3470" s="34">
        <f t="shared" si="57"/>
        <v>0.39496755095067543</v>
      </c>
    </row>
    <row r="3471" spans="16:18" x14ac:dyDescent="0.3">
      <c r="P3471" s="35">
        <v>26.7</v>
      </c>
      <c r="Q3471">
        <v>305</v>
      </c>
      <c r="R3471" s="34">
        <f t="shared" si="57"/>
        <v>0.39508140726400798</v>
      </c>
    </row>
    <row r="3472" spans="16:18" x14ac:dyDescent="0.3">
      <c r="P3472" s="35">
        <v>26.7</v>
      </c>
      <c r="Q3472">
        <v>305</v>
      </c>
      <c r="R3472" s="34">
        <f t="shared" si="57"/>
        <v>0.39519526357734053</v>
      </c>
    </row>
    <row r="3473" spans="16:18" x14ac:dyDescent="0.3">
      <c r="P3473" s="35">
        <v>26.71</v>
      </c>
      <c r="Q3473">
        <v>305</v>
      </c>
      <c r="R3473" s="34">
        <f t="shared" si="57"/>
        <v>0.39530911989067308</v>
      </c>
    </row>
    <row r="3474" spans="16:18" x14ac:dyDescent="0.3">
      <c r="P3474" s="35">
        <v>26.71</v>
      </c>
      <c r="Q3474">
        <v>305</v>
      </c>
      <c r="R3474" s="34">
        <f t="shared" si="57"/>
        <v>0.39542297620400563</v>
      </c>
    </row>
    <row r="3475" spans="16:18" x14ac:dyDescent="0.3">
      <c r="P3475" s="35">
        <v>26.71</v>
      </c>
      <c r="Q3475">
        <v>305</v>
      </c>
      <c r="R3475" s="34">
        <f t="shared" si="57"/>
        <v>0.39553683251733818</v>
      </c>
    </row>
    <row r="3476" spans="16:18" x14ac:dyDescent="0.3">
      <c r="P3476" s="35">
        <v>26.72</v>
      </c>
      <c r="Q3476">
        <v>305</v>
      </c>
      <c r="R3476" s="34">
        <f t="shared" si="57"/>
        <v>0.39565068883067073</v>
      </c>
    </row>
    <row r="3477" spans="16:18" x14ac:dyDescent="0.3">
      <c r="P3477" s="35">
        <v>26.72</v>
      </c>
      <c r="Q3477">
        <v>305</v>
      </c>
      <c r="R3477" s="34">
        <f t="shared" si="57"/>
        <v>0.39576454514400328</v>
      </c>
    </row>
    <row r="3478" spans="16:18" x14ac:dyDescent="0.3">
      <c r="P3478" s="35">
        <v>26.72</v>
      </c>
      <c r="Q3478">
        <v>305</v>
      </c>
      <c r="R3478" s="34">
        <f t="shared" si="57"/>
        <v>0.39587840145733583</v>
      </c>
    </row>
    <row r="3479" spans="16:18" x14ac:dyDescent="0.3">
      <c r="P3479" s="35">
        <v>26.72</v>
      </c>
      <c r="Q3479">
        <v>305</v>
      </c>
      <c r="R3479" s="34">
        <f t="shared" si="57"/>
        <v>0.39599225777066838</v>
      </c>
    </row>
    <row r="3480" spans="16:18" x14ac:dyDescent="0.3">
      <c r="P3480" s="35">
        <v>26.73</v>
      </c>
      <c r="Q3480">
        <v>305</v>
      </c>
      <c r="R3480" s="34">
        <f t="shared" si="57"/>
        <v>0.39610611408400093</v>
      </c>
    </row>
    <row r="3481" spans="16:18" x14ac:dyDescent="0.3">
      <c r="P3481" s="35">
        <v>26.73</v>
      </c>
      <c r="Q3481">
        <v>305</v>
      </c>
      <c r="R3481" s="34">
        <f t="shared" si="57"/>
        <v>0.39621997039733348</v>
      </c>
    </row>
    <row r="3482" spans="16:18" x14ac:dyDescent="0.3">
      <c r="P3482" s="35">
        <v>26.73</v>
      </c>
      <c r="Q3482">
        <v>305</v>
      </c>
      <c r="R3482" s="34">
        <f t="shared" si="57"/>
        <v>0.39633382671066603</v>
      </c>
    </row>
    <row r="3483" spans="16:18" x14ac:dyDescent="0.3">
      <c r="P3483" s="35">
        <v>26.74</v>
      </c>
      <c r="Q3483">
        <v>305</v>
      </c>
      <c r="R3483" s="34">
        <f t="shared" si="57"/>
        <v>0.39644768302399858</v>
      </c>
    </row>
    <row r="3484" spans="16:18" x14ac:dyDescent="0.3">
      <c r="P3484" s="35">
        <v>26.74</v>
      </c>
      <c r="Q3484">
        <v>305</v>
      </c>
      <c r="R3484" s="34">
        <f t="shared" si="57"/>
        <v>0.39656153933733113</v>
      </c>
    </row>
    <row r="3485" spans="16:18" x14ac:dyDescent="0.3">
      <c r="P3485" s="35">
        <v>26.74</v>
      </c>
      <c r="Q3485">
        <v>305</v>
      </c>
      <c r="R3485" s="34">
        <f t="shared" si="57"/>
        <v>0.39667539565066368</v>
      </c>
    </row>
    <row r="3486" spans="16:18" x14ac:dyDescent="0.3">
      <c r="P3486" s="35">
        <v>26.74</v>
      </c>
      <c r="Q3486">
        <v>305</v>
      </c>
      <c r="R3486" s="34">
        <f t="shared" si="57"/>
        <v>0.39678925196399623</v>
      </c>
    </row>
    <row r="3487" spans="16:18" x14ac:dyDescent="0.3">
      <c r="P3487" s="35">
        <v>26.74</v>
      </c>
      <c r="Q3487">
        <v>305</v>
      </c>
      <c r="R3487" s="34">
        <f t="shared" si="57"/>
        <v>0.39690310827732878</v>
      </c>
    </row>
    <row r="3488" spans="16:18" x14ac:dyDescent="0.3">
      <c r="P3488" s="35">
        <v>26.74</v>
      </c>
      <c r="Q3488">
        <v>305</v>
      </c>
      <c r="R3488" s="34">
        <f t="shared" si="57"/>
        <v>0.39701696459066133</v>
      </c>
    </row>
    <row r="3489" spans="16:18" x14ac:dyDescent="0.3">
      <c r="P3489" s="35">
        <v>26.74</v>
      </c>
      <c r="Q3489">
        <v>305</v>
      </c>
      <c r="R3489" s="34">
        <f t="shared" si="57"/>
        <v>0.39713082090399388</v>
      </c>
    </row>
    <row r="3490" spans="16:18" x14ac:dyDescent="0.3">
      <c r="P3490" s="35">
        <v>26.75</v>
      </c>
      <c r="Q3490">
        <v>305</v>
      </c>
      <c r="R3490" s="34">
        <f t="shared" si="57"/>
        <v>0.39724467721732643</v>
      </c>
    </row>
    <row r="3491" spans="16:18" x14ac:dyDescent="0.3">
      <c r="P3491" s="35">
        <v>26.75</v>
      </c>
      <c r="Q3491">
        <v>305</v>
      </c>
      <c r="R3491" s="34">
        <f t="shared" si="57"/>
        <v>0.39735853353065897</v>
      </c>
    </row>
    <row r="3492" spans="16:18" x14ac:dyDescent="0.3">
      <c r="P3492" s="35">
        <v>26.76</v>
      </c>
      <c r="Q3492">
        <v>305</v>
      </c>
      <c r="R3492" s="34">
        <f t="shared" si="57"/>
        <v>0.39747238984399152</v>
      </c>
    </row>
    <row r="3493" spans="16:18" x14ac:dyDescent="0.3">
      <c r="P3493" s="35">
        <v>26.76</v>
      </c>
      <c r="Q3493">
        <v>305</v>
      </c>
      <c r="R3493" s="34">
        <f t="shared" si="57"/>
        <v>0.39758624615732407</v>
      </c>
    </row>
    <row r="3494" spans="16:18" x14ac:dyDescent="0.3">
      <c r="P3494" s="35">
        <v>26.76</v>
      </c>
      <c r="Q3494">
        <v>305</v>
      </c>
      <c r="R3494" s="34">
        <f t="shared" si="57"/>
        <v>0.39770010247065662</v>
      </c>
    </row>
    <row r="3495" spans="16:18" x14ac:dyDescent="0.3">
      <c r="P3495" s="35">
        <v>26.77</v>
      </c>
      <c r="Q3495">
        <v>305</v>
      </c>
      <c r="R3495" s="34">
        <f t="shared" si="57"/>
        <v>0.39781395878398917</v>
      </c>
    </row>
    <row r="3496" spans="16:18" x14ac:dyDescent="0.3">
      <c r="P3496" s="35">
        <v>26.78</v>
      </c>
      <c r="Q3496">
        <v>305</v>
      </c>
      <c r="R3496" s="34">
        <f t="shared" si="57"/>
        <v>0.39792781509732172</v>
      </c>
    </row>
    <row r="3497" spans="16:18" x14ac:dyDescent="0.3">
      <c r="P3497" s="35">
        <v>26.79</v>
      </c>
      <c r="Q3497">
        <v>305</v>
      </c>
      <c r="R3497" s="34">
        <f t="shared" si="57"/>
        <v>0.39804167141065427</v>
      </c>
    </row>
    <row r="3498" spans="16:18" x14ac:dyDescent="0.3">
      <c r="P3498" s="35">
        <v>26.8</v>
      </c>
      <c r="Q3498">
        <v>305</v>
      </c>
      <c r="R3498" s="34">
        <f t="shared" si="57"/>
        <v>0.39815552772398682</v>
      </c>
    </row>
    <row r="3499" spans="16:18" x14ac:dyDescent="0.3">
      <c r="P3499" s="35">
        <v>26.8</v>
      </c>
      <c r="Q3499">
        <v>305</v>
      </c>
      <c r="R3499" s="34">
        <f t="shared" si="57"/>
        <v>0.39826938403731937</v>
      </c>
    </row>
    <row r="3500" spans="16:18" x14ac:dyDescent="0.3">
      <c r="P3500" s="35">
        <v>26.8</v>
      </c>
      <c r="Q3500">
        <v>305</v>
      </c>
      <c r="R3500" s="34">
        <f t="shared" si="57"/>
        <v>0.39838324035065192</v>
      </c>
    </row>
    <row r="3501" spans="16:18" x14ac:dyDescent="0.3">
      <c r="P3501" s="35">
        <v>26.81</v>
      </c>
      <c r="Q3501">
        <v>305</v>
      </c>
      <c r="R3501" s="34">
        <f t="shared" si="57"/>
        <v>0.39849709666398447</v>
      </c>
    </row>
    <row r="3502" spans="16:18" x14ac:dyDescent="0.3">
      <c r="P3502" s="35">
        <v>26.81</v>
      </c>
      <c r="Q3502">
        <v>305</v>
      </c>
      <c r="R3502" s="34">
        <f t="shared" si="57"/>
        <v>0.39861095297731702</v>
      </c>
    </row>
    <row r="3503" spans="16:18" x14ac:dyDescent="0.3">
      <c r="P3503" s="35">
        <v>26.81</v>
      </c>
      <c r="Q3503">
        <v>305</v>
      </c>
      <c r="R3503" s="34">
        <f t="shared" si="57"/>
        <v>0.39872480929064957</v>
      </c>
    </row>
    <row r="3504" spans="16:18" x14ac:dyDescent="0.3">
      <c r="P3504" s="35">
        <v>26.83</v>
      </c>
      <c r="Q3504">
        <v>305</v>
      </c>
      <c r="R3504" s="34">
        <f t="shared" si="57"/>
        <v>0.39883866560398212</v>
      </c>
    </row>
    <row r="3505" spans="16:18" x14ac:dyDescent="0.3">
      <c r="P3505" s="35">
        <v>26.83</v>
      </c>
      <c r="Q3505">
        <v>305</v>
      </c>
      <c r="R3505" s="34">
        <f t="shared" si="57"/>
        <v>0.39895252191731467</v>
      </c>
    </row>
    <row r="3506" spans="16:18" x14ac:dyDescent="0.3">
      <c r="P3506" s="35">
        <v>26.83</v>
      </c>
      <c r="Q3506">
        <v>305</v>
      </c>
      <c r="R3506" s="34">
        <f t="shared" si="57"/>
        <v>0.39906637823064722</v>
      </c>
    </row>
    <row r="3507" spans="16:18" x14ac:dyDescent="0.3">
      <c r="P3507" s="35">
        <v>26.84</v>
      </c>
      <c r="Q3507">
        <v>305</v>
      </c>
      <c r="R3507" s="34">
        <f t="shared" si="57"/>
        <v>0.39918023454397977</v>
      </c>
    </row>
    <row r="3508" spans="16:18" x14ac:dyDescent="0.3">
      <c r="P3508" s="35">
        <v>26.84</v>
      </c>
      <c r="Q3508">
        <v>305</v>
      </c>
      <c r="R3508" s="34">
        <f t="shared" si="57"/>
        <v>0.39929409085731232</v>
      </c>
    </row>
    <row r="3509" spans="16:18" x14ac:dyDescent="0.3">
      <c r="P3509" s="35">
        <v>26.85</v>
      </c>
      <c r="Q3509">
        <v>305</v>
      </c>
      <c r="R3509" s="34">
        <f t="shared" si="57"/>
        <v>0.39940794717064487</v>
      </c>
    </row>
    <row r="3510" spans="16:18" x14ac:dyDescent="0.3">
      <c r="P3510" s="35">
        <v>26.85</v>
      </c>
      <c r="Q3510">
        <v>305</v>
      </c>
      <c r="R3510" s="34">
        <f t="shared" si="57"/>
        <v>0.39952180348397742</v>
      </c>
    </row>
    <row r="3511" spans="16:18" x14ac:dyDescent="0.3">
      <c r="P3511" s="35">
        <v>26.85</v>
      </c>
      <c r="Q3511">
        <v>305</v>
      </c>
      <c r="R3511" s="34">
        <f t="shared" si="57"/>
        <v>0.39963565979730997</v>
      </c>
    </row>
    <row r="3512" spans="16:18" x14ac:dyDescent="0.3">
      <c r="P3512" s="35">
        <v>26.86</v>
      </c>
      <c r="Q3512">
        <v>305</v>
      </c>
      <c r="R3512" s="34">
        <f t="shared" si="57"/>
        <v>0.39974951611064252</v>
      </c>
    </row>
    <row r="3513" spans="16:18" x14ac:dyDescent="0.3">
      <c r="P3513" s="35">
        <v>26.86</v>
      </c>
      <c r="Q3513">
        <v>305</v>
      </c>
      <c r="R3513" s="34">
        <f t="shared" si="57"/>
        <v>0.39986337242397507</v>
      </c>
    </row>
    <row r="3514" spans="16:18" x14ac:dyDescent="0.3">
      <c r="P3514" s="35">
        <v>26.86</v>
      </c>
      <c r="Q3514">
        <v>305</v>
      </c>
      <c r="R3514" s="34">
        <f t="shared" si="57"/>
        <v>0.39997722873730762</v>
      </c>
    </row>
    <row r="3515" spans="16:18" x14ac:dyDescent="0.3">
      <c r="P3515" s="35">
        <v>26.87</v>
      </c>
      <c r="Q3515">
        <v>305</v>
      </c>
      <c r="R3515" s="34">
        <f t="shared" si="57"/>
        <v>0.40009108505064017</v>
      </c>
    </row>
    <row r="3516" spans="16:18" x14ac:dyDescent="0.3">
      <c r="P3516" s="35">
        <v>26.87</v>
      </c>
      <c r="Q3516">
        <v>305</v>
      </c>
      <c r="R3516" s="34">
        <f t="shared" si="57"/>
        <v>0.40020494136397272</v>
      </c>
    </row>
    <row r="3517" spans="16:18" x14ac:dyDescent="0.3">
      <c r="P3517" s="35">
        <v>26.87</v>
      </c>
      <c r="Q3517">
        <v>305</v>
      </c>
      <c r="R3517" s="34">
        <f t="shared" si="57"/>
        <v>0.40031879767730527</v>
      </c>
    </row>
    <row r="3518" spans="16:18" x14ac:dyDescent="0.3">
      <c r="P3518" s="35">
        <v>26.87</v>
      </c>
      <c r="Q3518">
        <v>305</v>
      </c>
      <c r="R3518" s="34">
        <f t="shared" si="57"/>
        <v>0.40043265399063782</v>
      </c>
    </row>
    <row r="3519" spans="16:18" x14ac:dyDescent="0.3">
      <c r="P3519" s="35">
        <v>26.87</v>
      </c>
      <c r="Q3519">
        <v>305</v>
      </c>
      <c r="R3519" s="34">
        <f t="shared" si="57"/>
        <v>0.40054651030397037</v>
      </c>
    </row>
    <row r="3520" spans="16:18" x14ac:dyDescent="0.3">
      <c r="P3520" s="35">
        <v>26.87</v>
      </c>
      <c r="Q3520">
        <v>305</v>
      </c>
      <c r="R3520" s="34">
        <f t="shared" si="57"/>
        <v>0.40066036661730292</v>
      </c>
    </row>
    <row r="3521" spans="16:18" x14ac:dyDescent="0.3">
      <c r="P3521" s="35">
        <v>26.88</v>
      </c>
      <c r="Q3521">
        <v>305</v>
      </c>
      <c r="R3521" s="34">
        <f t="shared" si="57"/>
        <v>0.40077422293063547</v>
      </c>
    </row>
    <row r="3522" spans="16:18" x14ac:dyDescent="0.3">
      <c r="P3522" s="35">
        <v>26.88</v>
      </c>
      <c r="Q3522">
        <v>305</v>
      </c>
      <c r="R3522" s="34">
        <f t="shared" si="57"/>
        <v>0.40088807924396802</v>
      </c>
    </row>
    <row r="3523" spans="16:18" x14ac:dyDescent="0.3">
      <c r="P3523" s="35">
        <v>26.89</v>
      </c>
      <c r="Q3523">
        <v>305</v>
      </c>
      <c r="R3523" s="34">
        <f t="shared" si="57"/>
        <v>0.40100193555730057</v>
      </c>
    </row>
    <row r="3524" spans="16:18" x14ac:dyDescent="0.3">
      <c r="P3524" s="35">
        <v>26.89</v>
      </c>
      <c r="Q3524">
        <v>305</v>
      </c>
      <c r="R3524" s="34">
        <f t="shared" ref="R3524:R3587" si="58">R3523+R$2</f>
        <v>0.40111579187063312</v>
      </c>
    </row>
    <row r="3525" spans="16:18" x14ac:dyDescent="0.3">
      <c r="P3525" s="35">
        <v>26.89</v>
      </c>
      <c r="Q3525">
        <v>305</v>
      </c>
      <c r="R3525" s="34">
        <f t="shared" si="58"/>
        <v>0.40122964818396567</v>
      </c>
    </row>
    <row r="3526" spans="16:18" x14ac:dyDescent="0.3">
      <c r="P3526" s="35">
        <v>26.89</v>
      </c>
      <c r="Q3526">
        <v>305</v>
      </c>
      <c r="R3526" s="34">
        <f t="shared" si="58"/>
        <v>0.40134350449729822</v>
      </c>
    </row>
    <row r="3527" spans="16:18" x14ac:dyDescent="0.3">
      <c r="P3527" s="35">
        <v>26.91</v>
      </c>
      <c r="Q3527">
        <v>305</v>
      </c>
      <c r="R3527" s="34">
        <f t="shared" si="58"/>
        <v>0.40145736081063077</v>
      </c>
    </row>
    <row r="3528" spans="16:18" x14ac:dyDescent="0.3">
      <c r="P3528" s="35">
        <v>26.91</v>
      </c>
      <c r="Q3528">
        <v>305</v>
      </c>
      <c r="R3528" s="34">
        <f t="shared" si="58"/>
        <v>0.40157121712396332</v>
      </c>
    </row>
    <row r="3529" spans="16:18" x14ac:dyDescent="0.3">
      <c r="P3529" s="35">
        <v>26.91</v>
      </c>
      <c r="Q3529">
        <v>305</v>
      </c>
      <c r="R3529" s="34">
        <f t="shared" si="58"/>
        <v>0.40168507343729587</v>
      </c>
    </row>
    <row r="3530" spans="16:18" x14ac:dyDescent="0.3">
      <c r="P3530" s="35">
        <v>26.91</v>
      </c>
      <c r="Q3530">
        <v>305</v>
      </c>
      <c r="R3530" s="34">
        <f t="shared" si="58"/>
        <v>0.40179892975062842</v>
      </c>
    </row>
    <row r="3531" spans="16:18" x14ac:dyDescent="0.3">
      <c r="P3531" s="35">
        <v>26.91</v>
      </c>
      <c r="Q3531">
        <v>305</v>
      </c>
      <c r="R3531" s="34">
        <f t="shared" si="58"/>
        <v>0.40191278606396097</v>
      </c>
    </row>
    <row r="3532" spans="16:18" x14ac:dyDescent="0.3">
      <c r="P3532" s="35">
        <v>26.92</v>
      </c>
      <c r="Q3532">
        <v>305</v>
      </c>
      <c r="R3532" s="34">
        <f t="shared" si="58"/>
        <v>0.40202664237729352</v>
      </c>
    </row>
    <row r="3533" spans="16:18" x14ac:dyDescent="0.3">
      <c r="P3533" s="35">
        <v>26.93</v>
      </c>
      <c r="Q3533">
        <v>305</v>
      </c>
      <c r="R3533" s="34">
        <f t="shared" si="58"/>
        <v>0.40214049869062607</v>
      </c>
    </row>
    <row r="3534" spans="16:18" x14ac:dyDescent="0.3">
      <c r="P3534" s="35">
        <v>26.94</v>
      </c>
      <c r="Q3534">
        <v>305</v>
      </c>
      <c r="R3534" s="34">
        <f t="shared" si="58"/>
        <v>0.40225435500395862</v>
      </c>
    </row>
    <row r="3535" spans="16:18" x14ac:dyDescent="0.3">
      <c r="P3535" s="35">
        <v>26.95</v>
      </c>
      <c r="Q3535">
        <v>305</v>
      </c>
      <c r="R3535" s="34">
        <f t="shared" si="58"/>
        <v>0.40236821131729117</v>
      </c>
    </row>
    <row r="3536" spans="16:18" x14ac:dyDescent="0.3">
      <c r="P3536" s="35">
        <v>26.96</v>
      </c>
      <c r="Q3536">
        <v>305</v>
      </c>
      <c r="R3536" s="34">
        <f t="shared" si="58"/>
        <v>0.40248206763062372</v>
      </c>
    </row>
    <row r="3537" spans="16:18" x14ac:dyDescent="0.3">
      <c r="P3537" s="35">
        <v>26.96</v>
      </c>
      <c r="Q3537">
        <v>305</v>
      </c>
      <c r="R3537" s="34">
        <f t="shared" si="58"/>
        <v>0.40259592394395627</v>
      </c>
    </row>
    <row r="3538" spans="16:18" x14ac:dyDescent="0.3">
      <c r="P3538" s="35">
        <v>26.96</v>
      </c>
      <c r="Q3538">
        <v>305</v>
      </c>
      <c r="R3538" s="34">
        <f t="shared" si="58"/>
        <v>0.40270978025728882</v>
      </c>
    </row>
    <row r="3539" spans="16:18" x14ac:dyDescent="0.3">
      <c r="P3539" s="35">
        <v>26.97</v>
      </c>
      <c r="Q3539">
        <v>305</v>
      </c>
      <c r="R3539" s="34">
        <f t="shared" si="58"/>
        <v>0.40282363657062137</v>
      </c>
    </row>
    <row r="3540" spans="16:18" x14ac:dyDescent="0.3">
      <c r="P3540" s="35">
        <v>26.97</v>
      </c>
      <c r="Q3540">
        <v>305</v>
      </c>
      <c r="R3540" s="34">
        <f t="shared" si="58"/>
        <v>0.40293749288395392</v>
      </c>
    </row>
    <row r="3541" spans="16:18" x14ac:dyDescent="0.3">
      <c r="P3541" s="35">
        <v>26.97</v>
      </c>
      <c r="Q3541">
        <v>305</v>
      </c>
      <c r="R3541" s="34">
        <f t="shared" si="58"/>
        <v>0.40305134919728647</v>
      </c>
    </row>
    <row r="3542" spans="16:18" x14ac:dyDescent="0.3">
      <c r="P3542" s="35">
        <v>26.98</v>
      </c>
      <c r="Q3542">
        <v>305</v>
      </c>
      <c r="R3542" s="34">
        <f t="shared" si="58"/>
        <v>0.40316520551061902</v>
      </c>
    </row>
    <row r="3543" spans="16:18" x14ac:dyDescent="0.3">
      <c r="P3543" s="35">
        <v>26.98</v>
      </c>
      <c r="Q3543">
        <v>305</v>
      </c>
      <c r="R3543" s="34">
        <f t="shared" si="58"/>
        <v>0.40327906182395157</v>
      </c>
    </row>
    <row r="3544" spans="16:18" x14ac:dyDescent="0.3">
      <c r="P3544" s="35">
        <v>26.99</v>
      </c>
      <c r="Q3544">
        <v>305</v>
      </c>
      <c r="R3544" s="34">
        <f t="shared" si="58"/>
        <v>0.40339291813728412</v>
      </c>
    </row>
    <row r="3545" spans="16:18" x14ac:dyDescent="0.3">
      <c r="P3545" s="35">
        <v>27</v>
      </c>
      <c r="Q3545">
        <v>305</v>
      </c>
      <c r="R3545" s="34">
        <f t="shared" si="58"/>
        <v>0.40350677445061667</v>
      </c>
    </row>
    <row r="3546" spans="16:18" x14ac:dyDescent="0.3">
      <c r="P3546" s="35">
        <v>27</v>
      </c>
      <c r="Q3546">
        <v>305</v>
      </c>
      <c r="R3546" s="34">
        <f t="shared" si="58"/>
        <v>0.40362063076394922</v>
      </c>
    </row>
    <row r="3547" spans="16:18" x14ac:dyDescent="0.3">
      <c r="P3547" s="35">
        <v>27</v>
      </c>
      <c r="Q3547">
        <v>305</v>
      </c>
      <c r="R3547" s="34">
        <f t="shared" si="58"/>
        <v>0.40373448707728177</v>
      </c>
    </row>
    <row r="3548" spans="16:18" x14ac:dyDescent="0.3">
      <c r="P3548" s="35">
        <v>27.01</v>
      </c>
      <c r="Q3548">
        <v>305</v>
      </c>
      <c r="R3548" s="34">
        <f t="shared" si="58"/>
        <v>0.40384834339061432</v>
      </c>
    </row>
    <row r="3549" spans="16:18" x14ac:dyDescent="0.3">
      <c r="P3549" s="35">
        <v>27.01</v>
      </c>
      <c r="Q3549">
        <v>305</v>
      </c>
      <c r="R3549" s="34">
        <f t="shared" si="58"/>
        <v>0.40396219970394687</v>
      </c>
    </row>
    <row r="3550" spans="16:18" x14ac:dyDescent="0.3">
      <c r="P3550" s="35">
        <v>27.01</v>
      </c>
      <c r="Q3550">
        <v>305</v>
      </c>
      <c r="R3550" s="34">
        <f t="shared" si="58"/>
        <v>0.40407605601727942</v>
      </c>
    </row>
    <row r="3551" spans="16:18" x14ac:dyDescent="0.3">
      <c r="P3551" s="35">
        <v>27.01</v>
      </c>
      <c r="Q3551">
        <v>305</v>
      </c>
      <c r="R3551" s="34">
        <f t="shared" si="58"/>
        <v>0.40418991233061197</v>
      </c>
    </row>
    <row r="3552" spans="16:18" x14ac:dyDescent="0.3">
      <c r="P3552" s="35">
        <v>27.02</v>
      </c>
      <c r="Q3552">
        <v>305</v>
      </c>
      <c r="R3552" s="34">
        <f t="shared" si="58"/>
        <v>0.40430376864394452</v>
      </c>
    </row>
    <row r="3553" spans="16:18" x14ac:dyDescent="0.3">
      <c r="P3553" s="35">
        <v>27.02</v>
      </c>
      <c r="Q3553">
        <v>305</v>
      </c>
      <c r="R3553" s="34">
        <f t="shared" si="58"/>
        <v>0.40441762495727707</v>
      </c>
    </row>
    <row r="3554" spans="16:18" x14ac:dyDescent="0.3">
      <c r="P3554" s="35">
        <v>27.02</v>
      </c>
      <c r="Q3554">
        <v>305</v>
      </c>
      <c r="R3554" s="34">
        <f t="shared" si="58"/>
        <v>0.40453148127060962</v>
      </c>
    </row>
    <row r="3555" spans="16:18" x14ac:dyDescent="0.3">
      <c r="P3555" s="35">
        <v>27.02</v>
      </c>
      <c r="Q3555">
        <v>305</v>
      </c>
      <c r="R3555" s="34">
        <f t="shared" si="58"/>
        <v>0.40464533758394217</v>
      </c>
    </row>
    <row r="3556" spans="16:18" x14ac:dyDescent="0.3">
      <c r="P3556" s="35">
        <v>27.04</v>
      </c>
      <c r="Q3556">
        <v>305</v>
      </c>
      <c r="R3556" s="34">
        <f t="shared" si="58"/>
        <v>0.40475919389727472</v>
      </c>
    </row>
    <row r="3557" spans="16:18" x14ac:dyDescent="0.3">
      <c r="P3557" s="35">
        <v>27.04</v>
      </c>
      <c r="Q3557">
        <v>305</v>
      </c>
      <c r="R3557" s="34">
        <f t="shared" si="58"/>
        <v>0.40487305021060727</v>
      </c>
    </row>
    <row r="3558" spans="16:18" x14ac:dyDescent="0.3">
      <c r="P3558" s="35">
        <v>27.05</v>
      </c>
      <c r="Q3558">
        <v>305</v>
      </c>
      <c r="R3558" s="34">
        <f t="shared" si="58"/>
        <v>0.40498690652393982</v>
      </c>
    </row>
    <row r="3559" spans="16:18" x14ac:dyDescent="0.3">
      <c r="P3559" s="35">
        <v>27.05</v>
      </c>
      <c r="Q3559">
        <v>305</v>
      </c>
      <c r="R3559" s="34">
        <f t="shared" si="58"/>
        <v>0.40510076283727237</v>
      </c>
    </row>
    <row r="3560" spans="16:18" x14ac:dyDescent="0.3">
      <c r="P3560" s="35">
        <v>27.05</v>
      </c>
      <c r="Q3560">
        <v>305</v>
      </c>
      <c r="R3560" s="34">
        <f t="shared" si="58"/>
        <v>0.40521461915060492</v>
      </c>
    </row>
    <row r="3561" spans="16:18" x14ac:dyDescent="0.3">
      <c r="P3561" s="35">
        <v>27.06</v>
      </c>
      <c r="Q3561">
        <v>305</v>
      </c>
      <c r="R3561" s="34">
        <f t="shared" si="58"/>
        <v>0.40532847546393747</v>
      </c>
    </row>
    <row r="3562" spans="16:18" x14ac:dyDescent="0.3">
      <c r="P3562" s="35">
        <v>27.07</v>
      </c>
      <c r="Q3562">
        <v>305</v>
      </c>
      <c r="R3562" s="34">
        <f t="shared" si="58"/>
        <v>0.40544233177727002</v>
      </c>
    </row>
    <row r="3563" spans="16:18" x14ac:dyDescent="0.3">
      <c r="P3563" s="35">
        <v>27.07</v>
      </c>
      <c r="Q3563">
        <v>305</v>
      </c>
      <c r="R3563" s="34">
        <f t="shared" si="58"/>
        <v>0.40555618809060257</v>
      </c>
    </row>
    <row r="3564" spans="16:18" x14ac:dyDescent="0.3">
      <c r="P3564" s="35">
        <v>27.09</v>
      </c>
      <c r="Q3564">
        <v>305</v>
      </c>
      <c r="R3564" s="34">
        <f t="shared" si="58"/>
        <v>0.40567004440393511</v>
      </c>
    </row>
    <row r="3565" spans="16:18" x14ac:dyDescent="0.3">
      <c r="P3565" s="35">
        <v>27.09</v>
      </c>
      <c r="Q3565">
        <v>305</v>
      </c>
      <c r="R3565" s="34">
        <f t="shared" si="58"/>
        <v>0.40578390071726766</v>
      </c>
    </row>
    <row r="3566" spans="16:18" x14ac:dyDescent="0.3">
      <c r="P3566" s="35">
        <v>27.1</v>
      </c>
      <c r="Q3566">
        <v>305</v>
      </c>
      <c r="R3566" s="34">
        <f t="shared" si="58"/>
        <v>0.40589775703060021</v>
      </c>
    </row>
    <row r="3567" spans="16:18" x14ac:dyDescent="0.3">
      <c r="P3567" s="35">
        <v>27.1</v>
      </c>
      <c r="Q3567">
        <v>305</v>
      </c>
      <c r="R3567" s="34">
        <f t="shared" si="58"/>
        <v>0.40601161334393276</v>
      </c>
    </row>
    <row r="3568" spans="16:18" x14ac:dyDescent="0.3">
      <c r="P3568" s="35">
        <v>27.1</v>
      </c>
      <c r="Q3568">
        <v>305</v>
      </c>
      <c r="R3568" s="34">
        <f t="shared" si="58"/>
        <v>0.40612546965726531</v>
      </c>
    </row>
    <row r="3569" spans="16:18" x14ac:dyDescent="0.3">
      <c r="P3569" s="35">
        <v>27.11</v>
      </c>
      <c r="Q3569">
        <v>305</v>
      </c>
      <c r="R3569" s="34">
        <f t="shared" si="58"/>
        <v>0.40623932597059786</v>
      </c>
    </row>
    <row r="3570" spans="16:18" x14ac:dyDescent="0.3">
      <c r="P3570" s="35">
        <v>27.11</v>
      </c>
      <c r="Q3570">
        <v>305</v>
      </c>
      <c r="R3570" s="34">
        <f t="shared" si="58"/>
        <v>0.40635318228393041</v>
      </c>
    </row>
    <row r="3571" spans="16:18" x14ac:dyDescent="0.3">
      <c r="P3571" s="35">
        <v>27.11</v>
      </c>
      <c r="Q3571">
        <v>305</v>
      </c>
      <c r="R3571" s="34">
        <f t="shared" si="58"/>
        <v>0.40646703859726296</v>
      </c>
    </row>
    <row r="3572" spans="16:18" x14ac:dyDescent="0.3">
      <c r="P3572" s="35">
        <v>27.12</v>
      </c>
      <c r="Q3572">
        <v>305</v>
      </c>
      <c r="R3572" s="34">
        <f t="shared" si="58"/>
        <v>0.40658089491059551</v>
      </c>
    </row>
    <row r="3573" spans="16:18" x14ac:dyDescent="0.3">
      <c r="P3573" s="35">
        <v>27.12</v>
      </c>
      <c r="Q3573">
        <v>305</v>
      </c>
      <c r="R3573" s="34">
        <f t="shared" si="58"/>
        <v>0.40669475122392806</v>
      </c>
    </row>
    <row r="3574" spans="16:18" x14ac:dyDescent="0.3">
      <c r="P3574" s="35">
        <v>27.12</v>
      </c>
      <c r="Q3574">
        <v>305</v>
      </c>
      <c r="R3574" s="34">
        <f t="shared" si="58"/>
        <v>0.40680860753726061</v>
      </c>
    </row>
    <row r="3575" spans="16:18" x14ac:dyDescent="0.3">
      <c r="P3575" s="35">
        <v>27.12</v>
      </c>
      <c r="Q3575">
        <v>305</v>
      </c>
      <c r="R3575" s="34">
        <f t="shared" si="58"/>
        <v>0.40692246385059316</v>
      </c>
    </row>
    <row r="3576" spans="16:18" x14ac:dyDescent="0.3">
      <c r="P3576" s="35">
        <v>27.13</v>
      </c>
      <c r="Q3576">
        <v>305</v>
      </c>
      <c r="R3576" s="34">
        <f t="shared" si="58"/>
        <v>0.40703632016392571</v>
      </c>
    </row>
    <row r="3577" spans="16:18" x14ac:dyDescent="0.3">
      <c r="P3577" s="35">
        <v>27.14</v>
      </c>
      <c r="Q3577">
        <v>305</v>
      </c>
      <c r="R3577" s="34">
        <f t="shared" si="58"/>
        <v>0.40715017647725826</v>
      </c>
    </row>
    <row r="3578" spans="16:18" x14ac:dyDescent="0.3">
      <c r="P3578" s="35">
        <v>27.14</v>
      </c>
      <c r="Q3578">
        <v>305</v>
      </c>
      <c r="R3578" s="34">
        <f t="shared" si="58"/>
        <v>0.40726403279059081</v>
      </c>
    </row>
    <row r="3579" spans="16:18" x14ac:dyDescent="0.3">
      <c r="P3579" s="35">
        <v>27.14</v>
      </c>
      <c r="Q3579">
        <v>305</v>
      </c>
      <c r="R3579" s="34">
        <f t="shared" si="58"/>
        <v>0.40737788910392336</v>
      </c>
    </row>
    <row r="3580" spans="16:18" x14ac:dyDescent="0.3">
      <c r="P3580" s="35">
        <v>27.15</v>
      </c>
      <c r="Q3580">
        <v>305</v>
      </c>
      <c r="R3580" s="34">
        <f t="shared" si="58"/>
        <v>0.40749174541725591</v>
      </c>
    </row>
    <row r="3581" spans="16:18" x14ac:dyDescent="0.3">
      <c r="P3581" s="35">
        <v>27.15</v>
      </c>
      <c r="Q3581">
        <v>305</v>
      </c>
      <c r="R3581" s="34">
        <f t="shared" si="58"/>
        <v>0.40760560173058846</v>
      </c>
    </row>
    <row r="3582" spans="16:18" x14ac:dyDescent="0.3">
      <c r="P3582" s="35">
        <v>27.16</v>
      </c>
      <c r="Q3582">
        <v>305</v>
      </c>
      <c r="R3582" s="34">
        <f t="shared" si="58"/>
        <v>0.40771945804392101</v>
      </c>
    </row>
    <row r="3583" spans="16:18" x14ac:dyDescent="0.3">
      <c r="P3583" s="35">
        <v>27.16</v>
      </c>
      <c r="Q3583">
        <v>305</v>
      </c>
      <c r="R3583" s="34">
        <f t="shared" si="58"/>
        <v>0.40783331435725356</v>
      </c>
    </row>
    <row r="3584" spans="16:18" x14ac:dyDescent="0.3">
      <c r="P3584" s="35">
        <v>27.16</v>
      </c>
      <c r="Q3584">
        <v>305</v>
      </c>
      <c r="R3584" s="34">
        <f t="shared" si="58"/>
        <v>0.40794717067058611</v>
      </c>
    </row>
    <row r="3585" spans="16:18" x14ac:dyDescent="0.3">
      <c r="P3585" s="35">
        <v>27.17</v>
      </c>
      <c r="Q3585">
        <v>305</v>
      </c>
      <c r="R3585" s="34">
        <f t="shared" si="58"/>
        <v>0.40806102698391866</v>
      </c>
    </row>
    <row r="3586" spans="16:18" x14ac:dyDescent="0.3">
      <c r="P3586" s="35">
        <v>27.17</v>
      </c>
      <c r="Q3586">
        <v>305</v>
      </c>
      <c r="R3586" s="34">
        <f t="shared" si="58"/>
        <v>0.40817488329725121</v>
      </c>
    </row>
    <row r="3587" spans="16:18" x14ac:dyDescent="0.3">
      <c r="P3587" s="35">
        <v>27.17</v>
      </c>
      <c r="Q3587">
        <v>305</v>
      </c>
      <c r="R3587" s="34">
        <f t="shared" si="58"/>
        <v>0.40828873961058376</v>
      </c>
    </row>
    <row r="3588" spans="16:18" x14ac:dyDescent="0.3">
      <c r="P3588" s="35">
        <v>27.18</v>
      </c>
      <c r="Q3588">
        <v>305</v>
      </c>
      <c r="R3588" s="34">
        <f t="shared" ref="R3588:R3651" si="59">R3587+R$2</f>
        <v>0.40840259592391631</v>
      </c>
    </row>
    <row r="3589" spans="16:18" x14ac:dyDescent="0.3">
      <c r="P3589" s="35">
        <v>27.18</v>
      </c>
      <c r="Q3589">
        <v>305</v>
      </c>
      <c r="R3589" s="34">
        <f t="shared" si="59"/>
        <v>0.40851645223724886</v>
      </c>
    </row>
    <row r="3590" spans="16:18" x14ac:dyDescent="0.3">
      <c r="P3590" s="35">
        <v>27.18</v>
      </c>
      <c r="Q3590">
        <v>305</v>
      </c>
      <c r="R3590" s="34">
        <f t="shared" si="59"/>
        <v>0.40863030855058141</v>
      </c>
    </row>
    <row r="3591" spans="16:18" x14ac:dyDescent="0.3">
      <c r="P3591" s="35">
        <v>27.18</v>
      </c>
      <c r="Q3591">
        <v>305</v>
      </c>
      <c r="R3591" s="34">
        <f t="shared" si="59"/>
        <v>0.40874416486391396</v>
      </c>
    </row>
    <row r="3592" spans="16:18" x14ac:dyDescent="0.3">
      <c r="P3592" s="35">
        <v>27.18</v>
      </c>
      <c r="Q3592">
        <v>305</v>
      </c>
      <c r="R3592" s="34">
        <f t="shared" si="59"/>
        <v>0.40885802117724651</v>
      </c>
    </row>
    <row r="3593" spans="16:18" x14ac:dyDescent="0.3">
      <c r="P3593" s="35">
        <v>27.19</v>
      </c>
      <c r="Q3593">
        <v>305</v>
      </c>
      <c r="R3593" s="34">
        <f t="shared" si="59"/>
        <v>0.40897187749057906</v>
      </c>
    </row>
    <row r="3594" spans="16:18" x14ac:dyDescent="0.3">
      <c r="P3594" s="35">
        <v>27.19</v>
      </c>
      <c r="Q3594">
        <v>305</v>
      </c>
      <c r="R3594" s="34">
        <f t="shared" si="59"/>
        <v>0.40908573380391161</v>
      </c>
    </row>
    <row r="3595" spans="16:18" x14ac:dyDescent="0.3">
      <c r="P3595" s="35">
        <v>27.19</v>
      </c>
      <c r="Q3595">
        <v>305</v>
      </c>
      <c r="R3595" s="34">
        <f t="shared" si="59"/>
        <v>0.40919959011724416</v>
      </c>
    </row>
    <row r="3596" spans="16:18" x14ac:dyDescent="0.3">
      <c r="P3596" s="35">
        <v>27.2</v>
      </c>
      <c r="Q3596">
        <v>305</v>
      </c>
      <c r="R3596" s="34">
        <f t="shared" si="59"/>
        <v>0.40931344643057671</v>
      </c>
    </row>
    <row r="3597" spans="16:18" x14ac:dyDescent="0.3">
      <c r="P3597" s="35">
        <v>27.2</v>
      </c>
      <c r="Q3597">
        <v>305</v>
      </c>
      <c r="R3597" s="34">
        <f t="shared" si="59"/>
        <v>0.40942730274390926</v>
      </c>
    </row>
    <row r="3598" spans="16:18" x14ac:dyDescent="0.3">
      <c r="P3598" s="35">
        <v>27.2</v>
      </c>
      <c r="Q3598">
        <v>305</v>
      </c>
      <c r="R3598" s="34">
        <f t="shared" si="59"/>
        <v>0.40954115905724181</v>
      </c>
    </row>
    <row r="3599" spans="16:18" x14ac:dyDescent="0.3">
      <c r="P3599" s="35">
        <v>27.21</v>
      </c>
      <c r="Q3599">
        <v>305</v>
      </c>
      <c r="R3599" s="34">
        <f t="shared" si="59"/>
        <v>0.40965501537057436</v>
      </c>
    </row>
    <row r="3600" spans="16:18" x14ac:dyDescent="0.3">
      <c r="P3600" s="35">
        <v>27.21</v>
      </c>
      <c r="Q3600">
        <v>305</v>
      </c>
      <c r="R3600" s="34">
        <f t="shared" si="59"/>
        <v>0.40976887168390691</v>
      </c>
    </row>
    <row r="3601" spans="16:18" x14ac:dyDescent="0.3">
      <c r="P3601" s="35">
        <v>27.21</v>
      </c>
      <c r="Q3601">
        <v>305</v>
      </c>
      <c r="R3601" s="34">
        <f t="shared" si="59"/>
        <v>0.40988272799723946</v>
      </c>
    </row>
    <row r="3602" spans="16:18" x14ac:dyDescent="0.3">
      <c r="P3602" s="35">
        <v>27.21</v>
      </c>
      <c r="Q3602">
        <v>305</v>
      </c>
      <c r="R3602" s="34">
        <f t="shared" si="59"/>
        <v>0.40999658431057201</v>
      </c>
    </row>
    <row r="3603" spans="16:18" x14ac:dyDescent="0.3">
      <c r="P3603" s="35">
        <v>27.21</v>
      </c>
      <c r="Q3603">
        <v>305</v>
      </c>
      <c r="R3603" s="34">
        <f t="shared" si="59"/>
        <v>0.41011044062390456</v>
      </c>
    </row>
    <row r="3604" spans="16:18" x14ac:dyDescent="0.3">
      <c r="P3604" s="35">
        <v>27.22</v>
      </c>
      <c r="Q3604">
        <v>305</v>
      </c>
      <c r="R3604" s="34">
        <f t="shared" si="59"/>
        <v>0.41022429693723711</v>
      </c>
    </row>
    <row r="3605" spans="16:18" x14ac:dyDescent="0.3">
      <c r="P3605" s="35">
        <v>27.22</v>
      </c>
      <c r="Q3605">
        <v>305</v>
      </c>
      <c r="R3605" s="34">
        <f t="shared" si="59"/>
        <v>0.41033815325056966</v>
      </c>
    </row>
    <row r="3606" spans="16:18" x14ac:dyDescent="0.3">
      <c r="P3606" s="35">
        <v>27.23</v>
      </c>
      <c r="Q3606">
        <v>305</v>
      </c>
      <c r="R3606" s="34">
        <f t="shared" si="59"/>
        <v>0.41045200956390221</v>
      </c>
    </row>
    <row r="3607" spans="16:18" x14ac:dyDescent="0.3">
      <c r="P3607" s="35">
        <v>27.23</v>
      </c>
      <c r="Q3607">
        <v>305</v>
      </c>
      <c r="R3607" s="34">
        <f t="shared" si="59"/>
        <v>0.41056586587723476</v>
      </c>
    </row>
    <row r="3608" spans="16:18" x14ac:dyDescent="0.3">
      <c r="P3608" s="35">
        <v>27.23</v>
      </c>
      <c r="Q3608">
        <v>305</v>
      </c>
      <c r="R3608" s="34">
        <f t="shared" si="59"/>
        <v>0.41067972219056731</v>
      </c>
    </row>
    <row r="3609" spans="16:18" x14ac:dyDescent="0.3">
      <c r="P3609" s="35">
        <v>27.23</v>
      </c>
      <c r="Q3609">
        <v>305</v>
      </c>
      <c r="R3609" s="34">
        <f t="shared" si="59"/>
        <v>0.41079357850389986</v>
      </c>
    </row>
    <row r="3610" spans="16:18" x14ac:dyDescent="0.3">
      <c r="P3610" s="35">
        <v>27.24</v>
      </c>
      <c r="Q3610">
        <v>305</v>
      </c>
      <c r="R3610" s="34">
        <f t="shared" si="59"/>
        <v>0.41090743481723241</v>
      </c>
    </row>
    <row r="3611" spans="16:18" x14ac:dyDescent="0.3">
      <c r="P3611" s="35">
        <v>27.24</v>
      </c>
      <c r="Q3611">
        <v>305</v>
      </c>
      <c r="R3611" s="34">
        <f t="shared" si="59"/>
        <v>0.41102129113056496</v>
      </c>
    </row>
    <row r="3612" spans="16:18" x14ac:dyDescent="0.3">
      <c r="P3612" s="35">
        <v>27.24</v>
      </c>
      <c r="Q3612">
        <v>305</v>
      </c>
      <c r="R3612" s="34">
        <f t="shared" si="59"/>
        <v>0.41113514744389751</v>
      </c>
    </row>
    <row r="3613" spans="16:18" x14ac:dyDescent="0.3">
      <c r="P3613" s="35">
        <v>27.25</v>
      </c>
      <c r="Q3613">
        <v>305</v>
      </c>
      <c r="R3613" s="34">
        <f t="shared" si="59"/>
        <v>0.41124900375723006</v>
      </c>
    </row>
    <row r="3614" spans="16:18" x14ac:dyDescent="0.3">
      <c r="P3614" s="35">
        <v>27.25</v>
      </c>
      <c r="Q3614">
        <v>305</v>
      </c>
      <c r="R3614" s="34">
        <f t="shared" si="59"/>
        <v>0.41136286007056261</v>
      </c>
    </row>
    <row r="3615" spans="16:18" x14ac:dyDescent="0.3">
      <c r="P3615" s="35">
        <v>27.25</v>
      </c>
      <c r="Q3615">
        <v>305</v>
      </c>
      <c r="R3615" s="34">
        <f t="shared" si="59"/>
        <v>0.41147671638389516</v>
      </c>
    </row>
    <row r="3616" spans="16:18" x14ac:dyDescent="0.3">
      <c r="P3616" s="35">
        <v>27.25</v>
      </c>
      <c r="Q3616">
        <v>305</v>
      </c>
      <c r="R3616" s="34">
        <f t="shared" si="59"/>
        <v>0.41159057269722771</v>
      </c>
    </row>
    <row r="3617" spans="16:18" x14ac:dyDescent="0.3">
      <c r="P3617" s="35">
        <v>27.26</v>
      </c>
      <c r="Q3617">
        <v>305</v>
      </c>
      <c r="R3617" s="34">
        <f t="shared" si="59"/>
        <v>0.41170442901056026</v>
      </c>
    </row>
    <row r="3618" spans="16:18" x14ac:dyDescent="0.3">
      <c r="P3618" s="35">
        <v>27.26</v>
      </c>
      <c r="Q3618">
        <v>305</v>
      </c>
      <c r="R3618" s="34">
        <f t="shared" si="59"/>
        <v>0.41181828532389281</v>
      </c>
    </row>
    <row r="3619" spans="16:18" x14ac:dyDescent="0.3">
      <c r="P3619" s="35">
        <v>27.27</v>
      </c>
      <c r="Q3619">
        <v>305</v>
      </c>
      <c r="R3619" s="34">
        <f t="shared" si="59"/>
        <v>0.41193214163722536</v>
      </c>
    </row>
    <row r="3620" spans="16:18" x14ac:dyDescent="0.3">
      <c r="P3620" s="35">
        <v>27.28</v>
      </c>
      <c r="Q3620">
        <v>305</v>
      </c>
      <c r="R3620" s="34">
        <f t="shared" si="59"/>
        <v>0.41204599795055791</v>
      </c>
    </row>
    <row r="3621" spans="16:18" x14ac:dyDescent="0.3">
      <c r="P3621" s="35">
        <v>27.28</v>
      </c>
      <c r="Q3621">
        <v>305</v>
      </c>
      <c r="R3621" s="34">
        <f t="shared" si="59"/>
        <v>0.41215985426389046</v>
      </c>
    </row>
    <row r="3622" spans="16:18" x14ac:dyDescent="0.3">
      <c r="P3622" s="35">
        <v>27.28</v>
      </c>
      <c r="Q3622">
        <v>305</v>
      </c>
      <c r="R3622" s="34">
        <f t="shared" si="59"/>
        <v>0.41227371057722301</v>
      </c>
    </row>
    <row r="3623" spans="16:18" x14ac:dyDescent="0.3">
      <c r="P3623" s="35">
        <v>27.28</v>
      </c>
      <c r="Q3623">
        <v>305</v>
      </c>
      <c r="R3623" s="34">
        <f t="shared" si="59"/>
        <v>0.41238756689055556</v>
      </c>
    </row>
    <row r="3624" spans="16:18" x14ac:dyDescent="0.3">
      <c r="P3624" s="35">
        <v>27.29</v>
      </c>
      <c r="Q3624">
        <v>305</v>
      </c>
      <c r="R3624" s="34">
        <f t="shared" si="59"/>
        <v>0.41250142320388811</v>
      </c>
    </row>
    <row r="3625" spans="16:18" x14ac:dyDescent="0.3">
      <c r="P3625" s="35">
        <v>27.3</v>
      </c>
      <c r="Q3625">
        <v>305</v>
      </c>
      <c r="R3625" s="34">
        <f t="shared" si="59"/>
        <v>0.41261527951722066</v>
      </c>
    </row>
    <row r="3626" spans="16:18" x14ac:dyDescent="0.3">
      <c r="P3626" s="35">
        <v>27.3</v>
      </c>
      <c r="Q3626">
        <v>305</v>
      </c>
      <c r="R3626" s="34">
        <f t="shared" si="59"/>
        <v>0.41272913583055321</v>
      </c>
    </row>
    <row r="3627" spans="16:18" x14ac:dyDescent="0.3">
      <c r="P3627" s="35">
        <v>27.3</v>
      </c>
      <c r="Q3627">
        <v>305</v>
      </c>
      <c r="R3627" s="34">
        <f t="shared" si="59"/>
        <v>0.41284299214388576</v>
      </c>
    </row>
    <row r="3628" spans="16:18" x14ac:dyDescent="0.3">
      <c r="P3628" s="35">
        <v>27.31</v>
      </c>
      <c r="Q3628">
        <v>305</v>
      </c>
      <c r="R3628" s="34">
        <f t="shared" si="59"/>
        <v>0.41295684845721831</v>
      </c>
    </row>
    <row r="3629" spans="16:18" x14ac:dyDescent="0.3">
      <c r="P3629" s="35">
        <v>27.31</v>
      </c>
      <c r="Q3629">
        <v>305</v>
      </c>
      <c r="R3629" s="34">
        <f t="shared" si="59"/>
        <v>0.41307070477055086</v>
      </c>
    </row>
    <row r="3630" spans="16:18" x14ac:dyDescent="0.3">
      <c r="P3630" s="35">
        <v>27.31</v>
      </c>
      <c r="Q3630">
        <v>305</v>
      </c>
      <c r="R3630" s="34">
        <f t="shared" si="59"/>
        <v>0.41318456108388341</v>
      </c>
    </row>
    <row r="3631" spans="16:18" x14ac:dyDescent="0.3">
      <c r="P3631" s="35">
        <v>27.31</v>
      </c>
      <c r="Q3631">
        <v>305</v>
      </c>
      <c r="R3631" s="34">
        <f t="shared" si="59"/>
        <v>0.41329841739721596</v>
      </c>
    </row>
    <row r="3632" spans="16:18" x14ac:dyDescent="0.3">
      <c r="P3632" s="35">
        <v>27.32</v>
      </c>
      <c r="Q3632">
        <v>305</v>
      </c>
      <c r="R3632" s="34">
        <f t="shared" si="59"/>
        <v>0.41341227371054851</v>
      </c>
    </row>
    <row r="3633" spans="16:18" x14ac:dyDescent="0.3">
      <c r="P3633" s="35">
        <v>27.32</v>
      </c>
      <c r="Q3633">
        <v>305</v>
      </c>
      <c r="R3633" s="34">
        <f t="shared" si="59"/>
        <v>0.41352613002388106</v>
      </c>
    </row>
    <row r="3634" spans="16:18" x14ac:dyDescent="0.3">
      <c r="P3634" s="35">
        <v>27.33</v>
      </c>
      <c r="Q3634">
        <v>305</v>
      </c>
      <c r="R3634" s="34">
        <f t="shared" si="59"/>
        <v>0.41363998633721361</v>
      </c>
    </row>
    <row r="3635" spans="16:18" x14ac:dyDescent="0.3">
      <c r="P3635" s="35">
        <v>27.34</v>
      </c>
      <c r="Q3635">
        <v>305</v>
      </c>
      <c r="R3635" s="34">
        <f t="shared" si="59"/>
        <v>0.41375384265054616</v>
      </c>
    </row>
    <row r="3636" spans="16:18" x14ac:dyDescent="0.3">
      <c r="P3636" s="35">
        <v>27.34</v>
      </c>
      <c r="Q3636">
        <v>305</v>
      </c>
      <c r="R3636" s="34">
        <f t="shared" si="59"/>
        <v>0.41386769896387871</v>
      </c>
    </row>
    <row r="3637" spans="16:18" x14ac:dyDescent="0.3">
      <c r="P3637" s="35">
        <v>27.34</v>
      </c>
      <c r="Q3637">
        <v>305</v>
      </c>
      <c r="R3637" s="34">
        <f t="shared" si="59"/>
        <v>0.41398155527721126</v>
      </c>
    </row>
    <row r="3638" spans="16:18" x14ac:dyDescent="0.3">
      <c r="P3638" s="35">
        <v>27.34</v>
      </c>
      <c r="Q3638">
        <v>305</v>
      </c>
      <c r="R3638" s="34">
        <f t="shared" si="59"/>
        <v>0.4140954115905438</v>
      </c>
    </row>
    <row r="3639" spans="16:18" x14ac:dyDescent="0.3">
      <c r="P3639" s="35">
        <v>27.35</v>
      </c>
      <c r="Q3639">
        <v>305</v>
      </c>
      <c r="R3639" s="34">
        <f t="shared" si="59"/>
        <v>0.41420926790387635</v>
      </c>
    </row>
    <row r="3640" spans="16:18" x14ac:dyDescent="0.3">
      <c r="P3640" s="35">
        <v>27.35</v>
      </c>
      <c r="Q3640">
        <v>305</v>
      </c>
      <c r="R3640" s="34">
        <f t="shared" si="59"/>
        <v>0.4143231242172089</v>
      </c>
    </row>
    <row r="3641" spans="16:18" x14ac:dyDescent="0.3">
      <c r="P3641" s="35">
        <v>27.35</v>
      </c>
      <c r="Q3641">
        <v>305</v>
      </c>
      <c r="R3641" s="34">
        <f t="shared" si="59"/>
        <v>0.41443698053054145</v>
      </c>
    </row>
    <row r="3642" spans="16:18" x14ac:dyDescent="0.3">
      <c r="P3642" s="35">
        <v>27.36</v>
      </c>
      <c r="Q3642">
        <v>305</v>
      </c>
      <c r="R3642" s="34">
        <f t="shared" si="59"/>
        <v>0.414550836843874</v>
      </c>
    </row>
    <row r="3643" spans="16:18" x14ac:dyDescent="0.3">
      <c r="P3643" s="35">
        <v>27.37</v>
      </c>
      <c r="Q3643">
        <v>305</v>
      </c>
      <c r="R3643" s="34">
        <f t="shared" si="59"/>
        <v>0.41466469315720655</v>
      </c>
    </row>
    <row r="3644" spans="16:18" x14ac:dyDescent="0.3">
      <c r="P3644" s="35">
        <v>27.37</v>
      </c>
      <c r="Q3644">
        <v>305</v>
      </c>
      <c r="R3644" s="34">
        <f t="shared" si="59"/>
        <v>0.4147785494705391</v>
      </c>
    </row>
    <row r="3645" spans="16:18" x14ac:dyDescent="0.3">
      <c r="P3645" s="35">
        <v>27.38</v>
      </c>
      <c r="Q3645">
        <v>305</v>
      </c>
      <c r="R3645" s="34">
        <f t="shared" si="59"/>
        <v>0.41489240578387165</v>
      </c>
    </row>
    <row r="3646" spans="16:18" x14ac:dyDescent="0.3">
      <c r="P3646" s="35">
        <v>27.38</v>
      </c>
      <c r="Q3646">
        <v>305</v>
      </c>
      <c r="R3646" s="34">
        <f t="shared" si="59"/>
        <v>0.4150062620972042</v>
      </c>
    </row>
    <row r="3647" spans="16:18" x14ac:dyDescent="0.3">
      <c r="P3647" s="35">
        <v>27.38</v>
      </c>
      <c r="Q3647">
        <v>305</v>
      </c>
      <c r="R3647" s="34">
        <f t="shared" si="59"/>
        <v>0.41512011841053675</v>
      </c>
    </row>
    <row r="3648" spans="16:18" x14ac:dyDescent="0.3">
      <c r="P3648" s="35">
        <v>27.38</v>
      </c>
      <c r="Q3648">
        <v>305</v>
      </c>
      <c r="R3648" s="34">
        <f t="shared" si="59"/>
        <v>0.4152339747238693</v>
      </c>
    </row>
    <row r="3649" spans="16:18" x14ac:dyDescent="0.3">
      <c r="P3649" s="35">
        <v>27.39</v>
      </c>
      <c r="Q3649">
        <v>305</v>
      </c>
      <c r="R3649" s="34">
        <f t="shared" si="59"/>
        <v>0.41534783103720185</v>
      </c>
    </row>
    <row r="3650" spans="16:18" x14ac:dyDescent="0.3">
      <c r="P3650" s="35">
        <v>27.4</v>
      </c>
      <c r="Q3650">
        <v>305</v>
      </c>
      <c r="R3650" s="34">
        <f t="shared" si="59"/>
        <v>0.4154616873505344</v>
      </c>
    </row>
    <row r="3651" spans="16:18" x14ac:dyDescent="0.3">
      <c r="P3651" s="35">
        <v>27.4</v>
      </c>
      <c r="Q3651">
        <v>305</v>
      </c>
      <c r="R3651" s="34">
        <f t="shared" si="59"/>
        <v>0.41557554366386695</v>
      </c>
    </row>
    <row r="3652" spans="16:18" x14ac:dyDescent="0.3">
      <c r="P3652" s="35">
        <v>27.4</v>
      </c>
      <c r="Q3652">
        <v>305</v>
      </c>
      <c r="R3652" s="34">
        <f t="shared" ref="R3652:R3715" si="60">R3651+R$2</f>
        <v>0.4156893999771995</v>
      </c>
    </row>
    <row r="3653" spans="16:18" x14ac:dyDescent="0.3">
      <c r="P3653" s="35">
        <v>27.4</v>
      </c>
      <c r="Q3653">
        <v>305</v>
      </c>
      <c r="R3653" s="34">
        <f t="shared" si="60"/>
        <v>0.41580325629053205</v>
      </c>
    </row>
    <row r="3654" spans="16:18" x14ac:dyDescent="0.3">
      <c r="P3654" s="35">
        <v>27.4</v>
      </c>
      <c r="Q3654">
        <v>305</v>
      </c>
      <c r="R3654" s="34">
        <f t="shared" si="60"/>
        <v>0.4159171126038646</v>
      </c>
    </row>
    <row r="3655" spans="16:18" x14ac:dyDescent="0.3">
      <c r="P3655" s="35">
        <v>27.41</v>
      </c>
      <c r="Q3655">
        <v>305</v>
      </c>
      <c r="R3655" s="34">
        <f t="shared" si="60"/>
        <v>0.41603096891719715</v>
      </c>
    </row>
    <row r="3656" spans="16:18" x14ac:dyDescent="0.3">
      <c r="P3656" s="35">
        <v>27.41</v>
      </c>
      <c r="Q3656">
        <v>305</v>
      </c>
      <c r="R3656" s="34">
        <f t="shared" si="60"/>
        <v>0.4161448252305297</v>
      </c>
    </row>
    <row r="3657" spans="16:18" x14ac:dyDescent="0.3">
      <c r="P3657" s="35">
        <v>27.42</v>
      </c>
      <c r="Q3657">
        <v>305</v>
      </c>
      <c r="R3657" s="34">
        <f t="shared" si="60"/>
        <v>0.41625868154386225</v>
      </c>
    </row>
    <row r="3658" spans="16:18" x14ac:dyDescent="0.3">
      <c r="P3658" s="35">
        <v>27.42</v>
      </c>
      <c r="Q3658">
        <v>305</v>
      </c>
      <c r="R3658" s="34">
        <f t="shared" si="60"/>
        <v>0.4163725378571948</v>
      </c>
    </row>
    <row r="3659" spans="16:18" x14ac:dyDescent="0.3">
      <c r="P3659" s="35">
        <v>27.42</v>
      </c>
      <c r="Q3659">
        <v>305</v>
      </c>
      <c r="R3659" s="34">
        <f t="shared" si="60"/>
        <v>0.41648639417052735</v>
      </c>
    </row>
    <row r="3660" spans="16:18" x14ac:dyDescent="0.3">
      <c r="P3660" s="35">
        <v>27.42</v>
      </c>
      <c r="Q3660">
        <v>305</v>
      </c>
      <c r="R3660" s="34">
        <f t="shared" si="60"/>
        <v>0.4166002504838599</v>
      </c>
    </row>
    <row r="3661" spans="16:18" x14ac:dyDescent="0.3">
      <c r="P3661" s="35">
        <v>27.43</v>
      </c>
      <c r="Q3661">
        <v>305</v>
      </c>
      <c r="R3661" s="34">
        <f t="shared" si="60"/>
        <v>0.41671410679719245</v>
      </c>
    </row>
    <row r="3662" spans="16:18" x14ac:dyDescent="0.3">
      <c r="P3662" s="35">
        <v>27.43</v>
      </c>
      <c r="Q3662">
        <v>305</v>
      </c>
      <c r="R3662" s="34">
        <f t="shared" si="60"/>
        <v>0.416827963110525</v>
      </c>
    </row>
    <row r="3663" spans="16:18" x14ac:dyDescent="0.3">
      <c r="P3663" s="35">
        <v>27.43</v>
      </c>
      <c r="Q3663">
        <v>305</v>
      </c>
      <c r="R3663" s="34">
        <f t="shared" si="60"/>
        <v>0.41694181942385755</v>
      </c>
    </row>
    <row r="3664" spans="16:18" x14ac:dyDescent="0.3">
      <c r="P3664" s="35">
        <v>27.43</v>
      </c>
      <c r="Q3664">
        <v>305</v>
      </c>
      <c r="R3664" s="34">
        <f t="shared" si="60"/>
        <v>0.4170556757371901</v>
      </c>
    </row>
    <row r="3665" spans="16:18" x14ac:dyDescent="0.3">
      <c r="P3665" s="35">
        <v>27.43</v>
      </c>
      <c r="Q3665">
        <v>305</v>
      </c>
      <c r="R3665" s="34">
        <f t="shared" si="60"/>
        <v>0.41716953205052265</v>
      </c>
    </row>
    <row r="3666" spans="16:18" x14ac:dyDescent="0.3">
      <c r="P3666" s="35">
        <v>27.43</v>
      </c>
      <c r="Q3666">
        <v>305</v>
      </c>
      <c r="R3666" s="34">
        <f t="shared" si="60"/>
        <v>0.4172833883638552</v>
      </c>
    </row>
    <row r="3667" spans="16:18" x14ac:dyDescent="0.3">
      <c r="P3667" s="35">
        <v>27.43</v>
      </c>
      <c r="Q3667">
        <v>305</v>
      </c>
      <c r="R3667" s="34">
        <f t="shared" si="60"/>
        <v>0.41739724467718775</v>
      </c>
    </row>
    <row r="3668" spans="16:18" x14ac:dyDescent="0.3">
      <c r="P3668" s="35">
        <v>27.45</v>
      </c>
      <c r="Q3668">
        <v>305</v>
      </c>
      <c r="R3668" s="34">
        <f t="shared" si="60"/>
        <v>0.4175111009905203</v>
      </c>
    </row>
    <row r="3669" spans="16:18" x14ac:dyDescent="0.3">
      <c r="P3669" s="35">
        <v>27.45</v>
      </c>
      <c r="Q3669">
        <v>305</v>
      </c>
      <c r="R3669" s="34">
        <f t="shared" si="60"/>
        <v>0.41762495730385285</v>
      </c>
    </row>
    <row r="3670" spans="16:18" x14ac:dyDescent="0.3">
      <c r="P3670" s="35">
        <v>27.46</v>
      </c>
      <c r="Q3670">
        <v>305</v>
      </c>
      <c r="R3670" s="34">
        <f t="shared" si="60"/>
        <v>0.4177388136171854</v>
      </c>
    </row>
    <row r="3671" spans="16:18" x14ac:dyDescent="0.3">
      <c r="P3671" s="35">
        <v>27.47</v>
      </c>
      <c r="Q3671">
        <v>305</v>
      </c>
      <c r="R3671" s="34">
        <f t="shared" si="60"/>
        <v>0.41785266993051795</v>
      </c>
    </row>
    <row r="3672" spans="16:18" x14ac:dyDescent="0.3">
      <c r="P3672" s="35">
        <v>27.47</v>
      </c>
      <c r="Q3672">
        <v>305</v>
      </c>
      <c r="R3672" s="34">
        <f t="shared" si="60"/>
        <v>0.4179665262438505</v>
      </c>
    </row>
    <row r="3673" spans="16:18" x14ac:dyDescent="0.3">
      <c r="P3673" s="35">
        <v>27.47</v>
      </c>
      <c r="Q3673">
        <v>305</v>
      </c>
      <c r="R3673" s="34">
        <f t="shared" si="60"/>
        <v>0.41808038255718305</v>
      </c>
    </row>
    <row r="3674" spans="16:18" x14ac:dyDescent="0.3">
      <c r="P3674" s="35">
        <v>27.47</v>
      </c>
      <c r="Q3674">
        <v>305</v>
      </c>
      <c r="R3674" s="34">
        <f t="shared" si="60"/>
        <v>0.4181942388705156</v>
      </c>
    </row>
    <row r="3675" spans="16:18" x14ac:dyDescent="0.3">
      <c r="P3675" s="35">
        <v>27.47</v>
      </c>
      <c r="Q3675">
        <v>305</v>
      </c>
      <c r="R3675" s="34">
        <f t="shared" si="60"/>
        <v>0.41830809518384815</v>
      </c>
    </row>
    <row r="3676" spans="16:18" x14ac:dyDescent="0.3">
      <c r="P3676" s="35">
        <v>27.48</v>
      </c>
      <c r="Q3676">
        <v>305</v>
      </c>
      <c r="R3676" s="34">
        <f t="shared" si="60"/>
        <v>0.4184219514971807</v>
      </c>
    </row>
    <row r="3677" spans="16:18" x14ac:dyDescent="0.3">
      <c r="P3677" s="35">
        <v>27.48</v>
      </c>
      <c r="Q3677">
        <v>305</v>
      </c>
      <c r="R3677" s="34">
        <f t="shared" si="60"/>
        <v>0.41853580781051325</v>
      </c>
    </row>
    <row r="3678" spans="16:18" x14ac:dyDescent="0.3">
      <c r="P3678" s="35">
        <v>27.49</v>
      </c>
      <c r="Q3678">
        <v>305</v>
      </c>
      <c r="R3678" s="34">
        <f t="shared" si="60"/>
        <v>0.4186496641238458</v>
      </c>
    </row>
    <row r="3679" spans="16:18" x14ac:dyDescent="0.3">
      <c r="P3679" s="35">
        <v>27.49</v>
      </c>
      <c r="Q3679">
        <v>305</v>
      </c>
      <c r="R3679" s="34">
        <f t="shared" si="60"/>
        <v>0.41876352043717835</v>
      </c>
    </row>
    <row r="3680" spans="16:18" x14ac:dyDescent="0.3">
      <c r="P3680" s="35">
        <v>27.49</v>
      </c>
      <c r="Q3680">
        <v>305</v>
      </c>
      <c r="R3680" s="34">
        <f t="shared" si="60"/>
        <v>0.4188773767505109</v>
      </c>
    </row>
    <row r="3681" spans="16:18" x14ac:dyDescent="0.3">
      <c r="P3681" s="35">
        <v>27.5</v>
      </c>
      <c r="Q3681">
        <v>305</v>
      </c>
      <c r="R3681" s="34">
        <f t="shared" si="60"/>
        <v>0.41899123306384345</v>
      </c>
    </row>
    <row r="3682" spans="16:18" x14ac:dyDescent="0.3">
      <c r="P3682" s="35">
        <v>27.5</v>
      </c>
      <c r="Q3682">
        <v>305</v>
      </c>
      <c r="R3682" s="34">
        <f t="shared" si="60"/>
        <v>0.419105089377176</v>
      </c>
    </row>
    <row r="3683" spans="16:18" x14ac:dyDescent="0.3">
      <c r="P3683" s="35">
        <v>27.51</v>
      </c>
      <c r="Q3683">
        <v>305</v>
      </c>
      <c r="R3683" s="34">
        <f t="shared" si="60"/>
        <v>0.41921894569050855</v>
      </c>
    </row>
    <row r="3684" spans="16:18" x14ac:dyDescent="0.3">
      <c r="P3684" s="35">
        <v>27.51</v>
      </c>
      <c r="Q3684">
        <v>305</v>
      </c>
      <c r="R3684" s="34">
        <f t="shared" si="60"/>
        <v>0.4193328020038411</v>
      </c>
    </row>
    <row r="3685" spans="16:18" x14ac:dyDescent="0.3">
      <c r="P3685" s="35">
        <v>27.51</v>
      </c>
      <c r="Q3685">
        <v>305</v>
      </c>
      <c r="R3685" s="34">
        <f t="shared" si="60"/>
        <v>0.41944665831717365</v>
      </c>
    </row>
    <row r="3686" spans="16:18" x14ac:dyDescent="0.3">
      <c r="P3686" s="35">
        <v>27.51</v>
      </c>
      <c r="Q3686">
        <v>305</v>
      </c>
      <c r="R3686" s="34">
        <f t="shared" si="60"/>
        <v>0.4195605146305062</v>
      </c>
    </row>
    <row r="3687" spans="16:18" x14ac:dyDescent="0.3">
      <c r="P3687" s="35">
        <v>27.52</v>
      </c>
      <c r="Q3687">
        <v>305</v>
      </c>
      <c r="R3687" s="34">
        <f t="shared" si="60"/>
        <v>0.41967437094383875</v>
      </c>
    </row>
    <row r="3688" spans="16:18" x14ac:dyDescent="0.3">
      <c r="P3688" s="35">
        <v>27.53</v>
      </c>
      <c r="Q3688">
        <v>305</v>
      </c>
      <c r="R3688" s="34">
        <f t="shared" si="60"/>
        <v>0.4197882272571713</v>
      </c>
    </row>
    <row r="3689" spans="16:18" x14ac:dyDescent="0.3">
      <c r="P3689" s="35">
        <v>27.54</v>
      </c>
      <c r="Q3689">
        <v>305</v>
      </c>
      <c r="R3689" s="34">
        <f t="shared" si="60"/>
        <v>0.41990208357050385</v>
      </c>
    </row>
    <row r="3690" spans="16:18" x14ac:dyDescent="0.3">
      <c r="P3690" s="35">
        <v>27.54</v>
      </c>
      <c r="Q3690">
        <v>305</v>
      </c>
      <c r="R3690" s="34">
        <f t="shared" si="60"/>
        <v>0.4200159398838364</v>
      </c>
    </row>
    <row r="3691" spans="16:18" x14ac:dyDescent="0.3">
      <c r="P3691" s="35">
        <v>27.54</v>
      </c>
      <c r="Q3691">
        <v>305</v>
      </c>
      <c r="R3691" s="34">
        <f t="shared" si="60"/>
        <v>0.42012979619716895</v>
      </c>
    </row>
    <row r="3692" spans="16:18" x14ac:dyDescent="0.3">
      <c r="P3692" s="35">
        <v>27.54</v>
      </c>
      <c r="Q3692">
        <v>305</v>
      </c>
      <c r="R3692" s="34">
        <f t="shared" si="60"/>
        <v>0.4202436525105015</v>
      </c>
    </row>
    <row r="3693" spans="16:18" x14ac:dyDescent="0.3">
      <c r="P3693" s="35">
        <v>27.55</v>
      </c>
      <c r="Q3693">
        <v>305</v>
      </c>
      <c r="R3693" s="34">
        <f t="shared" si="60"/>
        <v>0.42035750882383405</v>
      </c>
    </row>
    <row r="3694" spans="16:18" x14ac:dyDescent="0.3">
      <c r="P3694" s="35">
        <v>27.56</v>
      </c>
      <c r="Q3694">
        <v>305</v>
      </c>
      <c r="R3694" s="34">
        <f t="shared" si="60"/>
        <v>0.4204713651371666</v>
      </c>
    </row>
    <row r="3695" spans="16:18" x14ac:dyDescent="0.3">
      <c r="P3695" s="35">
        <v>27.56</v>
      </c>
      <c r="Q3695">
        <v>305</v>
      </c>
      <c r="R3695" s="34">
        <f t="shared" si="60"/>
        <v>0.42058522145049915</v>
      </c>
    </row>
    <row r="3696" spans="16:18" x14ac:dyDescent="0.3">
      <c r="P3696" s="35">
        <v>27.56</v>
      </c>
      <c r="Q3696">
        <v>305</v>
      </c>
      <c r="R3696" s="34">
        <f t="shared" si="60"/>
        <v>0.4206990777638317</v>
      </c>
    </row>
    <row r="3697" spans="16:18" x14ac:dyDescent="0.3">
      <c r="P3697" s="35">
        <v>27.56</v>
      </c>
      <c r="Q3697">
        <v>305</v>
      </c>
      <c r="R3697" s="34">
        <f t="shared" si="60"/>
        <v>0.42081293407716425</v>
      </c>
    </row>
    <row r="3698" spans="16:18" x14ac:dyDescent="0.3">
      <c r="P3698" s="35">
        <v>27.57</v>
      </c>
      <c r="Q3698">
        <v>305</v>
      </c>
      <c r="R3698" s="34">
        <f t="shared" si="60"/>
        <v>0.4209267903904968</v>
      </c>
    </row>
    <row r="3699" spans="16:18" x14ac:dyDescent="0.3">
      <c r="P3699" s="35">
        <v>27.57</v>
      </c>
      <c r="Q3699">
        <v>305</v>
      </c>
      <c r="R3699" s="34">
        <f t="shared" si="60"/>
        <v>0.42104064670382935</v>
      </c>
    </row>
    <row r="3700" spans="16:18" x14ac:dyDescent="0.3">
      <c r="P3700" s="35">
        <v>27.58</v>
      </c>
      <c r="Q3700">
        <v>305</v>
      </c>
      <c r="R3700" s="34">
        <f t="shared" si="60"/>
        <v>0.4211545030171619</v>
      </c>
    </row>
    <row r="3701" spans="16:18" x14ac:dyDescent="0.3">
      <c r="P3701" s="35">
        <v>27.58</v>
      </c>
      <c r="Q3701">
        <v>305</v>
      </c>
      <c r="R3701" s="34">
        <f t="shared" si="60"/>
        <v>0.42126835933049445</v>
      </c>
    </row>
    <row r="3702" spans="16:18" x14ac:dyDescent="0.3">
      <c r="P3702" s="35">
        <v>27.58</v>
      </c>
      <c r="Q3702">
        <v>305</v>
      </c>
      <c r="R3702" s="34">
        <f t="shared" si="60"/>
        <v>0.421382215643827</v>
      </c>
    </row>
    <row r="3703" spans="16:18" x14ac:dyDescent="0.3">
      <c r="P3703" s="35">
        <v>27.59</v>
      </c>
      <c r="Q3703">
        <v>305</v>
      </c>
      <c r="R3703" s="34">
        <f t="shared" si="60"/>
        <v>0.42149607195715955</v>
      </c>
    </row>
    <row r="3704" spans="16:18" x14ac:dyDescent="0.3">
      <c r="P3704" s="35">
        <v>27.59</v>
      </c>
      <c r="Q3704">
        <v>305</v>
      </c>
      <c r="R3704" s="34">
        <f t="shared" si="60"/>
        <v>0.4216099282704921</v>
      </c>
    </row>
    <row r="3705" spans="16:18" x14ac:dyDescent="0.3">
      <c r="P3705" s="35">
        <v>27.59</v>
      </c>
      <c r="Q3705">
        <v>305</v>
      </c>
      <c r="R3705" s="34">
        <f t="shared" si="60"/>
        <v>0.42172378458382465</v>
      </c>
    </row>
    <row r="3706" spans="16:18" x14ac:dyDescent="0.3">
      <c r="P3706" s="35">
        <v>27.59</v>
      </c>
      <c r="Q3706">
        <v>305</v>
      </c>
      <c r="R3706" s="34">
        <f t="shared" si="60"/>
        <v>0.4218376408971572</v>
      </c>
    </row>
    <row r="3707" spans="16:18" x14ac:dyDescent="0.3">
      <c r="P3707" s="35">
        <v>27.6</v>
      </c>
      <c r="Q3707">
        <v>305</v>
      </c>
      <c r="R3707" s="34">
        <f t="shared" si="60"/>
        <v>0.42195149721048975</v>
      </c>
    </row>
    <row r="3708" spans="16:18" x14ac:dyDescent="0.3">
      <c r="P3708" s="35">
        <v>27.6</v>
      </c>
      <c r="Q3708">
        <v>305</v>
      </c>
      <c r="R3708" s="34">
        <f t="shared" si="60"/>
        <v>0.4220653535238223</v>
      </c>
    </row>
    <row r="3709" spans="16:18" x14ac:dyDescent="0.3">
      <c r="P3709" s="35">
        <v>27.61</v>
      </c>
      <c r="Q3709">
        <v>305</v>
      </c>
      <c r="R3709" s="34">
        <f t="shared" si="60"/>
        <v>0.42217920983715485</v>
      </c>
    </row>
    <row r="3710" spans="16:18" x14ac:dyDescent="0.3">
      <c r="P3710" s="35">
        <v>27.61</v>
      </c>
      <c r="Q3710">
        <v>305</v>
      </c>
      <c r="R3710" s="34">
        <f t="shared" si="60"/>
        <v>0.4222930661504874</v>
      </c>
    </row>
    <row r="3711" spans="16:18" x14ac:dyDescent="0.3">
      <c r="P3711" s="35">
        <v>27.61</v>
      </c>
      <c r="Q3711">
        <v>305</v>
      </c>
      <c r="R3711" s="34">
        <f t="shared" si="60"/>
        <v>0.42240692246381994</v>
      </c>
    </row>
    <row r="3712" spans="16:18" x14ac:dyDescent="0.3">
      <c r="P3712" s="35">
        <v>27.62</v>
      </c>
      <c r="Q3712">
        <v>305</v>
      </c>
      <c r="R3712" s="34">
        <f t="shared" si="60"/>
        <v>0.42252077877715249</v>
      </c>
    </row>
    <row r="3713" spans="16:18" x14ac:dyDescent="0.3">
      <c r="P3713" s="35">
        <v>27.62</v>
      </c>
      <c r="Q3713">
        <v>305</v>
      </c>
      <c r="R3713" s="34">
        <f t="shared" si="60"/>
        <v>0.42263463509048504</v>
      </c>
    </row>
    <row r="3714" spans="16:18" x14ac:dyDescent="0.3">
      <c r="P3714" s="35">
        <v>27.63</v>
      </c>
      <c r="Q3714">
        <v>305</v>
      </c>
      <c r="R3714" s="34">
        <f t="shared" si="60"/>
        <v>0.42274849140381759</v>
      </c>
    </row>
    <row r="3715" spans="16:18" x14ac:dyDescent="0.3">
      <c r="P3715" s="35">
        <v>27.63</v>
      </c>
      <c r="Q3715">
        <v>305</v>
      </c>
      <c r="R3715" s="34">
        <f t="shared" si="60"/>
        <v>0.42286234771715014</v>
      </c>
    </row>
    <row r="3716" spans="16:18" x14ac:dyDescent="0.3">
      <c r="P3716" s="35">
        <v>27.63</v>
      </c>
      <c r="Q3716">
        <v>305</v>
      </c>
      <c r="R3716" s="34">
        <f t="shared" ref="R3716:R3779" si="61">R3715+R$2</f>
        <v>0.42297620403048269</v>
      </c>
    </row>
    <row r="3717" spans="16:18" x14ac:dyDescent="0.3">
      <c r="P3717" s="35">
        <v>27.63</v>
      </c>
      <c r="Q3717">
        <v>305</v>
      </c>
      <c r="R3717" s="34">
        <f t="shared" si="61"/>
        <v>0.42309006034381524</v>
      </c>
    </row>
    <row r="3718" spans="16:18" x14ac:dyDescent="0.3">
      <c r="P3718" s="35">
        <v>27.63</v>
      </c>
      <c r="Q3718">
        <v>305</v>
      </c>
      <c r="R3718" s="34">
        <f t="shared" si="61"/>
        <v>0.42320391665714779</v>
      </c>
    </row>
    <row r="3719" spans="16:18" x14ac:dyDescent="0.3">
      <c r="P3719" s="35">
        <v>27.63</v>
      </c>
      <c r="Q3719">
        <v>305</v>
      </c>
      <c r="R3719" s="34">
        <f t="shared" si="61"/>
        <v>0.42331777297048034</v>
      </c>
    </row>
    <row r="3720" spans="16:18" x14ac:dyDescent="0.3">
      <c r="P3720" s="35">
        <v>27.64</v>
      </c>
      <c r="Q3720">
        <v>305</v>
      </c>
      <c r="R3720" s="34">
        <f t="shared" si="61"/>
        <v>0.42343162928381289</v>
      </c>
    </row>
    <row r="3721" spans="16:18" x14ac:dyDescent="0.3">
      <c r="P3721" s="35">
        <v>27.64</v>
      </c>
      <c r="Q3721">
        <v>305</v>
      </c>
      <c r="R3721" s="34">
        <f t="shared" si="61"/>
        <v>0.42354548559714544</v>
      </c>
    </row>
    <row r="3722" spans="16:18" x14ac:dyDescent="0.3">
      <c r="P3722" s="35">
        <v>27.64</v>
      </c>
      <c r="Q3722">
        <v>305</v>
      </c>
      <c r="R3722" s="34">
        <f t="shared" si="61"/>
        <v>0.42365934191047799</v>
      </c>
    </row>
    <row r="3723" spans="16:18" x14ac:dyDescent="0.3">
      <c r="P3723" s="35">
        <v>27.64</v>
      </c>
      <c r="Q3723">
        <v>305</v>
      </c>
      <c r="R3723" s="34">
        <f t="shared" si="61"/>
        <v>0.42377319822381054</v>
      </c>
    </row>
    <row r="3724" spans="16:18" x14ac:dyDescent="0.3">
      <c r="P3724" s="35">
        <v>27.65</v>
      </c>
      <c r="Q3724">
        <v>305</v>
      </c>
      <c r="R3724" s="34">
        <f t="shared" si="61"/>
        <v>0.42388705453714309</v>
      </c>
    </row>
    <row r="3725" spans="16:18" x14ac:dyDescent="0.3">
      <c r="P3725" s="35">
        <v>27.65</v>
      </c>
      <c r="Q3725">
        <v>305</v>
      </c>
      <c r="R3725" s="34">
        <f t="shared" si="61"/>
        <v>0.42400091085047564</v>
      </c>
    </row>
    <row r="3726" spans="16:18" x14ac:dyDescent="0.3">
      <c r="P3726" s="35">
        <v>27.65</v>
      </c>
      <c r="Q3726">
        <v>305</v>
      </c>
      <c r="R3726" s="34">
        <f t="shared" si="61"/>
        <v>0.42411476716380819</v>
      </c>
    </row>
    <row r="3727" spans="16:18" x14ac:dyDescent="0.3">
      <c r="P3727" s="35">
        <v>27.66</v>
      </c>
      <c r="Q3727">
        <v>305</v>
      </c>
      <c r="R3727" s="34">
        <f t="shared" si="61"/>
        <v>0.42422862347714074</v>
      </c>
    </row>
    <row r="3728" spans="16:18" x14ac:dyDescent="0.3">
      <c r="P3728" s="35">
        <v>27.66</v>
      </c>
      <c r="Q3728">
        <v>305</v>
      </c>
      <c r="R3728" s="34">
        <f t="shared" si="61"/>
        <v>0.42434247979047329</v>
      </c>
    </row>
    <row r="3729" spans="16:18" x14ac:dyDescent="0.3">
      <c r="P3729" s="35">
        <v>27.66</v>
      </c>
      <c r="Q3729">
        <v>305</v>
      </c>
      <c r="R3729" s="34">
        <f t="shared" si="61"/>
        <v>0.42445633610380584</v>
      </c>
    </row>
    <row r="3730" spans="16:18" x14ac:dyDescent="0.3">
      <c r="P3730" s="35">
        <v>27.66</v>
      </c>
      <c r="Q3730">
        <v>305</v>
      </c>
      <c r="R3730" s="34">
        <f t="shared" si="61"/>
        <v>0.42457019241713839</v>
      </c>
    </row>
    <row r="3731" spans="16:18" x14ac:dyDescent="0.3">
      <c r="P3731" s="35">
        <v>27.67</v>
      </c>
      <c r="Q3731">
        <v>305</v>
      </c>
      <c r="R3731" s="34">
        <f t="shared" si="61"/>
        <v>0.42468404873047094</v>
      </c>
    </row>
    <row r="3732" spans="16:18" x14ac:dyDescent="0.3">
      <c r="P3732" s="35">
        <v>27.68</v>
      </c>
      <c r="Q3732">
        <v>305</v>
      </c>
      <c r="R3732" s="34">
        <f t="shared" si="61"/>
        <v>0.42479790504380349</v>
      </c>
    </row>
    <row r="3733" spans="16:18" x14ac:dyDescent="0.3">
      <c r="P3733" s="35">
        <v>27.68</v>
      </c>
      <c r="Q3733">
        <v>305</v>
      </c>
      <c r="R3733" s="34">
        <f t="shared" si="61"/>
        <v>0.42491176135713604</v>
      </c>
    </row>
    <row r="3734" spans="16:18" x14ac:dyDescent="0.3">
      <c r="P3734" s="35">
        <v>27.69</v>
      </c>
      <c r="Q3734">
        <v>305</v>
      </c>
      <c r="R3734" s="34">
        <f t="shared" si="61"/>
        <v>0.42502561767046859</v>
      </c>
    </row>
    <row r="3735" spans="16:18" x14ac:dyDescent="0.3">
      <c r="P3735" s="35">
        <v>27.69</v>
      </c>
      <c r="Q3735">
        <v>305</v>
      </c>
      <c r="R3735" s="34">
        <f t="shared" si="61"/>
        <v>0.42513947398380114</v>
      </c>
    </row>
    <row r="3736" spans="16:18" x14ac:dyDescent="0.3">
      <c r="P3736" s="35">
        <v>27.69</v>
      </c>
      <c r="Q3736">
        <v>305</v>
      </c>
      <c r="R3736" s="34">
        <f t="shared" si="61"/>
        <v>0.42525333029713369</v>
      </c>
    </row>
    <row r="3737" spans="16:18" x14ac:dyDescent="0.3">
      <c r="P3737" s="35">
        <v>27.69</v>
      </c>
      <c r="Q3737">
        <v>305</v>
      </c>
      <c r="R3737" s="34">
        <f t="shared" si="61"/>
        <v>0.42536718661046624</v>
      </c>
    </row>
    <row r="3738" spans="16:18" x14ac:dyDescent="0.3">
      <c r="P3738" s="35">
        <v>27.7</v>
      </c>
      <c r="Q3738">
        <v>305</v>
      </c>
      <c r="R3738" s="34">
        <f t="shared" si="61"/>
        <v>0.42548104292379879</v>
      </c>
    </row>
    <row r="3739" spans="16:18" x14ac:dyDescent="0.3">
      <c r="P3739" s="35">
        <v>27.71</v>
      </c>
      <c r="Q3739">
        <v>305</v>
      </c>
      <c r="R3739" s="34">
        <f t="shared" si="61"/>
        <v>0.42559489923713134</v>
      </c>
    </row>
    <row r="3740" spans="16:18" x14ac:dyDescent="0.3">
      <c r="P3740" s="35">
        <v>27.72</v>
      </c>
      <c r="Q3740">
        <v>305</v>
      </c>
      <c r="R3740" s="34">
        <f t="shared" si="61"/>
        <v>0.42570875555046389</v>
      </c>
    </row>
    <row r="3741" spans="16:18" x14ac:dyDescent="0.3">
      <c r="P3741" s="35">
        <v>27.72</v>
      </c>
      <c r="Q3741">
        <v>305</v>
      </c>
      <c r="R3741" s="34">
        <f t="shared" si="61"/>
        <v>0.42582261186379644</v>
      </c>
    </row>
    <row r="3742" spans="16:18" x14ac:dyDescent="0.3">
      <c r="P3742" s="35">
        <v>27.73</v>
      </c>
      <c r="Q3742">
        <v>305</v>
      </c>
      <c r="R3742" s="34">
        <f t="shared" si="61"/>
        <v>0.42593646817712899</v>
      </c>
    </row>
    <row r="3743" spans="16:18" x14ac:dyDescent="0.3">
      <c r="P3743" s="35">
        <v>27.73</v>
      </c>
      <c r="Q3743">
        <v>305</v>
      </c>
      <c r="R3743" s="34">
        <f t="shared" si="61"/>
        <v>0.42605032449046154</v>
      </c>
    </row>
    <row r="3744" spans="16:18" x14ac:dyDescent="0.3">
      <c r="P3744" s="35">
        <v>27.73</v>
      </c>
      <c r="Q3744">
        <v>305</v>
      </c>
      <c r="R3744" s="34">
        <f t="shared" si="61"/>
        <v>0.42616418080379409</v>
      </c>
    </row>
    <row r="3745" spans="16:18" x14ac:dyDescent="0.3">
      <c r="P3745" s="35">
        <v>27.74</v>
      </c>
      <c r="Q3745">
        <v>305</v>
      </c>
      <c r="R3745" s="34">
        <f t="shared" si="61"/>
        <v>0.42627803711712664</v>
      </c>
    </row>
    <row r="3746" spans="16:18" x14ac:dyDescent="0.3">
      <c r="P3746" s="35">
        <v>27.74</v>
      </c>
      <c r="Q3746">
        <v>305</v>
      </c>
      <c r="R3746" s="34">
        <f t="shared" si="61"/>
        <v>0.42639189343045919</v>
      </c>
    </row>
    <row r="3747" spans="16:18" x14ac:dyDescent="0.3">
      <c r="P3747" s="35">
        <v>27.74</v>
      </c>
      <c r="Q3747">
        <v>305</v>
      </c>
      <c r="R3747" s="34">
        <f t="shared" si="61"/>
        <v>0.42650574974379174</v>
      </c>
    </row>
    <row r="3748" spans="16:18" x14ac:dyDescent="0.3">
      <c r="P3748" s="35">
        <v>27.74</v>
      </c>
      <c r="Q3748">
        <v>305</v>
      </c>
      <c r="R3748" s="34">
        <f t="shared" si="61"/>
        <v>0.42661960605712429</v>
      </c>
    </row>
    <row r="3749" spans="16:18" x14ac:dyDescent="0.3">
      <c r="P3749" s="35">
        <v>27.75</v>
      </c>
      <c r="Q3749">
        <v>305</v>
      </c>
      <c r="R3749" s="34">
        <f t="shared" si="61"/>
        <v>0.42673346237045684</v>
      </c>
    </row>
    <row r="3750" spans="16:18" x14ac:dyDescent="0.3">
      <c r="P3750" s="35">
        <v>27.75</v>
      </c>
      <c r="Q3750">
        <v>305</v>
      </c>
      <c r="R3750" s="34">
        <f t="shared" si="61"/>
        <v>0.42684731868378939</v>
      </c>
    </row>
    <row r="3751" spans="16:18" x14ac:dyDescent="0.3">
      <c r="P3751" s="35">
        <v>27.75</v>
      </c>
      <c r="Q3751">
        <v>305</v>
      </c>
      <c r="R3751" s="34">
        <f t="shared" si="61"/>
        <v>0.42696117499712194</v>
      </c>
    </row>
    <row r="3752" spans="16:18" x14ac:dyDescent="0.3">
      <c r="P3752" s="35">
        <v>27.76</v>
      </c>
      <c r="Q3752">
        <v>305</v>
      </c>
      <c r="R3752" s="34">
        <f t="shared" si="61"/>
        <v>0.42707503131045449</v>
      </c>
    </row>
    <row r="3753" spans="16:18" x14ac:dyDescent="0.3">
      <c r="P3753" s="35">
        <v>27.76</v>
      </c>
      <c r="Q3753">
        <v>305</v>
      </c>
      <c r="R3753" s="34">
        <f t="shared" si="61"/>
        <v>0.42718888762378704</v>
      </c>
    </row>
    <row r="3754" spans="16:18" x14ac:dyDescent="0.3">
      <c r="P3754" s="35">
        <v>27.76</v>
      </c>
      <c r="Q3754">
        <v>305</v>
      </c>
      <c r="R3754" s="34">
        <f t="shared" si="61"/>
        <v>0.42730274393711959</v>
      </c>
    </row>
    <row r="3755" spans="16:18" x14ac:dyDescent="0.3">
      <c r="P3755" s="35">
        <v>27.77</v>
      </c>
      <c r="Q3755">
        <v>305</v>
      </c>
      <c r="R3755" s="34">
        <f t="shared" si="61"/>
        <v>0.42741660025045214</v>
      </c>
    </row>
    <row r="3756" spans="16:18" x14ac:dyDescent="0.3">
      <c r="P3756" s="35">
        <v>27.77</v>
      </c>
      <c r="Q3756">
        <v>305</v>
      </c>
      <c r="R3756" s="34">
        <f t="shared" si="61"/>
        <v>0.42753045656378469</v>
      </c>
    </row>
    <row r="3757" spans="16:18" x14ac:dyDescent="0.3">
      <c r="P3757" s="35">
        <v>27.77</v>
      </c>
      <c r="Q3757">
        <v>305</v>
      </c>
      <c r="R3757" s="34">
        <f t="shared" si="61"/>
        <v>0.42764431287711724</v>
      </c>
    </row>
    <row r="3758" spans="16:18" x14ac:dyDescent="0.3">
      <c r="P3758" s="35">
        <v>27.77</v>
      </c>
      <c r="Q3758">
        <v>305</v>
      </c>
      <c r="R3758" s="34">
        <f t="shared" si="61"/>
        <v>0.42775816919044979</v>
      </c>
    </row>
    <row r="3759" spans="16:18" x14ac:dyDescent="0.3">
      <c r="P3759" s="35">
        <v>27.78</v>
      </c>
      <c r="Q3759">
        <v>305</v>
      </c>
      <c r="R3759" s="34">
        <f t="shared" si="61"/>
        <v>0.42787202550378234</v>
      </c>
    </row>
    <row r="3760" spans="16:18" x14ac:dyDescent="0.3">
      <c r="P3760" s="35">
        <v>27.78</v>
      </c>
      <c r="Q3760">
        <v>305</v>
      </c>
      <c r="R3760" s="34">
        <f t="shared" si="61"/>
        <v>0.42798588181711489</v>
      </c>
    </row>
    <row r="3761" spans="16:18" x14ac:dyDescent="0.3">
      <c r="P3761" s="35">
        <v>27.78</v>
      </c>
      <c r="Q3761">
        <v>305</v>
      </c>
      <c r="R3761" s="34">
        <f t="shared" si="61"/>
        <v>0.42809973813044744</v>
      </c>
    </row>
    <row r="3762" spans="16:18" x14ac:dyDescent="0.3">
      <c r="P3762" s="35">
        <v>27.79</v>
      </c>
      <c r="Q3762">
        <v>305</v>
      </c>
      <c r="R3762" s="34">
        <f t="shared" si="61"/>
        <v>0.42821359444377999</v>
      </c>
    </row>
    <row r="3763" spans="16:18" x14ac:dyDescent="0.3">
      <c r="P3763" s="35">
        <v>27.79</v>
      </c>
      <c r="Q3763">
        <v>305</v>
      </c>
      <c r="R3763" s="34">
        <f t="shared" si="61"/>
        <v>0.42832745075711254</v>
      </c>
    </row>
    <row r="3764" spans="16:18" x14ac:dyDescent="0.3">
      <c r="P3764" s="35">
        <v>27.8</v>
      </c>
      <c r="Q3764">
        <v>305</v>
      </c>
      <c r="R3764" s="34">
        <f t="shared" si="61"/>
        <v>0.42844130707044509</v>
      </c>
    </row>
    <row r="3765" spans="16:18" x14ac:dyDescent="0.3">
      <c r="P3765" s="35">
        <v>27.8</v>
      </c>
      <c r="Q3765">
        <v>305</v>
      </c>
      <c r="R3765" s="34">
        <f t="shared" si="61"/>
        <v>0.42855516338377764</v>
      </c>
    </row>
    <row r="3766" spans="16:18" x14ac:dyDescent="0.3">
      <c r="P3766" s="35">
        <v>27.8</v>
      </c>
      <c r="Q3766">
        <v>305</v>
      </c>
      <c r="R3766" s="34">
        <f t="shared" si="61"/>
        <v>0.42866901969711019</v>
      </c>
    </row>
    <row r="3767" spans="16:18" x14ac:dyDescent="0.3">
      <c r="P3767" s="35">
        <v>27.81</v>
      </c>
      <c r="Q3767">
        <v>305</v>
      </c>
      <c r="R3767" s="34">
        <f t="shared" si="61"/>
        <v>0.42878287601044274</v>
      </c>
    </row>
    <row r="3768" spans="16:18" x14ac:dyDescent="0.3">
      <c r="P3768" s="35">
        <v>27.81</v>
      </c>
      <c r="Q3768">
        <v>305</v>
      </c>
      <c r="R3768" s="34">
        <f t="shared" si="61"/>
        <v>0.42889673232377529</v>
      </c>
    </row>
    <row r="3769" spans="16:18" x14ac:dyDescent="0.3">
      <c r="P3769" s="35">
        <v>27.81</v>
      </c>
      <c r="Q3769">
        <v>305</v>
      </c>
      <c r="R3769" s="34">
        <f t="shared" si="61"/>
        <v>0.42901058863710784</v>
      </c>
    </row>
    <row r="3770" spans="16:18" x14ac:dyDescent="0.3">
      <c r="P3770" s="35">
        <v>27.82</v>
      </c>
      <c r="Q3770">
        <v>305</v>
      </c>
      <c r="R3770" s="34">
        <f t="shared" si="61"/>
        <v>0.42912444495044039</v>
      </c>
    </row>
    <row r="3771" spans="16:18" x14ac:dyDescent="0.3">
      <c r="P3771" s="35">
        <v>27.82</v>
      </c>
      <c r="Q3771">
        <v>305</v>
      </c>
      <c r="R3771" s="34">
        <f t="shared" si="61"/>
        <v>0.42923830126377294</v>
      </c>
    </row>
    <row r="3772" spans="16:18" x14ac:dyDescent="0.3">
      <c r="P3772" s="35">
        <v>27.82</v>
      </c>
      <c r="Q3772">
        <v>305</v>
      </c>
      <c r="R3772" s="34">
        <f t="shared" si="61"/>
        <v>0.42935215757710549</v>
      </c>
    </row>
    <row r="3773" spans="16:18" x14ac:dyDescent="0.3">
      <c r="P3773" s="35">
        <v>27.82</v>
      </c>
      <c r="Q3773">
        <v>305</v>
      </c>
      <c r="R3773" s="34">
        <f t="shared" si="61"/>
        <v>0.42946601389043804</v>
      </c>
    </row>
    <row r="3774" spans="16:18" x14ac:dyDescent="0.3">
      <c r="P3774" s="35">
        <v>27.83</v>
      </c>
      <c r="Q3774">
        <v>305</v>
      </c>
      <c r="R3774" s="34">
        <f t="shared" si="61"/>
        <v>0.42957987020377059</v>
      </c>
    </row>
    <row r="3775" spans="16:18" x14ac:dyDescent="0.3">
      <c r="P3775" s="35">
        <v>27.83</v>
      </c>
      <c r="Q3775">
        <v>305</v>
      </c>
      <c r="R3775" s="34">
        <f t="shared" si="61"/>
        <v>0.42969372651710314</v>
      </c>
    </row>
    <row r="3776" spans="16:18" x14ac:dyDescent="0.3">
      <c r="P3776" s="35">
        <v>27.83</v>
      </c>
      <c r="Q3776">
        <v>305</v>
      </c>
      <c r="R3776" s="34">
        <f t="shared" si="61"/>
        <v>0.42980758283043569</v>
      </c>
    </row>
    <row r="3777" spans="16:18" x14ac:dyDescent="0.3">
      <c r="P3777" s="35">
        <v>27.83</v>
      </c>
      <c r="Q3777">
        <v>305</v>
      </c>
      <c r="R3777" s="34">
        <f t="shared" si="61"/>
        <v>0.42992143914376824</v>
      </c>
    </row>
    <row r="3778" spans="16:18" x14ac:dyDescent="0.3">
      <c r="P3778" s="35">
        <v>27.83</v>
      </c>
      <c r="Q3778">
        <v>305</v>
      </c>
      <c r="R3778" s="34">
        <f t="shared" si="61"/>
        <v>0.43003529545710079</v>
      </c>
    </row>
    <row r="3779" spans="16:18" x14ac:dyDescent="0.3">
      <c r="P3779" s="35">
        <v>27.84</v>
      </c>
      <c r="Q3779">
        <v>305</v>
      </c>
      <c r="R3779" s="34">
        <f t="shared" si="61"/>
        <v>0.43014915177043334</v>
      </c>
    </row>
    <row r="3780" spans="16:18" x14ac:dyDescent="0.3">
      <c r="P3780" s="35">
        <v>27.84</v>
      </c>
      <c r="Q3780">
        <v>305</v>
      </c>
      <c r="R3780" s="34">
        <f t="shared" ref="R3780:R3843" si="62">R3779+R$2</f>
        <v>0.43026300808376589</v>
      </c>
    </row>
    <row r="3781" spans="16:18" x14ac:dyDescent="0.3">
      <c r="P3781" s="35">
        <v>27.84</v>
      </c>
      <c r="Q3781">
        <v>305</v>
      </c>
      <c r="R3781" s="34">
        <f t="shared" si="62"/>
        <v>0.43037686439709844</v>
      </c>
    </row>
    <row r="3782" spans="16:18" x14ac:dyDescent="0.3">
      <c r="P3782" s="35">
        <v>27.85</v>
      </c>
      <c r="Q3782">
        <v>305</v>
      </c>
      <c r="R3782" s="34">
        <f t="shared" si="62"/>
        <v>0.43049072071043099</v>
      </c>
    </row>
    <row r="3783" spans="16:18" x14ac:dyDescent="0.3">
      <c r="P3783" s="35">
        <v>27.85</v>
      </c>
      <c r="Q3783">
        <v>305</v>
      </c>
      <c r="R3783" s="34">
        <f t="shared" si="62"/>
        <v>0.43060457702376354</v>
      </c>
    </row>
    <row r="3784" spans="16:18" x14ac:dyDescent="0.3">
      <c r="P3784" s="35">
        <v>27.85</v>
      </c>
      <c r="Q3784">
        <v>305</v>
      </c>
      <c r="R3784" s="34">
        <f t="shared" si="62"/>
        <v>0.43071843333709608</v>
      </c>
    </row>
    <row r="3785" spans="16:18" x14ac:dyDescent="0.3">
      <c r="P3785" s="35">
        <v>27.87</v>
      </c>
      <c r="Q3785">
        <v>305</v>
      </c>
      <c r="R3785" s="34">
        <f t="shared" si="62"/>
        <v>0.43083228965042863</v>
      </c>
    </row>
    <row r="3786" spans="16:18" x14ac:dyDescent="0.3">
      <c r="P3786" s="35">
        <v>27.87</v>
      </c>
      <c r="Q3786">
        <v>305</v>
      </c>
      <c r="R3786" s="34">
        <f t="shared" si="62"/>
        <v>0.43094614596376118</v>
      </c>
    </row>
    <row r="3787" spans="16:18" x14ac:dyDescent="0.3">
      <c r="P3787" s="35">
        <v>27.87</v>
      </c>
      <c r="Q3787">
        <v>305</v>
      </c>
      <c r="R3787" s="34">
        <f t="shared" si="62"/>
        <v>0.43106000227709373</v>
      </c>
    </row>
    <row r="3788" spans="16:18" x14ac:dyDescent="0.3">
      <c r="P3788" s="35">
        <v>27.87</v>
      </c>
      <c r="Q3788">
        <v>305</v>
      </c>
      <c r="R3788" s="34">
        <f t="shared" si="62"/>
        <v>0.43117385859042628</v>
      </c>
    </row>
    <row r="3789" spans="16:18" x14ac:dyDescent="0.3">
      <c r="P3789" s="35">
        <v>27.87</v>
      </c>
      <c r="Q3789">
        <v>305</v>
      </c>
      <c r="R3789" s="34">
        <f t="shared" si="62"/>
        <v>0.43128771490375883</v>
      </c>
    </row>
    <row r="3790" spans="16:18" x14ac:dyDescent="0.3">
      <c r="P3790" s="35">
        <v>27.87</v>
      </c>
      <c r="Q3790">
        <v>305</v>
      </c>
      <c r="R3790" s="34">
        <f t="shared" si="62"/>
        <v>0.43140157121709138</v>
      </c>
    </row>
    <row r="3791" spans="16:18" x14ac:dyDescent="0.3">
      <c r="P3791" s="35">
        <v>27.88</v>
      </c>
      <c r="Q3791">
        <v>305</v>
      </c>
      <c r="R3791" s="34">
        <f t="shared" si="62"/>
        <v>0.43151542753042393</v>
      </c>
    </row>
    <row r="3792" spans="16:18" x14ac:dyDescent="0.3">
      <c r="P3792" s="35">
        <v>27.88</v>
      </c>
      <c r="Q3792">
        <v>305</v>
      </c>
      <c r="R3792" s="34">
        <f t="shared" si="62"/>
        <v>0.43162928384375648</v>
      </c>
    </row>
    <row r="3793" spans="16:18" x14ac:dyDescent="0.3">
      <c r="P3793" s="35">
        <v>27.88</v>
      </c>
      <c r="Q3793">
        <v>305</v>
      </c>
      <c r="R3793" s="34">
        <f t="shared" si="62"/>
        <v>0.43174314015708903</v>
      </c>
    </row>
    <row r="3794" spans="16:18" x14ac:dyDescent="0.3">
      <c r="P3794" s="35">
        <v>27.89</v>
      </c>
      <c r="Q3794">
        <v>305</v>
      </c>
      <c r="R3794" s="34">
        <f t="shared" si="62"/>
        <v>0.43185699647042158</v>
      </c>
    </row>
    <row r="3795" spans="16:18" x14ac:dyDescent="0.3">
      <c r="P3795" s="35">
        <v>27.89</v>
      </c>
      <c r="Q3795">
        <v>305</v>
      </c>
      <c r="R3795" s="34">
        <f t="shared" si="62"/>
        <v>0.43197085278375413</v>
      </c>
    </row>
    <row r="3796" spans="16:18" x14ac:dyDescent="0.3">
      <c r="P3796" s="35">
        <v>27.9</v>
      </c>
      <c r="Q3796">
        <v>305</v>
      </c>
      <c r="R3796" s="34">
        <f t="shared" si="62"/>
        <v>0.43208470909708668</v>
      </c>
    </row>
    <row r="3797" spans="16:18" x14ac:dyDescent="0.3">
      <c r="P3797" s="35">
        <v>27.9</v>
      </c>
      <c r="Q3797">
        <v>305</v>
      </c>
      <c r="R3797" s="34">
        <f t="shared" si="62"/>
        <v>0.43219856541041923</v>
      </c>
    </row>
    <row r="3798" spans="16:18" x14ac:dyDescent="0.3">
      <c r="P3798" s="35">
        <v>27.91</v>
      </c>
      <c r="Q3798">
        <v>305</v>
      </c>
      <c r="R3798" s="34">
        <f t="shared" si="62"/>
        <v>0.43231242172375178</v>
      </c>
    </row>
    <row r="3799" spans="16:18" x14ac:dyDescent="0.3">
      <c r="P3799" s="35">
        <v>27.92</v>
      </c>
      <c r="Q3799">
        <v>305</v>
      </c>
      <c r="R3799" s="34">
        <f t="shared" si="62"/>
        <v>0.43242627803708433</v>
      </c>
    </row>
    <row r="3800" spans="16:18" x14ac:dyDescent="0.3">
      <c r="P3800" s="35">
        <v>27.93</v>
      </c>
      <c r="Q3800">
        <v>305</v>
      </c>
      <c r="R3800" s="34">
        <f t="shared" si="62"/>
        <v>0.43254013435041688</v>
      </c>
    </row>
    <row r="3801" spans="16:18" x14ac:dyDescent="0.3">
      <c r="P3801" s="35">
        <v>27.94</v>
      </c>
      <c r="Q3801">
        <v>305</v>
      </c>
      <c r="R3801" s="34">
        <f t="shared" si="62"/>
        <v>0.43265399066374943</v>
      </c>
    </row>
    <row r="3802" spans="16:18" x14ac:dyDescent="0.3">
      <c r="P3802" s="35">
        <v>27.94</v>
      </c>
      <c r="Q3802">
        <v>305</v>
      </c>
      <c r="R3802" s="34">
        <f t="shared" si="62"/>
        <v>0.43276784697708198</v>
      </c>
    </row>
    <row r="3803" spans="16:18" x14ac:dyDescent="0.3">
      <c r="P3803" s="35">
        <v>27.94</v>
      </c>
      <c r="Q3803">
        <v>305</v>
      </c>
      <c r="R3803" s="34">
        <f t="shared" si="62"/>
        <v>0.43288170329041453</v>
      </c>
    </row>
    <row r="3804" spans="16:18" x14ac:dyDescent="0.3">
      <c r="P3804" s="35">
        <v>27.94</v>
      </c>
      <c r="Q3804">
        <v>305</v>
      </c>
      <c r="R3804" s="34">
        <f t="shared" si="62"/>
        <v>0.43299555960374708</v>
      </c>
    </row>
    <row r="3805" spans="16:18" x14ac:dyDescent="0.3">
      <c r="P3805" s="35">
        <v>27.95</v>
      </c>
      <c r="Q3805">
        <v>305</v>
      </c>
      <c r="R3805" s="34">
        <f t="shared" si="62"/>
        <v>0.43310941591707963</v>
      </c>
    </row>
    <row r="3806" spans="16:18" x14ac:dyDescent="0.3">
      <c r="P3806" s="35">
        <v>27.95</v>
      </c>
      <c r="Q3806">
        <v>305</v>
      </c>
      <c r="R3806" s="34">
        <f t="shared" si="62"/>
        <v>0.43322327223041218</v>
      </c>
    </row>
    <row r="3807" spans="16:18" x14ac:dyDescent="0.3">
      <c r="P3807" s="35">
        <v>27.97</v>
      </c>
      <c r="Q3807">
        <v>305</v>
      </c>
      <c r="R3807" s="34">
        <f t="shared" si="62"/>
        <v>0.43333712854374473</v>
      </c>
    </row>
    <row r="3808" spans="16:18" x14ac:dyDescent="0.3">
      <c r="P3808" s="35">
        <v>27.97</v>
      </c>
      <c r="Q3808">
        <v>305</v>
      </c>
      <c r="R3808" s="34">
        <f t="shared" si="62"/>
        <v>0.43345098485707728</v>
      </c>
    </row>
    <row r="3809" spans="16:18" x14ac:dyDescent="0.3">
      <c r="P3809" s="35">
        <v>27.97</v>
      </c>
      <c r="Q3809">
        <v>305</v>
      </c>
      <c r="R3809" s="34">
        <f t="shared" si="62"/>
        <v>0.43356484117040983</v>
      </c>
    </row>
    <row r="3810" spans="16:18" x14ac:dyDescent="0.3">
      <c r="P3810" s="35">
        <v>27.97</v>
      </c>
      <c r="Q3810">
        <v>305</v>
      </c>
      <c r="R3810" s="34">
        <f t="shared" si="62"/>
        <v>0.43367869748374238</v>
      </c>
    </row>
    <row r="3811" spans="16:18" x14ac:dyDescent="0.3">
      <c r="P3811" s="35">
        <v>27.97</v>
      </c>
      <c r="Q3811">
        <v>305</v>
      </c>
      <c r="R3811" s="34">
        <f t="shared" si="62"/>
        <v>0.43379255379707493</v>
      </c>
    </row>
    <row r="3812" spans="16:18" x14ac:dyDescent="0.3">
      <c r="P3812" s="35">
        <v>27.97</v>
      </c>
      <c r="Q3812">
        <v>305</v>
      </c>
      <c r="R3812" s="34">
        <f t="shared" si="62"/>
        <v>0.43390641011040748</v>
      </c>
    </row>
    <row r="3813" spans="16:18" x14ac:dyDescent="0.3">
      <c r="P3813" s="35">
        <v>27.97</v>
      </c>
      <c r="Q3813">
        <v>305</v>
      </c>
      <c r="R3813" s="34">
        <f t="shared" si="62"/>
        <v>0.43402026642374003</v>
      </c>
    </row>
    <row r="3814" spans="16:18" x14ac:dyDescent="0.3">
      <c r="P3814" s="35">
        <v>27.98</v>
      </c>
      <c r="Q3814">
        <v>305</v>
      </c>
      <c r="R3814" s="34">
        <f t="shared" si="62"/>
        <v>0.43413412273707258</v>
      </c>
    </row>
    <row r="3815" spans="16:18" x14ac:dyDescent="0.3">
      <c r="P3815" s="35">
        <v>27.99</v>
      </c>
      <c r="Q3815">
        <v>305</v>
      </c>
      <c r="R3815" s="34">
        <f t="shared" si="62"/>
        <v>0.43424797905040513</v>
      </c>
    </row>
    <row r="3816" spans="16:18" x14ac:dyDescent="0.3">
      <c r="P3816" s="35">
        <v>28</v>
      </c>
      <c r="Q3816">
        <v>305</v>
      </c>
      <c r="R3816" s="34">
        <f t="shared" si="62"/>
        <v>0.43436183536373768</v>
      </c>
    </row>
    <row r="3817" spans="16:18" x14ac:dyDescent="0.3">
      <c r="P3817" s="35">
        <v>28</v>
      </c>
      <c r="Q3817">
        <v>305</v>
      </c>
      <c r="R3817" s="34">
        <f t="shared" si="62"/>
        <v>0.43447569167707023</v>
      </c>
    </row>
    <row r="3818" spans="16:18" x14ac:dyDescent="0.3">
      <c r="P3818" s="35">
        <v>28</v>
      </c>
      <c r="Q3818">
        <v>305</v>
      </c>
      <c r="R3818" s="34">
        <f t="shared" si="62"/>
        <v>0.43458954799040278</v>
      </c>
    </row>
    <row r="3819" spans="16:18" x14ac:dyDescent="0.3">
      <c r="P3819" s="35">
        <v>28</v>
      </c>
      <c r="Q3819">
        <v>305</v>
      </c>
      <c r="R3819" s="34">
        <f t="shared" si="62"/>
        <v>0.43470340430373533</v>
      </c>
    </row>
    <row r="3820" spans="16:18" x14ac:dyDescent="0.3">
      <c r="P3820" s="35">
        <v>28</v>
      </c>
      <c r="Q3820">
        <v>305</v>
      </c>
      <c r="R3820" s="34">
        <f t="shared" si="62"/>
        <v>0.43481726061706788</v>
      </c>
    </row>
    <row r="3821" spans="16:18" x14ac:dyDescent="0.3">
      <c r="P3821" s="35">
        <v>28</v>
      </c>
      <c r="Q3821">
        <v>305</v>
      </c>
      <c r="R3821" s="34">
        <f t="shared" si="62"/>
        <v>0.43493111693040043</v>
      </c>
    </row>
    <row r="3822" spans="16:18" x14ac:dyDescent="0.3">
      <c r="P3822" s="35">
        <v>28.01</v>
      </c>
      <c r="Q3822">
        <v>305</v>
      </c>
      <c r="R3822" s="34">
        <f t="shared" si="62"/>
        <v>0.43504497324373298</v>
      </c>
    </row>
    <row r="3823" spans="16:18" x14ac:dyDescent="0.3">
      <c r="P3823" s="35">
        <v>28.02</v>
      </c>
      <c r="Q3823">
        <v>305</v>
      </c>
      <c r="R3823" s="34">
        <f t="shared" si="62"/>
        <v>0.43515882955706553</v>
      </c>
    </row>
    <row r="3824" spans="16:18" x14ac:dyDescent="0.3">
      <c r="P3824" s="35">
        <v>28.02</v>
      </c>
      <c r="Q3824">
        <v>305</v>
      </c>
      <c r="R3824" s="34">
        <f t="shared" si="62"/>
        <v>0.43527268587039808</v>
      </c>
    </row>
    <row r="3825" spans="16:18" x14ac:dyDescent="0.3">
      <c r="P3825" s="35">
        <v>28.02</v>
      </c>
      <c r="Q3825">
        <v>305</v>
      </c>
      <c r="R3825" s="34">
        <f t="shared" si="62"/>
        <v>0.43538654218373063</v>
      </c>
    </row>
    <row r="3826" spans="16:18" x14ac:dyDescent="0.3">
      <c r="P3826" s="35">
        <v>28.02</v>
      </c>
      <c r="Q3826">
        <v>305</v>
      </c>
      <c r="R3826" s="34">
        <f t="shared" si="62"/>
        <v>0.43550039849706318</v>
      </c>
    </row>
    <row r="3827" spans="16:18" x14ac:dyDescent="0.3">
      <c r="P3827" s="35">
        <v>28.03</v>
      </c>
      <c r="Q3827">
        <v>305</v>
      </c>
      <c r="R3827" s="34">
        <f t="shared" si="62"/>
        <v>0.43561425481039573</v>
      </c>
    </row>
    <row r="3828" spans="16:18" x14ac:dyDescent="0.3">
      <c r="P3828" s="35">
        <v>28.04</v>
      </c>
      <c r="Q3828">
        <v>305</v>
      </c>
      <c r="R3828" s="34">
        <f t="shared" si="62"/>
        <v>0.43572811112372828</v>
      </c>
    </row>
    <row r="3829" spans="16:18" x14ac:dyDescent="0.3">
      <c r="P3829" s="35">
        <v>28.05</v>
      </c>
      <c r="Q3829">
        <v>305</v>
      </c>
      <c r="R3829" s="34">
        <f t="shared" si="62"/>
        <v>0.43584196743706083</v>
      </c>
    </row>
    <row r="3830" spans="16:18" x14ac:dyDescent="0.3">
      <c r="P3830" s="35">
        <v>28.05</v>
      </c>
      <c r="Q3830">
        <v>305</v>
      </c>
      <c r="R3830" s="34">
        <f t="shared" si="62"/>
        <v>0.43595582375039338</v>
      </c>
    </row>
    <row r="3831" spans="16:18" x14ac:dyDescent="0.3">
      <c r="P3831" s="35">
        <v>28.05</v>
      </c>
      <c r="Q3831">
        <v>305</v>
      </c>
      <c r="R3831" s="34">
        <f t="shared" si="62"/>
        <v>0.43606968006372593</v>
      </c>
    </row>
    <row r="3832" spans="16:18" x14ac:dyDescent="0.3">
      <c r="P3832" s="35">
        <v>28.06</v>
      </c>
      <c r="Q3832">
        <v>305</v>
      </c>
      <c r="R3832" s="34">
        <f t="shared" si="62"/>
        <v>0.43618353637705848</v>
      </c>
    </row>
    <row r="3833" spans="16:18" x14ac:dyDescent="0.3">
      <c r="P3833" s="35">
        <v>28.07</v>
      </c>
      <c r="Q3833">
        <v>305</v>
      </c>
      <c r="R3833" s="34">
        <f t="shared" si="62"/>
        <v>0.43629739269039103</v>
      </c>
    </row>
    <row r="3834" spans="16:18" x14ac:dyDescent="0.3">
      <c r="P3834" s="35">
        <v>28.07</v>
      </c>
      <c r="Q3834">
        <v>305</v>
      </c>
      <c r="R3834" s="34">
        <f t="shared" si="62"/>
        <v>0.43641124900372358</v>
      </c>
    </row>
    <row r="3835" spans="16:18" x14ac:dyDescent="0.3">
      <c r="P3835" s="35">
        <v>28.07</v>
      </c>
      <c r="Q3835">
        <v>305</v>
      </c>
      <c r="R3835" s="34">
        <f t="shared" si="62"/>
        <v>0.43652510531705613</v>
      </c>
    </row>
    <row r="3836" spans="16:18" x14ac:dyDescent="0.3">
      <c r="P3836" s="35">
        <v>28.08</v>
      </c>
      <c r="Q3836">
        <v>305</v>
      </c>
      <c r="R3836" s="34">
        <f t="shared" si="62"/>
        <v>0.43663896163038868</v>
      </c>
    </row>
    <row r="3837" spans="16:18" x14ac:dyDescent="0.3">
      <c r="P3837" s="35">
        <v>28.08</v>
      </c>
      <c r="Q3837">
        <v>305</v>
      </c>
      <c r="R3837" s="34">
        <f t="shared" si="62"/>
        <v>0.43675281794372123</v>
      </c>
    </row>
    <row r="3838" spans="16:18" x14ac:dyDescent="0.3">
      <c r="P3838" s="35">
        <v>28.08</v>
      </c>
      <c r="Q3838">
        <v>305</v>
      </c>
      <c r="R3838" s="34">
        <f t="shared" si="62"/>
        <v>0.43686667425705378</v>
      </c>
    </row>
    <row r="3839" spans="16:18" x14ac:dyDescent="0.3">
      <c r="P3839" s="35">
        <v>28.09</v>
      </c>
      <c r="Q3839">
        <v>305</v>
      </c>
      <c r="R3839" s="34">
        <f t="shared" si="62"/>
        <v>0.43698053057038633</v>
      </c>
    </row>
    <row r="3840" spans="16:18" x14ac:dyDescent="0.3">
      <c r="P3840" s="35">
        <v>28.09</v>
      </c>
      <c r="Q3840">
        <v>305</v>
      </c>
      <c r="R3840" s="34">
        <f t="shared" si="62"/>
        <v>0.43709438688371888</v>
      </c>
    </row>
    <row r="3841" spans="16:18" x14ac:dyDescent="0.3">
      <c r="P3841" s="35">
        <v>28.09</v>
      </c>
      <c r="Q3841">
        <v>305</v>
      </c>
      <c r="R3841" s="34">
        <f t="shared" si="62"/>
        <v>0.43720824319705143</v>
      </c>
    </row>
    <row r="3842" spans="16:18" x14ac:dyDescent="0.3">
      <c r="P3842" s="35">
        <v>28.09</v>
      </c>
      <c r="Q3842">
        <v>305</v>
      </c>
      <c r="R3842" s="34">
        <f t="shared" si="62"/>
        <v>0.43732209951038398</v>
      </c>
    </row>
    <row r="3843" spans="16:18" x14ac:dyDescent="0.3">
      <c r="P3843" s="35">
        <v>28.09</v>
      </c>
      <c r="Q3843">
        <v>305</v>
      </c>
      <c r="R3843" s="34">
        <f t="shared" si="62"/>
        <v>0.43743595582371653</v>
      </c>
    </row>
    <row r="3844" spans="16:18" x14ac:dyDescent="0.3">
      <c r="P3844" s="35">
        <v>28.09</v>
      </c>
      <c r="Q3844">
        <v>305</v>
      </c>
      <c r="R3844" s="34">
        <f t="shared" ref="R3844:R3907" si="63">R3843+R$2</f>
        <v>0.43754981213704908</v>
      </c>
    </row>
    <row r="3845" spans="16:18" x14ac:dyDescent="0.3">
      <c r="P3845" s="35">
        <v>28.1</v>
      </c>
      <c r="Q3845">
        <v>305</v>
      </c>
      <c r="R3845" s="34">
        <f t="shared" si="63"/>
        <v>0.43766366845038163</v>
      </c>
    </row>
    <row r="3846" spans="16:18" x14ac:dyDescent="0.3">
      <c r="P3846" s="35">
        <v>28.1</v>
      </c>
      <c r="Q3846">
        <v>305</v>
      </c>
      <c r="R3846" s="34">
        <f t="shared" si="63"/>
        <v>0.43777752476371418</v>
      </c>
    </row>
    <row r="3847" spans="16:18" x14ac:dyDescent="0.3">
      <c r="P3847" s="35">
        <v>28.11</v>
      </c>
      <c r="Q3847">
        <v>305</v>
      </c>
      <c r="R3847" s="34">
        <f t="shared" si="63"/>
        <v>0.43789138107704673</v>
      </c>
    </row>
    <row r="3848" spans="16:18" x14ac:dyDescent="0.3">
      <c r="P3848" s="35">
        <v>28.12</v>
      </c>
      <c r="Q3848">
        <v>305</v>
      </c>
      <c r="R3848" s="34">
        <f t="shared" si="63"/>
        <v>0.43800523739037928</v>
      </c>
    </row>
    <row r="3849" spans="16:18" x14ac:dyDescent="0.3">
      <c r="P3849" s="35">
        <v>28.12</v>
      </c>
      <c r="Q3849">
        <v>305</v>
      </c>
      <c r="R3849" s="34">
        <f t="shared" si="63"/>
        <v>0.43811909370371183</v>
      </c>
    </row>
    <row r="3850" spans="16:18" x14ac:dyDescent="0.3">
      <c r="P3850" s="35">
        <v>28.13</v>
      </c>
      <c r="Q3850">
        <v>305</v>
      </c>
      <c r="R3850" s="34">
        <f t="shared" si="63"/>
        <v>0.43823295001704438</v>
      </c>
    </row>
    <row r="3851" spans="16:18" x14ac:dyDescent="0.3">
      <c r="P3851" s="35">
        <v>28.13</v>
      </c>
      <c r="Q3851">
        <v>305</v>
      </c>
      <c r="R3851" s="34">
        <f t="shared" si="63"/>
        <v>0.43834680633037693</v>
      </c>
    </row>
    <row r="3852" spans="16:18" x14ac:dyDescent="0.3">
      <c r="P3852" s="35">
        <v>28.14</v>
      </c>
      <c r="Q3852">
        <v>305</v>
      </c>
      <c r="R3852" s="34">
        <f t="shared" si="63"/>
        <v>0.43846066264370948</v>
      </c>
    </row>
    <row r="3853" spans="16:18" x14ac:dyDescent="0.3">
      <c r="P3853" s="35">
        <v>28.14</v>
      </c>
      <c r="Q3853">
        <v>305</v>
      </c>
      <c r="R3853" s="34">
        <f t="shared" si="63"/>
        <v>0.43857451895704203</v>
      </c>
    </row>
    <row r="3854" spans="16:18" x14ac:dyDescent="0.3">
      <c r="P3854" s="35">
        <v>28.14</v>
      </c>
      <c r="Q3854">
        <v>305</v>
      </c>
      <c r="R3854" s="34">
        <f t="shared" si="63"/>
        <v>0.43868837527037458</v>
      </c>
    </row>
    <row r="3855" spans="16:18" x14ac:dyDescent="0.3">
      <c r="P3855" s="35">
        <v>28.14</v>
      </c>
      <c r="Q3855">
        <v>305</v>
      </c>
      <c r="R3855" s="34">
        <f t="shared" si="63"/>
        <v>0.43880223158370713</v>
      </c>
    </row>
    <row r="3856" spans="16:18" x14ac:dyDescent="0.3">
      <c r="P3856" s="35">
        <v>28.14</v>
      </c>
      <c r="Q3856">
        <v>305</v>
      </c>
      <c r="R3856" s="34">
        <f t="shared" si="63"/>
        <v>0.43891608789703968</v>
      </c>
    </row>
    <row r="3857" spans="16:18" x14ac:dyDescent="0.3">
      <c r="P3857" s="35">
        <v>28.14</v>
      </c>
      <c r="Q3857">
        <v>305</v>
      </c>
      <c r="R3857" s="34">
        <f t="shared" si="63"/>
        <v>0.43902994421037222</v>
      </c>
    </row>
    <row r="3858" spans="16:18" x14ac:dyDescent="0.3">
      <c r="P3858" s="35">
        <v>28.14</v>
      </c>
      <c r="Q3858">
        <v>305</v>
      </c>
      <c r="R3858" s="34">
        <f t="shared" si="63"/>
        <v>0.43914380052370477</v>
      </c>
    </row>
    <row r="3859" spans="16:18" x14ac:dyDescent="0.3">
      <c r="P3859" s="35">
        <v>28.14</v>
      </c>
      <c r="Q3859">
        <v>305</v>
      </c>
      <c r="R3859" s="34">
        <f t="shared" si="63"/>
        <v>0.43925765683703732</v>
      </c>
    </row>
    <row r="3860" spans="16:18" x14ac:dyDescent="0.3">
      <c r="P3860" s="35">
        <v>28.15</v>
      </c>
      <c r="Q3860">
        <v>305</v>
      </c>
      <c r="R3860" s="34">
        <f t="shared" si="63"/>
        <v>0.43937151315036987</v>
      </c>
    </row>
    <row r="3861" spans="16:18" x14ac:dyDescent="0.3">
      <c r="P3861" s="35">
        <v>28.15</v>
      </c>
      <c r="Q3861">
        <v>305</v>
      </c>
      <c r="R3861" s="34">
        <f t="shared" si="63"/>
        <v>0.43948536946370242</v>
      </c>
    </row>
    <row r="3862" spans="16:18" x14ac:dyDescent="0.3">
      <c r="P3862" s="35">
        <v>28.17</v>
      </c>
      <c r="Q3862">
        <v>305</v>
      </c>
      <c r="R3862" s="34">
        <f t="shared" si="63"/>
        <v>0.43959922577703497</v>
      </c>
    </row>
    <row r="3863" spans="16:18" x14ac:dyDescent="0.3">
      <c r="P3863" s="35">
        <v>28.17</v>
      </c>
      <c r="Q3863">
        <v>305</v>
      </c>
      <c r="R3863" s="34">
        <f t="shared" si="63"/>
        <v>0.43971308209036752</v>
      </c>
    </row>
    <row r="3864" spans="16:18" x14ac:dyDescent="0.3">
      <c r="P3864" s="35">
        <v>28.17</v>
      </c>
      <c r="Q3864">
        <v>305</v>
      </c>
      <c r="R3864" s="34">
        <f t="shared" si="63"/>
        <v>0.43982693840370007</v>
      </c>
    </row>
    <row r="3865" spans="16:18" x14ac:dyDescent="0.3">
      <c r="P3865" s="35">
        <v>28.17</v>
      </c>
      <c r="Q3865">
        <v>305</v>
      </c>
      <c r="R3865" s="34">
        <f t="shared" si="63"/>
        <v>0.43994079471703262</v>
      </c>
    </row>
    <row r="3866" spans="16:18" x14ac:dyDescent="0.3">
      <c r="P3866" s="35">
        <v>28.17</v>
      </c>
      <c r="Q3866">
        <v>305</v>
      </c>
      <c r="R3866" s="34">
        <f t="shared" si="63"/>
        <v>0.44005465103036517</v>
      </c>
    </row>
    <row r="3867" spans="16:18" x14ac:dyDescent="0.3">
      <c r="P3867" s="35">
        <v>28.17</v>
      </c>
      <c r="Q3867">
        <v>305</v>
      </c>
      <c r="R3867" s="34">
        <f t="shared" si="63"/>
        <v>0.44016850734369772</v>
      </c>
    </row>
    <row r="3868" spans="16:18" x14ac:dyDescent="0.3">
      <c r="P3868" s="35">
        <v>28.18</v>
      </c>
      <c r="Q3868">
        <v>305</v>
      </c>
      <c r="R3868" s="34">
        <f t="shared" si="63"/>
        <v>0.44028236365703027</v>
      </c>
    </row>
    <row r="3869" spans="16:18" x14ac:dyDescent="0.3">
      <c r="P3869" s="35">
        <v>28.18</v>
      </c>
      <c r="Q3869">
        <v>305</v>
      </c>
      <c r="R3869" s="34">
        <f t="shared" si="63"/>
        <v>0.44039621997036282</v>
      </c>
    </row>
    <row r="3870" spans="16:18" x14ac:dyDescent="0.3">
      <c r="P3870" s="35">
        <v>28.18</v>
      </c>
      <c r="Q3870">
        <v>305</v>
      </c>
      <c r="R3870" s="34">
        <f t="shared" si="63"/>
        <v>0.44051007628369537</v>
      </c>
    </row>
    <row r="3871" spans="16:18" x14ac:dyDescent="0.3">
      <c r="P3871" s="35">
        <v>28.18</v>
      </c>
      <c r="Q3871">
        <v>305</v>
      </c>
      <c r="R3871" s="34">
        <f t="shared" si="63"/>
        <v>0.44062393259702792</v>
      </c>
    </row>
    <row r="3872" spans="16:18" x14ac:dyDescent="0.3">
      <c r="P3872" s="35">
        <v>28.19</v>
      </c>
      <c r="Q3872">
        <v>305</v>
      </c>
      <c r="R3872" s="34">
        <f t="shared" si="63"/>
        <v>0.44073778891036047</v>
      </c>
    </row>
    <row r="3873" spans="16:18" x14ac:dyDescent="0.3">
      <c r="P3873" s="35">
        <v>28.19</v>
      </c>
      <c r="Q3873">
        <v>305</v>
      </c>
      <c r="R3873" s="34">
        <f t="shared" si="63"/>
        <v>0.44085164522369302</v>
      </c>
    </row>
    <row r="3874" spans="16:18" x14ac:dyDescent="0.3">
      <c r="P3874" s="35">
        <v>28.19</v>
      </c>
      <c r="Q3874">
        <v>305</v>
      </c>
      <c r="R3874" s="34">
        <f t="shared" si="63"/>
        <v>0.44096550153702557</v>
      </c>
    </row>
    <row r="3875" spans="16:18" x14ac:dyDescent="0.3">
      <c r="P3875" s="35">
        <v>28.19</v>
      </c>
      <c r="Q3875">
        <v>305</v>
      </c>
      <c r="R3875" s="34">
        <f t="shared" si="63"/>
        <v>0.44107935785035812</v>
      </c>
    </row>
    <row r="3876" spans="16:18" x14ac:dyDescent="0.3">
      <c r="P3876" s="35">
        <v>28.2</v>
      </c>
      <c r="Q3876">
        <v>305</v>
      </c>
      <c r="R3876" s="34">
        <f t="shared" si="63"/>
        <v>0.44119321416369067</v>
      </c>
    </row>
    <row r="3877" spans="16:18" x14ac:dyDescent="0.3">
      <c r="P3877" s="35">
        <v>28.21</v>
      </c>
      <c r="Q3877">
        <v>305</v>
      </c>
      <c r="R3877" s="34">
        <f t="shared" si="63"/>
        <v>0.44130707047702322</v>
      </c>
    </row>
    <row r="3878" spans="16:18" x14ac:dyDescent="0.3">
      <c r="P3878" s="35">
        <v>28.21</v>
      </c>
      <c r="Q3878">
        <v>305</v>
      </c>
      <c r="R3878" s="34">
        <f t="shared" si="63"/>
        <v>0.44142092679035577</v>
      </c>
    </row>
    <row r="3879" spans="16:18" x14ac:dyDescent="0.3">
      <c r="P3879" s="35">
        <v>28.21</v>
      </c>
      <c r="Q3879">
        <v>305</v>
      </c>
      <c r="R3879" s="34">
        <f t="shared" si="63"/>
        <v>0.44153478310368832</v>
      </c>
    </row>
    <row r="3880" spans="16:18" x14ac:dyDescent="0.3">
      <c r="P3880" s="35">
        <v>28.21</v>
      </c>
      <c r="Q3880">
        <v>305</v>
      </c>
      <c r="R3880" s="34">
        <f t="shared" si="63"/>
        <v>0.44164863941702087</v>
      </c>
    </row>
    <row r="3881" spans="16:18" x14ac:dyDescent="0.3">
      <c r="P3881" s="35">
        <v>28.21</v>
      </c>
      <c r="Q3881">
        <v>305</v>
      </c>
      <c r="R3881" s="34">
        <f t="shared" si="63"/>
        <v>0.44176249573035342</v>
      </c>
    </row>
    <row r="3882" spans="16:18" x14ac:dyDescent="0.3">
      <c r="P3882" s="35">
        <v>28.21</v>
      </c>
      <c r="Q3882">
        <v>305</v>
      </c>
      <c r="R3882" s="34">
        <f t="shared" si="63"/>
        <v>0.44187635204368597</v>
      </c>
    </row>
    <row r="3883" spans="16:18" x14ac:dyDescent="0.3">
      <c r="P3883" s="35">
        <v>28.22</v>
      </c>
      <c r="Q3883">
        <v>305</v>
      </c>
      <c r="R3883" s="34">
        <f t="shared" si="63"/>
        <v>0.44199020835701852</v>
      </c>
    </row>
    <row r="3884" spans="16:18" x14ac:dyDescent="0.3">
      <c r="P3884" s="35">
        <v>28.22</v>
      </c>
      <c r="Q3884">
        <v>305</v>
      </c>
      <c r="R3884" s="34">
        <f t="shared" si="63"/>
        <v>0.44210406467035107</v>
      </c>
    </row>
    <row r="3885" spans="16:18" x14ac:dyDescent="0.3">
      <c r="P3885" s="35">
        <v>28.22</v>
      </c>
      <c r="Q3885">
        <v>305</v>
      </c>
      <c r="R3885" s="34">
        <f t="shared" si="63"/>
        <v>0.44221792098368362</v>
      </c>
    </row>
    <row r="3886" spans="16:18" x14ac:dyDescent="0.3">
      <c r="P3886" s="35">
        <v>28.22</v>
      </c>
      <c r="Q3886">
        <v>305</v>
      </c>
      <c r="R3886" s="34">
        <f t="shared" si="63"/>
        <v>0.44233177729701617</v>
      </c>
    </row>
    <row r="3887" spans="16:18" x14ac:dyDescent="0.3">
      <c r="P3887" s="35">
        <v>28.23</v>
      </c>
      <c r="Q3887">
        <v>305</v>
      </c>
      <c r="R3887" s="34">
        <f t="shared" si="63"/>
        <v>0.44244563361034872</v>
      </c>
    </row>
    <row r="3888" spans="16:18" x14ac:dyDescent="0.3">
      <c r="P3888" s="35">
        <v>28.24</v>
      </c>
      <c r="Q3888">
        <v>305</v>
      </c>
      <c r="R3888" s="34">
        <f t="shared" si="63"/>
        <v>0.44255948992368127</v>
      </c>
    </row>
    <row r="3889" spans="16:18" x14ac:dyDescent="0.3">
      <c r="P3889" s="35">
        <v>28.24</v>
      </c>
      <c r="Q3889">
        <v>305</v>
      </c>
      <c r="R3889" s="34">
        <f t="shared" si="63"/>
        <v>0.44267334623701382</v>
      </c>
    </row>
    <row r="3890" spans="16:18" x14ac:dyDescent="0.3">
      <c r="P3890" s="35">
        <v>28.25</v>
      </c>
      <c r="Q3890">
        <v>305</v>
      </c>
      <c r="R3890" s="34">
        <f t="shared" si="63"/>
        <v>0.44278720255034637</v>
      </c>
    </row>
    <row r="3891" spans="16:18" x14ac:dyDescent="0.3">
      <c r="P3891" s="35">
        <v>28.25</v>
      </c>
      <c r="Q3891">
        <v>305</v>
      </c>
      <c r="R3891" s="34">
        <f t="shared" si="63"/>
        <v>0.44290105886367892</v>
      </c>
    </row>
    <row r="3892" spans="16:18" x14ac:dyDescent="0.3">
      <c r="P3892" s="35">
        <v>28.25</v>
      </c>
      <c r="Q3892">
        <v>305</v>
      </c>
      <c r="R3892" s="34">
        <f t="shared" si="63"/>
        <v>0.44301491517701147</v>
      </c>
    </row>
    <row r="3893" spans="16:18" x14ac:dyDescent="0.3">
      <c r="P3893" s="35">
        <v>28.25</v>
      </c>
      <c r="Q3893">
        <v>305</v>
      </c>
      <c r="R3893" s="34">
        <f t="shared" si="63"/>
        <v>0.44312877149034402</v>
      </c>
    </row>
    <row r="3894" spans="16:18" x14ac:dyDescent="0.3">
      <c r="P3894" s="35">
        <v>28.26</v>
      </c>
      <c r="Q3894">
        <v>305</v>
      </c>
      <c r="R3894" s="34">
        <f t="shared" si="63"/>
        <v>0.44324262780367657</v>
      </c>
    </row>
    <row r="3895" spans="16:18" x14ac:dyDescent="0.3">
      <c r="P3895" s="35">
        <v>28.26</v>
      </c>
      <c r="Q3895">
        <v>305</v>
      </c>
      <c r="R3895" s="34">
        <f t="shared" si="63"/>
        <v>0.44335648411700912</v>
      </c>
    </row>
    <row r="3896" spans="16:18" x14ac:dyDescent="0.3">
      <c r="P3896" s="35">
        <v>28.26</v>
      </c>
      <c r="Q3896">
        <v>305</v>
      </c>
      <c r="R3896" s="34">
        <f t="shared" si="63"/>
        <v>0.44347034043034167</v>
      </c>
    </row>
    <row r="3897" spans="16:18" x14ac:dyDescent="0.3">
      <c r="P3897" s="35">
        <v>28.26</v>
      </c>
      <c r="Q3897">
        <v>305</v>
      </c>
      <c r="R3897" s="34">
        <f t="shared" si="63"/>
        <v>0.44358419674367422</v>
      </c>
    </row>
    <row r="3898" spans="16:18" x14ac:dyDescent="0.3">
      <c r="P3898" s="35">
        <v>28.27</v>
      </c>
      <c r="Q3898">
        <v>305</v>
      </c>
      <c r="R3898" s="34">
        <f t="shared" si="63"/>
        <v>0.44369805305700677</v>
      </c>
    </row>
    <row r="3899" spans="16:18" x14ac:dyDescent="0.3">
      <c r="P3899" s="35">
        <v>28.27</v>
      </c>
      <c r="Q3899">
        <v>305</v>
      </c>
      <c r="R3899" s="34">
        <f t="shared" si="63"/>
        <v>0.44381190937033932</v>
      </c>
    </row>
    <row r="3900" spans="16:18" x14ac:dyDescent="0.3">
      <c r="P3900" s="35">
        <v>28.28</v>
      </c>
      <c r="Q3900">
        <v>305</v>
      </c>
      <c r="R3900" s="34">
        <f t="shared" si="63"/>
        <v>0.44392576568367187</v>
      </c>
    </row>
    <row r="3901" spans="16:18" x14ac:dyDescent="0.3">
      <c r="P3901" s="35">
        <v>28.28</v>
      </c>
      <c r="Q3901">
        <v>305</v>
      </c>
      <c r="R3901" s="34">
        <f t="shared" si="63"/>
        <v>0.44403962199700442</v>
      </c>
    </row>
    <row r="3902" spans="16:18" x14ac:dyDescent="0.3">
      <c r="P3902" s="35">
        <v>28.28</v>
      </c>
      <c r="Q3902">
        <v>305</v>
      </c>
      <c r="R3902" s="34">
        <f t="shared" si="63"/>
        <v>0.44415347831033697</v>
      </c>
    </row>
    <row r="3903" spans="16:18" x14ac:dyDescent="0.3">
      <c r="P3903" s="35">
        <v>28.28</v>
      </c>
      <c r="Q3903">
        <v>305</v>
      </c>
      <c r="R3903" s="34">
        <f t="shared" si="63"/>
        <v>0.44426733462366952</v>
      </c>
    </row>
    <row r="3904" spans="16:18" x14ac:dyDescent="0.3">
      <c r="P3904" s="35">
        <v>28.29</v>
      </c>
      <c r="Q3904">
        <v>305</v>
      </c>
      <c r="R3904" s="34">
        <f t="shared" si="63"/>
        <v>0.44438119093700207</v>
      </c>
    </row>
    <row r="3905" spans="16:18" x14ac:dyDescent="0.3">
      <c r="P3905" s="35">
        <v>28.29</v>
      </c>
      <c r="Q3905">
        <v>305</v>
      </c>
      <c r="R3905" s="34">
        <f t="shared" si="63"/>
        <v>0.44449504725033462</v>
      </c>
    </row>
    <row r="3906" spans="16:18" x14ac:dyDescent="0.3">
      <c r="P3906" s="35">
        <v>28.3</v>
      </c>
      <c r="Q3906">
        <v>305</v>
      </c>
      <c r="R3906" s="34">
        <f t="shared" si="63"/>
        <v>0.44460890356366717</v>
      </c>
    </row>
    <row r="3907" spans="16:18" x14ac:dyDescent="0.3">
      <c r="P3907" s="35">
        <v>28.3</v>
      </c>
      <c r="Q3907">
        <v>305</v>
      </c>
      <c r="R3907" s="34">
        <f t="shared" si="63"/>
        <v>0.44472275987699972</v>
      </c>
    </row>
    <row r="3908" spans="16:18" x14ac:dyDescent="0.3">
      <c r="P3908" s="35">
        <v>28.3</v>
      </c>
      <c r="Q3908">
        <v>305</v>
      </c>
      <c r="R3908" s="34">
        <f t="shared" ref="R3908:R3971" si="64">R3907+R$2</f>
        <v>0.44483661619033227</v>
      </c>
    </row>
    <row r="3909" spans="16:18" x14ac:dyDescent="0.3">
      <c r="P3909" s="35">
        <v>28.31</v>
      </c>
      <c r="Q3909">
        <v>305</v>
      </c>
      <c r="R3909" s="34">
        <f t="shared" si="64"/>
        <v>0.44495047250366482</v>
      </c>
    </row>
    <row r="3910" spans="16:18" x14ac:dyDescent="0.3">
      <c r="P3910" s="35">
        <v>28.31</v>
      </c>
      <c r="Q3910">
        <v>305</v>
      </c>
      <c r="R3910" s="34">
        <f t="shared" si="64"/>
        <v>0.44506432881699737</v>
      </c>
    </row>
    <row r="3911" spans="16:18" x14ac:dyDescent="0.3">
      <c r="P3911" s="35">
        <v>28.32</v>
      </c>
      <c r="Q3911">
        <v>305</v>
      </c>
      <c r="R3911" s="34">
        <f t="shared" si="64"/>
        <v>0.44517818513032992</v>
      </c>
    </row>
    <row r="3912" spans="16:18" x14ac:dyDescent="0.3">
      <c r="P3912" s="35">
        <v>28.32</v>
      </c>
      <c r="Q3912">
        <v>305</v>
      </c>
      <c r="R3912" s="34">
        <f t="shared" si="64"/>
        <v>0.44529204144366247</v>
      </c>
    </row>
    <row r="3913" spans="16:18" x14ac:dyDescent="0.3">
      <c r="P3913" s="35">
        <v>28.32</v>
      </c>
      <c r="Q3913">
        <v>305</v>
      </c>
      <c r="R3913" s="34">
        <f t="shared" si="64"/>
        <v>0.44540589775699502</v>
      </c>
    </row>
    <row r="3914" spans="16:18" x14ac:dyDescent="0.3">
      <c r="P3914" s="35">
        <v>28.33</v>
      </c>
      <c r="Q3914">
        <v>305</v>
      </c>
      <c r="R3914" s="34">
        <f t="shared" si="64"/>
        <v>0.44551975407032757</v>
      </c>
    </row>
    <row r="3915" spans="16:18" x14ac:dyDescent="0.3">
      <c r="P3915" s="35">
        <v>28.33</v>
      </c>
      <c r="Q3915">
        <v>305</v>
      </c>
      <c r="R3915" s="34">
        <f t="shared" si="64"/>
        <v>0.44563361038366012</v>
      </c>
    </row>
    <row r="3916" spans="16:18" x14ac:dyDescent="0.3">
      <c r="P3916" s="35">
        <v>28.36</v>
      </c>
      <c r="Q3916">
        <v>305</v>
      </c>
      <c r="R3916" s="34">
        <f t="shared" si="64"/>
        <v>0.44574746669699267</v>
      </c>
    </row>
    <row r="3917" spans="16:18" x14ac:dyDescent="0.3">
      <c r="P3917" s="35">
        <v>28.37</v>
      </c>
      <c r="Q3917">
        <v>305</v>
      </c>
      <c r="R3917" s="34">
        <f t="shared" si="64"/>
        <v>0.44586132301032522</v>
      </c>
    </row>
    <row r="3918" spans="16:18" x14ac:dyDescent="0.3">
      <c r="P3918" s="35">
        <v>28.37</v>
      </c>
      <c r="Q3918">
        <v>305</v>
      </c>
      <c r="R3918" s="34">
        <f t="shared" si="64"/>
        <v>0.44597517932365777</v>
      </c>
    </row>
    <row r="3919" spans="16:18" x14ac:dyDescent="0.3">
      <c r="P3919" s="35">
        <v>28.37</v>
      </c>
      <c r="Q3919">
        <v>305</v>
      </c>
      <c r="R3919" s="34">
        <f t="shared" si="64"/>
        <v>0.44608903563699032</v>
      </c>
    </row>
    <row r="3920" spans="16:18" x14ac:dyDescent="0.3">
      <c r="P3920" s="35">
        <v>28.37</v>
      </c>
      <c r="Q3920">
        <v>305</v>
      </c>
      <c r="R3920" s="34">
        <f t="shared" si="64"/>
        <v>0.44620289195032287</v>
      </c>
    </row>
    <row r="3921" spans="16:18" x14ac:dyDescent="0.3">
      <c r="P3921" s="35">
        <v>28.38</v>
      </c>
      <c r="Q3921">
        <v>305</v>
      </c>
      <c r="R3921" s="34">
        <f t="shared" si="64"/>
        <v>0.44631674826365542</v>
      </c>
    </row>
    <row r="3922" spans="16:18" x14ac:dyDescent="0.3">
      <c r="P3922" s="35">
        <v>28.38</v>
      </c>
      <c r="Q3922">
        <v>305</v>
      </c>
      <c r="R3922" s="34">
        <f t="shared" si="64"/>
        <v>0.44643060457698797</v>
      </c>
    </row>
    <row r="3923" spans="16:18" x14ac:dyDescent="0.3">
      <c r="P3923" s="35">
        <v>28.39</v>
      </c>
      <c r="Q3923">
        <v>305</v>
      </c>
      <c r="R3923" s="34">
        <f t="shared" si="64"/>
        <v>0.44654446089032052</v>
      </c>
    </row>
    <row r="3924" spans="16:18" x14ac:dyDescent="0.3">
      <c r="P3924" s="35">
        <v>28.39</v>
      </c>
      <c r="Q3924">
        <v>305</v>
      </c>
      <c r="R3924" s="34">
        <f t="shared" si="64"/>
        <v>0.44665831720365307</v>
      </c>
    </row>
    <row r="3925" spans="16:18" x14ac:dyDescent="0.3">
      <c r="P3925" s="35">
        <v>28.39</v>
      </c>
      <c r="Q3925">
        <v>305</v>
      </c>
      <c r="R3925" s="34">
        <f t="shared" si="64"/>
        <v>0.44677217351698562</v>
      </c>
    </row>
    <row r="3926" spans="16:18" x14ac:dyDescent="0.3">
      <c r="P3926" s="35">
        <v>28.39</v>
      </c>
      <c r="Q3926">
        <v>305</v>
      </c>
      <c r="R3926" s="34">
        <f t="shared" si="64"/>
        <v>0.44688602983031817</v>
      </c>
    </row>
    <row r="3927" spans="16:18" x14ac:dyDescent="0.3">
      <c r="P3927" s="35">
        <v>28.4</v>
      </c>
      <c r="Q3927">
        <v>305</v>
      </c>
      <c r="R3927" s="34">
        <f t="shared" si="64"/>
        <v>0.44699988614365072</v>
      </c>
    </row>
    <row r="3928" spans="16:18" x14ac:dyDescent="0.3">
      <c r="P3928" s="35">
        <v>28.4</v>
      </c>
      <c r="Q3928">
        <v>305</v>
      </c>
      <c r="R3928" s="34">
        <f t="shared" si="64"/>
        <v>0.44711374245698327</v>
      </c>
    </row>
    <row r="3929" spans="16:18" x14ac:dyDescent="0.3">
      <c r="P3929" s="35">
        <v>28.4</v>
      </c>
      <c r="Q3929">
        <v>305</v>
      </c>
      <c r="R3929" s="34">
        <f t="shared" si="64"/>
        <v>0.44722759877031582</v>
      </c>
    </row>
    <row r="3930" spans="16:18" x14ac:dyDescent="0.3">
      <c r="P3930" s="35">
        <v>28.41</v>
      </c>
      <c r="Q3930">
        <v>305</v>
      </c>
      <c r="R3930" s="34">
        <f t="shared" si="64"/>
        <v>0.44734145508364836</v>
      </c>
    </row>
    <row r="3931" spans="16:18" x14ac:dyDescent="0.3">
      <c r="P3931" s="35">
        <v>28.41</v>
      </c>
      <c r="Q3931">
        <v>305</v>
      </c>
      <c r="R3931" s="34">
        <f t="shared" si="64"/>
        <v>0.44745531139698091</v>
      </c>
    </row>
    <row r="3932" spans="16:18" x14ac:dyDescent="0.3">
      <c r="P3932" s="35">
        <v>28.42</v>
      </c>
      <c r="Q3932">
        <v>305</v>
      </c>
      <c r="R3932" s="34">
        <f t="shared" si="64"/>
        <v>0.44756916771031346</v>
      </c>
    </row>
    <row r="3933" spans="16:18" x14ac:dyDescent="0.3">
      <c r="P3933" s="35">
        <v>28.42</v>
      </c>
      <c r="Q3933">
        <v>305</v>
      </c>
      <c r="R3933" s="34">
        <f t="shared" si="64"/>
        <v>0.44768302402364601</v>
      </c>
    </row>
    <row r="3934" spans="16:18" x14ac:dyDescent="0.3">
      <c r="P3934" s="35">
        <v>28.42</v>
      </c>
      <c r="Q3934">
        <v>305</v>
      </c>
      <c r="R3934" s="34">
        <f t="shared" si="64"/>
        <v>0.44779688033697856</v>
      </c>
    </row>
    <row r="3935" spans="16:18" x14ac:dyDescent="0.3">
      <c r="P3935" s="35">
        <v>28.42</v>
      </c>
      <c r="Q3935">
        <v>305</v>
      </c>
      <c r="R3935" s="34">
        <f t="shared" si="64"/>
        <v>0.44791073665031111</v>
      </c>
    </row>
    <row r="3936" spans="16:18" x14ac:dyDescent="0.3">
      <c r="P3936" s="35">
        <v>28.43</v>
      </c>
      <c r="Q3936">
        <v>305</v>
      </c>
      <c r="R3936" s="34">
        <f t="shared" si="64"/>
        <v>0.44802459296364366</v>
      </c>
    </row>
    <row r="3937" spans="16:18" x14ac:dyDescent="0.3">
      <c r="P3937" s="35">
        <v>28.43</v>
      </c>
      <c r="Q3937">
        <v>305</v>
      </c>
      <c r="R3937" s="34">
        <f t="shared" si="64"/>
        <v>0.44813844927697621</v>
      </c>
    </row>
    <row r="3938" spans="16:18" x14ac:dyDescent="0.3">
      <c r="P3938" s="35">
        <v>28.43</v>
      </c>
      <c r="Q3938">
        <v>305</v>
      </c>
      <c r="R3938" s="34">
        <f t="shared" si="64"/>
        <v>0.44825230559030876</v>
      </c>
    </row>
    <row r="3939" spans="16:18" x14ac:dyDescent="0.3">
      <c r="P3939" s="35">
        <v>28.43</v>
      </c>
      <c r="Q3939">
        <v>305</v>
      </c>
      <c r="R3939" s="34">
        <f t="shared" si="64"/>
        <v>0.44836616190364131</v>
      </c>
    </row>
    <row r="3940" spans="16:18" x14ac:dyDescent="0.3">
      <c r="P3940" s="35">
        <v>28.45</v>
      </c>
      <c r="Q3940">
        <v>305</v>
      </c>
      <c r="R3940" s="34">
        <f t="shared" si="64"/>
        <v>0.44848001821697386</v>
      </c>
    </row>
    <row r="3941" spans="16:18" x14ac:dyDescent="0.3">
      <c r="P3941" s="35">
        <v>28.45</v>
      </c>
      <c r="Q3941">
        <v>305</v>
      </c>
      <c r="R3941" s="34">
        <f t="shared" si="64"/>
        <v>0.44859387453030641</v>
      </c>
    </row>
    <row r="3942" spans="16:18" x14ac:dyDescent="0.3">
      <c r="P3942" s="35">
        <v>28.45</v>
      </c>
      <c r="Q3942">
        <v>305</v>
      </c>
      <c r="R3942" s="34">
        <f t="shared" si="64"/>
        <v>0.44870773084363896</v>
      </c>
    </row>
    <row r="3943" spans="16:18" x14ac:dyDescent="0.3">
      <c r="P3943" s="35">
        <v>28.46</v>
      </c>
      <c r="Q3943">
        <v>305</v>
      </c>
      <c r="R3943" s="34">
        <f t="shared" si="64"/>
        <v>0.44882158715697151</v>
      </c>
    </row>
    <row r="3944" spans="16:18" x14ac:dyDescent="0.3">
      <c r="P3944" s="35">
        <v>28.46</v>
      </c>
      <c r="Q3944">
        <v>305</v>
      </c>
      <c r="R3944" s="34">
        <f t="shared" si="64"/>
        <v>0.44893544347030406</v>
      </c>
    </row>
    <row r="3945" spans="16:18" x14ac:dyDescent="0.3">
      <c r="P3945" s="35">
        <v>28.46</v>
      </c>
      <c r="Q3945">
        <v>305</v>
      </c>
      <c r="R3945" s="34">
        <f t="shared" si="64"/>
        <v>0.44904929978363661</v>
      </c>
    </row>
    <row r="3946" spans="16:18" x14ac:dyDescent="0.3">
      <c r="P3946" s="35">
        <v>28.46</v>
      </c>
      <c r="Q3946">
        <v>305</v>
      </c>
      <c r="R3946" s="34">
        <f t="shared" si="64"/>
        <v>0.44916315609696916</v>
      </c>
    </row>
    <row r="3947" spans="16:18" x14ac:dyDescent="0.3">
      <c r="P3947" s="35">
        <v>28.46</v>
      </c>
      <c r="Q3947">
        <v>305</v>
      </c>
      <c r="R3947" s="34">
        <f t="shared" si="64"/>
        <v>0.44927701241030171</v>
      </c>
    </row>
    <row r="3948" spans="16:18" x14ac:dyDescent="0.3">
      <c r="P3948" s="35">
        <v>28.47</v>
      </c>
      <c r="Q3948">
        <v>305</v>
      </c>
      <c r="R3948" s="34">
        <f t="shared" si="64"/>
        <v>0.44939086872363426</v>
      </c>
    </row>
    <row r="3949" spans="16:18" x14ac:dyDescent="0.3">
      <c r="P3949" s="35">
        <v>28.47</v>
      </c>
      <c r="Q3949">
        <v>305</v>
      </c>
      <c r="R3949" s="34">
        <f t="shared" si="64"/>
        <v>0.44950472503696681</v>
      </c>
    </row>
    <row r="3950" spans="16:18" x14ac:dyDescent="0.3">
      <c r="P3950" s="35">
        <v>28.48</v>
      </c>
      <c r="Q3950">
        <v>305</v>
      </c>
      <c r="R3950" s="34">
        <f t="shared" si="64"/>
        <v>0.44961858135029936</v>
      </c>
    </row>
    <row r="3951" spans="16:18" x14ac:dyDescent="0.3">
      <c r="P3951" s="35">
        <v>28.48</v>
      </c>
      <c r="Q3951">
        <v>305</v>
      </c>
      <c r="R3951" s="34">
        <f t="shared" si="64"/>
        <v>0.44973243766363191</v>
      </c>
    </row>
    <row r="3952" spans="16:18" x14ac:dyDescent="0.3">
      <c r="P3952" s="35">
        <v>28.49</v>
      </c>
      <c r="Q3952">
        <v>305</v>
      </c>
      <c r="R3952" s="34">
        <f t="shared" si="64"/>
        <v>0.44984629397696446</v>
      </c>
    </row>
    <row r="3953" spans="16:18" x14ac:dyDescent="0.3">
      <c r="P3953" s="35">
        <v>28.5</v>
      </c>
      <c r="Q3953">
        <v>305</v>
      </c>
      <c r="R3953" s="34">
        <f t="shared" si="64"/>
        <v>0.44996015029029701</v>
      </c>
    </row>
    <row r="3954" spans="16:18" x14ac:dyDescent="0.3">
      <c r="P3954" s="35">
        <v>28.5</v>
      </c>
      <c r="Q3954">
        <v>305</v>
      </c>
      <c r="R3954" s="34">
        <f t="shared" si="64"/>
        <v>0.45007400660362956</v>
      </c>
    </row>
    <row r="3955" spans="16:18" x14ac:dyDescent="0.3">
      <c r="P3955" s="35">
        <v>28.5</v>
      </c>
      <c r="Q3955">
        <v>305</v>
      </c>
      <c r="R3955" s="34">
        <f t="shared" si="64"/>
        <v>0.45018786291696211</v>
      </c>
    </row>
    <row r="3956" spans="16:18" x14ac:dyDescent="0.3">
      <c r="P3956" s="35">
        <v>28.51</v>
      </c>
      <c r="Q3956">
        <v>305</v>
      </c>
      <c r="R3956" s="34">
        <f t="shared" si="64"/>
        <v>0.45030171923029466</v>
      </c>
    </row>
    <row r="3957" spans="16:18" x14ac:dyDescent="0.3">
      <c r="P3957" s="35">
        <v>28.51</v>
      </c>
      <c r="Q3957">
        <v>305</v>
      </c>
      <c r="R3957" s="34">
        <f t="shared" si="64"/>
        <v>0.45041557554362721</v>
      </c>
    </row>
    <row r="3958" spans="16:18" x14ac:dyDescent="0.3">
      <c r="P3958" s="35">
        <v>28.52</v>
      </c>
      <c r="Q3958">
        <v>305</v>
      </c>
      <c r="R3958" s="34">
        <f t="shared" si="64"/>
        <v>0.45052943185695976</v>
      </c>
    </row>
    <row r="3959" spans="16:18" x14ac:dyDescent="0.3">
      <c r="P3959" s="35">
        <v>28.52</v>
      </c>
      <c r="Q3959">
        <v>305</v>
      </c>
      <c r="R3959" s="34">
        <f t="shared" si="64"/>
        <v>0.45064328817029231</v>
      </c>
    </row>
    <row r="3960" spans="16:18" x14ac:dyDescent="0.3">
      <c r="P3960" s="35">
        <v>28.52</v>
      </c>
      <c r="Q3960">
        <v>305</v>
      </c>
      <c r="R3960" s="34">
        <f t="shared" si="64"/>
        <v>0.45075714448362486</v>
      </c>
    </row>
    <row r="3961" spans="16:18" x14ac:dyDescent="0.3">
      <c r="P3961" s="35">
        <v>28.53</v>
      </c>
      <c r="Q3961">
        <v>305</v>
      </c>
      <c r="R3961" s="34">
        <f t="shared" si="64"/>
        <v>0.45087100079695741</v>
      </c>
    </row>
    <row r="3962" spans="16:18" x14ac:dyDescent="0.3">
      <c r="P3962" s="35">
        <v>28.53</v>
      </c>
      <c r="Q3962">
        <v>305</v>
      </c>
      <c r="R3962" s="34">
        <f t="shared" si="64"/>
        <v>0.45098485711028996</v>
      </c>
    </row>
    <row r="3963" spans="16:18" x14ac:dyDescent="0.3">
      <c r="P3963" s="35">
        <v>28.53</v>
      </c>
      <c r="Q3963">
        <v>305</v>
      </c>
      <c r="R3963" s="34">
        <f t="shared" si="64"/>
        <v>0.45109871342362251</v>
      </c>
    </row>
    <row r="3964" spans="16:18" x14ac:dyDescent="0.3">
      <c r="P3964" s="35">
        <v>28.54</v>
      </c>
      <c r="Q3964">
        <v>305</v>
      </c>
      <c r="R3964" s="34">
        <f t="shared" si="64"/>
        <v>0.45121256973695506</v>
      </c>
    </row>
    <row r="3965" spans="16:18" x14ac:dyDescent="0.3">
      <c r="P3965" s="35">
        <v>28.55</v>
      </c>
      <c r="Q3965">
        <v>305</v>
      </c>
      <c r="R3965" s="34">
        <f t="shared" si="64"/>
        <v>0.45132642605028761</v>
      </c>
    </row>
    <row r="3966" spans="16:18" x14ac:dyDescent="0.3">
      <c r="P3966" s="35">
        <v>28.55</v>
      </c>
      <c r="Q3966">
        <v>305</v>
      </c>
      <c r="R3966" s="34">
        <f t="shared" si="64"/>
        <v>0.45144028236362016</v>
      </c>
    </row>
    <row r="3967" spans="16:18" x14ac:dyDescent="0.3">
      <c r="P3967" s="35">
        <v>28.55</v>
      </c>
      <c r="Q3967">
        <v>305</v>
      </c>
      <c r="R3967" s="34">
        <f t="shared" si="64"/>
        <v>0.45155413867695271</v>
      </c>
    </row>
    <row r="3968" spans="16:18" x14ac:dyDescent="0.3">
      <c r="P3968" s="35">
        <v>28.55</v>
      </c>
      <c r="Q3968">
        <v>305</v>
      </c>
      <c r="R3968" s="34">
        <f t="shared" si="64"/>
        <v>0.45166799499028526</v>
      </c>
    </row>
    <row r="3969" spans="16:18" x14ac:dyDescent="0.3">
      <c r="P3969" s="35">
        <v>28.55</v>
      </c>
      <c r="Q3969">
        <v>305</v>
      </c>
      <c r="R3969" s="34">
        <f t="shared" si="64"/>
        <v>0.45178185130361781</v>
      </c>
    </row>
    <row r="3970" spans="16:18" x14ac:dyDescent="0.3">
      <c r="P3970" s="35">
        <v>28.55</v>
      </c>
      <c r="Q3970">
        <v>305</v>
      </c>
      <c r="R3970" s="34">
        <f t="shared" si="64"/>
        <v>0.45189570761695036</v>
      </c>
    </row>
    <row r="3971" spans="16:18" x14ac:dyDescent="0.3">
      <c r="P3971" s="35">
        <v>28.55</v>
      </c>
      <c r="Q3971">
        <v>305</v>
      </c>
      <c r="R3971" s="34">
        <f t="shared" si="64"/>
        <v>0.45200956393028291</v>
      </c>
    </row>
    <row r="3972" spans="16:18" x14ac:dyDescent="0.3">
      <c r="P3972" s="35">
        <v>28.56</v>
      </c>
      <c r="Q3972">
        <v>305</v>
      </c>
      <c r="R3972" s="34">
        <f t="shared" ref="R3972:R4035" si="65">R3971+R$2</f>
        <v>0.45212342024361546</v>
      </c>
    </row>
    <row r="3973" spans="16:18" x14ac:dyDescent="0.3">
      <c r="P3973" s="35">
        <v>28.56</v>
      </c>
      <c r="Q3973">
        <v>305</v>
      </c>
      <c r="R3973" s="34">
        <f t="shared" si="65"/>
        <v>0.45223727655694801</v>
      </c>
    </row>
    <row r="3974" spans="16:18" x14ac:dyDescent="0.3">
      <c r="P3974" s="35">
        <v>28.56</v>
      </c>
      <c r="Q3974">
        <v>305</v>
      </c>
      <c r="R3974" s="34">
        <f t="shared" si="65"/>
        <v>0.45235113287028056</v>
      </c>
    </row>
    <row r="3975" spans="16:18" x14ac:dyDescent="0.3">
      <c r="P3975" s="35">
        <v>28.56</v>
      </c>
      <c r="Q3975">
        <v>305</v>
      </c>
      <c r="R3975" s="34">
        <f t="shared" si="65"/>
        <v>0.45246498918361311</v>
      </c>
    </row>
    <row r="3976" spans="16:18" x14ac:dyDescent="0.3">
      <c r="P3976" s="35">
        <v>28.56</v>
      </c>
      <c r="Q3976">
        <v>305</v>
      </c>
      <c r="R3976" s="34">
        <f t="shared" si="65"/>
        <v>0.45257884549694566</v>
      </c>
    </row>
    <row r="3977" spans="16:18" x14ac:dyDescent="0.3">
      <c r="P3977" s="35">
        <v>28.56</v>
      </c>
      <c r="Q3977">
        <v>305</v>
      </c>
      <c r="R3977" s="34">
        <f t="shared" si="65"/>
        <v>0.45269270181027821</v>
      </c>
    </row>
    <row r="3978" spans="16:18" x14ac:dyDescent="0.3">
      <c r="P3978" s="35">
        <v>28.57</v>
      </c>
      <c r="Q3978">
        <v>305</v>
      </c>
      <c r="R3978" s="34">
        <f t="shared" si="65"/>
        <v>0.45280655812361076</v>
      </c>
    </row>
    <row r="3979" spans="16:18" x14ac:dyDescent="0.3">
      <c r="P3979" s="35">
        <v>28.57</v>
      </c>
      <c r="Q3979">
        <v>305</v>
      </c>
      <c r="R3979" s="34">
        <f t="shared" si="65"/>
        <v>0.45292041443694331</v>
      </c>
    </row>
    <row r="3980" spans="16:18" x14ac:dyDescent="0.3">
      <c r="P3980" s="35">
        <v>28.57</v>
      </c>
      <c r="Q3980">
        <v>305</v>
      </c>
      <c r="R3980" s="34">
        <f t="shared" si="65"/>
        <v>0.45303427075027586</v>
      </c>
    </row>
    <row r="3981" spans="16:18" x14ac:dyDescent="0.3">
      <c r="P3981" s="35">
        <v>28.57</v>
      </c>
      <c r="Q3981">
        <v>305</v>
      </c>
      <c r="R3981" s="34">
        <f t="shared" si="65"/>
        <v>0.45314812706360841</v>
      </c>
    </row>
    <row r="3982" spans="16:18" x14ac:dyDescent="0.3">
      <c r="P3982" s="35">
        <v>28.58</v>
      </c>
      <c r="Q3982">
        <v>305</v>
      </c>
      <c r="R3982" s="34">
        <f t="shared" si="65"/>
        <v>0.45326198337694096</v>
      </c>
    </row>
    <row r="3983" spans="16:18" x14ac:dyDescent="0.3">
      <c r="P3983" s="35">
        <v>28.58</v>
      </c>
      <c r="Q3983">
        <v>305</v>
      </c>
      <c r="R3983" s="34">
        <f t="shared" si="65"/>
        <v>0.45337583969027351</v>
      </c>
    </row>
    <row r="3984" spans="16:18" x14ac:dyDescent="0.3">
      <c r="P3984" s="35">
        <v>28.59</v>
      </c>
      <c r="Q3984">
        <v>305</v>
      </c>
      <c r="R3984" s="34">
        <f t="shared" si="65"/>
        <v>0.45348969600360606</v>
      </c>
    </row>
    <row r="3985" spans="16:18" x14ac:dyDescent="0.3">
      <c r="P3985" s="35">
        <v>28.59</v>
      </c>
      <c r="Q3985">
        <v>305</v>
      </c>
      <c r="R3985" s="34">
        <f t="shared" si="65"/>
        <v>0.45360355231693861</v>
      </c>
    </row>
    <row r="3986" spans="16:18" x14ac:dyDescent="0.3">
      <c r="P3986" s="35">
        <v>28.59</v>
      </c>
      <c r="Q3986">
        <v>305</v>
      </c>
      <c r="R3986" s="34">
        <f t="shared" si="65"/>
        <v>0.45371740863027116</v>
      </c>
    </row>
    <row r="3987" spans="16:18" x14ac:dyDescent="0.3">
      <c r="P3987" s="35">
        <v>28.59</v>
      </c>
      <c r="Q3987">
        <v>305</v>
      </c>
      <c r="R3987" s="34">
        <f t="shared" si="65"/>
        <v>0.45383126494360371</v>
      </c>
    </row>
    <row r="3988" spans="16:18" x14ac:dyDescent="0.3">
      <c r="P3988" s="35">
        <v>28.6</v>
      </c>
      <c r="Q3988">
        <v>305</v>
      </c>
      <c r="R3988" s="34">
        <f t="shared" si="65"/>
        <v>0.45394512125693626</v>
      </c>
    </row>
    <row r="3989" spans="16:18" x14ac:dyDescent="0.3">
      <c r="P3989" s="35">
        <v>28.6</v>
      </c>
      <c r="Q3989">
        <v>305</v>
      </c>
      <c r="R3989" s="34">
        <f t="shared" si="65"/>
        <v>0.45405897757026881</v>
      </c>
    </row>
    <row r="3990" spans="16:18" x14ac:dyDescent="0.3">
      <c r="P3990" s="35">
        <v>28.6</v>
      </c>
      <c r="Q3990">
        <v>305</v>
      </c>
      <c r="R3990" s="34">
        <f t="shared" si="65"/>
        <v>0.45417283388360136</v>
      </c>
    </row>
    <row r="3991" spans="16:18" x14ac:dyDescent="0.3">
      <c r="P3991" s="35">
        <v>28.61</v>
      </c>
      <c r="Q3991">
        <v>305</v>
      </c>
      <c r="R3991" s="34">
        <f t="shared" si="65"/>
        <v>0.45428669019693391</v>
      </c>
    </row>
    <row r="3992" spans="16:18" x14ac:dyDescent="0.3">
      <c r="P3992" s="35">
        <v>28.61</v>
      </c>
      <c r="Q3992">
        <v>305</v>
      </c>
      <c r="R3992" s="34">
        <f t="shared" si="65"/>
        <v>0.45440054651026646</v>
      </c>
    </row>
    <row r="3993" spans="16:18" x14ac:dyDescent="0.3">
      <c r="P3993" s="35">
        <v>28.61</v>
      </c>
      <c r="Q3993">
        <v>305</v>
      </c>
      <c r="R3993" s="34">
        <f t="shared" si="65"/>
        <v>0.45451440282359901</v>
      </c>
    </row>
    <row r="3994" spans="16:18" x14ac:dyDescent="0.3">
      <c r="P3994" s="35">
        <v>28.62</v>
      </c>
      <c r="Q3994">
        <v>305</v>
      </c>
      <c r="R3994" s="34">
        <f t="shared" si="65"/>
        <v>0.45462825913693156</v>
      </c>
    </row>
    <row r="3995" spans="16:18" x14ac:dyDescent="0.3">
      <c r="P3995" s="35">
        <v>28.63</v>
      </c>
      <c r="Q3995">
        <v>305</v>
      </c>
      <c r="R3995" s="34">
        <f t="shared" si="65"/>
        <v>0.45474211545026411</v>
      </c>
    </row>
    <row r="3996" spans="16:18" x14ac:dyDescent="0.3">
      <c r="P3996" s="35">
        <v>28.64</v>
      </c>
      <c r="Q3996">
        <v>305</v>
      </c>
      <c r="R3996" s="34">
        <f t="shared" si="65"/>
        <v>0.45485597176359666</v>
      </c>
    </row>
    <row r="3997" spans="16:18" x14ac:dyDescent="0.3">
      <c r="P3997" s="35">
        <v>28.64</v>
      </c>
      <c r="Q3997">
        <v>305</v>
      </c>
      <c r="R3997" s="34">
        <f t="shared" si="65"/>
        <v>0.45496982807692921</v>
      </c>
    </row>
    <row r="3998" spans="16:18" x14ac:dyDescent="0.3">
      <c r="P3998" s="35">
        <v>28.64</v>
      </c>
      <c r="Q3998">
        <v>305</v>
      </c>
      <c r="R3998" s="34">
        <f t="shared" si="65"/>
        <v>0.45508368439026176</v>
      </c>
    </row>
    <row r="3999" spans="16:18" x14ac:dyDescent="0.3">
      <c r="P3999" s="35">
        <v>28.65</v>
      </c>
      <c r="Q3999">
        <v>305</v>
      </c>
      <c r="R3999" s="34">
        <f t="shared" si="65"/>
        <v>0.45519754070359431</v>
      </c>
    </row>
    <row r="4000" spans="16:18" x14ac:dyDescent="0.3">
      <c r="P4000" s="35">
        <v>28.65</v>
      </c>
      <c r="Q4000">
        <v>305</v>
      </c>
      <c r="R4000" s="34">
        <f t="shared" si="65"/>
        <v>0.45531139701692686</v>
      </c>
    </row>
    <row r="4001" spans="16:18" x14ac:dyDescent="0.3">
      <c r="P4001" s="35">
        <v>28.66</v>
      </c>
      <c r="Q4001">
        <v>305</v>
      </c>
      <c r="R4001" s="34">
        <f t="shared" si="65"/>
        <v>0.45542525333025941</v>
      </c>
    </row>
    <row r="4002" spans="16:18" x14ac:dyDescent="0.3">
      <c r="P4002" s="35">
        <v>28.67</v>
      </c>
      <c r="Q4002">
        <v>305</v>
      </c>
      <c r="R4002" s="34">
        <f t="shared" si="65"/>
        <v>0.45553910964359196</v>
      </c>
    </row>
    <row r="4003" spans="16:18" x14ac:dyDescent="0.3">
      <c r="P4003" s="35">
        <v>28.67</v>
      </c>
      <c r="Q4003">
        <v>305</v>
      </c>
      <c r="R4003" s="34">
        <f t="shared" si="65"/>
        <v>0.4556529659569245</v>
      </c>
    </row>
    <row r="4004" spans="16:18" x14ac:dyDescent="0.3">
      <c r="P4004" s="35">
        <v>28.68</v>
      </c>
      <c r="Q4004">
        <v>305</v>
      </c>
      <c r="R4004" s="34">
        <f t="shared" si="65"/>
        <v>0.45576682227025705</v>
      </c>
    </row>
    <row r="4005" spans="16:18" x14ac:dyDescent="0.3">
      <c r="P4005" s="35">
        <v>28.68</v>
      </c>
      <c r="Q4005">
        <v>305</v>
      </c>
      <c r="R4005" s="34">
        <f t="shared" si="65"/>
        <v>0.4558806785835896</v>
      </c>
    </row>
    <row r="4006" spans="16:18" x14ac:dyDescent="0.3">
      <c r="P4006" s="35">
        <v>28.69</v>
      </c>
      <c r="Q4006">
        <v>305</v>
      </c>
      <c r="R4006" s="34">
        <f t="shared" si="65"/>
        <v>0.45599453489692215</v>
      </c>
    </row>
    <row r="4007" spans="16:18" x14ac:dyDescent="0.3">
      <c r="P4007" s="35">
        <v>28.69</v>
      </c>
      <c r="Q4007">
        <v>305</v>
      </c>
      <c r="R4007" s="34">
        <f t="shared" si="65"/>
        <v>0.4561083912102547</v>
      </c>
    </row>
    <row r="4008" spans="16:18" x14ac:dyDescent="0.3">
      <c r="P4008" s="35">
        <v>28.69</v>
      </c>
      <c r="Q4008">
        <v>305</v>
      </c>
      <c r="R4008" s="34">
        <f t="shared" si="65"/>
        <v>0.45622224752358725</v>
      </c>
    </row>
    <row r="4009" spans="16:18" x14ac:dyDescent="0.3">
      <c r="P4009" s="35">
        <v>28.69</v>
      </c>
      <c r="Q4009">
        <v>305</v>
      </c>
      <c r="R4009" s="34">
        <f t="shared" si="65"/>
        <v>0.4563361038369198</v>
      </c>
    </row>
    <row r="4010" spans="16:18" x14ac:dyDescent="0.3">
      <c r="P4010" s="35">
        <v>28.69</v>
      </c>
      <c r="Q4010">
        <v>305</v>
      </c>
      <c r="R4010" s="34">
        <f t="shared" si="65"/>
        <v>0.45644996015025235</v>
      </c>
    </row>
    <row r="4011" spans="16:18" x14ac:dyDescent="0.3">
      <c r="P4011" s="35">
        <v>28.69</v>
      </c>
      <c r="Q4011">
        <v>305</v>
      </c>
      <c r="R4011" s="34">
        <f t="shared" si="65"/>
        <v>0.4565638164635849</v>
      </c>
    </row>
    <row r="4012" spans="16:18" x14ac:dyDescent="0.3">
      <c r="P4012" s="35">
        <v>28.69</v>
      </c>
      <c r="Q4012">
        <v>305</v>
      </c>
      <c r="R4012" s="34">
        <f t="shared" si="65"/>
        <v>0.45667767277691745</v>
      </c>
    </row>
    <row r="4013" spans="16:18" x14ac:dyDescent="0.3">
      <c r="P4013" s="35">
        <v>28.7</v>
      </c>
      <c r="Q4013">
        <v>305</v>
      </c>
      <c r="R4013" s="34">
        <f t="shared" si="65"/>
        <v>0.45679152909025</v>
      </c>
    </row>
    <row r="4014" spans="16:18" x14ac:dyDescent="0.3">
      <c r="P4014" s="35">
        <v>28.71</v>
      </c>
      <c r="Q4014">
        <v>305</v>
      </c>
      <c r="R4014" s="34">
        <f t="shared" si="65"/>
        <v>0.45690538540358255</v>
      </c>
    </row>
    <row r="4015" spans="16:18" x14ac:dyDescent="0.3">
      <c r="P4015" s="35">
        <v>28.71</v>
      </c>
      <c r="Q4015">
        <v>305</v>
      </c>
      <c r="R4015" s="34">
        <f t="shared" si="65"/>
        <v>0.4570192417169151</v>
      </c>
    </row>
    <row r="4016" spans="16:18" x14ac:dyDescent="0.3">
      <c r="P4016" s="35">
        <v>28.71</v>
      </c>
      <c r="Q4016">
        <v>305</v>
      </c>
      <c r="R4016" s="34">
        <f t="shared" si="65"/>
        <v>0.45713309803024765</v>
      </c>
    </row>
    <row r="4017" spans="16:18" x14ac:dyDescent="0.3">
      <c r="P4017" s="35">
        <v>28.72</v>
      </c>
      <c r="Q4017">
        <v>305</v>
      </c>
      <c r="R4017" s="34">
        <f t="shared" si="65"/>
        <v>0.4572469543435802</v>
      </c>
    </row>
    <row r="4018" spans="16:18" x14ac:dyDescent="0.3">
      <c r="P4018" s="35">
        <v>28.73</v>
      </c>
      <c r="Q4018">
        <v>305</v>
      </c>
      <c r="R4018" s="34">
        <f t="shared" si="65"/>
        <v>0.45736081065691275</v>
      </c>
    </row>
    <row r="4019" spans="16:18" x14ac:dyDescent="0.3">
      <c r="P4019" s="35">
        <v>28.73</v>
      </c>
      <c r="Q4019">
        <v>305</v>
      </c>
      <c r="R4019" s="34">
        <f t="shared" si="65"/>
        <v>0.4574746669702453</v>
      </c>
    </row>
    <row r="4020" spans="16:18" x14ac:dyDescent="0.3">
      <c r="P4020" s="35">
        <v>28.73</v>
      </c>
      <c r="Q4020">
        <v>305</v>
      </c>
      <c r="R4020" s="34">
        <f t="shared" si="65"/>
        <v>0.45758852328357785</v>
      </c>
    </row>
    <row r="4021" spans="16:18" x14ac:dyDescent="0.3">
      <c r="P4021" s="35">
        <v>28.73</v>
      </c>
      <c r="Q4021">
        <v>305</v>
      </c>
      <c r="R4021" s="34">
        <f t="shared" si="65"/>
        <v>0.4577023795969104</v>
      </c>
    </row>
    <row r="4022" spans="16:18" x14ac:dyDescent="0.3">
      <c r="P4022" s="35">
        <v>28.74</v>
      </c>
      <c r="Q4022">
        <v>305</v>
      </c>
      <c r="R4022" s="34">
        <f t="shared" si="65"/>
        <v>0.45781623591024295</v>
      </c>
    </row>
    <row r="4023" spans="16:18" x14ac:dyDescent="0.3">
      <c r="P4023" s="35">
        <v>28.74</v>
      </c>
      <c r="Q4023">
        <v>305</v>
      </c>
      <c r="R4023" s="34">
        <f t="shared" si="65"/>
        <v>0.4579300922235755</v>
      </c>
    </row>
    <row r="4024" spans="16:18" x14ac:dyDescent="0.3">
      <c r="P4024" s="35">
        <v>28.75</v>
      </c>
      <c r="Q4024">
        <v>305</v>
      </c>
      <c r="R4024" s="34">
        <f t="shared" si="65"/>
        <v>0.45804394853690805</v>
      </c>
    </row>
    <row r="4025" spans="16:18" x14ac:dyDescent="0.3">
      <c r="P4025" s="35">
        <v>28.75</v>
      </c>
      <c r="Q4025">
        <v>305</v>
      </c>
      <c r="R4025" s="34">
        <f t="shared" si="65"/>
        <v>0.4581578048502406</v>
      </c>
    </row>
    <row r="4026" spans="16:18" x14ac:dyDescent="0.3">
      <c r="P4026" s="35">
        <v>28.76</v>
      </c>
      <c r="Q4026">
        <v>305</v>
      </c>
      <c r="R4026" s="34">
        <f t="shared" si="65"/>
        <v>0.45827166116357315</v>
      </c>
    </row>
    <row r="4027" spans="16:18" x14ac:dyDescent="0.3">
      <c r="P4027" s="35">
        <v>28.76</v>
      </c>
      <c r="Q4027">
        <v>305</v>
      </c>
      <c r="R4027" s="34">
        <f t="shared" si="65"/>
        <v>0.4583855174769057</v>
      </c>
    </row>
    <row r="4028" spans="16:18" x14ac:dyDescent="0.3">
      <c r="P4028" s="35">
        <v>28.78</v>
      </c>
      <c r="Q4028">
        <v>305</v>
      </c>
      <c r="R4028" s="34">
        <f t="shared" si="65"/>
        <v>0.45849937379023825</v>
      </c>
    </row>
    <row r="4029" spans="16:18" x14ac:dyDescent="0.3">
      <c r="P4029" s="35">
        <v>28.78</v>
      </c>
      <c r="Q4029">
        <v>305</v>
      </c>
      <c r="R4029" s="34">
        <f t="shared" si="65"/>
        <v>0.4586132301035708</v>
      </c>
    </row>
    <row r="4030" spans="16:18" x14ac:dyDescent="0.3">
      <c r="P4030" s="35">
        <v>28.78</v>
      </c>
      <c r="Q4030">
        <v>305</v>
      </c>
      <c r="R4030" s="34">
        <f t="shared" si="65"/>
        <v>0.45872708641690335</v>
      </c>
    </row>
    <row r="4031" spans="16:18" x14ac:dyDescent="0.3">
      <c r="P4031" s="35">
        <v>28.78</v>
      </c>
      <c r="Q4031">
        <v>305</v>
      </c>
      <c r="R4031" s="34">
        <f t="shared" si="65"/>
        <v>0.4588409427302359</v>
      </c>
    </row>
    <row r="4032" spans="16:18" x14ac:dyDescent="0.3">
      <c r="P4032" s="35">
        <v>28.79</v>
      </c>
      <c r="Q4032">
        <v>305</v>
      </c>
      <c r="R4032" s="34">
        <f t="shared" si="65"/>
        <v>0.45895479904356845</v>
      </c>
    </row>
    <row r="4033" spans="16:18" x14ac:dyDescent="0.3">
      <c r="P4033" s="35">
        <v>28.8</v>
      </c>
      <c r="Q4033">
        <v>305</v>
      </c>
      <c r="R4033" s="34">
        <f t="shared" si="65"/>
        <v>0.459068655356901</v>
      </c>
    </row>
    <row r="4034" spans="16:18" x14ac:dyDescent="0.3">
      <c r="P4034" s="35">
        <v>28.8</v>
      </c>
      <c r="Q4034">
        <v>305</v>
      </c>
      <c r="R4034" s="34">
        <f t="shared" si="65"/>
        <v>0.45918251167023355</v>
      </c>
    </row>
    <row r="4035" spans="16:18" x14ac:dyDescent="0.3">
      <c r="P4035" s="35">
        <v>28.8</v>
      </c>
      <c r="Q4035">
        <v>305</v>
      </c>
      <c r="R4035" s="34">
        <f t="shared" si="65"/>
        <v>0.4592963679835661</v>
      </c>
    </row>
    <row r="4036" spans="16:18" x14ac:dyDescent="0.3">
      <c r="P4036" s="35">
        <v>28.8</v>
      </c>
      <c r="Q4036">
        <v>305</v>
      </c>
      <c r="R4036" s="34">
        <f t="shared" ref="R4036:R4099" si="66">R4035+R$2</f>
        <v>0.45941022429689865</v>
      </c>
    </row>
    <row r="4037" spans="16:18" x14ac:dyDescent="0.3">
      <c r="P4037" s="35">
        <v>28.81</v>
      </c>
      <c r="Q4037">
        <v>305</v>
      </c>
      <c r="R4037" s="34">
        <f t="shared" si="66"/>
        <v>0.4595240806102312</v>
      </c>
    </row>
    <row r="4038" spans="16:18" x14ac:dyDescent="0.3">
      <c r="P4038" s="35">
        <v>28.82</v>
      </c>
      <c r="Q4038">
        <v>305</v>
      </c>
      <c r="R4038" s="34">
        <f t="shared" si="66"/>
        <v>0.45963793692356375</v>
      </c>
    </row>
    <row r="4039" spans="16:18" x14ac:dyDescent="0.3">
      <c r="P4039" s="35">
        <v>28.82</v>
      </c>
      <c r="Q4039">
        <v>305</v>
      </c>
      <c r="R4039" s="34">
        <f t="shared" si="66"/>
        <v>0.4597517932368963</v>
      </c>
    </row>
    <row r="4040" spans="16:18" x14ac:dyDescent="0.3">
      <c r="P4040" s="35">
        <v>28.83</v>
      </c>
      <c r="Q4040">
        <v>305</v>
      </c>
      <c r="R4040" s="34">
        <f t="shared" si="66"/>
        <v>0.45986564955022885</v>
      </c>
    </row>
    <row r="4041" spans="16:18" x14ac:dyDescent="0.3">
      <c r="P4041" s="35">
        <v>28.84</v>
      </c>
      <c r="Q4041">
        <v>305</v>
      </c>
      <c r="R4041" s="34">
        <f t="shared" si="66"/>
        <v>0.4599795058635614</v>
      </c>
    </row>
    <row r="4042" spans="16:18" x14ac:dyDescent="0.3">
      <c r="P4042" s="35">
        <v>28.84</v>
      </c>
      <c r="Q4042">
        <v>305</v>
      </c>
      <c r="R4042" s="34">
        <f t="shared" si="66"/>
        <v>0.46009336217689395</v>
      </c>
    </row>
    <row r="4043" spans="16:18" x14ac:dyDescent="0.3">
      <c r="P4043" s="35">
        <v>28.85</v>
      </c>
      <c r="Q4043">
        <v>305</v>
      </c>
      <c r="R4043" s="34">
        <f t="shared" si="66"/>
        <v>0.4602072184902265</v>
      </c>
    </row>
    <row r="4044" spans="16:18" x14ac:dyDescent="0.3">
      <c r="P4044" s="35">
        <v>28.85</v>
      </c>
      <c r="Q4044">
        <v>305</v>
      </c>
      <c r="R4044" s="34">
        <f t="shared" si="66"/>
        <v>0.46032107480355905</v>
      </c>
    </row>
    <row r="4045" spans="16:18" x14ac:dyDescent="0.3">
      <c r="P4045" s="35">
        <v>28.85</v>
      </c>
      <c r="Q4045">
        <v>305</v>
      </c>
      <c r="R4045" s="34">
        <f t="shared" si="66"/>
        <v>0.4604349311168916</v>
      </c>
    </row>
    <row r="4046" spans="16:18" x14ac:dyDescent="0.3">
      <c r="P4046" s="35">
        <v>28.86</v>
      </c>
      <c r="Q4046">
        <v>305</v>
      </c>
      <c r="R4046" s="34">
        <f t="shared" si="66"/>
        <v>0.46054878743022415</v>
      </c>
    </row>
    <row r="4047" spans="16:18" x14ac:dyDescent="0.3">
      <c r="P4047" s="35">
        <v>28.86</v>
      </c>
      <c r="Q4047">
        <v>305</v>
      </c>
      <c r="R4047" s="34">
        <f t="shared" si="66"/>
        <v>0.4606626437435567</v>
      </c>
    </row>
    <row r="4048" spans="16:18" x14ac:dyDescent="0.3">
      <c r="P4048" s="35">
        <v>28.87</v>
      </c>
      <c r="Q4048">
        <v>305</v>
      </c>
      <c r="R4048" s="34">
        <f t="shared" si="66"/>
        <v>0.46077650005688925</v>
      </c>
    </row>
    <row r="4049" spans="16:18" x14ac:dyDescent="0.3">
      <c r="P4049" s="35">
        <v>28.87</v>
      </c>
      <c r="Q4049">
        <v>305</v>
      </c>
      <c r="R4049" s="34">
        <f t="shared" si="66"/>
        <v>0.4608903563702218</v>
      </c>
    </row>
    <row r="4050" spans="16:18" x14ac:dyDescent="0.3">
      <c r="P4050" s="35">
        <v>28.87</v>
      </c>
      <c r="Q4050">
        <v>305</v>
      </c>
      <c r="R4050" s="34">
        <f t="shared" si="66"/>
        <v>0.46100421268355435</v>
      </c>
    </row>
    <row r="4051" spans="16:18" x14ac:dyDescent="0.3">
      <c r="P4051" s="35">
        <v>28.87</v>
      </c>
      <c r="Q4051">
        <v>305</v>
      </c>
      <c r="R4051" s="34">
        <f t="shared" si="66"/>
        <v>0.4611180689968869</v>
      </c>
    </row>
    <row r="4052" spans="16:18" x14ac:dyDescent="0.3">
      <c r="P4052" s="35">
        <v>28.87</v>
      </c>
      <c r="Q4052">
        <v>305</v>
      </c>
      <c r="R4052" s="34">
        <f t="shared" si="66"/>
        <v>0.46123192531021945</v>
      </c>
    </row>
    <row r="4053" spans="16:18" x14ac:dyDescent="0.3">
      <c r="P4053" s="35">
        <v>28.87</v>
      </c>
      <c r="Q4053">
        <v>305</v>
      </c>
      <c r="R4053" s="34">
        <f t="shared" si="66"/>
        <v>0.461345781623552</v>
      </c>
    </row>
    <row r="4054" spans="16:18" x14ac:dyDescent="0.3">
      <c r="P4054" s="35">
        <v>28.87</v>
      </c>
      <c r="Q4054">
        <v>305</v>
      </c>
      <c r="R4054" s="34">
        <f t="shared" si="66"/>
        <v>0.46145963793688455</v>
      </c>
    </row>
    <row r="4055" spans="16:18" x14ac:dyDescent="0.3">
      <c r="P4055" s="35">
        <v>28.88</v>
      </c>
      <c r="Q4055">
        <v>305</v>
      </c>
      <c r="R4055" s="34">
        <f t="shared" si="66"/>
        <v>0.4615734942502171</v>
      </c>
    </row>
    <row r="4056" spans="16:18" x14ac:dyDescent="0.3">
      <c r="P4056" s="35">
        <v>28.88</v>
      </c>
      <c r="Q4056">
        <v>305</v>
      </c>
      <c r="R4056" s="34">
        <f t="shared" si="66"/>
        <v>0.46168735056354965</v>
      </c>
    </row>
    <row r="4057" spans="16:18" x14ac:dyDescent="0.3">
      <c r="P4057" s="35">
        <v>28.9</v>
      </c>
      <c r="Q4057">
        <v>305</v>
      </c>
      <c r="R4057" s="34">
        <f t="shared" si="66"/>
        <v>0.4618012068768822</v>
      </c>
    </row>
    <row r="4058" spans="16:18" x14ac:dyDescent="0.3">
      <c r="P4058" s="35">
        <v>28.91</v>
      </c>
      <c r="Q4058">
        <v>305</v>
      </c>
      <c r="R4058" s="34">
        <f t="shared" si="66"/>
        <v>0.46191506319021475</v>
      </c>
    </row>
    <row r="4059" spans="16:18" x14ac:dyDescent="0.3">
      <c r="P4059" s="35">
        <v>28.92</v>
      </c>
      <c r="Q4059">
        <v>305</v>
      </c>
      <c r="R4059" s="34">
        <f t="shared" si="66"/>
        <v>0.4620289195035473</v>
      </c>
    </row>
    <row r="4060" spans="16:18" x14ac:dyDescent="0.3">
      <c r="P4060" s="35">
        <v>28.93</v>
      </c>
      <c r="Q4060">
        <v>305</v>
      </c>
      <c r="R4060" s="34">
        <f t="shared" si="66"/>
        <v>0.46214277581687985</v>
      </c>
    </row>
    <row r="4061" spans="16:18" x14ac:dyDescent="0.3">
      <c r="P4061" s="35">
        <v>28.93</v>
      </c>
      <c r="Q4061">
        <v>305</v>
      </c>
      <c r="R4061" s="34">
        <f t="shared" si="66"/>
        <v>0.4622566321302124</v>
      </c>
    </row>
    <row r="4062" spans="16:18" x14ac:dyDescent="0.3">
      <c r="P4062" s="35">
        <v>28.94</v>
      </c>
      <c r="Q4062">
        <v>305</v>
      </c>
      <c r="R4062" s="34">
        <f t="shared" si="66"/>
        <v>0.46237048844354495</v>
      </c>
    </row>
    <row r="4063" spans="16:18" x14ac:dyDescent="0.3">
      <c r="P4063" s="35">
        <v>28.94</v>
      </c>
      <c r="Q4063">
        <v>305</v>
      </c>
      <c r="R4063" s="34">
        <f t="shared" si="66"/>
        <v>0.4624843447568775</v>
      </c>
    </row>
    <row r="4064" spans="16:18" x14ac:dyDescent="0.3">
      <c r="P4064" s="35">
        <v>28.94</v>
      </c>
      <c r="Q4064">
        <v>305</v>
      </c>
      <c r="R4064" s="34">
        <f t="shared" si="66"/>
        <v>0.46259820107021005</v>
      </c>
    </row>
    <row r="4065" spans="16:18" x14ac:dyDescent="0.3">
      <c r="P4065" s="35">
        <v>28.95</v>
      </c>
      <c r="Q4065">
        <v>305</v>
      </c>
      <c r="R4065" s="34">
        <f t="shared" si="66"/>
        <v>0.4627120573835426</v>
      </c>
    </row>
    <row r="4066" spans="16:18" x14ac:dyDescent="0.3">
      <c r="P4066" s="35">
        <v>28.95</v>
      </c>
      <c r="Q4066">
        <v>305</v>
      </c>
      <c r="R4066" s="34">
        <f t="shared" si="66"/>
        <v>0.46282591369687515</v>
      </c>
    </row>
    <row r="4067" spans="16:18" x14ac:dyDescent="0.3">
      <c r="P4067" s="35">
        <v>28.95</v>
      </c>
      <c r="Q4067">
        <v>305</v>
      </c>
      <c r="R4067" s="34">
        <f t="shared" si="66"/>
        <v>0.4629397700102077</v>
      </c>
    </row>
    <row r="4068" spans="16:18" x14ac:dyDescent="0.3">
      <c r="P4068" s="35">
        <v>28.96</v>
      </c>
      <c r="Q4068">
        <v>305</v>
      </c>
      <c r="R4068" s="34">
        <f t="shared" si="66"/>
        <v>0.46305362632354025</v>
      </c>
    </row>
    <row r="4069" spans="16:18" x14ac:dyDescent="0.3">
      <c r="P4069" s="35">
        <v>28.96</v>
      </c>
      <c r="Q4069">
        <v>305</v>
      </c>
      <c r="R4069" s="34">
        <f t="shared" si="66"/>
        <v>0.4631674826368728</v>
      </c>
    </row>
    <row r="4070" spans="16:18" x14ac:dyDescent="0.3">
      <c r="P4070" s="35">
        <v>28.97</v>
      </c>
      <c r="Q4070">
        <v>305</v>
      </c>
      <c r="R4070" s="34">
        <f t="shared" si="66"/>
        <v>0.46328133895020535</v>
      </c>
    </row>
    <row r="4071" spans="16:18" x14ac:dyDescent="0.3">
      <c r="P4071" s="35">
        <v>28.97</v>
      </c>
      <c r="Q4071">
        <v>305</v>
      </c>
      <c r="R4071" s="34">
        <f t="shared" si="66"/>
        <v>0.4633951952635379</v>
      </c>
    </row>
    <row r="4072" spans="16:18" x14ac:dyDescent="0.3">
      <c r="P4072" s="35">
        <v>28.97</v>
      </c>
      <c r="Q4072">
        <v>305</v>
      </c>
      <c r="R4072" s="34">
        <f t="shared" si="66"/>
        <v>0.46350905157687045</v>
      </c>
    </row>
    <row r="4073" spans="16:18" x14ac:dyDescent="0.3">
      <c r="P4073" s="35">
        <v>28.97</v>
      </c>
      <c r="Q4073">
        <v>305</v>
      </c>
      <c r="R4073" s="34">
        <f t="shared" si="66"/>
        <v>0.463622907890203</v>
      </c>
    </row>
    <row r="4074" spans="16:18" x14ac:dyDescent="0.3">
      <c r="P4074" s="35">
        <v>28.98</v>
      </c>
      <c r="Q4074">
        <v>305</v>
      </c>
      <c r="R4074" s="34">
        <f t="shared" si="66"/>
        <v>0.46373676420353555</v>
      </c>
    </row>
    <row r="4075" spans="16:18" x14ac:dyDescent="0.3">
      <c r="P4075" s="35">
        <v>28.98</v>
      </c>
      <c r="Q4075">
        <v>305</v>
      </c>
      <c r="R4075" s="34">
        <f t="shared" si="66"/>
        <v>0.4638506205168681</v>
      </c>
    </row>
    <row r="4076" spans="16:18" x14ac:dyDescent="0.3">
      <c r="P4076" s="35">
        <v>28.98</v>
      </c>
      <c r="Q4076">
        <v>305</v>
      </c>
      <c r="R4076" s="34">
        <f t="shared" si="66"/>
        <v>0.46396447683020065</v>
      </c>
    </row>
    <row r="4077" spans="16:18" x14ac:dyDescent="0.3">
      <c r="P4077" s="35">
        <v>28.99</v>
      </c>
      <c r="Q4077">
        <v>305</v>
      </c>
      <c r="R4077" s="34">
        <f t="shared" si="66"/>
        <v>0.46407833314353319</v>
      </c>
    </row>
    <row r="4078" spans="16:18" x14ac:dyDescent="0.3">
      <c r="P4078" s="35">
        <v>28.99</v>
      </c>
      <c r="Q4078">
        <v>305</v>
      </c>
      <c r="R4078" s="34">
        <f t="shared" si="66"/>
        <v>0.46419218945686574</v>
      </c>
    </row>
    <row r="4079" spans="16:18" x14ac:dyDescent="0.3">
      <c r="P4079" s="35">
        <v>28.99</v>
      </c>
      <c r="Q4079">
        <v>305</v>
      </c>
      <c r="R4079" s="34">
        <f t="shared" si="66"/>
        <v>0.46430604577019829</v>
      </c>
    </row>
    <row r="4080" spans="16:18" x14ac:dyDescent="0.3">
      <c r="P4080" s="35">
        <v>28.99</v>
      </c>
      <c r="Q4080">
        <v>305</v>
      </c>
      <c r="R4080" s="34">
        <f t="shared" si="66"/>
        <v>0.46441990208353084</v>
      </c>
    </row>
    <row r="4081" spans="16:18" x14ac:dyDescent="0.3">
      <c r="P4081" s="35">
        <v>29</v>
      </c>
      <c r="Q4081">
        <v>305</v>
      </c>
      <c r="R4081" s="34">
        <f t="shared" si="66"/>
        <v>0.46453375839686339</v>
      </c>
    </row>
    <row r="4082" spans="16:18" x14ac:dyDescent="0.3">
      <c r="P4082" s="35">
        <v>29</v>
      </c>
      <c r="Q4082">
        <v>305</v>
      </c>
      <c r="R4082" s="34">
        <f t="shared" si="66"/>
        <v>0.46464761471019594</v>
      </c>
    </row>
    <row r="4083" spans="16:18" x14ac:dyDescent="0.3">
      <c r="P4083" s="35">
        <v>29</v>
      </c>
      <c r="Q4083">
        <v>305</v>
      </c>
      <c r="R4083" s="34">
        <f t="shared" si="66"/>
        <v>0.46476147102352849</v>
      </c>
    </row>
    <row r="4084" spans="16:18" x14ac:dyDescent="0.3">
      <c r="P4084" s="35">
        <v>29</v>
      </c>
      <c r="Q4084">
        <v>305</v>
      </c>
      <c r="R4084" s="34">
        <f t="shared" si="66"/>
        <v>0.46487532733686104</v>
      </c>
    </row>
    <row r="4085" spans="16:18" x14ac:dyDescent="0.3">
      <c r="P4085" s="35">
        <v>29</v>
      </c>
      <c r="Q4085">
        <v>305</v>
      </c>
      <c r="R4085" s="34">
        <f t="shared" si="66"/>
        <v>0.46498918365019359</v>
      </c>
    </row>
    <row r="4086" spans="16:18" x14ac:dyDescent="0.3">
      <c r="P4086" s="35">
        <v>29.01</v>
      </c>
      <c r="Q4086">
        <v>305</v>
      </c>
      <c r="R4086" s="34">
        <f t="shared" si="66"/>
        <v>0.46510303996352614</v>
      </c>
    </row>
    <row r="4087" spans="16:18" x14ac:dyDescent="0.3">
      <c r="P4087" s="35">
        <v>29.01</v>
      </c>
      <c r="Q4087">
        <v>305</v>
      </c>
      <c r="R4087" s="34">
        <f t="shared" si="66"/>
        <v>0.46521689627685869</v>
      </c>
    </row>
    <row r="4088" spans="16:18" x14ac:dyDescent="0.3">
      <c r="P4088" s="35">
        <v>29.01</v>
      </c>
      <c r="Q4088">
        <v>305</v>
      </c>
      <c r="R4088" s="34">
        <f t="shared" si="66"/>
        <v>0.46533075259019124</v>
      </c>
    </row>
    <row r="4089" spans="16:18" x14ac:dyDescent="0.3">
      <c r="P4089" s="35">
        <v>29.01</v>
      </c>
      <c r="Q4089">
        <v>305</v>
      </c>
      <c r="R4089" s="34">
        <f t="shared" si="66"/>
        <v>0.46544460890352379</v>
      </c>
    </row>
    <row r="4090" spans="16:18" x14ac:dyDescent="0.3">
      <c r="P4090" s="35">
        <v>29.02</v>
      </c>
      <c r="Q4090">
        <v>305</v>
      </c>
      <c r="R4090" s="34">
        <f t="shared" si="66"/>
        <v>0.46555846521685634</v>
      </c>
    </row>
    <row r="4091" spans="16:18" x14ac:dyDescent="0.3">
      <c r="P4091" s="35">
        <v>29.03</v>
      </c>
      <c r="Q4091">
        <v>305</v>
      </c>
      <c r="R4091" s="34">
        <f t="shared" si="66"/>
        <v>0.46567232153018889</v>
      </c>
    </row>
    <row r="4092" spans="16:18" x14ac:dyDescent="0.3">
      <c r="P4092" s="35">
        <v>29.03</v>
      </c>
      <c r="Q4092">
        <v>305</v>
      </c>
      <c r="R4092" s="34">
        <f t="shared" si="66"/>
        <v>0.46578617784352144</v>
      </c>
    </row>
    <row r="4093" spans="16:18" x14ac:dyDescent="0.3">
      <c r="P4093" s="35">
        <v>29.05</v>
      </c>
      <c r="Q4093">
        <v>305</v>
      </c>
      <c r="R4093" s="34">
        <f t="shared" si="66"/>
        <v>0.46590003415685399</v>
      </c>
    </row>
    <row r="4094" spans="16:18" x14ac:dyDescent="0.3">
      <c r="P4094" s="35">
        <v>29.05</v>
      </c>
      <c r="Q4094">
        <v>305</v>
      </c>
      <c r="R4094" s="34">
        <f t="shared" si="66"/>
        <v>0.46601389047018654</v>
      </c>
    </row>
    <row r="4095" spans="16:18" x14ac:dyDescent="0.3">
      <c r="P4095" s="35">
        <v>29.06</v>
      </c>
      <c r="Q4095">
        <v>305</v>
      </c>
      <c r="R4095" s="34">
        <f t="shared" si="66"/>
        <v>0.46612774678351909</v>
      </c>
    </row>
    <row r="4096" spans="16:18" x14ac:dyDescent="0.3">
      <c r="P4096" s="35">
        <v>29.06</v>
      </c>
      <c r="Q4096">
        <v>305</v>
      </c>
      <c r="R4096" s="34">
        <f t="shared" si="66"/>
        <v>0.46624160309685164</v>
      </c>
    </row>
    <row r="4097" spans="16:18" x14ac:dyDescent="0.3">
      <c r="P4097" s="35">
        <v>29.06</v>
      </c>
      <c r="Q4097">
        <v>305</v>
      </c>
      <c r="R4097" s="34">
        <f t="shared" si="66"/>
        <v>0.46635545941018419</v>
      </c>
    </row>
    <row r="4098" spans="16:18" x14ac:dyDescent="0.3">
      <c r="P4098" s="35">
        <v>29.06</v>
      </c>
      <c r="Q4098">
        <v>305</v>
      </c>
      <c r="R4098" s="34">
        <f t="shared" si="66"/>
        <v>0.46646931572351674</v>
      </c>
    </row>
    <row r="4099" spans="16:18" x14ac:dyDescent="0.3">
      <c r="P4099" s="35">
        <v>29.07</v>
      </c>
      <c r="Q4099">
        <v>305</v>
      </c>
      <c r="R4099" s="34">
        <f t="shared" si="66"/>
        <v>0.46658317203684929</v>
      </c>
    </row>
    <row r="4100" spans="16:18" x14ac:dyDescent="0.3">
      <c r="P4100" s="35">
        <v>29.07</v>
      </c>
      <c r="Q4100">
        <v>305</v>
      </c>
      <c r="R4100" s="34">
        <f t="shared" ref="R4100:R4163" si="67">R4099+R$2</f>
        <v>0.46669702835018184</v>
      </c>
    </row>
    <row r="4101" spans="16:18" x14ac:dyDescent="0.3">
      <c r="P4101" s="35">
        <v>29.07</v>
      </c>
      <c r="Q4101">
        <v>305</v>
      </c>
      <c r="R4101" s="34">
        <f t="shared" si="67"/>
        <v>0.46681088466351439</v>
      </c>
    </row>
    <row r="4102" spans="16:18" x14ac:dyDescent="0.3">
      <c r="P4102" s="35">
        <v>29.07</v>
      </c>
      <c r="Q4102">
        <v>305</v>
      </c>
      <c r="R4102" s="34">
        <f t="shared" si="67"/>
        <v>0.46692474097684694</v>
      </c>
    </row>
    <row r="4103" spans="16:18" x14ac:dyDescent="0.3">
      <c r="P4103" s="35">
        <v>29.07</v>
      </c>
      <c r="Q4103">
        <v>305</v>
      </c>
      <c r="R4103" s="34">
        <f t="shared" si="67"/>
        <v>0.46703859729017949</v>
      </c>
    </row>
    <row r="4104" spans="16:18" x14ac:dyDescent="0.3">
      <c r="P4104" s="35">
        <v>29.08</v>
      </c>
      <c r="Q4104">
        <v>305</v>
      </c>
      <c r="R4104" s="34">
        <f t="shared" si="67"/>
        <v>0.46715245360351204</v>
      </c>
    </row>
    <row r="4105" spans="16:18" x14ac:dyDescent="0.3">
      <c r="P4105" s="35">
        <v>29.08</v>
      </c>
      <c r="Q4105">
        <v>305</v>
      </c>
      <c r="R4105" s="34">
        <f t="shared" si="67"/>
        <v>0.46726630991684459</v>
      </c>
    </row>
    <row r="4106" spans="16:18" x14ac:dyDescent="0.3">
      <c r="P4106" s="35">
        <v>29.08</v>
      </c>
      <c r="Q4106">
        <v>305</v>
      </c>
      <c r="R4106" s="34">
        <f t="shared" si="67"/>
        <v>0.46738016623017714</v>
      </c>
    </row>
    <row r="4107" spans="16:18" x14ac:dyDescent="0.3">
      <c r="P4107" s="35">
        <v>29.1</v>
      </c>
      <c r="Q4107">
        <v>305</v>
      </c>
      <c r="R4107" s="34">
        <f t="shared" si="67"/>
        <v>0.46749402254350969</v>
      </c>
    </row>
    <row r="4108" spans="16:18" x14ac:dyDescent="0.3">
      <c r="P4108" s="35">
        <v>29.1</v>
      </c>
      <c r="Q4108">
        <v>305</v>
      </c>
      <c r="R4108" s="34">
        <f t="shared" si="67"/>
        <v>0.46760787885684224</v>
      </c>
    </row>
    <row r="4109" spans="16:18" x14ac:dyDescent="0.3">
      <c r="P4109" s="35">
        <v>29.11</v>
      </c>
      <c r="Q4109">
        <v>305</v>
      </c>
      <c r="R4109" s="34">
        <f t="shared" si="67"/>
        <v>0.46772173517017479</v>
      </c>
    </row>
    <row r="4110" spans="16:18" x14ac:dyDescent="0.3">
      <c r="P4110" s="35">
        <v>29.11</v>
      </c>
      <c r="Q4110">
        <v>305</v>
      </c>
      <c r="R4110" s="34">
        <f t="shared" si="67"/>
        <v>0.46783559148350734</v>
      </c>
    </row>
    <row r="4111" spans="16:18" x14ac:dyDescent="0.3">
      <c r="P4111" s="35">
        <v>29.12</v>
      </c>
      <c r="Q4111">
        <v>305</v>
      </c>
      <c r="R4111" s="34">
        <f t="shared" si="67"/>
        <v>0.46794944779683989</v>
      </c>
    </row>
    <row r="4112" spans="16:18" x14ac:dyDescent="0.3">
      <c r="P4112" s="35">
        <v>29.12</v>
      </c>
      <c r="Q4112">
        <v>305</v>
      </c>
      <c r="R4112" s="34">
        <f t="shared" si="67"/>
        <v>0.46806330411017244</v>
      </c>
    </row>
    <row r="4113" spans="16:18" x14ac:dyDescent="0.3">
      <c r="P4113" s="35">
        <v>29.12</v>
      </c>
      <c r="Q4113">
        <v>305</v>
      </c>
      <c r="R4113" s="34">
        <f t="shared" si="67"/>
        <v>0.46817716042350499</v>
      </c>
    </row>
    <row r="4114" spans="16:18" x14ac:dyDescent="0.3">
      <c r="P4114" s="35">
        <v>29.12</v>
      </c>
      <c r="Q4114">
        <v>305</v>
      </c>
      <c r="R4114" s="34">
        <f t="shared" si="67"/>
        <v>0.46829101673683754</v>
      </c>
    </row>
    <row r="4115" spans="16:18" x14ac:dyDescent="0.3">
      <c r="P4115" s="35">
        <v>29.14</v>
      </c>
      <c r="Q4115">
        <v>305</v>
      </c>
      <c r="R4115" s="34">
        <f t="shared" si="67"/>
        <v>0.46840487305017009</v>
      </c>
    </row>
    <row r="4116" spans="16:18" x14ac:dyDescent="0.3">
      <c r="P4116" s="35">
        <v>29.14</v>
      </c>
      <c r="Q4116">
        <v>305</v>
      </c>
      <c r="R4116" s="34">
        <f t="shared" si="67"/>
        <v>0.46851872936350264</v>
      </c>
    </row>
    <row r="4117" spans="16:18" x14ac:dyDescent="0.3">
      <c r="P4117" s="35">
        <v>29.15</v>
      </c>
      <c r="Q4117">
        <v>305</v>
      </c>
      <c r="R4117" s="34">
        <f t="shared" si="67"/>
        <v>0.46863258567683519</v>
      </c>
    </row>
    <row r="4118" spans="16:18" x14ac:dyDescent="0.3">
      <c r="P4118" s="35">
        <v>29.15</v>
      </c>
      <c r="Q4118">
        <v>305</v>
      </c>
      <c r="R4118" s="34">
        <f t="shared" si="67"/>
        <v>0.46874644199016774</v>
      </c>
    </row>
    <row r="4119" spans="16:18" x14ac:dyDescent="0.3">
      <c r="P4119" s="35">
        <v>29.15</v>
      </c>
      <c r="Q4119">
        <v>305</v>
      </c>
      <c r="R4119" s="34">
        <f t="shared" si="67"/>
        <v>0.46886029830350029</v>
      </c>
    </row>
    <row r="4120" spans="16:18" x14ac:dyDescent="0.3">
      <c r="P4120" s="35">
        <v>29.15</v>
      </c>
      <c r="Q4120">
        <v>305</v>
      </c>
      <c r="R4120" s="34">
        <f t="shared" si="67"/>
        <v>0.46897415461683284</v>
      </c>
    </row>
    <row r="4121" spans="16:18" x14ac:dyDescent="0.3">
      <c r="P4121" s="35">
        <v>29.16</v>
      </c>
      <c r="Q4121">
        <v>305</v>
      </c>
      <c r="R4121" s="34">
        <f t="shared" si="67"/>
        <v>0.46908801093016539</v>
      </c>
    </row>
    <row r="4122" spans="16:18" x14ac:dyDescent="0.3">
      <c r="P4122" s="35">
        <v>29.16</v>
      </c>
      <c r="Q4122">
        <v>305</v>
      </c>
      <c r="R4122" s="34">
        <f t="shared" si="67"/>
        <v>0.46920186724349794</v>
      </c>
    </row>
    <row r="4123" spans="16:18" x14ac:dyDescent="0.3">
      <c r="P4123" s="35">
        <v>29.17</v>
      </c>
      <c r="Q4123">
        <v>305</v>
      </c>
      <c r="R4123" s="34">
        <f t="shared" si="67"/>
        <v>0.46931572355683049</v>
      </c>
    </row>
    <row r="4124" spans="16:18" x14ac:dyDescent="0.3">
      <c r="P4124" s="35">
        <v>29.17</v>
      </c>
      <c r="Q4124">
        <v>305</v>
      </c>
      <c r="R4124" s="34">
        <f t="shared" si="67"/>
        <v>0.46942957987016304</v>
      </c>
    </row>
    <row r="4125" spans="16:18" x14ac:dyDescent="0.3">
      <c r="P4125" s="35">
        <v>29.17</v>
      </c>
      <c r="Q4125">
        <v>305</v>
      </c>
      <c r="R4125" s="34">
        <f t="shared" si="67"/>
        <v>0.46954343618349559</v>
      </c>
    </row>
    <row r="4126" spans="16:18" x14ac:dyDescent="0.3">
      <c r="P4126" s="35">
        <v>29.17</v>
      </c>
      <c r="Q4126">
        <v>305</v>
      </c>
      <c r="R4126" s="34">
        <f t="shared" si="67"/>
        <v>0.46965729249682814</v>
      </c>
    </row>
    <row r="4127" spans="16:18" x14ac:dyDescent="0.3">
      <c r="P4127" s="35">
        <v>29.18</v>
      </c>
      <c r="Q4127">
        <v>305</v>
      </c>
      <c r="R4127" s="34">
        <f t="shared" si="67"/>
        <v>0.46977114881016069</v>
      </c>
    </row>
    <row r="4128" spans="16:18" x14ac:dyDescent="0.3">
      <c r="P4128" s="35">
        <v>29.18</v>
      </c>
      <c r="Q4128">
        <v>305</v>
      </c>
      <c r="R4128" s="34">
        <f t="shared" si="67"/>
        <v>0.46988500512349324</v>
      </c>
    </row>
    <row r="4129" spans="16:18" x14ac:dyDescent="0.3">
      <c r="P4129" s="35">
        <v>29.18</v>
      </c>
      <c r="Q4129">
        <v>305</v>
      </c>
      <c r="R4129" s="34">
        <f t="shared" si="67"/>
        <v>0.46999886143682579</v>
      </c>
    </row>
    <row r="4130" spans="16:18" x14ac:dyDescent="0.3">
      <c r="P4130" s="35">
        <v>29.18</v>
      </c>
      <c r="Q4130">
        <v>305</v>
      </c>
      <c r="R4130" s="34">
        <f t="shared" si="67"/>
        <v>0.47011271775015834</v>
      </c>
    </row>
    <row r="4131" spans="16:18" x14ac:dyDescent="0.3">
      <c r="P4131" s="35">
        <v>29.18</v>
      </c>
      <c r="Q4131">
        <v>305</v>
      </c>
      <c r="R4131" s="34">
        <f t="shared" si="67"/>
        <v>0.47022657406349089</v>
      </c>
    </row>
    <row r="4132" spans="16:18" x14ac:dyDescent="0.3">
      <c r="P4132" s="35">
        <v>29.19</v>
      </c>
      <c r="Q4132">
        <v>305</v>
      </c>
      <c r="R4132" s="34">
        <f t="shared" si="67"/>
        <v>0.47034043037682344</v>
      </c>
    </row>
    <row r="4133" spans="16:18" x14ac:dyDescent="0.3">
      <c r="P4133" s="35">
        <v>29.19</v>
      </c>
      <c r="Q4133">
        <v>305</v>
      </c>
      <c r="R4133" s="34">
        <f t="shared" si="67"/>
        <v>0.47045428669015599</v>
      </c>
    </row>
    <row r="4134" spans="16:18" x14ac:dyDescent="0.3">
      <c r="P4134" s="35">
        <v>29.19</v>
      </c>
      <c r="Q4134">
        <v>305</v>
      </c>
      <c r="R4134" s="34">
        <f t="shared" si="67"/>
        <v>0.47056814300348854</v>
      </c>
    </row>
    <row r="4135" spans="16:18" x14ac:dyDescent="0.3">
      <c r="P4135" s="35">
        <v>29.2</v>
      </c>
      <c r="Q4135">
        <v>305</v>
      </c>
      <c r="R4135" s="34">
        <f t="shared" si="67"/>
        <v>0.47068199931682109</v>
      </c>
    </row>
    <row r="4136" spans="16:18" x14ac:dyDescent="0.3">
      <c r="P4136" s="35">
        <v>29.2</v>
      </c>
      <c r="Q4136">
        <v>305</v>
      </c>
      <c r="R4136" s="34">
        <f t="shared" si="67"/>
        <v>0.47079585563015364</v>
      </c>
    </row>
    <row r="4137" spans="16:18" x14ac:dyDescent="0.3">
      <c r="P4137" s="35">
        <v>29.21</v>
      </c>
      <c r="Q4137">
        <v>305</v>
      </c>
      <c r="R4137" s="34">
        <f t="shared" si="67"/>
        <v>0.47090971194348619</v>
      </c>
    </row>
    <row r="4138" spans="16:18" x14ac:dyDescent="0.3">
      <c r="P4138" s="35">
        <v>29.22</v>
      </c>
      <c r="Q4138">
        <v>305</v>
      </c>
      <c r="R4138" s="34">
        <f t="shared" si="67"/>
        <v>0.47102356825681874</v>
      </c>
    </row>
    <row r="4139" spans="16:18" x14ac:dyDescent="0.3">
      <c r="P4139" s="35">
        <v>29.22</v>
      </c>
      <c r="Q4139">
        <v>305</v>
      </c>
      <c r="R4139" s="34">
        <f t="shared" si="67"/>
        <v>0.47113742457015129</v>
      </c>
    </row>
    <row r="4140" spans="16:18" x14ac:dyDescent="0.3">
      <c r="P4140" s="35">
        <v>29.22</v>
      </c>
      <c r="Q4140">
        <v>305</v>
      </c>
      <c r="R4140" s="34">
        <f t="shared" si="67"/>
        <v>0.47125128088348384</v>
      </c>
    </row>
    <row r="4141" spans="16:18" x14ac:dyDescent="0.3">
      <c r="P4141" s="35">
        <v>29.24</v>
      </c>
      <c r="Q4141">
        <v>305</v>
      </c>
      <c r="R4141" s="34">
        <f t="shared" si="67"/>
        <v>0.47136513719681639</v>
      </c>
    </row>
    <row r="4142" spans="16:18" x14ac:dyDescent="0.3">
      <c r="P4142" s="35">
        <v>29.24</v>
      </c>
      <c r="Q4142">
        <v>305</v>
      </c>
      <c r="R4142" s="34">
        <f t="shared" si="67"/>
        <v>0.47147899351014894</v>
      </c>
    </row>
    <row r="4143" spans="16:18" x14ac:dyDescent="0.3">
      <c r="P4143" s="35">
        <v>29.24</v>
      </c>
      <c r="Q4143">
        <v>305</v>
      </c>
      <c r="R4143" s="34">
        <f t="shared" si="67"/>
        <v>0.47159284982348149</v>
      </c>
    </row>
    <row r="4144" spans="16:18" x14ac:dyDescent="0.3">
      <c r="P4144" s="35">
        <v>29.25</v>
      </c>
      <c r="Q4144">
        <v>305</v>
      </c>
      <c r="R4144" s="34">
        <f t="shared" si="67"/>
        <v>0.47170670613681404</v>
      </c>
    </row>
    <row r="4145" spans="16:18" x14ac:dyDescent="0.3">
      <c r="P4145" s="35">
        <v>29.25</v>
      </c>
      <c r="Q4145">
        <v>305</v>
      </c>
      <c r="R4145" s="34">
        <f t="shared" si="67"/>
        <v>0.47182056245014659</v>
      </c>
    </row>
    <row r="4146" spans="16:18" x14ac:dyDescent="0.3">
      <c r="P4146" s="35">
        <v>29.25</v>
      </c>
      <c r="Q4146">
        <v>305</v>
      </c>
      <c r="R4146" s="34">
        <f t="shared" si="67"/>
        <v>0.47193441876347914</v>
      </c>
    </row>
    <row r="4147" spans="16:18" x14ac:dyDescent="0.3">
      <c r="P4147" s="35">
        <v>29.25</v>
      </c>
      <c r="Q4147">
        <v>305</v>
      </c>
      <c r="R4147" s="34">
        <f t="shared" si="67"/>
        <v>0.47204827507681169</v>
      </c>
    </row>
    <row r="4148" spans="16:18" x14ac:dyDescent="0.3">
      <c r="P4148" s="35">
        <v>29.25</v>
      </c>
      <c r="Q4148">
        <v>305</v>
      </c>
      <c r="R4148" s="34">
        <f t="shared" si="67"/>
        <v>0.47216213139014424</v>
      </c>
    </row>
    <row r="4149" spans="16:18" x14ac:dyDescent="0.3">
      <c r="P4149" s="35">
        <v>29.25</v>
      </c>
      <c r="Q4149">
        <v>305</v>
      </c>
      <c r="R4149" s="34">
        <f t="shared" si="67"/>
        <v>0.47227598770347679</v>
      </c>
    </row>
    <row r="4150" spans="16:18" x14ac:dyDescent="0.3">
      <c r="P4150" s="35">
        <v>29.26</v>
      </c>
      <c r="Q4150">
        <v>305</v>
      </c>
      <c r="R4150" s="34">
        <f t="shared" si="67"/>
        <v>0.47238984401680933</v>
      </c>
    </row>
    <row r="4151" spans="16:18" x14ac:dyDescent="0.3">
      <c r="P4151" s="35">
        <v>29.26</v>
      </c>
      <c r="Q4151">
        <v>305</v>
      </c>
      <c r="R4151" s="34">
        <f t="shared" si="67"/>
        <v>0.47250370033014188</v>
      </c>
    </row>
    <row r="4152" spans="16:18" x14ac:dyDescent="0.3">
      <c r="P4152" s="35">
        <v>29.27</v>
      </c>
      <c r="Q4152">
        <v>305</v>
      </c>
      <c r="R4152" s="34">
        <f t="shared" si="67"/>
        <v>0.47261755664347443</v>
      </c>
    </row>
    <row r="4153" spans="16:18" x14ac:dyDescent="0.3">
      <c r="P4153" s="35">
        <v>29.28</v>
      </c>
      <c r="Q4153">
        <v>305</v>
      </c>
      <c r="R4153" s="34">
        <f t="shared" si="67"/>
        <v>0.47273141295680698</v>
      </c>
    </row>
    <row r="4154" spans="16:18" x14ac:dyDescent="0.3">
      <c r="P4154" s="35">
        <v>29.29</v>
      </c>
      <c r="Q4154">
        <v>305</v>
      </c>
      <c r="R4154" s="34">
        <f t="shared" si="67"/>
        <v>0.47284526927013953</v>
      </c>
    </row>
    <row r="4155" spans="16:18" x14ac:dyDescent="0.3">
      <c r="P4155" s="35">
        <v>29.29</v>
      </c>
      <c r="Q4155">
        <v>305</v>
      </c>
      <c r="R4155" s="34">
        <f t="shared" si="67"/>
        <v>0.47295912558347208</v>
      </c>
    </row>
    <row r="4156" spans="16:18" x14ac:dyDescent="0.3">
      <c r="P4156" s="35">
        <v>29.3</v>
      </c>
      <c r="Q4156">
        <v>305</v>
      </c>
      <c r="R4156" s="34">
        <f t="shared" si="67"/>
        <v>0.47307298189680463</v>
      </c>
    </row>
    <row r="4157" spans="16:18" x14ac:dyDescent="0.3">
      <c r="P4157" s="35">
        <v>29.3</v>
      </c>
      <c r="Q4157">
        <v>305</v>
      </c>
      <c r="R4157" s="34">
        <f t="shared" si="67"/>
        <v>0.47318683821013718</v>
      </c>
    </row>
    <row r="4158" spans="16:18" x14ac:dyDescent="0.3">
      <c r="P4158" s="35">
        <v>29.3</v>
      </c>
      <c r="Q4158">
        <v>305</v>
      </c>
      <c r="R4158" s="34">
        <f t="shared" si="67"/>
        <v>0.47330069452346973</v>
      </c>
    </row>
    <row r="4159" spans="16:18" x14ac:dyDescent="0.3">
      <c r="P4159" s="35">
        <v>29.31</v>
      </c>
      <c r="Q4159">
        <v>305</v>
      </c>
      <c r="R4159" s="34">
        <f t="shared" si="67"/>
        <v>0.47341455083680228</v>
      </c>
    </row>
    <row r="4160" spans="16:18" x14ac:dyDescent="0.3">
      <c r="P4160" s="35">
        <v>29.32</v>
      </c>
      <c r="Q4160">
        <v>305</v>
      </c>
      <c r="R4160" s="34">
        <f t="shared" si="67"/>
        <v>0.47352840715013483</v>
      </c>
    </row>
    <row r="4161" spans="16:18" x14ac:dyDescent="0.3">
      <c r="P4161" s="35">
        <v>29.32</v>
      </c>
      <c r="Q4161">
        <v>305</v>
      </c>
      <c r="R4161" s="34">
        <f t="shared" si="67"/>
        <v>0.47364226346346738</v>
      </c>
    </row>
    <row r="4162" spans="16:18" x14ac:dyDescent="0.3">
      <c r="P4162" s="35">
        <v>29.32</v>
      </c>
      <c r="Q4162">
        <v>305</v>
      </c>
      <c r="R4162" s="34">
        <f t="shared" si="67"/>
        <v>0.47375611977679993</v>
      </c>
    </row>
    <row r="4163" spans="16:18" x14ac:dyDescent="0.3">
      <c r="P4163" s="35">
        <v>29.33</v>
      </c>
      <c r="Q4163">
        <v>305</v>
      </c>
      <c r="R4163" s="34">
        <f t="shared" si="67"/>
        <v>0.47386997609013248</v>
      </c>
    </row>
    <row r="4164" spans="16:18" x14ac:dyDescent="0.3">
      <c r="P4164" s="35">
        <v>29.33</v>
      </c>
      <c r="Q4164">
        <v>305</v>
      </c>
      <c r="R4164" s="34">
        <f t="shared" ref="R4164:R4227" si="68">R4163+R$2</f>
        <v>0.47398383240346503</v>
      </c>
    </row>
    <row r="4165" spans="16:18" x14ac:dyDescent="0.3">
      <c r="P4165" s="35">
        <v>29.33</v>
      </c>
      <c r="Q4165">
        <v>305</v>
      </c>
      <c r="R4165" s="34">
        <f t="shared" si="68"/>
        <v>0.47409768871679758</v>
      </c>
    </row>
    <row r="4166" spans="16:18" x14ac:dyDescent="0.3">
      <c r="P4166" s="35">
        <v>29.33</v>
      </c>
      <c r="Q4166">
        <v>305</v>
      </c>
      <c r="R4166" s="34">
        <f t="shared" si="68"/>
        <v>0.47421154503013013</v>
      </c>
    </row>
    <row r="4167" spans="16:18" x14ac:dyDescent="0.3">
      <c r="P4167" s="35">
        <v>29.34</v>
      </c>
      <c r="Q4167">
        <v>305</v>
      </c>
      <c r="R4167" s="34">
        <f t="shared" si="68"/>
        <v>0.47432540134346268</v>
      </c>
    </row>
    <row r="4168" spans="16:18" x14ac:dyDescent="0.3">
      <c r="P4168" s="35">
        <v>29.34</v>
      </c>
      <c r="Q4168">
        <v>305</v>
      </c>
      <c r="R4168" s="34">
        <f t="shared" si="68"/>
        <v>0.47443925765679523</v>
      </c>
    </row>
    <row r="4169" spans="16:18" x14ac:dyDescent="0.3">
      <c r="P4169" s="35">
        <v>29.34</v>
      </c>
      <c r="Q4169">
        <v>305</v>
      </c>
      <c r="R4169" s="34">
        <f t="shared" si="68"/>
        <v>0.47455311397012778</v>
      </c>
    </row>
    <row r="4170" spans="16:18" x14ac:dyDescent="0.3">
      <c r="P4170" s="35">
        <v>29.35</v>
      </c>
      <c r="Q4170">
        <v>305</v>
      </c>
      <c r="R4170" s="34">
        <f t="shared" si="68"/>
        <v>0.47466697028346033</v>
      </c>
    </row>
    <row r="4171" spans="16:18" x14ac:dyDescent="0.3">
      <c r="P4171" s="35">
        <v>29.35</v>
      </c>
      <c r="Q4171">
        <v>305</v>
      </c>
      <c r="R4171" s="34">
        <f t="shared" si="68"/>
        <v>0.47478082659679288</v>
      </c>
    </row>
    <row r="4172" spans="16:18" x14ac:dyDescent="0.3">
      <c r="P4172" s="35">
        <v>29.36</v>
      </c>
      <c r="Q4172">
        <v>305</v>
      </c>
      <c r="R4172" s="34">
        <f t="shared" si="68"/>
        <v>0.47489468291012543</v>
      </c>
    </row>
    <row r="4173" spans="16:18" x14ac:dyDescent="0.3">
      <c r="P4173" s="35">
        <v>29.36</v>
      </c>
      <c r="Q4173">
        <v>305</v>
      </c>
      <c r="R4173" s="34">
        <f t="shared" si="68"/>
        <v>0.47500853922345798</v>
      </c>
    </row>
    <row r="4174" spans="16:18" x14ac:dyDescent="0.3">
      <c r="P4174" s="35">
        <v>29.36</v>
      </c>
      <c r="Q4174">
        <v>305</v>
      </c>
      <c r="R4174" s="34">
        <f t="shared" si="68"/>
        <v>0.47512239553679053</v>
      </c>
    </row>
    <row r="4175" spans="16:18" x14ac:dyDescent="0.3">
      <c r="P4175" s="35">
        <v>29.36</v>
      </c>
      <c r="Q4175">
        <v>305</v>
      </c>
      <c r="R4175" s="34">
        <f t="shared" si="68"/>
        <v>0.47523625185012308</v>
      </c>
    </row>
    <row r="4176" spans="16:18" x14ac:dyDescent="0.3">
      <c r="P4176" s="35">
        <v>29.37</v>
      </c>
      <c r="Q4176">
        <v>305</v>
      </c>
      <c r="R4176" s="34">
        <f t="shared" si="68"/>
        <v>0.47535010816345563</v>
      </c>
    </row>
    <row r="4177" spans="16:18" x14ac:dyDescent="0.3">
      <c r="P4177" s="35">
        <v>29.37</v>
      </c>
      <c r="Q4177">
        <v>305</v>
      </c>
      <c r="R4177" s="34">
        <f t="shared" si="68"/>
        <v>0.47546396447678818</v>
      </c>
    </row>
    <row r="4178" spans="16:18" x14ac:dyDescent="0.3">
      <c r="P4178" s="35">
        <v>29.37</v>
      </c>
      <c r="Q4178">
        <v>305</v>
      </c>
      <c r="R4178" s="34">
        <f t="shared" si="68"/>
        <v>0.47557782079012073</v>
      </c>
    </row>
    <row r="4179" spans="16:18" x14ac:dyDescent="0.3">
      <c r="P4179" s="35">
        <v>29.38</v>
      </c>
      <c r="Q4179">
        <v>305</v>
      </c>
      <c r="R4179" s="34">
        <f t="shared" si="68"/>
        <v>0.47569167710345328</v>
      </c>
    </row>
    <row r="4180" spans="16:18" x14ac:dyDescent="0.3">
      <c r="P4180" s="35">
        <v>29.38</v>
      </c>
      <c r="Q4180">
        <v>305</v>
      </c>
      <c r="R4180" s="34">
        <f t="shared" si="68"/>
        <v>0.47580553341678583</v>
      </c>
    </row>
    <row r="4181" spans="16:18" x14ac:dyDescent="0.3">
      <c r="P4181" s="35">
        <v>29.38</v>
      </c>
      <c r="Q4181">
        <v>305</v>
      </c>
      <c r="R4181" s="34">
        <f t="shared" si="68"/>
        <v>0.47591938973011838</v>
      </c>
    </row>
    <row r="4182" spans="16:18" x14ac:dyDescent="0.3">
      <c r="P4182" s="35">
        <v>29.38</v>
      </c>
      <c r="Q4182">
        <v>305</v>
      </c>
      <c r="R4182" s="34">
        <f t="shared" si="68"/>
        <v>0.47603324604345093</v>
      </c>
    </row>
    <row r="4183" spans="16:18" x14ac:dyDescent="0.3">
      <c r="P4183" s="35">
        <v>29.39</v>
      </c>
      <c r="Q4183">
        <v>305</v>
      </c>
      <c r="R4183" s="34">
        <f t="shared" si="68"/>
        <v>0.47614710235678348</v>
      </c>
    </row>
    <row r="4184" spans="16:18" x14ac:dyDescent="0.3">
      <c r="P4184" s="35">
        <v>29.39</v>
      </c>
      <c r="Q4184">
        <v>305</v>
      </c>
      <c r="R4184" s="34">
        <f t="shared" si="68"/>
        <v>0.47626095867011603</v>
      </c>
    </row>
    <row r="4185" spans="16:18" x14ac:dyDescent="0.3">
      <c r="P4185" s="35">
        <v>29.4</v>
      </c>
      <c r="Q4185">
        <v>305</v>
      </c>
      <c r="R4185" s="34">
        <f t="shared" si="68"/>
        <v>0.47637481498344858</v>
      </c>
    </row>
    <row r="4186" spans="16:18" x14ac:dyDescent="0.3">
      <c r="P4186" s="35">
        <v>29.4</v>
      </c>
      <c r="Q4186">
        <v>305</v>
      </c>
      <c r="R4186" s="34">
        <f t="shared" si="68"/>
        <v>0.47648867129678113</v>
      </c>
    </row>
    <row r="4187" spans="16:18" x14ac:dyDescent="0.3">
      <c r="P4187" s="35">
        <v>29.41</v>
      </c>
      <c r="Q4187">
        <v>305</v>
      </c>
      <c r="R4187" s="34">
        <f t="shared" si="68"/>
        <v>0.47660252761011368</v>
      </c>
    </row>
    <row r="4188" spans="16:18" x14ac:dyDescent="0.3">
      <c r="P4188" s="35">
        <v>29.41</v>
      </c>
      <c r="Q4188">
        <v>305</v>
      </c>
      <c r="R4188" s="34">
        <f t="shared" si="68"/>
        <v>0.47671638392344623</v>
      </c>
    </row>
    <row r="4189" spans="16:18" x14ac:dyDescent="0.3">
      <c r="P4189" s="35">
        <v>29.41</v>
      </c>
      <c r="Q4189">
        <v>305</v>
      </c>
      <c r="R4189" s="34">
        <f t="shared" si="68"/>
        <v>0.47683024023677878</v>
      </c>
    </row>
    <row r="4190" spans="16:18" x14ac:dyDescent="0.3">
      <c r="P4190" s="35">
        <v>29.41</v>
      </c>
      <c r="Q4190">
        <v>305</v>
      </c>
      <c r="R4190" s="34">
        <f t="shared" si="68"/>
        <v>0.47694409655011133</v>
      </c>
    </row>
    <row r="4191" spans="16:18" x14ac:dyDescent="0.3">
      <c r="P4191" s="35">
        <v>29.42</v>
      </c>
      <c r="Q4191">
        <v>305</v>
      </c>
      <c r="R4191" s="34">
        <f t="shared" si="68"/>
        <v>0.47705795286344388</v>
      </c>
    </row>
    <row r="4192" spans="16:18" x14ac:dyDescent="0.3">
      <c r="P4192" s="35">
        <v>29.42</v>
      </c>
      <c r="Q4192">
        <v>305</v>
      </c>
      <c r="R4192" s="34">
        <f t="shared" si="68"/>
        <v>0.47717180917677643</v>
      </c>
    </row>
    <row r="4193" spans="16:18" x14ac:dyDescent="0.3">
      <c r="P4193" s="35">
        <v>29.43</v>
      </c>
      <c r="Q4193">
        <v>305</v>
      </c>
      <c r="R4193" s="34">
        <f t="shared" si="68"/>
        <v>0.47728566549010898</v>
      </c>
    </row>
    <row r="4194" spans="16:18" x14ac:dyDescent="0.3">
      <c r="P4194" s="35">
        <v>29.43</v>
      </c>
      <c r="Q4194">
        <v>305</v>
      </c>
      <c r="R4194" s="34">
        <f t="shared" si="68"/>
        <v>0.47739952180344153</v>
      </c>
    </row>
    <row r="4195" spans="16:18" x14ac:dyDescent="0.3">
      <c r="P4195" s="35">
        <v>29.43</v>
      </c>
      <c r="Q4195">
        <v>305</v>
      </c>
      <c r="R4195" s="34">
        <f t="shared" si="68"/>
        <v>0.47751337811677408</v>
      </c>
    </row>
    <row r="4196" spans="16:18" x14ac:dyDescent="0.3">
      <c r="P4196" s="35">
        <v>29.44</v>
      </c>
      <c r="Q4196">
        <v>305</v>
      </c>
      <c r="R4196" s="34">
        <f t="shared" si="68"/>
        <v>0.47762723443010663</v>
      </c>
    </row>
    <row r="4197" spans="16:18" x14ac:dyDescent="0.3">
      <c r="P4197" s="35">
        <v>29.44</v>
      </c>
      <c r="Q4197">
        <v>305</v>
      </c>
      <c r="R4197" s="34">
        <f t="shared" si="68"/>
        <v>0.47774109074343918</v>
      </c>
    </row>
    <row r="4198" spans="16:18" x14ac:dyDescent="0.3">
      <c r="P4198" s="35">
        <v>29.44</v>
      </c>
      <c r="Q4198">
        <v>305</v>
      </c>
      <c r="R4198" s="34">
        <f t="shared" si="68"/>
        <v>0.47785494705677173</v>
      </c>
    </row>
    <row r="4199" spans="16:18" x14ac:dyDescent="0.3">
      <c r="P4199" s="35">
        <v>29.44</v>
      </c>
      <c r="Q4199">
        <v>305</v>
      </c>
      <c r="R4199" s="34">
        <f t="shared" si="68"/>
        <v>0.47796880337010428</v>
      </c>
    </row>
    <row r="4200" spans="16:18" x14ac:dyDescent="0.3">
      <c r="P4200" s="35">
        <v>29.45</v>
      </c>
      <c r="Q4200">
        <v>305</v>
      </c>
      <c r="R4200" s="34">
        <f t="shared" si="68"/>
        <v>0.47808265968343683</v>
      </c>
    </row>
    <row r="4201" spans="16:18" x14ac:dyDescent="0.3">
      <c r="P4201" s="35">
        <v>29.45</v>
      </c>
      <c r="Q4201">
        <v>305</v>
      </c>
      <c r="R4201" s="34">
        <f t="shared" si="68"/>
        <v>0.47819651599676938</v>
      </c>
    </row>
    <row r="4202" spans="16:18" x14ac:dyDescent="0.3">
      <c r="P4202" s="35">
        <v>29.45</v>
      </c>
      <c r="Q4202">
        <v>305</v>
      </c>
      <c r="R4202" s="34">
        <f t="shared" si="68"/>
        <v>0.47831037231010193</v>
      </c>
    </row>
    <row r="4203" spans="16:18" x14ac:dyDescent="0.3">
      <c r="P4203" s="35">
        <v>29.45</v>
      </c>
      <c r="Q4203">
        <v>305</v>
      </c>
      <c r="R4203" s="34">
        <f t="shared" si="68"/>
        <v>0.47842422862343448</v>
      </c>
    </row>
    <row r="4204" spans="16:18" x14ac:dyDescent="0.3">
      <c r="P4204" s="35">
        <v>29.46</v>
      </c>
      <c r="Q4204">
        <v>305</v>
      </c>
      <c r="R4204" s="34">
        <f t="shared" si="68"/>
        <v>0.47853808493676703</v>
      </c>
    </row>
    <row r="4205" spans="16:18" x14ac:dyDescent="0.3">
      <c r="P4205" s="35">
        <v>29.46</v>
      </c>
      <c r="Q4205">
        <v>305</v>
      </c>
      <c r="R4205" s="34">
        <f t="shared" si="68"/>
        <v>0.47865194125009958</v>
      </c>
    </row>
    <row r="4206" spans="16:18" x14ac:dyDescent="0.3">
      <c r="P4206" s="35">
        <v>29.46</v>
      </c>
      <c r="Q4206">
        <v>305</v>
      </c>
      <c r="R4206" s="34">
        <f t="shared" si="68"/>
        <v>0.47876579756343213</v>
      </c>
    </row>
    <row r="4207" spans="16:18" x14ac:dyDescent="0.3">
      <c r="P4207" s="35">
        <v>29.47</v>
      </c>
      <c r="Q4207">
        <v>305</v>
      </c>
      <c r="R4207" s="34">
        <f t="shared" si="68"/>
        <v>0.47887965387676468</v>
      </c>
    </row>
    <row r="4208" spans="16:18" x14ac:dyDescent="0.3">
      <c r="P4208" s="35">
        <v>29.47</v>
      </c>
      <c r="Q4208">
        <v>305</v>
      </c>
      <c r="R4208" s="34">
        <f t="shared" si="68"/>
        <v>0.47899351019009723</v>
      </c>
    </row>
    <row r="4209" spans="16:18" x14ac:dyDescent="0.3">
      <c r="P4209" s="35">
        <v>29.48</v>
      </c>
      <c r="Q4209">
        <v>305</v>
      </c>
      <c r="R4209" s="34">
        <f t="shared" si="68"/>
        <v>0.47910736650342978</v>
      </c>
    </row>
    <row r="4210" spans="16:18" x14ac:dyDescent="0.3">
      <c r="P4210" s="35">
        <v>29.49</v>
      </c>
      <c r="Q4210">
        <v>305</v>
      </c>
      <c r="R4210" s="34">
        <f t="shared" si="68"/>
        <v>0.47922122281676233</v>
      </c>
    </row>
    <row r="4211" spans="16:18" x14ac:dyDescent="0.3">
      <c r="P4211" s="35">
        <v>29.5</v>
      </c>
      <c r="Q4211">
        <v>305</v>
      </c>
      <c r="R4211" s="34">
        <f t="shared" si="68"/>
        <v>0.47933507913009488</v>
      </c>
    </row>
    <row r="4212" spans="16:18" x14ac:dyDescent="0.3">
      <c r="P4212" s="35">
        <v>29.51</v>
      </c>
      <c r="Q4212">
        <v>305</v>
      </c>
      <c r="R4212" s="34">
        <f t="shared" si="68"/>
        <v>0.47944893544342743</v>
      </c>
    </row>
    <row r="4213" spans="16:18" x14ac:dyDescent="0.3">
      <c r="P4213" s="35">
        <v>29.51</v>
      </c>
      <c r="Q4213">
        <v>305</v>
      </c>
      <c r="R4213" s="34">
        <f t="shared" si="68"/>
        <v>0.47956279175675998</v>
      </c>
    </row>
    <row r="4214" spans="16:18" x14ac:dyDescent="0.3">
      <c r="P4214" s="35">
        <v>29.51</v>
      </c>
      <c r="Q4214">
        <v>305</v>
      </c>
      <c r="R4214" s="34">
        <f t="shared" si="68"/>
        <v>0.47967664807009253</v>
      </c>
    </row>
    <row r="4215" spans="16:18" x14ac:dyDescent="0.3">
      <c r="P4215" s="35">
        <v>29.51</v>
      </c>
      <c r="Q4215">
        <v>305</v>
      </c>
      <c r="R4215" s="34">
        <f t="shared" si="68"/>
        <v>0.47979050438342508</v>
      </c>
    </row>
    <row r="4216" spans="16:18" x14ac:dyDescent="0.3">
      <c r="P4216" s="35">
        <v>29.52</v>
      </c>
      <c r="Q4216">
        <v>305</v>
      </c>
      <c r="R4216" s="34">
        <f t="shared" si="68"/>
        <v>0.47990436069675763</v>
      </c>
    </row>
    <row r="4217" spans="16:18" x14ac:dyDescent="0.3">
      <c r="P4217" s="35">
        <v>29.52</v>
      </c>
      <c r="Q4217">
        <v>305</v>
      </c>
      <c r="R4217" s="34">
        <f t="shared" si="68"/>
        <v>0.48001821701009018</v>
      </c>
    </row>
    <row r="4218" spans="16:18" x14ac:dyDescent="0.3">
      <c r="P4218" s="35">
        <v>29.53</v>
      </c>
      <c r="Q4218">
        <v>305</v>
      </c>
      <c r="R4218" s="34">
        <f t="shared" si="68"/>
        <v>0.48013207332342273</v>
      </c>
    </row>
    <row r="4219" spans="16:18" x14ac:dyDescent="0.3">
      <c r="P4219" s="35">
        <v>29.53</v>
      </c>
      <c r="Q4219">
        <v>305</v>
      </c>
      <c r="R4219" s="34">
        <f t="shared" si="68"/>
        <v>0.48024592963675528</v>
      </c>
    </row>
    <row r="4220" spans="16:18" x14ac:dyDescent="0.3">
      <c r="P4220" s="35">
        <v>29.53</v>
      </c>
      <c r="Q4220">
        <v>305</v>
      </c>
      <c r="R4220" s="34">
        <f t="shared" si="68"/>
        <v>0.48035978595008783</v>
      </c>
    </row>
    <row r="4221" spans="16:18" x14ac:dyDescent="0.3">
      <c r="P4221" s="35">
        <v>29.53</v>
      </c>
      <c r="Q4221">
        <v>305</v>
      </c>
      <c r="R4221" s="34">
        <f t="shared" si="68"/>
        <v>0.48047364226342038</v>
      </c>
    </row>
    <row r="4222" spans="16:18" x14ac:dyDescent="0.3">
      <c r="P4222" s="35">
        <v>29.53</v>
      </c>
      <c r="Q4222">
        <v>305</v>
      </c>
      <c r="R4222" s="34">
        <f t="shared" si="68"/>
        <v>0.48058749857675293</v>
      </c>
    </row>
    <row r="4223" spans="16:18" x14ac:dyDescent="0.3">
      <c r="P4223" s="35">
        <v>29.54</v>
      </c>
      <c r="Q4223">
        <v>305</v>
      </c>
      <c r="R4223" s="34">
        <f t="shared" si="68"/>
        <v>0.48070135489008547</v>
      </c>
    </row>
    <row r="4224" spans="16:18" x14ac:dyDescent="0.3">
      <c r="P4224" s="35">
        <v>29.54</v>
      </c>
      <c r="Q4224">
        <v>305</v>
      </c>
      <c r="R4224" s="34">
        <f t="shared" si="68"/>
        <v>0.48081521120341802</v>
      </c>
    </row>
    <row r="4225" spans="16:18" x14ac:dyDescent="0.3">
      <c r="P4225" s="35">
        <v>29.54</v>
      </c>
      <c r="Q4225">
        <v>305</v>
      </c>
      <c r="R4225" s="34">
        <f t="shared" si="68"/>
        <v>0.48092906751675057</v>
      </c>
    </row>
    <row r="4226" spans="16:18" x14ac:dyDescent="0.3">
      <c r="P4226" s="35">
        <v>29.54</v>
      </c>
      <c r="Q4226">
        <v>305</v>
      </c>
      <c r="R4226" s="34">
        <f t="shared" si="68"/>
        <v>0.48104292383008312</v>
      </c>
    </row>
    <row r="4227" spans="16:18" x14ac:dyDescent="0.3">
      <c r="P4227" s="35">
        <v>29.55</v>
      </c>
      <c r="Q4227">
        <v>305</v>
      </c>
      <c r="R4227" s="34">
        <f t="shared" si="68"/>
        <v>0.48115678014341567</v>
      </c>
    </row>
    <row r="4228" spans="16:18" x14ac:dyDescent="0.3">
      <c r="P4228" s="35">
        <v>29.56</v>
      </c>
      <c r="Q4228">
        <v>305</v>
      </c>
      <c r="R4228" s="34">
        <f t="shared" ref="R4228:R4291" si="69">R4227+R$2</f>
        <v>0.48127063645674822</v>
      </c>
    </row>
    <row r="4229" spans="16:18" x14ac:dyDescent="0.3">
      <c r="P4229" s="35">
        <v>29.56</v>
      </c>
      <c r="Q4229">
        <v>305</v>
      </c>
      <c r="R4229" s="34">
        <f t="shared" si="69"/>
        <v>0.48138449277008077</v>
      </c>
    </row>
    <row r="4230" spans="16:18" x14ac:dyDescent="0.3">
      <c r="P4230" s="35">
        <v>29.56</v>
      </c>
      <c r="Q4230">
        <v>305</v>
      </c>
      <c r="R4230" s="34">
        <f t="shared" si="69"/>
        <v>0.48149834908341332</v>
      </c>
    </row>
    <row r="4231" spans="16:18" x14ac:dyDescent="0.3">
      <c r="P4231" s="35">
        <v>29.56</v>
      </c>
      <c r="Q4231">
        <v>305</v>
      </c>
      <c r="R4231" s="34">
        <f t="shared" si="69"/>
        <v>0.48161220539674587</v>
      </c>
    </row>
    <row r="4232" spans="16:18" x14ac:dyDescent="0.3">
      <c r="P4232" s="35">
        <v>29.57</v>
      </c>
      <c r="Q4232">
        <v>305</v>
      </c>
      <c r="R4232" s="34">
        <f t="shared" si="69"/>
        <v>0.48172606171007842</v>
      </c>
    </row>
    <row r="4233" spans="16:18" x14ac:dyDescent="0.3">
      <c r="P4233" s="35">
        <v>29.57</v>
      </c>
      <c r="Q4233">
        <v>305</v>
      </c>
      <c r="R4233" s="34">
        <f t="shared" si="69"/>
        <v>0.48183991802341097</v>
      </c>
    </row>
    <row r="4234" spans="16:18" x14ac:dyDescent="0.3">
      <c r="P4234" s="35">
        <v>29.58</v>
      </c>
      <c r="Q4234">
        <v>305</v>
      </c>
      <c r="R4234" s="34">
        <f t="shared" si="69"/>
        <v>0.48195377433674352</v>
      </c>
    </row>
    <row r="4235" spans="16:18" x14ac:dyDescent="0.3">
      <c r="P4235" s="35">
        <v>29.58</v>
      </c>
      <c r="Q4235">
        <v>305</v>
      </c>
      <c r="R4235" s="34">
        <f t="shared" si="69"/>
        <v>0.48206763065007607</v>
      </c>
    </row>
    <row r="4236" spans="16:18" x14ac:dyDescent="0.3">
      <c r="P4236" s="35">
        <v>29.58</v>
      </c>
      <c r="Q4236">
        <v>305</v>
      </c>
      <c r="R4236" s="34">
        <f t="shared" si="69"/>
        <v>0.48218148696340862</v>
      </c>
    </row>
    <row r="4237" spans="16:18" x14ac:dyDescent="0.3">
      <c r="P4237" s="35">
        <v>29.58</v>
      </c>
      <c r="Q4237">
        <v>305</v>
      </c>
      <c r="R4237" s="34">
        <f t="shared" si="69"/>
        <v>0.48229534327674117</v>
      </c>
    </row>
    <row r="4238" spans="16:18" x14ac:dyDescent="0.3">
      <c r="P4238" s="35">
        <v>29.58</v>
      </c>
      <c r="Q4238">
        <v>305</v>
      </c>
      <c r="R4238" s="34">
        <f t="shared" si="69"/>
        <v>0.48240919959007372</v>
      </c>
    </row>
    <row r="4239" spans="16:18" x14ac:dyDescent="0.3">
      <c r="P4239" s="35">
        <v>29.59</v>
      </c>
      <c r="Q4239">
        <v>305</v>
      </c>
      <c r="R4239" s="34">
        <f t="shared" si="69"/>
        <v>0.48252305590340627</v>
      </c>
    </row>
    <row r="4240" spans="16:18" x14ac:dyDescent="0.3">
      <c r="P4240" s="35">
        <v>29.59</v>
      </c>
      <c r="Q4240">
        <v>305</v>
      </c>
      <c r="R4240" s="34">
        <f t="shared" si="69"/>
        <v>0.48263691221673882</v>
      </c>
    </row>
    <row r="4241" spans="16:18" x14ac:dyDescent="0.3">
      <c r="P4241" s="35">
        <v>29.59</v>
      </c>
      <c r="Q4241">
        <v>305</v>
      </c>
      <c r="R4241" s="34">
        <f t="shared" si="69"/>
        <v>0.48275076853007137</v>
      </c>
    </row>
    <row r="4242" spans="16:18" x14ac:dyDescent="0.3">
      <c r="P4242" s="35">
        <v>29.6</v>
      </c>
      <c r="Q4242">
        <v>305</v>
      </c>
      <c r="R4242" s="34">
        <f t="shared" si="69"/>
        <v>0.48286462484340392</v>
      </c>
    </row>
    <row r="4243" spans="16:18" x14ac:dyDescent="0.3">
      <c r="P4243" s="35">
        <v>29.61</v>
      </c>
      <c r="Q4243">
        <v>305</v>
      </c>
      <c r="R4243" s="34">
        <f t="shared" si="69"/>
        <v>0.48297848115673647</v>
      </c>
    </row>
    <row r="4244" spans="16:18" x14ac:dyDescent="0.3">
      <c r="P4244" s="35">
        <v>29.62</v>
      </c>
      <c r="Q4244">
        <v>305</v>
      </c>
      <c r="R4244" s="34">
        <f t="shared" si="69"/>
        <v>0.48309233747006902</v>
      </c>
    </row>
    <row r="4245" spans="16:18" x14ac:dyDescent="0.3">
      <c r="P4245" s="35">
        <v>29.62</v>
      </c>
      <c r="Q4245">
        <v>305</v>
      </c>
      <c r="R4245" s="34">
        <f t="shared" si="69"/>
        <v>0.48320619378340157</v>
      </c>
    </row>
    <row r="4246" spans="16:18" x14ac:dyDescent="0.3">
      <c r="P4246" s="35">
        <v>29.63</v>
      </c>
      <c r="Q4246">
        <v>305</v>
      </c>
      <c r="R4246" s="34">
        <f t="shared" si="69"/>
        <v>0.48332005009673412</v>
      </c>
    </row>
    <row r="4247" spans="16:18" x14ac:dyDescent="0.3">
      <c r="P4247" s="35">
        <v>29.63</v>
      </c>
      <c r="Q4247">
        <v>305</v>
      </c>
      <c r="R4247" s="34">
        <f t="shared" si="69"/>
        <v>0.48343390641006667</v>
      </c>
    </row>
    <row r="4248" spans="16:18" x14ac:dyDescent="0.3">
      <c r="P4248" s="35">
        <v>29.63</v>
      </c>
      <c r="Q4248">
        <v>305</v>
      </c>
      <c r="R4248" s="34">
        <f t="shared" si="69"/>
        <v>0.48354776272339922</v>
      </c>
    </row>
    <row r="4249" spans="16:18" x14ac:dyDescent="0.3">
      <c r="P4249" s="35">
        <v>29.64</v>
      </c>
      <c r="Q4249">
        <v>305</v>
      </c>
      <c r="R4249" s="34">
        <f t="shared" si="69"/>
        <v>0.48366161903673177</v>
      </c>
    </row>
    <row r="4250" spans="16:18" x14ac:dyDescent="0.3">
      <c r="P4250" s="35">
        <v>29.65</v>
      </c>
      <c r="Q4250">
        <v>305</v>
      </c>
      <c r="R4250" s="34">
        <f t="shared" si="69"/>
        <v>0.48377547535006432</v>
      </c>
    </row>
    <row r="4251" spans="16:18" x14ac:dyDescent="0.3">
      <c r="P4251" s="35">
        <v>29.66</v>
      </c>
      <c r="Q4251">
        <v>305</v>
      </c>
      <c r="R4251" s="34">
        <f t="shared" si="69"/>
        <v>0.48388933166339687</v>
      </c>
    </row>
    <row r="4252" spans="16:18" x14ac:dyDescent="0.3">
      <c r="P4252" s="35">
        <v>29.68</v>
      </c>
      <c r="Q4252">
        <v>305</v>
      </c>
      <c r="R4252" s="34">
        <f t="shared" si="69"/>
        <v>0.48400318797672942</v>
      </c>
    </row>
    <row r="4253" spans="16:18" x14ac:dyDescent="0.3">
      <c r="P4253" s="35">
        <v>29.68</v>
      </c>
      <c r="Q4253">
        <v>305</v>
      </c>
      <c r="R4253" s="34">
        <f t="shared" si="69"/>
        <v>0.48411704429006197</v>
      </c>
    </row>
    <row r="4254" spans="16:18" x14ac:dyDescent="0.3">
      <c r="P4254" s="35">
        <v>29.68</v>
      </c>
      <c r="Q4254">
        <v>305</v>
      </c>
      <c r="R4254" s="34">
        <f t="shared" si="69"/>
        <v>0.48423090060339452</v>
      </c>
    </row>
    <row r="4255" spans="16:18" x14ac:dyDescent="0.3">
      <c r="P4255" s="35">
        <v>29.68</v>
      </c>
      <c r="Q4255">
        <v>305</v>
      </c>
      <c r="R4255" s="34">
        <f t="shared" si="69"/>
        <v>0.48434475691672707</v>
      </c>
    </row>
    <row r="4256" spans="16:18" x14ac:dyDescent="0.3">
      <c r="P4256" s="35">
        <v>29.69</v>
      </c>
      <c r="Q4256">
        <v>305</v>
      </c>
      <c r="R4256" s="34">
        <f t="shared" si="69"/>
        <v>0.48445861323005962</v>
      </c>
    </row>
    <row r="4257" spans="16:18" x14ac:dyDescent="0.3">
      <c r="P4257" s="35">
        <v>29.69</v>
      </c>
      <c r="Q4257">
        <v>305</v>
      </c>
      <c r="R4257" s="34">
        <f t="shared" si="69"/>
        <v>0.48457246954339217</v>
      </c>
    </row>
    <row r="4258" spans="16:18" x14ac:dyDescent="0.3">
      <c r="P4258" s="35">
        <v>29.69</v>
      </c>
      <c r="Q4258">
        <v>305</v>
      </c>
      <c r="R4258" s="34">
        <f t="shared" si="69"/>
        <v>0.48468632585672472</v>
      </c>
    </row>
    <row r="4259" spans="16:18" x14ac:dyDescent="0.3">
      <c r="P4259" s="35">
        <v>29.7</v>
      </c>
      <c r="Q4259">
        <v>305</v>
      </c>
      <c r="R4259" s="34">
        <f t="shared" si="69"/>
        <v>0.48480018217005727</v>
      </c>
    </row>
    <row r="4260" spans="16:18" x14ac:dyDescent="0.3">
      <c r="P4260" s="35">
        <v>29.7</v>
      </c>
      <c r="Q4260">
        <v>305</v>
      </c>
      <c r="R4260" s="34">
        <f t="shared" si="69"/>
        <v>0.48491403848338982</v>
      </c>
    </row>
    <row r="4261" spans="16:18" x14ac:dyDescent="0.3">
      <c r="P4261" s="35">
        <v>29.7</v>
      </c>
      <c r="Q4261">
        <v>305</v>
      </c>
      <c r="R4261" s="34">
        <f t="shared" si="69"/>
        <v>0.48502789479672237</v>
      </c>
    </row>
    <row r="4262" spans="16:18" x14ac:dyDescent="0.3">
      <c r="P4262" s="35">
        <v>29.71</v>
      </c>
      <c r="Q4262">
        <v>305</v>
      </c>
      <c r="R4262" s="34">
        <f t="shared" si="69"/>
        <v>0.48514175111005492</v>
      </c>
    </row>
    <row r="4263" spans="16:18" x14ac:dyDescent="0.3">
      <c r="P4263" s="35">
        <v>29.71</v>
      </c>
      <c r="Q4263">
        <v>305</v>
      </c>
      <c r="R4263" s="34">
        <f t="shared" si="69"/>
        <v>0.48525560742338747</v>
      </c>
    </row>
    <row r="4264" spans="16:18" x14ac:dyDescent="0.3">
      <c r="P4264" s="35">
        <v>29.72</v>
      </c>
      <c r="Q4264">
        <v>305</v>
      </c>
      <c r="R4264" s="34">
        <f t="shared" si="69"/>
        <v>0.48536946373672002</v>
      </c>
    </row>
    <row r="4265" spans="16:18" x14ac:dyDescent="0.3">
      <c r="P4265" s="35">
        <v>29.72</v>
      </c>
      <c r="Q4265">
        <v>305</v>
      </c>
      <c r="R4265" s="34">
        <f t="shared" si="69"/>
        <v>0.48548332005005257</v>
      </c>
    </row>
    <row r="4266" spans="16:18" x14ac:dyDescent="0.3">
      <c r="P4266" s="35">
        <v>29.73</v>
      </c>
      <c r="Q4266">
        <v>305</v>
      </c>
      <c r="R4266" s="34">
        <f t="shared" si="69"/>
        <v>0.48559717636338512</v>
      </c>
    </row>
    <row r="4267" spans="16:18" x14ac:dyDescent="0.3">
      <c r="P4267" s="35">
        <v>29.73</v>
      </c>
      <c r="Q4267">
        <v>305</v>
      </c>
      <c r="R4267" s="34">
        <f t="shared" si="69"/>
        <v>0.48571103267671767</v>
      </c>
    </row>
    <row r="4268" spans="16:18" x14ac:dyDescent="0.3">
      <c r="P4268" s="35">
        <v>29.74</v>
      </c>
      <c r="Q4268">
        <v>305</v>
      </c>
      <c r="R4268" s="34">
        <f t="shared" si="69"/>
        <v>0.48582488899005022</v>
      </c>
    </row>
    <row r="4269" spans="16:18" x14ac:dyDescent="0.3">
      <c r="P4269" s="35">
        <v>29.74</v>
      </c>
      <c r="Q4269">
        <v>305</v>
      </c>
      <c r="R4269" s="34">
        <f t="shared" si="69"/>
        <v>0.48593874530338277</v>
      </c>
    </row>
    <row r="4270" spans="16:18" x14ac:dyDescent="0.3">
      <c r="P4270" s="35">
        <v>29.74</v>
      </c>
      <c r="Q4270">
        <v>305</v>
      </c>
      <c r="R4270" s="34">
        <f t="shared" si="69"/>
        <v>0.48605260161671532</v>
      </c>
    </row>
    <row r="4271" spans="16:18" x14ac:dyDescent="0.3">
      <c r="P4271" s="35">
        <v>29.74</v>
      </c>
      <c r="Q4271">
        <v>305</v>
      </c>
      <c r="R4271" s="34">
        <f t="shared" si="69"/>
        <v>0.48616645793004787</v>
      </c>
    </row>
    <row r="4272" spans="16:18" x14ac:dyDescent="0.3">
      <c r="P4272" s="35">
        <v>29.75</v>
      </c>
      <c r="Q4272">
        <v>305</v>
      </c>
      <c r="R4272" s="34">
        <f t="shared" si="69"/>
        <v>0.48628031424338042</v>
      </c>
    </row>
    <row r="4273" spans="16:18" x14ac:dyDescent="0.3">
      <c r="P4273" s="35">
        <v>29.75</v>
      </c>
      <c r="Q4273">
        <v>305</v>
      </c>
      <c r="R4273" s="34">
        <f t="shared" si="69"/>
        <v>0.48639417055671297</v>
      </c>
    </row>
    <row r="4274" spans="16:18" x14ac:dyDescent="0.3">
      <c r="P4274" s="35">
        <v>29.75</v>
      </c>
      <c r="Q4274">
        <v>305</v>
      </c>
      <c r="R4274" s="34">
        <f t="shared" si="69"/>
        <v>0.48650802687004552</v>
      </c>
    </row>
    <row r="4275" spans="16:18" x14ac:dyDescent="0.3">
      <c r="P4275" s="35">
        <v>29.76</v>
      </c>
      <c r="Q4275">
        <v>305</v>
      </c>
      <c r="R4275" s="34">
        <f t="shared" si="69"/>
        <v>0.48662188318337807</v>
      </c>
    </row>
    <row r="4276" spans="16:18" x14ac:dyDescent="0.3">
      <c r="P4276" s="35">
        <v>29.76</v>
      </c>
      <c r="Q4276">
        <v>305</v>
      </c>
      <c r="R4276" s="34">
        <f t="shared" si="69"/>
        <v>0.48673573949671062</v>
      </c>
    </row>
    <row r="4277" spans="16:18" x14ac:dyDescent="0.3">
      <c r="P4277" s="35">
        <v>29.77</v>
      </c>
      <c r="Q4277">
        <v>305</v>
      </c>
      <c r="R4277" s="34">
        <f t="shared" si="69"/>
        <v>0.48684959581004317</v>
      </c>
    </row>
    <row r="4278" spans="16:18" x14ac:dyDescent="0.3">
      <c r="P4278" s="35">
        <v>29.77</v>
      </c>
      <c r="Q4278">
        <v>305</v>
      </c>
      <c r="R4278" s="34">
        <f t="shared" si="69"/>
        <v>0.48696345212337572</v>
      </c>
    </row>
    <row r="4279" spans="16:18" x14ac:dyDescent="0.3">
      <c r="P4279" s="35">
        <v>29.77</v>
      </c>
      <c r="Q4279">
        <v>305</v>
      </c>
      <c r="R4279" s="34">
        <f t="shared" si="69"/>
        <v>0.48707730843670827</v>
      </c>
    </row>
    <row r="4280" spans="16:18" x14ac:dyDescent="0.3">
      <c r="P4280" s="35">
        <v>29.77</v>
      </c>
      <c r="Q4280">
        <v>305</v>
      </c>
      <c r="R4280" s="34">
        <f t="shared" si="69"/>
        <v>0.48719116475004082</v>
      </c>
    </row>
    <row r="4281" spans="16:18" x14ac:dyDescent="0.3">
      <c r="P4281" s="35">
        <v>29.77</v>
      </c>
      <c r="Q4281">
        <v>305</v>
      </c>
      <c r="R4281" s="34">
        <f t="shared" si="69"/>
        <v>0.48730502106337337</v>
      </c>
    </row>
    <row r="4282" spans="16:18" x14ac:dyDescent="0.3">
      <c r="P4282" s="35">
        <v>29.78</v>
      </c>
      <c r="Q4282">
        <v>305</v>
      </c>
      <c r="R4282" s="34">
        <f t="shared" si="69"/>
        <v>0.48741887737670592</v>
      </c>
    </row>
    <row r="4283" spans="16:18" x14ac:dyDescent="0.3">
      <c r="P4283" s="35">
        <v>29.78</v>
      </c>
      <c r="Q4283">
        <v>305</v>
      </c>
      <c r="R4283" s="34">
        <f t="shared" si="69"/>
        <v>0.48753273369003847</v>
      </c>
    </row>
    <row r="4284" spans="16:18" x14ac:dyDescent="0.3">
      <c r="P4284" s="35">
        <v>29.78</v>
      </c>
      <c r="Q4284">
        <v>305</v>
      </c>
      <c r="R4284" s="34">
        <f t="shared" si="69"/>
        <v>0.48764659000337102</v>
      </c>
    </row>
    <row r="4285" spans="16:18" x14ac:dyDescent="0.3">
      <c r="P4285" s="35">
        <v>29.78</v>
      </c>
      <c r="Q4285">
        <v>305</v>
      </c>
      <c r="R4285" s="34">
        <f t="shared" si="69"/>
        <v>0.48776044631670357</v>
      </c>
    </row>
    <row r="4286" spans="16:18" x14ac:dyDescent="0.3">
      <c r="P4286" s="35">
        <v>29.78</v>
      </c>
      <c r="Q4286">
        <v>305</v>
      </c>
      <c r="R4286" s="34">
        <f t="shared" si="69"/>
        <v>0.48787430263003612</v>
      </c>
    </row>
    <row r="4287" spans="16:18" x14ac:dyDescent="0.3">
      <c r="P4287" s="35">
        <v>29.79</v>
      </c>
      <c r="Q4287">
        <v>305</v>
      </c>
      <c r="R4287" s="34">
        <f t="shared" si="69"/>
        <v>0.48798815894336867</v>
      </c>
    </row>
    <row r="4288" spans="16:18" x14ac:dyDescent="0.3">
      <c r="P4288" s="35">
        <v>29.81</v>
      </c>
      <c r="Q4288">
        <v>305</v>
      </c>
      <c r="R4288" s="34">
        <f t="shared" si="69"/>
        <v>0.48810201525670122</v>
      </c>
    </row>
    <row r="4289" spans="16:18" x14ac:dyDescent="0.3">
      <c r="P4289" s="35">
        <v>29.81</v>
      </c>
      <c r="Q4289">
        <v>305</v>
      </c>
      <c r="R4289" s="34">
        <f t="shared" si="69"/>
        <v>0.48821587157003377</v>
      </c>
    </row>
    <row r="4290" spans="16:18" x14ac:dyDescent="0.3">
      <c r="P4290" s="35">
        <v>29.82</v>
      </c>
      <c r="Q4290">
        <v>305</v>
      </c>
      <c r="R4290" s="34">
        <f t="shared" si="69"/>
        <v>0.48832972788336632</v>
      </c>
    </row>
    <row r="4291" spans="16:18" x14ac:dyDescent="0.3">
      <c r="P4291" s="35">
        <v>29.83</v>
      </c>
      <c r="Q4291">
        <v>305</v>
      </c>
      <c r="R4291" s="34">
        <f t="shared" si="69"/>
        <v>0.48844358419669887</v>
      </c>
    </row>
    <row r="4292" spans="16:18" x14ac:dyDescent="0.3">
      <c r="P4292" s="35">
        <v>29.83</v>
      </c>
      <c r="Q4292">
        <v>305</v>
      </c>
      <c r="R4292" s="34">
        <f t="shared" ref="R4292:R4355" si="70">R4291+R$2</f>
        <v>0.48855744051003142</v>
      </c>
    </row>
    <row r="4293" spans="16:18" x14ac:dyDescent="0.3">
      <c r="P4293" s="35">
        <v>29.83</v>
      </c>
      <c r="Q4293">
        <v>305</v>
      </c>
      <c r="R4293" s="34">
        <f t="shared" si="70"/>
        <v>0.48867129682336397</v>
      </c>
    </row>
    <row r="4294" spans="16:18" x14ac:dyDescent="0.3">
      <c r="P4294" s="35">
        <v>29.85</v>
      </c>
      <c r="Q4294">
        <v>305</v>
      </c>
      <c r="R4294" s="34">
        <f t="shared" si="70"/>
        <v>0.48878515313669652</v>
      </c>
    </row>
    <row r="4295" spans="16:18" x14ac:dyDescent="0.3">
      <c r="P4295" s="35">
        <v>29.85</v>
      </c>
      <c r="Q4295">
        <v>305</v>
      </c>
      <c r="R4295" s="34">
        <f t="shared" si="70"/>
        <v>0.48889900945002907</v>
      </c>
    </row>
    <row r="4296" spans="16:18" x14ac:dyDescent="0.3">
      <c r="P4296" s="35">
        <v>29.85</v>
      </c>
      <c r="Q4296">
        <v>305</v>
      </c>
      <c r="R4296" s="34">
        <f t="shared" si="70"/>
        <v>0.48901286576336161</v>
      </c>
    </row>
    <row r="4297" spans="16:18" x14ac:dyDescent="0.3">
      <c r="P4297" s="35">
        <v>29.86</v>
      </c>
      <c r="Q4297">
        <v>305</v>
      </c>
      <c r="R4297" s="34">
        <f t="shared" si="70"/>
        <v>0.48912672207669416</v>
      </c>
    </row>
    <row r="4298" spans="16:18" x14ac:dyDescent="0.3">
      <c r="P4298" s="35">
        <v>29.86</v>
      </c>
      <c r="Q4298">
        <v>305</v>
      </c>
      <c r="R4298" s="34">
        <f t="shared" si="70"/>
        <v>0.48924057839002671</v>
      </c>
    </row>
    <row r="4299" spans="16:18" x14ac:dyDescent="0.3">
      <c r="P4299" s="35">
        <v>29.86</v>
      </c>
      <c r="Q4299">
        <v>305</v>
      </c>
      <c r="R4299" s="34">
        <f t="shared" si="70"/>
        <v>0.48935443470335926</v>
      </c>
    </row>
    <row r="4300" spans="16:18" x14ac:dyDescent="0.3">
      <c r="P4300" s="35">
        <v>29.86</v>
      </c>
      <c r="Q4300">
        <v>305</v>
      </c>
      <c r="R4300" s="34">
        <f t="shared" si="70"/>
        <v>0.48946829101669181</v>
      </c>
    </row>
    <row r="4301" spans="16:18" x14ac:dyDescent="0.3">
      <c r="P4301" s="35">
        <v>29.87</v>
      </c>
      <c r="Q4301">
        <v>305</v>
      </c>
      <c r="R4301" s="34">
        <f t="shared" si="70"/>
        <v>0.48958214733002436</v>
      </c>
    </row>
    <row r="4302" spans="16:18" x14ac:dyDescent="0.3">
      <c r="P4302" s="35">
        <v>29.87</v>
      </c>
      <c r="Q4302">
        <v>305</v>
      </c>
      <c r="R4302" s="34">
        <f t="shared" si="70"/>
        <v>0.48969600364335691</v>
      </c>
    </row>
    <row r="4303" spans="16:18" x14ac:dyDescent="0.3">
      <c r="P4303" s="35">
        <v>29.87</v>
      </c>
      <c r="Q4303">
        <v>305</v>
      </c>
      <c r="R4303" s="34">
        <f t="shared" si="70"/>
        <v>0.48980985995668946</v>
      </c>
    </row>
    <row r="4304" spans="16:18" x14ac:dyDescent="0.3">
      <c r="P4304" s="35">
        <v>29.88</v>
      </c>
      <c r="Q4304">
        <v>305</v>
      </c>
      <c r="R4304" s="34">
        <f t="shared" si="70"/>
        <v>0.48992371627002201</v>
      </c>
    </row>
    <row r="4305" spans="16:18" x14ac:dyDescent="0.3">
      <c r="P4305" s="35">
        <v>29.88</v>
      </c>
      <c r="Q4305">
        <v>305</v>
      </c>
      <c r="R4305" s="34">
        <f t="shared" si="70"/>
        <v>0.49003757258335456</v>
      </c>
    </row>
    <row r="4306" spans="16:18" x14ac:dyDescent="0.3">
      <c r="P4306" s="35">
        <v>29.89</v>
      </c>
      <c r="Q4306">
        <v>305</v>
      </c>
      <c r="R4306" s="34">
        <f t="shared" si="70"/>
        <v>0.49015142889668711</v>
      </c>
    </row>
    <row r="4307" spans="16:18" x14ac:dyDescent="0.3">
      <c r="P4307" s="35">
        <v>29.89</v>
      </c>
      <c r="Q4307">
        <v>305</v>
      </c>
      <c r="R4307" s="34">
        <f t="shared" si="70"/>
        <v>0.49026528521001966</v>
      </c>
    </row>
    <row r="4308" spans="16:18" x14ac:dyDescent="0.3">
      <c r="P4308" s="35">
        <v>29.91</v>
      </c>
      <c r="Q4308">
        <v>305</v>
      </c>
      <c r="R4308" s="34">
        <f t="shared" si="70"/>
        <v>0.49037914152335221</v>
      </c>
    </row>
    <row r="4309" spans="16:18" x14ac:dyDescent="0.3">
      <c r="P4309" s="35">
        <v>29.91</v>
      </c>
      <c r="Q4309">
        <v>305</v>
      </c>
      <c r="R4309" s="34">
        <f t="shared" si="70"/>
        <v>0.49049299783668476</v>
      </c>
    </row>
    <row r="4310" spans="16:18" x14ac:dyDescent="0.3">
      <c r="P4310" s="35">
        <v>29.91</v>
      </c>
      <c r="Q4310">
        <v>305</v>
      </c>
      <c r="R4310" s="34">
        <f t="shared" si="70"/>
        <v>0.49060685415001731</v>
      </c>
    </row>
    <row r="4311" spans="16:18" x14ac:dyDescent="0.3">
      <c r="P4311" s="35">
        <v>29.91</v>
      </c>
      <c r="Q4311">
        <v>305</v>
      </c>
      <c r="R4311" s="34">
        <f t="shared" si="70"/>
        <v>0.49072071046334986</v>
      </c>
    </row>
    <row r="4312" spans="16:18" x14ac:dyDescent="0.3">
      <c r="P4312" s="35">
        <v>29.92</v>
      </c>
      <c r="Q4312">
        <v>305</v>
      </c>
      <c r="R4312" s="34">
        <f t="shared" si="70"/>
        <v>0.49083456677668241</v>
      </c>
    </row>
    <row r="4313" spans="16:18" x14ac:dyDescent="0.3">
      <c r="P4313" s="35">
        <v>29.93</v>
      </c>
      <c r="Q4313">
        <v>305</v>
      </c>
      <c r="R4313" s="34">
        <f t="shared" si="70"/>
        <v>0.49094842309001496</v>
      </c>
    </row>
    <row r="4314" spans="16:18" x14ac:dyDescent="0.3">
      <c r="P4314" s="35">
        <v>29.95</v>
      </c>
      <c r="Q4314">
        <v>305</v>
      </c>
      <c r="R4314" s="34">
        <f t="shared" si="70"/>
        <v>0.49106227940334751</v>
      </c>
    </row>
    <row r="4315" spans="16:18" x14ac:dyDescent="0.3">
      <c r="P4315" s="35">
        <v>29.95</v>
      </c>
      <c r="Q4315">
        <v>305</v>
      </c>
      <c r="R4315" s="34">
        <f t="shared" si="70"/>
        <v>0.49117613571668006</v>
      </c>
    </row>
    <row r="4316" spans="16:18" x14ac:dyDescent="0.3">
      <c r="P4316" s="35">
        <v>29.96</v>
      </c>
      <c r="Q4316">
        <v>305</v>
      </c>
      <c r="R4316" s="34">
        <f t="shared" si="70"/>
        <v>0.49128999203001261</v>
      </c>
    </row>
    <row r="4317" spans="16:18" x14ac:dyDescent="0.3">
      <c r="P4317" s="35">
        <v>29.96</v>
      </c>
      <c r="Q4317">
        <v>305</v>
      </c>
      <c r="R4317" s="34">
        <f t="shared" si="70"/>
        <v>0.49140384834334516</v>
      </c>
    </row>
    <row r="4318" spans="16:18" x14ac:dyDescent="0.3">
      <c r="P4318" s="35">
        <v>29.96</v>
      </c>
      <c r="Q4318">
        <v>305</v>
      </c>
      <c r="R4318" s="34">
        <f t="shared" si="70"/>
        <v>0.49151770465667771</v>
      </c>
    </row>
    <row r="4319" spans="16:18" x14ac:dyDescent="0.3">
      <c r="P4319" s="35">
        <v>29.96</v>
      </c>
      <c r="Q4319">
        <v>305</v>
      </c>
      <c r="R4319" s="34">
        <f t="shared" si="70"/>
        <v>0.49163156097001026</v>
      </c>
    </row>
    <row r="4320" spans="16:18" x14ac:dyDescent="0.3">
      <c r="P4320" s="35">
        <v>29.97</v>
      </c>
      <c r="Q4320">
        <v>305</v>
      </c>
      <c r="R4320" s="34">
        <f t="shared" si="70"/>
        <v>0.49174541728334281</v>
      </c>
    </row>
    <row r="4321" spans="16:18" x14ac:dyDescent="0.3">
      <c r="P4321" s="35">
        <v>29.97</v>
      </c>
      <c r="Q4321">
        <v>305</v>
      </c>
      <c r="R4321" s="34">
        <f t="shared" si="70"/>
        <v>0.49185927359667536</v>
      </c>
    </row>
    <row r="4322" spans="16:18" x14ac:dyDescent="0.3">
      <c r="P4322" s="35">
        <v>29.98</v>
      </c>
      <c r="Q4322">
        <v>305</v>
      </c>
      <c r="R4322" s="34">
        <f t="shared" si="70"/>
        <v>0.49197312991000791</v>
      </c>
    </row>
    <row r="4323" spans="16:18" x14ac:dyDescent="0.3">
      <c r="P4323" s="35">
        <v>29.98</v>
      </c>
      <c r="Q4323">
        <v>305</v>
      </c>
      <c r="R4323" s="34">
        <f t="shared" si="70"/>
        <v>0.49208698622334046</v>
      </c>
    </row>
    <row r="4324" spans="16:18" x14ac:dyDescent="0.3">
      <c r="P4324" s="35">
        <v>29.99</v>
      </c>
      <c r="Q4324">
        <v>305</v>
      </c>
      <c r="R4324" s="34">
        <f t="shared" si="70"/>
        <v>0.49220084253667301</v>
      </c>
    </row>
    <row r="4325" spans="16:18" x14ac:dyDescent="0.3">
      <c r="P4325" s="35">
        <v>29.99</v>
      </c>
      <c r="Q4325">
        <v>305</v>
      </c>
      <c r="R4325" s="34">
        <f t="shared" si="70"/>
        <v>0.49231469885000556</v>
      </c>
    </row>
    <row r="4326" spans="16:18" x14ac:dyDescent="0.3">
      <c r="P4326" s="35">
        <v>29.99</v>
      </c>
      <c r="Q4326">
        <v>305</v>
      </c>
      <c r="R4326" s="34">
        <f t="shared" si="70"/>
        <v>0.49242855516333811</v>
      </c>
    </row>
    <row r="4327" spans="16:18" x14ac:dyDescent="0.3">
      <c r="P4327" s="35">
        <v>29.99</v>
      </c>
      <c r="Q4327">
        <v>305</v>
      </c>
      <c r="R4327" s="34">
        <f t="shared" si="70"/>
        <v>0.49254241147667066</v>
      </c>
    </row>
    <row r="4328" spans="16:18" x14ac:dyDescent="0.3">
      <c r="P4328" s="35">
        <v>30</v>
      </c>
      <c r="Q4328">
        <v>305</v>
      </c>
      <c r="R4328" s="34">
        <f t="shared" si="70"/>
        <v>0.49265626779000321</v>
      </c>
    </row>
    <row r="4329" spans="16:18" x14ac:dyDescent="0.3">
      <c r="P4329" s="35">
        <v>30</v>
      </c>
      <c r="Q4329">
        <v>305</v>
      </c>
      <c r="R4329" s="34">
        <f t="shared" si="70"/>
        <v>0.49277012410333576</v>
      </c>
    </row>
    <row r="4330" spans="16:18" x14ac:dyDescent="0.3">
      <c r="P4330" s="35">
        <v>30</v>
      </c>
      <c r="Q4330">
        <v>305</v>
      </c>
      <c r="R4330" s="34">
        <f t="shared" si="70"/>
        <v>0.49288398041666831</v>
      </c>
    </row>
    <row r="4331" spans="16:18" x14ac:dyDescent="0.3">
      <c r="P4331" s="35">
        <v>30.01</v>
      </c>
      <c r="Q4331">
        <v>305</v>
      </c>
      <c r="R4331" s="34">
        <f t="shared" si="70"/>
        <v>0.49299783673000086</v>
      </c>
    </row>
    <row r="4332" spans="16:18" x14ac:dyDescent="0.3">
      <c r="P4332" s="35">
        <v>30.02</v>
      </c>
      <c r="Q4332">
        <v>305</v>
      </c>
      <c r="R4332" s="34">
        <f t="shared" si="70"/>
        <v>0.49311169304333341</v>
      </c>
    </row>
    <row r="4333" spans="16:18" x14ac:dyDescent="0.3">
      <c r="P4333" s="35">
        <v>30.02</v>
      </c>
      <c r="Q4333">
        <v>305</v>
      </c>
      <c r="R4333" s="34">
        <f t="shared" si="70"/>
        <v>0.49322554935666596</v>
      </c>
    </row>
    <row r="4334" spans="16:18" x14ac:dyDescent="0.3">
      <c r="P4334" s="35">
        <v>30.03</v>
      </c>
      <c r="Q4334">
        <v>305</v>
      </c>
      <c r="R4334" s="34">
        <f t="shared" si="70"/>
        <v>0.49333940566999851</v>
      </c>
    </row>
    <row r="4335" spans="16:18" x14ac:dyDescent="0.3">
      <c r="P4335" s="35">
        <v>30.04</v>
      </c>
      <c r="Q4335">
        <v>305</v>
      </c>
      <c r="R4335" s="34">
        <f t="shared" si="70"/>
        <v>0.49345326198333106</v>
      </c>
    </row>
    <row r="4336" spans="16:18" x14ac:dyDescent="0.3">
      <c r="P4336" s="35">
        <v>30.05</v>
      </c>
      <c r="Q4336">
        <v>305</v>
      </c>
      <c r="R4336" s="34">
        <f t="shared" si="70"/>
        <v>0.49356711829666361</v>
      </c>
    </row>
    <row r="4337" spans="16:18" x14ac:dyDescent="0.3">
      <c r="P4337" s="35">
        <v>30.05</v>
      </c>
      <c r="Q4337">
        <v>305</v>
      </c>
      <c r="R4337" s="34">
        <f t="shared" si="70"/>
        <v>0.49368097460999616</v>
      </c>
    </row>
    <row r="4338" spans="16:18" x14ac:dyDescent="0.3">
      <c r="P4338" s="35">
        <v>30.05</v>
      </c>
      <c r="Q4338">
        <v>305</v>
      </c>
      <c r="R4338" s="34">
        <f t="shared" si="70"/>
        <v>0.49379483092332871</v>
      </c>
    </row>
    <row r="4339" spans="16:18" x14ac:dyDescent="0.3">
      <c r="P4339" s="35">
        <v>30.06</v>
      </c>
      <c r="Q4339">
        <v>305</v>
      </c>
      <c r="R4339" s="34">
        <f t="shared" si="70"/>
        <v>0.49390868723666126</v>
      </c>
    </row>
    <row r="4340" spans="16:18" x14ac:dyDescent="0.3">
      <c r="P4340" s="35">
        <v>30.06</v>
      </c>
      <c r="Q4340">
        <v>305</v>
      </c>
      <c r="R4340" s="34">
        <f t="shared" si="70"/>
        <v>0.49402254354999381</v>
      </c>
    </row>
    <row r="4341" spans="16:18" x14ac:dyDescent="0.3">
      <c r="P4341" s="35">
        <v>30.08</v>
      </c>
      <c r="Q4341">
        <v>305</v>
      </c>
      <c r="R4341" s="34">
        <f t="shared" si="70"/>
        <v>0.49413639986332636</v>
      </c>
    </row>
    <row r="4342" spans="16:18" x14ac:dyDescent="0.3">
      <c r="P4342" s="35">
        <v>30.08</v>
      </c>
      <c r="Q4342">
        <v>305</v>
      </c>
      <c r="R4342" s="34">
        <f t="shared" si="70"/>
        <v>0.49425025617665891</v>
      </c>
    </row>
    <row r="4343" spans="16:18" x14ac:dyDescent="0.3">
      <c r="P4343" s="35">
        <v>30.08</v>
      </c>
      <c r="Q4343">
        <v>305</v>
      </c>
      <c r="R4343" s="34">
        <f t="shared" si="70"/>
        <v>0.49436411248999146</v>
      </c>
    </row>
    <row r="4344" spans="16:18" x14ac:dyDescent="0.3">
      <c r="P4344" s="35">
        <v>30.09</v>
      </c>
      <c r="Q4344">
        <v>305</v>
      </c>
      <c r="R4344" s="34">
        <f t="shared" si="70"/>
        <v>0.49447796880332401</v>
      </c>
    </row>
    <row r="4345" spans="16:18" x14ac:dyDescent="0.3">
      <c r="P4345" s="35">
        <v>30.09</v>
      </c>
      <c r="Q4345">
        <v>305</v>
      </c>
      <c r="R4345" s="34">
        <f t="shared" si="70"/>
        <v>0.49459182511665656</v>
      </c>
    </row>
    <row r="4346" spans="16:18" x14ac:dyDescent="0.3">
      <c r="P4346" s="35">
        <v>30.1</v>
      </c>
      <c r="Q4346">
        <v>305</v>
      </c>
      <c r="R4346" s="34">
        <f t="shared" si="70"/>
        <v>0.49470568142998911</v>
      </c>
    </row>
    <row r="4347" spans="16:18" x14ac:dyDescent="0.3">
      <c r="P4347" s="35">
        <v>30.1</v>
      </c>
      <c r="Q4347">
        <v>305</v>
      </c>
      <c r="R4347" s="34">
        <f t="shared" si="70"/>
        <v>0.49481953774332166</v>
      </c>
    </row>
    <row r="4348" spans="16:18" x14ac:dyDescent="0.3">
      <c r="P4348" s="35">
        <v>30.1</v>
      </c>
      <c r="Q4348">
        <v>305</v>
      </c>
      <c r="R4348" s="34">
        <f t="shared" si="70"/>
        <v>0.49493339405665421</v>
      </c>
    </row>
    <row r="4349" spans="16:18" x14ac:dyDescent="0.3">
      <c r="P4349" s="35">
        <v>30.11</v>
      </c>
      <c r="Q4349">
        <v>305</v>
      </c>
      <c r="R4349" s="34">
        <f t="shared" si="70"/>
        <v>0.49504725036998676</v>
      </c>
    </row>
    <row r="4350" spans="16:18" x14ac:dyDescent="0.3">
      <c r="P4350" s="35">
        <v>30.11</v>
      </c>
      <c r="Q4350">
        <v>305</v>
      </c>
      <c r="R4350" s="34">
        <f t="shared" si="70"/>
        <v>0.49516110668331931</v>
      </c>
    </row>
    <row r="4351" spans="16:18" x14ac:dyDescent="0.3">
      <c r="P4351" s="35">
        <v>30.11</v>
      </c>
      <c r="Q4351">
        <v>305</v>
      </c>
      <c r="R4351" s="34">
        <f t="shared" si="70"/>
        <v>0.49527496299665186</v>
      </c>
    </row>
    <row r="4352" spans="16:18" x14ac:dyDescent="0.3">
      <c r="P4352" s="35">
        <v>30.12</v>
      </c>
      <c r="Q4352">
        <v>305</v>
      </c>
      <c r="R4352" s="34">
        <f t="shared" si="70"/>
        <v>0.49538881930998441</v>
      </c>
    </row>
    <row r="4353" spans="16:18" x14ac:dyDescent="0.3">
      <c r="P4353" s="35">
        <v>30.12</v>
      </c>
      <c r="Q4353">
        <v>305</v>
      </c>
      <c r="R4353" s="34">
        <f t="shared" si="70"/>
        <v>0.49550267562331696</v>
      </c>
    </row>
    <row r="4354" spans="16:18" x14ac:dyDescent="0.3">
      <c r="P4354" s="35">
        <v>30.12</v>
      </c>
      <c r="Q4354">
        <v>305</v>
      </c>
      <c r="R4354" s="34">
        <f t="shared" si="70"/>
        <v>0.49561653193664951</v>
      </c>
    </row>
    <row r="4355" spans="16:18" x14ac:dyDescent="0.3">
      <c r="P4355" s="35">
        <v>30.12</v>
      </c>
      <c r="Q4355">
        <v>305</v>
      </c>
      <c r="R4355" s="34">
        <f t="shared" si="70"/>
        <v>0.49573038824998206</v>
      </c>
    </row>
    <row r="4356" spans="16:18" x14ac:dyDescent="0.3">
      <c r="P4356" s="35">
        <v>30.13</v>
      </c>
      <c r="Q4356">
        <v>305</v>
      </c>
      <c r="R4356" s="34">
        <f t="shared" ref="R4356:R4419" si="71">R4355+R$2</f>
        <v>0.49584424456331461</v>
      </c>
    </row>
    <row r="4357" spans="16:18" x14ac:dyDescent="0.3">
      <c r="P4357" s="35">
        <v>30.13</v>
      </c>
      <c r="Q4357">
        <v>305</v>
      </c>
      <c r="R4357" s="34">
        <f t="shared" si="71"/>
        <v>0.49595810087664716</v>
      </c>
    </row>
    <row r="4358" spans="16:18" x14ac:dyDescent="0.3">
      <c r="P4358" s="35">
        <v>30.13</v>
      </c>
      <c r="Q4358">
        <v>305</v>
      </c>
      <c r="R4358" s="34">
        <f t="shared" si="71"/>
        <v>0.49607195718997971</v>
      </c>
    </row>
    <row r="4359" spans="16:18" x14ac:dyDescent="0.3">
      <c r="P4359" s="35">
        <v>30.13</v>
      </c>
      <c r="Q4359">
        <v>305</v>
      </c>
      <c r="R4359" s="34">
        <f t="shared" si="71"/>
        <v>0.49618581350331226</v>
      </c>
    </row>
    <row r="4360" spans="16:18" x14ac:dyDescent="0.3">
      <c r="P4360" s="35">
        <v>30.13</v>
      </c>
      <c r="Q4360">
        <v>305</v>
      </c>
      <c r="R4360" s="34">
        <f t="shared" si="71"/>
        <v>0.49629966981664481</v>
      </c>
    </row>
    <row r="4361" spans="16:18" x14ac:dyDescent="0.3">
      <c r="P4361" s="35">
        <v>30.13</v>
      </c>
      <c r="Q4361">
        <v>305</v>
      </c>
      <c r="R4361" s="34">
        <f t="shared" si="71"/>
        <v>0.49641352612997736</v>
      </c>
    </row>
    <row r="4362" spans="16:18" x14ac:dyDescent="0.3">
      <c r="P4362" s="35">
        <v>30.14</v>
      </c>
      <c r="Q4362">
        <v>305</v>
      </c>
      <c r="R4362" s="34">
        <f t="shared" si="71"/>
        <v>0.49652738244330991</v>
      </c>
    </row>
    <row r="4363" spans="16:18" x14ac:dyDescent="0.3">
      <c r="P4363" s="35">
        <v>30.14</v>
      </c>
      <c r="Q4363">
        <v>305</v>
      </c>
      <c r="R4363" s="34">
        <f t="shared" si="71"/>
        <v>0.49664123875664246</v>
      </c>
    </row>
    <row r="4364" spans="16:18" x14ac:dyDescent="0.3">
      <c r="P4364" s="35">
        <v>30.14</v>
      </c>
      <c r="Q4364">
        <v>305</v>
      </c>
      <c r="R4364" s="34">
        <f t="shared" si="71"/>
        <v>0.49675509506997501</v>
      </c>
    </row>
    <row r="4365" spans="16:18" x14ac:dyDescent="0.3">
      <c r="P4365" s="35">
        <v>30.16</v>
      </c>
      <c r="Q4365">
        <v>305</v>
      </c>
      <c r="R4365" s="34">
        <f t="shared" si="71"/>
        <v>0.49686895138330756</v>
      </c>
    </row>
    <row r="4366" spans="16:18" x14ac:dyDescent="0.3">
      <c r="P4366" s="35">
        <v>30.17</v>
      </c>
      <c r="Q4366">
        <v>305</v>
      </c>
      <c r="R4366" s="34">
        <f t="shared" si="71"/>
        <v>0.49698280769664011</v>
      </c>
    </row>
    <row r="4367" spans="16:18" x14ac:dyDescent="0.3">
      <c r="P4367" s="35">
        <v>30.17</v>
      </c>
      <c r="Q4367">
        <v>305</v>
      </c>
      <c r="R4367" s="34">
        <f t="shared" si="71"/>
        <v>0.49709666400997266</v>
      </c>
    </row>
    <row r="4368" spans="16:18" x14ac:dyDescent="0.3">
      <c r="P4368" s="35">
        <v>30.17</v>
      </c>
      <c r="Q4368">
        <v>305</v>
      </c>
      <c r="R4368" s="34">
        <f t="shared" si="71"/>
        <v>0.49721052032330521</v>
      </c>
    </row>
    <row r="4369" spans="16:18" x14ac:dyDescent="0.3">
      <c r="P4369" s="35">
        <v>30.17</v>
      </c>
      <c r="Q4369">
        <v>305</v>
      </c>
      <c r="R4369" s="34">
        <f t="shared" si="71"/>
        <v>0.49732437663663775</v>
      </c>
    </row>
    <row r="4370" spans="16:18" x14ac:dyDescent="0.3">
      <c r="P4370" s="35">
        <v>30.18</v>
      </c>
      <c r="Q4370">
        <v>305</v>
      </c>
      <c r="R4370" s="34">
        <f t="shared" si="71"/>
        <v>0.4974382329499703</v>
      </c>
    </row>
    <row r="4371" spans="16:18" x14ac:dyDescent="0.3">
      <c r="P4371" s="35">
        <v>30.18</v>
      </c>
      <c r="Q4371">
        <v>305</v>
      </c>
      <c r="R4371" s="34">
        <f t="shared" si="71"/>
        <v>0.49755208926330285</v>
      </c>
    </row>
    <row r="4372" spans="16:18" x14ac:dyDescent="0.3">
      <c r="P4372" s="35">
        <v>30.18</v>
      </c>
      <c r="Q4372">
        <v>305</v>
      </c>
      <c r="R4372" s="34">
        <f t="shared" si="71"/>
        <v>0.4976659455766354</v>
      </c>
    </row>
    <row r="4373" spans="16:18" x14ac:dyDescent="0.3">
      <c r="P4373" s="35">
        <v>30.18</v>
      </c>
      <c r="Q4373">
        <v>305</v>
      </c>
      <c r="R4373" s="34">
        <f t="shared" si="71"/>
        <v>0.49777980188996795</v>
      </c>
    </row>
    <row r="4374" spans="16:18" x14ac:dyDescent="0.3">
      <c r="P4374" s="35">
        <v>30.18</v>
      </c>
      <c r="Q4374">
        <v>305</v>
      </c>
      <c r="R4374" s="34">
        <f t="shared" si="71"/>
        <v>0.4978936582033005</v>
      </c>
    </row>
    <row r="4375" spans="16:18" x14ac:dyDescent="0.3">
      <c r="P4375" s="35">
        <v>30.19</v>
      </c>
      <c r="Q4375">
        <v>305</v>
      </c>
      <c r="R4375" s="34">
        <f t="shared" si="71"/>
        <v>0.49800751451663305</v>
      </c>
    </row>
    <row r="4376" spans="16:18" x14ac:dyDescent="0.3">
      <c r="P4376" s="35">
        <v>30.19</v>
      </c>
      <c r="Q4376">
        <v>305</v>
      </c>
      <c r="R4376" s="34">
        <f t="shared" si="71"/>
        <v>0.4981213708299656</v>
      </c>
    </row>
    <row r="4377" spans="16:18" x14ac:dyDescent="0.3">
      <c r="P4377" s="35">
        <v>30.19</v>
      </c>
      <c r="Q4377">
        <v>305</v>
      </c>
      <c r="R4377" s="34">
        <f t="shared" si="71"/>
        <v>0.49823522714329815</v>
      </c>
    </row>
    <row r="4378" spans="16:18" x14ac:dyDescent="0.3">
      <c r="P4378" s="35">
        <v>30.2</v>
      </c>
      <c r="Q4378">
        <v>305</v>
      </c>
      <c r="R4378" s="34">
        <f t="shared" si="71"/>
        <v>0.4983490834566307</v>
      </c>
    </row>
    <row r="4379" spans="16:18" x14ac:dyDescent="0.3">
      <c r="P4379" s="35">
        <v>30.2</v>
      </c>
      <c r="Q4379">
        <v>305</v>
      </c>
      <c r="R4379" s="34">
        <f t="shared" si="71"/>
        <v>0.49846293976996325</v>
      </c>
    </row>
    <row r="4380" spans="16:18" x14ac:dyDescent="0.3">
      <c r="P4380" s="35">
        <v>30.2</v>
      </c>
      <c r="Q4380">
        <v>305</v>
      </c>
      <c r="R4380" s="34">
        <f t="shared" si="71"/>
        <v>0.4985767960832958</v>
      </c>
    </row>
    <row r="4381" spans="16:18" x14ac:dyDescent="0.3">
      <c r="P4381" s="35">
        <v>30.2</v>
      </c>
      <c r="Q4381">
        <v>305</v>
      </c>
      <c r="R4381" s="34">
        <f t="shared" si="71"/>
        <v>0.49869065239662835</v>
      </c>
    </row>
    <row r="4382" spans="16:18" x14ac:dyDescent="0.3">
      <c r="P4382" s="35">
        <v>30.21</v>
      </c>
      <c r="Q4382">
        <v>305</v>
      </c>
      <c r="R4382" s="34">
        <f t="shared" si="71"/>
        <v>0.4988045087099609</v>
      </c>
    </row>
    <row r="4383" spans="16:18" x14ac:dyDescent="0.3">
      <c r="P4383" s="35">
        <v>30.22</v>
      </c>
      <c r="Q4383">
        <v>305</v>
      </c>
      <c r="R4383" s="34">
        <f t="shared" si="71"/>
        <v>0.49891836502329345</v>
      </c>
    </row>
    <row r="4384" spans="16:18" x14ac:dyDescent="0.3">
      <c r="P4384" s="35">
        <v>30.23</v>
      </c>
      <c r="Q4384">
        <v>305</v>
      </c>
      <c r="R4384" s="34">
        <f t="shared" si="71"/>
        <v>0.499032221336626</v>
      </c>
    </row>
    <row r="4385" spans="16:18" x14ac:dyDescent="0.3">
      <c r="P4385" s="35">
        <v>30.23</v>
      </c>
      <c r="Q4385">
        <v>305</v>
      </c>
      <c r="R4385" s="34">
        <f t="shared" si="71"/>
        <v>0.49914607764995855</v>
      </c>
    </row>
    <row r="4386" spans="16:18" x14ac:dyDescent="0.3">
      <c r="P4386" s="35">
        <v>30.23</v>
      </c>
      <c r="Q4386">
        <v>305</v>
      </c>
      <c r="R4386" s="34">
        <f t="shared" si="71"/>
        <v>0.4992599339632911</v>
      </c>
    </row>
    <row r="4387" spans="16:18" x14ac:dyDescent="0.3">
      <c r="P4387" s="35">
        <v>30.23</v>
      </c>
      <c r="Q4387">
        <v>305</v>
      </c>
      <c r="R4387" s="34">
        <f t="shared" si="71"/>
        <v>0.49937379027662365</v>
      </c>
    </row>
    <row r="4388" spans="16:18" x14ac:dyDescent="0.3">
      <c r="P4388" s="35">
        <v>30.24</v>
      </c>
      <c r="Q4388">
        <v>305</v>
      </c>
      <c r="R4388" s="34">
        <f t="shared" si="71"/>
        <v>0.4994876465899562</v>
      </c>
    </row>
    <row r="4389" spans="16:18" x14ac:dyDescent="0.3">
      <c r="P4389" s="35">
        <v>30.24</v>
      </c>
      <c r="Q4389">
        <v>305</v>
      </c>
      <c r="R4389" s="34">
        <f t="shared" si="71"/>
        <v>0.49960150290328875</v>
      </c>
    </row>
    <row r="4390" spans="16:18" x14ac:dyDescent="0.3">
      <c r="P4390" s="35">
        <v>30.25</v>
      </c>
      <c r="Q4390">
        <v>305</v>
      </c>
      <c r="R4390" s="34">
        <f t="shared" si="71"/>
        <v>0.4997153592166213</v>
      </c>
    </row>
    <row r="4391" spans="16:18" x14ac:dyDescent="0.3">
      <c r="P4391" s="35">
        <v>30.26</v>
      </c>
      <c r="Q4391">
        <v>305</v>
      </c>
      <c r="R4391" s="34">
        <f t="shared" si="71"/>
        <v>0.49982921552995385</v>
      </c>
    </row>
    <row r="4392" spans="16:18" x14ac:dyDescent="0.3">
      <c r="P4392" s="35">
        <v>30.26</v>
      </c>
      <c r="Q4392">
        <v>305</v>
      </c>
      <c r="R4392" s="34">
        <f t="shared" si="71"/>
        <v>0.4999430718432864</v>
      </c>
    </row>
    <row r="4393" spans="16:18" x14ac:dyDescent="0.3">
      <c r="P4393" s="35">
        <v>30.27</v>
      </c>
      <c r="Q4393">
        <v>305</v>
      </c>
      <c r="R4393" s="34">
        <f t="shared" si="71"/>
        <v>0.50005692815661895</v>
      </c>
    </row>
    <row r="4394" spans="16:18" x14ac:dyDescent="0.3">
      <c r="P4394" s="35">
        <v>30.27</v>
      </c>
      <c r="Q4394">
        <v>305</v>
      </c>
      <c r="R4394" s="34">
        <f t="shared" si="71"/>
        <v>0.50017078446995156</v>
      </c>
    </row>
    <row r="4395" spans="16:18" x14ac:dyDescent="0.3">
      <c r="P4395" s="35">
        <v>30.28</v>
      </c>
      <c r="Q4395">
        <v>305</v>
      </c>
      <c r="R4395" s="34">
        <f t="shared" si="71"/>
        <v>0.50028464078328416</v>
      </c>
    </row>
    <row r="4396" spans="16:18" x14ac:dyDescent="0.3">
      <c r="P4396" s="35">
        <v>30.28</v>
      </c>
      <c r="Q4396">
        <v>305</v>
      </c>
      <c r="R4396" s="34">
        <f t="shared" si="71"/>
        <v>0.50039849709661677</v>
      </c>
    </row>
    <row r="4397" spans="16:18" x14ac:dyDescent="0.3">
      <c r="P4397" s="35">
        <v>30.28</v>
      </c>
      <c r="Q4397">
        <v>305</v>
      </c>
      <c r="R4397" s="34">
        <f t="shared" si="71"/>
        <v>0.50051235340994937</v>
      </c>
    </row>
    <row r="4398" spans="16:18" x14ac:dyDescent="0.3">
      <c r="P4398" s="35">
        <v>30.29</v>
      </c>
      <c r="Q4398">
        <v>305</v>
      </c>
      <c r="R4398" s="34">
        <f t="shared" si="71"/>
        <v>0.50062620972328198</v>
      </c>
    </row>
    <row r="4399" spans="16:18" x14ac:dyDescent="0.3">
      <c r="P4399" s="35">
        <v>30.29</v>
      </c>
      <c r="Q4399">
        <v>305</v>
      </c>
      <c r="R4399" s="34">
        <f t="shared" si="71"/>
        <v>0.50074006603661458</v>
      </c>
    </row>
    <row r="4400" spans="16:18" x14ac:dyDescent="0.3">
      <c r="P4400" s="35">
        <v>30.3</v>
      </c>
      <c r="Q4400">
        <v>305</v>
      </c>
      <c r="R4400" s="34">
        <f t="shared" si="71"/>
        <v>0.50085392234994719</v>
      </c>
    </row>
    <row r="4401" spans="16:18" x14ac:dyDescent="0.3">
      <c r="P4401" s="35">
        <v>30.3</v>
      </c>
      <c r="Q4401">
        <v>305</v>
      </c>
      <c r="R4401" s="34">
        <f t="shared" si="71"/>
        <v>0.50096777866327979</v>
      </c>
    </row>
    <row r="4402" spans="16:18" x14ac:dyDescent="0.3">
      <c r="P4402" s="35">
        <v>30.31</v>
      </c>
      <c r="Q4402">
        <v>305</v>
      </c>
      <c r="R4402" s="34">
        <f t="shared" si="71"/>
        <v>0.5010816349766124</v>
      </c>
    </row>
    <row r="4403" spans="16:18" x14ac:dyDescent="0.3">
      <c r="P4403" s="35">
        <v>30.31</v>
      </c>
      <c r="Q4403">
        <v>305</v>
      </c>
      <c r="R4403" s="34">
        <f t="shared" si="71"/>
        <v>0.50119549128994501</v>
      </c>
    </row>
    <row r="4404" spans="16:18" x14ac:dyDescent="0.3">
      <c r="P4404" s="35">
        <v>30.33</v>
      </c>
      <c r="Q4404">
        <v>305</v>
      </c>
      <c r="R4404" s="34">
        <f t="shared" si="71"/>
        <v>0.50130934760327761</v>
      </c>
    </row>
    <row r="4405" spans="16:18" x14ac:dyDescent="0.3">
      <c r="P4405" s="35">
        <v>30.33</v>
      </c>
      <c r="Q4405">
        <v>305</v>
      </c>
      <c r="R4405" s="34">
        <f t="shared" si="71"/>
        <v>0.50142320391661022</v>
      </c>
    </row>
    <row r="4406" spans="16:18" x14ac:dyDescent="0.3">
      <c r="P4406" s="35">
        <v>30.33</v>
      </c>
      <c r="Q4406">
        <v>305</v>
      </c>
      <c r="R4406" s="34">
        <f t="shared" si="71"/>
        <v>0.50153706022994282</v>
      </c>
    </row>
    <row r="4407" spans="16:18" x14ac:dyDescent="0.3">
      <c r="P4407" s="35">
        <v>30.33</v>
      </c>
      <c r="Q4407">
        <v>305</v>
      </c>
      <c r="R4407" s="34">
        <f t="shared" si="71"/>
        <v>0.50165091654327543</v>
      </c>
    </row>
    <row r="4408" spans="16:18" x14ac:dyDescent="0.3">
      <c r="P4408" s="35">
        <v>30.33</v>
      </c>
      <c r="Q4408">
        <v>305</v>
      </c>
      <c r="R4408" s="34">
        <f t="shared" si="71"/>
        <v>0.50176477285660803</v>
      </c>
    </row>
    <row r="4409" spans="16:18" x14ac:dyDescent="0.3">
      <c r="P4409" s="35">
        <v>30.35</v>
      </c>
      <c r="Q4409">
        <v>305</v>
      </c>
      <c r="R4409" s="34">
        <f t="shared" si="71"/>
        <v>0.50187862916994064</v>
      </c>
    </row>
    <row r="4410" spans="16:18" x14ac:dyDescent="0.3">
      <c r="P4410" s="35">
        <v>30.36</v>
      </c>
      <c r="Q4410">
        <v>305</v>
      </c>
      <c r="R4410" s="34">
        <f t="shared" si="71"/>
        <v>0.50199248548327324</v>
      </c>
    </row>
    <row r="4411" spans="16:18" x14ac:dyDescent="0.3">
      <c r="P4411" s="35">
        <v>30.36</v>
      </c>
      <c r="Q4411">
        <v>305</v>
      </c>
      <c r="R4411" s="34">
        <f t="shared" si="71"/>
        <v>0.50210634179660585</v>
      </c>
    </row>
    <row r="4412" spans="16:18" x14ac:dyDescent="0.3">
      <c r="P4412" s="35">
        <v>30.37</v>
      </c>
      <c r="Q4412">
        <v>305</v>
      </c>
      <c r="R4412" s="34">
        <f t="shared" si="71"/>
        <v>0.50222019810993845</v>
      </c>
    </row>
    <row r="4413" spans="16:18" x14ac:dyDescent="0.3">
      <c r="P4413" s="35">
        <v>30.38</v>
      </c>
      <c r="Q4413">
        <v>305</v>
      </c>
      <c r="R4413" s="34">
        <f t="shared" si="71"/>
        <v>0.50233405442327106</v>
      </c>
    </row>
    <row r="4414" spans="16:18" x14ac:dyDescent="0.3">
      <c r="P4414" s="35">
        <v>30.39</v>
      </c>
      <c r="Q4414">
        <v>305</v>
      </c>
      <c r="R4414" s="34">
        <f t="shared" si="71"/>
        <v>0.50244791073660366</v>
      </c>
    </row>
    <row r="4415" spans="16:18" x14ac:dyDescent="0.3">
      <c r="P4415" s="35">
        <v>30.4</v>
      </c>
      <c r="Q4415">
        <v>305</v>
      </c>
      <c r="R4415" s="34">
        <f t="shared" si="71"/>
        <v>0.50256176704993627</v>
      </c>
    </row>
    <row r="4416" spans="16:18" x14ac:dyDescent="0.3">
      <c r="P4416" s="35">
        <v>30.41</v>
      </c>
      <c r="Q4416">
        <v>305</v>
      </c>
      <c r="R4416" s="34">
        <f t="shared" si="71"/>
        <v>0.50267562336326888</v>
      </c>
    </row>
    <row r="4417" spans="16:18" x14ac:dyDescent="0.3">
      <c r="P4417" s="35">
        <v>30.41</v>
      </c>
      <c r="Q4417">
        <v>305</v>
      </c>
      <c r="R4417" s="34">
        <f t="shared" si="71"/>
        <v>0.50278947967660148</v>
      </c>
    </row>
    <row r="4418" spans="16:18" x14ac:dyDescent="0.3">
      <c r="P4418" s="35">
        <v>30.41</v>
      </c>
      <c r="Q4418">
        <v>305</v>
      </c>
      <c r="R4418" s="34">
        <f t="shared" si="71"/>
        <v>0.50290333598993409</v>
      </c>
    </row>
    <row r="4419" spans="16:18" x14ac:dyDescent="0.3">
      <c r="P4419" s="35">
        <v>30.41</v>
      </c>
      <c r="Q4419">
        <v>305</v>
      </c>
      <c r="R4419" s="34">
        <f t="shared" si="71"/>
        <v>0.50301719230326669</v>
      </c>
    </row>
    <row r="4420" spans="16:18" x14ac:dyDescent="0.3">
      <c r="P4420" s="35">
        <v>30.42</v>
      </c>
      <c r="Q4420">
        <v>305</v>
      </c>
      <c r="R4420" s="34">
        <f t="shared" ref="R4420:R4483" si="72">R4419+R$2</f>
        <v>0.5031310486165993</v>
      </c>
    </row>
    <row r="4421" spans="16:18" x14ac:dyDescent="0.3">
      <c r="P4421" s="35">
        <v>30.43</v>
      </c>
      <c r="Q4421">
        <v>305</v>
      </c>
      <c r="R4421" s="34">
        <f t="shared" si="72"/>
        <v>0.5032449049299319</v>
      </c>
    </row>
    <row r="4422" spans="16:18" x14ac:dyDescent="0.3">
      <c r="P4422" s="35">
        <v>30.44</v>
      </c>
      <c r="Q4422">
        <v>305</v>
      </c>
      <c r="R4422" s="34">
        <f t="shared" si="72"/>
        <v>0.50335876124326451</v>
      </c>
    </row>
    <row r="4423" spans="16:18" x14ac:dyDescent="0.3">
      <c r="P4423" s="35">
        <v>30.46</v>
      </c>
      <c r="Q4423">
        <v>305</v>
      </c>
      <c r="R4423" s="34">
        <f t="shared" si="72"/>
        <v>0.50347261755659711</v>
      </c>
    </row>
    <row r="4424" spans="16:18" x14ac:dyDescent="0.3">
      <c r="P4424" s="35">
        <v>30.46</v>
      </c>
      <c r="Q4424">
        <v>305</v>
      </c>
      <c r="R4424" s="34">
        <f t="shared" si="72"/>
        <v>0.50358647386992972</v>
      </c>
    </row>
    <row r="4425" spans="16:18" x14ac:dyDescent="0.3">
      <c r="P4425" s="35">
        <v>30.46</v>
      </c>
      <c r="Q4425">
        <v>305</v>
      </c>
      <c r="R4425" s="34">
        <f t="shared" si="72"/>
        <v>0.50370033018326232</v>
      </c>
    </row>
    <row r="4426" spans="16:18" x14ac:dyDescent="0.3">
      <c r="P4426" s="35">
        <v>30.47</v>
      </c>
      <c r="Q4426">
        <v>305</v>
      </c>
      <c r="R4426" s="34">
        <f t="shared" si="72"/>
        <v>0.50381418649659493</v>
      </c>
    </row>
    <row r="4427" spans="16:18" x14ac:dyDescent="0.3">
      <c r="P4427" s="35">
        <v>30.47</v>
      </c>
      <c r="Q4427">
        <v>305</v>
      </c>
      <c r="R4427" s="34">
        <f t="shared" si="72"/>
        <v>0.50392804280992753</v>
      </c>
    </row>
    <row r="4428" spans="16:18" x14ac:dyDescent="0.3">
      <c r="P4428" s="35">
        <v>30.48</v>
      </c>
      <c r="Q4428">
        <v>305</v>
      </c>
      <c r="R4428" s="34">
        <f t="shared" si="72"/>
        <v>0.50404189912326014</v>
      </c>
    </row>
    <row r="4429" spans="16:18" x14ac:dyDescent="0.3">
      <c r="P4429" s="35">
        <v>30.48</v>
      </c>
      <c r="Q4429">
        <v>305</v>
      </c>
      <c r="R4429" s="34">
        <f t="shared" si="72"/>
        <v>0.50415575543659275</v>
      </c>
    </row>
    <row r="4430" spans="16:18" x14ac:dyDescent="0.3">
      <c r="P4430" s="35">
        <v>30.48</v>
      </c>
      <c r="Q4430">
        <v>305</v>
      </c>
      <c r="R4430" s="34">
        <f t="shared" si="72"/>
        <v>0.50426961174992535</v>
      </c>
    </row>
    <row r="4431" spans="16:18" x14ac:dyDescent="0.3">
      <c r="P4431" s="35">
        <v>30.5</v>
      </c>
      <c r="Q4431">
        <v>305</v>
      </c>
      <c r="R4431" s="34">
        <f t="shared" si="72"/>
        <v>0.50438346806325796</v>
      </c>
    </row>
    <row r="4432" spans="16:18" x14ac:dyDescent="0.3">
      <c r="P4432" s="35">
        <v>30.51</v>
      </c>
      <c r="Q4432">
        <v>305</v>
      </c>
      <c r="R4432" s="34">
        <f t="shared" si="72"/>
        <v>0.50449732437659056</v>
      </c>
    </row>
    <row r="4433" spans="16:18" x14ac:dyDescent="0.3">
      <c r="P4433" s="35">
        <v>30.51</v>
      </c>
      <c r="Q4433">
        <v>305</v>
      </c>
      <c r="R4433" s="34">
        <f t="shared" si="72"/>
        <v>0.50461118068992317</v>
      </c>
    </row>
    <row r="4434" spans="16:18" x14ac:dyDescent="0.3">
      <c r="P4434" s="35">
        <v>30.51</v>
      </c>
      <c r="Q4434">
        <v>305</v>
      </c>
      <c r="R4434" s="34">
        <f t="shared" si="72"/>
        <v>0.50472503700325577</v>
      </c>
    </row>
    <row r="4435" spans="16:18" x14ac:dyDescent="0.3">
      <c r="P4435" s="35">
        <v>30.51</v>
      </c>
      <c r="Q4435">
        <v>305</v>
      </c>
      <c r="R4435" s="34">
        <f t="shared" si="72"/>
        <v>0.50483889331658838</v>
      </c>
    </row>
    <row r="4436" spans="16:18" x14ac:dyDescent="0.3">
      <c r="P4436" s="35">
        <v>30.51</v>
      </c>
      <c r="Q4436">
        <v>305</v>
      </c>
      <c r="R4436" s="34">
        <f t="shared" si="72"/>
        <v>0.50495274962992098</v>
      </c>
    </row>
    <row r="4437" spans="16:18" x14ac:dyDescent="0.3">
      <c r="P4437" s="35">
        <v>30.52</v>
      </c>
      <c r="Q4437">
        <v>305</v>
      </c>
      <c r="R4437" s="34">
        <f t="shared" si="72"/>
        <v>0.50506660594325359</v>
      </c>
    </row>
    <row r="4438" spans="16:18" x14ac:dyDescent="0.3">
      <c r="P4438" s="35">
        <v>30.52</v>
      </c>
      <c r="Q4438">
        <v>305</v>
      </c>
      <c r="R4438" s="34">
        <f t="shared" si="72"/>
        <v>0.50518046225658619</v>
      </c>
    </row>
    <row r="4439" spans="16:18" x14ac:dyDescent="0.3">
      <c r="P4439" s="35">
        <v>30.52</v>
      </c>
      <c r="Q4439">
        <v>305</v>
      </c>
      <c r="R4439" s="34">
        <f t="shared" si="72"/>
        <v>0.5052943185699188</v>
      </c>
    </row>
    <row r="4440" spans="16:18" x14ac:dyDescent="0.3">
      <c r="P4440" s="35">
        <v>30.53</v>
      </c>
      <c r="Q4440">
        <v>305</v>
      </c>
      <c r="R4440" s="34">
        <f t="shared" si="72"/>
        <v>0.5054081748832514</v>
      </c>
    </row>
    <row r="4441" spans="16:18" x14ac:dyDescent="0.3">
      <c r="P4441" s="35">
        <v>30.53</v>
      </c>
      <c r="Q4441">
        <v>305</v>
      </c>
      <c r="R4441" s="34">
        <f t="shared" si="72"/>
        <v>0.50552203119658401</v>
      </c>
    </row>
    <row r="4442" spans="16:18" x14ac:dyDescent="0.3">
      <c r="P4442" s="35">
        <v>30.53</v>
      </c>
      <c r="Q4442">
        <v>305</v>
      </c>
      <c r="R4442" s="34">
        <f t="shared" si="72"/>
        <v>0.50563588750991662</v>
      </c>
    </row>
    <row r="4443" spans="16:18" x14ac:dyDescent="0.3">
      <c r="P4443" s="35">
        <v>30.53</v>
      </c>
      <c r="Q4443">
        <v>305</v>
      </c>
      <c r="R4443" s="34">
        <f t="shared" si="72"/>
        <v>0.50574974382324922</v>
      </c>
    </row>
    <row r="4444" spans="16:18" x14ac:dyDescent="0.3">
      <c r="P4444" s="35">
        <v>30.54</v>
      </c>
      <c r="Q4444">
        <v>305</v>
      </c>
      <c r="R4444" s="34">
        <f t="shared" si="72"/>
        <v>0.50586360013658183</v>
      </c>
    </row>
    <row r="4445" spans="16:18" x14ac:dyDescent="0.3">
      <c r="P4445" s="35">
        <v>30.54</v>
      </c>
      <c r="Q4445">
        <v>305</v>
      </c>
      <c r="R4445" s="34">
        <f t="shared" si="72"/>
        <v>0.50597745644991443</v>
      </c>
    </row>
    <row r="4446" spans="16:18" x14ac:dyDescent="0.3">
      <c r="P4446" s="35">
        <v>30.55</v>
      </c>
      <c r="Q4446">
        <v>305</v>
      </c>
      <c r="R4446" s="34">
        <f t="shared" si="72"/>
        <v>0.50609131276324704</v>
      </c>
    </row>
    <row r="4447" spans="16:18" x14ac:dyDescent="0.3">
      <c r="P4447" s="35">
        <v>30.55</v>
      </c>
      <c r="Q4447">
        <v>305</v>
      </c>
      <c r="R4447" s="34">
        <f t="shared" si="72"/>
        <v>0.50620516907657964</v>
      </c>
    </row>
    <row r="4448" spans="16:18" x14ac:dyDescent="0.3">
      <c r="P4448" s="35">
        <v>30.56</v>
      </c>
      <c r="Q4448">
        <v>305</v>
      </c>
      <c r="R4448" s="34">
        <f t="shared" si="72"/>
        <v>0.50631902538991225</v>
      </c>
    </row>
    <row r="4449" spans="16:18" x14ac:dyDescent="0.3">
      <c r="P4449" s="35">
        <v>30.56</v>
      </c>
      <c r="Q4449">
        <v>305</v>
      </c>
      <c r="R4449" s="34">
        <f t="shared" si="72"/>
        <v>0.50643288170324485</v>
      </c>
    </row>
    <row r="4450" spans="16:18" x14ac:dyDescent="0.3">
      <c r="P4450" s="35">
        <v>30.56</v>
      </c>
      <c r="Q4450">
        <v>305</v>
      </c>
      <c r="R4450" s="34">
        <f t="shared" si="72"/>
        <v>0.50654673801657746</v>
      </c>
    </row>
    <row r="4451" spans="16:18" x14ac:dyDescent="0.3">
      <c r="P4451" s="35">
        <v>30.56</v>
      </c>
      <c r="Q4451">
        <v>305</v>
      </c>
      <c r="R4451" s="34">
        <f t="shared" si="72"/>
        <v>0.50666059432991006</v>
      </c>
    </row>
    <row r="4452" spans="16:18" x14ac:dyDescent="0.3">
      <c r="P4452" s="35">
        <v>30.56</v>
      </c>
      <c r="Q4452">
        <v>305</v>
      </c>
      <c r="R4452" s="34">
        <f t="shared" si="72"/>
        <v>0.50677445064324267</v>
      </c>
    </row>
    <row r="4453" spans="16:18" x14ac:dyDescent="0.3">
      <c r="P4453" s="35">
        <v>30.58</v>
      </c>
      <c r="Q4453">
        <v>305</v>
      </c>
      <c r="R4453" s="34">
        <f t="shared" si="72"/>
        <v>0.50688830695657527</v>
      </c>
    </row>
    <row r="4454" spans="16:18" x14ac:dyDescent="0.3">
      <c r="P4454" s="35">
        <v>30.59</v>
      </c>
      <c r="Q4454">
        <v>305</v>
      </c>
      <c r="R4454" s="34">
        <f t="shared" si="72"/>
        <v>0.50700216326990788</v>
      </c>
    </row>
    <row r="4455" spans="16:18" x14ac:dyDescent="0.3">
      <c r="P4455" s="35">
        <v>30.59</v>
      </c>
      <c r="Q4455">
        <v>305</v>
      </c>
      <c r="R4455" s="34">
        <f t="shared" si="72"/>
        <v>0.50711601958324048</v>
      </c>
    </row>
    <row r="4456" spans="16:18" x14ac:dyDescent="0.3">
      <c r="P4456" s="35">
        <v>30.59</v>
      </c>
      <c r="Q4456">
        <v>305</v>
      </c>
      <c r="R4456" s="34">
        <f t="shared" si="72"/>
        <v>0.50722987589657309</v>
      </c>
    </row>
    <row r="4457" spans="16:18" x14ac:dyDescent="0.3">
      <c r="P4457" s="35">
        <v>30.59</v>
      </c>
      <c r="Q4457">
        <v>305</v>
      </c>
      <c r="R4457" s="34">
        <f t="shared" si="72"/>
        <v>0.5073437322099057</v>
      </c>
    </row>
    <row r="4458" spans="16:18" x14ac:dyDescent="0.3">
      <c r="P4458" s="35">
        <v>30.59</v>
      </c>
      <c r="Q4458">
        <v>305</v>
      </c>
      <c r="R4458" s="34">
        <f t="shared" si="72"/>
        <v>0.5074575885232383</v>
      </c>
    </row>
    <row r="4459" spans="16:18" x14ac:dyDescent="0.3">
      <c r="P4459" s="35">
        <v>30.6</v>
      </c>
      <c r="Q4459">
        <v>305</v>
      </c>
      <c r="R4459" s="34">
        <f t="shared" si="72"/>
        <v>0.50757144483657091</v>
      </c>
    </row>
    <row r="4460" spans="16:18" x14ac:dyDescent="0.3">
      <c r="P4460" s="35">
        <v>30.63</v>
      </c>
      <c r="Q4460">
        <v>305</v>
      </c>
      <c r="R4460" s="34">
        <f t="shared" si="72"/>
        <v>0.50768530114990351</v>
      </c>
    </row>
    <row r="4461" spans="16:18" x14ac:dyDescent="0.3">
      <c r="P4461" s="35">
        <v>30.64</v>
      </c>
      <c r="Q4461">
        <v>305</v>
      </c>
      <c r="R4461" s="34">
        <f t="shared" si="72"/>
        <v>0.50779915746323612</v>
      </c>
    </row>
    <row r="4462" spans="16:18" x14ac:dyDescent="0.3">
      <c r="P4462" s="35">
        <v>30.64</v>
      </c>
      <c r="Q4462">
        <v>305</v>
      </c>
      <c r="R4462" s="34">
        <f t="shared" si="72"/>
        <v>0.50791301377656872</v>
      </c>
    </row>
    <row r="4463" spans="16:18" x14ac:dyDescent="0.3">
      <c r="P4463" s="35">
        <v>30.65</v>
      </c>
      <c r="Q4463">
        <v>305</v>
      </c>
      <c r="R4463" s="34">
        <f t="shared" si="72"/>
        <v>0.50802687008990133</v>
      </c>
    </row>
    <row r="4464" spans="16:18" x14ac:dyDescent="0.3">
      <c r="P4464" s="35">
        <v>30.65</v>
      </c>
      <c r="Q4464">
        <v>305</v>
      </c>
      <c r="R4464" s="34">
        <f t="shared" si="72"/>
        <v>0.50814072640323393</v>
      </c>
    </row>
    <row r="4465" spans="16:18" x14ac:dyDescent="0.3">
      <c r="P4465" s="35">
        <v>30.65</v>
      </c>
      <c r="Q4465">
        <v>305</v>
      </c>
      <c r="R4465" s="34">
        <f t="shared" si="72"/>
        <v>0.50825458271656654</v>
      </c>
    </row>
    <row r="4466" spans="16:18" x14ac:dyDescent="0.3">
      <c r="P4466" s="35">
        <v>30.66</v>
      </c>
      <c r="Q4466">
        <v>305</v>
      </c>
      <c r="R4466" s="34">
        <f t="shared" si="72"/>
        <v>0.50836843902989914</v>
      </c>
    </row>
    <row r="4467" spans="16:18" x14ac:dyDescent="0.3">
      <c r="P4467" s="35">
        <v>30.66</v>
      </c>
      <c r="Q4467">
        <v>305</v>
      </c>
      <c r="R4467" s="34">
        <f t="shared" si="72"/>
        <v>0.50848229534323175</v>
      </c>
    </row>
    <row r="4468" spans="16:18" x14ac:dyDescent="0.3">
      <c r="P4468" s="35">
        <v>30.66</v>
      </c>
      <c r="Q4468">
        <v>305</v>
      </c>
      <c r="R4468" s="34">
        <f t="shared" si="72"/>
        <v>0.50859615165656435</v>
      </c>
    </row>
    <row r="4469" spans="16:18" x14ac:dyDescent="0.3">
      <c r="P4469" s="35">
        <v>30.67</v>
      </c>
      <c r="Q4469">
        <v>305</v>
      </c>
      <c r="R4469" s="34">
        <f t="shared" si="72"/>
        <v>0.50871000796989696</v>
      </c>
    </row>
    <row r="4470" spans="16:18" x14ac:dyDescent="0.3">
      <c r="P4470" s="35">
        <v>30.67</v>
      </c>
      <c r="Q4470">
        <v>305</v>
      </c>
      <c r="R4470" s="34">
        <f t="shared" si="72"/>
        <v>0.50882386428322957</v>
      </c>
    </row>
    <row r="4471" spans="16:18" x14ac:dyDescent="0.3">
      <c r="P4471" s="35">
        <v>30.67</v>
      </c>
      <c r="Q4471">
        <v>305</v>
      </c>
      <c r="R4471" s="34">
        <f t="shared" si="72"/>
        <v>0.50893772059656217</v>
      </c>
    </row>
    <row r="4472" spans="16:18" x14ac:dyDescent="0.3">
      <c r="P4472" s="35">
        <v>30.68</v>
      </c>
      <c r="Q4472">
        <v>305</v>
      </c>
      <c r="R4472" s="34">
        <f t="shared" si="72"/>
        <v>0.50905157690989478</v>
      </c>
    </row>
    <row r="4473" spans="16:18" x14ac:dyDescent="0.3">
      <c r="P4473" s="35">
        <v>30.68</v>
      </c>
      <c r="Q4473">
        <v>305</v>
      </c>
      <c r="R4473" s="34">
        <f t="shared" si="72"/>
        <v>0.50916543322322738</v>
      </c>
    </row>
    <row r="4474" spans="16:18" x14ac:dyDescent="0.3">
      <c r="P4474" s="35">
        <v>30.69</v>
      </c>
      <c r="Q4474">
        <v>305</v>
      </c>
      <c r="R4474" s="34">
        <f t="shared" si="72"/>
        <v>0.50927928953655999</v>
      </c>
    </row>
    <row r="4475" spans="16:18" x14ac:dyDescent="0.3">
      <c r="P4475" s="35">
        <v>30.69</v>
      </c>
      <c r="Q4475">
        <v>305</v>
      </c>
      <c r="R4475" s="34">
        <f t="shared" si="72"/>
        <v>0.50939314584989259</v>
      </c>
    </row>
    <row r="4476" spans="16:18" x14ac:dyDescent="0.3">
      <c r="P4476" s="35">
        <v>30.69</v>
      </c>
      <c r="Q4476">
        <v>305</v>
      </c>
      <c r="R4476" s="34">
        <f t="shared" si="72"/>
        <v>0.5095070021632252</v>
      </c>
    </row>
    <row r="4477" spans="16:18" x14ac:dyDescent="0.3">
      <c r="P4477" s="35">
        <v>30.69</v>
      </c>
      <c r="Q4477">
        <v>305</v>
      </c>
      <c r="R4477" s="34">
        <f t="shared" si="72"/>
        <v>0.5096208584765578</v>
      </c>
    </row>
    <row r="4478" spans="16:18" x14ac:dyDescent="0.3">
      <c r="P4478" s="35">
        <v>30.69</v>
      </c>
      <c r="Q4478">
        <v>305</v>
      </c>
      <c r="R4478" s="34">
        <f t="shared" si="72"/>
        <v>0.50973471478989041</v>
      </c>
    </row>
    <row r="4479" spans="16:18" x14ac:dyDescent="0.3">
      <c r="P4479" s="35">
        <v>30.69</v>
      </c>
      <c r="Q4479">
        <v>305</v>
      </c>
      <c r="R4479" s="34">
        <f t="shared" si="72"/>
        <v>0.50984857110322301</v>
      </c>
    </row>
    <row r="4480" spans="16:18" x14ac:dyDescent="0.3">
      <c r="P4480" s="35">
        <v>30.69</v>
      </c>
      <c r="Q4480">
        <v>305</v>
      </c>
      <c r="R4480" s="34">
        <f t="shared" si="72"/>
        <v>0.50996242741655562</v>
      </c>
    </row>
    <row r="4481" spans="16:18" x14ac:dyDescent="0.3">
      <c r="P4481" s="35">
        <v>30.71</v>
      </c>
      <c r="Q4481">
        <v>305</v>
      </c>
      <c r="R4481" s="34">
        <f t="shared" si="72"/>
        <v>0.51007628372988822</v>
      </c>
    </row>
    <row r="4482" spans="16:18" x14ac:dyDescent="0.3">
      <c r="P4482" s="35">
        <v>30.71</v>
      </c>
      <c r="Q4482">
        <v>305</v>
      </c>
      <c r="R4482" s="34">
        <f t="shared" si="72"/>
        <v>0.51019014004322083</v>
      </c>
    </row>
    <row r="4483" spans="16:18" x14ac:dyDescent="0.3">
      <c r="P4483" s="35">
        <v>30.72</v>
      </c>
      <c r="Q4483">
        <v>305</v>
      </c>
      <c r="R4483" s="34">
        <f t="shared" si="72"/>
        <v>0.51030399635655344</v>
      </c>
    </row>
    <row r="4484" spans="16:18" x14ac:dyDescent="0.3">
      <c r="P4484" s="35">
        <v>30.74</v>
      </c>
      <c r="Q4484">
        <v>305</v>
      </c>
      <c r="R4484" s="34">
        <f t="shared" ref="R4484:R4547" si="73">R4483+R$2</f>
        <v>0.51041785266988604</v>
      </c>
    </row>
    <row r="4485" spans="16:18" x14ac:dyDescent="0.3">
      <c r="P4485" s="35">
        <v>30.75</v>
      </c>
      <c r="Q4485">
        <v>305</v>
      </c>
      <c r="R4485" s="34">
        <f t="shared" si="73"/>
        <v>0.51053170898321865</v>
      </c>
    </row>
    <row r="4486" spans="16:18" x14ac:dyDescent="0.3">
      <c r="P4486" s="35">
        <v>30.75</v>
      </c>
      <c r="Q4486">
        <v>305</v>
      </c>
      <c r="R4486" s="34">
        <f t="shared" si="73"/>
        <v>0.51064556529655125</v>
      </c>
    </row>
    <row r="4487" spans="16:18" x14ac:dyDescent="0.3">
      <c r="P4487" s="35">
        <v>30.77</v>
      </c>
      <c r="Q4487">
        <v>305</v>
      </c>
      <c r="R4487" s="34">
        <f t="shared" si="73"/>
        <v>0.51075942160988386</v>
      </c>
    </row>
    <row r="4488" spans="16:18" x14ac:dyDescent="0.3">
      <c r="P4488" s="35">
        <v>30.78</v>
      </c>
      <c r="Q4488">
        <v>305</v>
      </c>
      <c r="R4488" s="34">
        <f t="shared" si="73"/>
        <v>0.51087327792321646</v>
      </c>
    </row>
    <row r="4489" spans="16:18" x14ac:dyDescent="0.3">
      <c r="P4489" s="35">
        <v>30.78</v>
      </c>
      <c r="Q4489">
        <v>305</v>
      </c>
      <c r="R4489" s="34">
        <f t="shared" si="73"/>
        <v>0.51098713423654907</v>
      </c>
    </row>
    <row r="4490" spans="16:18" x14ac:dyDescent="0.3">
      <c r="P4490" s="35">
        <v>30.79</v>
      </c>
      <c r="Q4490">
        <v>305</v>
      </c>
      <c r="R4490" s="34">
        <f t="shared" si="73"/>
        <v>0.51110099054988167</v>
      </c>
    </row>
    <row r="4491" spans="16:18" x14ac:dyDescent="0.3">
      <c r="P4491" s="35">
        <v>30.79</v>
      </c>
      <c r="Q4491">
        <v>305</v>
      </c>
      <c r="R4491" s="34">
        <f t="shared" si="73"/>
        <v>0.51121484686321428</v>
      </c>
    </row>
    <row r="4492" spans="16:18" x14ac:dyDescent="0.3">
      <c r="P4492" s="35">
        <v>30.79</v>
      </c>
      <c r="Q4492">
        <v>305</v>
      </c>
      <c r="R4492" s="34">
        <f t="shared" si="73"/>
        <v>0.51132870317654688</v>
      </c>
    </row>
    <row r="4493" spans="16:18" x14ac:dyDescent="0.3">
      <c r="P4493" s="35">
        <v>30.8</v>
      </c>
      <c r="Q4493">
        <v>305</v>
      </c>
      <c r="R4493" s="34">
        <f t="shared" si="73"/>
        <v>0.51144255948987949</v>
      </c>
    </row>
    <row r="4494" spans="16:18" x14ac:dyDescent="0.3">
      <c r="P4494" s="35">
        <v>30.8</v>
      </c>
      <c r="Q4494">
        <v>305</v>
      </c>
      <c r="R4494" s="34">
        <f t="shared" si="73"/>
        <v>0.51155641580321209</v>
      </c>
    </row>
    <row r="4495" spans="16:18" x14ac:dyDescent="0.3">
      <c r="P4495" s="35">
        <v>30.8</v>
      </c>
      <c r="Q4495">
        <v>305</v>
      </c>
      <c r="R4495" s="34">
        <f t="shared" si="73"/>
        <v>0.5116702721165447</v>
      </c>
    </row>
    <row r="4496" spans="16:18" x14ac:dyDescent="0.3">
      <c r="P4496" s="35">
        <v>30.82</v>
      </c>
      <c r="Q4496">
        <v>305</v>
      </c>
      <c r="R4496" s="34">
        <f t="shared" si="73"/>
        <v>0.51178412842987731</v>
      </c>
    </row>
    <row r="4497" spans="16:18" x14ac:dyDescent="0.3">
      <c r="P4497" s="35">
        <v>30.83</v>
      </c>
      <c r="Q4497">
        <v>305</v>
      </c>
      <c r="R4497" s="34">
        <f t="shared" si="73"/>
        <v>0.51189798474320991</v>
      </c>
    </row>
    <row r="4498" spans="16:18" x14ac:dyDescent="0.3">
      <c r="P4498" s="35">
        <v>30.83</v>
      </c>
      <c r="Q4498">
        <v>305</v>
      </c>
      <c r="R4498" s="34">
        <f t="shared" si="73"/>
        <v>0.51201184105654252</v>
      </c>
    </row>
    <row r="4499" spans="16:18" x14ac:dyDescent="0.3">
      <c r="P4499" s="35">
        <v>30.83</v>
      </c>
      <c r="Q4499">
        <v>305</v>
      </c>
      <c r="R4499" s="34">
        <f t="shared" si="73"/>
        <v>0.51212569736987512</v>
      </c>
    </row>
    <row r="4500" spans="16:18" x14ac:dyDescent="0.3">
      <c r="P4500" s="35">
        <v>30.85</v>
      </c>
      <c r="Q4500">
        <v>305</v>
      </c>
      <c r="R4500" s="34">
        <f t="shared" si="73"/>
        <v>0.51223955368320773</v>
      </c>
    </row>
    <row r="4501" spans="16:18" x14ac:dyDescent="0.3">
      <c r="P4501" s="35">
        <v>30.85</v>
      </c>
      <c r="Q4501">
        <v>305</v>
      </c>
      <c r="R4501" s="34">
        <f t="shared" si="73"/>
        <v>0.51235340999654033</v>
      </c>
    </row>
    <row r="4502" spans="16:18" x14ac:dyDescent="0.3">
      <c r="P4502" s="35">
        <v>30.86</v>
      </c>
      <c r="Q4502">
        <v>305</v>
      </c>
      <c r="R4502" s="34">
        <f t="shared" si="73"/>
        <v>0.51246726630987294</v>
      </c>
    </row>
    <row r="4503" spans="16:18" x14ac:dyDescent="0.3">
      <c r="P4503" s="35">
        <v>30.87</v>
      </c>
      <c r="Q4503">
        <v>305</v>
      </c>
      <c r="R4503" s="34">
        <f t="shared" si="73"/>
        <v>0.51258112262320554</v>
      </c>
    </row>
    <row r="4504" spans="16:18" x14ac:dyDescent="0.3">
      <c r="P4504" s="35">
        <v>30.87</v>
      </c>
      <c r="Q4504">
        <v>305</v>
      </c>
      <c r="R4504" s="34">
        <f t="shared" si="73"/>
        <v>0.51269497893653815</v>
      </c>
    </row>
    <row r="4505" spans="16:18" x14ac:dyDescent="0.3">
      <c r="P4505" s="35">
        <v>30.87</v>
      </c>
      <c r="Q4505">
        <v>305</v>
      </c>
      <c r="R4505" s="34">
        <f t="shared" si="73"/>
        <v>0.51280883524987075</v>
      </c>
    </row>
    <row r="4506" spans="16:18" x14ac:dyDescent="0.3">
      <c r="P4506" s="35">
        <v>30.88</v>
      </c>
      <c r="Q4506">
        <v>305</v>
      </c>
      <c r="R4506" s="34">
        <f t="shared" si="73"/>
        <v>0.51292269156320336</v>
      </c>
    </row>
    <row r="4507" spans="16:18" x14ac:dyDescent="0.3">
      <c r="P4507" s="35">
        <v>30.88</v>
      </c>
      <c r="Q4507">
        <v>305</v>
      </c>
      <c r="R4507" s="34">
        <f t="shared" si="73"/>
        <v>0.51303654787653596</v>
      </c>
    </row>
    <row r="4508" spans="16:18" x14ac:dyDescent="0.3">
      <c r="P4508" s="35">
        <v>30.9</v>
      </c>
      <c r="Q4508">
        <v>305</v>
      </c>
      <c r="R4508" s="34">
        <f t="shared" si="73"/>
        <v>0.51315040418986857</v>
      </c>
    </row>
    <row r="4509" spans="16:18" x14ac:dyDescent="0.3">
      <c r="P4509" s="35">
        <v>30.91</v>
      </c>
      <c r="Q4509">
        <v>305</v>
      </c>
      <c r="R4509" s="34">
        <f t="shared" si="73"/>
        <v>0.51326426050320118</v>
      </c>
    </row>
    <row r="4510" spans="16:18" x14ac:dyDescent="0.3">
      <c r="P4510" s="35">
        <v>30.93</v>
      </c>
      <c r="Q4510">
        <v>305</v>
      </c>
      <c r="R4510" s="34">
        <f t="shared" si="73"/>
        <v>0.51337811681653378</v>
      </c>
    </row>
    <row r="4511" spans="16:18" x14ac:dyDescent="0.3">
      <c r="P4511" s="35">
        <v>30.93</v>
      </c>
      <c r="Q4511">
        <v>305</v>
      </c>
      <c r="R4511" s="34">
        <f t="shared" si="73"/>
        <v>0.51349197312986639</v>
      </c>
    </row>
    <row r="4512" spans="16:18" x14ac:dyDescent="0.3">
      <c r="P4512" s="35">
        <v>30.94</v>
      </c>
      <c r="Q4512">
        <v>305</v>
      </c>
      <c r="R4512" s="34">
        <f t="shared" si="73"/>
        <v>0.51360582944319899</v>
      </c>
    </row>
    <row r="4513" spans="16:18" x14ac:dyDescent="0.3">
      <c r="P4513" s="35">
        <v>30.95</v>
      </c>
      <c r="Q4513">
        <v>305</v>
      </c>
      <c r="R4513" s="34">
        <f t="shared" si="73"/>
        <v>0.5137196857565316</v>
      </c>
    </row>
    <row r="4514" spans="16:18" x14ac:dyDescent="0.3">
      <c r="P4514" s="35">
        <v>30.96</v>
      </c>
      <c r="Q4514">
        <v>305</v>
      </c>
      <c r="R4514" s="34">
        <f t="shared" si="73"/>
        <v>0.5138335420698642</v>
      </c>
    </row>
    <row r="4515" spans="16:18" x14ac:dyDescent="0.3">
      <c r="P4515" s="35">
        <v>30.96</v>
      </c>
      <c r="Q4515">
        <v>305</v>
      </c>
      <c r="R4515" s="34">
        <f t="shared" si="73"/>
        <v>0.51394739838319681</v>
      </c>
    </row>
    <row r="4516" spans="16:18" x14ac:dyDescent="0.3">
      <c r="P4516" s="35">
        <v>30.96</v>
      </c>
      <c r="Q4516">
        <v>305</v>
      </c>
      <c r="R4516" s="34">
        <f t="shared" si="73"/>
        <v>0.51406125469652941</v>
      </c>
    </row>
    <row r="4517" spans="16:18" x14ac:dyDescent="0.3">
      <c r="P4517" s="35">
        <v>30.97</v>
      </c>
      <c r="Q4517">
        <v>305</v>
      </c>
      <c r="R4517" s="34">
        <f t="shared" si="73"/>
        <v>0.51417511100986202</v>
      </c>
    </row>
    <row r="4518" spans="16:18" x14ac:dyDescent="0.3">
      <c r="P4518" s="35">
        <v>30.97</v>
      </c>
      <c r="Q4518">
        <v>305</v>
      </c>
      <c r="R4518" s="34">
        <f t="shared" si="73"/>
        <v>0.51428896732319462</v>
      </c>
    </row>
    <row r="4519" spans="16:18" x14ac:dyDescent="0.3">
      <c r="P4519" s="35">
        <v>30.97</v>
      </c>
      <c r="Q4519">
        <v>305</v>
      </c>
      <c r="R4519" s="34">
        <f t="shared" si="73"/>
        <v>0.51440282363652723</v>
      </c>
    </row>
    <row r="4520" spans="16:18" x14ac:dyDescent="0.3">
      <c r="P4520" s="35">
        <v>30.98</v>
      </c>
      <c r="Q4520">
        <v>305</v>
      </c>
      <c r="R4520" s="34">
        <f t="shared" si="73"/>
        <v>0.51451667994985983</v>
      </c>
    </row>
    <row r="4521" spans="16:18" x14ac:dyDescent="0.3">
      <c r="P4521" s="35">
        <v>30.99</v>
      </c>
      <c r="Q4521">
        <v>305</v>
      </c>
      <c r="R4521" s="34">
        <f t="shared" si="73"/>
        <v>0.51463053626319244</v>
      </c>
    </row>
    <row r="4522" spans="16:18" x14ac:dyDescent="0.3">
      <c r="P4522" s="35">
        <v>31.01</v>
      </c>
      <c r="Q4522">
        <v>305</v>
      </c>
      <c r="R4522" s="34">
        <f t="shared" si="73"/>
        <v>0.51474439257652504</v>
      </c>
    </row>
    <row r="4523" spans="16:18" x14ac:dyDescent="0.3">
      <c r="P4523" s="35">
        <v>31.02</v>
      </c>
      <c r="Q4523">
        <v>305</v>
      </c>
      <c r="R4523" s="34">
        <f t="shared" si="73"/>
        <v>0.51485824888985765</v>
      </c>
    </row>
    <row r="4524" spans="16:18" x14ac:dyDescent="0.3">
      <c r="P4524" s="35">
        <v>31.02</v>
      </c>
      <c r="Q4524">
        <v>305</v>
      </c>
      <c r="R4524" s="34">
        <f t="shared" si="73"/>
        <v>0.51497210520319026</v>
      </c>
    </row>
    <row r="4525" spans="16:18" x14ac:dyDescent="0.3">
      <c r="P4525" s="35">
        <v>31.02</v>
      </c>
      <c r="Q4525">
        <v>305</v>
      </c>
      <c r="R4525" s="34">
        <f t="shared" si="73"/>
        <v>0.51508596151652286</v>
      </c>
    </row>
    <row r="4526" spans="16:18" x14ac:dyDescent="0.3">
      <c r="P4526" s="35">
        <v>31.03</v>
      </c>
      <c r="Q4526">
        <v>305</v>
      </c>
      <c r="R4526" s="34">
        <f t="shared" si="73"/>
        <v>0.51519981782985547</v>
      </c>
    </row>
    <row r="4527" spans="16:18" x14ac:dyDescent="0.3">
      <c r="P4527" s="35">
        <v>31.03</v>
      </c>
      <c r="Q4527">
        <v>305</v>
      </c>
      <c r="R4527" s="34">
        <f t="shared" si="73"/>
        <v>0.51531367414318807</v>
      </c>
    </row>
    <row r="4528" spans="16:18" x14ac:dyDescent="0.3">
      <c r="P4528" s="35">
        <v>31.04</v>
      </c>
      <c r="Q4528">
        <v>305</v>
      </c>
      <c r="R4528" s="34">
        <f t="shared" si="73"/>
        <v>0.51542753045652068</v>
      </c>
    </row>
    <row r="4529" spans="16:18" x14ac:dyDescent="0.3">
      <c r="P4529" s="35">
        <v>31.04</v>
      </c>
      <c r="Q4529">
        <v>305</v>
      </c>
      <c r="R4529" s="34">
        <f t="shared" si="73"/>
        <v>0.51554138676985328</v>
      </c>
    </row>
    <row r="4530" spans="16:18" x14ac:dyDescent="0.3">
      <c r="P4530" s="35">
        <v>31.04</v>
      </c>
      <c r="Q4530">
        <v>305</v>
      </c>
      <c r="R4530" s="34">
        <f t="shared" si="73"/>
        <v>0.51565524308318589</v>
      </c>
    </row>
    <row r="4531" spans="16:18" x14ac:dyDescent="0.3">
      <c r="P4531" s="35">
        <v>31.06</v>
      </c>
      <c r="Q4531">
        <v>305</v>
      </c>
      <c r="R4531" s="34">
        <f t="shared" si="73"/>
        <v>0.51576909939651849</v>
      </c>
    </row>
    <row r="4532" spans="16:18" x14ac:dyDescent="0.3">
      <c r="P4532" s="35">
        <v>31.06</v>
      </c>
      <c r="Q4532">
        <v>305</v>
      </c>
      <c r="R4532" s="34">
        <f t="shared" si="73"/>
        <v>0.5158829557098511</v>
      </c>
    </row>
    <row r="4533" spans="16:18" x14ac:dyDescent="0.3">
      <c r="P4533" s="35">
        <v>31.07</v>
      </c>
      <c r="Q4533">
        <v>305</v>
      </c>
      <c r="R4533" s="34">
        <f t="shared" si="73"/>
        <v>0.5159968120231837</v>
      </c>
    </row>
    <row r="4534" spans="16:18" x14ac:dyDescent="0.3">
      <c r="P4534" s="35">
        <v>31.07</v>
      </c>
      <c r="Q4534">
        <v>305</v>
      </c>
      <c r="R4534" s="34">
        <f t="shared" si="73"/>
        <v>0.51611066833651631</v>
      </c>
    </row>
    <row r="4535" spans="16:18" x14ac:dyDescent="0.3">
      <c r="P4535" s="35">
        <v>31.07</v>
      </c>
      <c r="Q4535">
        <v>305</v>
      </c>
      <c r="R4535" s="34">
        <f t="shared" si="73"/>
        <v>0.51622452464984891</v>
      </c>
    </row>
    <row r="4536" spans="16:18" x14ac:dyDescent="0.3">
      <c r="P4536" s="35">
        <v>31.08</v>
      </c>
      <c r="Q4536">
        <v>305</v>
      </c>
      <c r="R4536" s="34">
        <f t="shared" si="73"/>
        <v>0.51633838096318152</v>
      </c>
    </row>
    <row r="4537" spans="16:18" x14ac:dyDescent="0.3">
      <c r="P4537" s="35">
        <v>31.08</v>
      </c>
      <c r="Q4537">
        <v>305</v>
      </c>
      <c r="R4537" s="34">
        <f t="shared" si="73"/>
        <v>0.51645223727651413</v>
      </c>
    </row>
    <row r="4538" spans="16:18" x14ac:dyDescent="0.3">
      <c r="P4538" s="35">
        <v>31.09</v>
      </c>
      <c r="Q4538">
        <v>305</v>
      </c>
      <c r="R4538" s="34">
        <f t="shared" si="73"/>
        <v>0.51656609358984673</v>
      </c>
    </row>
    <row r="4539" spans="16:18" x14ac:dyDescent="0.3">
      <c r="P4539" s="35">
        <v>31.09</v>
      </c>
      <c r="Q4539">
        <v>305</v>
      </c>
      <c r="R4539" s="34">
        <f t="shared" si="73"/>
        <v>0.51667994990317934</v>
      </c>
    </row>
    <row r="4540" spans="16:18" x14ac:dyDescent="0.3">
      <c r="P4540" s="35">
        <v>31.09</v>
      </c>
      <c r="Q4540">
        <v>305</v>
      </c>
      <c r="R4540" s="34">
        <f t="shared" si="73"/>
        <v>0.51679380621651194</v>
      </c>
    </row>
    <row r="4541" spans="16:18" x14ac:dyDescent="0.3">
      <c r="P4541" s="35">
        <v>31.1</v>
      </c>
      <c r="Q4541">
        <v>305</v>
      </c>
      <c r="R4541" s="34">
        <f t="shared" si="73"/>
        <v>0.51690766252984455</v>
      </c>
    </row>
    <row r="4542" spans="16:18" x14ac:dyDescent="0.3">
      <c r="P4542" s="35">
        <v>31.1</v>
      </c>
      <c r="Q4542">
        <v>305</v>
      </c>
      <c r="R4542" s="34">
        <f t="shared" si="73"/>
        <v>0.51702151884317715</v>
      </c>
    </row>
    <row r="4543" spans="16:18" x14ac:dyDescent="0.3">
      <c r="P4543" s="35">
        <v>31.12</v>
      </c>
      <c r="Q4543">
        <v>305</v>
      </c>
      <c r="R4543" s="34">
        <f t="shared" si="73"/>
        <v>0.51713537515650976</v>
      </c>
    </row>
    <row r="4544" spans="16:18" x14ac:dyDescent="0.3">
      <c r="P4544" s="35">
        <v>31.12</v>
      </c>
      <c r="Q4544">
        <v>305</v>
      </c>
      <c r="R4544" s="34">
        <f t="shared" si="73"/>
        <v>0.51724923146984236</v>
      </c>
    </row>
    <row r="4545" spans="16:18" x14ac:dyDescent="0.3">
      <c r="P4545" s="35">
        <v>31.13</v>
      </c>
      <c r="Q4545">
        <v>305</v>
      </c>
      <c r="R4545" s="34">
        <f t="shared" si="73"/>
        <v>0.51736308778317497</v>
      </c>
    </row>
    <row r="4546" spans="16:18" x14ac:dyDescent="0.3">
      <c r="P4546" s="35">
        <v>31.13</v>
      </c>
      <c r="Q4546">
        <v>305</v>
      </c>
      <c r="R4546" s="34">
        <f t="shared" si="73"/>
        <v>0.51747694409650757</v>
      </c>
    </row>
    <row r="4547" spans="16:18" x14ac:dyDescent="0.3">
      <c r="P4547" s="35">
        <v>31.13</v>
      </c>
      <c r="Q4547">
        <v>305</v>
      </c>
      <c r="R4547" s="34">
        <f t="shared" si="73"/>
        <v>0.51759080040984018</v>
      </c>
    </row>
    <row r="4548" spans="16:18" x14ac:dyDescent="0.3">
      <c r="P4548" s="35">
        <v>31.13</v>
      </c>
      <c r="Q4548">
        <v>305</v>
      </c>
      <c r="R4548" s="34">
        <f t="shared" ref="R4548:R4611" si="74">R4547+R$2</f>
        <v>0.51770465672317278</v>
      </c>
    </row>
    <row r="4549" spans="16:18" x14ac:dyDescent="0.3">
      <c r="P4549" s="35">
        <v>31.14</v>
      </c>
      <c r="Q4549">
        <v>305</v>
      </c>
      <c r="R4549" s="34">
        <f t="shared" si="74"/>
        <v>0.51781851303650539</v>
      </c>
    </row>
    <row r="4550" spans="16:18" x14ac:dyDescent="0.3">
      <c r="P4550" s="35">
        <v>31.15</v>
      </c>
      <c r="Q4550">
        <v>305</v>
      </c>
      <c r="R4550" s="34">
        <f t="shared" si="74"/>
        <v>0.517932369349838</v>
      </c>
    </row>
    <row r="4551" spans="16:18" x14ac:dyDescent="0.3">
      <c r="P4551" s="35">
        <v>31.16</v>
      </c>
      <c r="Q4551">
        <v>305</v>
      </c>
      <c r="R4551" s="34">
        <f t="shared" si="74"/>
        <v>0.5180462256631706</v>
      </c>
    </row>
    <row r="4552" spans="16:18" x14ac:dyDescent="0.3">
      <c r="P4552" s="35">
        <v>31.16</v>
      </c>
      <c r="Q4552">
        <v>305</v>
      </c>
      <c r="R4552" s="34">
        <f t="shared" si="74"/>
        <v>0.51816008197650321</v>
      </c>
    </row>
    <row r="4553" spans="16:18" x14ac:dyDescent="0.3">
      <c r="P4553" s="35">
        <v>31.17</v>
      </c>
      <c r="Q4553">
        <v>305</v>
      </c>
      <c r="R4553" s="34">
        <f t="shared" si="74"/>
        <v>0.51827393828983581</v>
      </c>
    </row>
    <row r="4554" spans="16:18" x14ac:dyDescent="0.3">
      <c r="P4554" s="35">
        <v>31.18</v>
      </c>
      <c r="Q4554">
        <v>305</v>
      </c>
      <c r="R4554" s="34">
        <f t="shared" si="74"/>
        <v>0.51838779460316842</v>
      </c>
    </row>
    <row r="4555" spans="16:18" x14ac:dyDescent="0.3">
      <c r="P4555" s="35">
        <v>31.19</v>
      </c>
      <c r="Q4555">
        <v>305</v>
      </c>
      <c r="R4555" s="34">
        <f t="shared" si="74"/>
        <v>0.51850165091650102</v>
      </c>
    </row>
    <row r="4556" spans="16:18" x14ac:dyDescent="0.3">
      <c r="P4556" s="35">
        <v>31.2</v>
      </c>
      <c r="Q4556">
        <v>305</v>
      </c>
      <c r="R4556" s="34">
        <f t="shared" si="74"/>
        <v>0.51861550722983363</v>
      </c>
    </row>
    <row r="4557" spans="16:18" x14ac:dyDescent="0.3">
      <c r="P4557" s="35">
        <v>31.2</v>
      </c>
      <c r="Q4557">
        <v>305</v>
      </c>
      <c r="R4557" s="34">
        <f t="shared" si="74"/>
        <v>0.51872936354316623</v>
      </c>
    </row>
    <row r="4558" spans="16:18" x14ac:dyDescent="0.3">
      <c r="P4558" s="35">
        <v>31.2</v>
      </c>
      <c r="Q4558">
        <v>305</v>
      </c>
      <c r="R4558" s="34">
        <f t="shared" si="74"/>
        <v>0.51884321985649884</v>
      </c>
    </row>
    <row r="4559" spans="16:18" x14ac:dyDescent="0.3">
      <c r="P4559" s="35">
        <v>31.2</v>
      </c>
      <c r="Q4559">
        <v>305</v>
      </c>
      <c r="R4559" s="34">
        <f t="shared" si="74"/>
        <v>0.51895707616983144</v>
      </c>
    </row>
    <row r="4560" spans="16:18" x14ac:dyDescent="0.3">
      <c r="P4560" s="35">
        <v>31.21</v>
      </c>
      <c r="Q4560">
        <v>305</v>
      </c>
      <c r="R4560" s="34">
        <f t="shared" si="74"/>
        <v>0.51907093248316405</v>
      </c>
    </row>
    <row r="4561" spans="16:18" x14ac:dyDescent="0.3">
      <c r="P4561" s="35">
        <v>31.21</v>
      </c>
      <c r="Q4561">
        <v>305</v>
      </c>
      <c r="R4561" s="34">
        <f t="shared" si="74"/>
        <v>0.51918478879649665</v>
      </c>
    </row>
    <row r="4562" spans="16:18" x14ac:dyDescent="0.3">
      <c r="P4562" s="35">
        <v>31.21</v>
      </c>
      <c r="Q4562">
        <v>305</v>
      </c>
      <c r="R4562" s="34">
        <f t="shared" si="74"/>
        <v>0.51929864510982926</v>
      </c>
    </row>
    <row r="4563" spans="16:18" x14ac:dyDescent="0.3">
      <c r="P4563" s="35">
        <v>31.22</v>
      </c>
      <c r="Q4563">
        <v>305</v>
      </c>
      <c r="R4563" s="34">
        <f t="shared" si="74"/>
        <v>0.51941250142316187</v>
      </c>
    </row>
    <row r="4564" spans="16:18" x14ac:dyDescent="0.3">
      <c r="P4564" s="35">
        <v>31.23</v>
      </c>
      <c r="Q4564">
        <v>305</v>
      </c>
      <c r="R4564" s="34">
        <f t="shared" si="74"/>
        <v>0.51952635773649447</v>
      </c>
    </row>
    <row r="4565" spans="16:18" x14ac:dyDescent="0.3">
      <c r="P4565" s="35">
        <v>31.23</v>
      </c>
      <c r="Q4565">
        <v>305</v>
      </c>
      <c r="R4565" s="34">
        <f t="shared" si="74"/>
        <v>0.51964021404982708</v>
      </c>
    </row>
    <row r="4566" spans="16:18" x14ac:dyDescent="0.3">
      <c r="P4566" s="35">
        <v>31.23</v>
      </c>
      <c r="Q4566">
        <v>305</v>
      </c>
      <c r="R4566" s="34">
        <f t="shared" si="74"/>
        <v>0.51975407036315968</v>
      </c>
    </row>
    <row r="4567" spans="16:18" x14ac:dyDescent="0.3">
      <c r="P4567" s="35">
        <v>31.23</v>
      </c>
      <c r="Q4567">
        <v>305</v>
      </c>
      <c r="R4567" s="34">
        <f t="shared" si="74"/>
        <v>0.51986792667649229</v>
      </c>
    </row>
    <row r="4568" spans="16:18" x14ac:dyDescent="0.3">
      <c r="P4568" s="35">
        <v>31.24</v>
      </c>
      <c r="Q4568">
        <v>305</v>
      </c>
      <c r="R4568" s="34">
        <f t="shared" si="74"/>
        <v>0.51998178298982489</v>
      </c>
    </row>
    <row r="4569" spans="16:18" x14ac:dyDescent="0.3">
      <c r="P4569" s="35">
        <v>31.25</v>
      </c>
      <c r="Q4569">
        <v>305</v>
      </c>
      <c r="R4569" s="34">
        <f t="shared" si="74"/>
        <v>0.5200956393031575</v>
      </c>
    </row>
    <row r="4570" spans="16:18" x14ac:dyDescent="0.3">
      <c r="P4570" s="35">
        <v>31.25</v>
      </c>
      <c r="Q4570">
        <v>305</v>
      </c>
      <c r="R4570" s="34">
        <f t="shared" si="74"/>
        <v>0.5202094956164901</v>
      </c>
    </row>
    <row r="4571" spans="16:18" x14ac:dyDescent="0.3">
      <c r="P4571" s="35">
        <v>31.25</v>
      </c>
      <c r="Q4571">
        <v>305</v>
      </c>
      <c r="R4571" s="34">
        <f t="shared" si="74"/>
        <v>0.52032335192982271</v>
      </c>
    </row>
    <row r="4572" spans="16:18" x14ac:dyDescent="0.3">
      <c r="P4572" s="35">
        <v>31.25</v>
      </c>
      <c r="Q4572">
        <v>305</v>
      </c>
      <c r="R4572" s="34">
        <f t="shared" si="74"/>
        <v>0.52043720824315531</v>
      </c>
    </row>
    <row r="4573" spans="16:18" x14ac:dyDescent="0.3">
      <c r="P4573" s="35">
        <v>31.25</v>
      </c>
      <c r="Q4573">
        <v>305</v>
      </c>
      <c r="R4573" s="34">
        <f t="shared" si="74"/>
        <v>0.52055106455648792</v>
      </c>
    </row>
    <row r="4574" spans="16:18" x14ac:dyDescent="0.3">
      <c r="P4574" s="35">
        <v>31.26</v>
      </c>
      <c r="Q4574">
        <v>305</v>
      </c>
      <c r="R4574" s="34">
        <f t="shared" si="74"/>
        <v>0.52066492086982052</v>
      </c>
    </row>
    <row r="4575" spans="16:18" x14ac:dyDescent="0.3">
      <c r="P4575" s="35">
        <v>31.27</v>
      </c>
      <c r="Q4575">
        <v>305</v>
      </c>
      <c r="R4575" s="34">
        <f t="shared" si="74"/>
        <v>0.52077877718315313</v>
      </c>
    </row>
    <row r="4576" spans="16:18" x14ac:dyDescent="0.3">
      <c r="P4576" s="35">
        <v>31.27</v>
      </c>
      <c r="Q4576">
        <v>305</v>
      </c>
      <c r="R4576" s="34">
        <f t="shared" si="74"/>
        <v>0.52089263349648574</v>
      </c>
    </row>
    <row r="4577" spans="16:18" x14ac:dyDescent="0.3">
      <c r="P4577" s="35">
        <v>31.28</v>
      </c>
      <c r="Q4577">
        <v>305</v>
      </c>
      <c r="R4577" s="34">
        <f t="shared" si="74"/>
        <v>0.52100648980981834</v>
      </c>
    </row>
    <row r="4578" spans="16:18" x14ac:dyDescent="0.3">
      <c r="P4578" s="35">
        <v>31.29</v>
      </c>
      <c r="Q4578">
        <v>305</v>
      </c>
      <c r="R4578" s="34">
        <f t="shared" si="74"/>
        <v>0.52112034612315095</v>
      </c>
    </row>
    <row r="4579" spans="16:18" x14ac:dyDescent="0.3">
      <c r="P4579" s="35">
        <v>31.29</v>
      </c>
      <c r="Q4579">
        <v>305</v>
      </c>
      <c r="R4579" s="34">
        <f t="shared" si="74"/>
        <v>0.52123420243648355</v>
      </c>
    </row>
    <row r="4580" spans="16:18" x14ac:dyDescent="0.3">
      <c r="P4580" s="35">
        <v>31.29</v>
      </c>
      <c r="Q4580">
        <v>305</v>
      </c>
      <c r="R4580" s="34">
        <f t="shared" si="74"/>
        <v>0.52134805874981616</v>
      </c>
    </row>
    <row r="4581" spans="16:18" x14ac:dyDescent="0.3">
      <c r="P4581" s="35">
        <v>31.3</v>
      </c>
      <c r="Q4581">
        <v>305</v>
      </c>
      <c r="R4581" s="34">
        <f t="shared" si="74"/>
        <v>0.52146191506314876</v>
      </c>
    </row>
    <row r="4582" spans="16:18" x14ac:dyDescent="0.3">
      <c r="P4582" s="35">
        <v>31.3</v>
      </c>
      <c r="Q4582">
        <v>305</v>
      </c>
      <c r="R4582" s="34">
        <f t="shared" si="74"/>
        <v>0.52157577137648137</v>
      </c>
    </row>
    <row r="4583" spans="16:18" x14ac:dyDescent="0.3">
      <c r="P4583" s="35">
        <v>31.31</v>
      </c>
      <c r="Q4583">
        <v>305</v>
      </c>
      <c r="R4583" s="34">
        <f t="shared" si="74"/>
        <v>0.52168962768981397</v>
      </c>
    </row>
    <row r="4584" spans="16:18" x14ac:dyDescent="0.3">
      <c r="P4584" s="35">
        <v>31.32</v>
      </c>
      <c r="Q4584">
        <v>305</v>
      </c>
      <c r="R4584" s="34">
        <f t="shared" si="74"/>
        <v>0.52180348400314658</v>
      </c>
    </row>
    <row r="4585" spans="16:18" x14ac:dyDescent="0.3">
      <c r="P4585" s="35">
        <v>31.32</v>
      </c>
      <c r="Q4585">
        <v>305</v>
      </c>
      <c r="R4585" s="34">
        <f t="shared" si="74"/>
        <v>0.52191734031647918</v>
      </c>
    </row>
    <row r="4586" spans="16:18" x14ac:dyDescent="0.3">
      <c r="P4586" s="35">
        <v>31.32</v>
      </c>
      <c r="Q4586">
        <v>305</v>
      </c>
      <c r="R4586" s="34">
        <f t="shared" si="74"/>
        <v>0.52203119662981179</v>
      </c>
    </row>
    <row r="4587" spans="16:18" x14ac:dyDescent="0.3">
      <c r="P4587" s="35">
        <v>31.33</v>
      </c>
      <c r="Q4587">
        <v>305</v>
      </c>
      <c r="R4587" s="34">
        <f t="shared" si="74"/>
        <v>0.52214505294314439</v>
      </c>
    </row>
    <row r="4588" spans="16:18" x14ac:dyDescent="0.3">
      <c r="P4588" s="35">
        <v>31.33</v>
      </c>
      <c r="Q4588">
        <v>305</v>
      </c>
      <c r="R4588" s="34">
        <f t="shared" si="74"/>
        <v>0.522258909256477</v>
      </c>
    </row>
    <row r="4589" spans="16:18" x14ac:dyDescent="0.3">
      <c r="P4589" s="35">
        <v>31.34</v>
      </c>
      <c r="Q4589">
        <v>305</v>
      </c>
      <c r="R4589" s="34">
        <f t="shared" si="74"/>
        <v>0.52237276556980961</v>
      </c>
    </row>
    <row r="4590" spans="16:18" x14ac:dyDescent="0.3">
      <c r="P4590" s="35">
        <v>31.34</v>
      </c>
      <c r="Q4590">
        <v>305</v>
      </c>
      <c r="R4590" s="34">
        <f t="shared" si="74"/>
        <v>0.52248662188314221</v>
      </c>
    </row>
    <row r="4591" spans="16:18" x14ac:dyDescent="0.3">
      <c r="P4591" s="35">
        <v>31.34</v>
      </c>
      <c r="Q4591">
        <v>305</v>
      </c>
      <c r="R4591" s="34">
        <f t="shared" si="74"/>
        <v>0.52260047819647482</v>
      </c>
    </row>
    <row r="4592" spans="16:18" x14ac:dyDescent="0.3">
      <c r="P4592" s="35">
        <v>31.34</v>
      </c>
      <c r="Q4592">
        <v>305</v>
      </c>
      <c r="R4592" s="34">
        <f t="shared" si="74"/>
        <v>0.52271433450980742</v>
      </c>
    </row>
    <row r="4593" spans="16:18" x14ac:dyDescent="0.3">
      <c r="P4593" s="35">
        <v>31.35</v>
      </c>
      <c r="Q4593">
        <v>305</v>
      </c>
      <c r="R4593" s="34">
        <f t="shared" si="74"/>
        <v>0.52282819082314003</v>
      </c>
    </row>
    <row r="4594" spans="16:18" x14ac:dyDescent="0.3">
      <c r="P4594" s="35">
        <v>31.35</v>
      </c>
      <c r="Q4594">
        <v>305</v>
      </c>
      <c r="R4594" s="34">
        <f t="shared" si="74"/>
        <v>0.52294204713647263</v>
      </c>
    </row>
    <row r="4595" spans="16:18" x14ac:dyDescent="0.3">
      <c r="P4595" s="35">
        <v>31.35</v>
      </c>
      <c r="Q4595">
        <v>305</v>
      </c>
      <c r="R4595" s="34">
        <f t="shared" si="74"/>
        <v>0.52305590344980524</v>
      </c>
    </row>
    <row r="4596" spans="16:18" x14ac:dyDescent="0.3">
      <c r="P4596" s="35">
        <v>31.36</v>
      </c>
      <c r="Q4596">
        <v>305</v>
      </c>
      <c r="R4596" s="34">
        <f t="shared" si="74"/>
        <v>0.52316975976313784</v>
      </c>
    </row>
    <row r="4597" spans="16:18" x14ac:dyDescent="0.3">
      <c r="P4597" s="35">
        <v>31.36</v>
      </c>
      <c r="Q4597">
        <v>305</v>
      </c>
      <c r="R4597" s="34">
        <f t="shared" si="74"/>
        <v>0.52328361607647045</v>
      </c>
    </row>
    <row r="4598" spans="16:18" x14ac:dyDescent="0.3">
      <c r="P4598" s="35">
        <v>31.36</v>
      </c>
      <c r="Q4598">
        <v>305</v>
      </c>
      <c r="R4598" s="34">
        <f t="shared" si="74"/>
        <v>0.52339747238980305</v>
      </c>
    </row>
    <row r="4599" spans="16:18" x14ac:dyDescent="0.3">
      <c r="P4599" s="35">
        <v>31.37</v>
      </c>
      <c r="Q4599">
        <v>305</v>
      </c>
      <c r="R4599" s="34">
        <f t="shared" si="74"/>
        <v>0.52351132870313566</v>
      </c>
    </row>
    <row r="4600" spans="16:18" x14ac:dyDescent="0.3">
      <c r="P4600" s="35">
        <v>31.37</v>
      </c>
      <c r="Q4600">
        <v>305</v>
      </c>
      <c r="R4600" s="34">
        <f t="shared" si="74"/>
        <v>0.52362518501646826</v>
      </c>
    </row>
    <row r="4601" spans="16:18" x14ac:dyDescent="0.3">
      <c r="P4601" s="35">
        <v>31.38</v>
      </c>
      <c r="Q4601">
        <v>305</v>
      </c>
      <c r="R4601" s="34">
        <f t="shared" si="74"/>
        <v>0.52373904132980087</v>
      </c>
    </row>
    <row r="4602" spans="16:18" x14ac:dyDescent="0.3">
      <c r="P4602" s="35">
        <v>31.38</v>
      </c>
      <c r="Q4602">
        <v>305</v>
      </c>
      <c r="R4602" s="34">
        <f t="shared" si="74"/>
        <v>0.52385289764313347</v>
      </c>
    </row>
    <row r="4603" spans="16:18" x14ac:dyDescent="0.3">
      <c r="P4603" s="35">
        <v>31.38</v>
      </c>
      <c r="Q4603">
        <v>305</v>
      </c>
      <c r="R4603" s="34">
        <f t="shared" si="74"/>
        <v>0.52396675395646608</v>
      </c>
    </row>
    <row r="4604" spans="16:18" x14ac:dyDescent="0.3">
      <c r="P4604" s="35">
        <v>31.39</v>
      </c>
      <c r="Q4604">
        <v>305</v>
      </c>
      <c r="R4604" s="34">
        <f t="shared" si="74"/>
        <v>0.52408061026979869</v>
      </c>
    </row>
    <row r="4605" spans="16:18" x14ac:dyDescent="0.3">
      <c r="P4605" s="35">
        <v>31.39</v>
      </c>
      <c r="Q4605">
        <v>305</v>
      </c>
      <c r="R4605" s="34">
        <f t="shared" si="74"/>
        <v>0.52419446658313129</v>
      </c>
    </row>
    <row r="4606" spans="16:18" x14ac:dyDescent="0.3">
      <c r="P4606" s="35">
        <v>31.4</v>
      </c>
      <c r="Q4606">
        <v>305</v>
      </c>
      <c r="R4606" s="34">
        <f t="shared" si="74"/>
        <v>0.5243083228964639</v>
      </c>
    </row>
    <row r="4607" spans="16:18" x14ac:dyDescent="0.3">
      <c r="P4607" s="35">
        <v>31.41</v>
      </c>
      <c r="Q4607">
        <v>305</v>
      </c>
      <c r="R4607" s="34">
        <f t="shared" si="74"/>
        <v>0.5244221792097965</v>
      </c>
    </row>
    <row r="4608" spans="16:18" x14ac:dyDescent="0.3">
      <c r="P4608" s="35">
        <v>31.41</v>
      </c>
      <c r="Q4608">
        <v>305</v>
      </c>
      <c r="R4608" s="34">
        <f t="shared" si="74"/>
        <v>0.52453603552312911</v>
      </c>
    </row>
    <row r="4609" spans="16:18" x14ac:dyDescent="0.3">
      <c r="P4609" s="35">
        <v>31.41</v>
      </c>
      <c r="Q4609">
        <v>305</v>
      </c>
      <c r="R4609" s="34">
        <f t="shared" si="74"/>
        <v>0.52464989183646171</v>
      </c>
    </row>
    <row r="4610" spans="16:18" x14ac:dyDescent="0.3">
      <c r="P4610" s="35">
        <v>31.42</v>
      </c>
      <c r="Q4610">
        <v>305</v>
      </c>
      <c r="R4610" s="34">
        <f t="shared" si="74"/>
        <v>0.52476374814979432</v>
      </c>
    </row>
    <row r="4611" spans="16:18" x14ac:dyDescent="0.3">
      <c r="P4611" s="35">
        <v>31.42</v>
      </c>
      <c r="Q4611">
        <v>305</v>
      </c>
      <c r="R4611" s="34">
        <f t="shared" si="74"/>
        <v>0.52487760446312692</v>
      </c>
    </row>
    <row r="4612" spans="16:18" x14ac:dyDescent="0.3">
      <c r="P4612" s="35">
        <v>31.42</v>
      </c>
      <c r="Q4612">
        <v>305</v>
      </c>
      <c r="R4612" s="34">
        <f t="shared" ref="R4612:R4675" si="75">R4611+R$2</f>
        <v>0.52499146077645953</v>
      </c>
    </row>
    <row r="4613" spans="16:18" x14ac:dyDescent="0.3">
      <c r="P4613" s="35">
        <v>31.42</v>
      </c>
      <c r="Q4613">
        <v>305</v>
      </c>
      <c r="R4613" s="34">
        <f t="shared" si="75"/>
        <v>0.52510531708979213</v>
      </c>
    </row>
    <row r="4614" spans="16:18" x14ac:dyDescent="0.3">
      <c r="P4614" s="35">
        <v>31.44</v>
      </c>
      <c r="Q4614">
        <v>305</v>
      </c>
      <c r="R4614" s="34">
        <f t="shared" si="75"/>
        <v>0.52521917340312474</v>
      </c>
    </row>
    <row r="4615" spans="16:18" x14ac:dyDescent="0.3">
      <c r="P4615" s="35">
        <v>31.44</v>
      </c>
      <c r="Q4615">
        <v>305</v>
      </c>
      <c r="R4615" s="34">
        <f t="shared" si="75"/>
        <v>0.52533302971645734</v>
      </c>
    </row>
    <row r="4616" spans="16:18" x14ac:dyDescent="0.3">
      <c r="P4616" s="35">
        <v>31.44</v>
      </c>
      <c r="Q4616">
        <v>305</v>
      </c>
      <c r="R4616" s="34">
        <f t="shared" si="75"/>
        <v>0.52544688602978995</v>
      </c>
    </row>
    <row r="4617" spans="16:18" x14ac:dyDescent="0.3">
      <c r="P4617" s="35">
        <v>31.45</v>
      </c>
      <c r="Q4617">
        <v>305</v>
      </c>
      <c r="R4617" s="34">
        <f t="shared" si="75"/>
        <v>0.52556074234312256</v>
      </c>
    </row>
    <row r="4618" spans="16:18" x14ac:dyDescent="0.3">
      <c r="P4618" s="35">
        <v>31.46</v>
      </c>
      <c r="Q4618">
        <v>305</v>
      </c>
      <c r="R4618" s="34">
        <f t="shared" si="75"/>
        <v>0.52567459865645516</v>
      </c>
    </row>
    <row r="4619" spans="16:18" x14ac:dyDescent="0.3">
      <c r="P4619" s="35">
        <v>31.47</v>
      </c>
      <c r="Q4619">
        <v>305</v>
      </c>
      <c r="R4619" s="34">
        <f t="shared" si="75"/>
        <v>0.52578845496978777</v>
      </c>
    </row>
    <row r="4620" spans="16:18" x14ac:dyDescent="0.3">
      <c r="P4620" s="35">
        <v>31.47</v>
      </c>
      <c r="Q4620">
        <v>305</v>
      </c>
      <c r="R4620" s="34">
        <f t="shared" si="75"/>
        <v>0.52590231128312037</v>
      </c>
    </row>
    <row r="4621" spans="16:18" x14ac:dyDescent="0.3">
      <c r="P4621" s="35">
        <v>31.47</v>
      </c>
      <c r="Q4621">
        <v>305</v>
      </c>
      <c r="R4621" s="34">
        <f t="shared" si="75"/>
        <v>0.52601616759645298</v>
      </c>
    </row>
    <row r="4622" spans="16:18" x14ac:dyDescent="0.3">
      <c r="P4622" s="35">
        <v>31.48</v>
      </c>
      <c r="Q4622">
        <v>305</v>
      </c>
      <c r="R4622" s="34">
        <f t="shared" si="75"/>
        <v>0.52613002390978558</v>
      </c>
    </row>
    <row r="4623" spans="16:18" x14ac:dyDescent="0.3">
      <c r="P4623" s="35">
        <v>31.48</v>
      </c>
      <c r="Q4623">
        <v>305</v>
      </c>
      <c r="R4623" s="34">
        <f t="shared" si="75"/>
        <v>0.52624388022311819</v>
      </c>
    </row>
    <row r="4624" spans="16:18" x14ac:dyDescent="0.3">
      <c r="P4624" s="35">
        <v>31.48</v>
      </c>
      <c r="Q4624">
        <v>305</v>
      </c>
      <c r="R4624" s="34">
        <f t="shared" si="75"/>
        <v>0.52635773653645079</v>
      </c>
    </row>
    <row r="4625" spans="16:18" x14ac:dyDescent="0.3">
      <c r="P4625" s="35">
        <v>31.48</v>
      </c>
      <c r="Q4625">
        <v>305</v>
      </c>
      <c r="R4625" s="34">
        <f t="shared" si="75"/>
        <v>0.5264715928497834</v>
      </c>
    </row>
    <row r="4626" spans="16:18" x14ac:dyDescent="0.3">
      <c r="P4626" s="35">
        <v>31.49</v>
      </c>
      <c r="Q4626">
        <v>305</v>
      </c>
      <c r="R4626" s="34">
        <f t="shared" si="75"/>
        <v>0.526585449163116</v>
      </c>
    </row>
    <row r="4627" spans="16:18" x14ac:dyDescent="0.3">
      <c r="P4627" s="35">
        <v>31.49</v>
      </c>
      <c r="Q4627">
        <v>305</v>
      </c>
      <c r="R4627" s="34">
        <f t="shared" si="75"/>
        <v>0.52669930547644861</v>
      </c>
    </row>
    <row r="4628" spans="16:18" x14ac:dyDescent="0.3">
      <c r="P4628" s="35">
        <v>31.49</v>
      </c>
      <c r="Q4628">
        <v>305</v>
      </c>
      <c r="R4628" s="34">
        <f t="shared" si="75"/>
        <v>0.52681316178978121</v>
      </c>
    </row>
    <row r="4629" spans="16:18" x14ac:dyDescent="0.3">
      <c r="P4629" s="35">
        <v>31.5</v>
      </c>
      <c r="Q4629">
        <v>305</v>
      </c>
      <c r="R4629" s="34">
        <f t="shared" si="75"/>
        <v>0.52692701810311382</v>
      </c>
    </row>
    <row r="4630" spans="16:18" x14ac:dyDescent="0.3">
      <c r="P4630" s="35">
        <v>31.5</v>
      </c>
      <c r="Q4630">
        <v>305</v>
      </c>
      <c r="R4630" s="34">
        <f t="shared" si="75"/>
        <v>0.52704087441644643</v>
      </c>
    </row>
    <row r="4631" spans="16:18" x14ac:dyDescent="0.3">
      <c r="P4631" s="35">
        <v>31.51</v>
      </c>
      <c r="Q4631">
        <v>305</v>
      </c>
      <c r="R4631" s="34">
        <f t="shared" si="75"/>
        <v>0.52715473072977903</v>
      </c>
    </row>
    <row r="4632" spans="16:18" x14ac:dyDescent="0.3">
      <c r="P4632" s="35">
        <v>31.51</v>
      </c>
      <c r="Q4632">
        <v>305</v>
      </c>
      <c r="R4632" s="34">
        <f t="shared" si="75"/>
        <v>0.52726858704311164</v>
      </c>
    </row>
    <row r="4633" spans="16:18" x14ac:dyDescent="0.3">
      <c r="P4633" s="35">
        <v>31.51</v>
      </c>
      <c r="Q4633">
        <v>305</v>
      </c>
      <c r="R4633" s="34">
        <f t="shared" si="75"/>
        <v>0.52738244335644424</v>
      </c>
    </row>
    <row r="4634" spans="16:18" x14ac:dyDescent="0.3">
      <c r="P4634" s="35">
        <v>31.51</v>
      </c>
      <c r="Q4634">
        <v>305</v>
      </c>
      <c r="R4634" s="34">
        <f t="shared" si="75"/>
        <v>0.52749629966977685</v>
      </c>
    </row>
    <row r="4635" spans="16:18" x14ac:dyDescent="0.3">
      <c r="P4635" s="35">
        <v>31.51</v>
      </c>
      <c r="Q4635">
        <v>305</v>
      </c>
      <c r="R4635" s="34">
        <f t="shared" si="75"/>
        <v>0.52761015598310945</v>
      </c>
    </row>
    <row r="4636" spans="16:18" x14ac:dyDescent="0.3">
      <c r="P4636" s="35">
        <v>31.52</v>
      </c>
      <c r="Q4636">
        <v>305</v>
      </c>
      <c r="R4636" s="34">
        <f t="shared" si="75"/>
        <v>0.52772401229644206</v>
      </c>
    </row>
    <row r="4637" spans="16:18" x14ac:dyDescent="0.3">
      <c r="P4637" s="35">
        <v>31.52</v>
      </c>
      <c r="Q4637">
        <v>305</v>
      </c>
      <c r="R4637" s="34">
        <f t="shared" si="75"/>
        <v>0.52783786860977466</v>
      </c>
    </row>
    <row r="4638" spans="16:18" x14ac:dyDescent="0.3">
      <c r="P4638" s="35">
        <v>31.53</v>
      </c>
      <c r="Q4638">
        <v>305</v>
      </c>
      <c r="R4638" s="34">
        <f t="shared" si="75"/>
        <v>0.52795172492310727</v>
      </c>
    </row>
    <row r="4639" spans="16:18" x14ac:dyDescent="0.3">
      <c r="P4639" s="35">
        <v>31.54</v>
      </c>
      <c r="Q4639">
        <v>305</v>
      </c>
      <c r="R4639" s="34">
        <f t="shared" si="75"/>
        <v>0.52806558123643987</v>
      </c>
    </row>
    <row r="4640" spans="16:18" x14ac:dyDescent="0.3">
      <c r="P4640" s="35">
        <v>31.54</v>
      </c>
      <c r="Q4640">
        <v>305</v>
      </c>
      <c r="R4640" s="34">
        <f t="shared" si="75"/>
        <v>0.52817943754977248</v>
      </c>
    </row>
    <row r="4641" spans="16:18" x14ac:dyDescent="0.3">
      <c r="P4641" s="35">
        <v>31.54</v>
      </c>
      <c r="Q4641">
        <v>305</v>
      </c>
      <c r="R4641" s="34">
        <f t="shared" si="75"/>
        <v>0.52829329386310508</v>
      </c>
    </row>
    <row r="4642" spans="16:18" x14ac:dyDescent="0.3">
      <c r="P4642" s="35">
        <v>31.55</v>
      </c>
      <c r="Q4642">
        <v>305</v>
      </c>
      <c r="R4642" s="34">
        <f t="shared" si="75"/>
        <v>0.52840715017643769</v>
      </c>
    </row>
    <row r="4643" spans="16:18" x14ac:dyDescent="0.3">
      <c r="P4643" s="35">
        <v>31.55</v>
      </c>
      <c r="Q4643">
        <v>305</v>
      </c>
      <c r="R4643" s="34">
        <f t="shared" si="75"/>
        <v>0.5285210064897703</v>
      </c>
    </row>
    <row r="4644" spans="16:18" x14ac:dyDescent="0.3">
      <c r="P4644" s="35">
        <v>31.55</v>
      </c>
      <c r="Q4644">
        <v>305</v>
      </c>
      <c r="R4644" s="34">
        <f t="shared" si="75"/>
        <v>0.5286348628031029</v>
      </c>
    </row>
    <row r="4645" spans="16:18" x14ac:dyDescent="0.3">
      <c r="P4645" s="35">
        <v>31.56</v>
      </c>
      <c r="Q4645">
        <v>305</v>
      </c>
      <c r="R4645" s="34">
        <f t="shared" si="75"/>
        <v>0.52874871911643551</v>
      </c>
    </row>
    <row r="4646" spans="16:18" x14ac:dyDescent="0.3">
      <c r="P4646" s="35">
        <v>31.57</v>
      </c>
      <c r="Q4646">
        <v>305</v>
      </c>
      <c r="R4646" s="34">
        <f t="shared" si="75"/>
        <v>0.52886257542976811</v>
      </c>
    </row>
    <row r="4647" spans="16:18" x14ac:dyDescent="0.3">
      <c r="P4647" s="35">
        <v>31.57</v>
      </c>
      <c r="Q4647">
        <v>305</v>
      </c>
      <c r="R4647" s="34">
        <f t="shared" si="75"/>
        <v>0.52897643174310072</v>
      </c>
    </row>
    <row r="4648" spans="16:18" x14ac:dyDescent="0.3">
      <c r="P4648" s="35">
        <v>31.57</v>
      </c>
      <c r="Q4648">
        <v>305</v>
      </c>
      <c r="R4648" s="34">
        <f t="shared" si="75"/>
        <v>0.52909028805643332</v>
      </c>
    </row>
    <row r="4649" spans="16:18" x14ac:dyDescent="0.3">
      <c r="P4649" s="35">
        <v>31.57</v>
      </c>
      <c r="Q4649">
        <v>305</v>
      </c>
      <c r="R4649" s="34">
        <f t="shared" si="75"/>
        <v>0.52920414436976593</v>
      </c>
    </row>
    <row r="4650" spans="16:18" x14ac:dyDescent="0.3">
      <c r="P4650" s="35">
        <v>31.58</v>
      </c>
      <c r="Q4650">
        <v>305</v>
      </c>
      <c r="R4650" s="34">
        <f t="shared" si="75"/>
        <v>0.52931800068309853</v>
      </c>
    </row>
    <row r="4651" spans="16:18" x14ac:dyDescent="0.3">
      <c r="P4651" s="35">
        <v>31.59</v>
      </c>
      <c r="Q4651">
        <v>305</v>
      </c>
      <c r="R4651" s="34">
        <f t="shared" si="75"/>
        <v>0.52943185699643114</v>
      </c>
    </row>
    <row r="4652" spans="16:18" x14ac:dyDescent="0.3">
      <c r="P4652" s="35">
        <v>31.6</v>
      </c>
      <c r="Q4652">
        <v>305</v>
      </c>
      <c r="R4652" s="34">
        <f t="shared" si="75"/>
        <v>0.52954571330976374</v>
      </c>
    </row>
    <row r="4653" spans="16:18" x14ac:dyDescent="0.3">
      <c r="P4653" s="35">
        <v>31.6</v>
      </c>
      <c r="Q4653">
        <v>305</v>
      </c>
      <c r="R4653" s="34">
        <f t="shared" si="75"/>
        <v>0.52965956962309635</v>
      </c>
    </row>
    <row r="4654" spans="16:18" x14ac:dyDescent="0.3">
      <c r="P4654" s="35">
        <v>31.6</v>
      </c>
      <c r="Q4654">
        <v>305</v>
      </c>
      <c r="R4654" s="34">
        <f t="shared" si="75"/>
        <v>0.52977342593642895</v>
      </c>
    </row>
    <row r="4655" spans="16:18" x14ac:dyDescent="0.3">
      <c r="P4655" s="35">
        <v>31.61</v>
      </c>
      <c r="Q4655">
        <v>305</v>
      </c>
      <c r="R4655" s="34">
        <f t="shared" si="75"/>
        <v>0.52988728224976156</v>
      </c>
    </row>
    <row r="4656" spans="16:18" x14ac:dyDescent="0.3">
      <c r="P4656" s="35">
        <v>31.61</v>
      </c>
      <c r="Q4656">
        <v>305</v>
      </c>
      <c r="R4656" s="34">
        <f t="shared" si="75"/>
        <v>0.53000113856309417</v>
      </c>
    </row>
    <row r="4657" spans="16:18" x14ac:dyDescent="0.3">
      <c r="P4657" s="35">
        <v>31.61</v>
      </c>
      <c r="Q4657">
        <v>305</v>
      </c>
      <c r="R4657" s="34">
        <f t="shared" si="75"/>
        <v>0.53011499487642677</v>
      </c>
    </row>
    <row r="4658" spans="16:18" x14ac:dyDescent="0.3">
      <c r="P4658" s="35">
        <v>31.62</v>
      </c>
      <c r="Q4658">
        <v>305</v>
      </c>
      <c r="R4658" s="34">
        <f t="shared" si="75"/>
        <v>0.53022885118975938</v>
      </c>
    </row>
    <row r="4659" spans="16:18" x14ac:dyDescent="0.3">
      <c r="P4659" s="35">
        <v>31.62</v>
      </c>
      <c r="Q4659">
        <v>305</v>
      </c>
      <c r="R4659" s="34">
        <f t="shared" si="75"/>
        <v>0.53034270750309198</v>
      </c>
    </row>
    <row r="4660" spans="16:18" x14ac:dyDescent="0.3">
      <c r="P4660" s="35">
        <v>31.63</v>
      </c>
      <c r="Q4660">
        <v>305</v>
      </c>
      <c r="R4660" s="34">
        <f t="shared" si="75"/>
        <v>0.53045656381642459</v>
      </c>
    </row>
    <row r="4661" spans="16:18" x14ac:dyDescent="0.3">
      <c r="P4661" s="35">
        <v>31.64</v>
      </c>
      <c r="Q4661">
        <v>305</v>
      </c>
      <c r="R4661" s="34">
        <f t="shared" si="75"/>
        <v>0.53057042012975719</v>
      </c>
    </row>
    <row r="4662" spans="16:18" x14ac:dyDescent="0.3">
      <c r="P4662" s="35">
        <v>31.64</v>
      </c>
      <c r="Q4662">
        <v>305</v>
      </c>
      <c r="R4662" s="34">
        <f t="shared" si="75"/>
        <v>0.5306842764430898</v>
      </c>
    </row>
    <row r="4663" spans="16:18" x14ac:dyDescent="0.3">
      <c r="P4663" s="35">
        <v>31.64</v>
      </c>
      <c r="Q4663">
        <v>305</v>
      </c>
      <c r="R4663" s="34">
        <f t="shared" si="75"/>
        <v>0.5307981327564224</v>
      </c>
    </row>
    <row r="4664" spans="16:18" x14ac:dyDescent="0.3">
      <c r="P4664" s="35">
        <v>31.64</v>
      </c>
      <c r="Q4664">
        <v>305</v>
      </c>
      <c r="R4664" s="34">
        <f t="shared" si="75"/>
        <v>0.53091198906975501</v>
      </c>
    </row>
    <row r="4665" spans="16:18" x14ac:dyDescent="0.3">
      <c r="P4665" s="35">
        <v>31.65</v>
      </c>
      <c r="Q4665">
        <v>305</v>
      </c>
      <c r="R4665" s="34">
        <f t="shared" si="75"/>
        <v>0.53102584538308761</v>
      </c>
    </row>
    <row r="4666" spans="16:18" x14ac:dyDescent="0.3">
      <c r="P4666" s="35">
        <v>31.65</v>
      </c>
      <c r="Q4666">
        <v>305</v>
      </c>
      <c r="R4666" s="34">
        <f t="shared" si="75"/>
        <v>0.53113970169642022</v>
      </c>
    </row>
    <row r="4667" spans="16:18" x14ac:dyDescent="0.3">
      <c r="P4667" s="35">
        <v>31.66</v>
      </c>
      <c r="Q4667">
        <v>305</v>
      </c>
      <c r="R4667" s="34">
        <f t="shared" si="75"/>
        <v>0.53125355800975282</v>
      </c>
    </row>
    <row r="4668" spans="16:18" x14ac:dyDescent="0.3">
      <c r="P4668" s="35">
        <v>31.66</v>
      </c>
      <c r="Q4668">
        <v>305</v>
      </c>
      <c r="R4668" s="34">
        <f t="shared" si="75"/>
        <v>0.53136741432308543</v>
      </c>
    </row>
    <row r="4669" spans="16:18" x14ac:dyDescent="0.3">
      <c r="P4669" s="35">
        <v>31.68</v>
      </c>
      <c r="Q4669">
        <v>305</v>
      </c>
      <c r="R4669" s="34">
        <f t="shared" si="75"/>
        <v>0.53148127063641804</v>
      </c>
    </row>
    <row r="4670" spans="16:18" x14ac:dyDescent="0.3">
      <c r="P4670" s="35">
        <v>31.68</v>
      </c>
      <c r="Q4670">
        <v>305</v>
      </c>
      <c r="R4670" s="34">
        <f t="shared" si="75"/>
        <v>0.53159512694975064</v>
      </c>
    </row>
    <row r="4671" spans="16:18" x14ac:dyDescent="0.3">
      <c r="P4671" s="35">
        <v>31.7</v>
      </c>
      <c r="Q4671">
        <v>305</v>
      </c>
      <c r="R4671" s="34">
        <f t="shared" si="75"/>
        <v>0.53170898326308325</v>
      </c>
    </row>
    <row r="4672" spans="16:18" x14ac:dyDescent="0.3">
      <c r="P4672" s="35">
        <v>31.7</v>
      </c>
      <c r="Q4672">
        <v>305</v>
      </c>
      <c r="R4672" s="34">
        <f t="shared" si="75"/>
        <v>0.53182283957641585</v>
      </c>
    </row>
    <row r="4673" spans="16:18" x14ac:dyDescent="0.3">
      <c r="P4673" s="35">
        <v>31.7</v>
      </c>
      <c r="Q4673">
        <v>305</v>
      </c>
      <c r="R4673" s="34">
        <f t="shared" si="75"/>
        <v>0.53193669588974846</v>
      </c>
    </row>
    <row r="4674" spans="16:18" x14ac:dyDescent="0.3">
      <c r="P4674" s="35">
        <v>31.7</v>
      </c>
      <c r="Q4674">
        <v>305</v>
      </c>
      <c r="R4674" s="34">
        <f t="shared" si="75"/>
        <v>0.53205055220308106</v>
      </c>
    </row>
    <row r="4675" spans="16:18" x14ac:dyDescent="0.3">
      <c r="P4675" s="35">
        <v>31.71</v>
      </c>
      <c r="Q4675">
        <v>305</v>
      </c>
      <c r="R4675" s="34">
        <f t="shared" si="75"/>
        <v>0.53216440851641367</v>
      </c>
    </row>
    <row r="4676" spans="16:18" x14ac:dyDescent="0.3">
      <c r="P4676" s="35">
        <v>31.71</v>
      </c>
      <c r="Q4676">
        <v>305</v>
      </c>
      <c r="R4676" s="34">
        <f t="shared" ref="R4676:R4739" si="76">R4675+R$2</f>
        <v>0.53227826482974627</v>
      </c>
    </row>
    <row r="4677" spans="16:18" x14ac:dyDescent="0.3">
      <c r="P4677" s="35">
        <v>31.72</v>
      </c>
      <c r="Q4677">
        <v>305</v>
      </c>
      <c r="R4677" s="34">
        <f t="shared" si="76"/>
        <v>0.53239212114307888</v>
      </c>
    </row>
    <row r="4678" spans="16:18" x14ac:dyDescent="0.3">
      <c r="P4678" s="35">
        <v>31.72</v>
      </c>
      <c r="Q4678">
        <v>305</v>
      </c>
      <c r="R4678" s="34">
        <f t="shared" si="76"/>
        <v>0.53250597745641148</v>
      </c>
    </row>
    <row r="4679" spans="16:18" x14ac:dyDescent="0.3">
      <c r="P4679" s="35">
        <v>31.73</v>
      </c>
      <c r="Q4679">
        <v>305</v>
      </c>
      <c r="R4679" s="34">
        <f t="shared" si="76"/>
        <v>0.53261983376974409</v>
      </c>
    </row>
    <row r="4680" spans="16:18" x14ac:dyDescent="0.3">
      <c r="P4680" s="35">
        <v>31.73</v>
      </c>
      <c r="Q4680">
        <v>305</v>
      </c>
      <c r="R4680" s="34">
        <f t="shared" si="76"/>
        <v>0.53273369008307669</v>
      </c>
    </row>
    <row r="4681" spans="16:18" x14ac:dyDescent="0.3">
      <c r="P4681" s="35">
        <v>31.75</v>
      </c>
      <c r="Q4681">
        <v>305</v>
      </c>
      <c r="R4681" s="34">
        <f t="shared" si="76"/>
        <v>0.5328475463964093</v>
      </c>
    </row>
    <row r="4682" spans="16:18" x14ac:dyDescent="0.3">
      <c r="P4682" s="35">
        <v>31.76</v>
      </c>
      <c r="Q4682">
        <v>305</v>
      </c>
      <c r="R4682" s="34">
        <f t="shared" si="76"/>
        <v>0.5329614027097419</v>
      </c>
    </row>
    <row r="4683" spans="16:18" x14ac:dyDescent="0.3">
      <c r="P4683" s="35">
        <v>31.76</v>
      </c>
      <c r="Q4683">
        <v>305</v>
      </c>
      <c r="R4683" s="34">
        <f t="shared" si="76"/>
        <v>0.53307525902307451</v>
      </c>
    </row>
    <row r="4684" spans="16:18" x14ac:dyDescent="0.3">
      <c r="P4684" s="35">
        <v>31.77</v>
      </c>
      <c r="Q4684">
        <v>305</v>
      </c>
      <c r="R4684" s="34">
        <f t="shared" si="76"/>
        <v>0.53318911533640712</v>
      </c>
    </row>
    <row r="4685" spans="16:18" x14ac:dyDescent="0.3">
      <c r="P4685" s="35">
        <v>31.78</v>
      </c>
      <c r="Q4685">
        <v>305</v>
      </c>
      <c r="R4685" s="34">
        <f t="shared" si="76"/>
        <v>0.53330297164973972</v>
      </c>
    </row>
    <row r="4686" spans="16:18" x14ac:dyDescent="0.3">
      <c r="P4686" s="35">
        <v>31.78</v>
      </c>
      <c r="Q4686">
        <v>305</v>
      </c>
      <c r="R4686" s="34">
        <f t="shared" si="76"/>
        <v>0.53341682796307233</v>
      </c>
    </row>
    <row r="4687" spans="16:18" x14ac:dyDescent="0.3">
      <c r="P4687" s="35">
        <v>31.79</v>
      </c>
      <c r="Q4687">
        <v>305</v>
      </c>
      <c r="R4687" s="34">
        <f t="shared" si="76"/>
        <v>0.53353068427640493</v>
      </c>
    </row>
    <row r="4688" spans="16:18" x14ac:dyDescent="0.3">
      <c r="P4688" s="35">
        <v>31.79</v>
      </c>
      <c r="Q4688">
        <v>305</v>
      </c>
      <c r="R4688" s="34">
        <f t="shared" si="76"/>
        <v>0.53364454058973754</v>
      </c>
    </row>
    <row r="4689" spans="16:18" x14ac:dyDescent="0.3">
      <c r="P4689" s="35">
        <v>31.8</v>
      </c>
      <c r="Q4689">
        <v>305</v>
      </c>
      <c r="R4689" s="34">
        <f t="shared" si="76"/>
        <v>0.53375839690307014</v>
      </c>
    </row>
    <row r="4690" spans="16:18" x14ac:dyDescent="0.3">
      <c r="P4690" s="35">
        <v>31.8</v>
      </c>
      <c r="Q4690">
        <v>305</v>
      </c>
      <c r="R4690" s="34">
        <f t="shared" si="76"/>
        <v>0.53387225321640275</v>
      </c>
    </row>
    <row r="4691" spans="16:18" x14ac:dyDescent="0.3">
      <c r="P4691" s="35">
        <v>31.81</v>
      </c>
      <c r="Q4691">
        <v>305</v>
      </c>
      <c r="R4691" s="34">
        <f t="shared" si="76"/>
        <v>0.53398610952973535</v>
      </c>
    </row>
    <row r="4692" spans="16:18" x14ac:dyDescent="0.3">
      <c r="P4692" s="35">
        <v>31.81</v>
      </c>
      <c r="Q4692">
        <v>305</v>
      </c>
      <c r="R4692" s="34">
        <f t="shared" si="76"/>
        <v>0.53409996584306796</v>
      </c>
    </row>
    <row r="4693" spans="16:18" x14ac:dyDescent="0.3">
      <c r="P4693" s="35">
        <v>31.82</v>
      </c>
      <c r="Q4693">
        <v>305</v>
      </c>
      <c r="R4693" s="34">
        <f t="shared" si="76"/>
        <v>0.53421382215640056</v>
      </c>
    </row>
    <row r="4694" spans="16:18" x14ac:dyDescent="0.3">
      <c r="P4694" s="35">
        <v>31.82</v>
      </c>
      <c r="Q4694">
        <v>305</v>
      </c>
      <c r="R4694" s="34">
        <f t="shared" si="76"/>
        <v>0.53432767846973317</v>
      </c>
    </row>
    <row r="4695" spans="16:18" x14ac:dyDescent="0.3">
      <c r="P4695" s="35">
        <v>31.82</v>
      </c>
      <c r="Q4695">
        <v>305</v>
      </c>
      <c r="R4695" s="34">
        <f t="shared" si="76"/>
        <v>0.53444153478306577</v>
      </c>
    </row>
    <row r="4696" spans="16:18" x14ac:dyDescent="0.3">
      <c r="P4696" s="35">
        <v>31.83</v>
      </c>
      <c r="Q4696">
        <v>305</v>
      </c>
      <c r="R4696" s="34">
        <f t="shared" si="76"/>
        <v>0.53455539109639838</v>
      </c>
    </row>
    <row r="4697" spans="16:18" x14ac:dyDescent="0.3">
      <c r="P4697" s="35">
        <v>31.83</v>
      </c>
      <c r="Q4697">
        <v>305</v>
      </c>
      <c r="R4697" s="34">
        <f t="shared" si="76"/>
        <v>0.53466924740973099</v>
      </c>
    </row>
    <row r="4698" spans="16:18" x14ac:dyDescent="0.3">
      <c r="P4698" s="35">
        <v>31.83</v>
      </c>
      <c r="Q4698">
        <v>305</v>
      </c>
      <c r="R4698" s="34">
        <f t="shared" si="76"/>
        <v>0.53478310372306359</v>
      </c>
    </row>
    <row r="4699" spans="16:18" x14ac:dyDescent="0.3">
      <c r="P4699" s="35">
        <v>31.83</v>
      </c>
      <c r="Q4699">
        <v>305</v>
      </c>
      <c r="R4699" s="34">
        <f t="shared" si="76"/>
        <v>0.5348969600363962</v>
      </c>
    </row>
    <row r="4700" spans="16:18" x14ac:dyDescent="0.3">
      <c r="P4700" s="35">
        <v>31.84</v>
      </c>
      <c r="Q4700">
        <v>305</v>
      </c>
      <c r="R4700" s="34">
        <f t="shared" si="76"/>
        <v>0.5350108163497288</v>
      </c>
    </row>
    <row r="4701" spans="16:18" x14ac:dyDescent="0.3">
      <c r="P4701" s="35">
        <v>31.84</v>
      </c>
      <c r="Q4701">
        <v>305</v>
      </c>
      <c r="R4701" s="34">
        <f t="shared" si="76"/>
        <v>0.53512467266306141</v>
      </c>
    </row>
    <row r="4702" spans="16:18" x14ac:dyDescent="0.3">
      <c r="P4702" s="35">
        <v>31.84</v>
      </c>
      <c r="Q4702">
        <v>305</v>
      </c>
      <c r="R4702" s="34">
        <f t="shared" si="76"/>
        <v>0.53523852897639401</v>
      </c>
    </row>
    <row r="4703" spans="16:18" x14ac:dyDescent="0.3">
      <c r="P4703" s="35">
        <v>31.85</v>
      </c>
      <c r="Q4703">
        <v>305</v>
      </c>
      <c r="R4703" s="34">
        <f t="shared" si="76"/>
        <v>0.53535238528972662</v>
      </c>
    </row>
    <row r="4704" spans="16:18" x14ac:dyDescent="0.3">
      <c r="P4704" s="35">
        <v>31.86</v>
      </c>
      <c r="Q4704">
        <v>305</v>
      </c>
      <c r="R4704" s="34">
        <f t="shared" si="76"/>
        <v>0.53546624160305922</v>
      </c>
    </row>
    <row r="4705" spans="16:18" x14ac:dyDescent="0.3">
      <c r="P4705" s="35">
        <v>31.87</v>
      </c>
      <c r="Q4705">
        <v>305</v>
      </c>
      <c r="R4705" s="34">
        <f t="shared" si="76"/>
        <v>0.53558009791639183</v>
      </c>
    </row>
    <row r="4706" spans="16:18" x14ac:dyDescent="0.3">
      <c r="P4706" s="35">
        <v>31.87</v>
      </c>
      <c r="Q4706">
        <v>305</v>
      </c>
      <c r="R4706" s="34">
        <f t="shared" si="76"/>
        <v>0.53569395422972443</v>
      </c>
    </row>
    <row r="4707" spans="16:18" x14ac:dyDescent="0.3">
      <c r="P4707" s="35">
        <v>31.87</v>
      </c>
      <c r="Q4707">
        <v>305</v>
      </c>
      <c r="R4707" s="34">
        <f t="shared" si="76"/>
        <v>0.53580781054305704</v>
      </c>
    </row>
    <row r="4708" spans="16:18" x14ac:dyDescent="0.3">
      <c r="P4708" s="35">
        <v>31.87</v>
      </c>
      <c r="Q4708">
        <v>305</v>
      </c>
      <c r="R4708" s="34">
        <f t="shared" si="76"/>
        <v>0.53592166685638964</v>
      </c>
    </row>
    <row r="4709" spans="16:18" x14ac:dyDescent="0.3">
      <c r="P4709" s="35">
        <v>31.88</v>
      </c>
      <c r="Q4709">
        <v>305</v>
      </c>
      <c r="R4709" s="34">
        <f t="shared" si="76"/>
        <v>0.53603552316972225</v>
      </c>
    </row>
    <row r="4710" spans="16:18" x14ac:dyDescent="0.3">
      <c r="P4710" s="35">
        <v>31.88</v>
      </c>
      <c r="Q4710">
        <v>305</v>
      </c>
      <c r="R4710" s="34">
        <f t="shared" si="76"/>
        <v>0.53614937948305486</v>
      </c>
    </row>
    <row r="4711" spans="16:18" x14ac:dyDescent="0.3">
      <c r="P4711" s="35">
        <v>31.88</v>
      </c>
      <c r="Q4711">
        <v>305</v>
      </c>
      <c r="R4711" s="34">
        <f t="shared" si="76"/>
        <v>0.53626323579638746</v>
      </c>
    </row>
    <row r="4712" spans="16:18" x14ac:dyDescent="0.3">
      <c r="P4712" s="35">
        <v>31.88</v>
      </c>
      <c r="Q4712">
        <v>305</v>
      </c>
      <c r="R4712" s="34">
        <f t="shared" si="76"/>
        <v>0.53637709210972007</v>
      </c>
    </row>
    <row r="4713" spans="16:18" x14ac:dyDescent="0.3">
      <c r="P4713" s="35">
        <v>31.89</v>
      </c>
      <c r="Q4713">
        <v>305</v>
      </c>
      <c r="R4713" s="34">
        <f t="shared" si="76"/>
        <v>0.53649094842305267</v>
      </c>
    </row>
    <row r="4714" spans="16:18" x14ac:dyDescent="0.3">
      <c r="P4714" s="35">
        <v>31.89</v>
      </c>
      <c r="Q4714">
        <v>305</v>
      </c>
      <c r="R4714" s="34">
        <f t="shared" si="76"/>
        <v>0.53660480473638528</v>
      </c>
    </row>
    <row r="4715" spans="16:18" x14ac:dyDescent="0.3">
      <c r="P4715" s="35">
        <v>31.9</v>
      </c>
      <c r="Q4715">
        <v>305</v>
      </c>
      <c r="R4715" s="34">
        <f t="shared" si="76"/>
        <v>0.53671866104971788</v>
      </c>
    </row>
    <row r="4716" spans="16:18" x14ac:dyDescent="0.3">
      <c r="P4716" s="35">
        <v>31.9</v>
      </c>
      <c r="Q4716">
        <v>305</v>
      </c>
      <c r="R4716" s="34">
        <f t="shared" si="76"/>
        <v>0.53683251736305049</v>
      </c>
    </row>
    <row r="4717" spans="16:18" x14ac:dyDescent="0.3">
      <c r="P4717" s="35">
        <v>31.91</v>
      </c>
      <c r="Q4717">
        <v>305</v>
      </c>
      <c r="R4717" s="34">
        <f t="shared" si="76"/>
        <v>0.53694637367638309</v>
      </c>
    </row>
    <row r="4718" spans="16:18" x14ac:dyDescent="0.3">
      <c r="P4718" s="35">
        <v>31.91</v>
      </c>
      <c r="Q4718">
        <v>305</v>
      </c>
      <c r="R4718" s="34">
        <f t="shared" si="76"/>
        <v>0.5370602299897157</v>
      </c>
    </row>
    <row r="4719" spans="16:18" x14ac:dyDescent="0.3">
      <c r="P4719" s="35">
        <v>31.92</v>
      </c>
      <c r="Q4719">
        <v>305</v>
      </c>
      <c r="R4719" s="34">
        <f t="shared" si="76"/>
        <v>0.5371740863030483</v>
      </c>
    </row>
    <row r="4720" spans="16:18" x14ac:dyDescent="0.3">
      <c r="P4720" s="35">
        <v>31.92</v>
      </c>
      <c r="Q4720">
        <v>305</v>
      </c>
      <c r="R4720" s="34">
        <f t="shared" si="76"/>
        <v>0.53728794261638091</v>
      </c>
    </row>
    <row r="4721" spans="16:18" x14ac:dyDescent="0.3">
      <c r="P4721" s="35">
        <v>31.93</v>
      </c>
      <c r="Q4721">
        <v>305</v>
      </c>
      <c r="R4721" s="34">
        <f t="shared" si="76"/>
        <v>0.53740179892971351</v>
      </c>
    </row>
    <row r="4722" spans="16:18" x14ac:dyDescent="0.3">
      <c r="P4722" s="35">
        <v>31.94</v>
      </c>
      <c r="Q4722">
        <v>305</v>
      </c>
      <c r="R4722" s="34">
        <f t="shared" si="76"/>
        <v>0.53751565524304612</v>
      </c>
    </row>
    <row r="4723" spans="16:18" x14ac:dyDescent="0.3">
      <c r="P4723" s="35">
        <v>31.94</v>
      </c>
      <c r="Q4723">
        <v>305</v>
      </c>
      <c r="R4723" s="34">
        <f t="shared" si="76"/>
        <v>0.53762951155637873</v>
      </c>
    </row>
    <row r="4724" spans="16:18" x14ac:dyDescent="0.3">
      <c r="P4724" s="35">
        <v>31.94</v>
      </c>
      <c r="Q4724">
        <v>305</v>
      </c>
      <c r="R4724" s="34">
        <f t="shared" si="76"/>
        <v>0.53774336786971133</v>
      </c>
    </row>
    <row r="4725" spans="16:18" x14ac:dyDescent="0.3">
      <c r="P4725" s="35">
        <v>31.94</v>
      </c>
      <c r="Q4725">
        <v>305</v>
      </c>
      <c r="R4725" s="34">
        <f t="shared" si="76"/>
        <v>0.53785722418304394</v>
      </c>
    </row>
    <row r="4726" spans="16:18" x14ac:dyDescent="0.3">
      <c r="P4726" s="35">
        <v>31.95</v>
      </c>
      <c r="Q4726">
        <v>305</v>
      </c>
      <c r="R4726" s="34">
        <f t="shared" si="76"/>
        <v>0.53797108049637654</v>
      </c>
    </row>
    <row r="4727" spans="16:18" x14ac:dyDescent="0.3">
      <c r="P4727" s="35">
        <v>31.95</v>
      </c>
      <c r="Q4727">
        <v>305</v>
      </c>
      <c r="R4727" s="34">
        <f t="shared" si="76"/>
        <v>0.53808493680970915</v>
      </c>
    </row>
    <row r="4728" spans="16:18" x14ac:dyDescent="0.3">
      <c r="P4728" s="35">
        <v>31.96</v>
      </c>
      <c r="Q4728">
        <v>305</v>
      </c>
      <c r="R4728" s="34">
        <f t="shared" si="76"/>
        <v>0.53819879312304175</v>
      </c>
    </row>
    <row r="4729" spans="16:18" x14ac:dyDescent="0.3">
      <c r="P4729" s="35">
        <v>31.96</v>
      </c>
      <c r="Q4729">
        <v>305</v>
      </c>
      <c r="R4729" s="34">
        <f t="shared" si="76"/>
        <v>0.53831264943637436</v>
      </c>
    </row>
    <row r="4730" spans="16:18" x14ac:dyDescent="0.3">
      <c r="P4730" s="35">
        <v>31.96</v>
      </c>
      <c r="Q4730">
        <v>305</v>
      </c>
      <c r="R4730" s="34">
        <f t="shared" si="76"/>
        <v>0.53842650574970696</v>
      </c>
    </row>
    <row r="4731" spans="16:18" x14ac:dyDescent="0.3">
      <c r="P4731" s="35">
        <v>31.97</v>
      </c>
      <c r="Q4731">
        <v>305</v>
      </c>
      <c r="R4731" s="34">
        <f t="shared" si="76"/>
        <v>0.53854036206303957</v>
      </c>
    </row>
    <row r="4732" spans="16:18" x14ac:dyDescent="0.3">
      <c r="P4732" s="35">
        <v>31.97</v>
      </c>
      <c r="Q4732">
        <v>305</v>
      </c>
      <c r="R4732" s="34">
        <f t="shared" si="76"/>
        <v>0.53865421837637217</v>
      </c>
    </row>
    <row r="4733" spans="16:18" x14ac:dyDescent="0.3">
      <c r="P4733" s="35">
        <v>31.98</v>
      </c>
      <c r="Q4733">
        <v>305</v>
      </c>
      <c r="R4733" s="34">
        <f t="shared" si="76"/>
        <v>0.53876807468970478</v>
      </c>
    </row>
    <row r="4734" spans="16:18" x14ac:dyDescent="0.3">
      <c r="P4734" s="35">
        <v>31.98</v>
      </c>
      <c r="Q4734">
        <v>305</v>
      </c>
      <c r="R4734" s="34">
        <f t="shared" si="76"/>
        <v>0.53888193100303738</v>
      </c>
    </row>
    <row r="4735" spans="16:18" x14ac:dyDescent="0.3">
      <c r="P4735" s="35">
        <v>31.98</v>
      </c>
      <c r="Q4735">
        <v>305</v>
      </c>
      <c r="R4735" s="34">
        <f t="shared" si="76"/>
        <v>0.53899578731636999</v>
      </c>
    </row>
    <row r="4736" spans="16:18" x14ac:dyDescent="0.3">
      <c r="P4736" s="35">
        <v>31.99</v>
      </c>
      <c r="Q4736">
        <v>305</v>
      </c>
      <c r="R4736" s="34">
        <f t="shared" si="76"/>
        <v>0.5391096436297026</v>
      </c>
    </row>
    <row r="4737" spans="16:18" x14ac:dyDescent="0.3">
      <c r="P4737" s="35">
        <v>31.99</v>
      </c>
      <c r="Q4737">
        <v>305</v>
      </c>
      <c r="R4737" s="34">
        <f t="shared" si="76"/>
        <v>0.5392234999430352</v>
      </c>
    </row>
    <row r="4738" spans="16:18" x14ac:dyDescent="0.3">
      <c r="P4738" s="35">
        <v>32</v>
      </c>
      <c r="Q4738">
        <v>305</v>
      </c>
      <c r="R4738" s="34">
        <f t="shared" si="76"/>
        <v>0.53933735625636781</v>
      </c>
    </row>
    <row r="4739" spans="16:18" x14ac:dyDescent="0.3">
      <c r="P4739" s="35">
        <v>32.01</v>
      </c>
      <c r="Q4739">
        <v>305</v>
      </c>
      <c r="R4739" s="34">
        <f t="shared" si="76"/>
        <v>0.53945121256970041</v>
      </c>
    </row>
    <row r="4740" spans="16:18" x14ac:dyDescent="0.3">
      <c r="P4740" s="35">
        <v>32.01</v>
      </c>
      <c r="Q4740">
        <v>305</v>
      </c>
      <c r="R4740" s="34">
        <f t="shared" ref="R4740:R4803" si="77">R4739+R$2</f>
        <v>0.53956506888303302</v>
      </c>
    </row>
    <row r="4741" spans="16:18" x14ac:dyDescent="0.3">
      <c r="P4741" s="35">
        <v>32.01</v>
      </c>
      <c r="Q4741">
        <v>305</v>
      </c>
      <c r="R4741" s="34">
        <f t="shared" si="77"/>
        <v>0.53967892519636562</v>
      </c>
    </row>
    <row r="4742" spans="16:18" x14ac:dyDescent="0.3">
      <c r="P4742" s="35">
        <v>32.01</v>
      </c>
      <c r="Q4742">
        <v>305</v>
      </c>
      <c r="R4742" s="34">
        <f t="shared" si="77"/>
        <v>0.53979278150969823</v>
      </c>
    </row>
    <row r="4743" spans="16:18" x14ac:dyDescent="0.3">
      <c r="P4743" s="35">
        <v>32.020000000000003</v>
      </c>
      <c r="Q4743">
        <v>305</v>
      </c>
      <c r="R4743" s="34">
        <f t="shared" si="77"/>
        <v>0.53990663782303083</v>
      </c>
    </row>
    <row r="4744" spans="16:18" x14ac:dyDescent="0.3">
      <c r="P4744" s="35">
        <v>32.020000000000003</v>
      </c>
      <c r="Q4744">
        <v>305</v>
      </c>
      <c r="R4744" s="34">
        <f t="shared" si="77"/>
        <v>0.54002049413636344</v>
      </c>
    </row>
    <row r="4745" spans="16:18" x14ac:dyDescent="0.3">
      <c r="P4745" s="35">
        <v>32.020000000000003</v>
      </c>
      <c r="Q4745">
        <v>305</v>
      </c>
      <c r="R4745" s="34">
        <f t="shared" si="77"/>
        <v>0.54013435044969604</v>
      </c>
    </row>
    <row r="4746" spans="16:18" x14ac:dyDescent="0.3">
      <c r="P4746" s="35">
        <v>32.03</v>
      </c>
      <c r="Q4746">
        <v>305</v>
      </c>
      <c r="R4746" s="34">
        <f t="shared" si="77"/>
        <v>0.54024820676302865</v>
      </c>
    </row>
    <row r="4747" spans="16:18" x14ac:dyDescent="0.3">
      <c r="P4747" s="35">
        <v>32.03</v>
      </c>
      <c r="Q4747">
        <v>305</v>
      </c>
      <c r="R4747" s="34">
        <f t="shared" si="77"/>
        <v>0.54036206307636125</v>
      </c>
    </row>
    <row r="4748" spans="16:18" x14ac:dyDescent="0.3">
      <c r="P4748" s="35">
        <v>32.03</v>
      </c>
      <c r="Q4748">
        <v>305</v>
      </c>
      <c r="R4748" s="34">
        <f t="shared" si="77"/>
        <v>0.54047591938969386</v>
      </c>
    </row>
    <row r="4749" spans="16:18" x14ac:dyDescent="0.3">
      <c r="P4749" s="35">
        <v>32.03</v>
      </c>
      <c r="Q4749">
        <v>305</v>
      </c>
      <c r="R4749" s="34">
        <f t="shared" si="77"/>
        <v>0.54058977570302646</v>
      </c>
    </row>
    <row r="4750" spans="16:18" x14ac:dyDescent="0.3">
      <c r="P4750" s="35">
        <v>32.03</v>
      </c>
      <c r="Q4750">
        <v>305</v>
      </c>
      <c r="R4750" s="34">
        <f t="shared" si="77"/>
        <v>0.54070363201635907</v>
      </c>
    </row>
    <row r="4751" spans="16:18" x14ac:dyDescent="0.3">
      <c r="P4751" s="35">
        <v>32.04</v>
      </c>
      <c r="Q4751">
        <v>305</v>
      </c>
      <c r="R4751" s="34">
        <f t="shared" si="77"/>
        <v>0.54081748832969168</v>
      </c>
    </row>
    <row r="4752" spans="16:18" x14ac:dyDescent="0.3">
      <c r="P4752" s="35">
        <v>32.049999999999997</v>
      </c>
      <c r="Q4752">
        <v>305</v>
      </c>
      <c r="R4752" s="34">
        <f t="shared" si="77"/>
        <v>0.54093134464302428</v>
      </c>
    </row>
    <row r="4753" spans="16:18" x14ac:dyDescent="0.3">
      <c r="P4753" s="35">
        <v>32.049999999999997</v>
      </c>
      <c r="Q4753">
        <v>305</v>
      </c>
      <c r="R4753" s="34">
        <f t="shared" si="77"/>
        <v>0.54104520095635689</v>
      </c>
    </row>
    <row r="4754" spans="16:18" x14ac:dyDescent="0.3">
      <c r="P4754" s="35">
        <v>32.06</v>
      </c>
      <c r="Q4754">
        <v>305</v>
      </c>
      <c r="R4754" s="34">
        <f t="shared" si="77"/>
        <v>0.54115905726968949</v>
      </c>
    </row>
    <row r="4755" spans="16:18" x14ac:dyDescent="0.3">
      <c r="P4755" s="35">
        <v>32.06</v>
      </c>
      <c r="Q4755">
        <v>305</v>
      </c>
      <c r="R4755" s="34">
        <f t="shared" si="77"/>
        <v>0.5412729135830221</v>
      </c>
    </row>
    <row r="4756" spans="16:18" x14ac:dyDescent="0.3">
      <c r="P4756" s="35">
        <v>32.07</v>
      </c>
      <c r="Q4756">
        <v>305</v>
      </c>
      <c r="R4756" s="34">
        <f t="shared" si="77"/>
        <v>0.5413867698963547</v>
      </c>
    </row>
    <row r="4757" spans="16:18" x14ac:dyDescent="0.3">
      <c r="P4757" s="35">
        <v>32.1</v>
      </c>
      <c r="Q4757">
        <v>305</v>
      </c>
      <c r="R4757" s="34">
        <f t="shared" si="77"/>
        <v>0.54150062620968731</v>
      </c>
    </row>
    <row r="4758" spans="16:18" x14ac:dyDescent="0.3">
      <c r="P4758" s="35">
        <v>32.1</v>
      </c>
      <c r="Q4758">
        <v>305</v>
      </c>
      <c r="R4758" s="34">
        <f t="shared" si="77"/>
        <v>0.54161448252301991</v>
      </c>
    </row>
    <row r="4759" spans="16:18" x14ac:dyDescent="0.3">
      <c r="P4759" s="35">
        <v>32.1</v>
      </c>
      <c r="Q4759">
        <v>305</v>
      </c>
      <c r="R4759" s="34">
        <f t="shared" si="77"/>
        <v>0.54172833883635252</v>
      </c>
    </row>
    <row r="4760" spans="16:18" x14ac:dyDescent="0.3">
      <c r="P4760" s="35">
        <v>32.119999999999997</v>
      </c>
      <c r="Q4760">
        <v>305</v>
      </c>
      <c r="R4760" s="34">
        <f t="shared" si="77"/>
        <v>0.54184219514968512</v>
      </c>
    </row>
    <row r="4761" spans="16:18" x14ac:dyDescent="0.3">
      <c r="P4761" s="35">
        <v>32.119999999999997</v>
      </c>
      <c r="Q4761">
        <v>305</v>
      </c>
      <c r="R4761" s="34">
        <f t="shared" si="77"/>
        <v>0.54195605146301773</v>
      </c>
    </row>
    <row r="4762" spans="16:18" x14ac:dyDescent="0.3">
      <c r="P4762" s="35">
        <v>32.130000000000003</v>
      </c>
      <c r="Q4762">
        <v>305</v>
      </c>
      <c r="R4762" s="34">
        <f t="shared" si="77"/>
        <v>0.54206990777635033</v>
      </c>
    </row>
    <row r="4763" spans="16:18" x14ac:dyDescent="0.3">
      <c r="P4763" s="35">
        <v>32.130000000000003</v>
      </c>
      <c r="Q4763">
        <v>305</v>
      </c>
      <c r="R4763" s="34">
        <f t="shared" si="77"/>
        <v>0.54218376408968294</v>
      </c>
    </row>
    <row r="4764" spans="16:18" x14ac:dyDescent="0.3">
      <c r="P4764" s="35">
        <v>32.14</v>
      </c>
      <c r="Q4764">
        <v>305</v>
      </c>
      <c r="R4764" s="34">
        <f t="shared" si="77"/>
        <v>0.54229762040301555</v>
      </c>
    </row>
    <row r="4765" spans="16:18" x14ac:dyDescent="0.3">
      <c r="P4765" s="35">
        <v>32.14</v>
      </c>
      <c r="Q4765">
        <v>305</v>
      </c>
      <c r="R4765" s="34">
        <f t="shared" si="77"/>
        <v>0.54241147671634815</v>
      </c>
    </row>
    <row r="4766" spans="16:18" x14ac:dyDescent="0.3">
      <c r="P4766" s="35">
        <v>32.14</v>
      </c>
      <c r="Q4766">
        <v>305</v>
      </c>
      <c r="R4766" s="34">
        <f t="shared" si="77"/>
        <v>0.54252533302968076</v>
      </c>
    </row>
    <row r="4767" spans="16:18" x14ac:dyDescent="0.3">
      <c r="P4767" s="35">
        <v>32.14</v>
      </c>
      <c r="Q4767">
        <v>305</v>
      </c>
      <c r="R4767" s="34">
        <f t="shared" si="77"/>
        <v>0.54263918934301336</v>
      </c>
    </row>
    <row r="4768" spans="16:18" x14ac:dyDescent="0.3">
      <c r="P4768" s="35">
        <v>32.15</v>
      </c>
      <c r="Q4768">
        <v>305</v>
      </c>
      <c r="R4768" s="34">
        <f t="shared" si="77"/>
        <v>0.54275304565634597</v>
      </c>
    </row>
    <row r="4769" spans="16:18" x14ac:dyDescent="0.3">
      <c r="P4769" s="35">
        <v>32.159999999999997</v>
      </c>
      <c r="Q4769">
        <v>305</v>
      </c>
      <c r="R4769" s="34">
        <f t="shared" si="77"/>
        <v>0.54286690196967857</v>
      </c>
    </row>
    <row r="4770" spans="16:18" x14ac:dyDescent="0.3">
      <c r="P4770" s="35">
        <v>32.17</v>
      </c>
      <c r="Q4770">
        <v>305</v>
      </c>
      <c r="R4770" s="34">
        <f t="shared" si="77"/>
        <v>0.54298075828301118</v>
      </c>
    </row>
    <row r="4771" spans="16:18" x14ac:dyDescent="0.3">
      <c r="P4771" s="35">
        <v>32.17</v>
      </c>
      <c r="Q4771">
        <v>305</v>
      </c>
      <c r="R4771" s="34">
        <f t="shared" si="77"/>
        <v>0.54309461459634378</v>
      </c>
    </row>
    <row r="4772" spans="16:18" x14ac:dyDescent="0.3">
      <c r="P4772" s="35">
        <v>32.17</v>
      </c>
      <c r="Q4772">
        <v>305</v>
      </c>
      <c r="R4772" s="34">
        <f t="shared" si="77"/>
        <v>0.54320847090967639</v>
      </c>
    </row>
    <row r="4773" spans="16:18" x14ac:dyDescent="0.3">
      <c r="P4773" s="35">
        <v>32.18</v>
      </c>
      <c r="Q4773">
        <v>305</v>
      </c>
      <c r="R4773" s="34">
        <f t="shared" si="77"/>
        <v>0.54332232722300899</v>
      </c>
    </row>
    <row r="4774" spans="16:18" x14ac:dyDescent="0.3">
      <c r="P4774" s="35">
        <v>32.18</v>
      </c>
      <c r="Q4774">
        <v>305</v>
      </c>
      <c r="R4774" s="34">
        <f t="shared" si="77"/>
        <v>0.5434361835363416</v>
      </c>
    </row>
    <row r="4775" spans="16:18" x14ac:dyDescent="0.3">
      <c r="P4775" s="35">
        <v>32.19</v>
      </c>
      <c r="Q4775">
        <v>305</v>
      </c>
      <c r="R4775" s="34">
        <f t="shared" si="77"/>
        <v>0.5435500398496742</v>
      </c>
    </row>
    <row r="4776" spans="16:18" x14ac:dyDescent="0.3">
      <c r="P4776" s="35">
        <v>32.19</v>
      </c>
      <c r="Q4776">
        <v>305</v>
      </c>
      <c r="R4776" s="34">
        <f t="shared" si="77"/>
        <v>0.54366389616300681</v>
      </c>
    </row>
    <row r="4777" spans="16:18" x14ac:dyDescent="0.3">
      <c r="P4777" s="35">
        <v>32.200000000000003</v>
      </c>
      <c r="Q4777">
        <v>305</v>
      </c>
      <c r="R4777" s="34">
        <f t="shared" si="77"/>
        <v>0.54377775247633942</v>
      </c>
    </row>
    <row r="4778" spans="16:18" x14ac:dyDescent="0.3">
      <c r="P4778" s="35">
        <v>32.200000000000003</v>
      </c>
      <c r="Q4778">
        <v>305</v>
      </c>
      <c r="R4778" s="34">
        <f t="shared" si="77"/>
        <v>0.54389160878967202</v>
      </c>
    </row>
    <row r="4779" spans="16:18" x14ac:dyDescent="0.3">
      <c r="P4779" s="35">
        <v>32.21</v>
      </c>
      <c r="Q4779">
        <v>305</v>
      </c>
      <c r="R4779" s="34">
        <f t="shared" si="77"/>
        <v>0.54400546510300463</v>
      </c>
    </row>
    <row r="4780" spans="16:18" x14ac:dyDescent="0.3">
      <c r="P4780" s="35">
        <v>32.21</v>
      </c>
      <c r="Q4780">
        <v>305</v>
      </c>
      <c r="R4780" s="34">
        <f t="shared" si="77"/>
        <v>0.54411932141633723</v>
      </c>
    </row>
    <row r="4781" spans="16:18" x14ac:dyDescent="0.3">
      <c r="P4781" s="35">
        <v>32.21</v>
      </c>
      <c r="Q4781">
        <v>305</v>
      </c>
      <c r="R4781" s="34">
        <f t="shared" si="77"/>
        <v>0.54423317772966984</v>
      </c>
    </row>
    <row r="4782" spans="16:18" x14ac:dyDescent="0.3">
      <c r="P4782" s="35">
        <v>32.21</v>
      </c>
      <c r="Q4782">
        <v>305</v>
      </c>
      <c r="R4782" s="34">
        <f t="shared" si="77"/>
        <v>0.54434703404300244</v>
      </c>
    </row>
    <row r="4783" spans="16:18" x14ac:dyDescent="0.3">
      <c r="P4783" s="35">
        <v>32.22</v>
      </c>
      <c r="Q4783">
        <v>305</v>
      </c>
      <c r="R4783" s="34">
        <f t="shared" si="77"/>
        <v>0.54446089035633505</v>
      </c>
    </row>
    <row r="4784" spans="16:18" x14ac:dyDescent="0.3">
      <c r="P4784" s="35">
        <v>32.22</v>
      </c>
      <c r="Q4784">
        <v>305</v>
      </c>
      <c r="R4784" s="34">
        <f t="shared" si="77"/>
        <v>0.54457474666966765</v>
      </c>
    </row>
    <row r="4785" spans="16:18" x14ac:dyDescent="0.3">
      <c r="P4785" s="35">
        <v>32.22</v>
      </c>
      <c r="Q4785">
        <v>305</v>
      </c>
      <c r="R4785" s="34">
        <f t="shared" si="77"/>
        <v>0.54468860298300026</v>
      </c>
    </row>
    <row r="4786" spans="16:18" x14ac:dyDescent="0.3">
      <c r="P4786" s="35">
        <v>32.229999999999997</v>
      </c>
      <c r="Q4786">
        <v>305</v>
      </c>
      <c r="R4786" s="34">
        <f t="shared" si="77"/>
        <v>0.54480245929633286</v>
      </c>
    </row>
    <row r="4787" spans="16:18" x14ac:dyDescent="0.3">
      <c r="P4787" s="35">
        <v>32.229999999999997</v>
      </c>
      <c r="Q4787">
        <v>305</v>
      </c>
      <c r="R4787" s="34">
        <f t="shared" si="77"/>
        <v>0.54491631560966547</v>
      </c>
    </row>
    <row r="4788" spans="16:18" x14ac:dyDescent="0.3">
      <c r="P4788" s="35">
        <v>32.24</v>
      </c>
      <c r="Q4788">
        <v>305</v>
      </c>
      <c r="R4788" s="34">
        <f t="shared" si="77"/>
        <v>0.54503017192299807</v>
      </c>
    </row>
    <row r="4789" spans="16:18" x14ac:dyDescent="0.3">
      <c r="P4789" s="35">
        <v>32.24</v>
      </c>
      <c r="Q4789">
        <v>305</v>
      </c>
      <c r="R4789" s="34">
        <f t="shared" si="77"/>
        <v>0.54514402823633068</v>
      </c>
    </row>
    <row r="4790" spans="16:18" x14ac:dyDescent="0.3">
      <c r="P4790" s="35">
        <v>32.24</v>
      </c>
      <c r="Q4790">
        <v>305</v>
      </c>
      <c r="R4790" s="34">
        <f t="shared" si="77"/>
        <v>0.54525788454966329</v>
      </c>
    </row>
    <row r="4791" spans="16:18" x14ac:dyDescent="0.3">
      <c r="P4791" s="35">
        <v>32.25</v>
      </c>
      <c r="Q4791">
        <v>305</v>
      </c>
      <c r="R4791" s="34">
        <f t="shared" si="77"/>
        <v>0.54537174086299589</v>
      </c>
    </row>
    <row r="4792" spans="16:18" x14ac:dyDescent="0.3">
      <c r="P4792" s="35">
        <v>32.25</v>
      </c>
      <c r="Q4792">
        <v>305</v>
      </c>
      <c r="R4792" s="34">
        <f t="shared" si="77"/>
        <v>0.5454855971763285</v>
      </c>
    </row>
    <row r="4793" spans="16:18" x14ac:dyDescent="0.3">
      <c r="P4793" s="35">
        <v>32.25</v>
      </c>
      <c r="Q4793">
        <v>305</v>
      </c>
      <c r="R4793" s="34">
        <f t="shared" si="77"/>
        <v>0.5455994534896611</v>
      </c>
    </row>
    <row r="4794" spans="16:18" x14ac:dyDescent="0.3">
      <c r="P4794" s="35">
        <v>32.25</v>
      </c>
      <c r="Q4794">
        <v>305</v>
      </c>
      <c r="R4794" s="34">
        <f t="shared" si="77"/>
        <v>0.54571330980299371</v>
      </c>
    </row>
    <row r="4795" spans="16:18" x14ac:dyDescent="0.3">
      <c r="P4795" s="35">
        <v>32.26</v>
      </c>
      <c r="Q4795">
        <v>305</v>
      </c>
      <c r="R4795" s="34">
        <f t="shared" si="77"/>
        <v>0.54582716611632631</v>
      </c>
    </row>
    <row r="4796" spans="16:18" x14ac:dyDescent="0.3">
      <c r="P4796" s="35">
        <v>32.26</v>
      </c>
      <c r="Q4796">
        <v>305</v>
      </c>
      <c r="R4796" s="34">
        <f t="shared" si="77"/>
        <v>0.54594102242965892</v>
      </c>
    </row>
    <row r="4797" spans="16:18" x14ac:dyDescent="0.3">
      <c r="P4797" s="35">
        <v>32.270000000000003</v>
      </c>
      <c r="Q4797">
        <v>305</v>
      </c>
      <c r="R4797" s="34">
        <f t="shared" si="77"/>
        <v>0.54605487874299152</v>
      </c>
    </row>
    <row r="4798" spans="16:18" x14ac:dyDescent="0.3">
      <c r="P4798" s="35">
        <v>32.270000000000003</v>
      </c>
      <c r="Q4798">
        <v>305</v>
      </c>
      <c r="R4798" s="34">
        <f t="shared" si="77"/>
        <v>0.54616873505632413</v>
      </c>
    </row>
    <row r="4799" spans="16:18" x14ac:dyDescent="0.3">
      <c r="P4799" s="35">
        <v>32.28</v>
      </c>
      <c r="Q4799">
        <v>305</v>
      </c>
      <c r="R4799" s="34">
        <f t="shared" si="77"/>
        <v>0.54628259136965673</v>
      </c>
    </row>
    <row r="4800" spans="16:18" x14ac:dyDescent="0.3">
      <c r="P4800" s="35">
        <v>32.28</v>
      </c>
      <c r="Q4800">
        <v>305</v>
      </c>
      <c r="R4800" s="34">
        <f t="shared" si="77"/>
        <v>0.54639644768298934</v>
      </c>
    </row>
    <row r="4801" spans="16:18" x14ac:dyDescent="0.3">
      <c r="P4801" s="35">
        <v>32.29</v>
      </c>
      <c r="Q4801">
        <v>305</v>
      </c>
      <c r="R4801" s="34">
        <f t="shared" si="77"/>
        <v>0.54651030399632194</v>
      </c>
    </row>
    <row r="4802" spans="16:18" x14ac:dyDescent="0.3">
      <c r="P4802" s="35">
        <v>32.29</v>
      </c>
      <c r="Q4802">
        <v>305</v>
      </c>
      <c r="R4802" s="34">
        <f t="shared" si="77"/>
        <v>0.54662416030965455</v>
      </c>
    </row>
    <row r="4803" spans="16:18" x14ac:dyDescent="0.3">
      <c r="P4803" s="35">
        <v>32.29</v>
      </c>
      <c r="Q4803">
        <v>305</v>
      </c>
      <c r="R4803" s="34">
        <f t="shared" si="77"/>
        <v>0.54673801662298716</v>
      </c>
    </row>
    <row r="4804" spans="16:18" x14ac:dyDescent="0.3">
      <c r="P4804" s="35">
        <v>32.299999999999997</v>
      </c>
      <c r="Q4804">
        <v>305</v>
      </c>
      <c r="R4804" s="34">
        <f t="shared" ref="R4804:R4867" si="78">R4803+R$2</f>
        <v>0.54685187293631976</v>
      </c>
    </row>
    <row r="4805" spans="16:18" x14ac:dyDescent="0.3">
      <c r="P4805" s="35">
        <v>32.299999999999997</v>
      </c>
      <c r="Q4805">
        <v>305</v>
      </c>
      <c r="R4805" s="34">
        <f t="shared" si="78"/>
        <v>0.54696572924965237</v>
      </c>
    </row>
    <row r="4806" spans="16:18" x14ac:dyDescent="0.3">
      <c r="P4806" s="35">
        <v>32.31</v>
      </c>
      <c r="Q4806">
        <v>305</v>
      </c>
      <c r="R4806" s="34">
        <f t="shared" si="78"/>
        <v>0.54707958556298497</v>
      </c>
    </row>
    <row r="4807" spans="16:18" x14ac:dyDescent="0.3">
      <c r="P4807" s="35">
        <v>32.32</v>
      </c>
      <c r="Q4807">
        <v>305</v>
      </c>
      <c r="R4807" s="34">
        <f t="shared" si="78"/>
        <v>0.54719344187631758</v>
      </c>
    </row>
    <row r="4808" spans="16:18" x14ac:dyDescent="0.3">
      <c r="P4808" s="35">
        <v>32.32</v>
      </c>
      <c r="Q4808">
        <v>305</v>
      </c>
      <c r="R4808" s="34">
        <f t="shared" si="78"/>
        <v>0.54730729818965018</v>
      </c>
    </row>
    <row r="4809" spans="16:18" x14ac:dyDescent="0.3">
      <c r="P4809" s="35">
        <v>32.32</v>
      </c>
      <c r="Q4809">
        <v>305</v>
      </c>
      <c r="R4809" s="34">
        <f t="shared" si="78"/>
        <v>0.54742115450298279</v>
      </c>
    </row>
    <row r="4810" spans="16:18" x14ac:dyDescent="0.3">
      <c r="P4810" s="35">
        <v>32.32</v>
      </c>
      <c r="Q4810">
        <v>305</v>
      </c>
      <c r="R4810" s="34">
        <f t="shared" si="78"/>
        <v>0.54753501081631539</v>
      </c>
    </row>
    <row r="4811" spans="16:18" x14ac:dyDescent="0.3">
      <c r="P4811" s="35">
        <v>32.32</v>
      </c>
      <c r="Q4811">
        <v>305</v>
      </c>
      <c r="R4811" s="34">
        <f t="shared" si="78"/>
        <v>0.547648867129648</v>
      </c>
    </row>
    <row r="4812" spans="16:18" x14ac:dyDescent="0.3">
      <c r="P4812" s="35">
        <v>32.340000000000003</v>
      </c>
      <c r="Q4812">
        <v>305</v>
      </c>
      <c r="R4812" s="34">
        <f t="shared" si="78"/>
        <v>0.5477627234429806</v>
      </c>
    </row>
    <row r="4813" spans="16:18" x14ac:dyDescent="0.3">
      <c r="P4813" s="35">
        <v>32.340000000000003</v>
      </c>
      <c r="Q4813">
        <v>305</v>
      </c>
      <c r="R4813" s="34">
        <f t="shared" si="78"/>
        <v>0.54787657975631321</v>
      </c>
    </row>
    <row r="4814" spans="16:18" x14ac:dyDescent="0.3">
      <c r="P4814" s="35">
        <v>32.340000000000003</v>
      </c>
      <c r="Q4814">
        <v>305</v>
      </c>
      <c r="R4814" s="34">
        <f t="shared" si="78"/>
        <v>0.54799043606964581</v>
      </c>
    </row>
    <row r="4815" spans="16:18" x14ac:dyDescent="0.3">
      <c r="P4815" s="35">
        <v>32.35</v>
      </c>
      <c r="Q4815">
        <v>305</v>
      </c>
      <c r="R4815" s="34">
        <f t="shared" si="78"/>
        <v>0.54810429238297842</v>
      </c>
    </row>
    <row r="4816" spans="16:18" x14ac:dyDescent="0.3">
      <c r="P4816" s="35">
        <v>32.35</v>
      </c>
      <c r="Q4816">
        <v>305</v>
      </c>
      <c r="R4816" s="34">
        <f t="shared" si="78"/>
        <v>0.54821814869631103</v>
      </c>
    </row>
    <row r="4817" spans="16:18" x14ac:dyDescent="0.3">
      <c r="P4817" s="35">
        <v>32.35</v>
      </c>
      <c r="Q4817">
        <v>305</v>
      </c>
      <c r="R4817" s="34">
        <f t="shared" si="78"/>
        <v>0.54833200500964363</v>
      </c>
    </row>
    <row r="4818" spans="16:18" x14ac:dyDescent="0.3">
      <c r="P4818" s="35">
        <v>32.35</v>
      </c>
      <c r="Q4818">
        <v>305</v>
      </c>
      <c r="R4818" s="34">
        <f t="shared" si="78"/>
        <v>0.54844586132297624</v>
      </c>
    </row>
    <row r="4819" spans="16:18" x14ac:dyDescent="0.3">
      <c r="P4819" s="35">
        <v>32.369999999999997</v>
      </c>
      <c r="Q4819">
        <v>305</v>
      </c>
      <c r="R4819" s="34">
        <f t="shared" si="78"/>
        <v>0.54855971763630884</v>
      </c>
    </row>
    <row r="4820" spans="16:18" x14ac:dyDescent="0.3">
      <c r="P4820" s="35">
        <v>32.380000000000003</v>
      </c>
      <c r="Q4820">
        <v>305</v>
      </c>
      <c r="R4820" s="34">
        <f t="shared" si="78"/>
        <v>0.54867357394964145</v>
      </c>
    </row>
    <row r="4821" spans="16:18" x14ac:dyDescent="0.3">
      <c r="P4821" s="35">
        <v>32.380000000000003</v>
      </c>
      <c r="Q4821">
        <v>305</v>
      </c>
      <c r="R4821" s="34">
        <f t="shared" si="78"/>
        <v>0.54878743026297405</v>
      </c>
    </row>
    <row r="4822" spans="16:18" x14ac:dyDescent="0.3">
      <c r="P4822" s="35">
        <v>32.380000000000003</v>
      </c>
      <c r="Q4822">
        <v>305</v>
      </c>
      <c r="R4822" s="34">
        <f t="shared" si="78"/>
        <v>0.54890128657630666</v>
      </c>
    </row>
    <row r="4823" spans="16:18" x14ac:dyDescent="0.3">
      <c r="P4823" s="35">
        <v>32.380000000000003</v>
      </c>
      <c r="Q4823">
        <v>305</v>
      </c>
      <c r="R4823" s="34">
        <f t="shared" si="78"/>
        <v>0.54901514288963926</v>
      </c>
    </row>
    <row r="4824" spans="16:18" x14ac:dyDescent="0.3">
      <c r="P4824" s="35">
        <v>32.380000000000003</v>
      </c>
      <c r="Q4824">
        <v>305</v>
      </c>
      <c r="R4824" s="34">
        <f t="shared" si="78"/>
        <v>0.54912899920297187</v>
      </c>
    </row>
    <row r="4825" spans="16:18" x14ac:dyDescent="0.3">
      <c r="P4825" s="35">
        <v>32.39</v>
      </c>
      <c r="Q4825">
        <v>305</v>
      </c>
      <c r="R4825" s="34">
        <f t="shared" si="78"/>
        <v>0.54924285551630447</v>
      </c>
    </row>
    <row r="4826" spans="16:18" x14ac:dyDescent="0.3">
      <c r="P4826" s="35">
        <v>32.4</v>
      </c>
      <c r="Q4826">
        <v>305</v>
      </c>
      <c r="R4826" s="34">
        <f t="shared" si="78"/>
        <v>0.54935671182963708</v>
      </c>
    </row>
    <row r="4827" spans="16:18" x14ac:dyDescent="0.3">
      <c r="P4827" s="35">
        <v>32.4</v>
      </c>
      <c r="Q4827">
        <v>305</v>
      </c>
      <c r="R4827" s="34">
        <f t="shared" si="78"/>
        <v>0.54947056814296968</v>
      </c>
    </row>
    <row r="4828" spans="16:18" x14ac:dyDescent="0.3">
      <c r="P4828" s="35">
        <v>32.409999999999997</v>
      </c>
      <c r="Q4828">
        <v>305</v>
      </c>
      <c r="R4828" s="34">
        <f t="shared" si="78"/>
        <v>0.54958442445630229</v>
      </c>
    </row>
    <row r="4829" spans="16:18" x14ac:dyDescent="0.3">
      <c r="P4829" s="35">
        <v>32.409999999999997</v>
      </c>
      <c r="Q4829">
        <v>305</v>
      </c>
      <c r="R4829" s="34">
        <f t="shared" si="78"/>
        <v>0.54969828076963489</v>
      </c>
    </row>
    <row r="4830" spans="16:18" x14ac:dyDescent="0.3">
      <c r="P4830" s="35">
        <v>32.43</v>
      </c>
      <c r="Q4830">
        <v>305</v>
      </c>
      <c r="R4830" s="34">
        <f t="shared" si="78"/>
        <v>0.5498121370829675</v>
      </c>
    </row>
    <row r="4831" spans="16:18" x14ac:dyDescent="0.3">
      <c r="P4831" s="35">
        <v>32.43</v>
      </c>
      <c r="Q4831">
        <v>305</v>
      </c>
      <c r="R4831" s="34">
        <f t="shared" si="78"/>
        <v>0.54992599339630011</v>
      </c>
    </row>
    <row r="4832" spans="16:18" x14ac:dyDescent="0.3">
      <c r="P4832" s="35">
        <v>32.43</v>
      </c>
      <c r="Q4832">
        <v>305</v>
      </c>
      <c r="R4832" s="34">
        <f t="shared" si="78"/>
        <v>0.55003984970963271</v>
      </c>
    </row>
    <row r="4833" spans="16:18" x14ac:dyDescent="0.3">
      <c r="P4833" s="35">
        <v>32.44</v>
      </c>
      <c r="Q4833">
        <v>305</v>
      </c>
      <c r="R4833" s="34">
        <f t="shared" si="78"/>
        <v>0.55015370602296532</v>
      </c>
    </row>
    <row r="4834" spans="16:18" x14ac:dyDescent="0.3">
      <c r="P4834" s="35">
        <v>32.44</v>
      </c>
      <c r="Q4834">
        <v>305</v>
      </c>
      <c r="R4834" s="34">
        <f t="shared" si="78"/>
        <v>0.55026756233629792</v>
      </c>
    </row>
    <row r="4835" spans="16:18" x14ac:dyDescent="0.3">
      <c r="P4835" s="35">
        <v>32.44</v>
      </c>
      <c r="Q4835">
        <v>305</v>
      </c>
      <c r="R4835" s="34">
        <f t="shared" si="78"/>
        <v>0.55038141864963053</v>
      </c>
    </row>
    <row r="4836" spans="16:18" x14ac:dyDescent="0.3">
      <c r="P4836" s="35">
        <v>32.450000000000003</v>
      </c>
      <c r="Q4836">
        <v>305</v>
      </c>
      <c r="R4836" s="34">
        <f t="shared" si="78"/>
        <v>0.55049527496296313</v>
      </c>
    </row>
    <row r="4837" spans="16:18" x14ac:dyDescent="0.3">
      <c r="P4837" s="35">
        <v>32.450000000000003</v>
      </c>
      <c r="Q4837">
        <v>305</v>
      </c>
      <c r="R4837" s="34">
        <f t="shared" si="78"/>
        <v>0.55060913127629574</v>
      </c>
    </row>
    <row r="4838" spans="16:18" x14ac:dyDescent="0.3">
      <c r="P4838" s="35">
        <v>32.450000000000003</v>
      </c>
      <c r="Q4838">
        <v>305</v>
      </c>
      <c r="R4838" s="34">
        <f t="shared" si="78"/>
        <v>0.55072298758962834</v>
      </c>
    </row>
    <row r="4839" spans="16:18" x14ac:dyDescent="0.3">
      <c r="P4839" s="35">
        <v>32.450000000000003</v>
      </c>
      <c r="Q4839">
        <v>305</v>
      </c>
      <c r="R4839" s="34">
        <f t="shared" si="78"/>
        <v>0.55083684390296095</v>
      </c>
    </row>
    <row r="4840" spans="16:18" x14ac:dyDescent="0.3">
      <c r="P4840" s="35">
        <v>32.450000000000003</v>
      </c>
      <c r="Q4840">
        <v>305</v>
      </c>
      <c r="R4840" s="34">
        <f t="shared" si="78"/>
        <v>0.55095070021629355</v>
      </c>
    </row>
    <row r="4841" spans="16:18" x14ac:dyDescent="0.3">
      <c r="P4841" s="35">
        <v>32.46</v>
      </c>
      <c r="Q4841">
        <v>305</v>
      </c>
      <c r="R4841" s="34">
        <f t="shared" si="78"/>
        <v>0.55106455652962616</v>
      </c>
    </row>
    <row r="4842" spans="16:18" x14ac:dyDescent="0.3">
      <c r="P4842" s="35">
        <v>32.46</v>
      </c>
      <c r="Q4842">
        <v>305</v>
      </c>
      <c r="R4842" s="34">
        <f t="shared" si="78"/>
        <v>0.55117841284295876</v>
      </c>
    </row>
    <row r="4843" spans="16:18" x14ac:dyDescent="0.3">
      <c r="P4843" s="35">
        <v>32.46</v>
      </c>
      <c r="Q4843">
        <v>305</v>
      </c>
      <c r="R4843" s="34">
        <f t="shared" si="78"/>
        <v>0.55129226915629137</v>
      </c>
    </row>
    <row r="4844" spans="16:18" x14ac:dyDescent="0.3">
      <c r="P4844" s="35">
        <v>32.47</v>
      </c>
      <c r="Q4844">
        <v>305</v>
      </c>
      <c r="R4844" s="34">
        <f t="shared" si="78"/>
        <v>0.55140612546962398</v>
      </c>
    </row>
    <row r="4845" spans="16:18" x14ac:dyDescent="0.3">
      <c r="P4845" s="35">
        <v>32.47</v>
      </c>
      <c r="Q4845">
        <v>305</v>
      </c>
      <c r="R4845" s="34">
        <f t="shared" si="78"/>
        <v>0.55151998178295658</v>
      </c>
    </row>
    <row r="4846" spans="16:18" x14ac:dyDescent="0.3">
      <c r="P4846" s="35">
        <v>32.479999999999997</v>
      </c>
      <c r="Q4846">
        <v>305</v>
      </c>
      <c r="R4846" s="34">
        <f t="shared" si="78"/>
        <v>0.55163383809628919</v>
      </c>
    </row>
    <row r="4847" spans="16:18" x14ac:dyDescent="0.3">
      <c r="P4847" s="35">
        <v>32.479999999999997</v>
      </c>
      <c r="Q4847">
        <v>305</v>
      </c>
      <c r="R4847" s="34">
        <f t="shared" si="78"/>
        <v>0.55174769440962179</v>
      </c>
    </row>
    <row r="4848" spans="16:18" x14ac:dyDescent="0.3">
      <c r="P4848" s="35">
        <v>32.479999999999997</v>
      </c>
      <c r="Q4848">
        <v>305</v>
      </c>
      <c r="R4848" s="34">
        <f t="shared" si="78"/>
        <v>0.5518615507229544</v>
      </c>
    </row>
    <row r="4849" spans="16:18" x14ac:dyDescent="0.3">
      <c r="P4849" s="35">
        <v>32.49</v>
      </c>
      <c r="Q4849">
        <v>305</v>
      </c>
      <c r="R4849" s="34">
        <f t="shared" si="78"/>
        <v>0.551975407036287</v>
      </c>
    </row>
    <row r="4850" spans="16:18" x14ac:dyDescent="0.3">
      <c r="P4850" s="35">
        <v>32.49</v>
      </c>
      <c r="Q4850">
        <v>305</v>
      </c>
      <c r="R4850" s="34">
        <f t="shared" si="78"/>
        <v>0.55208926334961961</v>
      </c>
    </row>
    <row r="4851" spans="16:18" x14ac:dyDescent="0.3">
      <c r="P4851" s="35">
        <v>32.5</v>
      </c>
      <c r="Q4851">
        <v>305</v>
      </c>
      <c r="R4851" s="34">
        <f t="shared" si="78"/>
        <v>0.55220311966295221</v>
      </c>
    </row>
    <row r="4852" spans="16:18" x14ac:dyDescent="0.3">
      <c r="P4852" s="35">
        <v>32.5</v>
      </c>
      <c r="Q4852">
        <v>305</v>
      </c>
      <c r="R4852" s="34">
        <f t="shared" si="78"/>
        <v>0.55231697597628482</v>
      </c>
    </row>
    <row r="4853" spans="16:18" x14ac:dyDescent="0.3">
      <c r="P4853" s="35">
        <v>32.51</v>
      </c>
      <c r="Q4853">
        <v>305</v>
      </c>
      <c r="R4853" s="34">
        <f t="shared" si="78"/>
        <v>0.55243083228961742</v>
      </c>
    </row>
    <row r="4854" spans="16:18" x14ac:dyDescent="0.3">
      <c r="P4854" s="35">
        <v>32.51</v>
      </c>
      <c r="Q4854">
        <v>305</v>
      </c>
      <c r="R4854" s="34">
        <f t="shared" si="78"/>
        <v>0.55254468860295003</v>
      </c>
    </row>
    <row r="4855" spans="16:18" x14ac:dyDescent="0.3">
      <c r="P4855" s="35">
        <v>32.520000000000003</v>
      </c>
      <c r="Q4855">
        <v>305</v>
      </c>
      <c r="R4855" s="34">
        <f t="shared" si="78"/>
        <v>0.55265854491628263</v>
      </c>
    </row>
    <row r="4856" spans="16:18" x14ac:dyDescent="0.3">
      <c r="P4856" s="35">
        <v>32.520000000000003</v>
      </c>
      <c r="Q4856">
        <v>305</v>
      </c>
      <c r="R4856" s="34">
        <f t="shared" si="78"/>
        <v>0.55277240122961524</v>
      </c>
    </row>
    <row r="4857" spans="16:18" x14ac:dyDescent="0.3">
      <c r="P4857" s="35">
        <v>32.53</v>
      </c>
      <c r="Q4857">
        <v>305</v>
      </c>
      <c r="R4857" s="34">
        <f t="shared" si="78"/>
        <v>0.55288625754294785</v>
      </c>
    </row>
    <row r="4858" spans="16:18" x14ac:dyDescent="0.3">
      <c r="P4858" s="35">
        <v>32.53</v>
      </c>
      <c r="Q4858">
        <v>305</v>
      </c>
      <c r="R4858" s="34">
        <f t="shared" si="78"/>
        <v>0.55300011385628045</v>
      </c>
    </row>
    <row r="4859" spans="16:18" x14ac:dyDescent="0.3">
      <c r="P4859" s="35">
        <v>32.54</v>
      </c>
      <c r="Q4859">
        <v>305</v>
      </c>
      <c r="R4859" s="34">
        <f t="shared" si="78"/>
        <v>0.55311397016961306</v>
      </c>
    </row>
    <row r="4860" spans="16:18" x14ac:dyDescent="0.3">
      <c r="P4860" s="35">
        <v>32.549999999999997</v>
      </c>
      <c r="Q4860">
        <v>305</v>
      </c>
      <c r="R4860" s="34">
        <f t="shared" si="78"/>
        <v>0.55322782648294566</v>
      </c>
    </row>
    <row r="4861" spans="16:18" x14ac:dyDescent="0.3">
      <c r="P4861" s="35">
        <v>32.549999999999997</v>
      </c>
      <c r="Q4861">
        <v>305</v>
      </c>
      <c r="R4861" s="34">
        <f t="shared" si="78"/>
        <v>0.55334168279627827</v>
      </c>
    </row>
    <row r="4862" spans="16:18" x14ac:dyDescent="0.3">
      <c r="P4862" s="35">
        <v>32.57</v>
      </c>
      <c r="Q4862">
        <v>305</v>
      </c>
      <c r="R4862" s="34">
        <f t="shared" si="78"/>
        <v>0.55345553910961087</v>
      </c>
    </row>
    <row r="4863" spans="16:18" x14ac:dyDescent="0.3">
      <c r="P4863" s="35">
        <v>32.57</v>
      </c>
      <c r="Q4863">
        <v>305</v>
      </c>
      <c r="R4863" s="34">
        <f t="shared" si="78"/>
        <v>0.55356939542294348</v>
      </c>
    </row>
    <row r="4864" spans="16:18" x14ac:dyDescent="0.3">
      <c r="P4864" s="35">
        <v>32.58</v>
      </c>
      <c r="Q4864">
        <v>305</v>
      </c>
      <c r="R4864" s="34">
        <f t="shared" si="78"/>
        <v>0.55368325173627608</v>
      </c>
    </row>
    <row r="4865" spans="16:18" x14ac:dyDescent="0.3">
      <c r="P4865" s="35">
        <v>32.590000000000003</v>
      </c>
      <c r="Q4865">
        <v>305</v>
      </c>
      <c r="R4865" s="34">
        <f t="shared" si="78"/>
        <v>0.55379710804960869</v>
      </c>
    </row>
    <row r="4866" spans="16:18" x14ac:dyDescent="0.3">
      <c r="P4866" s="35">
        <v>32.6</v>
      </c>
      <c r="Q4866">
        <v>305</v>
      </c>
      <c r="R4866" s="34">
        <f t="shared" si="78"/>
        <v>0.55391096436294129</v>
      </c>
    </row>
    <row r="4867" spans="16:18" x14ac:dyDescent="0.3">
      <c r="P4867" s="35">
        <v>32.6</v>
      </c>
      <c r="Q4867">
        <v>305</v>
      </c>
      <c r="R4867" s="34">
        <f t="shared" si="78"/>
        <v>0.5540248206762739</v>
      </c>
    </row>
    <row r="4868" spans="16:18" x14ac:dyDescent="0.3">
      <c r="P4868" s="35">
        <v>32.6</v>
      </c>
      <c r="Q4868">
        <v>305</v>
      </c>
      <c r="R4868" s="34">
        <f t="shared" ref="R4868:R4931" si="79">R4867+R$2</f>
        <v>0.5541386769896065</v>
      </c>
    </row>
    <row r="4869" spans="16:18" x14ac:dyDescent="0.3">
      <c r="P4869" s="35">
        <v>32.61</v>
      </c>
      <c r="Q4869">
        <v>305</v>
      </c>
      <c r="R4869" s="34">
        <f t="shared" si="79"/>
        <v>0.55425253330293911</v>
      </c>
    </row>
    <row r="4870" spans="16:18" x14ac:dyDescent="0.3">
      <c r="P4870" s="35">
        <v>32.61</v>
      </c>
      <c r="Q4870">
        <v>305</v>
      </c>
      <c r="R4870" s="34">
        <f t="shared" si="79"/>
        <v>0.55436638961627172</v>
      </c>
    </row>
    <row r="4871" spans="16:18" x14ac:dyDescent="0.3">
      <c r="P4871" s="35">
        <v>32.61</v>
      </c>
      <c r="Q4871">
        <v>305</v>
      </c>
      <c r="R4871" s="34">
        <f t="shared" si="79"/>
        <v>0.55448024592960432</v>
      </c>
    </row>
    <row r="4872" spans="16:18" x14ac:dyDescent="0.3">
      <c r="P4872" s="35">
        <v>32.61</v>
      </c>
      <c r="Q4872">
        <v>305</v>
      </c>
      <c r="R4872" s="34">
        <f t="shared" si="79"/>
        <v>0.55459410224293693</v>
      </c>
    </row>
    <row r="4873" spans="16:18" x14ac:dyDescent="0.3">
      <c r="P4873" s="35">
        <v>32.619999999999997</v>
      </c>
      <c r="Q4873">
        <v>305</v>
      </c>
      <c r="R4873" s="34">
        <f t="shared" si="79"/>
        <v>0.55470795855626953</v>
      </c>
    </row>
    <row r="4874" spans="16:18" x14ac:dyDescent="0.3">
      <c r="P4874" s="35">
        <v>32.619999999999997</v>
      </c>
      <c r="Q4874">
        <v>305</v>
      </c>
      <c r="R4874" s="34">
        <f t="shared" si="79"/>
        <v>0.55482181486960214</v>
      </c>
    </row>
    <row r="4875" spans="16:18" x14ac:dyDescent="0.3">
      <c r="P4875" s="35">
        <v>32.630000000000003</v>
      </c>
      <c r="Q4875">
        <v>305</v>
      </c>
      <c r="R4875" s="34">
        <f t="shared" si="79"/>
        <v>0.55493567118293474</v>
      </c>
    </row>
    <row r="4876" spans="16:18" x14ac:dyDescent="0.3">
      <c r="P4876" s="35">
        <v>32.630000000000003</v>
      </c>
      <c r="Q4876">
        <v>305</v>
      </c>
      <c r="R4876" s="34">
        <f t="shared" si="79"/>
        <v>0.55504952749626735</v>
      </c>
    </row>
    <row r="4877" spans="16:18" x14ac:dyDescent="0.3">
      <c r="P4877" s="35">
        <v>32.64</v>
      </c>
      <c r="Q4877">
        <v>305</v>
      </c>
      <c r="R4877" s="34">
        <f t="shared" si="79"/>
        <v>0.55516338380959995</v>
      </c>
    </row>
    <row r="4878" spans="16:18" x14ac:dyDescent="0.3">
      <c r="P4878" s="35">
        <v>32.65</v>
      </c>
      <c r="Q4878">
        <v>305</v>
      </c>
      <c r="R4878" s="34">
        <f t="shared" si="79"/>
        <v>0.55527724012293256</v>
      </c>
    </row>
    <row r="4879" spans="16:18" x14ac:dyDescent="0.3">
      <c r="P4879" s="35">
        <v>32.65</v>
      </c>
      <c r="Q4879">
        <v>305</v>
      </c>
      <c r="R4879" s="34">
        <f t="shared" si="79"/>
        <v>0.55539109643626516</v>
      </c>
    </row>
    <row r="4880" spans="16:18" x14ac:dyDescent="0.3">
      <c r="P4880" s="35">
        <v>32.659999999999997</v>
      </c>
      <c r="Q4880">
        <v>305</v>
      </c>
      <c r="R4880" s="34">
        <f t="shared" si="79"/>
        <v>0.55550495274959777</v>
      </c>
    </row>
    <row r="4881" spans="16:18" x14ac:dyDescent="0.3">
      <c r="P4881" s="35">
        <v>32.659999999999997</v>
      </c>
      <c r="Q4881">
        <v>305</v>
      </c>
      <c r="R4881" s="34">
        <f t="shared" si="79"/>
        <v>0.55561880906293037</v>
      </c>
    </row>
    <row r="4882" spans="16:18" x14ac:dyDescent="0.3">
      <c r="P4882" s="35">
        <v>32.68</v>
      </c>
      <c r="Q4882">
        <v>305</v>
      </c>
      <c r="R4882" s="34">
        <f t="shared" si="79"/>
        <v>0.55573266537626298</v>
      </c>
    </row>
    <row r="4883" spans="16:18" x14ac:dyDescent="0.3">
      <c r="P4883" s="35">
        <v>32.68</v>
      </c>
      <c r="Q4883">
        <v>305</v>
      </c>
      <c r="R4883" s="34">
        <f t="shared" si="79"/>
        <v>0.55584652168959559</v>
      </c>
    </row>
    <row r="4884" spans="16:18" x14ac:dyDescent="0.3">
      <c r="P4884" s="35">
        <v>32.69</v>
      </c>
      <c r="Q4884">
        <v>305</v>
      </c>
      <c r="R4884" s="34">
        <f t="shared" si="79"/>
        <v>0.55596037800292819</v>
      </c>
    </row>
    <row r="4885" spans="16:18" x14ac:dyDescent="0.3">
      <c r="P4885" s="35">
        <v>32.69</v>
      </c>
      <c r="Q4885">
        <v>305</v>
      </c>
      <c r="R4885" s="34">
        <f t="shared" si="79"/>
        <v>0.5560742343162608</v>
      </c>
    </row>
    <row r="4886" spans="16:18" x14ac:dyDescent="0.3">
      <c r="P4886" s="35">
        <v>32.69</v>
      </c>
      <c r="Q4886">
        <v>305</v>
      </c>
      <c r="R4886" s="34">
        <f t="shared" si="79"/>
        <v>0.5561880906295934</v>
      </c>
    </row>
    <row r="4887" spans="16:18" x14ac:dyDescent="0.3">
      <c r="P4887" s="35">
        <v>32.71</v>
      </c>
      <c r="Q4887">
        <v>305</v>
      </c>
      <c r="R4887" s="34">
        <f t="shared" si="79"/>
        <v>0.55630194694292601</v>
      </c>
    </row>
    <row r="4888" spans="16:18" x14ac:dyDescent="0.3">
      <c r="P4888" s="35">
        <v>32.71</v>
      </c>
      <c r="Q4888">
        <v>305</v>
      </c>
      <c r="R4888" s="34">
        <f t="shared" si="79"/>
        <v>0.55641580325625861</v>
      </c>
    </row>
    <row r="4889" spans="16:18" x14ac:dyDescent="0.3">
      <c r="P4889" s="35">
        <v>32.71</v>
      </c>
      <c r="Q4889">
        <v>305</v>
      </c>
      <c r="R4889" s="34">
        <f t="shared" si="79"/>
        <v>0.55652965956959122</v>
      </c>
    </row>
    <row r="4890" spans="16:18" x14ac:dyDescent="0.3">
      <c r="P4890" s="35">
        <v>32.72</v>
      </c>
      <c r="Q4890">
        <v>305</v>
      </c>
      <c r="R4890" s="34">
        <f t="shared" si="79"/>
        <v>0.55664351588292382</v>
      </c>
    </row>
    <row r="4891" spans="16:18" x14ac:dyDescent="0.3">
      <c r="P4891" s="35">
        <v>32.72</v>
      </c>
      <c r="Q4891">
        <v>305</v>
      </c>
      <c r="R4891" s="34">
        <f t="shared" si="79"/>
        <v>0.55675737219625643</v>
      </c>
    </row>
    <row r="4892" spans="16:18" x14ac:dyDescent="0.3">
      <c r="P4892" s="35">
        <v>32.729999999999997</v>
      </c>
      <c r="Q4892">
        <v>305</v>
      </c>
      <c r="R4892" s="34">
        <f t="shared" si="79"/>
        <v>0.55687122850958903</v>
      </c>
    </row>
    <row r="4893" spans="16:18" x14ac:dyDescent="0.3">
      <c r="P4893" s="35">
        <v>32.729999999999997</v>
      </c>
      <c r="Q4893">
        <v>305</v>
      </c>
      <c r="R4893" s="34">
        <f t="shared" si="79"/>
        <v>0.55698508482292164</v>
      </c>
    </row>
    <row r="4894" spans="16:18" x14ac:dyDescent="0.3">
      <c r="P4894" s="35">
        <v>32.75</v>
      </c>
      <c r="Q4894">
        <v>305</v>
      </c>
      <c r="R4894" s="34">
        <f t="shared" si="79"/>
        <v>0.55709894113625424</v>
      </c>
    </row>
    <row r="4895" spans="16:18" x14ac:dyDescent="0.3">
      <c r="P4895" s="35">
        <v>32.76</v>
      </c>
      <c r="Q4895">
        <v>305</v>
      </c>
      <c r="R4895" s="34">
        <f t="shared" si="79"/>
        <v>0.55721279744958685</v>
      </c>
    </row>
    <row r="4896" spans="16:18" x14ac:dyDescent="0.3">
      <c r="P4896" s="35">
        <v>32.76</v>
      </c>
      <c r="Q4896">
        <v>305</v>
      </c>
      <c r="R4896" s="34">
        <f t="shared" si="79"/>
        <v>0.55732665376291946</v>
      </c>
    </row>
    <row r="4897" spans="16:18" x14ac:dyDescent="0.3">
      <c r="P4897" s="35">
        <v>32.76</v>
      </c>
      <c r="Q4897">
        <v>305</v>
      </c>
      <c r="R4897" s="34">
        <f t="shared" si="79"/>
        <v>0.55744051007625206</v>
      </c>
    </row>
    <row r="4898" spans="16:18" x14ac:dyDescent="0.3">
      <c r="P4898" s="35">
        <v>32.76</v>
      </c>
      <c r="Q4898">
        <v>305</v>
      </c>
      <c r="R4898" s="34">
        <f t="shared" si="79"/>
        <v>0.55755436638958467</v>
      </c>
    </row>
    <row r="4899" spans="16:18" x14ac:dyDescent="0.3">
      <c r="P4899" s="35">
        <v>32.770000000000003</v>
      </c>
      <c r="Q4899">
        <v>305</v>
      </c>
      <c r="R4899" s="34">
        <f t="shared" si="79"/>
        <v>0.55766822270291727</v>
      </c>
    </row>
    <row r="4900" spans="16:18" x14ac:dyDescent="0.3">
      <c r="P4900" s="35">
        <v>32.770000000000003</v>
      </c>
      <c r="Q4900">
        <v>305</v>
      </c>
      <c r="R4900" s="34">
        <f t="shared" si="79"/>
        <v>0.55778207901624988</v>
      </c>
    </row>
    <row r="4901" spans="16:18" x14ac:dyDescent="0.3">
      <c r="P4901" s="35">
        <v>32.78</v>
      </c>
      <c r="Q4901">
        <v>305</v>
      </c>
      <c r="R4901" s="34">
        <f t="shared" si="79"/>
        <v>0.55789593532958248</v>
      </c>
    </row>
    <row r="4902" spans="16:18" x14ac:dyDescent="0.3">
      <c r="P4902" s="35">
        <v>32.78</v>
      </c>
      <c r="Q4902">
        <v>305</v>
      </c>
      <c r="R4902" s="34">
        <f t="shared" si="79"/>
        <v>0.55800979164291509</v>
      </c>
    </row>
    <row r="4903" spans="16:18" x14ac:dyDescent="0.3">
      <c r="P4903" s="35">
        <v>32.78</v>
      </c>
      <c r="Q4903">
        <v>305</v>
      </c>
      <c r="R4903" s="34">
        <f t="shared" si="79"/>
        <v>0.55812364795624769</v>
      </c>
    </row>
    <row r="4904" spans="16:18" x14ac:dyDescent="0.3">
      <c r="P4904" s="35">
        <v>32.79</v>
      </c>
      <c r="Q4904">
        <v>305</v>
      </c>
      <c r="R4904" s="34">
        <f t="shared" si="79"/>
        <v>0.5582375042695803</v>
      </c>
    </row>
    <row r="4905" spans="16:18" x14ac:dyDescent="0.3">
      <c r="P4905" s="35">
        <v>32.79</v>
      </c>
      <c r="Q4905">
        <v>305</v>
      </c>
      <c r="R4905" s="34">
        <f t="shared" si="79"/>
        <v>0.5583513605829129</v>
      </c>
    </row>
    <row r="4906" spans="16:18" x14ac:dyDescent="0.3">
      <c r="P4906" s="35">
        <v>32.79</v>
      </c>
      <c r="Q4906">
        <v>305</v>
      </c>
      <c r="R4906" s="34">
        <f t="shared" si="79"/>
        <v>0.55846521689624551</v>
      </c>
    </row>
    <row r="4907" spans="16:18" x14ac:dyDescent="0.3">
      <c r="P4907" s="35">
        <v>32.79</v>
      </c>
      <c r="Q4907">
        <v>305</v>
      </c>
      <c r="R4907" s="34">
        <f t="shared" si="79"/>
        <v>0.55857907320957811</v>
      </c>
    </row>
    <row r="4908" spans="16:18" x14ac:dyDescent="0.3">
      <c r="P4908" s="35">
        <v>32.79</v>
      </c>
      <c r="Q4908">
        <v>305</v>
      </c>
      <c r="R4908" s="34">
        <f t="shared" si="79"/>
        <v>0.55869292952291072</v>
      </c>
    </row>
    <row r="4909" spans="16:18" x14ac:dyDescent="0.3">
      <c r="P4909" s="35">
        <v>32.799999999999997</v>
      </c>
      <c r="Q4909">
        <v>305</v>
      </c>
      <c r="R4909" s="34">
        <f t="shared" si="79"/>
        <v>0.55880678583624332</v>
      </c>
    </row>
    <row r="4910" spans="16:18" x14ac:dyDescent="0.3">
      <c r="P4910" s="35">
        <v>32.799999999999997</v>
      </c>
      <c r="Q4910">
        <v>305</v>
      </c>
      <c r="R4910" s="34">
        <f t="shared" si="79"/>
        <v>0.55892064214957593</v>
      </c>
    </row>
    <row r="4911" spans="16:18" x14ac:dyDescent="0.3">
      <c r="P4911" s="35">
        <v>32.799999999999997</v>
      </c>
      <c r="Q4911">
        <v>305</v>
      </c>
      <c r="R4911" s="34">
        <f t="shared" si="79"/>
        <v>0.55903449846290854</v>
      </c>
    </row>
    <row r="4912" spans="16:18" x14ac:dyDescent="0.3">
      <c r="P4912" s="35">
        <v>32.799999999999997</v>
      </c>
      <c r="Q4912">
        <v>305</v>
      </c>
      <c r="R4912" s="34">
        <f t="shared" si="79"/>
        <v>0.55914835477624114</v>
      </c>
    </row>
    <row r="4913" spans="16:18" x14ac:dyDescent="0.3">
      <c r="P4913" s="35">
        <v>32.799999999999997</v>
      </c>
      <c r="Q4913">
        <v>305</v>
      </c>
      <c r="R4913" s="34">
        <f t="shared" si="79"/>
        <v>0.55926221108957375</v>
      </c>
    </row>
    <row r="4914" spans="16:18" x14ac:dyDescent="0.3">
      <c r="P4914" s="35">
        <v>32.799999999999997</v>
      </c>
      <c r="Q4914">
        <v>305</v>
      </c>
      <c r="R4914" s="34">
        <f t="shared" si="79"/>
        <v>0.55937606740290635</v>
      </c>
    </row>
    <row r="4915" spans="16:18" x14ac:dyDescent="0.3">
      <c r="P4915" s="35">
        <v>32.81</v>
      </c>
      <c r="Q4915">
        <v>305</v>
      </c>
      <c r="R4915" s="34">
        <f t="shared" si="79"/>
        <v>0.55948992371623896</v>
      </c>
    </row>
    <row r="4916" spans="16:18" x14ac:dyDescent="0.3">
      <c r="P4916" s="35">
        <v>32.82</v>
      </c>
      <c r="Q4916">
        <v>305</v>
      </c>
      <c r="R4916" s="34">
        <f t="shared" si="79"/>
        <v>0.55960378002957156</v>
      </c>
    </row>
    <row r="4917" spans="16:18" x14ac:dyDescent="0.3">
      <c r="P4917" s="35">
        <v>32.82</v>
      </c>
      <c r="Q4917">
        <v>305</v>
      </c>
      <c r="R4917" s="34">
        <f t="shared" si="79"/>
        <v>0.55971763634290417</v>
      </c>
    </row>
    <row r="4918" spans="16:18" x14ac:dyDescent="0.3">
      <c r="P4918" s="35">
        <v>32.82</v>
      </c>
      <c r="Q4918">
        <v>305</v>
      </c>
      <c r="R4918" s="34">
        <f t="shared" si="79"/>
        <v>0.55983149265623677</v>
      </c>
    </row>
    <row r="4919" spans="16:18" x14ac:dyDescent="0.3">
      <c r="P4919" s="35">
        <v>32.82</v>
      </c>
      <c r="Q4919">
        <v>305</v>
      </c>
      <c r="R4919" s="34">
        <f t="shared" si="79"/>
        <v>0.55994534896956938</v>
      </c>
    </row>
    <row r="4920" spans="16:18" x14ac:dyDescent="0.3">
      <c r="P4920" s="35">
        <v>32.82</v>
      </c>
      <c r="Q4920">
        <v>305</v>
      </c>
      <c r="R4920" s="34">
        <f t="shared" si="79"/>
        <v>0.56005920528290198</v>
      </c>
    </row>
    <row r="4921" spans="16:18" x14ac:dyDescent="0.3">
      <c r="P4921" s="35">
        <v>32.83</v>
      </c>
      <c r="Q4921">
        <v>305</v>
      </c>
      <c r="R4921" s="34">
        <f t="shared" si="79"/>
        <v>0.56017306159623459</v>
      </c>
    </row>
    <row r="4922" spans="16:18" x14ac:dyDescent="0.3">
      <c r="P4922" s="35">
        <v>32.840000000000003</v>
      </c>
      <c r="Q4922">
        <v>305</v>
      </c>
      <c r="R4922" s="34">
        <f t="shared" si="79"/>
        <v>0.56028691790956719</v>
      </c>
    </row>
    <row r="4923" spans="16:18" x14ac:dyDescent="0.3">
      <c r="P4923" s="35">
        <v>32.840000000000003</v>
      </c>
      <c r="Q4923">
        <v>305</v>
      </c>
      <c r="R4923" s="34">
        <f t="shared" si="79"/>
        <v>0.5604007742228998</v>
      </c>
    </row>
    <row r="4924" spans="16:18" x14ac:dyDescent="0.3">
      <c r="P4924" s="35">
        <v>32.840000000000003</v>
      </c>
      <c r="Q4924">
        <v>305</v>
      </c>
      <c r="R4924" s="34">
        <f t="shared" si="79"/>
        <v>0.56051463053623241</v>
      </c>
    </row>
    <row r="4925" spans="16:18" x14ac:dyDescent="0.3">
      <c r="P4925" s="35">
        <v>32.85</v>
      </c>
      <c r="Q4925">
        <v>305</v>
      </c>
      <c r="R4925" s="34">
        <f t="shared" si="79"/>
        <v>0.56062848684956501</v>
      </c>
    </row>
    <row r="4926" spans="16:18" x14ac:dyDescent="0.3">
      <c r="P4926" s="35">
        <v>32.85</v>
      </c>
      <c r="Q4926">
        <v>305</v>
      </c>
      <c r="R4926" s="34">
        <f t="shared" si="79"/>
        <v>0.56074234316289762</v>
      </c>
    </row>
    <row r="4927" spans="16:18" x14ac:dyDescent="0.3">
      <c r="P4927" s="35">
        <v>32.86</v>
      </c>
      <c r="Q4927">
        <v>305</v>
      </c>
      <c r="R4927" s="34">
        <f t="shared" si="79"/>
        <v>0.56085619947623022</v>
      </c>
    </row>
    <row r="4928" spans="16:18" x14ac:dyDescent="0.3">
      <c r="P4928" s="35">
        <v>32.86</v>
      </c>
      <c r="Q4928">
        <v>305</v>
      </c>
      <c r="R4928" s="34">
        <f t="shared" si="79"/>
        <v>0.56097005578956283</v>
      </c>
    </row>
    <row r="4929" spans="16:18" x14ac:dyDescent="0.3">
      <c r="P4929" s="35">
        <v>32.86</v>
      </c>
      <c r="Q4929">
        <v>305</v>
      </c>
      <c r="R4929" s="34">
        <f t="shared" si="79"/>
        <v>0.56108391210289543</v>
      </c>
    </row>
    <row r="4930" spans="16:18" x14ac:dyDescent="0.3">
      <c r="P4930" s="35">
        <v>32.86</v>
      </c>
      <c r="Q4930">
        <v>305</v>
      </c>
      <c r="R4930" s="34">
        <f t="shared" si="79"/>
        <v>0.56119776841622804</v>
      </c>
    </row>
    <row r="4931" spans="16:18" x14ac:dyDescent="0.3">
      <c r="P4931" s="35">
        <v>32.880000000000003</v>
      </c>
      <c r="Q4931">
        <v>305</v>
      </c>
      <c r="R4931" s="34">
        <f t="shared" si="79"/>
        <v>0.56131162472956064</v>
      </c>
    </row>
    <row r="4932" spans="16:18" x14ac:dyDescent="0.3">
      <c r="P4932" s="35">
        <v>32.880000000000003</v>
      </c>
      <c r="Q4932">
        <v>305</v>
      </c>
      <c r="R4932" s="34">
        <f t="shared" ref="R4932:R4995" si="80">R4931+R$2</f>
        <v>0.56142548104289325</v>
      </c>
    </row>
    <row r="4933" spans="16:18" x14ac:dyDescent="0.3">
      <c r="P4933" s="35">
        <v>32.880000000000003</v>
      </c>
      <c r="Q4933">
        <v>305</v>
      </c>
      <c r="R4933" s="34">
        <f t="shared" si="80"/>
        <v>0.56153933735622585</v>
      </c>
    </row>
    <row r="4934" spans="16:18" x14ac:dyDescent="0.3">
      <c r="P4934" s="35">
        <v>32.880000000000003</v>
      </c>
      <c r="Q4934">
        <v>305</v>
      </c>
      <c r="R4934" s="34">
        <f t="shared" si="80"/>
        <v>0.56165319366955846</v>
      </c>
    </row>
    <row r="4935" spans="16:18" x14ac:dyDescent="0.3">
      <c r="P4935" s="35">
        <v>32.880000000000003</v>
      </c>
      <c r="Q4935">
        <v>305</v>
      </c>
      <c r="R4935" s="34">
        <f t="shared" si="80"/>
        <v>0.56176704998289106</v>
      </c>
    </row>
    <row r="4936" spans="16:18" x14ac:dyDescent="0.3">
      <c r="P4936" s="35">
        <v>32.880000000000003</v>
      </c>
      <c r="Q4936">
        <v>305</v>
      </c>
      <c r="R4936" s="34">
        <f t="shared" si="80"/>
        <v>0.56188090629622367</v>
      </c>
    </row>
    <row r="4937" spans="16:18" x14ac:dyDescent="0.3">
      <c r="P4937" s="35">
        <v>32.9</v>
      </c>
      <c r="Q4937">
        <v>305</v>
      </c>
      <c r="R4937" s="34">
        <f t="shared" si="80"/>
        <v>0.56199476260955628</v>
      </c>
    </row>
    <row r="4938" spans="16:18" x14ac:dyDescent="0.3">
      <c r="P4938" s="35">
        <v>32.909999999999997</v>
      </c>
      <c r="Q4938">
        <v>305</v>
      </c>
      <c r="R4938" s="34">
        <f t="shared" si="80"/>
        <v>0.56210861892288888</v>
      </c>
    </row>
    <row r="4939" spans="16:18" x14ac:dyDescent="0.3">
      <c r="P4939" s="35">
        <v>32.92</v>
      </c>
      <c r="Q4939">
        <v>305</v>
      </c>
      <c r="R4939" s="34">
        <f t="shared" si="80"/>
        <v>0.56222247523622149</v>
      </c>
    </row>
    <row r="4940" spans="16:18" x14ac:dyDescent="0.3">
      <c r="P4940" s="35">
        <v>32.92</v>
      </c>
      <c r="Q4940">
        <v>305</v>
      </c>
      <c r="R4940" s="34">
        <f t="shared" si="80"/>
        <v>0.56233633154955409</v>
      </c>
    </row>
    <row r="4941" spans="16:18" x14ac:dyDescent="0.3">
      <c r="P4941" s="35">
        <v>32.950000000000003</v>
      </c>
      <c r="Q4941">
        <v>305</v>
      </c>
      <c r="R4941" s="34">
        <f t="shared" si="80"/>
        <v>0.5624501878628867</v>
      </c>
    </row>
    <row r="4942" spans="16:18" x14ac:dyDescent="0.3">
      <c r="P4942" s="35">
        <v>32.950000000000003</v>
      </c>
      <c r="Q4942">
        <v>305</v>
      </c>
      <c r="R4942" s="34">
        <f t="shared" si="80"/>
        <v>0.5625640441762193</v>
      </c>
    </row>
    <row r="4943" spans="16:18" x14ac:dyDescent="0.3">
      <c r="P4943" s="35">
        <v>32.950000000000003</v>
      </c>
      <c r="Q4943">
        <v>305</v>
      </c>
      <c r="R4943" s="34">
        <f t="shared" si="80"/>
        <v>0.56267790048955191</v>
      </c>
    </row>
    <row r="4944" spans="16:18" x14ac:dyDescent="0.3">
      <c r="P4944" s="35">
        <v>32.96</v>
      </c>
      <c r="Q4944">
        <v>305</v>
      </c>
      <c r="R4944" s="34">
        <f t="shared" si="80"/>
        <v>0.56279175680288451</v>
      </c>
    </row>
    <row r="4945" spans="16:18" x14ac:dyDescent="0.3">
      <c r="P4945" s="35">
        <v>32.96</v>
      </c>
      <c r="Q4945">
        <v>305</v>
      </c>
      <c r="R4945" s="34">
        <f t="shared" si="80"/>
        <v>0.56290561311621712</v>
      </c>
    </row>
    <row r="4946" spans="16:18" x14ac:dyDescent="0.3">
      <c r="P4946" s="35">
        <v>32.96</v>
      </c>
      <c r="Q4946">
        <v>305</v>
      </c>
      <c r="R4946" s="34">
        <f t="shared" si="80"/>
        <v>0.56301946942954972</v>
      </c>
    </row>
    <row r="4947" spans="16:18" x14ac:dyDescent="0.3">
      <c r="P4947" s="35">
        <v>32.97</v>
      </c>
      <c r="Q4947">
        <v>305</v>
      </c>
      <c r="R4947" s="34">
        <f t="shared" si="80"/>
        <v>0.56313332574288233</v>
      </c>
    </row>
    <row r="4948" spans="16:18" x14ac:dyDescent="0.3">
      <c r="P4948" s="35">
        <v>32.97</v>
      </c>
      <c r="Q4948">
        <v>305</v>
      </c>
      <c r="R4948" s="34">
        <f t="shared" si="80"/>
        <v>0.56324718205621493</v>
      </c>
    </row>
    <row r="4949" spans="16:18" x14ac:dyDescent="0.3">
      <c r="P4949" s="35">
        <v>32.979999999999997</v>
      </c>
      <c r="Q4949">
        <v>305</v>
      </c>
      <c r="R4949" s="34">
        <f t="shared" si="80"/>
        <v>0.56336103836954754</v>
      </c>
    </row>
    <row r="4950" spans="16:18" x14ac:dyDescent="0.3">
      <c r="P4950" s="35">
        <v>32.979999999999997</v>
      </c>
      <c r="Q4950">
        <v>305</v>
      </c>
      <c r="R4950" s="34">
        <f t="shared" si="80"/>
        <v>0.56347489468288015</v>
      </c>
    </row>
    <row r="4951" spans="16:18" x14ac:dyDescent="0.3">
      <c r="P4951" s="35">
        <v>32.979999999999997</v>
      </c>
      <c r="Q4951">
        <v>305</v>
      </c>
      <c r="R4951" s="34">
        <f t="shared" si="80"/>
        <v>0.56358875099621275</v>
      </c>
    </row>
    <row r="4952" spans="16:18" x14ac:dyDescent="0.3">
      <c r="P4952" s="35">
        <v>33</v>
      </c>
      <c r="Q4952">
        <v>305</v>
      </c>
      <c r="R4952" s="34">
        <f t="shared" si="80"/>
        <v>0.56370260730954536</v>
      </c>
    </row>
    <row r="4953" spans="16:18" x14ac:dyDescent="0.3">
      <c r="P4953" s="35">
        <v>33.01</v>
      </c>
      <c r="Q4953">
        <v>305</v>
      </c>
      <c r="R4953" s="34">
        <f t="shared" si="80"/>
        <v>0.56381646362287796</v>
      </c>
    </row>
    <row r="4954" spans="16:18" x14ac:dyDescent="0.3">
      <c r="P4954" s="35">
        <v>33.01</v>
      </c>
      <c r="Q4954">
        <v>305</v>
      </c>
      <c r="R4954" s="34">
        <f t="shared" si="80"/>
        <v>0.56393031993621057</v>
      </c>
    </row>
    <row r="4955" spans="16:18" x14ac:dyDescent="0.3">
      <c r="P4955" s="35">
        <v>33.03</v>
      </c>
      <c r="Q4955">
        <v>305</v>
      </c>
      <c r="R4955" s="34">
        <f t="shared" si="80"/>
        <v>0.56404417624954317</v>
      </c>
    </row>
    <row r="4956" spans="16:18" x14ac:dyDescent="0.3">
      <c r="P4956" s="35">
        <v>33.03</v>
      </c>
      <c r="Q4956">
        <v>305</v>
      </c>
      <c r="R4956" s="34">
        <f t="shared" si="80"/>
        <v>0.56415803256287578</v>
      </c>
    </row>
    <row r="4957" spans="16:18" x14ac:dyDescent="0.3">
      <c r="P4957" s="35">
        <v>33.04</v>
      </c>
      <c r="Q4957">
        <v>305</v>
      </c>
      <c r="R4957" s="34">
        <f t="shared" si="80"/>
        <v>0.56427188887620838</v>
      </c>
    </row>
    <row r="4958" spans="16:18" x14ac:dyDescent="0.3">
      <c r="P4958" s="35">
        <v>33.04</v>
      </c>
      <c r="Q4958">
        <v>305</v>
      </c>
      <c r="R4958" s="34">
        <f t="shared" si="80"/>
        <v>0.56438574518954099</v>
      </c>
    </row>
    <row r="4959" spans="16:18" x14ac:dyDescent="0.3">
      <c r="P4959" s="35">
        <v>33.049999999999997</v>
      </c>
      <c r="Q4959">
        <v>305</v>
      </c>
      <c r="R4959" s="34">
        <f t="shared" si="80"/>
        <v>0.56449960150287359</v>
      </c>
    </row>
    <row r="4960" spans="16:18" x14ac:dyDescent="0.3">
      <c r="P4960" s="35">
        <v>33.049999999999997</v>
      </c>
      <c r="Q4960">
        <v>305</v>
      </c>
      <c r="R4960" s="34">
        <f t="shared" si="80"/>
        <v>0.5646134578162062</v>
      </c>
    </row>
    <row r="4961" spans="16:18" x14ac:dyDescent="0.3">
      <c r="P4961" s="35">
        <v>33.049999999999997</v>
      </c>
      <c r="Q4961">
        <v>305</v>
      </c>
      <c r="R4961" s="34">
        <f t="shared" si="80"/>
        <v>0.5647273141295388</v>
      </c>
    </row>
    <row r="4962" spans="16:18" x14ac:dyDescent="0.3">
      <c r="P4962" s="35">
        <v>33.06</v>
      </c>
      <c r="Q4962">
        <v>305</v>
      </c>
      <c r="R4962" s="34">
        <f t="shared" si="80"/>
        <v>0.56484117044287141</v>
      </c>
    </row>
    <row r="4963" spans="16:18" x14ac:dyDescent="0.3">
      <c r="P4963" s="35">
        <v>33.08</v>
      </c>
      <c r="Q4963">
        <v>305</v>
      </c>
      <c r="R4963" s="34">
        <f t="shared" si="80"/>
        <v>0.56495502675620402</v>
      </c>
    </row>
    <row r="4964" spans="16:18" x14ac:dyDescent="0.3">
      <c r="P4964" s="35">
        <v>33.090000000000003</v>
      </c>
      <c r="Q4964">
        <v>305</v>
      </c>
      <c r="R4964" s="34">
        <f t="shared" si="80"/>
        <v>0.56506888306953662</v>
      </c>
    </row>
    <row r="4965" spans="16:18" x14ac:dyDescent="0.3">
      <c r="P4965" s="35">
        <v>33.1</v>
      </c>
      <c r="Q4965">
        <v>305</v>
      </c>
      <c r="R4965" s="34">
        <f t="shared" si="80"/>
        <v>0.56518273938286923</v>
      </c>
    </row>
    <row r="4966" spans="16:18" x14ac:dyDescent="0.3">
      <c r="P4966" s="35">
        <v>33.1</v>
      </c>
      <c r="Q4966">
        <v>305</v>
      </c>
      <c r="R4966" s="34">
        <f t="shared" si="80"/>
        <v>0.56529659569620183</v>
      </c>
    </row>
    <row r="4967" spans="16:18" x14ac:dyDescent="0.3">
      <c r="P4967" s="35">
        <v>33.1</v>
      </c>
      <c r="Q4967">
        <v>305</v>
      </c>
      <c r="R4967" s="34">
        <f t="shared" si="80"/>
        <v>0.56541045200953444</v>
      </c>
    </row>
    <row r="4968" spans="16:18" x14ac:dyDescent="0.3">
      <c r="P4968" s="35">
        <v>33.11</v>
      </c>
      <c r="Q4968">
        <v>305</v>
      </c>
      <c r="R4968" s="34">
        <f t="shared" si="80"/>
        <v>0.56552430832286704</v>
      </c>
    </row>
    <row r="4969" spans="16:18" x14ac:dyDescent="0.3">
      <c r="P4969" s="35">
        <v>33.11</v>
      </c>
      <c r="Q4969">
        <v>305</v>
      </c>
      <c r="R4969" s="34">
        <f t="shared" si="80"/>
        <v>0.56563816463619965</v>
      </c>
    </row>
    <row r="4970" spans="16:18" x14ac:dyDescent="0.3">
      <c r="P4970" s="35">
        <v>33.119999999999997</v>
      </c>
      <c r="Q4970">
        <v>305</v>
      </c>
      <c r="R4970" s="34">
        <f t="shared" si="80"/>
        <v>0.56575202094953225</v>
      </c>
    </row>
    <row r="4971" spans="16:18" x14ac:dyDescent="0.3">
      <c r="P4971" s="35">
        <v>33.119999999999997</v>
      </c>
      <c r="Q4971">
        <v>305</v>
      </c>
      <c r="R4971" s="34">
        <f t="shared" si="80"/>
        <v>0.56586587726286486</v>
      </c>
    </row>
    <row r="4972" spans="16:18" x14ac:dyDescent="0.3">
      <c r="P4972" s="35">
        <v>33.14</v>
      </c>
      <c r="Q4972">
        <v>305</v>
      </c>
      <c r="R4972" s="34">
        <f t="shared" si="80"/>
        <v>0.56597973357619746</v>
      </c>
    </row>
    <row r="4973" spans="16:18" x14ac:dyDescent="0.3">
      <c r="P4973" s="35">
        <v>33.14</v>
      </c>
      <c r="Q4973">
        <v>305</v>
      </c>
      <c r="R4973" s="34">
        <f t="shared" si="80"/>
        <v>0.56609358988953007</v>
      </c>
    </row>
    <row r="4974" spans="16:18" x14ac:dyDescent="0.3">
      <c r="P4974" s="35">
        <v>33.15</v>
      </c>
      <c r="Q4974">
        <v>305</v>
      </c>
      <c r="R4974" s="34">
        <f t="shared" si="80"/>
        <v>0.56620744620286267</v>
      </c>
    </row>
    <row r="4975" spans="16:18" x14ac:dyDescent="0.3">
      <c r="P4975" s="35">
        <v>33.15</v>
      </c>
      <c r="Q4975">
        <v>305</v>
      </c>
      <c r="R4975" s="34">
        <f t="shared" si="80"/>
        <v>0.56632130251619528</v>
      </c>
    </row>
    <row r="4976" spans="16:18" x14ac:dyDescent="0.3">
      <c r="P4976" s="35">
        <v>33.159999999999997</v>
      </c>
      <c r="Q4976">
        <v>305</v>
      </c>
      <c r="R4976" s="34">
        <f t="shared" si="80"/>
        <v>0.56643515882952788</v>
      </c>
    </row>
    <row r="4977" spans="16:18" x14ac:dyDescent="0.3">
      <c r="P4977" s="35">
        <v>33.159999999999997</v>
      </c>
      <c r="Q4977">
        <v>305</v>
      </c>
      <c r="R4977" s="34">
        <f t="shared" si="80"/>
        <v>0.56654901514286049</v>
      </c>
    </row>
    <row r="4978" spans="16:18" x14ac:dyDescent="0.3">
      <c r="P4978" s="35">
        <v>33.159999999999997</v>
      </c>
      <c r="Q4978">
        <v>305</v>
      </c>
      <c r="R4978" s="34">
        <f t="shared" si="80"/>
        <v>0.5666628714561931</v>
      </c>
    </row>
    <row r="4979" spans="16:18" x14ac:dyDescent="0.3">
      <c r="P4979" s="35">
        <v>33.159999999999997</v>
      </c>
      <c r="Q4979">
        <v>305</v>
      </c>
      <c r="R4979" s="34">
        <f t="shared" si="80"/>
        <v>0.5667767277695257</v>
      </c>
    </row>
    <row r="4980" spans="16:18" x14ac:dyDescent="0.3">
      <c r="P4980" s="35">
        <v>33.159999999999997</v>
      </c>
      <c r="Q4980">
        <v>305</v>
      </c>
      <c r="R4980" s="34">
        <f t="shared" si="80"/>
        <v>0.56689058408285831</v>
      </c>
    </row>
    <row r="4981" spans="16:18" x14ac:dyDescent="0.3">
      <c r="P4981" s="35">
        <v>33.159999999999997</v>
      </c>
      <c r="Q4981">
        <v>305</v>
      </c>
      <c r="R4981" s="34">
        <f t="shared" si="80"/>
        <v>0.56700444039619091</v>
      </c>
    </row>
    <row r="4982" spans="16:18" x14ac:dyDescent="0.3">
      <c r="P4982" s="35">
        <v>33.17</v>
      </c>
      <c r="Q4982">
        <v>305</v>
      </c>
      <c r="R4982" s="34">
        <f t="shared" si="80"/>
        <v>0.56711829670952352</v>
      </c>
    </row>
    <row r="4983" spans="16:18" x14ac:dyDescent="0.3">
      <c r="P4983" s="35">
        <v>33.17</v>
      </c>
      <c r="Q4983">
        <v>305</v>
      </c>
      <c r="R4983" s="34">
        <f t="shared" si="80"/>
        <v>0.56723215302285612</v>
      </c>
    </row>
    <row r="4984" spans="16:18" x14ac:dyDescent="0.3">
      <c r="P4984" s="35">
        <v>33.18</v>
      </c>
      <c r="Q4984">
        <v>305</v>
      </c>
      <c r="R4984" s="34">
        <f t="shared" si="80"/>
        <v>0.56734600933618873</v>
      </c>
    </row>
    <row r="4985" spans="16:18" x14ac:dyDescent="0.3">
      <c r="P4985" s="35">
        <v>33.18</v>
      </c>
      <c r="Q4985">
        <v>305</v>
      </c>
      <c r="R4985" s="34">
        <f t="shared" si="80"/>
        <v>0.56745986564952133</v>
      </c>
    </row>
    <row r="4986" spans="16:18" x14ac:dyDescent="0.3">
      <c r="P4986" s="35">
        <v>33.200000000000003</v>
      </c>
      <c r="Q4986">
        <v>305</v>
      </c>
      <c r="R4986" s="34">
        <f t="shared" si="80"/>
        <v>0.56757372196285394</v>
      </c>
    </row>
    <row r="4987" spans="16:18" x14ac:dyDescent="0.3">
      <c r="P4987" s="35">
        <v>33.200000000000003</v>
      </c>
      <c r="Q4987">
        <v>305</v>
      </c>
      <c r="R4987" s="34">
        <f t="shared" si="80"/>
        <v>0.56768757827618654</v>
      </c>
    </row>
    <row r="4988" spans="16:18" x14ac:dyDescent="0.3">
      <c r="P4988" s="35">
        <v>33.21</v>
      </c>
      <c r="Q4988">
        <v>305</v>
      </c>
      <c r="R4988" s="34">
        <f t="shared" si="80"/>
        <v>0.56780143458951915</v>
      </c>
    </row>
    <row r="4989" spans="16:18" x14ac:dyDescent="0.3">
      <c r="P4989" s="35">
        <v>33.21</v>
      </c>
      <c r="Q4989">
        <v>305</v>
      </c>
      <c r="R4989" s="34">
        <f t="shared" si="80"/>
        <v>0.56791529090285175</v>
      </c>
    </row>
    <row r="4990" spans="16:18" x14ac:dyDescent="0.3">
      <c r="P4990" s="35">
        <v>33.22</v>
      </c>
      <c r="Q4990">
        <v>305</v>
      </c>
      <c r="R4990" s="34">
        <f t="shared" si="80"/>
        <v>0.56802914721618436</v>
      </c>
    </row>
    <row r="4991" spans="16:18" x14ac:dyDescent="0.3">
      <c r="P4991" s="35">
        <v>33.22</v>
      </c>
      <c r="Q4991">
        <v>305</v>
      </c>
      <c r="R4991" s="34">
        <f t="shared" si="80"/>
        <v>0.56814300352951697</v>
      </c>
    </row>
    <row r="4992" spans="16:18" x14ac:dyDescent="0.3">
      <c r="P4992" s="35">
        <v>33.22</v>
      </c>
      <c r="Q4992">
        <v>305</v>
      </c>
      <c r="R4992" s="34">
        <f t="shared" si="80"/>
        <v>0.56825685984284957</v>
      </c>
    </row>
    <row r="4993" spans="16:18" x14ac:dyDescent="0.3">
      <c r="P4993" s="35">
        <v>33.229999999999997</v>
      </c>
      <c r="Q4993">
        <v>305</v>
      </c>
      <c r="R4993" s="34">
        <f t="shared" si="80"/>
        <v>0.56837071615618218</v>
      </c>
    </row>
    <row r="4994" spans="16:18" x14ac:dyDescent="0.3">
      <c r="P4994" s="35">
        <v>33.229999999999997</v>
      </c>
      <c r="Q4994">
        <v>305</v>
      </c>
      <c r="R4994" s="34">
        <f t="shared" si="80"/>
        <v>0.56848457246951478</v>
      </c>
    </row>
    <row r="4995" spans="16:18" x14ac:dyDescent="0.3">
      <c r="P4995" s="35">
        <v>33.229999999999997</v>
      </c>
      <c r="Q4995">
        <v>305</v>
      </c>
      <c r="R4995" s="34">
        <f t="shared" si="80"/>
        <v>0.56859842878284739</v>
      </c>
    </row>
    <row r="4996" spans="16:18" x14ac:dyDescent="0.3">
      <c r="P4996" s="35">
        <v>33.25</v>
      </c>
      <c r="Q4996">
        <v>305</v>
      </c>
      <c r="R4996" s="34">
        <f t="shared" ref="R4996:R5059" si="81">R4995+R$2</f>
        <v>0.56871228509617999</v>
      </c>
    </row>
    <row r="4997" spans="16:18" x14ac:dyDescent="0.3">
      <c r="P4997" s="35">
        <v>33.25</v>
      </c>
      <c r="Q4997">
        <v>305</v>
      </c>
      <c r="R4997" s="34">
        <f t="shared" si="81"/>
        <v>0.5688261414095126</v>
      </c>
    </row>
    <row r="4998" spans="16:18" x14ac:dyDescent="0.3">
      <c r="P4998" s="35">
        <v>33.26</v>
      </c>
      <c r="Q4998">
        <v>305</v>
      </c>
      <c r="R4998" s="34">
        <f t="shared" si="81"/>
        <v>0.5689399977228452</v>
      </c>
    </row>
    <row r="4999" spans="16:18" x14ac:dyDescent="0.3">
      <c r="P4999" s="35">
        <v>33.270000000000003</v>
      </c>
      <c r="Q4999">
        <v>305</v>
      </c>
      <c r="R4999" s="34">
        <f t="shared" si="81"/>
        <v>0.56905385403617781</v>
      </c>
    </row>
    <row r="5000" spans="16:18" x14ac:dyDescent="0.3">
      <c r="P5000" s="35">
        <v>33.28</v>
      </c>
      <c r="Q5000">
        <v>305</v>
      </c>
      <c r="R5000" s="34">
        <f t="shared" si="81"/>
        <v>0.56916771034951041</v>
      </c>
    </row>
    <row r="5001" spans="16:18" x14ac:dyDescent="0.3">
      <c r="P5001" s="35">
        <v>33.29</v>
      </c>
      <c r="Q5001">
        <v>305</v>
      </c>
      <c r="R5001" s="34">
        <f t="shared" si="81"/>
        <v>0.56928156666284302</v>
      </c>
    </row>
    <row r="5002" spans="16:18" x14ac:dyDescent="0.3">
      <c r="P5002" s="35">
        <v>33.29</v>
      </c>
      <c r="Q5002">
        <v>305</v>
      </c>
      <c r="R5002" s="34">
        <f t="shared" si="81"/>
        <v>0.56939542297617562</v>
      </c>
    </row>
    <row r="5003" spans="16:18" x14ac:dyDescent="0.3">
      <c r="P5003" s="35">
        <v>33.29</v>
      </c>
      <c r="Q5003">
        <v>305</v>
      </c>
      <c r="R5003" s="34">
        <f t="shared" si="81"/>
        <v>0.56950927928950823</v>
      </c>
    </row>
    <row r="5004" spans="16:18" x14ac:dyDescent="0.3">
      <c r="P5004" s="35">
        <v>33.32</v>
      </c>
      <c r="Q5004">
        <v>305</v>
      </c>
      <c r="R5004" s="34">
        <f t="shared" si="81"/>
        <v>0.56962313560284084</v>
      </c>
    </row>
    <row r="5005" spans="16:18" x14ac:dyDescent="0.3">
      <c r="P5005" s="35">
        <v>33.32</v>
      </c>
      <c r="Q5005">
        <v>305</v>
      </c>
      <c r="R5005" s="34">
        <f t="shared" si="81"/>
        <v>0.56973699191617344</v>
      </c>
    </row>
    <row r="5006" spans="16:18" x14ac:dyDescent="0.3">
      <c r="P5006" s="35">
        <v>33.32</v>
      </c>
      <c r="Q5006">
        <v>305</v>
      </c>
      <c r="R5006" s="34">
        <f t="shared" si="81"/>
        <v>0.56985084822950605</v>
      </c>
    </row>
    <row r="5007" spans="16:18" x14ac:dyDescent="0.3">
      <c r="P5007" s="35">
        <v>33.32</v>
      </c>
      <c r="Q5007">
        <v>305</v>
      </c>
      <c r="R5007" s="34">
        <f t="shared" si="81"/>
        <v>0.56996470454283865</v>
      </c>
    </row>
    <row r="5008" spans="16:18" x14ac:dyDescent="0.3">
      <c r="P5008" s="35">
        <v>33.33</v>
      </c>
      <c r="Q5008">
        <v>305</v>
      </c>
      <c r="R5008" s="34">
        <f t="shared" si="81"/>
        <v>0.57007856085617126</v>
      </c>
    </row>
    <row r="5009" spans="16:18" x14ac:dyDescent="0.3">
      <c r="P5009" s="35">
        <v>33.33</v>
      </c>
      <c r="Q5009">
        <v>305</v>
      </c>
      <c r="R5009" s="34">
        <f t="shared" si="81"/>
        <v>0.57019241716950386</v>
      </c>
    </row>
    <row r="5010" spans="16:18" x14ac:dyDescent="0.3">
      <c r="P5010" s="35">
        <v>33.340000000000003</v>
      </c>
      <c r="Q5010">
        <v>305</v>
      </c>
      <c r="R5010" s="34">
        <f t="shared" si="81"/>
        <v>0.57030627348283647</v>
      </c>
    </row>
    <row r="5011" spans="16:18" x14ac:dyDescent="0.3">
      <c r="P5011" s="35">
        <v>33.35</v>
      </c>
      <c r="Q5011">
        <v>305</v>
      </c>
      <c r="R5011" s="34">
        <f t="shared" si="81"/>
        <v>0.57042012979616907</v>
      </c>
    </row>
    <row r="5012" spans="16:18" x14ac:dyDescent="0.3">
      <c r="P5012" s="35">
        <v>33.36</v>
      </c>
      <c r="Q5012">
        <v>305</v>
      </c>
      <c r="R5012" s="34">
        <f t="shared" si="81"/>
        <v>0.57053398610950168</v>
      </c>
    </row>
    <row r="5013" spans="16:18" x14ac:dyDescent="0.3">
      <c r="P5013" s="35">
        <v>33.369999999999997</v>
      </c>
      <c r="Q5013">
        <v>305</v>
      </c>
      <c r="R5013" s="34">
        <f t="shared" si="81"/>
        <v>0.57064784242283428</v>
      </c>
    </row>
    <row r="5014" spans="16:18" x14ac:dyDescent="0.3">
      <c r="P5014" s="35">
        <v>33.369999999999997</v>
      </c>
      <c r="Q5014">
        <v>305</v>
      </c>
      <c r="R5014" s="34">
        <f t="shared" si="81"/>
        <v>0.57076169873616689</v>
      </c>
    </row>
    <row r="5015" spans="16:18" x14ac:dyDescent="0.3">
      <c r="P5015" s="35">
        <v>33.369999999999997</v>
      </c>
      <c r="Q5015">
        <v>305</v>
      </c>
      <c r="R5015" s="34">
        <f t="shared" si="81"/>
        <v>0.57087555504949949</v>
      </c>
    </row>
    <row r="5016" spans="16:18" x14ac:dyDescent="0.3">
      <c r="P5016" s="35">
        <v>33.380000000000003</v>
      </c>
      <c r="Q5016">
        <v>305</v>
      </c>
      <c r="R5016" s="34">
        <f t="shared" si="81"/>
        <v>0.5709894113628321</v>
      </c>
    </row>
    <row r="5017" spans="16:18" x14ac:dyDescent="0.3">
      <c r="P5017" s="35">
        <v>33.380000000000003</v>
      </c>
      <c r="Q5017">
        <v>305</v>
      </c>
      <c r="R5017" s="34">
        <f t="shared" si="81"/>
        <v>0.57110326767616471</v>
      </c>
    </row>
    <row r="5018" spans="16:18" x14ac:dyDescent="0.3">
      <c r="P5018" s="35">
        <v>33.39</v>
      </c>
      <c r="Q5018">
        <v>305</v>
      </c>
      <c r="R5018" s="34">
        <f t="shared" si="81"/>
        <v>0.57121712398949731</v>
      </c>
    </row>
    <row r="5019" spans="16:18" x14ac:dyDescent="0.3">
      <c r="P5019" s="35">
        <v>33.409999999999997</v>
      </c>
      <c r="Q5019">
        <v>305</v>
      </c>
      <c r="R5019" s="34">
        <f t="shared" si="81"/>
        <v>0.57133098030282992</v>
      </c>
    </row>
    <row r="5020" spans="16:18" x14ac:dyDescent="0.3">
      <c r="P5020" s="35">
        <v>33.42</v>
      </c>
      <c r="Q5020">
        <v>305</v>
      </c>
      <c r="R5020" s="34">
        <f t="shared" si="81"/>
        <v>0.57144483661616252</v>
      </c>
    </row>
    <row r="5021" spans="16:18" x14ac:dyDescent="0.3">
      <c r="P5021" s="35">
        <v>33.43</v>
      </c>
      <c r="Q5021">
        <v>305</v>
      </c>
      <c r="R5021" s="34">
        <f t="shared" si="81"/>
        <v>0.57155869292949513</v>
      </c>
    </row>
    <row r="5022" spans="16:18" x14ac:dyDescent="0.3">
      <c r="P5022" s="35">
        <v>33.43</v>
      </c>
      <c r="Q5022">
        <v>305</v>
      </c>
      <c r="R5022" s="34">
        <f t="shared" si="81"/>
        <v>0.57167254924282773</v>
      </c>
    </row>
    <row r="5023" spans="16:18" x14ac:dyDescent="0.3">
      <c r="P5023" s="35">
        <v>33.43</v>
      </c>
      <c r="Q5023">
        <v>305</v>
      </c>
      <c r="R5023" s="34">
        <f t="shared" si="81"/>
        <v>0.57178640555616034</v>
      </c>
    </row>
    <row r="5024" spans="16:18" x14ac:dyDescent="0.3">
      <c r="P5024" s="35">
        <v>33.43</v>
      </c>
      <c r="Q5024">
        <v>305</v>
      </c>
      <c r="R5024" s="34">
        <f t="shared" si="81"/>
        <v>0.57190026186949294</v>
      </c>
    </row>
    <row r="5025" spans="16:18" x14ac:dyDescent="0.3">
      <c r="P5025" s="35">
        <v>33.450000000000003</v>
      </c>
      <c r="Q5025">
        <v>305</v>
      </c>
      <c r="R5025" s="34">
        <f t="shared" si="81"/>
        <v>0.57201411818282555</v>
      </c>
    </row>
    <row r="5026" spans="16:18" x14ac:dyDescent="0.3">
      <c r="P5026" s="35">
        <v>33.46</v>
      </c>
      <c r="Q5026">
        <v>305</v>
      </c>
      <c r="R5026" s="34">
        <f t="shared" si="81"/>
        <v>0.57212797449615815</v>
      </c>
    </row>
    <row r="5027" spans="16:18" x14ac:dyDescent="0.3">
      <c r="P5027" s="35">
        <v>33.46</v>
      </c>
      <c r="Q5027">
        <v>305</v>
      </c>
      <c r="R5027" s="34">
        <f t="shared" si="81"/>
        <v>0.57224183080949076</v>
      </c>
    </row>
    <row r="5028" spans="16:18" x14ac:dyDescent="0.3">
      <c r="P5028" s="35">
        <v>33.49</v>
      </c>
      <c r="Q5028">
        <v>305</v>
      </c>
      <c r="R5028" s="34">
        <f t="shared" si="81"/>
        <v>0.57235568712282336</v>
      </c>
    </row>
    <row r="5029" spans="16:18" x14ac:dyDescent="0.3">
      <c r="P5029" s="35">
        <v>33.49</v>
      </c>
      <c r="Q5029">
        <v>305</v>
      </c>
      <c r="R5029" s="34">
        <f t="shared" si="81"/>
        <v>0.57246954343615597</v>
      </c>
    </row>
    <row r="5030" spans="16:18" x14ac:dyDescent="0.3">
      <c r="P5030" s="35">
        <v>33.49</v>
      </c>
      <c r="Q5030">
        <v>305</v>
      </c>
      <c r="R5030" s="34">
        <f t="shared" si="81"/>
        <v>0.57258339974948858</v>
      </c>
    </row>
    <row r="5031" spans="16:18" x14ac:dyDescent="0.3">
      <c r="P5031" s="35">
        <v>33.49</v>
      </c>
      <c r="Q5031">
        <v>305</v>
      </c>
      <c r="R5031" s="34">
        <f t="shared" si="81"/>
        <v>0.57269725606282118</v>
      </c>
    </row>
    <row r="5032" spans="16:18" x14ac:dyDescent="0.3">
      <c r="P5032" s="35">
        <v>33.5</v>
      </c>
      <c r="Q5032">
        <v>305</v>
      </c>
      <c r="R5032" s="34">
        <f t="shared" si="81"/>
        <v>0.57281111237615379</v>
      </c>
    </row>
    <row r="5033" spans="16:18" x14ac:dyDescent="0.3">
      <c r="P5033" s="35">
        <v>33.51</v>
      </c>
      <c r="Q5033">
        <v>305</v>
      </c>
      <c r="R5033" s="34">
        <f t="shared" si="81"/>
        <v>0.57292496868948639</v>
      </c>
    </row>
    <row r="5034" spans="16:18" x14ac:dyDescent="0.3">
      <c r="P5034" s="35">
        <v>33.51</v>
      </c>
      <c r="Q5034">
        <v>305</v>
      </c>
      <c r="R5034" s="34">
        <f t="shared" si="81"/>
        <v>0.573038825002819</v>
      </c>
    </row>
    <row r="5035" spans="16:18" x14ac:dyDescent="0.3">
      <c r="P5035" s="35">
        <v>33.51</v>
      </c>
      <c r="Q5035">
        <v>305</v>
      </c>
      <c r="R5035" s="34">
        <f t="shared" si="81"/>
        <v>0.5731526813161516</v>
      </c>
    </row>
    <row r="5036" spans="16:18" x14ac:dyDescent="0.3">
      <c r="P5036" s="35">
        <v>33.53</v>
      </c>
      <c r="Q5036">
        <v>305</v>
      </c>
      <c r="R5036" s="34">
        <f t="shared" si="81"/>
        <v>0.57326653762948421</v>
      </c>
    </row>
    <row r="5037" spans="16:18" x14ac:dyDescent="0.3">
      <c r="P5037" s="35">
        <v>33.549999999999997</v>
      </c>
      <c r="Q5037">
        <v>305</v>
      </c>
      <c r="R5037" s="34">
        <f t="shared" si="81"/>
        <v>0.57338039394281681</v>
      </c>
    </row>
    <row r="5038" spans="16:18" x14ac:dyDescent="0.3">
      <c r="P5038" s="35">
        <v>33.549999999999997</v>
      </c>
      <c r="Q5038">
        <v>305</v>
      </c>
      <c r="R5038" s="34">
        <f t="shared" si="81"/>
        <v>0.57349425025614942</v>
      </c>
    </row>
    <row r="5039" spans="16:18" x14ac:dyDescent="0.3">
      <c r="P5039" s="35">
        <v>33.549999999999997</v>
      </c>
      <c r="Q5039">
        <v>305</v>
      </c>
      <c r="R5039" s="34">
        <f t="shared" si="81"/>
        <v>0.57360810656948202</v>
      </c>
    </row>
    <row r="5040" spans="16:18" x14ac:dyDescent="0.3">
      <c r="P5040" s="35">
        <v>33.549999999999997</v>
      </c>
      <c r="Q5040">
        <v>305</v>
      </c>
      <c r="R5040" s="34">
        <f t="shared" si="81"/>
        <v>0.57372196288281463</v>
      </c>
    </row>
    <row r="5041" spans="16:18" x14ac:dyDescent="0.3">
      <c r="P5041" s="35">
        <v>33.56</v>
      </c>
      <c r="Q5041">
        <v>305</v>
      </c>
      <c r="R5041" s="34">
        <f t="shared" si="81"/>
        <v>0.57383581919614723</v>
      </c>
    </row>
    <row r="5042" spans="16:18" x14ac:dyDescent="0.3">
      <c r="P5042" s="35">
        <v>33.57</v>
      </c>
      <c r="Q5042">
        <v>305</v>
      </c>
      <c r="R5042" s="34">
        <f t="shared" si="81"/>
        <v>0.57394967550947984</v>
      </c>
    </row>
    <row r="5043" spans="16:18" x14ac:dyDescent="0.3">
      <c r="P5043" s="35">
        <v>33.57</v>
      </c>
      <c r="Q5043">
        <v>305</v>
      </c>
      <c r="R5043" s="34">
        <f t="shared" si="81"/>
        <v>0.57406353182281245</v>
      </c>
    </row>
    <row r="5044" spans="16:18" x14ac:dyDescent="0.3">
      <c r="P5044" s="35">
        <v>33.57</v>
      </c>
      <c r="Q5044">
        <v>305</v>
      </c>
      <c r="R5044" s="34">
        <f t="shared" si="81"/>
        <v>0.57417738813614505</v>
      </c>
    </row>
    <row r="5045" spans="16:18" x14ac:dyDescent="0.3">
      <c r="P5045" s="35">
        <v>33.58</v>
      </c>
      <c r="Q5045">
        <v>305</v>
      </c>
      <c r="R5045" s="34">
        <f t="shared" si="81"/>
        <v>0.57429124444947766</v>
      </c>
    </row>
    <row r="5046" spans="16:18" x14ac:dyDescent="0.3">
      <c r="P5046" s="35">
        <v>33.58</v>
      </c>
      <c r="Q5046">
        <v>305</v>
      </c>
      <c r="R5046" s="34">
        <f t="shared" si="81"/>
        <v>0.57440510076281026</v>
      </c>
    </row>
    <row r="5047" spans="16:18" x14ac:dyDescent="0.3">
      <c r="P5047" s="35">
        <v>33.590000000000003</v>
      </c>
      <c r="Q5047">
        <v>305</v>
      </c>
      <c r="R5047" s="34">
        <f t="shared" si="81"/>
        <v>0.57451895707614287</v>
      </c>
    </row>
    <row r="5048" spans="16:18" x14ac:dyDescent="0.3">
      <c r="P5048" s="35">
        <v>33.6</v>
      </c>
      <c r="Q5048">
        <v>305</v>
      </c>
      <c r="R5048" s="34">
        <f t="shared" si="81"/>
        <v>0.57463281338947547</v>
      </c>
    </row>
    <row r="5049" spans="16:18" x14ac:dyDescent="0.3">
      <c r="P5049" s="35">
        <v>33.6</v>
      </c>
      <c r="Q5049">
        <v>305</v>
      </c>
      <c r="R5049" s="34">
        <f t="shared" si="81"/>
        <v>0.57474666970280808</v>
      </c>
    </row>
    <row r="5050" spans="16:18" x14ac:dyDescent="0.3">
      <c r="P5050" s="35">
        <v>33.6</v>
      </c>
      <c r="Q5050">
        <v>305</v>
      </c>
      <c r="R5050" s="34">
        <f t="shared" si="81"/>
        <v>0.57486052601614068</v>
      </c>
    </row>
    <row r="5051" spans="16:18" x14ac:dyDescent="0.3">
      <c r="P5051" s="35">
        <v>33.61</v>
      </c>
      <c r="Q5051">
        <v>305</v>
      </c>
      <c r="R5051" s="34">
        <f t="shared" si="81"/>
        <v>0.57497438232947329</v>
      </c>
    </row>
    <row r="5052" spans="16:18" x14ac:dyDescent="0.3">
      <c r="P5052" s="35">
        <v>33.61</v>
      </c>
      <c r="Q5052">
        <v>305</v>
      </c>
      <c r="R5052" s="34">
        <f t="shared" si="81"/>
        <v>0.57508823864280589</v>
      </c>
    </row>
    <row r="5053" spans="16:18" x14ac:dyDescent="0.3">
      <c r="P5053" s="35">
        <v>33.61</v>
      </c>
      <c r="Q5053">
        <v>305</v>
      </c>
      <c r="R5053" s="34">
        <f t="shared" si="81"/>
        <v>0.5752020949561385</v>
      </c>
    </row>
    <row r="5054" spans="16:18" x14ac:dyDescent="0.3">
      <c r="P5054" s="35">
        <v>33.61</v>
      </c>
      <c r="Q5054">
        <v>305</v>
      </c>
      <c r="R5054" s="34">
        <f t="shared" si="81"/>
        <v>0.5753159512694711</v>
      </c>
    </row>
    <row r="5055" spans="16:18" x14ac:dyDescent="0.3">
      <c r="P5055" s="35">
        <v>33.619999999999997</v>
      </c>
      <c r="Q5055">
        <v>305</v>
      </c>
      <c r="R5055" s="34">
        <f t="shared" si="81"/>
        <v>0.57542980758280371</v>
      </c>
    </row>
    <row r="5056" spans="16:18" x14ac:dyDescent="0.3">
      <c r="P5056" s="35">
        <v>33.619999999999997</v>
      </c>
      <c r="Q5056">
        <v>305</v>
      </c>
      <c r="R5056" s="34">
        <f t="shared" si="81"/>
        <v>0.57554366389613631</v>
      </c>
    </row>
    <row r="5057" spans="16:18" x14ac:dyDescent="0.3">
      <c r="P5057" s="35">
        <v>33.619999999999997</v>
      </c>
      <c r="Q5057">
        <v>305</v>
      </c>
      <c r="R5057" s="34">
        <f t="shared" si="81"/>
        <v>0.57565752020946892</v>
      </c>
    </row>
    <row r="5058" spans="16:18" x14ac:dyDescent="0.3">
      <c r="P5058" s="35">
        <v>33.630000000000003</v>
      </c>
      <c r="Q5058">
        <v>305</v>
      </c>
      <c r="R5058" s="34">
        <f t="shared" si="81"/>
        <v>0.57577137652280153</v>
      </c>
    </row>
    <row r="5059" spans="16:18" x14ac:dyDescent="0.3">
      <c r="P5059" s="35">
        <v>33.64</v>
      </c>
      <c r="Q5059">
        <v>305</v>
      </c>
      <c r="R5059" s="34">
        <f t="shared" si="81"/>
        <v>0.57588523283613413</v>
      </c>
    </row>
    <row r="5060" spans="16:18" x14ac:dyDescent="0.3">
      <c r="P5060" s="35">
        <v>33.64</v>
      </c>
      <c r="Q5060">
        <v>305</v>
      </c>
      <c r="R5060" s="34">
        <f t="shared" ref="R5060:R5123" si="82">R5059+R$2</f>
        <v>0.57599908914946674</v>
      </c>
    </row>
    <row r="5061" spans="16:18" x14ac:dyDescent="0.3">
      <c r="P5061" s="35">
        <v>33.65</v>
      </c>
      <c r="Q5061">
        <v>305</v>
      </c>
      <c r="R5061" s="34">
        <f t="shared" si="82"/>
        <v>0.57611294546279934</v>
      </c>
    </row>
    <row r="5062" spans="16:18" x14ac:dyDescent="0.3">
      <c r="P5062" s="35">
        <v>33.659999999999997</v>
      </c>
      <c r="Q5062">
        <v>305</v>
      </c>
      <c r="R5062" s="34">
        <f t="shared" si="82"/>
        <v>0.57622680177613195</v>
      </c>
    </row>
    <row r="5063" spans="16:18" x14ac:dyDescent="0.3">
      <c r="P5063" s="35">
        <v>33.659999999999997</v>
      </c>
      <c r="Q5063">
        <v>305</v>
      </c>
      <c r="R5063" s="34">
        <f t="shared" si="82"/>
        <v>0.57634065808946455</v>
      </c>
    </row>
    <row r="5064" spans="16:18" x14ac:dyDescent="0.3">
      <c r="P5064" s="35">
        <v>33.659999999999997</v>
      </c>
      <c r="Q5064">
        <v>305</v>
      </c>
      <c r="R5064" s="34">
        <f t="shared" si="82"/>
        <v>0.57645451440279716</v>
      </c>
    </row>
    <row r="5065" spans="16:18" x14ac:dyDescent="0.3">
      <c r="P5065" s="35">
        <v>33.67</v>
      </c>
      <c r="Q5065">
        <v>305</v>
      </c>
      <c r="R5065" s="34">
        <f t="shared" si="82"/>
        <v>0.57656837071612976</v>
      </c>
    </row>
    <row r="5066" spans="16:18" x14ac:dyDescent="0.3">
      <c r="P5066" s="35">
        <v>33.67</v>
      </c>
      <c r="Q5066">
        <v>305</v>
      </c>
      <c r="R5066" s="34">
        <f t="shared" si="82"/>
        <v>0.57668222702946237</v>
      </c>
    </row>
    <row r="5067" spans="16:18" x14ac:dyDescent="0.3">
      <c r="P5067" s="35">
        <v>33.67</v>
      </c>
      <c r="Q5067">
        <v>305</v>
      </c>
      <c r="R5067" s="34">
        <f t="shared" si="82"/>
        <v>0.57679608334279497</v>
      </c>
    </row>
    <row r="5068" spans="16:18" x14ac:dyDescent="0.3">
      <c r="P5068" s="35">
        <v>33.67</v>
      </c>
      <c r="Q5068">
        <v>305</v>
      </c>
      <c r="R5068" s="34">
        <f t="shared" si="82"/>
        <v>0.57690993965612758</v>
      </c>
    </row>
    <row r="5069" spans="16:18" x14ac:dyDescent="0.3">
      <c r="P5069" s="35">
        <v>33.69</v>
      </c>
      <c r="Q5069">
        <v>305</v>
      </c>
      <c r="R5069" s="34">
        <f t="shared" si="82"/>
        <v>0.57702379596946018</v>
      </c>
    </row>
    <row r="5070" spans="16:18" x14ac:dyDescent="0.3">
      <c r="P5070" s="35">
        <v>33.69</v>
      </c>
      <c r="Q5070">
        <v>305</v>
      </c>
      <c r="R5070" s="34">
        <f t="shared" si="82"/>
        <v>0.57713765228279279</v>
      </c>
    </row>
    <row r="5071" spans="16:18" x14ac:dyDescent="0.3">
      <c r="P5071" s="35">
        <v>33.69</v>
      </c>
      <c r="Q5071">
        <v>305</v>
      </c>
      <c r="R5071" s="34">
        <f t="shared" si="82"/>
        <v>0.5772515085961254</v>
      </c>
    </row>
    <row r="5072" spans="16:18" x14ac:dyDescent="0.3">
      <c r="P5072" s="35">
        <v>33.71</v>
      </c>
      <c r="Q5072">
        <v>305</v>
      </c>
      <c r="R5072" s="34">
        <f t="shared" si="82"/>
        <v>0.577365364909458</v>
      </c>
    </row>
    <row r="5073" spans="16:18" x14ac:dyDescent="0.3">
      <c r="P5073" s="35">
        <v>33.72</v>
      </c>
      <c r="Q5073">
        <v>305</v>
      </c>
      <c r="R5073" s="34">
        <f t="shared" si="82"/>
        <v>0.57747922122279061</v>
      </c>
    </row>
    <row r="5074" spans="16:18" x14ac:dyDescent="0.3">
      <c r="P5074" s="35">
        <v>33.72</v>
      </c>
      <c r="Q5074">
        <v>305</v>
      </c>
      <c r="R5074" s="34">
        <f t="shared" si="82"/>
        <v>0.57759307753612321</v>
      </c>
    </row>
    <row r="5075" spans="16:18" x14ac:dyDescent="0.3">
      <c r="P5075" s="35">
        <v>33.72</v>
      </c>
      <c r="Q5075">
        <v>305</v>
      </c>
      <c r="R5075" s="34">
        <f t="shared" si="82"/>
        <v>0.57770693384945582</v>
      </c>
    </row>
    <row r="5076" spans="16:18" x14ac:dyDescent="0.3">
      <c r="P5076" s="35">
        <v>33.729999999999997</v>
      </c>
      <c r="Q5076">
        <v>305</v>
      </c>
      <c r="R5076" s="34">
        <f t="shared" si="82"/>
        <v>0.57782079016278842</v>
      </c>
    </row>
    <row r="5077" spans="16:18" x14ac:dyDescent="0.3">
      <c r="P5077" s="35">
        <v>33.729999999999997</v>
      </c>
      <c r="Q5077">
        <v>305</v>
      </c>
      <c r="R5077" s="34">
        <f t="shared" si="82"/>
        <v>0.57793464647612103</v>
      </c>
    </row>
    <row r="5078" spans="16:18" x14ac:dyDescent="0.3">
      <c r="P5078" s="35">
        <v>33.74</v>
      </c>
      <c r="Q5078">
        <v>305</v>
      </c>
      <c r="R5078" s="34">
        <f t="shared" si="82"/>
        <v>0.57804850278945363</v>
      </c>
    </row>
    <row r="5079" spans="16:18" x14ac:dyDescent="0.3">
      <c r="P5079" s="35">
        <v>33.74</v>
      </c>
      <c r="Q5079">
        <v>305</v>
      </c>
      <c r="R5079" s="34">
        <f t="shared" si="82"/>
        <v>0.57816235910278624</v>
      </c>
    </row>
    <row r="5080" spans="16:18" x14ac:dyDescent="0.3">
      <c r="P5080" s="35">
        <v>33.75</v>
      </c>
      <c r="Q5080">
        <v>305</v>
      </c>
      <c r="R5080" s="34">
        <f t="shared" si="82"/>
        <v>0.57827621541611884</v>
      </c>
    </row>
    <row r="5081" spans="16:18" x14ac:dyDescent="0.3">
      <c r="P5081" s="35">
        <v>33.75</v>
      </c>
      <c r="Q5081">
        <v>305</v>
      </c>
      <c r="R5081" s="34">
        <f t="shared" si="82"/>
        <v>0.57839007172945145</v>
      </c>
    </row>
    <row r="5082" spans="16:18" x14ac:dyDescent="0.3">
      <c r="P5082" s="35">
        <v>33.75</v>
      </c>
      <c r="Q5082">
        <v>305</v>
      </c>
      <c r="R5082" s="34">
        <f t="shared" si="82"/>
        <v>0.57850392804278405</v>
      </c>
    </row>
    <row r="5083" spans="16:18" x14ac:dyDescent="0.3">
      <c r="P5083" s="35">
        <v>33.75</v>
      </c>
      <c r="Q5083">
        <v>305</v>
      </c>
      <c r="R5083" s="34">
        <f t="shared" si="82"/>
        <v>0.57861778435611666</v>
      </c>
    </row>
    <row r="5084" spans="16:18" x14ac:dyDescent="0.3">
      <c r="P5084" s="35">
        <v>33.76</v>
      </c>
      <c r="Q5084">
        <v>305</v>
      </c>
      <c r="R5084" s="34">
        <f t="shared" si="82"/>
        <v>0.57873164066944927</v>
      </c>
    </row>
    <row r="5085" spans="16:18" x14ac:dyDescent="0.3">
      <c r="P5085" s="35">
        <v>33.770000000000003</v>
      </c>
      <c r="Q5085">
        <v>305</v>
      </c>
      <c r="R5085" s="34">
        <f t="shared" si="82"/>
        <v>0.57884549698278187</v>
      </c>
    </row>
    <row r="5086" spans="16:18" x14ac:dyDescent="0.3">
      <c r="P5086" s="35">
        <v>33.78</v>
      </c>
      <c r="Q5086">
        <v>305</v>
      </c>
      <c r="R5086" s="34">
        <f t="shared" si="82"/>
        <v>0.57895935329611448</v>
      </c>
    </row>
    <row r="5087" spans="16:18" x14ac:dyDescent="0.3">
      <c r="P5087" s="35">
        <v>33.78</v>
      </c>
      <c r="Q5087">
        <v>305</v>
      </c>
      <c r="R5087" s="34">
        <f t="shared" si="82"/>
        <v>0.57907320960944708</v>
      </c>
    </row>
    <row r="5088" spans="16:18" x14ac:dyDescent="0.3">
      <c r="P5088" s="35">
        <v>33.79</v>
      </c>
      <c r="Q5088">
        <v>305</v>
      </c>
      <c r="R5088" s="34">
        <f t="shared" si="82"/>
        <v>0.57918706592277969</v>
      </c>
    </row>
    <row r="5089" spans="16:18" x14ac:dyDescent="0.3">
      <c r="P5089" s="35">
        <v>33.79</v>
      </c>
      <c r="Q5089">
        <v>305</v>
      </c>
      <c r="R5089" s="34">
        <f t="shared" si="82"/>
        <v>0.57930092223611229</v>
      </c>
    </row>
    <row r="5090" spans="16:18" x14ac:dyDescent="0.3">
      <c r="P5090" s="35">
        <v>33.799999999999997</v>
      </c>
      <c r="Q5090">
        <v>305</v>
      </c>
      <c r="R5090" s="34">
        <f t="shared" si="82"/>
        <v>0.5794147785494449</v>
      </c>
    </row>
    <row r="5091" spans="16:18" x14ac:dyDescent="0.3">
      <c r="P5091" s="35">
        <v>33.81</v>
      </c>
      <c r="Q5091">
        <v>305</v>
      </c>
      <c r="R5091" s="34">
        <f t="shared" si="82"/>
        <v>0.5795286348627775</v>
      </c>
    </row>
    <row r="5092" spans="16:18" x14ac:dyDescent="0.3">
      <c r="P5092" s="35">
        <v>33.81</v>
      </c>
      <c r="Q5092">
        <v>305</v>
      </c>
      <c r="R5092" s="34">
        <f t="shared" si="82"/>
        <v>0.57964249117611011</v>
      </c>
    </row>
    <row r="5093" spans="16:18" x14ac:dyDescent="0.3">
      <c r="P5093" s="35">
        <v>33.82</v>
      </c>
      <c r="Q5093">
        <v>305</v>
      </c>
      <c r="R5093" s="34">
        <f t="shared" si="82"/>
        <v>0.57975634748944271</v>
      </c>
    </row>
    <row r="5094" spans="16:18" x14ac:dyDescent="0.3">
      <c r="P5094" s="35">
        <v>33.83</v>
      </c>
      <c r="Q5094">
        <v>305</v>
      </c>
      <c r="R5094" s="34">
        <f t="shared" si="82"/>
        <v>0.57987020380277532</v>
      </c>
    </row>
    <row r="5095" spans="16:18" x14ac:dyDescent="0.3">
      <c r="P5095" s="35">
        <v>33.83</v>
      </c>
      <c r="Q5095">
        <v>305</v>
      </c>
      <c r="R5095" s="34">
        <f t="shared" si="82"/>
        <v>0.57998406011610792</v>
      </c>
    </row>
    <row r="5096" spans="16:18" x14ac:dyDescent="0.3">
      <c r="P5096" s="35">
        <v>33.840000000000003</v>
      </c>
      <c r="Q5096">
        <v>305</v>
      </c>
      <c r="R5096" s="34">
        <f t="shared" si="82"/>
        <v>0.58009791642944053</v>
      </c>
    </row>
    <row r="5097" spans="16:18" x14ac:dyDescent="0.3">
      <c r="P5097" s="35">
        <v>33.85</v>
      </c>
      <c r="Q5097">
        <v>305</v>
      </c>
      <c r="R5097" s="34">
        <f t="shared" si="82"/>
        <v>0.58021177274277314</v>
      </c>
    </row>
    <row r="5098" spans="16:18" x14ac:dyDescent="0.3">
      <c r="P5098" s="35">
        <v>33.86</v>
      </c>
      <c r="Q5098">
        <v>305</v>
      </c>
      <c r="R5098" s="34">
        <f t="shared" si="82"/>
        <v>0.58032562905610574</v>
      </c>
    </row>
    <row r="5099" spans="16:18" x14ac:dyDescent="0.3">
      <c r="P5099" s="35">
        <v>33.86</v>
      </c>
      <c r="Q5099">
        <v>305</v>
      </c>
      <c r="R5099" s="34">
        <f t="shared" si="82"/>
        <v>0.58043948536943835</v>
      </c>
    </row>
    <row r="5100" spans="16:18" x14ac:dyDescent="0.3">
      <c r="P5100" s="35">
        <v>33.869999999999997</v>
      </c>
      <c r="Q5100">
        <v>305</v>
      </c>
      <c r="R5100" s="34">
        <f t="shared" si="82"/>
        <v>0.58055334168277095</v>
      </c>
    </row>
    <row r="5101" spans="16:18" x14ac:dyDescent="0.3">
      <c r="P5101" s="35">
        <v>33.869999999999997</v>
      </c>
      <c r="Q5101">
        <v>305</v>
      </c>
      <c r="R5101" s="34">
        <f t="shared" si="82"/>
        <v>0.58066719799610356</v>
      </c>
    </row>
    <row r="5102" spans="16:18" x14ac:dyDescent="0.3">
      <c r="P5102" s="35">
        <v>33.869999999999997</v>
      </c>
      <c r="Q5102">
        <v>305</v>
      </c>
      <c r="R5102" s="34">
        <f t="shared" si="82"/>
        <v>0.58078105430943616</v>
      </c>
    </row>
    <row r="5103" spans="16:18" x14ac:dyDescent="0.3">
      <c r="P5103" s="35">
        <v>33.880000000000003</v>
      </c>
      <c r="Q5103">
        <v>305</v>
      </c>
      <c r="R5103" s="34">
        <f t="shared" si="82"/>
        <v>0.58089491062276877</v>
      </c>
    </row>
    <row r="5104" spans="16:18" x14ac:dyDescent="0.3">
      <c r="P5104" s="35">
        <v>33.880000000000003</v>
      </c>
      <c r="Q5104">
        <v>305</v>
      </c>
      <c r="R5104" s="34">
        <f t="shared" si="82"/>
        <v>0.58100876693610137</v>
      </c>
    </row>
    <row r="5105" spans="16:18" x14ac:dyDescent="0.3">
      <c r="P5105" s="35">
        <v>33.880000000000003</v>
      </c>
      <c r="Q5105">
        <v>305</v>
      </c>
      <c r="R5105" s="34">
        <f t="shared" si="82"/>
        <v>0.58112262324943398</v>
      </c>
    </row>
    <row r="5106" spans="16:18" x14ac:dyDescent="0.3">
      <c r="P5106" s="35">
        <v>33.880000000000003</v>
      </c>
      <c r="Q5106">
        <v>305</v>
      </c>
      <c r="R5106" s="34">
        <f t="shared" si="82"/>
        <v>0.58123647956276658</v>
      </c>
    </row>
    <row r="5107" spans="16:18" x14ac:dyDescent="0.3">
      <c r="P5107" s="35">
        <v>33.89</v>
      </c>
      <c r="Q5107">
        <v>305</v>
      </c>
      <c r="R5107" s="34">
        <f t="shared" si="82"/>
        <v>0.58135033587609919</v>
      </c>
    </row>
    <row r="5108" spans="16:18" x14ac:dyDescent="0.3">
      <c r="P5108" s="35">
        <v>33.909999999999997</v>
      </c>
      <c r="Q5108">
        <v>305</v>
      </c>
      <c r="R5108" s="34">
        <f t="shared" si="82"/>
        <v>0.58146419218943179</v>
      </c>
    </row>
    <row r="5109" spans="16:18" x14ac:dyDescent="0.3">
      <c r="P5109" s="35">
        <v>33.909999999999997</v>
      </c>
      <c r="Q5109">
        <v>305</v>
      </c>
      <c r="R5109" s="34">
        <f t="shared" si="82"/>
        <v>0.5815780485027644</v>
      </c>
    </row>
    <row r="5110" spans="16:18" x14ac:dyDescent="0.3">
      <c r="P5110" s="35">
        <v>33.909999999999997</v>
      </c>
      <c r="Q5110">
        <v>305</v>
      </c>
      <c r="R5110" s="34">
        <f t="shared" si="82"/>
        <v>0.58169190481609701</v>
      </c>
    </row>
    <row r="5111" spans="16:18" x14ac:dyDescent="0.3">
      <c r="P5111" s="35">
        <v>33.92</v>
      </c>
      <c r="Q5111">
        <v>305</v>
      </c>
      <c r="R5111" s="34">
        <f t="shared" si="82"/>
        <v>0.58180576112942961</v>
      </c>
    </row>
    <row r="5112" spans="16:18" x14ac:dyDescent="0.3">
      <c r="P5112" s="35">
        <v>33.93</v>
      </c>
      <c r="Q5112">
        <v>305</v>
      </c>
      <c r="R5112" s="34">
        <f t="shared" si="82"/>
        <v>0.58191961744276222</v>
      </c>
    </row>
    <row r="5113" spans="16:18" x14ac:dyDescent="0.3">
      <c r="P5113" s="35">
        <v>33.93</v>
      </c>
      <c r="Q5113">
        <v>305</v>
      </c>
      <c r="R5113" s="34">
        <f t="shared" si="82"/>
        <v>0.58203347375609482</v>
      </c>
    </row>
    <row r="5114" spans="16:18" x14ac:dyDescent="0.3">
      <c r="P5114" s="35">
        <v>33.93</v>
      </c>
      <c r="Q5114">
        <v>305</v>
      </c>
      <c r="R5114" s="34">
        <f t="shared" si="82"/>
        <v>0.58214733006942743</v>
      </c>
    </row>
    <row r="5115" spans="16:18" x14ac:dyDescent="0.3">
      <c r="P5115" s="35">
        <v>33.94</v>
      </c>
      <c r="Q5115">
        <v>305</v>
      </c>
      <c r="R5115" s="34">
        <f t="shared" si="82"/>
        <v>0.58226118638276003</v>
      </c>
    </row>
    <row r="5116" spans="16:18" x14ac:dyDescent="0.3">
      <c r="P5116" s="35">
        <v>33.94</v>
      </c>
      <c r="Q5116">
        <v>305</v>
      </c>
      <c r="R5116" s="34">
        <f t="shared" si="82"/>
        <v>0.58237504269609264</v>
      </c>
    </row>
    <row r="5117" spans="16:18" x14ac:dyDescent="0.3">
      <c r="P5117" s="35">
        <v>33.950000000000003</v>
      </c>
      <c r="Q5117">
        <v>305</v>
      </c>
      <c r="R5117" s="34">
        <f t="shared" si="82"/>
        <v>0.58248889900942524</v>
      </c>
    </row>
    <row r="5118" spans="16:18" x14ac:dyDescent="0.3">
      <c r="P5118" s="35">
        <v>33.950000000000003</v>
      </c>
      <c r="Q5118">
        <v>305</v>
      </c>
      <c r="R5118" s="34">
        <f t="shared" si="82"/>
        <v>0.58260275532275785</v>
      </c>
    </row>
    <row r="5119" spans="16:18" x14ac:dyDescent="0.3">
      <c r="P5119" s="35">
        <v>33.950000000000003</v>
      </c>
      <c r="Q5119">
        <v>305</v>
      </c>
      <c r="R5119" s="34">
        <f t="shared" si="82"/>
        <v>0.58271661163609045</v>
      </c>
    </row>
    <row r="5120" spans="16:18" x14ac:dyDescent="0.3">
      <c r="P5120" s="35">
        <v>33.950000000000003</v>
      </c>
      <c r="Q5120">
        <v>305</v>
      </c>
      <c r="R5120" s="34">
        <f t="shared" si="82"/>
        <v>0.58283046794942306</v>
      </c>
    </row>
    <row r="5121" spans="16:18" x14ac:dyDescent="0.3">
      <c r="P5121" s="35">
        <v>33.950000000000003</v>
      </c>
      <c r="Q5121">
        <v>305</v>
      </c>
      <c r="R5121" s="34">
        <f t="shared" si="82"/>
        <v>0.58294432426275566</v>
      </c>
    </row>
    <row r="5122" spans="16:18" x14ac:dyDescent="0.3">
      <c r="P5122" s="35">
        <v>33.950000000000003</v>
      </c>
      <c r="Q5122">
        <v>305</v>
      </c>
      <c r="R5122" s="34">
        <f t="shared" si="82"/>
        <v>0.58305818057608827</v>
      </c>
    </row>
    <row r="5123" spans="16:18" x14ac:dyDescent="0.3">
      <c r="P5123" s="35">
        <v>33.97</v>
      </c>
      <c r="Q5123">
        <v>305</v>
      </c>
      <c r="R5123" s="34">
        <f t="shared" si="82"/>
        <v>0.58317203688942088</v>
      </c>
    </row>
    <row r="5124" spans="16:18" x14ac:dyDescent="0.3">
      <c r="P5124" s="35">
        <v>33.97</v>
      </c>
      <c r="Q5124">
        <v>305</v>
      </c>
      <c r="R5124" s="34">
        <f t="shared" ref="R5124:R5187" si="83">R5123+R$2</f>
        <v>0.58328589320275348</v>
      </c>
    </row>
    <row r="5125" spans="16:18" x14ac:dyDescent="0.3">
      <c r="P5125" s="35">
        <v>33.97</v>
      </c>
      <c r="Q5125">
        <v>305</v>
      </c>
      <c r="R5125" s="34">
        <f t="shared" si="83"/>
        <v>0.58339974951608609</v>
      </c>
    </row>
    <row r="5126" spans="16:18" x14ac:dyDescent="0.3">
      <c r="P5126" s="35">
        <v>34</v>
      </c>
      <c r="Q5126">
        <v>305</v>
      </c>
      <c r="R5126" s="34">
        <f t="shared" si="83"/>
        <v>0.58351360582941869</v>
      </c>
    </row>
    <row r="5127" spans="16:18" x14ac:dyDescent="0.3">
      <c r="P5127" s="35">
        <v>34</v>
      </c>
      <c r="Q5127">
        <v>305</v>
      </c>
      <c r="R5127" s="34">
        <f t="shared" si="83"/>
        <v>0.5836274621427513</v>
      </c>
    </row>
    <row r="5128" spans="16:18" x14ac:dyDescent="0.3">
      <c r="P5128" s="35">
        <v>34.01</v>
      </c>
      <c r="Q5128">
        <v>305</v>
      </c>
      <c r="R5128" s="34">
        <f t="shared" si="83"/>
        <v>0.5837413184560839</v>
      </c>
    </row>
    <row r="5129" spans="16:18" x14ac:dyDescent="0.3">
      <c r="P5129" s="35">
        <v>34.049999999999997</v>
      </c>
      <c r="Q5129">
        <v>305</v>
      </c>
      <c r="R5129" s="34">
        <f t="shared" si="83"/>
        <v>0.58385517476941651</v>
      </c>
    </row>
    <row r="5130" spans="16:18" x14ac:dyDescent="0.3">
      <c r="P5130" s="35">
        <v>34.06</v>
      </c>
      <c r="Q5130">
        <v>305</v>
      </c>
      <c r="R5130" s="34">
        <f t="shared" si="83"/>
        <v>0.58396903108274911</v>
      </c>
    </row>
    <row r="5131" spans="16:18" x14ac:dyDescent="0.3">
      <c r="P5131" s="35">
        <v>34.07</v>
      </c>
      <c r="Q5131">
        <v>305</v>
      </c>
      <c r="R5131" s="34">
        <f t="shared" si="83"/>
        <v>0.58408288739608172</v>
      </c>
    </row>
    <row r="5132" spans="16:18" x14ac:dyDescent="0.3">
      <c r="P5132" s="35">
        <v>34.08</v>
      </c>
      <c r="Q5132">
        <v>305</v>
      </c>
      <c r="R5132" s="34">
        <f t="shared" si="83"/>
        <v>0.58419674370941432</v>
      </c>
    </row>
    <row r="5133" spans="16:18" x14ac:dyDescent="0.3">
      <c r="P5133" s="35">
        <v>34.08</v>
      </c>
      <c r="Q5133">
        <v>305</v>
      </c>
      <c r="R5133" s="34">
        <f t="shared" si="83"/>
        <v>0.58431060002274693</v>
      </c>
    </row>
    <row r="5134" spans="16:18" x14ac:dyDescent="0.3">
      <c r="P5134" s="35">
        <v>34.08</v>
      </c>
      <c r="Q5134">
        <v>305</v>
      </c>
      <c r="R5134" s="34">
        <f t="shared" si="83"/>
        <v>0.58442445633607953</v>
      </c>
    </row>
    <row r="5135" spans="16:18" x14ac:dyDescent="0.3">
      <c r="P5135" s="35">
        <v>34.08</v>
      </c>
      <c r="Q5135">
        <v>305</v>
      </c>
      <c r="R5135" s="34">
        <f t="shared" si="83"/>
        <v>0.58453831264941214</v>
      </c>
    </row>
    <row r="5136" spans="16:18" x14ac:dyDescent="0.3">
      <c r="P5136" s="35">
        <v>34.08</v>
      </c>
      <c r="Q5136">
        <v>305</v>
      </c>
      <c r="R5136" s="34">
        <f t="shared" si="83"/>
        <v>0.58465216896274474</v>
      </c>
    </row>
    <row r="5137" spans="16:18" x14ac:dyDescent="0.3">
      <c r="P5137" s="35">
        <v>34.090000000000003</v>
      </c>
      <c r="Q5137">
        <v>305</v>
      </c>
      <c r="R5137" s="34">
        <f t="shared" si="83"/>
        <v>0.58476602527607735</v>
      </c>
    </row>
    <row r="5138" spans="16:18" x14ac:dyDescent="0.3">
      <c r="P5138" s="35">
        <v>34.090000000000003</v>
      </c>
      <c r="Q5138">
        <v>305</v>
      </c>
      <c r="R5138" s="34">
        <f t="shared" si="83"/>
        <v>0.58487988158940996</v>
      </c>
    </row>
    <row r="5139" spans="16:18" x14ac:dyDescent="0.3">
      <c r="P5139" s="35">
        <v>34.090000000000003</v>
      </c>
      <c r="Q5139">
        <v>305</v>
      </c>
      <c r="R5139" s="34">
        <f t="shared" si="83"/>
        <v>0.58499373790274256</v>
      </c>
    </row>
    <row r="5140" spans="16:18" x14ac:dyDescent="0.3">
      <c r="P5140" s="35">
        <v>34.1</v>
      </c>
      <c r="Q5140">
        <v>305</v>
      </c>
      <c r="R5140" s="34">
        <f t="shared" si="83"/>
        <v>0.58510759421607517</v>
      </c>
    </row>
    <row r="5141" spans="16:18" x14ac:dyDescent="0.3">
      <c r="P5141" s="35">
        <v>34.11</v>
      </c>
      <c r="Q5141">
        <v>305</v>
      </c>
      <c r="R5141" s="34">
        <f t="shared" si="83"/>
        <v>0.58522145052940777</v>
      </c>
    </row>
    <row r="5142" spans="16:18" x14ac:dyDescent="0.3">
      <c r="P5142" s="35">
        <v>34.130000000000003</v>
      </c>
      <c r="Q5142">
        <v>305</v>
      </c>
      <c r="R5142" s="34">
        <f t="shared" si="83"/>
        <v>0.58533530684274038</v>
      </c>
    </row>
    <row r="5143" spans="16:18" x14ac:dyDescent="0.3">
      <c r="P5143" s="35">
        <v>34.14</v>
      </c>
      <c r="Q5143">
        <v>305</v>
      </c>
      <c r="R5143" s="34">
        <f t="shared" si="83"/>
        <v>0.58544916315607298</v>
      </c>
    </row>
    <row r="5144" spans="16:18" x14ac:dyDescent="0.3">
      <c r="P5144" s="35">
        <v>34.15</v>
      </c>
      <c r="Q5144">
        <v>305</v>
      </c>
      <c r="R5144" s="34">
        <f t="shared" si="83"/>
        <v>0.58556301946940559</v>
      </c>
    </row>
    <row r="5145" spans="16:18" x14ac:dyDescent="0.3">
      <c r="P5145" s="35">
        <v>34.15</v>
      </c>
      <c r="Q5145">
        <v>305</v>
      </c>
      <c r="R5145" s="34">
        <f t="shared" si="83"/>
        <v>0.58567687578273819</v>
      </c>
    </row>
    <row r="5146" spans="16:18" x14ac:dyDescent="0.3">
      <c r="P5146" s="35">
        <v>34.159999999999997</v>
      </c>
      <c r="Q5146">
        <v>305</v>
      </c>
      <c r="R5146" s="34">
        <f t="shared" si="83"/>
        <v>0.5857907320960708</v>
      </c>
    </row>
    <row r="5147" spans="16:18" x14ac:dyDescent="0.3">
      <c r="P5147" s="35">
        <v>34.17</v>
      </c>
      <c r="Q5147">
        <v>305</v>
      </c>
      <c r="R5147" s="34">
        <f t="shared" si="83"/>
        <v>0.5859045884094034</v>
      </c>
    </row>
    <row r="5148" spans="16:18" x14ac:dyDescent="0.3">
      <c r="P5148" s="35">
        <v>34.18</v>
      </c>
      <c r="Q5148">
        <v>305</v>
      </c>
      <c r="R5148" s="34">
        <f t="shared" si="83"/>
        <v>0.58601844472273601</v>
      </c>
    </row>
    <row r="5149" spans="16:18" x14ac:dyDescent="0.3">
      <c r="P5149" s="35">
        <v>34.18</v>
      </c>
      <c r="Q5149">
        <v>305</v>
      </c>
      <c r="R5149" s="34">
        <f t="shared" si="83"/>
        <v>0.58613230103606861</v>
      </c>
    </row>
    <row r="5150" spans="16:18" x14ac:dyDescent="0.3">
      <c r="P5150" s="35">
        <v>34.19</v>
      </c>
      <c r="Q5150">
        <v>305</v>
      </c>
      <c r="R5150" s="34">
        <f t="shared" si="83"/>
        <v>0.58624615734940122</v>
      </c>
    </row>
    <row r="5151" spans="16:18" x14ac:dyDescent="0.3">
      <c r="P5151" s="35">
        <v>34.19</v>
      </c>
      <c r="Q5151">
        <v>305</v>
      </c>
      <c r="R5151" s="34">
        <f t="shared" si="83"/>
        <v>0.58636001366273383</v>
      </c>
    </row>
    <row r="5152" spans="16:18" x14ac:dyDescent="0.3">
      <c r="P5152" s="35">
        <v>34.19</v>
      </c>
      <c r="Q5152">
        <v>305</v>
      </c>
      <c r="R5152" s="34">
        <f t="shared" si="83"/>
        <v>0.58647386997606643</v>
      </c>
    </row>
    <row r="5153" spans="16:18" x14ac:dyDescent="0.3">
      <c r="P5153" s="35">
        <v>34.19</v>
      </c>
      <c r="Q5153">
        <v>305</v>
      </c>
      <c r="R5153" s="34">
        <f t="shared" si="83"/>
        <v>0.58658772628939904</v>
      </c>
    </row>
    <row r="5154" spans="16:18" x14ac:dyDescent="0.3">
      <c r="P5154" s="35">
        <v>34.19</v>
      </c>
      <c r="Q5154">
        <v>305</v>
      </c>
      <c r="R5154" s="34">
        <f t="shared" si="83"/>
        <v>0.58670158260273164</v>
      </c>
    </row>
    <row r="5155" spans="16:18" x14ac:dyDescent="0.3">
      <c r="P5155" s="35">
        <v>34.200000000000003</v>
      </c>
      <c r="Q5155">
        <v>305</v>
      </c>
      <c r="R5155" s="34">
        <f t="shared" si="83"/>
        <v>0.58681543891606425</v>
      </c>
    </row>
    <row r="5156" spans="16:18" x14ac:dyDescent="0.3">
      <c r="P5156" s="35">
        <v>34.22</v>
      </c>
      <c r="Q5156">
        <v>305</v>
      </c>
      <c r="R5156" s="34">
        <f t="shared" si="83"/>
        <v>0.58692929522939685</v>
      </c>
    </row>
    <row r="5157" spans="16:18" x14ac:dyDescent="0.3">
      <c r="P5157" s="35">
        <v>34.22</v>
      </c>
      <c r="Q5157">
        <v>305</v>
      </c>
      <c r="R5157" s="34">
        <f t="shared" si="83"/>
        <v>0.58704315154272946</v>
      </c>
    </row>
    <row r="5158" spans="16:18" x14ac:dyDescent="0.3">
      <c r="P5158" s="35">
        <v>34.22</v>
      </c>
      <c r="Q5158">
        <v>305</v>
      </c>
      <c r="R5158" s="34">
        <f t="shared" si="83"/>
        <v>0.58715700785606206</v>
      </c>
    </row>
    <row r="5159" spans="16:18" x14ac:dyDescent="0.3">
      <c r="P5159" s="35">
        <v>34.229999999999997</v>
      </c>
      <c r="Q5159">
        <v>305</v>
      </c>
      <c r="R5159" s="34">
        <f t="shared" si="83"/>
        <v>0.58727086416939467</v>
      </c>
    </row>
    <row r="5160" spans="16:18" x14ac:dyDescent="0.3">
      <c r="P5160" s="35">
        <v>34.229999999999997</v>
      </c>
      <c r="Q5160">
        <v>305</v>
      </c>
      <c r="R5160" s="34">
        <f t="shared" si="83"/>
        <v>0.58738472048272727</v>
      </c>
    </row>
    <row r="5161" spans="16:18" x14ac:dyDescent="0.3">
      <c r="P5161" s="35">
        <v>34.229999999999997</v>
      </c>
      <c r="Q5161">
        <v>305</v>
      </c>
      <c r="R5161" s="34">
        <f t="shared" si="83"/>
        <v>0.58749857679605988</v>
      </c>
    </row>
    <row r="5162" spans="16:18" x14ac:dyDescent="0.3">
      <c r="P5162" s="35">
        <v>34.229999999999997</v>
      </c>
      <c r="Q5162">
        <v>305</v>
      </c>
      <c r="R5162" s="34">
        <f t="shared" si="83"/>
        <v>0.58761243310939248</v>
      </c>
    </row>
    <row r="5163" spans="16:18" x14ac:dyDescent="0.3">
      <c r="P5163" s="35">
        <v>34.24</v>
      </c>
      <c r="Q5163">
        <v>305</v>
      </c>
      <c r="R5163" s="34">
        <f t="shared" si="83"/>
        <v>0.58772628942272509</v>
      </c>
    </row>
    <row r="5164" spans="16:18" x14ac:dyDescent="0.3">
      <c r="P5164" s="35">
        <v>34.24</v>
      </c>
      <c r="Q5164">
        <v>305</v>
      </c>
      <c r="R5164" s="34">
        <f t="shared" si="83"/>
        <v>0.5878401457360577</v>
      </c>
    </row>
    <row r="5165" spans="16:18" x14ac:dyDescent="0.3">
      <c r="P5165" s="35">
        <v>34.24</v>
      </c>
      <c r="Q5165">
        <v>305</v>
      </c>
      <c r="R5165" s="34">
        <f t="shared" si="83"/>
        <v>0.5879540020493903</v>
      </c>
    </row>
    <row r="5166" spans="16:18" x14ac:dyDescent="0.3">
      <c r="P5166" s="35">
        <v>34.25</v>
      </c>
      <c r="Q5166">
        <v>305</v>
      </c>
      <c r="R5166" s="34">
        <f t="shared" si="83"/>
        <v>0.58806785836272291</v>
      </c>
    </row>
    <row r="5167" spans="16:18" x14ac:dyDescent="0.3">
      <c r="P5167" s="35">
        <v>34.25</v>
      </c>
      <c r="Q5167">
        <v>305</v>
      </c>
      <c r="R5167" s="34">
        <f t="shared" si="83"/>
        <v>0.58818171467605551</v>
      </c>
    </row>
    <row r="5168" spans="16:18" x14ac:dyDescent="0.3">
      <c r="P5168" s="35">
        <v>34.26</v>
      </c>
      <c r="Q5168">
        <v>305</v>
      </c>
      <c r="R5168" s="34">
        <f t="shared" si="83"/>
        <v>0.58829557098938812</v>
      </c>
    </row>
    <row r="5169" spans="16:18" x14ac:dyDescent="0.3">
      <c r="P5169" s="35">
        <v>34.26</v>
      </c>
      <c r="Q5169">
        <v>305</v>
      </c>
      <c r="R5169" s="34">
        <f t="shared" si="83"/>
        <v>0.58840942730272072</v>
      </c>
    </row>
    <row r="5170" spans="16:18" x14ac:dyDescent="0.3">
      <c r="P5170" s="35">
        <v>34.270000000000003</v>
      </c>
      <c r="Q5170">
        <v>305</v>
      </c>
      <c r="R5170" s="34">
        <f t="shared" si="83"/>
        <v>0.58852328361605333</v>
      </c>
    </row>
    <row r="5171" spans="16:18" x14ac:dyDescent="0.3">
      <c r="P5171" s="35">
        <v>34.270000000000003</v>
      </c>
      <c r="Q5171">
        <v>305</v>
      </c>
      <c r="R5171" s="34">
        <f t="shared" si="83"/>
        <v>0.58863713992938593</v>
      </c>
    </row>
    <row r="5172" spans="16:18" x14ac:dyDescent="0.3">
      <c r="P5172" s="35">
        <v>34.270000000000003</v>
      </c>
      <c r="Q5172">
        <v>305</v>
      </c>
      <c r="R5172" s="34">
        <f t="shared" si="83"/>
        <v>0.58875099624271854</v>
      </c>
    </row>
    <row r="5173" spans="16:18" x14ac:dyDescent="0.3">
      <c r="P5173" s="35">
        <v>34.28</v>
      </c>
      <c r="Q5173">
        <v>305</v>
      </c>
      <c r="R5173" s="34">
        <f t="shared" si="83"/>
        <v>0.58886485255605114</v>
      </c>
    </row>
    <row r="5174" spans="16:18" x14ac:dyDescent="0.3">
      <c r="P5174" s="35">
        <v>34.28</v>
      </c>
      <c r="Q5174">
        <v>305</v>
      </c>
      <c r="R5174" s="34">
        <f t="shared" si="83"/>
        <v>0.58897870886938375</v>
      </c>
    </row>
    <row r="5175" spans="16:18" x14ac:dyDescent="0.3">
      <c r="P5175" s="35">
        <v>34.28</v>
      </c>
      <c r="Q5175">
        <v>305</v>
      </c>
      <c r="R5175" s="34">
        <f t="shared" si="83"/>
        <v>0.58909256518271635</v>
      </c>
    </row>
    <row r="5176" spans="16:18" x14ac:dyDescent="0.3">
      <c r="P5176" s="35">
        <v>34.28</v>
      </c>
      <c r="Q5176">
        <v>305</v>
      </c>
      <c r="R5176" s="34">
        <f t="shared" si="83"/>
        <v>0.58920642149604896</v>
      </c>
    </row>
    <row r="5177" spans="16:18" x14ac:dyDescent="0.3">
      <c r="P5177" s="35">
        <v>34.28</v>
      </c>
      <c r="Q5177">
        <v>305</v>
      </c>
      <c r="R5177" s="34">
        <f t="shared" si="83"/>
        <v>0.58932027780938157</v>
      </c>
    </row>
    <row r="5178" spans="16:18" x14ac:dyDescent="0.3">
      <c r="P5178" s="35">
        <v>34.29</v>
      </c>
      <c r="Q5178">
        <v>305</v>
      </c>
      <c r="R5178" s="34">
        <f t="shared" si="83"/>
        <v>0.58943413412271417</v>
      </c>
    </row>
    <row r="5179" spans="16:18" x14ac:dyDescent="0.3">
      <c r="P5179" s="35">
        <v>34.29</v>
      </c>
      <c r="Q5179">
        <v>305</v>
      </c>
      <c r="R5179" s="34">
        <f t="shared" si="83"/>
        <v>0.58954799043604678</v>
      </c>
    </row>
    <row r="5180" spans="16:18" x14ac:dyDescent="0.3">
      <c r="P5180" s="35">
        <v>34.31</v>
      </c>
      <c r="Q5180">
        <v>305</v>
      </c>
      <c r="R5180" s="34">
        <f t="shared" si="83"/>
        <v>0.58966184674937938</v>
      </c>
    </row>
    <row r="5181" spans="16:18" x14ac:dyDescent="0.3">
      <c r="P5181" s="35">
        <v>34.32</v>
      </c>
      <c r="Q5181">
        <v>305</v>
      </c>
      <c r="R5181" s="34">
        <f t="shared" si="83"/>
        <v>0.58977570306271199</v>
      </c>
    </row>
    <row r="5182" spans="16:18" x14ac:dyDescent="0.3">
      <c r="P5182" s="35">
        <v>34.32</v>
      </c>
      <c r="Q5182">
        <v>305</v>
      </c>
      <c r="R5182" s="34">
        <f t="shared" si="83"/>
        <v>0.58988955937604459</v>
      </c>
    </row>
    <row r="5183" spans="16:18" x14ac:dyDescent="0.3">
      <c r="P5183" s="35">
        <v>34.33</v>
      </c>
      <c r="Q5183">
        <v>305</v>
      </c>
      <c r="R5183" s="34">
        <f t="shared" si="83"/>
        <v>0.5900034156893772</v>
      </c>
    </row>
    <row r="5184" spans="16:18" x14ac:dyDescent="0.3">
      <c r="P5184" s="35">
        <v>34.33</v>
      </c>
      <c r="Q5184">
        <v>305</v>
      </c>
      <c r="R5184" s="34">
        <f t="shared" si="83"/>
        <v>0.5901172720027098</v>
      </c>
    </row>
    <row r="5185" spans="16:18" x14ac:dyDescent="0.3">
      <c r="P5185" s="35">
        <v>34.33</v>
      </c>
      <c r="Q5185">
        <v>305</v>
      </c>
      <c r="R5185" s="34">
        <f t="shared" si="83"/>
        <v>0.59023112831604241</v>
      </c>
    </row>
    <row r="5186" spans="16:18" x14ac:dyDescent="0.3">
      <c r="P5186" s="35">
        <v>34.340000000000003</v>
      </c>
      <c r="Q5186">
        <v>305</v>
      </c>
      <c r="R5186" s="34">
        <f t="shared" si="83"/>
        <v>0.59034498462937501</v>
      </c>
    </row>
    <row r="5187" spans="16:18" x14ac:dyDescent="0.3">
      <c r="P5187" s="35">
        <v>34.35</v>
      </c>
      <c r="Q5187">
        <v>305</v>
      </c>
      <c r="R5187" s="34">
        <f t="shared" si="83"/>
        <v>0.59045884094270762</v>
      </c>
    </row>
    <row r="5188" spans="16:18" x14ac:dyDescent="0.3">
      <c r="P5188" s="35">
        <v>34.36</v>
      </c>
      <c r="Q5188">
        <v>305</v>
      </c>
      <c r="R5188" s="34">
        <f t="shared" ref="R5188:R5251" si="84">R5187+R$2</f>
        <v>0.59057269725604022</v>
      </c>
    </row>
    <row r="5189" spans="16:18" x14ac:dyDescent="0.3">
      <c r="P5189" s="35">
        <v>34.369999999999997</v>
      </c>
      <c r="Q5189">
        <v>305</v>
      </c>
      <c r="R5189" s="34">
        <f t="shared" si="84"/>
        <v>0.59068655356937283</v>
      </c>
    </row>
    <row r="5190" spans="16:18" x14ac:dyDescent="0.3">
      <c r="P5190" s="35">
        <v>34.380000000000003</v>
      </c>
      <c r="Q5190">
        <v>305</v>
      </c>
      <c r="R5190" s="34">
        <f t="shared" si="84"/>
        <v>0.59080040988270544</v>
      </c>
    </row>
    <row r="5191" spans="16:18" x14ac:dyDescent="0.3">
      <c r="P5191" s="35">
        <v>34.380000000000003</v>
      </c>
      <c r="Q5191">
        <v>305</v>
      </c>
      <c r="R5191" s="34">
        <f t="shared" si="84"/>
        <v>0.59091426619603804</v>
      </c>
    </row>
    <row r="5192" spans="16:18" x14ac:dyDescent="0.3">
      <c r="P5192" s="35">
        <v>34.39</v>
      </c>
      <c r="Q5192">
        <v>305</v>
      </c>
      <c r="R5192" s="34">
        <f t="shared" si="84"/>
        <v>0.59102812250937065</v>
      </c>
    </row>
    <row r="5193" spans="16:18" x14ac:dyDescent="0.3">
      <c r="P5193" s="35">
        <v>34.39</v>
      </c>
      <c r="Q5193">
        <v>305</v>
      </c>
      <c r="R5193" s="34">
        <f t="shared" si="84"/>
        <v>0.59114197882270325</v>
      </c>
    </row>
    <row r="5194" spans="16:18" x14ac:dyDescent="0.3">
      <c r="P5194" s="35">
        <v>34.4</v>
      </c>
      <c r="Q5194">
        <v>305</v>
      </c>
      <c r="R5194" s="34">
        <f t="shared" si="84"/>
        <v>0.59125583513603586</v>
      </c>
    </row>
    <row r="5195" spans="16:18" x14ac:dyDescent="0.3">
      <c r="P5195" s="35">
        <v>34.4</v>
      </c>
      <c r="Q5195">
        <v>305</v>
      </c>
      <c r="R5195" s="34">
        <f t="shared" si="84"/>
        <v>0.59136969144936846</v>
      </c>
    </row>
    <row r="5196" spans="16:18" x14ac:dyDescent="0.3">
      <c r="P5196" s="35">
        <v>34.4</v>
      </c>
      <c r="Q5196">
        <v>305</v>
      </c>
      <c r="R5196" s="34">
        <f t="shared" si="84"/>
        <v>0.59148354776270107</v>
      </c>
    </row>
    <row r="5197" spans="16:18" x14ac:dyDescent="0.3">
      <c r="P5197" s="35">
        <v>34.409999999999997</v>
      </c>
      <c r="Q5197">
        <v>305</v>
      </c>
      <c r="R5197" s="34">
        <f t="shared" si="84"/>
        <v>0.59159740407603367</v>
      </c>
    </row>
    <row r="5198" spans="16:18" x14ac:dyDescent="0.3">
      <c r="P5198" s="35">
        <v>34.409999999999997</v>
      </c>
      <c r="Q5198">
        <v>305</v>
      </c>
      <c r="R5198" s="34">
        <f t="shared" si="84"/>
        <v>0.59171126038936628</v>
      </c>
    </row>
    <row r="5199" spans="16:18" x14ac:dyDescent="0.3">
      <c r="P5199" s="35">
        <v>34.42</v>
      </c>
      <c r="Q5199">
        <v>305</v>
      </c>
      <c r="R5199" s="34">
        <f t="shared" si="84"/>
        <v>0.59182511670269888</v>
      </c>
    </row>
    <row r="5200" spans="16:18" x14ac:dyDescent="0.3">
      <c r="P5200" s="35">
        <v>34.42</v>
      </c>
      <c r="Q5200">
        <v>305</v>
      </c>
      <c r="R5200" s="34">
        <f t="shared" si="84"/>
        <v>0.59193897301603149</v>
      </c>
    </row>
    <row r="5201" spans="16:18" x14ac:dyDescent="0.3">
      <c r="P5201" s="35">
        <v>34.42</v>
      </c>
      <c r="Q5201">
        <v>305</v>
      </c>
      <c r="R5201" s="34">
        <f t="shared" si="84"/>
        <v>0.59205282932936409</v>
      </c>
    </row>
    <row r="5202" spans="16:18" x14ac:dyDescent="0.3">
      <c r="P5202" s="35">
        <v>34.43</v>
      </c>
      <c r="Q5202">
        <v>305</v>
      </c>
      <c r="R5202" s="34">
        <f t="shared" si="84"/>
        <v>0.5921666856426967</v>
      </c>
    </row>
    <row r="5203" spans="16:18" x14ac:dyDescent="0.3">
      <c r="P5203" s="35">
        <v>34.43</v>
      </c>
      <c r="Q5203">
        <v>305</v>
      </c>
      <c r="R5203" s="34">
        <f t="shared" si="84"/>
        <v>0.5922805419560293</v>
      </c>
    </row>
    <row r="5204" spans="16:18" x14ac:dyDescent="0.3">
      <c r="P5204" s="35">
        <v>34.44</v>
      </c>
      <c r="Q5204">
        <v>305</v>
      </c>
      <c r="R5204" s="34">
        <f t="shared" si="84"/>
        <v>0.59239439826936191</v>
      </c>
    </row>
    <row r="5205" spans="16:18" x14ac:dyDescent="0.3">
      <c r="P5205" s="35">
        <v>34.450000000000003</v>
      </c>
      <c r="Q5205">
        <v>305</v>
      </c>
      <c r="R5205" s="34">
        <f t="shared" si="84"/>
        <v>0.59250825458269452</v>
      </c>
    </row>
    <row r="5206" spans="16:18" x14ac:dyDescent="0.3">
      <c r="P5206" s="35">
        <v>34.450000000000003</v>
      </c>
      <c r="Q5206">
        <v>305</v>
      </c>
      <c r="R5206" s="34">
        <f t="shared" si="84"/>
        <v>0.59262211089602712</v>
      </c>
    </row>
    <row r="5207" spans="16:18" x14ac:dyDescent="0.3">
      <c r="P5207" s="35">
        <v>34.450000000000003</v>
      </c>
      <c r="Q5207">
        <v>305</v>
      </c>
      <c r="R5207" s="34">
        <f t="shared" si="84"/>
        <v>0.59273596720935973</v>
      </c>
    </row>
    <row r="5208" spans="16:18" x14ac:dyDescent="0.3">
      <c r="P5208" s="35">
        <v>34.46</v>
      </c>
      <c r="Q5208">
        <v>305</v>
      </c>
      <c r="R5208" s="34">
        <f t="shared" si="84"/>
        <v>0.59284982352269233</v>
      </c>
    </row>
    <row r="5209" spans="16:18" x14ac:dyDescent="0.3">
      <c r="P5209" s="35">
        <v>34.46</v>
      </c>
      <c r="Q5209">
        <v>305</v>
      </c>
      <c r="R5209" s="34">
        <f t="shared" si="84"/>
        <v>0.59296367983602494</v>
      </c>
    </row>
    <row r="5210" spans="16:18" x14ac:dyDescent="0.3">
      <c r="P5210" s="35">
        <v>34.47</v>
      </c>
      <c r="Q5210">
        <v>305</v>
      </c>
      <c r="R5210" s="34">
        <f t="shared" si="84"/>
        <v>0.59307753614935754</v>
      </c>
    </row>
    <row r="5211" spans="16:18" x14ac:dyDescent="0.3">
      <c r="P5211" s="35">
        <v>34.47</v>
      </c>
      <c r="Q5211">
        <v>305</v>
      </c>
      <c r="R5211" s="34">
        <f t="shared" si="84"/>
        <v>0.59319139246269015</v>
      </c>
    </row>
    <row r="5212" spans="16:18" x14ac:dyDescent="0.3">
      <c r="P5212" s="35">
        <v>34.479999999999997</v>
      </c>
      <c r="Q5212">
        <v>305</v>
      </c>
      <c r="R5212" s="34">
        <f t="shared" si="84"/>
        <v>0.59330524877602275</v>
      </c>
    </row>
    <row r="5213" spans="16:18" x14ac:dyDescent="0.3">
      <c r="P5213" s="35">
        <v>34.479999999999997</v>
      </c>
      <c r="Q5213">
        <v>305</v>
      </c>
      <c r="R5213" s="34">
        <f t="shared" si="84"/>
        <v>0.59341910508935536</v>
      </c>
    </row>
    <row r="5214" spans="16:18" x14ac:dyDescent="0.3">
      <c r="P5214" s="35">
        <v>34.49</v>
      </c>
      <c r="Q5214">
        <v>305</v>
      </c>
      <c r="R5214" s="34">
        <f t="shared" si="84"/>
        <v>0.59353296140268796</v>
      </c>
    </row>
    <row r="5215" spans="16:18" x14ac:dyDescent="0.3">
      <c r="P5215" s="35">
        <v>34.49</v>
      </c>
      <c r="Q5215">
        <v>305</v>
      </c>
      <c r="R5215" s="34">
        <f t="shared" si="84"/>
        <v>0.59364681771602057</v>
      </c>
    </row>
    <row r="5216" spans="16:18" x14ac:dyDescent="0.3">
      <c r="P5216" s="35">
        <v>34.5</v>
      </c>
      <c r="Q5216">
        <v>305</v>
      </c>
      <c r="R5216" s="34">
        <f t="shared" si="84"/>
        <v>0.59376067402935317</v>
      </c>
    </row>
    <row r="5217" spans="16:18" x14ac:dyDescent="0.3">
      <c r="P5217" s="35">
        <v>34.5</v>
      </c>
      <c r="Q5217">
        <v>305</v>
      </c>
      <c r="R5217" s="34">
        <f t="shared" si="84"/>
        <v>0.59387453034268578</v>
      </c>
    </row>
    <row r="5218" spans="16:18" x14ac:dyDescent="0.3">
      <c r="P5218" s="35">
        <v>34.5</v>
      </c>
      <c r="Q5218">
        <v>305</v>
      </c>
      <c r="R5218" s="34">
        <f t="shared" si="84"/>
        <v>0.59398838665601839</v>
      </c>
    </row>
    <row r="5219" spans="16:18" x14ac:dyDescent="0.3">
      <c r="P5219" s="35">
        <v>34.51</v>
      </c>
      <c r="Q5219">
        <v>305</v>
      </c>
      <c r="R5219" s="34">
        <f t="shared" si="84"/>
        <v>0.59410224296935099</v>
      </c>
    </row>
    <row r="5220" spans="16:18" x14ac:dyDescent="0.3">
      <c r="P5220" s="35">
        <v>34.520000000000003</v>
      </c>
      <c r="Q5220">
        <v>305</v>
      </c>
      <c r="R5220" s="34">
        <f t="shared" si="84"/>
        <v>0.5942160992826836</v>
      </c>
    </row>
    <row r="5221" spans="16:18" x14ac:dyDescent="0.3">
      <c r="P5221" s="35">
        <v>34.53</v>
      </c>
      <c r="Q5221">
        <v>305</v>
      </c>
      <c r="R5221" s="34">
        <f t="shared" si="84"/>
        <v>0.5943299555960162</v>
      </c>
    </row>
    <row r="5222" spans="16:18" x14ac:dyDescent="0.3">
      <c r="P5222" s="35">
        <v>34.53</v>
      </c>
      <c r="Q5222">
        <v>305</v>
      </c>
      <c r="R5222" s="34">
        <f t="shared" si="84"/>
        <v>0.59444381190934881</v>
      </c>
    </row>
    <row r="5223" spans="16:18" x14ac:dyDescent="0.3">
      <c r="P5223" s="35">
        <v>34.53</v>
      </c>
      <c r="Q5223">
        <v>305</v>
      </c>
      <c r="R5223" s="34">
        <f t="shared" si="84"/>
        <v>0.59455766822268141</v>
      </c>
    </row>
    <row r="5224" spans="16:18" x14ac:dyDescent="0.3">
      <c r="P5224" s="35">
        <v>34.54</v>
      </c>
      <c r="Q5224">
        <v>305</v>
      </c>
      <c r="R5224" s="34">
        <f t="shared" si="84"/>
        <v>0.59467152453601402</v>
      </c>
    </row>
    <row r="5225" spans="16:18" x14ac:dyDescent="0.3">
      <c r="P5225" s="35">
        <v>34.54</v>
      </c>
      <c r="Q5225">
        <v>305</v>
      </c>
      <c r="R5225" s="34">
        <f t="shared" si="84"/>
        <v>0.59478538084934662</v>
      </c>
    </row>
    <row r="5226" spans="16:18" x14ac:dyDescent="0.3">
      <c r="P5226" s="35">
        <v>34.549999999999997</v>
      </c>
      <c r="Q5226">
        <v>305</v>
      </c>
      <c r="R5226" s="34">
        <f t="shared" si="84"/>
        <v>0.59489923716267923</v>
      </c>
    </row>
    <row r="5227" spans="16:18" x14ac:dyDescent="0.3">
      <c r="P5227" s="35">
        <v>34.549999999999997</v>
      </c>
      <c r="Q5227">
        <v>305</v>
      </c>
      <c r="R5227" s="34">
        <f t="shared" si="84"/>
        <v>0.59501309347601183</v>
      </c>
    </row>
    <row r="5228" spans="16:18" x14ac:dyDescent="0.3">
      <c r="P5228" s="35">
        <v>34.549999999999997</v>
      </c>
      <c r="Q5228">
        <v>305</v>
      </c>
      <c r="R5228" s="34">
        <f t="shared" si="84"/>
        <v>0.59512694978934444</v>
      </c>
    </row>
    <row r="5229" spans="16:18" x14ac:dyDescent="0.3">
      <c r="P5229" s="35">
        <v>34.56</v>
      </c>
      <c r="Q5229">
        <v>305</v>
      </c>
      <c r="R5229" s="34">
        <f t="shared" si="84"/>
        <v>0.59524080610267704</v>
      </c>
    </row>
    <row r="5230" spans="16:18" x14ac:dyDescent="0.3">
      <c r="P5230" s="35">
        <v>34.56</v>
      </c>
      <c r="Q5230">
        <v>305</v>
      </c>
      <c r="R5230" s="34">
        <f t="shared" si="84"/>
        <v>0.59535466241600965</v>
      </c>
    </row>
    <row r="5231" spans="16:18" x14ac:dyDescent="0.3">
      <c r="P5231" s="35">
        <v>34.56</v>
      </c>
      <c r="Q5231">
        <v>305</v>
      </c>
      <c r="R5231" s="34">
        <f t="shared" si="84"/>
        <v>0.59546851872934226</v>
      </c>
    </row>
    <row r="5232" spans="16:18" x14ac:dyDescent="0.3">
      <c r="P5232" s="35">
        <v>34.56</v>
      </c>
      <c r="Q5232">
        <v>305</v>
      </c>
      <c r="R5232" s="34">
        <f t="shared" si="84"/>
        <v>0.59558237504267486</v>
      </c>
    </row>
    <row r="5233" spans="16:18" x14ac:dyDescent="0.3">
      <c r="P5233" s="35">
        <v>34.57</v>
      </c>
      <c r="Q5233">
        <v>305</v>
      </c>
      <c r="R5233" s="34">
        <f t="shared" si="84"/>
        <v>0.59569623135600747</v>
      </c>
    </row>
    <row r="5234" spans="16:18" x14ac:dyDescent="0.3">
      <c r="P5234" s="35">
        <v>34.57</v>
      </c>
      <c r="Q5234">
        <v>305</v>
      </c>
      <c r="R5234" s="34">
        <f t="shared" si="84"/>
        <v>0.59581008766934007</v>
      </c>
    </row>
    <row r="5235" spans="16:18" x14ac:dyDescent="0.3">
      <c r="P5235" s="35">
        <v>34.58</v>
      </c>
      <c r="Q5235">
        <v>305</v>
      </c>
      <c r="R5235" s="34">
        <f t="shared" si="84"/>
        <v>0.59592394398267268</v>
      </c>
    </row>
    <row r="5236" spans="16:18" x14ac:dyDescent="0.3">
      <c r="P5236" s="35">
        <v>34.58</v>
      </c>
      <c r="Q5236">
        <v>305</v>
      </c>
      <c r="R5236" s="34">
        <f t="shared" si="84"/>
        <v>0.59603780029600528</v>
      </c>
    </row>
    <row r="5237" spans="16:18" x14ac:dyDescent="0.3">
      <c r="P5237" s="35">
        <v>34.590000000000003</v>
      </c>
      <c r="Q5237">
        <v>305</v>
      </c>
      <c r="R5237" s="34">
        <f t="shared" si="84"/>
        <v>0.59615165660933789</v>
      </c>
    </row>
    <row r="5238" spans="16:18" x14ac:dyDescent="0.3">
      <c r="P5238" s="35">
        <v>34.590000000000003</v>
      </c>
      <c r="Q5238">
        <v>305</v>
      </c>
      <c r="R5238" s="34">
        <f t="shared" si="84"/>
        <v>0.59626551292267049</v>
      </c>
    </row>
    <row r="5239" spans="16:18" x14ac:dyDescent="0.3">
      <c r="P5239" s="35">
        <v>34.6</v>
      </c>
      <c r="Q5239">
        <v>305</v>
      </c>
      <c r="R5239" s="34">
        <f t="shared" si="84"/>
        <v>0.5963793692360031</v>
      </c>
    </row>
    <row r="5240" spans="16:18" x14ac:dyDescent="0.3">
      <c r="P5240" s="35">
        <v>34.61</v>
      </c>
      <c r="Q5240">
        <v>305</v>
      </c>
      <c r="R5240" s="34">
        <f t="shared" si="84"/>
        <v>0.5964932255493357</v>
      </c>
    </row>
    <row r="5241" spans="16:18" x14ac:dyDescent="0.3">
      <c r="P5241" s="35">
        <v>34.61</v>
      </c>
      <c r="Q5241">
        <v>305</v>
      </c>
      <c r="R5241" s="34">
        <f t="shared" si="84"/>
        <v>0.59660708186266831</v>
      </c>
    </row>
    <row r="5242" spans="16:18" x14ac:dyDescent="0.3">
      <c r="P5242" s="35">
        <v>34.619999999999997</v>
      </c>
      <c r="Q5242">
        <v>305</v>
      </c>
      <c r="R5242" s="34">
        <f t="shared" si="84"/>
        <v>0.59672093817600091</v>
      </c>
    </row>
    <row r="5243" spans="16:18" x14ac:dyDescent="0.3">
      <c r="P5243" s="35">
        <v>34.619999999999997</v>
      </c>
      <c r="Q5243">
        <v>305</v>
      </c>
      <c r="R5243" s="34">
        <f t="shared" si="84"/>
        <v>0.59683479448933352</v>
      </c>
    </row>
    <row r="5244" spans="16:18" x14ac:dyDescent="0.3">
      <c r="P5244" s="35">
        <v>34.619999999999997</v>
      </c>
      <c r="Q5244">
        <v>305</v>
      </c>
      <c r="R5244" s="34">
        <f t="shared" si="84"/>
        <v>0.59694865080266613</v>
      </c>
    </row>
    <row r="5245" spans="16:18" x14ac:dyDescent="0.3">
      <c r="P5245" s="35">
        <v>34.619999999999997</v>
      </c>
      <c r="Q5245">
        <v>305</v>
      </c>
      <c r="R5245" s="34">
        <f t="shared" si="84"/>
        <v>0.59706250711599873</v>
      </c>
    </row>
    <row r="5246" spans="16:18" x14ac:dyDescent="0.3">
      <c r="P5246" s="35">
        <v>34.619999999999997</v>
      </c>
      <c r="Q5246">
        <v>305</v>
      </c>
      <c r="R5246" s="34">
        <f t="shared" si="84"/>
        <v>0.59717636342933134</v>
      </c>
    </row>
    <row r="5247" spans="16:18" x14ac:dyDescent="0.3">
      <c r="P5247" s="35">
        <v>34.630000000000003</v>
      </c>
      <c r="Q5247">
        <v>305</v>
      </c>
      <c r="R5247" s="34">
        <f t="shared" si="84"/>
        <v>0.59729021974266394</v>
      </c>
    </row>
    <row r="5248" spans="16:18" x14ac:dyDescent="0.3">
      <c r="P5248" s="35">
        <v>34.630000000000003</v>
      </c>
      <c r="Q5248">
        <v>305</v>
      </c>
      <c r="R5248" s="34">
        <f t="shared" si="84"/>
        <v>0.59740407605599655</v>
      </c>
    </row>
    <row r="5249" spans="16:18" x14ac:dyDescent="0.3">
      <c r="P5249" s="35">
        <v>34.64</v>
      </c>
      <c r="Q5249">
        <v>305</v>
      </c>
      <c r="R5249" s="34">
        <f t="shared" si="84"/>
        <v>0.59751793236932915</v>
      </c>
    </row>
    <row r="5250" spans="16:18" x14ac:dyDescent="0.3">
      <c r="P5250" s="35">
        <v>34.64</v>
      </c>
      <c r="Q5250">
        <v>305</v>
      </c>
      <c r="R5250" s="34">
        <f t="shared" si="84"/>
        <v>0.59763178868266176</v>
      </c>
    </row>
    <row r="5251" spans="16:18" x14ac:dyDescent="0.3">
      <c r="P5251" s="35">
        <v>34.64</v>
      </c>
      <c r="Q5251">
        <v>305</v>
      </c>
      <c r="R5251" s="34">
        <f t="shared" si="84"/>
        <v>0.59774564499599436</v>
      </c>
    </row>
    <row r="5252" spans="16:18" x14ac:dyDescent="0.3">
      <c r="P5252" s="35">
        <v>34.65</v>
      </c>
      <c r="Q5252">
        <v>305</v>
      </c>
      <c r="R5252" s="34">
        <f t="shared" ref="R5252:R5315" si="85">R5251+R$2</f>
        <v>0.59785950130932697</v>
      </c>
    </row>
    <row r="5253" spans="16:18" x14ac:dyDescent="0.3">
      <c r="P5253" s="35">
        <v>34.65</v>
      </c>
      <c r="Q5253">
        <v>305</v>
      </c>
      <c r="R5253" s="34">
        <f t="shared" si="85"/>
        <v>0.59797335762265957</v>
      </c>
    </row>
    <row r="5254" spans="16:18" x14ac:dyDescent="0.3">
      <c r="P5254" s="35">
        <v>34.659999999999997</v>
      </c>
      <c r="Q5254">
        <v>305</v>
      </c>
      <c r="R5254" s="34">
        <f t="shared" si="85"/>
        <v>0.59808721393599218</v>
      </c>
    </row>
    <row r="5255" spans="16:18" x14ac:dyDescent="0.3">
      <c r="P5255" s="35">
        <v>34.67</v>
      </c>
      <c r="Q5255">
        <v>305</v>
      </c>
      <c r="R5255" s="34">
        <f t="shared" si="85"/>
        <v>0.59820107024932478</v>
      </c>
    </row>
    <row r="5256" spans="16:18" x14ac:dyDescent="0.3">
      <c r="P5256" s="35">
        <v>34.68</v>
      </c>
      <c r="Q5256">
        <v>305</v>
      </c>
      <c r="R5256" s="34">
        <f t="shared" si="85"/>
        <v>0.59831492656265739</v>
      </c>
    </row>
    <row r="5257" spans="16:18" x14ac:dyDescent="0.3">
      <c r="P5257" s="35">
        <v>34.68</v>
      </c>
      <c r="Q5257">
        <v>305</v>
      </c>
      <c r="R5257" s="34">
        <f t="shared" si="85"/>
        <v>0.59842878287599</v>
      </c>
    </row>
    <row r="5258" spans="16:18" x14ac:dyDescent="0.3">
      <c r="P5258" s="35">
        <v>34.700000000000003</v>
      </c>
      <c r="Q5258">
        <v>305</v>
      </c>
      <c r="R5258" s="34">
        <f t="shared" si="85"/>
        <v>0.5985426391893226</v>
      </c>
    </row>
    <row r="5259" spans="16:18" x14ac:dyDescent="0.3">
      <c r="P5259" s="35">
        <v>34.700000000000003</v>
      </c>
      <c r="Q5259">
        <v>305</v>
      </c>
      <c r="R5259" s="34">
        <f t="shared" si="85"/>
        <v>0.59865649550265521</v>
      </c>
    </row>
    <row r="5260" spans="16:18" x14ac:dyDescent="0.3">
      <c r="P5260" s="35">
        <v>34.72</v>
      </c>
      <c r="Q5260">
        <v>305</v>
      </c>
      <c r="R5260" s="34">
        <f t="shared" si="85"/>
        <v>0.59877035181598781</v>
      </c>
    </row>
    <row r="5261" spans="16:18" x14ac:dyDescent="0.3">
      <c r="P5261" s="35">
        <v>34.72</v>
      </c>
      <c r="Q5261">
        <v>305</v>
      </c>
      <c r="R5261" s="34">
        <f t="shared" si="85"/>
        <v>0.59888420812932042</v>
      </c>
    </row>
    <row r="5262" spans="16:18" x14ac:dyDescent="0.3">
      <c r="P5262" s="35">
        <v>34.72</v>
      </c>
      <c r="Q5262">
        <v>305</v>
      </c>
      <c r="R5262" s="34">
        <f t="shared" si="85"/>
        <v>0.59899806444265302</v>
      </c>
    </row>
    <row r="5263" spans="16:18" x14ac:dyDescent="0.3">
      <c r="P5263" s="35">
        <v>34.72</v>
      </c>
      <c r="Q5263">
        <v>305</v>
      </c>
      <c r="R5263" s="34">
        <f t="shared" si="85"/>
        <v>0.59911192075598563</v>
      </c>
    </row>
    <row r="5264" spans="16:18" x14ac:dyDescent="0.3">
      <c r="P5264" s="35">
        <v>34.729999999999997</v>
      </c>
      <c r="Q5264">
        <v>305</v>
      </c>
      <c r="R5264" s="34">
        <f t="shared" si="85"/>
        <v>0.59922577706931823</v>
      </c>
    </row>
    <row r="5265" spans="16:18" x14ac:dyDescent="0.3">
      <c r="P5265" s="35">
        <v>34.729999999999997</v>
      </c>
      <c r="Q5265">
        <v>305</v>
      </c>
      <c r="R5265" s="34">
        <f t="shared" si="85"/>
        <v>0.59933963338265084</v>
      </c>
    </row>
    <row r="5266" spans="16:18" x14ac:dyDescent="0.3">
      <c r="P5266" s="35">
        <v>34.729999999999997</v>
      </c>
      <c r="Q5266">
        <v>305</v>
      </c>
      <c r="R5266" s="34">
        <f t="shared" si="85"/>
        <v>0.59945348969598344</v>
      </c>
    </row>
    <row r="5267" spans="16:18" x14ac:dyDescent="0.3">
      <c r="P5267" s="35">
        <v>34.729999999999997</v>
      </c>
      <c r="Q5267">
        <v>305</v>
      </c>
      <c r="R5267" s="34">
        <f t="shared" si="85"/>
        <v>0.59956734600931605</v>
      </c>
    </row>
    <row r="5268" spans="16:18" x14ac:dyDescent="0.3">
      <c r="P5268" s="35">
        <v>34.74</v>
      </c>
      <c r="Q5268">
        <v>305</v>
      </c>
      <c r="R5268" s="34">
        <f t="shared" si="85"/>
        <v>0.59968120232264865</v>
      </c>
    </row>
    <row r="5269" spans="16:18" x14ac:dyDescent="0.3">
      <c r="P5269" s="35">
        <v>34.74</v>
      </c>
      <c r="Q5269">
        <v>305</v>
      </c>
      <c r="R5269" s="34">
        <f t="shared" si="85"/>
        <v>0.59979505863598126</v>
      </c>
    </row>
    <row r="5270" spans="16:18" x14ac:dyDescent="0.3">
      <c r="P5270" s="35">
        <v>34.75</v>
      </c>
      <c r="Q5270">
        <v>305</v>
      </c>
      <c r="R5270" s="34">
        <f t="shared" si="85"/>
        <v>0.59990891494931387</v>
      </c>
    </row>
    <row r="5271" spans="16:18" x14ac:dyDescent="0.3">
      <c r="P5271" s="35">
        <v>34.75</v>
      </c>
      <c r="Q5271">
        <v>305</v>
      </c>
      <c r="R5271" s="34">
        <f t="shared" si="85"/>
        <v>0.60002277126264647</v>
      </c>
    </row>
    <row r="5272" spans="16:18" x14ac:dyDescent="0.3">
      <c r="P5272" s="35">
        <v>34.76</v>
      </c>
      <c r="Q5272">
        <v>305</v>
      </c>
      <c r="R5272" s="34">
        <f t="shared" si="85"/>
        <v>0.60013662757597908</v>
      </c>
    </row>
    <row r="5273" spans="16:18" x14ac:dyDescent="0.3">
      <c r="P5273" s="35">
        <v>34.770000000000003</v>
      </c>
      <c r="Q5273">
        <v>305</v>
      </c>
      <c r="R5273" s="34">
        <f t="shared" si="85"/>
        <v>0.60025048388931168</v>
      </c>
    </row>
    <row r="5274" spans="16:18" x14ac:dyDescent="0.3">
      <c r="P5274" s="35">
        <v>34.770000000000003</v>
      </c>
      <c r="Q5274">
        <v>305</v>
      </c>
      <c r="R5274" s="34">
        <f t="shared" si="85"/>
        <v>0.60036434020264429</v>
      </c>
    </row>
    <row r="5275" spans="16:18" x14ac:dyDescent="0.3">
      <c r="P5275" s="35">
        <v>34.770000000000003</v>
      </c>
      <c r="Q5275">
        <v>305</v>
      </c>
      <c r="R5275" s="34">
        <f t="shared" si="85"/>
        <v>0.60047819651597689</v>
      </c>
    </row>
    <row r="5276" spans="16:18" x14ac:dyDescent="0.3">
      <c r="P5276" s="35">
        <v>34.770000000000003</v>
      </c>
      <c r="Q5276">
        <v>305</v>
      </c>
      <c r="R5276" s="34">
        <f t="shared" si="85"/>
        <v>0.6005920528293095</v>
      </c>
    </row>
    <row r="5277" spans="16:18" x14ac:dyDescent="0.3">
      <c r="P5277" s="35">
        <v>34.78</v>
      </c>
      <c r="Q5277">
        <v>305</v>
      </c>
      <c r="R5277" s="34">
        <f t="shared" si="85"/>
        <v>0.6007059091426421</v>
      </c>
    </row>
    <row r="5278" spans="16:18" x14ac:dyDescent="0.3">
      <c r="P5278" s="35">
        <v>34.79</v>
      </c>
      <c r="Q5278">
        <v>305</v>
      </c>
      <c r="R5278" s="34">
        <f t="shared" si="85"/>
        <v>0.60081976545597471</v>
      </c>
    </row>
    <row r="5279" spans="16:18" x14ac:dyDescent="0.3">
      <c r="P5279" s="35">
        <v>34.79</v>
      </c>
      <c r="Q5279">
        <v>305</v>
      </c>
      <c r="R5279" s="34">
        <f t="shared" si="85"/>
        <v>0.60093362176930731</v>
      </c>
    </row>
    <row r="5280" spans="16:18" x14ac:dyDescent="0.3">
      <c r="P5280" s="35">
        <v>34.799999999999997</v>
      </c>
      <c r="Q5280">
        <v>305</v>
      </c>
      <c r="R5280" s="34">
        <f t="shared" si="85"/>
        <v>0.60104747808263992</v>
      </c>
    </row>
    <row r="5281" spans="16:18" x14ac:dyDescent="0.3">
      <c r="P5281" s="35">
        <v>34.799999999999997</v>
      </c>
      <c r="Q5281">
        <v>305</v>
      </c>
      <c r="R5281" s="34">
        <f t="shared" si="85"/>
        <v>0.60116133439597252</v>
      </c>
    </row>
    <row r="5282" spans="16:18" x14ac:dyDescent="0.3">
      <c r="P5282" s="35">
        <v>34.799999999999997</v>
      </c>
      <c r="Q5282">
        <v>305</v>
      </c>
      <c r="R5282" s="34">
        <f t="shared" si="85"/>
        <v>0.60127519070930513</v>
      </c>
    </row>
    <row r="5283" spans="16:18" x14ac:dyDescent="0.3">
      <c r="P5283" s="35">
        <v>34.81</v>
      </c>
      <c r="Q5283">
        <v>305</v>
      </c>
      <c r="R5283" s="34">
        <f t="shared" si="85"/>
        <v>0.60138904702263773</v>
      </c>
    </row>
    <row r="5284" spans="16:18" x14ac:dyDescent="0.3">
      <c r="P5284" s="35">
        <v>34.81</v>
      </c>
      <c r="Q5284">
        <v>305</v>
      </c>
      <c r="R5284" s="34">
        <f t="shared" si="85"/>
        <v>0.60150290333597034</v>
      </c>
    </row>
    <row r="5285" spans="16:18" x14ac:dyDescent="0.3">
      <c r="P5285" s="35">
        <v>34.81</v>
      </c>
      <c r="Q5285">
        <v>305</v>
      </c>
      <c r="R5285" s="34">
        <f t="shared" si="85"/>
        <v>0.60161675964930295</v>
      </c>
    </row>
    <row r="5286" spans="16:18" x14ac:dyDescent="0.3">
      <c r="P5286" s="35">
        <v>34.81</v>
      </c>
      <c r="Q5286">
        <v>305</v>
      </c>
      <c r="R5286" s="34">
        <f t="shared" si="85"/>
        <v>0.60173061596263555</v>
      </c>
    </row>
    <row r="5287" spans="16:18" x14ac:dyDescent="0.3">
      <c r="P5287" s="35">
        <v>34.82</v>
      </c>
      <c r="Q5287">
        <v>305</v>
      </c>
      <c r="R5287" s="34">
        <f t="shared" si="85"/>
        <v>0.60184447227596816</v>
      </c>
    </row>
    <row r="5288" spans="16:18" x14ac:dyDescent="0.3">
      <c r="P5288" s="35">
        <v>34.82</v>
      </c>
      <c r="Q5288">
        <v>305</v>
      </c>
      <c r="R5288" s="34">
        <f t="shared" si="85"/>
        <v>0.60195832858930076</v>
      </c>
    </row>
    <row r="5289" spans="16:18" x14ac:dyDescent="0.3">
      <c r="P5289" s="35">
        <v>34.82</v>
      </c>
      <c r="Q5289">
        <v>305</v>
      </c>
      <c r="R5289" s="34">
        <f t="shared" si="85"/>
        <v>0.60207218490263337</v>
      </c>
    </row>
    <row r="5290" spans="16:18" x14ac:dyDescent="0.3">
      <c r="P5290" s="35">
        <v>34.83</v>
      </c>
      <c r="Q5290">
        <v>305</v>
      </c>
      <c r="R5290" s="34">
        <f t="shared" si="85"/>
        <v>0.60218604121596597</v>
      </c>
    </row>
    <row r="5291" spans="16:18" x14ac:dyDescent="0.3">
      <c r="P5291" s="35">
        <v>34.840000000000003</v>
      </c>
      <c r="Q5291">
        <v>305</v>
      </c>
      <c r="R5291" s="34">
        <f t="shared" si="85"/>
        <v>0.60229989752929858</v>
      </c>
    </row>
    <row r="5292" spans="16:18" x14ac:dyDescent="0.3">
      <c r="P5292" s="35">
        <v>34.840000000000003</v>
      </c>
      <c r="Q5292">
        <v>305</v>
      </c>
      <c r="R5292" s="34">
        <f t="shared" si="85"/>
        <v>0.60241375384263118</v>
      </c>
    </row>
    <row r="5293" spans="16:18" x14ac:dyDescent="0.3">
      <c r="P5293" s="35">
        <v>34.840000000000003</v>
      </c>
      <c r="Q5293">
        <v>305</v>
      </c>
      <c r="R5293" s="34">
        <f t="shared" si="85"/>
        <v>0.60252761015596379</v>
      </c>
    </row>
    <row r="5294" spans="16:18" x14ac:dyDescent="0.3">
      <c r="P5294" s="35">
        <v>34.85</v>
      </c>
      <c r="Q5294">
        <v>305</v>
      </c>
      <c r="R5294" s="34">
        <f t="shared" si="85"/>
        <v>0.60264146646929639</v>
      </c>
    </row>
    <row r="5295" spans="16:18" x14ac:dyDescent="0.3">
      <c r="P5295" s="35">
        <v>34.86</v>
      </c>
      <c r="Q5295">
        <v>305</v>
      </c>
      <c r="R5295" s="34">
        <f t="shared" si="85"/>
        <v>0.602755322782629</v>
      </c>
    </row>
    <row r="5296" spans="16:18" x14ac:dyDescent="0.3">
      <c r="P5296" s="35">
        <v>34.869999999999997</v>
      </c>
      <c r="Q5296">
        <v>305</v>
      </c>
      <c r="R5296" s="34">
        <f t="shared" si="85"/>
        <v>0.6028691790959616</v>
      </c>
    </row>
    <row r="5297" spans="16:18" x14ac:dyDescent="0.3">
      <c r="P5297" s="35">
        <v>34.880000000000003</v>
      </c>
      <c r="Q5297">
        <v>305</v>
      </c>
      <c r="R5297" s="34">
        <f t="shared" si="85"/>
        <v>0.60298303540929421</v>
      </c>
    </row>
    <row r="5298" spans="16:18" x14ac:dyDescent="0.3">
      <c r="P5298" s="35">
        <v>34.89</v>
      </c>
      <c r="Q5298">
        <v>305</v>
      </c>
      <c r="R5298" s="34">
        <f t="shared" si="85"/>
        <v>0.60309689172262682</v>
      </c>
    </row>
    <row r="5299" spans="16:18" x14ac:dyDescent="0.3">
      <c r="P5299" s="35">
        <v>34.9</v>
      </c>
      <c r="Q5299">
        <v>305</v>
      </c>
      <c r="R5299" s="34">
        <f t="shared" si="85"/>
        <v>0.60321074803595942</v>
      </c>
    </row>
    <row r="5300" spans="16:18" x14ac:dyDescent="0.3">
      <c r="P5300" s="35">
        <v>34.9</v>
      </c>
      <c r="Q5300">
        <v>305</v>
      </c>
      <c r="R5300" s="34">
        <f t="shared" si="85"/>
        <v>0.60332460434929203</v>
      </c>
    </row>
    <row r="5301" spans="16:18" x14ac:dyDescent="0.3">
      <c r="P5301" s="35">
        <v>34.909999999999997</v>
      </c>
      <c r="Q5301">
        <v>305</v>
      </c>
      <c r="R5301" s="34">
        <f t="shared" si="85"/>
        <v>0.60343846066262463</v>
      </c>
    </row>
    <row r="5302" spans="16:18" x14ac:dyDescent="0.3">
      <c r="P5302" s="35">
        <v>34.909999999999997</v>
      </c>
      <c r="Q5302">
        <v>305</v>
      </c>
      <c r="R5302" s="34">
        <f t="shared" si="85"/>
        <v>0.60355231697595724</v>
      </c>
    </row>
    <row r="5303" spans="16:18" x14ac:dyDescent="0.3">
      <c r="P5303" s="35">
        <v>34.92</v>
      </c>
      <c r="Q5303">
        <v>305</v>
      </c>
      <c r="R5303" s="34">
        <f t="shared" si="85"/>
        <v>0.60366617328928984</v>
      </c>
    </row>
    <row r="5304" spans="16:18" x14ac:dyDescent="0.3">
      <c r="P5304" s="35">
        <v>34.93</v>
      </c>
      <c r="Q5304">
        <v>305</v>
      </c>
      <c r="R5304" s="34">
        <f t="shared" si="85"/>
        <v>0.60378002960262245</v>
      </c>
    </row>
    <row r="5305" spans="16:18" x14ac:dyDescent="0.3">
      <c r="P5305" s="35">
        <v>34.93</v>
      </c>
      <c r="Q5305">
        <v>305</v>
      </c>
      <c r="R5305" s="34">
        <f t="shared" si="85"/>
        <v>0.60389388591595505</v>
      </c>
    </row>
    <row r="5306" spans="16:18" x14ac:dyDescent="0.3">
      <c r="P5306" s="35">
        <v>34.94</v>
      </c>
      <c r="Q5306">
        <v>305</v>
      </c>
      <c r="R5306" s="34">
        <f t="shared" si="85"/>
        <v>0.60400774222928766</v>
      </c>
    </row>
    <row r="5307" spans="16:18" x14ac:dyDescent="0.3">
      <c r="P5307" s="35">
        <v>34.96</v>
      </c>
      <c r="Q5307">
        <v>305</v>
      </c>
      <c r="R5307" s="34">
        <f t="shared" si="85"/>
        <v>0.60412159854262026</v>
      </c>
    </row>
    <row r="5308" spans="16:18" x14ac:dyDescent="0.3">
      <c r="P5308" s="35">
        <v>34.97</v>
      </c>
      <c r="Q5308">
        <v>305</v>
      </c>
      <c r="R5308" s="34">
        <f t="shared" si="85"/>
        <v>0.60423545485595287</v>
      </c>
    </row>
    <row r="5309" spans="16:18" x14ac:dyDescent="0.3">
      <c r="P5309" s="35">
        <v>34.979999999999997</v>
      </c>
      <c r="Q5309">
        <v>305</v>
      </c>
      <c r="R5309" s="34">
        <f t="shared" si="85"/>
        <v>0.60434931116928547</v>
      </c>
    </row>
    <row r="5310" spans="16:18" x14ac:dyDescent="0.3">
      <c r="P5310" s="35">
        <v>34.979999999999997</v>
      </c>
      <c r="Q5310">
        <v>305</v>
      </c>
      <c r="R5310" s="34">
        <f t="shared" si="85"/>
        <v>0.60446316748261808</v>
      </c>
    </row>
    <row r="5311" spans="16:18" x14ac:dyDescent="0.3">
      <c r="P5311" s="35">
        <v>34.99</v>
      </c>
      <c r="Q5311">
        <v>305</v>
      </c>
      <c r="R5311" s="34">
        <f t="shared" si="85"/>
        <v>0.60457702379595069</v>
      </c>
    </row>
    <row r="5312" spans="16:18" x14ac:dyDescent="0.3">
      <c r="P5312" s="35">
        <v>34.99</v>
      </c>
      <c r="Q5312">
        <v>305</v>
      </c>
      <c r="R5312" s="34">
        <f t="shared" si="85"/>
        <v>0.60469088010928329</v>
      </c>
    </row>
    <row r="5313" spans="16:18" x14ac:dyDescent="0.3">
      <c r="P5313" s="35">
        <v>34.99</v>
      </c>
      <c r="Q5313">
        <v>305</v>
      </c>
      <c r="R5313" s="34">
        <f t="shared" si="85"/>
        <v>0.6048047364226159</v>
      </c>
    </row>
    <row r="5314" spans="16:18" x14ac:dyDescent="0.3">
      <c r="P5314" s="35">
        <v>35.020000000000003</v>
      </c>
      <c r="Q5314">
        <v>305</v>
      </c>
      <c r="R5314" s="34">
        <f t="shared" si="85"/>
        <v>0.6049185927359485</v>
      </c>
    </row>
    <row r="5315" spans="16:18" x14ac:dyDescent="0.3">
      <c r="P5315" s="35">
        <v>35.020000000000003</v>
      </c>
      <c r="Q5315">
        <v>305</v>
      </c>
      <c r="R5315" s="34">
        <f t="shared" si="85"/>
        <v>0.60503244904928111</v>
      </c>
    </row>
    <row r="5316" spans="16:18" x14ac:dyDescent="0.3">
      <c r="P5316" s="35">
        <v>35.03</v>
      </c>
      <c r="Q5316">
        <v>305</v>
      </c>
      <c r="R5316" s="34">
        <f t="shared" ref="R5316:R5379" si="86">R5315+R$2</f>
        <v>0.60514630536261371</v>
      </c>
    </row>
    <row r="5317" spans="16:18" x14ac:dyDescent="0.3">
      <c r="P5317" s="35">
        <v>35.04</v>
      </c>
      <c r="Q5317">
        <v>305</v>
      </c>
      <c r="R5317" s="34">
        <f t="shared" si="86"/>
        <v>0.60526016167594632</v>
      </c>
    </row>
    <row r="5318" spans="16:18" x14ac:dyDescent="0.3">
      <c r="P5318" s="35">
        <v>35.049999999999997</v>
      </c>
      <c r="Q5318">
        <v>305</v>
      </c>
      <c r="R5318" s="34">
        <f t="shared" si="86"/>
        <v>0.60537401798927892</v>
      </c>
    </row>
    <row r="5319" spans="16:18" x14ac:dyDescent="0.3">
      <c r="P5319" s="35">
        <v>35.049999999999997</v>
      </c>
      <c r="Q5319">
        <v>305</v>
      </c>
      <c r="R5319" s="34">
        <f t="shared" si="86"/>
        <v>0.60548787430261153</v>
      </c>
    </row>
    <row r="5320" spans="16:18" x14ac:dyDescent="0.3">
      <c r="P5320" s="35">
        <v>35.06</v>
      </c>
      <c r="Q5320">
        <v>305</v>
      </c>
      <c r="R5320" s="34">
        <f t="shared" si="86"/>
        <v>0.60560173061594413</v>
      </c>
    </row>
    <row r="5321" spans="16:18" x14ac:dyDescent="0.3">
      <c r="P5321" s="35">
        <v>35.06</v>
      </c>
      <c r="Q5321">
        <v>305</v>
      </c>
      <c r="R5321" s="34">
        <f t="shared" si="86"/>
        <v>0.60571558692927674</v>
      </c>
    </row>
    <row r="5322" spans="16:18" x14ac:dyDescent="0.3">
      <c r="P5322" s="35">
        <v>35.06</v>
      </c>
      <c r="Q5322">
        <v>305</v>
      </c>
      <c r="R5322" s="34">
        <f t="shared" si="86"/>
        <v>0.60582944324260934</v>
      </c>
    </row>
    <row r="5323" spans="16:18" x14ac:dyDescent="0.3">
      <c r="P5323" s="35">
        <v>35.06</v>
      </c>
      <c r="Q5323">
        <v>305</v>
      </c>
      <c r="R5323" s="34">
        <f t="shared" si="86"/>
        <v>0.60594329955594195</v>
      </c>
    </row>
    <row r="5324" spans="16:18" x14ac:dyDescent="0.3">
      <c r="P5324" s="35">
        <v>35.06</v>
      </c>
      <c r="Q5324">
        <v>305</v>
      </c>
      <c r="R5324" s="34">
        <f t="shared" si="86"/>
        <v>0.60605715586927456</v>
      </c>
    </row>
    <row r="5325" spans="16:18" x14ac:dyDescent="0.3">
      <c r="P5325" s="35">
        <v>35.07</v>
      </c>
      <c r="Q5325">
        <v>305</v>
      </c>
      <c r="R5325" s="34">
        <f t="shared" si="86"/>
        <v>0.60617101218260716</v>
      </c>
    </row>
    <row r="5326" spans="16:18" x14ac:dyDescent="0.3">
      <c r="P5326" s="35">
        <v>35.07</v>
      </c>
      <c r="Q5326">
        <v>305</v>
      </c>
      <c r="R5326" s="34">
        <f t="shared" si="86"/>
        <v>0.60628486849593977</v>
      </c>
    </row>
    <row r="5327" spans="16:18" x14ac:dyDescent="0.3">
      <c r="P5327" s="35">
        <v>35.090000000000003</v>
      </c>
      <c r="Q5327">
        <v>305</v>
      </c>
      <c r="R5327" s="34">
        <f t="shared" si="86"/>
        <v>0.60639872480927237</v>
      </c>
    </row>
    <row r="5328" spans="16:18" x14ac:dyDescent="0.3">
      <c r="P5328" s="35">
        <v>35.090000000000003</v>
      </c>
      <c r="Q5328">
        <v>305</v>
      </c>
      <c r="R5328" s="34">
        <f t="shared" si="86"/>
        <v>0.60651258112260498</v>
      </c>
    </row>
    <row r="5329" spans="16:18" x14ac:dyDescent="0.3">
      <c r="P5329" s="35">
        <v>35.1</v>
      </c>
      <c r="Q5329">
        <v>305</v>
      </c>
      <c r="R5329" s="34">
        <f t="shared" si="86"/>
        <v>0.60662643743593758</v>
      </c>
    </row>
    <row r="5330" spans="16:18" x14ac:dyDescent="0.3">
      <c r="P5330" s="35">
        <v>35.11</v>
      </c>
      <c r="Q5330">
        <v>305</v>
      </c>
      <c r="R5330" s="34">
        <f t="shared" si="86"/>
        <v>0.60674029374927019</v>
      </c>
    </row>
    <row r="5331" spans="16:18" x14ac:dyDescent="0.3">
      <c r="P5331" s="35">
        <v>35.119999999999997</v>
      </c>
      <c r="Q5331">
        <v>305</v>
      </c>
      <c r="R5331" s="34">
        <f t="shared" si="86"/>
        <v>0.60685415006260279</v>
      </c>
    </row>
    <row r="5332" spans="16:18" x14ac:dyDescent="0.3">
      <c r="P5332" s="35">
        <v>35.130000000000003</v>
      </c>
      <c r="Q5332">
        <v>305</v>
      </c>
      <c r="R5332" s="34">
        <f t="shared" si="86"/>
        <v>0.6069680063759354</v>
      </c>
    </row>
    <row r="5333" spans="16:18" x14ac:dyDescent="0.3">
      <c r="P5333" s="35">
        <v>35.130000000000003</v>
      </c>
      <c r="Q5333">
        <v>305</v>
      </c>
      <c r="R5333" s="34">
        <f t="shared" si="86"/>
        <v>0.607081862689268</v>
      </c>
    </row>
    <row r="5334" spans="16:18" x14ac:dyDescent="0.3">
      <c r="P5334" s="35">
        <v>35.130000000000003</v>
      </c>
      <c r="Q5334">
        <v>305</v>
      </c>
      <c r="R5334" s="34">
        <f t="shared" si="86"/>
        <v>0.60719571900260061</v>
      </c>
    </row>
    <row r="5335" spans="16:18" x14ac:dyDescent="0.3">
      <c r="P5335" s="35">
        <v>35.14</v>
      </c>
      <c r="Q5335">
        <v>305</v>
      </c>
      <c r="R5335" s="34">
        <f t="shared" si="86"/>
        <v>0.60730957531593321</v>
      </c>
    </row>
    <row r="5336" spans="16:18" x14ac:dyDescent="0.3">
      <c r="P5336" s="35">
        <v>35.15</v>
      </c>
      <c r="Q5336">
        <v>305</v>
      </c>
      <c r="R5336" s="34">
        <f t="shared" si="86"/>
        <v>0.60742343162926582</v>
      </c>
    </row>
    <row r="5337" spans="16:18" x14ac:dyDescent="0.3">
      <c r="P5337" s="35">
        <v>35.15</v>
      </c>
      <c r="Q5337">
        <v>305</v>
      </c>
      <c r="R5337" s="34">
        <f t="shared" si="86"/>
        <v>0.60753728794259843</v>
      </c>
    </row>
    <row r="5338" spans="16:18" x14ac:dyDescent="0.3">
      <c r="P5338" s="35">
        <v>35.15</v>
      </c>
      <c r="Q5338">
        <v>305</v>
      </c>
      <c r="R5338" s="34">
        <f t="shared" si="86"/>
        <v>0.60765114425593103</v>
      </c>
    </row>
    <row r="5339" spans="16:18" x14ac:dyDescent="0.3">
      <c r="P5339" s="35">
        <v>35.159999999999997</v>
      </c>
      <c r="Q5339">
        <v>305</v>
      </c>
      <c r="R5339" s="34">
        <f t="shared" si="86"/>
        <v>0.60776500056926364</v>
      </c>
    </row>
    <row r="5340" spans="16:18" x14ac:dyDescent="0.3">
      <c r="P5340" s="35">
        <v>35.159999999999997</v>
      </c>
      <c r="Q5340">
        <v>305</v>
      </c>
      <c r="R5340" s="34">
        <f t="shared" si="86"/>
        <v>0.60787885688259624</v>
      </c>
    </row>
    <row r="5341" spans="16:18" x14ac:dyDescent="0.3">
      <c r="P5341" s="35">
        <v>35.159999999999997</v>
      </c>
      <c r="Q5341">
        <v>305</v>
      </c>
      <c r="R5341" s="34">
        <f t="shared" si="86"/>
        <v>0.60799271319592885</v>
      </c>
    </row>
    <row r="5342" spans="16:18" x14ac:dyDescent="0.3">
      <c r="P5342" s="35">
        <v>35.159999999999997</v>
      </c>
      <c r="Q5342">
        <v>305</v>
      </c>
      <c r="R5342" s="34">
        <f t="shared" si="86"/>
        <v>0.60810656950926145</v>
      </c>
    </row>
    <row r="5343" spans="16:18" x14ac:dyDescent="0.3">
      <c r="P5343" s="35">
        <v>35.17</v>
      </c>
      <c r="Q5343">
        <v>305</v>
      </c>
      <c r="R5343" s="34">
        <f t="shared" si="86"/>
        <v>0.60822042582259406</v>
      </c>
    </row>
    <row r="5344" spans="16:18" x14ac:dyDescent="0.3">
      <c r="P5344" s="35">
        <v>35.17</v>
      </c>
      <c r="Q5344">
        <v>305</v>
      </c>
      <c r="R5344" s="34">
        <f t="shared" si="86"/>
        <v>0.60833428213592666</v>
      </c>
    </row>
    <row r="5345" spans="16:18" x14ac:dyDescent="0.3">
      <c r="P5345" s="35">
        <v>35.19</v>
      </c>
      <c r="Q5345">
        <v>305</v>
      </c>
      <c r="R5345" s="34">
        <f t="shared" si="86"/>
        <v>0.60844813844925927</v>
      </c>
    </row>
    <row r="5346" spans="16:18" x14ac:dyDescent="0.3">
      <c r="P5346" s="35">
        <v>35.19</v>
      </c>
      <c r="Q5346">
        <v>305</v>
      </c>
      <c r="R5346" s="34">
        <f t="shared" si="86"/>
        <v>0.60856199476259187</v>
      </c>
    </row>
    <row r="5347" spans="16:18" x14ac:dyDescent="0.3">
      <c r="P5347" s="35">
        <v>35.200000000000003</v>
      </c>
      <c r="Q5347">
        <v>305</v>
      </c>
      <c r="R5347" s="34">
        <f t="shared" si="86"/>
        <v>0.60867585107592448</v>
      </c>
    </row>
    <row r="5348" spans="16:18" x14ac:dyDescent="0.3">
      <c r="P5348" s="35">
        <v>35.200000000000003</v>
      </c>
      <c r="Q5348">
        <v>305</v>
      </c>
      <c r="R5348" s="34">
        <f t="shared" si="86"/>
        <v>0.60878970738925708</v>
      </c>
    </row>
    <row r="5349" spans="16:18" x14ac:dyDescent="0.3">
      <c r="P5349" s="35">
        <v>35.200000000000003</v>
      </c>
      <c r="Q5349">
        <v>305</v>
      </c>
      <c r="R5349" s="34">
        <f t="shared" si="86"/>
        <v>0.60890356370258969</v>
      </c>
    </row>
    <row r="5350" spans="16:18" x14ac:dyDescent="0.3">
      <c r="P5350" s="35">
        <v>35.22</v>
      </c>
      <c r="Q5350">
        <v>305</v>
      </c>
      <c r="R5350" s="34">
        <f t="shared" si="86"/>
        <v>0.6090174200159223</v>
      </c>
    </row>
    <row r="5351" spans="16:18" x14ac:dyDescent="0.3">
      <c r="P5351" s="35">
        <v>35.229999999999997</v>
      </c>
      <c r="Q5351">
        <v>305</v>
      </c>
      <c r="R5351" s="34">
        <f t="shared" si="86"/>
        <v>0.6091312763292549</v>
      </c>
    </row>
    <row r="5352" spans="16:18" x14ac:dyDescent="0.3">
      <c r="P5352" s="35">
        <v>35.24</v>
      </c>
      <c r="Q5352">
        <v>305</v>
      </c>
      <c r="R5352" s="34">
        <f t="shared" si="86"/>
        <v>0.60924513264258751</v>
      </c>
    </row>
    <row r="5353" spans="16:18" x14ac:dyDescent="0.3">
      <c r="P5353" s="35">
        <v>35.25</v>
      </c>
      <c r="Q5353">
        <v>305</v>
      </c>
      <c r="R5353" s="34">
        <f t="shared" si="86"/>
        <v>0.60935898895592011</v>
      </c>
    </row>
    <row r="5354" spans="16:18" x14ac:dyDescent="0.3">
      <c r="P5354" s="35">
        <v>35.270000000000003</v>
      </c>
      <c r="Q5354">
        <v>305</v>
      </c>
      <c r="R5354" s="34">
        <f t="shared" si="86"/>
        <v>0.60947284526925272</v>
      </c>
    </row>
    <row r="5355" spans="16:18" x14ac:dyDescent="0.3">
      <c r="P5355" s="35">
        <v>35.270000000000003</v>
      </c>
      <c r="Q5355">
        <v>305</v>
      </c>
      <c r="R5355" s="34">
        <f t="shared" si="86"/>
        <v>0.60958670158258532</v>
      </c>
    </row>
    <row r="5356" spans="16:18" x14ac:dyDescent="0.3">
      <c r="P5356" s="35">
        <v>35.28</v>
      </c>
      <c r="Q5356">
        <v>305</v>
      </c>
      <c r="R5356" s="34">
        <f t="shared" si="86"/>
        <v>0.60970055789591793</v>
      </c>
    </row>
    <row r="5357" spans="16:18" x14ac:dyDescent="0.3">
      <c r="P5357" s="35">
        <v>35.28</v>
      </c>
      <c r="Q5357">
        <v>305</v>
      </c>
      <c r="R5357" s="34">
        <f t="shared" si="86"/>
        <v>0.60981441420925053</v>
      </c>
    </row>
    <row r="5358" spans="16:18" x14ac:dyDescent="0.3">
      <c r="P5358" s="35">
        <v>35.29</v>
      </c>
      <c r="Q5358">
        <v>305</v>
      </c>
      <c r="R5358" s="34">
        <f t="shared" si="86"/>
        <v>0.60992827052258314</v>
      </c>
    </row>
    <row r="5359" spans="16:18" x14ac:dyDescent="0.3">
      <c r="P5359" s="35">
        <v>35.299999999999997</v>
      </c>
      <c r="Q5359">
        <v>305</v>
      </c>
      <c r="R5359" s="34">
        <f t="shared" si="86"/>
        <v>0.61004212683591574</v>
      </c>
    </row>
    <row r="5360" spans="16:18" x14ac:dyDescent="0.3">
      <c r="P5360" s="35">
        <v>35.299999999999997</v>
      </c>
      <c r="Q5360">
        <v>305</v>
      </c>
      <c r="R5360" s="34">
        <f t="shared" si="86"/>
        <v>0.61015598314924835</v>
      </c>
    </row>
    <row r="5361" spans="16:18" x14ac:dyDescent="0.3">
      <c r="P5361" s="35">
        <v>35.31</v>
      </c>
      <c r="Q5361">
        <v>305</v>
      </c>
      <c r="R5361" s="34">
        <f t="shared" si="86"/>
        <v>0.61026983946258095</v>
      </c>
    </row>
    <row r="5362" spans="16:18" x14ac:dyDescent="0.3">
      <c r="P5362" s="35">
        <v>35.32</v>
      </c>
      <c r="Q5362">
        <v>305</v>
      </c>
      <c r="R5362" s="34">
        <f t="shared" si="86"/>
        <v>0.61038369577591356</v>
      </c>
    </row>
    <row r="5363" spans="16:18" x14ac:dyDescent="0.3">
      <c r="P5363" s="35">
        <v>35.32</v>
      </c>
      <c r="Q5363">
        <v>305</v>
      </c>
      <c r="R5363" s="34">
        <f t="shared" si="86"/>
        <v>0.61049755208924616</v>
      </c>
    </row>
    <row r="5364" spans="16:18" x14ac:dyDescent="0.3">
      <c r="P5364" s="35">
        <v>35.32</v>
      </c>
      <c r="Q5364">
        <v>305</v>
      </c>
      <c r="R5364" s="34">
        <f t="shared" si="86"/>
        <v>0.61061140840257877</v>
      </c>
    </row>
    <row r="5365" spans="16:18" x14ac:dyDescent="0.3">
      <c r="P5365" s="35">
        <v>35.32</v>
      </c>
      <c r="Q5365">
        <v>305</v>
      </c>
      <c r="R5365" s="34">
        <f t="shared" si="86"/>
        <v>0.61072526471591138</v>
      </c>
    </row>
    <row r="5366" spans="16:18" x14ac:dyDescent="0.3">
      <c r="P5366" s="35">
        <v>35.33</v>
      </c>
      <c r="Q5366">
        <v>305</v>
      </c>
      <c r="R5366" s="34">
        <f t="shared" si="86"/>
        <v>0.61083912102924398</v>
      </c>
    </row>
    <row r="5367" spans="16:18" x14ac:dyDescent="0.3">
      <c r="P5367" s="35">
        <v>35.340000000000003</v>
      </c>
      <c r="Q5367">
        <v>305</v>
      </c>
      <c r="R5367" s="34">
        <f t="shared" si="86"/>
        <v>0.61095297734257659</v>
      </c>
    </row>
    <row r="5368" spans="16:18" x14ac:dyDescent="0.3">
      <c r="P5368" s="35">
        <v>35.340000000000003</v>
      </c>
      <c r="Q5368">
        <v>305</v>
      </c>
      <c r="R5368" s="34">
        <f t="shared" si="86"/>
        <v>0.61106683365590919</v>
      </c>
    </row>
    <row r="5369" spans="16:18" x14ac:dyDescent="0.3">
      <c r="P5369" s="35">
        <v>35.369999999999997</v>
      </c>
      <c r="Q5369">
        <v>305</v>
      </c>
      <c r="R5369" s="34">
        <f t="shared" si="86"/>
        <v>0.6111806899692418</v>
      </c>
    </row>
    <row r="5370" spans="16:18" x14ac:dyDescent="0.3">
      <c r="P5370" s="35">
        <v>35.369999999999997</v>
      </c>
      <c r="Q5370">
        <v>305</v>
      </c>
      <c r="R5370" s="34">
        <f t="shared" si="86"/>
        <v>0.6112945462825744</v>
      </c>
    </row>
    <row r="5371" spans="16:18" x14ac:dyDescent="0.3">
      <c r="P5371" s="35">
        <v>35.380000000000003</v>
      </c>
      <c r="Q5371">
        <v>305</v>
      </c>
      <c r="R5371" s="34">
        <f t="shared" si="86"/>
        <v>0.61140840259590701</v>
      </c>
    </row>
    <row r="5372" spans="16:18" x14ac:dyDescent="0.3">
      <c r="P5372" s="35">
        <v>35.39</v>
      </c>
      <c r="Q5372">
        <v>305</v>
      </c>
      <c r="R5372" s="34">
        <f t="shared" si="86"/>
        <v>0.61152225890923961</v>
      </c>
    </row>
    <row r="5373" spans="16:18" x14ac:dyDescent="0.3">
      <c r="P5373" s="35">
        <v>35.4</v>
      </c>
      <c r="Q5373">
        <v>305</v>
      </c>
      <c r="R5373" s="34">
        <f t="shared" si="86"/>
        <v>0.61163611522257222</v>
      </c>
    </row>
    <row r="5374" spans="16:18" x14ac:dyDescent="0.3">
      <c r="P5374" s="35">
        <v>35.4</v>
      </c>
      <c r="Q5374">
        <v>305</v>
      </c>
      <c r="R5374" s="34">
        <f t="shared" si="86"/>
        <v>0.61174997153590482</v>
      </c>
    </row>
    <row r="5375" spans="16:18" x14ac:dyDescent="0.3">
      <c r="P5375" s="35">
        <v>35.409999999999997</v>
      </c>
      <c r="Q5375">
        <v>305</v>
      </c>
      <c r="R5375" s="34">
        <f t="shared" si="86"/>
        <v>0.61186382784923743</v>
      </c>
    </row>
    <row r="5376" spans="16:18" x14ac:dyDescent="0.3">
      <c r="P5376" s="35">
        <v>35.409999999999997</v>
      </c>
      <c r="Q5376">
        <v>305</v>
      </c>
      <c r="R5376" s="34">
        <f t="shared" si="86"/>
        <v>0.61197768416257003</v>
      </c>
    </row>
    <row r="5377" spans="16:18" x14ac:dyDescent="0.3">
      <c r="P5377" s="35">
        <v>35.409999999999997</v>
      </c>
      <c r="Q5377">
        <v>305</v>
      </c>
      <c r="R5377" s="34">
        <f t="shared" si="86"/>
        <v>0.61209154047590264</v>
      </c>
    </row>
    <row r="5378" spans="16:18" x14ac:dyDescent="0.3">
      <c r="P5378" s="35">
        <v>35.409999999999997</v>
      </c>
      <c r="Q5378">
        <v>305</v>
      </c>
      <c r="R5378" s="34">
        <f t="shared" si="86"/>
        <v>0.61220539678923525</v>
      </c>
    </row>
    <row r="5379" spans="16:18" x14ac:dyDescent="0.3">
      <c r="P5379" s="35">
        <v>35.409999999999997</v>
      </c>
      <c r="Q5379">
        <v>305</v>
      </c>
      <c r="R5379" s="34">
        <f t="shared" si="86"/>
        <v>0.61231925310256785</v>
      </c>
    </row>
    <row r="5380" spans="16:18" x14ac:dyDescent="0.3">
      <c r="P5380" s="35">
        <v>35.43</v>
      </c>
      <c r="Q5380">
        <v>305</v>
      </c>
      <c r="R5380" s="34">
        <f t="shared" ref="R5380:R5443" si="87">R5379+R$2</f>
        <v>0.61243310941590046</v>
      </c>
    </row>
    <row r="5381" spans="16:18" x14ac:dyDescent="0.3">
      <c r="P5381" s="35">
        <v>35.43</v>
      </c>
      <c r="Q5381">
        <v>305</v>
      </c>
      <c r="R5381" s="34">
        <f t="shared" si="87"/>
        <v>0.61254696572923306</v>
      </c>
    </row>
    <row r="5382" spans="16:18" x14ac:dyDescent="0.3">
      <c r="P5382" s="35">
        <v>35.450000000000003</v>
      </c>
      <c r="Q5382">
        <v>305</v>
      </c>
      <c r="R5382" s="34">
        <f t="shared" si="87"/>
        <v>0.61266082204256567</v>
      </c>
    </row>
    <row r="5383" spans="16:18" x14ac:dyDescent="0.3">
      <c r="P5383" s="35">
        <v>35.450000000000003</v>
      </c>
      <c r="Q5383">
        <v>305</v>
      </c>
      <c r="R5383" s="34">
        <f t="shared" si="87"/>
        <v>0.61277467835589827</v>
      </c>
    </row>
    <row r="5384" spans="16:18" x14ac:dyDescent="0.3">
      <c r="P5384" s="35">
        <v>35.450000000000003</v>
      </c>
      <c r="Q5384">
        <v>305</v>
      </c>
      <c r="R5384" s="34">
        <f t="shared" si="87"/>
        <v>0.61288853466923088</v>
      </c>
    </row>
    <row r="5385" spans="16:18" x14ac:dyDescent="0.3">
      <c r="P5385" s="35">
        <v>35.46</v>
      </c>
      <c r="Q5385">
        <v>305</v>
      </c>
      <c r="R5385" s="34">
        <f t="shared" si="87"/>
        <v>0.61300239098256348</v>
      </c>
    </row>
    <row r="5386" spans="16:18" x14ac:dyDescent="0.3">
      <c r="P5386" s="35">
        <v>35.47</v>
      </c>
      <c r="Q5386">
        <v>305</v>
      </c>
      <c r="R5386" s="34">
        <f t="shared" si="87"/>
        <v>0.61311624729589609</v>
      </c>
    </row>
    <row r="5387" spans="16:18" x14ac:dyDescent="0.3">
      <c r="P5387" s="35">
        <v>35.47</v>
      </c>
      <c r="Q5387">
        <v>305</v>
      </c>
      <c r="R5387" s="34">
        <f t="shared" si="87"/>
        <v>0.61323010360922869</v>
      </c>
    </row>
    <row r="5388" spans="16:18" x14ac:dyDescent="0.3">
      <c r="P5388" s="35">
        <v>35.479999999999997</v>
      </c>
      <c r="Q5388">
        <v>305</v>
      </c>
      <c r="R5388" s="34">
        <f t="shared" si="87"/>
        <v>0.6133439599225613</v>
      </c>
    </row>
    <row r="5389" spans="16:18" x14ac:dyDescent="0.3">
      <c r="P5389" s="35">
        <v>35.479999999999997</v>
      </c>
      <c r="Q5389">
        <v>305</v>
      </c>
      <c r="R5389" s="34">
        <f t="shared" si="87"/>
        <v>0.6134578162358939</v>
      </c>
    </row>
    <row r="5390" spans="16:18" x14ac:dyDescent="0.3">
      <c r="P5390" s="35">
        <v>35.479999999999997</v>
      </c>
      <c r="Q5390">
        <v>305</v>
      </c>
      <c r="R5390" s="34">
        <f t="shared" si="87"/>
        <v>0.61357167254922651</v>
      </c>
    </row>
    <row r="5391" spans="16:18" x14ac:dyDescent="0.3">
      <c r="P5391" s="35">
        <v>35.49</v>
      </c>
      <c r="Q5391">
        <v>305</v>
      </c>
      <c r="R5391" s="34">
        <f t="shared" si="87"/>
        <v>0.61368552886255912</v>
      </c>
    </row>
    <row r="5392" spans="16:18" x14ac:dyDescent="0.3">
      <c r="P5392" s="35">
        <v>35.49</v>
      </c>
      <c r="Q5392">
        <v>305</v>
      </c>
      <c r="R5392" s="34">
        <f t="shared" si="87"/>
        <v>0.61379938517589172</v>
      </c>
    </row>
    <row r="5393" spans="16:18" x14ac:dyDescent="0.3">
      <c r="P5393" s="35">
        <v>35.49</v>
      </c>
      <c r="Q5393">
        <v>305</v>
      </c>
      <c r="R5393" s="34">
        <f t="shared" si="87"/>
        <v>0.61391324148922433</v>
      </c>
    </row>
    <row r="5394" spans="16:18" x14ac:dyDescent="0.3">
      <c r="P5394" s="35">
        <v>35.5</v>
      </c>
      <c r="Q5394">
        <v>305</v>
      </c>
      <c r="R5394" s="34">
        <f t="shared" si="87"/>
        <v>0.61402709780255693</v>
      </c>
    </row>
    <row r="5395" spans="16:18" x14ac:dyDescent="0.3">
      <c r="P5395" s="35">
        <v>35.5</v>
      </c>
      <c r="Q5395">
        <v>305</v>
      </c>
      <c r="R5395" s="34">
        <f t="shared" si="87"/>
        <v>0.61414095411588954</v>
      </c>
    </row>
    <row r="5396" spans="16:18" x14ac:dyDescent="0.3">
      <c r="P5396" s="35">
        <v>35.51</v>
      </c>
      <c r="Q5396">
        <v>305</v>
      </c>
      <c r="R5396" s="34">
        <f t="shared" si="87"/>
        <v>0.61425481042922214</v>
      </c>
    </row>
    <row r="5397" spans="16:18" x14ac:dyDescent="0.3">
      <c r="P5397" s="35">
        <v>35.520000000000003</v>
      </c>
      <c r="Q5397">
        <v>305</v>
      </c>
      <c r="R5397" s="34">
        <f t="shared" si="87"/>
        <v>0.61436866674255475</v>
      </c>
    </row>
    <row r="5398" spans="16:18" x14ac:dyDescent="0.3">
      <c r="P5398" s="35">
        <v>35.520000000000003</v>
      </c>
      <c r="Q5398">
        <v>305</v>
      </c>
      <c r="R5398" s="34">
        <f t="shared" si="87"/>
        <v>0.61448252305588735</v>
      </c>
    </row>
    <row r="5399" spans="16:18" x14ac:dyDescent="0.3">
      <c r="P5399" s="35">
        <v>35.520000000000003</v>
      </c>
      <c r="Q5399">
        <v>305</v>
      </c>
      <c r="R5399" s="34">
        <f t="shared" si="87"/>
        <v>0.61459637936921996</v>
      </c>
    </row>
    <row r="5400" spans="16:18" x14ac:dyDescent="0.3">
      <c r="P5400" s="35">
        <v>35.53</v>
      </c>
      <c r="Q5400">
        <v>305</v>
      </c>
      <c r="R5400" s="34">
        <f t="shared" si="87"/>
        <v>0.61471023568255256</v>
      </c>
    </row>
    <row r="5401" spans="16:18" x14ac:dyDescent="0.3">
      <c r="P5401" s="35">
        <v>35.53</v>
      </c>
      <c r="Q5401">
        <v>305</v>
      </c>
      <c r="R5401" s="34">
        <f t="shared" si="87"/>
        <v>0.61482409199588517</v>
      </c>
    </row>
    <row r="5402" spans="16:18" x14ac:dyDescent="0.3">
      <c r="P5402" s="35">
        <v>35.54</v>
      </c>
      <c r="Q5402">
        <v>305</v>
      </c>
      <c r="R5402" s="34">
        <f t="shared" si="87"/>
        <v>0.61493794830921777</v>
      </c>
    </row>
    <row r="5403" spans="16:18" x14ac:dyDescent="0.3">
      <c r="P5403" s="35">
        <v>35.54</v>
      </c>
      <c r="Q5403">
        <v>305</v>
      </c>
      <c r="R5403" s="34">
        <f t="shared" si="87"/>
        <v>0.61505180462255038</v>
      </c>
    </row>
    <row r="5404" spans="16:18" x14ac:dyDescent="0.3">
      <c r="P5404" s="35">
        <v>35.549999999999997</v>
      </c>
      <c r="Q5404">
        <v>305</v>
      </c>
      <c r="R5404" s="34">
        <f t="shared" si="87"/>
        <v>0.61516566093588299</v>
      </c>
    </row>
    <row r="5405" spans="16:18" x14ac:dyDescent="0.3">
      <c r="P5405" s="35">
        <v>35.56</v>
      </c>
      <c r="Q5405">
        <v>305</v>
      </c>
      <c r="R5405" s="34">
        <f t="shared" si="87"/>
        <v>0.61527951724921559</v>
      </c>
    </row>
    <row r="5406" spans="16:18" x14ac:dyDescent="0.3">
      <c r="P5406" s="35">
        <v>35.56</v>
      </c>
      <c r="Q5406">
        <v>305</v>
      </c>
      <c r="R5406" s="34">
        <f t="shared" si="87"/>
        <v>0.6153933735625482</v>
      </c>
    </row>
    <row r="5407" spans="16:18" x14ac:dyDescent="0.3">
      <c r="P5407" s="35">
        <v>35.57</v>
      </c>
      <c r="Q5407">
        <v>305</v>
      </c>
      <c r="R5407" s="34">
        <f t="shared" si="87"/>
        <v>0.6155072298758808</v>
      </c>
    </row>
    <row r="5408" spans="16:18" x14ac:dyDescent="0.3">
      <c r="P5408" s="35">
        <v>35.58</v>
      </c>
      <c r="Q5408">
        <v>305</v>
      </c>
      <c r="R5408" s="34">
        <f t="shared" si="87"/>
        <v>0.61562108618921341</v>
      </c>
    </row>
    <row r="5409" spans="16:18" x14ac:dyDescent="0.3">
      <c r="P5409" s="35">
        <v>35.590000000000003</v>
      </c>
      <c r="Q5409">
        <v>305</v>
      </c>
      <c r="R5409" s="34">
        <f t="shared" si="87"/>
        <v>0.61573494250254601</v>
      </c>
    </row>
    <row r="5410" spans="16:18" x14ac:dyDescent="0.3">
      <c r="P5410" s="35">
        <v>35.590000000000003</v>
      </c>
      <c r="Q5410">
        <v>305</v>
      </c>
      <c r="R5410" s="34">
        <f t="shared" si="87"/>
        <v>0.61584879881587862</v>
      </c>
    </row>
    <row r="5411" spans="16:18" x14ac:dyDescent="0.3">
      <c r="P5411" s="35">
        <v>35.6</v>
      </c>
      <c r="Q5411">
        <v>305</v>
      </c>
      <c r="R5411" s="34">
        <f t="shared" si="87"/>
        <v>0.61596265512921122</v>
      </c>
    </row>
    <row r="5412" spans="16:18" x14ac:dyDescent="0.3">
      <c r="P5412" s="35">
        <v>35.6</v>
      </c>
      <c r="Q5412">
        <v>305</v>
      </c>
      <c r="R5412" s="34">
        <f t="shared" si="87"/>
        <v>0.61607651144254383</v>
      </c>
    </row>
    <row r="5413" spans="16:18" x14ac:dyDescent="0.3">
      <c r="P5413" s="35">
        <v>35.61</v>
      </c>
      <c r="Q5413">
        <v>305</v>
      </c>
      <c r="R5413" s="34">
        <f t="shared" si="87"/>
        <v>0.61619036775587643</v>
      </c>
    </row>
    <row r="5414" spans="16:18" x14ac:dyDescent="0.3">
      <c r="P5414" s="35">
        <v>35.61</v>
      </c>
      <c r="Q5414">
        <v>305</v>
      </c>
      <c r="R5414" s="34">
        <f t="shared" si="87"/>
        <v>0.61630422406920904</v>
      </c>
    </row>
    <row r="5415" spans="16:18" x14ac:dyDescent="0.3">
      <c r="P5415" s="35">
        <v>35.619999999999997</v>
      </c>
      <c r="Q5415">
        <v>305</v>
      </c>
      <c r="R5415" s="34">
        <f t="shared" si="87"/>
        <v>0.61641808038254164</v>
      </c>
    </row>
    <row r="5416" spans="16:18" x14ac:dyDescent="0.3">
      <c r="P5416" s="35">
        <v>35.619999999999997</v>
      </c>
      <c r="Q5416">
        <v>305</v>
      </c>
      <c r="R5416" s="34">
        <f t="shared" si="87"/>
        <v>0.61653193669587425</v>
      </c>
    </row>
    <row r="5417" spans="16:18" x14ac:dyDescent="0.3">
      <c r="P5417" s="35">
        <v>35.630000000000003</v>
      </c>
      <c r="Q5417">
        <v>305</v>
      </c>
      <c r="R5417" s="34">
        <f t="shared" si="87"/>
        <v>0.61664579300920686</v>
      </c>
    </row>
    <row r="5418" spans="16:18" x14ac:dyDescent="0.3">
      <c r="P5418" s="35">
        <v>35.630000000000003</v>
      </c>
      <c r="Q5418">
        <v>305</v>
      </c>
      <c r="R5418" s="34">
        <f t="shared" si="87"/>
        <v>0.61675964932253946</v>
      </c>
    </row>
    <row r="5419" spans="16:18" x14ac:dyDescent="0.3">
      <c r="P5419" s="35">
        <v>35.630000000000003</v>
      </c>
      <c r="Q5419">
        <v>305</v>
      </c>
      <c r="R5419" s="34">
        <f t="shared" si="87"/>
        <v>0.61687350563587207</v>
      </c>
    </row>
    <row r="5420" spans="16:18" x14ac:dyDescent="0.3">
      <c r="P5420" s="35">
        <v>35.64</v>
      </c>
      <c r="Q5420">
        <v>305</v>
      </c>
      <c r="R5420" s="34">
        <f t="shared" si="87"/>
        <v>0.61698736194920467</v>
      </c>
    </row>
    <row r="5421" spans="16:18" x14ac:dyDescent="0.3">
      <c r="P5421" s="35">
        <v>35.64</v>
      </c>
      <c r="Q5421">
        <v>305</v>
      </c>
      <c r="R5421" s="34">
        <f t="shared" si="87"/>
        <v>0.61710121826253728</v>
      </c>
    </row>
    <row r="5422" spans="16:18" x14ac:dyDescent="0.3">
      <c r="P5422" s="35">
        <v>35.64</v>
      </c>
      <c r="Q5422">
        <v>305</v>
      </c>
      <c r="R5422" s="34">
        <f t="shared" si="87"/>
        <v>0.61721507457586988</v>
      </c>
    </row>
    <row r="5423" spans="16:18" x14ac:dyDescent="0.3">
      <c r="P5423" s="35">
        <v>35.64</v>
      </c>
      <c r="Q5423">
        <v>305</v>
      </c>
      <c r="R5423" s="34">
        <f t="shared" si="87"/>
        <v>0.61732893088920249</v>
      </c>
    </row>
    <row r="5424" spans="16:18" x14ac:dyDescent="0.3">
      <c r="P5424" s="35">
        <v>35.64</v>
      </c>
      <c r="Q5424">
        <v>305</v>
      </c>
      <c r="R5424" s="34">
        <f t="shared" si="87"/>
        <v>0.61744278720253509</v>
      </c>
    </row>
    <row r="5425" spans="16:18" x14ac:dyDescent="0.3">
      <c r="P5425" s="35">
        <v>35.64</v>
      </c>
      <c r="Q5425">
        <v>305</v>
      </c>
      <c r="R5425" s="34">
        <f t="shared" si="87"/>
        <v>0.6175566435158677</v>
      </c>
    </row>
    <row r="5426" spans="16:18" x14ac:dyDescent="0.3">
      <c r="P5426" s="35">
        <v>35.64</v>
      </c>
      <c r="Q5426">
        <v>305</v>
      </c>
      <c r="R5426" s="34">
        <f t="shared" si="87"/>
        <v>0.6176704998292003</v>
      </c>
    </row>
    <row r="5427" spans="16:18" x14ac:dyDescent="0.3">
      <c r="P5427" s="35">
        <v>35.65</v>
      </c>
      <c r="Q5427">
        <v>305</v>
      </c>
      <c r="R5427" s="34">
        <f t="shared" si="87"/>
        <v>0.61778435614253291</v>
      </c>
    </row>
    <row r="5428" spans="16:18" x14ac:dyDescent="0.3">
      <c r="P5428" s="35">
        <v>35.65</v>
      </c>
      <c r="Q5428">
        <v>305</v>
      </c>
      <c r="R5428" s="34">
        <f t="shared" si="87"/>
        <v>0.61789821245586551</v>
      </c>
    </row>
    <row r="5429" spans="16:18" x14ac:dyDescent="0.3">
      <c r="P5429" s="35">
        <v>35.659999999999997</v>
      </c>
      <c r="Q5429">
        <v>305</v>
      </c>
      <c r="R5429" s="34">
        <f t="shared" si="87"/>
        <v>0.61801206876919812</v>
      </c>
    </row>
    <row r="5430" spans="16:18" x14ac:dyDescent="0.3">
      <c r="P5430" s="35">
        <v>35.659999999999997</v>
      </c>
      <c r="Q5430">
        <v>305</v>
      </c>
      <c r="R5430" s="34">
        <f t="shared" si="87"/>
        <v>0.61812592508253072</v>
      </c>
    </row>
    <row r="5431" spans="16:18" x14ac:dyDescent="0.3">
      <c r="P5431" s="35">
        <v>35.659999999999997</v>
      </c>
      <c r="Q5431">
        <v>305</v>
      </c>
      <c r="R5431" s="34">
        <f t="shared" si="87"/>
        <v>0.61823978139586333</v>
      </c>
    </row>
    <row r="5432" spans="16:18" x14ac:dyDescent="0.3">
      <c r="P5432" s="35">
        <v>35.67</v>
      </c>
      <c r="Q5432">
        <v>305</v>
      </c>
      <c r="R5432" s="34">
        <f t="shared" si="87"/>
        <v>0.61835363770919594</v>
      </c>
    </row>
    <row r="5433" spans="16:18" x14ac:dyDescent="0.3">
      <c r="P5433" s="35">
        <v>35.67</v>
      </c>
      <c r="Q5433">
        <v>305</v>
      </c>
      <c r="R5433" s="34">
        <f t="shared" si="87"/>
        <v>0.61846749402252854</v>
      </c>
    </row>
    <row r="5434" spans="16:18" x14ac:dyDescent="0.3">
      <c r="P5434" s="35">
        <v>35.67</v>
      </c>
      <c r="Q5434">
        <v>305</v>
      </c>
      <c r="R5434" s="34">
        <f t="shared" si="87"/>
        <v>0.61858135033586115</v>
      </c>
    </row>
    <row r="5435" spans="16:18" x14ac:dyDescent="0.3">
      <c r="P5435" s="35">
        <v>35.67</v>
      </c>
      <c r="Q5435">
        <v>305</v>
      </c>
      <c r="R5435" s="34">
        <f t="shared" si="87"/>
        <v>0.61869520664919375</v>
      </c>
    </row>
    <row r="5436" spans="16:18" x14ac:dyDescent="0.3">
      <c r="P5436" s="35">
        <v>35.68</v>
      </c>
      <c r="Q5436">
        <v>305</v>
      </c>
      <c r="R5436" s="34">
        <f t="shared" si="87"/>
        <v>0.61880906296252636</v>
      </c>
    </row>
    <row r="5437" spans="16:18" x14ac:dyDescent="0.3">
      <c r="P5437" s="35">
        <v>35.68</v>
      </c>
      <c r="Q5437">
        <v>305</v>
      </c>
      <c r="R5437" s="34">
        <f t="shared" si="87"/>
        <v>0.61892291927585896</v>
      </c>
    </row>
    <row r="5438" spans="16:18" x14ac:dyDescent="0.3">
      <c r="P5438" s="35">
        <v>35.69</v>
      </c>
      <c r="Q5438">
        <v>305</v>
      </c>
      <c r="R5438" s="34">
        <f t="shared" si="87"/>
        <v>0.61903677558919157</v>
      </c>
    </row>
    <row r="5439" spans="16:18" x14ac:dyDescent="0.3">
      <c r="P5439" s="35">
        <v>35.69</v>
      </c>
      <c r="Q5439">
        <v>305</v>
      </c>
      <c r="R5439" s="34">
        <f t="shared" si="87"/>
        <v>0.61915063190252417</v>
      </c>
    </row>
    <row r="5440" spans="16:18" x14ac:dyDescent="0.3">
      <c r="P5440" s="35">
        <v>35.71</v>
      </c>
      <c r="Q5440">
        <v>305</v>
      </c>
      <c r="R5440" s="34">
        <f t="shared" si="87"/>
        <v>0.61926448821585678</v>
      </c>
    </row>
    <row r="5441" spans="16:18" x14ac:dyDescent="0.3">
      <c r="P5441" s="35">
        <v>35.71</v>
      </c>
      <c r="Q5441">
        <v>305</v>
      </c>
      <c r="R5441" s="34">
        <f t="shared" si="87"/>
        <v>0.61937834452918938</v>
      </c>
    </row>
    <row r="5442" spans="16:18" x14ac:dyDescent="0.3">
      <c r="P5442" s="35">
        <v>35.72</v>
      </c>
      <c r="Q5442">
        <v>305</v>
      </c>
      <c r="R5442" s="34">
        <f t="shared" si="87"/>
        <v>0.61949220084252199</v>
      </c>
    </row>
    <row r="5443" spans="16:18" x14ac:dyDescent="0.3">
      <c r="P5443" s="35">
        <v>35.729999999999997</v>
      </c>
      <c r="Q5443">
        <v>305</v>
      </c>
      <c r="R5443" s="34">
        <f t="shared" si="87"/>
        <v>0.61960605715585459</v>
      </c>
    </row>
    <row r="5444" spans="16:18" x14ac:dyDescent="0.3">
      <c r="P5444" s="35">
        <v>35.729999999999997</v>
      </c>
      <c r="Q5444">
        <v>305</v>
      </c>
      <c r="R5444" s="34">
        <f t="shared" ref="R5444:R5507" si="88">R5443+R$2</f>
        <v>0.6197199134691872</v>
      </c>
    </row>
    <row r="5445" spans="16:18" x14ac:dyDescent="0.3">
      <c r="P5445" s="35">
        <v>35.74</v>
      </c>
      <c r="Q5445">
        <v>305</v>
      </c>
      <c r="R5445" s="34">
        <f t="shared" si="88"/>
        <v>0.61983376978251981</v>
      </c>
    </row>
    <row r="5446" spans="16:18" x14ac:dyDescent="0.3">
      <c r="P5446" s="35">
        <v>35.75</v>
      </c>
      <c r="Q5446">
        <v>305</v>
      </c>
      <c r="R5446" s="34">
        <f t="shared" si="88"/>
        <v>0.61994762609585241</v>
      </c>
    </row>
    <row r="5447" spans="16:18" x14ac:dyDescent="0.3">
      <c r="P5447" s="35">
        <v>35.75</v>
      </c>
      <c r="Q5447">
        <v>305</v>
      </c>
      <c r="R5447" s="34">
        <f t="shared" si="88"/>
        <v>0.62006148240918502</v>
      </c>
    </row>
    <row r="5448" spans="16:18" x14ac:dyDescent="0.3">
      <c r="P5448" s="35">
        <v>35.76</v>
      </c>
      <c r="Q5448">
        <v>305</v>
      </c>
      <c r="R5448" s="34">
        <f t="shared" si="88"/>
        <v>0.62017533872251762</v>
      </c>
    </row>
    <row r="5449" spans="16:18" x14ac:dyDescent="0.3">
      <c r="P5449" s="35">
        <v>35.76</v>
      </c>
      <c r="Q5449">
        <v>305</v>
      </c>
      <c r="R5449" s="34">
        <f t="shared" si="88"/>
        <v>0.62028919503585023</v>
      </c>
    </row>
    <row r="5450" spans="16:18" x14ac:dyDescent="0.3">
      <c r="P5450" s="35">
        <v>35.770000000000003</v>
      </c>
      <c r="Q5450">
        <v>305</v>
      </c>
      <c r="R5450" s="34">
        <f t="shared" si="88"/>
        <v>0.62040305134918283</v>
      </c>
    </row>
    <row r="5451" spans="16:18" x14ac:dyDescent="0.3">
      <c r="P5451" s="35">
        <v>35.770000000000003</v>
      </c>
      <c r="Q5451">
        <v>305</v>
      </c>
      <c r="R5451" s="34">
        <f t="shared" si="88"/>
        <v>0.62051690766251544</v>
      </c>
    </row>
    <row r="5452" spans="16:18" x14ac:dyDescent="0.3">
      <c r="P5452" s="35">
        <v>35.770000000000003</v>
      </c>
      <c r="Q5452">
        <v>305</v>
      </c>
      <c r="R5452" s="34">
        <f t="shared" si="88"/>
        <v>0.62063076397584804</v>
      </c>
    </row>
    <row r="5453" spans="16:18" x14ac:dyDescent="0.3">
      <c r="P5453" s="35">
        <v>35.78</v>
      </c>
      <c r="Q5453">
        <v>305</v>
      </c>
      <c r="R5453" s="34">
        <f t="shared" si="88"/>
        <v>0.62074462028918065</v>
      </c>
    </row>
    <row r="5454" spans="16:18" x14ac:dyDescent="0.3">
      <c r="P5454" s="35">
        <v>35.78</v>
      </c>
      <c r="Q5454">
        <v>305</v>
      </c>
      <c r="R5454" s="34">
        <f t="shared" si="88"/>
        <v>0.62085847660251325</v>
      </c>
    </row>
    <row r="5455" spans="16:18" x14ac:dyDescent="0.3">
      <c r="P5455" s="35">
        <v>35.78</v>
      </c>
      <c r="Q5455">
        <v>305</v>
      </c>
      <c r="R5455" s="34">
        <f t="shared" si="88"/>
        <v>0.62097233291584586</v>
      </c>
    </row>
    <row r="5456" spans="16:18" x14ac:dyDescent="0.3">
      <c r="P5456" s="35">
        <v>35.78</v>
      </c>
      <c r="Q5456">
        <v>305</v>
      </c>
      <c r="R5456" s="34">
        <f t="shared" si="88"/>
        <v>0.62108618922917846</v>
      </c>
    </row>
    <row r="5457" spans="16:18" x14ac:dyDescent="0.3">
      <c r="P5457" s="35">
        <v>35.78</v>
      </c>
      <c r="Q5457">
        <v>305</v>
      </c>
      <c r="R5457" s="34">
        <f t="shared" si="88"/>
        <v>0.62120004554251107</v>
      </c>
    </row>
    <row r="5458" spans="16:18" x14ac:dyDescent="0.3">
      <c r="P5458" s="35">
        <v>35.78</v>
      </c>
      <c r="Q5458">
        <v>305</v>
      </c>
      <c r="R5458" s="34">
        <f t="shared" si="88"/>
        <v>0.62131390185584368</v>
      </c>
    </row>
    <row r="5459" spans="16:18" x14ac:dyDescent="0.3">
      <c r="P5459" s="35">
        <v>35.79</v>
      </c>
      <c r="Q5459">
        <v>305</v>
      </c>
      <c r="R5459" s="34">
        <f t="shared" si="88"/>
        <v>0.62142775816917628</v>
      </c>
    </row>
    <row r="5460" spans="16:18" x14ac:dyDescent="0.3">
      <c r="P5460" s="35">
        <v>35.79</v>
      </c>
      <c r="Q5460">
        <v>305</v>
      </c>
      <c r="R5460" s="34">
        <f t="shared" si="88"/>
        <v>0.62154161448250889</v>
      </c>
    </row>
    <row r="5461" spans="16:18" x14ac:dyDescent="0.3">
      <c r="P5461" s="35">
        <v>35.79</v>
      </c>
      <c r="Q5461">
        <v>305</v>
      </c>
      <c r="R5461" s="34">
        <f t="shared" si="88"/>
        <v>0.62165547079584149</v>
      </c>
    </row>
    <row r="5462" spans="16:18" x14ac:dyDescent="0.3">
      <c r="P5462" s="35">
        <v>35.799999999999997</v>
      </c>
      <c r="Q5462">
        <v>305</v>
      </c>
      <c r="R5462" s="34">
        <f t="shared" si="88"/>
        <v>0.6217693271091741</v>
      </c>
    </row>
    <row r="5463" spans="16:18" x14ac:dyDescent="0.3">
      <c r="P5463" s="35">
        <v>35.81</v>
      </c>
      <c r="Q5463">
        <v>305</v>
      </c>
      <c r="R5463" s="34">
        <f t="shared" si="88"/>
        <v>0.6218831834225067</v>
      </c>
    </row>
    <row r="5464" spans="16:18" x14ac:dyDescent="0.3">
      <c r="P5464" s="35">
        <v>35.81</v>
      </c>
      <c r="Q5464">
        <v>305</v>
      </c>
      <c r="R5464" s="34">
        <f t="shared" si="88"/>
        <v>0.62199703973583931</v>
      </c>
    </row>
    <row r="5465" spans="16:18" x14ac:dyDescent="0.3">
      <c r="P5465" s="35">
        <v>35.81</v>
      </c>
      <c r="Q5465">
        <v>305</v>
      </c>
      <c r="R5465" s="34">
        <f t="shared" si="88"/>
        <v>0.62211089604917191</v>
      </c>
    </row>
    <row r="5466" spans="16:18" x14ac:dyDescent="0.3">
      <c r="P5466" s="35">
        <v>35.81</v>
      </c>
      <c r="Q5466">
        <v>305</v>
      </c>
      <c r="R5466" s="34">
        <f t="shared" si="88"/>
        <v>0.62222475236250452</v>
      </c>
    </row>
    <row r="5467" spans="16:18" x14ac:dyDescent="0.3">
      <c r="P5467" s="35">
        <v>35.82</v>
      </c>
      <c r="Q5467">
        <v>305</v>
      </c>
      <c r="R5467" s="34">
        <f t="shared" si="88"/>
        <v>0.62233860867583712</v>
      </c>
    </row>
    <row r="5468" spans="16:18" x14ac:dyDescent="0.3">
      <c r="P5468" s="35">
        <v>35.83</v>
      </c>
      <c r="Q5468">
        <v>305</v>
      </c>
      <c r="R5468" s="34">
        <f t="shared" si="88"/>
        <v>0.62245246498916973</v>
      </c>
    </row>
    <row r="5469" spans="16:18" x14ac:dyDescent="0.3">
      <c r="P5469" s="35">
        <v>35.83</v>
      </c>
      <c r="Q5469">
        <v>305</v>
      </c>
      <c r="R5469" s="34">
        <f t="shared" si="88"/>
        <v>0.62256632130250233</v>
      </c>
    </row>
    <row r="5470" spans="16:18" x14ac:dyDescent="0.3">
      <c r="P5470" s="35">
        <v>35.83</v>
      </c>
      <c r="Q5470">
        <v>305</v>
      </c>
      <c r="R5470" s="34">
        <f t="shared" si="88"/>
        <v>0.62268017761583494</v>
      </c>
    </row>
    <row r="5471" spans="16:18" x14ac:dyDescent="0.3">
      <c r="P5471" s="35">
        <v>35.840000000000003</v>
      </c>
      <c r="Q5471">
        <v>305</v>
      </c>
      <c r="R5471" s="34">
        <f t="shared" si="88"/>
        <v>0.62279403392916755</v>
      </c>
    </row>
    <row r="5472" spans="16:18" x14ac:dyDescent="0.3">
      <c r="P5472" s="35">
        <v>35.840000000000003</v>
      </c>
      <c r="Q5472">
        <v>305</v>
      </c>
      <c r="R5472" s="34">
        <f t="shared" si="88"/>
        <v>0.62290789024250015</v>
      </c>
    </row>
    <row r="5473" spans="16:18" x14ac:dyDescent="0.3">
      <c r="P5473" s="35">
        <v>35.840000000000003</v>
      </c>
      <c r="Q5473">
        <v>305</v>
      </c>
      <c r="R5473" s="34">
        <f t="shared" si="88"/>
        <v>0.62302174655583276</v>
      </c>
    </row>
    <row r="5474" spans="16:18" x14ac:dyDescent="0.3">
      <c r="P5474" s="35">
        <v>35.85</v>
      </c>
      <c r="Q5474">
        <v>305</v>
      </c>
      <c r="R5474" s="34">
        <f t="shared" si="88"/>
        <v>0.62313560286916536</v>
      </c>
    </row>
    <row r="5475" spans="16:18" x14ac:dyDescent="0.3">
      <c r="P5475" s="35">
        <v>35.85</v>
      </c>
      <c r="Q5475">
        <v>305</v>
      </c>
      <c r="R5475" s="34">
        <f t="shared" si="88"/>
        <v>0.62324945918249797</v>
      </c>
    </row>
    <row r="5476" spans="16:18" x14ac:dyDescent="0.3">
      <c r="P5476" s="35">
        <v>35.85</v>
      </c>
      <c r="Q5476">
        <v>305</v>
      </c>
      <c r="R5476" s="34">
        <f t="shared" si="88"/>
        <v>0.62336331549583057</v>
      </c>
    </row>
    <row r="5477" spans="16:18" x14ac:dyDescent="0.3">
      <c r="P5477" s="35">
        <v>35.85</v>
      </c>
      <c r="Q5477">
        <v>305</v>
      </c>
      <c r="R5477" s="34">
        <f t="shared" si="88"/>
        <v>0.62347717180916318</v>
      </c>
    </row>
    <row r="5478" spans="16:18" x14ac:dyDescent="0.3">
      <c r="P5478" s="35">
        <v>35.86</v>
      </c>
      <c r="Q5478">
        <v>305</v>
      </c>
      <c r="R5478" s="34">
        <f t="shared" si="88"/>
        <v>0.62359102812249578</v>
      </c>
    </row>
    <row r="5479" spans="16:18" x14ac:dyDescent="0.3">
      <c r="P5479" s="35">
        <v>35.86</v>
      </c>
      <c r="Q5479">
        <v>305</v>
      </c>
      <c r="R5479" s="34">
        <f t="shared" si="88"/>
        <v>0.62370488443582839</v>
      </c>
    </row>
    <row r="5480" spans="16:18" x14ac:dyDescent="0.3">
      <c r="P5480" s="35">
        <v>35.869999999999997</v>
      </c>
      <c r="Q5480">
        <v>305</v>
      </c>
      <c r="R5480" s="34">
        <f t="shared" si="88"/>
        <v>0.62381874074916099</v>
      </c>
    </row>
    <row r="5481" spans="16:18" x14ac:dyDescent="0.3">
      <c r="P5481" s="35">
        <v>35.869999999999997</v>
      </c>
      <c r="Q5481">
        <v>305</v>
      </c>
      <c r="R5481" s="34">
        <f t="shared" si="88"/>
        <v>0.6239325970624936</v>
      </c>
    </row>
    <row r="5482" spans="16:18" x14ac:dyDescent="0.3">
      <c r="P5482" s="35">
        <v>35.880000000000003</v>
      </c>
      <c r="Q5482">
        <v>305</v>
      </c>
      <c r="R5482" s="34">
        <f t="shared" si="88"/>
        <v>0.6240464533758262</v>
      </c>
    </row>
    <row r="5483" spans="16:18" x14ac:dyDescent="0.3">
      <c r="P5483" s="35">
        <v>35.89</v>
      </c>
      <c r="Q5483">
        <v>305</v>
      </c>
      <c r="R5483" s="34">
        <f t="shared" si="88"/>
        <v>0.62416030968915881</v>
      </c>
    </row>
    <row r="5484" spans="16:18" x14ac:dyDescent="0.3">
      <c r="P5484" s="35">
        <v>35.89</v>
      </c>
      <c r="Q5484">
        <v>305</v>
      </c>
      <c r="R5484" s="34">
        <f t="shared" si="88"/>
        <v>0.62427416600249142</v>
      </c>
    </row>
    <row r="5485" spans="16:18" x14ac:dyDescent="0.3">
      <c r="P5485" s="35">
        <v>35.9</v>
      </c>
      <c r="Q5485">
        <v>305</v>
      </c>
      <c r="R5485" s="34">
        <f t="shared" si="88"/>
        <v>0.62438802231582402</v>
      </c>
    </row>
    <row r="5486" spans="16:18" x14ac:dyDescent="0.3">
      <c r="P5486" s="35">
        <v>35.9</v>
      </c>
      <c r="Q5486">
        <v>305</v>
      </c>
      <c r="R5486" s="34">
        <f t="shared" si="88"/>
        <v>0.62450187862915663</v>
      </c>
    </row>
    <row r="5487" spans="16:18" x14ac:dyDescent="0.3">
      <c r="P5487" s="35">
        <v>35.909999999999997</v>
      </c>
      <c r="Q5487">
        <v>305</v>
      </c>
      <c r="R5487" s="34">
        <f t="shared" si="88"/>
        <v>0.62461573494248923</v>
      </c>
    </row>
    <row r="5488" spans="16:18" x14ac:dyDescent="0.3">
      <c r="P5488" s="35">
        <v>35.909999999999997</v>
      </c>
      <c r="Q5488">
        <v>305</v>
      </c>
      <c r="R5488" s="34">
        <f t="shared" si="88"/>
        <v>0.62472959125582184</v>
      </c>
    </row>
    <row r="5489" spans="16:18" x14ac:dyDescent="0.3">
      <c r="P5489" s="35">
        <v>35.92</v>
      </c>
      <c r="Q5489">
        <v>305</v>
      </c>
      <c r="R5489" s="34">
        <f t="shared" si="88"/>
        <v>0.62484344756915444</v>
      </c>
    </row>
    <row r="5490" spans="16:18" x14ac:dyDescent="0.3">
      <c r="P5490" s="35">
        <v>35.92</v>
      </c>
      <c r="Q5490">
        <v>305</v>
      </c>
      <c r="R5490" s="34">
        <f t="shared" si="88"/>
        <v>0.62495730388248705</v>
      </c>
    </row>
    <row r="5491" spans="16:18" x14ac:dyDescent="0.3">
      <c r="P5491" s="35">
        <v>35.92</v>
      </c>
      <c r="Q5491">
        <v>305</v>
      </c>
      <c r="R5491" s="34">
        <f t="shared" si="88"/>
        <v>0.62507116019581965</v>
      </c>
    </row>
    <row r="5492" spans="16:18" x14ac:dyDescent="0.3">
      <c r="P5492" s="35">
        <v>35.93</v>
      </c>
      <c r="Q5492">
        <v>305</v>
      </c>
      <c r="R5492" s="34">
        <f t="shared" si="88"/>
        <v>0.62518501650915226</v>
      </c>
    </row>
    <row r="5493" spans="16:18" x14ac:dyDescent="0.3">
      <c r="P5493" s="35">
        <v>35.94</v>
      </c>
      <c r="Q5493">
        <v>305</v>
      </c>
      <c r="R5493" s="34">
        <f t="shared" si="88"/>
        <v>0.62529887282248486</v>
      </c>
    </row>
    <row r="5494" spans="16:18" x14ac:dyDescent="0.3">
      <c r="P5494" s="35">
        <v>35.94</v>
      </c>
      <c r="Q5494">
        <v>305</v>
      </c>
      <c r="R5494" s="34">
        <f t="shared" si="88"/>
        <v>0.62541272913581747</v>
      </c>
    </row>
    <row r="5495" spans="16:18" x14ac:dyDescent="0.3">
      <c r="P5495" s="35">
        <v>35.94</v>
      </c>
      <c r="Q5495">
        <v>305</v>
      </c>
      <c r="R5495" s="34">
        <f t="shared" si="88"/>
        <v>0.62552658544915007</v>
      </c>
    </row>
    <row r="5496" spans="16:18" x14ac:dyDescent="0.3">
      <c r="P5496" s="35">
        <v>35.94</v>
      </c>
      <c r="Q5496">
        <v>305</v>
      </c>
      <c r="R5496" s="34">
        <f t="shared" si="88"/>
        <v>0.62564044176248268</v>
      </c>
    </row>
    <row r="5497" spans="16:18" x14ac:dyDescent="0.3">
      <c r="P5497" s="35">
        <v>35.950000000000003</v>
      </c>
      <c r="Q5497">
        <v>305</v>
      </c>
      <c r="R5497" s="34">
        <f t="shared" si="88"/>
        <v>0.62575429807581529</v>
      </c>
    </row>
    <row r="5498" spans="16:18" x14ac:dyDescent="0.3">
      <c r="P5498" s="35">
        <v>35.96</v>
      </c>
      <c r="Q5498">
        <v>305</v>
      </c>
      <c r="R5498" s="34">
        <f t="shared" si="88"/>
        <v>0.62586815438914789</v>
      </c>
    </row>
    <row r="5499" spans="16:18" x14ac:dyDescent="0.3">
      <c r="P5499" s="35">
        <v>35.96</v>
      </c>
      <c r="Q5499">
        <v>305</v>
      </c>
      <c r="R5499" s="34">
        <f t="shared" si="88"/>
        <v>0.6259820107024805</v>
      </c>
    </row>
    <row r="5500" spans="16:18" x14ac:dyDescent="0.3">
      <c r="P5500" s="35">
        <v>35.96</v>
      </c>
      <c r="Q5500">
        <v>305</v>
      </c>
      <c r="R5500" s="34">
        <f t="shared" si="88"/>
        <v>0.6260958670158131</v>
      </c>
    </row>
    <row r="5501" spans="16:18" x14ac:dyDescent="0.3">
      <c r="P5501" s="35">
        <v>35.96</v>
      </c>
      <c r="Q5501">
        <v>305</v>
      </c>
      <c r="R5501" s="34">
        <f t="shared" si="88"/>
        <v>0.62620972332914571</v>
      </c>
    </row>
    <row r="5502" spans="16:18" x14ac:dyDescent="0.3">
      <c r="P5502" s="35">
        <v>35.979999999999997</v>
      </c>
      <c r="Q5502">
        <v>305</v>
      </c>
      <c r="R5502" s="34">
        <f t="shared" si="88"/>
        <v>0.62632357964247831</v>
      </c>
    </row>
    <row r="5503" spans="16:18" x14ac:dyDescent="0.3">
      <c r="P5503" s="35">
        <v>35.99</v>
      </c>
      <c r="Q5503">
        <v>305</v>
      </c>
      <c r="R5503" s="34">
        <f t="shared" si="88"/>
        <v>0.62643743595581092</v>
      </c>
    </row>
    <row r="5504" spans="16:18" x14ac:dyDescent="0.3">
      <c r="P5504" s="35">
        <v>36.01</v>
      </c>
      <c r="Q5504">
        <v>305</v>
      </c>
      <c r="R5504" s="34">
        <f t="shared" si="88"/>
        <v>0.62655129226914352</v>
      </c>
    </row>
    <row r="5505" spans="16:18" x14ac:dyDescent="0.3">
      <c r="P5505" s="35">
        <v>36.020000000000003</v>
      </c>
      <c r="Q5505">
        <v>305</v>
      </c>
      <c r="R5505" s="34">
        <f t="shared" si="88"/>
        <v>0.62666514858247613</v>
      </c>
    </row>
    <row r="5506" spans="16:18" x14ac:dyDescent="0.3">
      <c r="P5506" s="35">
        <v>36.020000000000003</v>
      </c>
      <c r="Q5506">
        <v>305</v>
      </c>
      <c r="R5506" s="34">
        <f t="shared" si="88"/>
        <v>0.62677900489580873</v>
      </c>
    </row>
    <row r="5507" spans="16:18" x14ac:dyDescent="0.3">
      <c r="P5507" s="35">
        <v>36.020000000000003</v>
      </c>
      <c r="Q5507">
        <v>305</v>
      </c>
      <c r="R5507" s="34">
        <f t="shared" si="88"/>
        <v>0.62689286120914134</v>
      </c>
    </row>
    <row r="5508" spans="16:18" x14ac:dyDescent="0.3">
      <c r="P5508" s="35">
        <v>36.03</v>
      </c>
      <c r="Q5508">
        <v>305</v>
      </c>
      <c r="R5508" s="34">
        <f t="shared" ref="R5508:R5571" si="89">R5507+R$2</f>
        <v>0.62700671752247394</v>
      </c>
    </row>
    <row r="5509" spans="16:18" x14ac:dyDescent="0.3">
      <c r="P5509" s="35">
        <v>36.03</v>
      </c>
      <c r="Q5509">
        <v>305</v>
      </c>
      <c r="R5509" s="34">
        <f t="shared" si="89"/>
        <v>0.62712057383580655</v>
      </c>
    </row>
    <row r="5510" spans="16:18" x14ac:dyDescent="0.3">
      <c r="P5510" s="35">
        <v>36.03</v>
      </c>
      <c r="Q5510">
        <v>305</v>
      </c>
      <c r="R5510" s="34">
        <f t="shared" si="89"/>
        <v>0.62723443014913915</v>
      </c>
    </row>
    <row r="5511" spans="16:18" x14ac:dyDescent="0.3">
      <c r="P5511" s="35">
        <v>36.03</v>
      </c>
      <c r="Q5511">
        <v>305</v>
      </c>
      <c r="R5511" s="34">
        <f t="shared" si="89"/>
        <v>0.62734828646247176</v>
      </c>
    </row>
    <row r="5512" spans="16:18" x14ac:dyDescent="0.3">
      <c r="P5512" s="35">
        <v>36.03</v>
      </c>
      <c r="Q5512">
        <v>305</v>
      </c>
      <c r="R5512" s="34">
        <f t="shared" si="89"/>
        <v>0.62746214277580437</v>
      </c>
    </row>
    <row r="5513" spans="16:18" x14ac:dyDescent="0.3">
      <c r="P5513" s="35">
        <v>36.04</v>
      </c>
      <c r="Q5513">
        <v>305</v>
      </c>
      <c r="R5513" s="34">
        <f t="shared" si="89"/>
        <v>0.62757599908913697</v>
      </c>
    </row>
    <row r="5514" spans="16:18" x14ac:dyDescent="0.3">
      <c r="P5514" s="35">
        <v>36.049999999999997</v>
      </c>
      <c r="Q5514">
        <v>305</v>
      </c>
      <c r="R5514" s="34">
        <f t="shared" si="89"/>
        <v>0.62768985540246958</v>
      </c>
    </row>
    <row r="5515" spans="16:18" x14ac:dyDescent="0.3">
      <c r="P5515" s="35">
        <v>36.06</v>
      </c>
      <c r="Q5515">
        <v>305</v>
      </c>
      <c r="R5515" s="34">
        <f t="shared" si="89"/>
        <v>0.62780371171580218</v>
      </c>
    </row>
    <row r="5516" spans="16:18" x14ac:dyDescent="0.3">
      <c r="P5516" s="35">
        <v>36.06</v>
      </c>
      <c r="Q5516">
        <v>305</v>
      </c>
      <c r="R5516" s="34">
        <f t="shared" si="89"/>
        <v>0.62791756802913479</v>
      </c>
    </row>
    <row r="5517" spans="16:18" x14ac:dyDescent="0.3">
      <c r="P5517" s="35">
        <v>36.06</v>
      </c>
      <c r="Q5517">
        <v>305</v>
      </c>
      <c r="R5517" s="34">
        <f t="shared" si="89"/>
        <v>0.62803142434246739</v>
      </c>
    </row>
    <row r="5518" spans="16:18" x14ac:dyDescent="0.3">
      <c r="P5518" s="35">
        <v>36.06</v>
      </c>
      <c r="Q5518">
        <v>305</v>
      </c>
      <c r="R5518" s="34">
        <f t="shared" si="89"/>
        <v>0.6281452806558</v>
      </c>
    </row>
    <row r="5519" spans="16:18" x14ac:dyDescent="0.3">
      <c r="P5519" s="35">
        <v>36.08</v>
      </c>
      <c r="Q5519">
        <v>305</v>
      </c>
      <c r="R5519" s="34">
        <f t="shared" si="89"/>
        <v>0.6282591369691326</v>
      </c>
    </row>
    <row r="5520" spans="16:18" x14ac:dyDescent="0.3">
      <c r="P5520" s="35">
        <v>36.090000000000003</v>
      </c>
      <c r="Q5520">
        <v>305</v>
      </c>
      <c r="R5520" s="34">
        <f t="shared" si="89"/>
        <v>0.62837299328246521</v>
      </c>
    </row>
    <row r="5521" spans="16:18" x14ac:dyDescent="0.3">
      <c r="P5521" s="35">
        <v>36.1</v>
      </c>
      <c r="Q5521">
        <v>305</v>
      </c>
      <c r="R5521" s="34">
        <f t="shared" si="89"/>
        <v>0.62848684959579781</v>
      </c>
    </row>
    <row r="5522" spans="16:18" x14ac:dyDescent="0.3">
      <c r="P5522" s="35">
        <v>36.1</v>
      </c>
      <c r="Q5522">
        <v>305</v>
      </c>
      <c r="R5522" s="34">
        <f t="shared" si="89"/>
        <v>0.62860070590913042</v>
      </c>
    </row>
    <row r="5523" spans="16:18" x14ac:dyDescent="0.3">
      <c r="P5523" s="35">
        <v>36.11</v>
      </c>
      <c r="Q5523">
        <v>305</v>
      </c>
      <c r="R5523" s="34">
        <f t="shared" si="89"/>
        <v>0.62871456222246302</v>
      </c>
    </row>
    <row r="5524" spans="16:18" x14ac:dyDescent="0.3">
      <c r="P5524" s="35">
        <v>36.119999999999997</v>
      </c>
      <c r="Q5524">
        <v>305</v>
      </c>
      <c r="R5524" s="34">
        <f t="shared" si="89"/>
        <v>0.62882841853579563</v>
      </c>
    </row>
    <row r="5525" spans="16:18" x14ac:dyDescent="0.3">
      <c r="P5525" s="35">
        <v>36.130000000000003</v>
      </c>
      <c r="Q5525">
        <v>305</v>
      </c>
      <c r="R5525" s="34">
        <f t="shared" si="89"/>
        <v>0.62894227484912824</v>
      </c>
    </row>
    <row r="5526" spans="16:18" x14ac:dyDescent="0.3">
      <c r="P5526" s="35">
        <v>36.130000000000003</v>
      </c>
      <c r="Q5526">
        <v>305</v>
      </c>
      <c r="R5526" s="34">
        <f t="shared" si="89"/>
        <v>0.62905613116246084</v>
      </c>
    </row>
    <row r="5527" spans="16:18" x14ac:dyDescent="0.3">
      <c r="P5527" s="35">
        <v>36.15</v>
      </c>
      <c r="Q5527">
        <v>305</v>
      </c>
      <c r="R5527" s="34">
        <f t="shared" si="89"/>
        <v>0.62916998747579345</v>
      </c>
    </row>
    <row r="5528" spans="16:18" x14ac:dyDescent="0.3">
      <c r="P5528" s="35">
        <v>36.159999999999997</v>
      </c>
      <c r="Q5528">
        <v>305</v>
      </c>
      <c r="R5528" s="34">
        <f t="shared" si="89"/>
        <v>0.62928384378912605</v>
      </c>
    </row>
    <row r="5529" spans="16:18" x14ac:dyDescent="0.3">
      <c r="P5529" s="35">
        <v>36.17</v>
      </c>
      <c r="Q5529">
        <v>305</v>
      </c>
      <c r="R5529" s="34">
        <f t="shared" si="89"/>
        <v>0.62939770010245866</v>
      </c>
    </row>
    <row r="5530" spans="16:18" x14ac:dyDescent="0.3">
      <c r="P5530" s="35">
        <v>36.17</v>
      </c>
      <c r="Q5530">
        <v>305</v>
      </c>
      <c r="R5530" s="34">
        <f t="shared" si="89"/>
        <v>0.62951155641579126</v>
      </c>
    </row>
    <row r="5531" spans="16:18" x14ac:dyDescent="0.3">
      <c r="P5531" s="35">
        <v>36.17</v>
      </c>
      <c r="Q5531">
        <v>305</v>
      </c>
      <c r="R5531" s="34">
        <f t="shared" si="89"/>
        <v>0.62962541272912387</v>
      </c>
    </row>
    <row r="5532" spans="16:18" x14ac:dyDescent="0.3">
      <c r="P5532" s="35">
        <v>36.18</v>
      </c>
      <c r="Q5532">
        <v>305</v>
      </c>
      <c r="R5532" s="34">
        <f t="shared" si="89"/>
        <v>0.62973926904245647</v>
      </c>
    </row>
    <row r="5533" spans="16:18" x14ac:dyDescent="0.3">
      <c r="P5533" s="35">
        <v>36.19</v>
      </c>
      <c r="Q5533">
        <v>305</v>
      </c>
      <c r="R5533" s="34">
        <f t="shared" si="89"/>
        <v>0.62985312535578908</v>
      </c>
    </row>
    <row r="5534" spans="16:18" x14ac:dyDescent="0.3">
      <c r="P5534" s="35">
        <v>36.200000000000003</v>
      </c>
      <c r="Q5534">
        <v>305</v>
      </c>
      <c r="R5534" s="34">
        <f t="shared" si="89"/>
        <v>0.62996698166912168</v>
      </c>
    </row>
    <row r="5535" spans="16:18" x14ac:dyDescent="0.3">
      <c r="P5535" s="35">
        <v>36.22</v>
      </c>
      <c r="Q5535">
        <v>305</v>
      </c>
      <c r="R5535" s="34">
        <f t="shared" si="89"/>
        <v>0.63008083798245429</v>
      </c>
    </row>
    <row r="5536" spans="16:18" x14ac:dyDescent="0.3">
      <c r="P5536" s="35">
        <v>36.22</v>
      </c>
      <c r="Q5536">
        <v>305</v>
      </c>
      <c r="R5536" s="34">
        <f t="shared" si="89"/>
        <v>0.63019469429578689</v>
      </c>
    </row>
    <row r="5537" spans="16:18" x14ac:dyDescent="0.3">
      <c r="P5537" s="35">
        <v>36.229999999999997</v>
      </c>
      <c r="Q5537">
        <v>305</v>
      </c>
      <c r="R5537" s="34">
        <f t="shared" si="89"/>
        <v>0.6303085506091195</v>
      </c>
    </row>
    <row r="5538" spans="16:18" x14ac:dyDescent="0.3">
      <c r="P5538" s="35">
        <v>36.229999999999997</v>
      </c>
      <c r="Q5538">
        <v>305</v>
      </c>
      <c r="R5538" s="34">
        <f t="shared" si="89"/>
        <v>0.63042240692245211</v>
      </c>
    </row>
    <row r="5539" spans="16:18" x14ac:dyDescent="0.3">
      <c r="P5539" s="35">
        <v>36.24</v>
      </c>
      <c r="Q5539">
        <v>305</v>
      </c>
      <c r="R5539" s="34">
        <f t="shared" si="89"/>
        <v>0.63053626323578471</v>
      </c>
    </row>
    <row r="5540" spans="16:18" x14ac:dyDescent="0.3">
      <c r="P5540" s="35">
        <v>36.25</v>
      </c>
      <c r="Q5540">
        <v>305</v>
      </c>
      <c r="R5540" s="34">
        <f t="shared" si="89"/>
        <v>0.63065011954911732</v>
      </c>
    </row>
    <row r="5541" spans="16:18" x14ac:dyDescent="0.3">
      <c r="P5541" s="35">
        <v>36.26</v>
      </c>
      <c r="Q5541">
        <v>305</v>
      </c>
      <c r="R5541" s="34">
        <f t="shared" si="89"/>
        <v>0.63076397586244992</v>
      </c>
    </row>
    <row r="5542" spans="16:18" x14ac:dyDescent="0.3">
      <c r="P5542" s="35">
        <v>36.270000000000003</v>
      </c>
      <c r="Q5542">
        <v>305</v>
      </c>
      <c r="R5542" s="34">
        <f t="shared" si="89"/>
        <v>0.63087783217578253</v>
      </c>
    </row>
    <row r="5543" spans="16:18" x14ac:dyDescent="0.3">
      <c r="P5543" s="35">
        <v>36.270000000000003</v>
      </c>
      <c r="Q5543">
        <v>305</v>
      </c>
      <c r="R5543" s="34">
        <f t="shared" si="89"/>
        <v>0.63099168848911513</v>
      </c>
    </row>
    <row r="5544" spans="16:18" x14ac:dyDescent="0.3">
      <c r="P5544" s="35">
        <v>36.28</v>
      </c>
      <c r="Q5544">
        <v>305</v>
      </c>
      <c r="R5544" s="34">
        <f t="shared" si="89"/>
        <v>0.63110554480244774</v>
      </c>
    </row>
    <row r="5545" spans="16:18" x14ac:dyDescent="0.3">
      <c r="P5545" s="35">
        <v>36.28</v>
      </c>
      <c r="Q5545">
        <v>305</v>
      </c>
      <c r="R5545" s="34">
        <f t="shared" si="89"/>
        <v>0.63121940111578034</v>
      </c>
    </row>
    <row r="5546" spans="16:18" x14ac:dyDescent="0.3">
      <c r="P5546" s="35">
        <v>36.29</v>
      </c>
      <c r="Q5546">
        <v>305</v>
      </c>
      <c r="R5546" s="34">
        <f t="shared" si="89"/>
        <v>0.63133325742911295</v>
      </c>
    </row>
    <row r="5547" spans="16:18" x14ac:dyDescent="0.3">
      <c r="P5547" s="35">
        <v>36.299999999999997</v>
      </c>
      <c r="Q5547">
        <v>305</v>
      </c>
      <c r="R5547" s="34">
        <f t="shared" si="89"/>
        <v>0.63144711374244555</v>
      </c>
    </row>
    <row r="5548" spans="16:18" x14ac:dyDescent="0.3">
      <c r="P5548" s="35">
        <v>36.31</v>
      </c>
      <c r="Q5548">
        <v>305</v>
      </c>
      <c r="R5548" s="34">
        <f t="shared" si="89"/>
        <v>0.63156097005577816</v>
      </c>
    </row>
    <row r="5549" spans="16:18" x14ac:dyDescent="0.3">
      <c r="P5549" s="35">
        <v>36.31</v>
      </c>
      <c r="Q5549">
        <v>305</v>
      </c>
      <c r="R5549" s="34">
        <f t="shared" si="89"/>
        <v>0.63167482636911076</v>
      </c>
    </row>
    <row r="5550" spans="16:18" x14ac:dyDescent="0.3">
      <c r="P5550" s="35">
        <v>36.31</v>
      </c>
      <c r="Q5550">
        <v>305</v>
      </c>
      <c r="R5550" s="34">
        <f t="shared" si="89"/>
        <v>0.63178868268244337</v>
      </c>
    </row>
    <row r="5551" spans="16:18" x14ac:dyDescent="0.3">
      <c r="P5551" s="35">
        <v>36.33</v>
      </c>
      <c r="Q5551">
        <v>305</v>
      </c>
      <c r="R5551" s="34">
        <f t="shared" si="89"/>
        <v>0.63190253899577598</v>
      </c>
    </row>
    <row r="5552" spans="16:18" x14ac:dyDescent="0.3">
      <c r="P5552" s="35">
        <v>36.340000000000003</v>
      </c>
      <c r="Q5552">
        <v>305</v>
      </c>
      <c r="R5552" s="34">
        <f t="shared" si="89"/>
        <v>0.63201639530910858</v>
      </c>
    </row>
    <row r="5553" spans="16:18" x14ac:dyDescent="0.3">
      <c r="P5553" s="35">
        <v>36.340000000000003</v>
      </c>
      <c r="Q5553">
        <v>305</v>
      </c>
      <c r="R5553" s="34">
        <f t="shared" si="89"/>
        <v>0.63213025162244119</v>
      </c>
    </row>
    <row r="5554" spans="16:18" x14ac:dyDescent="0.3">
      <c r="P5554" s="35">
        <v>36.35</v>
      </c>
      <c r="Q5554">
        <v>305</v>
      </c>
      <c r="R5554" s="34">
        <f t="shared" si="89"/>
        <v>0.63224410793577379</v>
      </c>
    </row>
    <row r="5555" spans="16:18" x14ac:dyDescent="0.3">
      <c r="P5555" s="35">
        <v>36.35</v>
      </c>
      <c r="Q5555">
        <v>305</v>
      </c>
      <c r="R5555" s="34">
        <f t="shared" si="89"/>
        <v>0.6323579642491064</v>
      </c>
    </row>
    <row r="5556" spans="16:18" x14ac:dyDescent="0.3">
      <c r="P5556" s="35">
        <v>36.369999999999997</v>
      </c>
      <c r="Q5556">
        <v>305</v>
      </c>
      <c r="R5556" s="34">
        <f t="shared" si="89"/>
        <v>0.632471820562439</v>
      </c>
    </row>
    <row r="5557" spans="16:18" x14ac:dyDescent="0.3">
      <c r="P5557" s="35">
        <v>36.369999999999997</v>
      </c>
      <c r="Q5557">
        <v>305</v>
      </c>
      <c r="R5557" s="34">
        <f t="shared" si="89"/>
        <v>0.63258567687577161</v>
      </c>
    </row>
    <row r="5558" spans="16:18" x14ac:dyDescent="0.3">
      <c r="P5558" s="35">
        <v>36.369999999999997</v>
      </c>
      <c r="Q5558">
        <v>305</v>
      </c>
      <c r="R5558" s="34">
        <f t="shared" si="89"/>
        <v>0.63269953318910421</v>
      </c>
    </row>
    <row r="5559" spans="16:18" x14ac:dyDescent="0.3">
      <c r="P5559" s="35">
        <v>36.4</v>
      </c>
      <c r="Q5559">
        <v>305</v>
      </c>
      <c r="R5559" s="34">
        <f t="shared" si="89"/>
        <v>0.63281338950243682</v>
      </c>
    </row>
    <row r="5560" spans="16:18" x14ac:dyDescent="0.3">
      <c r="P5560" s="35">
        <v>36.4</v>
      </c>
      <c r="Q5560">
        <v>305</v>
      </c>
      <c r="R5560" s="34">
        <f t="shared" si="89"/>
        <v>0.63292724581576942</v>
      </c>
    </row>
    <row r="5561" spans="16:18" x14ac:dyDescent="0.3">
      <c r="P5561" s="35">
        <v>36.409999999999997</v>
      </c>
      <c r="Q5561">
        <v>305</v>
      </c>
      <c r="R5561" s="34">
        <f t="shared" si="89"/>
        <v>0.63304110212910203</v>
      </c>
    </row>
    <row r="5562" spans="16:18" x14ac:dyDescent="0.3">
      <c r="P5562" s="35">
        <v>36.409999999999997</v>
      </c>
      <c r="Q5562">
        <v>305</v>
      </c>
      <c r="R5562" s="34">
        <f t="shared" si="89"/>
        <v>0.63315495844243463</v>
      </c>
    </row>
    <row r="5563" spans="16:18" x14ac:dyDescent="0.3">
      <c r="P5563" s="35">
        <v>36.43</v>
      </c>
      <c r="Q5563">
        <v>305</v>
      </c>
      <c r="R5563" s="34">
        <f t="shared" si="89"/>
        <v>0.63326881475576724</v>
      </c>
    </row>
    <row r="5564" spans="16:18" x14ac:dyDescent="0.3">
      <c r="P5564" s="35">
        <v>36.43</v>
      </c>
      <c r="Q5564">
        <v>305</v>
      </c>
      <c r="R5564" s="34">
        <f t="shared" si="89"/>
        <v>0.63338267106909985</v>
      </c>
    </row>
    <row r="5565" spans="16:18" x14ac:dyDescent="0.3">
      <c r="P5565" s="35">
        <v>36.450000000000003</v>
      </c>
      <c r="Q5565">
        <v>305</v>
      </c>
      <c r="R5565" s="34">
        <f t="shared" si="89"/>
        <v>0.63349652738243245</v>
      </c>
    </row>
    <row r="5566" spans="16:18" x14ac:dyDescent="0.3">
      <c r="P5566" s="35">
        <v>36.46</v>
      </c>
      <c r="Q5566">
        <v>305</v>
      </c>
      <c r="R5566" s="34">
        <f t="shared" si="89"/>
        <v>0.63361038369576506</v>
      </c>
    </row>
    <row r="5567" spans="16:18" x14ac:dyDescent="0.3">
      <c r="P5567" s="35">
        <v>36.47</v>
      </c>
      <c r="Q5567">
        <v>305</v>
      </c>
      <c r="R5567" s="34">
        <f t="shared" si="89"/>
        <v>0.63372424000909766</v>
      </c>
    </row>
    <row r="5568" spans="16:18" x14ac:dyDescent="0.3">
      <c r="P5568" s="35">
        <v>36.47</v>
      </c>
      <c r="Q5568">
        <v>305</v>
      </c>
      <c r="R5568" s="34">
        <f t="shared" si="89"/>
        <v>0.63383809632243027</v>
      </c>
    </row>
    <row r="5569" spans="16:18" x14ac:dyDescent="0.3">
      <c r="P5569" s="35">
        <v>36.479999999999997</v>
      </c>
      <c r="Q5569">
        <v>305</v>
      </c>
      <c r="R5569" s="34">
        <f t="shared" si="89"/>
        <v>0.63395195263576287</v>
      </c>
    </row>
    <row r="5570" spans="16:18" x14ac:dyDescent="0.3">
      <c r="P5570" s="35">
        <v>36.49</v>
      </c>
      <c r="Q5570">
        <v>305</v>
      </c>
      <c r="R5570" s="34">
        <f t="shared" si="89"/>
        <v>0.63406580894909548</v>
      </c>
    </row>
    <row r="5571" spans="16:18" x14ac:dyDescent="0.3">
      <c r="P5571" s="35">
        <v>36.49</v>
      </c>
      <c r="Q5571">
        <v>305</v>
      </c>
      <c r="R5571" s="34">
        <f t="shared" si="89"/>
        <v>0.63417966526242808</v>
      </c>
    </row>
    <row r="5572" spans="16:18" x14ac:dyDescent="0.3">
      <c r="P5572" s="35">
        <v>36.5</v>
      </c>
      <c r="Q5572">
        <v>305</v>
      </c>
      <c r="R5572" s="34">
        <f t="shared" ref="R5572:R5635" si="90">R5571+R$2</f>
        <v>0.63429352157576069</v>
      </c>
    </row>
    <row r="5573" spans="16:18" x14ac:dyDescent="0.3">
      <c r="P5573" s="35">
        <v>36.5</v>
      </c>
      <c r="Q5573">
        <v>305</v>
      </c>
      <c r="R5573" s="34">
        <f t="shared" si="90"/>
        <v>0.63440737788909329</v>
      </c>
    </row>
    <row r="5574" spans="16:18" x14ac:dyDescent="0.3">
      <c r="P5574" s="35">
        <v>36.51</v>
      </c>
      <c r="Q5574">
        <v>305</v>
      </c>
      <c r="R5574" s="34">
        <f t="shared" si="90"/>
        <v>0.6345212342024259</v>
      </c>
    </row>
    <row r="5575" spans="16:18" x14ac:dyDescent="0.3">
      <c r="P5575" s="35">
        <v>36.53</v>
      </c>
      <c r="Q5575">
        <v>305</v>
      </c>
      <c r="R5575" s="34">
        <f t="shared" si="90"/>
        <v>0.6346350905157585</v>
      </c>
    </row>
    <row r="5576" spans="16:18" x14ac:dyDescent="0.3">
      <c r="P5576" s="35">
        <v>36.54</v>
      </c>
      <c r="Q5576">
        <v>305</v>
      </c>
      <c r="R5576" s="34">
        <f t="shared" si="90"/>
        <v>0.63474894682909111</v>
      </c>
    </row>
    <row r="5577" spans="16:18" x14ac:dyDescent="0.3">
      <c r="P5577" s="35">
        <v>36.54</v>
      </c>
      <c r="Q5577">
        <v>305</v>
      </c>
      <c r="R5577" s="34">
        <f t="shared" si="90"/>
        <v>0.63486280314242372</v>
      </c>
    </row>
    <row r="5578" spans="16:18" x14ac:dyDescent="0.3">
      <c r="P5578" s="35">
        <v>36.549999999999997</v>
      </c>
      <c r="Q5578">
        <v>305</v>
      </c>
      <c r="R5578" s="34">
        <f t="shared" si="90"/>
        <v>0.63497665945575632</v>
      </c>
    </row>
    <row r="5579" spans="16:18" x14ac:dyDescent="0.3">
      <c r="P5579" s="35">
        <v>36.549999999999997</v>
      </c>
      <c r="Q5579">
        <v>305</v>
      </c>
      <c r="R5579" s="34">
        <f t="shared" si="90"/>
        <v>0.63509051576908893</v>
      </c>
    </row>
    <row r="5580" spans="16:18" x14ac:dyDescent="0.3">
      <c r="P5580" s="35">
        <v>36.549999999999997</v>
      </c>
      <c r="Q5580">
        <v>305</v>
      </c>
      <c r="R5580" s="34">
        <f t="shared" si="90"/>
        <v>0.63520437208242153</v>
      </c>
    </row>
    <row r="5581" spans="16:18" x14ac:dyDescent="0.3">
      <c r="P5581" s="35">
        <v>36.56</v>
      </c>
      <c r="Q5581">
        <v>305</v>
      </c>
      <c r="R5581" s="34">
        <f t="shared" si="90"/>
        <v>0.63531822839575414</v>
      </c>
    </row>
    <row r="5582" spans="16:18" x14ac:dyDescent="0.3">
      <c r="P5582" s="35">
        <v>36.56</v>
      </c>
      <c r="Q5582">
        <v>305</v>
      </c>
      <c r="R5582" s="34">
        <f t="shared" si="90"/>
        <v>0.63543208470908674</v>
      </c>
    </row>
    <row r="5583" spans="16:18" x14ac:dyDescent="0.3">
      <c r="P5583" s="35">
        <v>36.56</v>
      </c>
      <c r="Q5583">
        <v>305</v>
      </c>
      <c r="R5583" s="34">
        <f t="shared" si="90"/>
        <v>0.63554594102241935</v>
      </c>
    </row>
    <row r="5584" spans="16:18" x14ac:dyDescent="0.3">
      <c r="P5584" s="35">
        <v>36.56</v>
      </c>
      <c r="Q5584">
        <v>305</v>
      </c>
      <c r="R5584" s="34">
        <f t="shared" si="90"/>
        <v>0.63565979733575195</v>
      </c>
    </row>
    <row r="5585" spans="16:18" x14ac:dyDescent="0.3">
      <c r="P5585" s="35">
        <v>36.57</v>
      </c>
      <c r="Q5585">
        <v>305</v>
      </c>
      <c r="R5585" s="34">
        <f t="shared" si="90"/>
        <v>0.63577365364908456</v>
      </c>
    </row>
    <row r="5586" spans="16:18" x14ac:dyDescent="0.3">
      <c r="P5586" s="35">
        <v>36.57</v>
      </c>
      <c r="Q5586">
        <v>305</v>
      </c>
      <c r="R5586" s="34">
        <f t="shared" si="90"/>
        <v>0.63588750996241716</v>
      </c>
    </row>
    <row r="5587" spans="16:18" x14ac:dyDescent="0.3">
      <c r="P5587" s="35">
        <v>36.58</v>
      </c>
      <c r="Q5587">
        <v>305</v>
      </c>
      <c r="R5587" s="34">
        <f t="shared" si="90"/>
        <v>0.63600136627574977</v>
      </c>
    </row>
    <row r="5588" spans="16:18" x14ac:dyDescent="0.3">
      <c r="P5588" s="35">
        <v>36.58</v>
      </c>
      <c r="Q5588">
        <v>305</v>
      </c>
      <c r="R5588" s="34">
        <f t="shared" si="90"/>
        <v>0.63611522258908237</v>
      </c>
    </row>
    <row r="5589" spans="16:18" x14ac:dyDescent="0.3">
      <c r="P5589" s="35">
        <v>36.6</v>
      </c>
      <c r="Q5589">
        <v>305</v>
      </c>
      <c r="R5589" s="34">
        <f t="shared" si="90"/>
        <v>0.63622907890241498</v>
      </c>
    </row>
    <row r="5590" spans="16:18" x14ac:dyDescent="0.3">
      <c r="P5590" s="35">
        <v>36.630000000000003</v>
      </c>
      <c r="Q5590">
        <v>305</v>
      </c>
      <c r="R5590" s="34">
        <f t="shared" si="90"/>
        <v>0.63634293521574758</v>
      </c>
    </row>
    <row r="5591" spans="16:18" x14ac:dyDescent="0.3">
      <c r="P5591" s="35">
        <v>36.630000000000003</v>
      </c>
      <c r="Q5591">
        <v>305</v>
      </c>
      <c r="R5591" s="34">
        <f t="shared" si="90"/>
        <v>0.63645679152908019</v>
      </c>
    </row>
    <row r="5592" spans="16:18" x14ac:dyDescent="0.3">
      <c r="P5592" s="35">
        <v>36.630000000000003</v>
      </c>
      <c r="Q5592">
        <v>305</v>
      </c>
      <c r="R5592" s="34">
        <f t="shared" si="90"/>
        <v>0.6365706478424128</v>
      </c>
    </row>
    <row r="5593" spans="16:18" x14ac:dyDescent="0.3">
      <c r="P5593" s="35">
        <v>36.65</v>
      </c>
      <c r="Q5593">
        <v>305</v>
      </c>
      <c r="R5593" s="34">
        <f t="shared" si="90"/>
        <v>0.6366845041557454</v>
      </c>
    </row>
    <row r="5594" spans="16:18" x14ac:dyDescent="0.3">
      <c r="P5594" s="35">
        <v>36.65</v>
      </c>
      <c r="Q5594">
        <v>305</v>
      </c>
      <c r="R5594" s="34">
        <f t="shared" si="90"/>
        <v>0.63679836046907801</v>
      </c>
    </row>
    <row r="5595" spans="16:18" x14ac:dyDescent="0.3">
      <c r="P5595" s="35">
        <v>36.659999999999997</v>
      </c>
      <c r="Q5595">
        <v>305</v>
      </c>
      <c r="R5595" s="34">
        <f t="shared" si="90"/>
        <v>0.63691221678241061</v>
      </c>
    </row>
    <row r="5596" spans="16:18" x14ac:dyDescent="0.3">
      <c r="P5596" s="35">
        <v>36.659999999999997</v>
      </c>
      <c r="Q5596">
        <v>305</v>
      </c>
      <c r="R5596" s="34">
        <f t="shared" si="90"/>
        <v>0.63702607309574322</v>
      </c>
    </row>
    <row r="5597" spans="16:18" x14ac:dyDescent="0.3">
      <c r="P5597" s="35">
        <v>36.67</v>
      </c>
      <c r="Q5597">
        <v>305</v>
      </c>
      <c r="R5597" s="34">
        <f t="shared" si="90"/>
        <v>0.63713992940907582</v>
      </c>
    </row>
    <row r="5598" spans="16:18" x14ac:dyDescent="0.3">
      <c r="P5598" s="35">
        <v>36.67</v>
      </c>
      <c r="Q5598">
        <v>305</v>
      </c>
      <c r="R5598" s="34">
        <f t="shared" si="90"/>
        <v>0.63725378572240843</v>
      </c>
    </row>
    <row r="5599" spans="16:18" x14ac:dyDescent="0.3">
      <c r="P5599" s="35">
        <v>36.67</v>
      </c>
      <c r="Q5599">
        <v>305</v>
      </c>
      <c r="R5599" s="34">
        <f t="shared" si="90"/>
        <v>0.63736764203574103</v>
      </c>
    </row>
    <row r="5600" spans="16:18" x14ac:dyDescent="0.3">
      <c r="P5600" s="35">
        <v>36.68</v>
      </c>
      <c r="Q5600">
        <v>305</v>
      </c>
      <c r="R5600" s="34">
        <f t="shared" si="90"/>
        <v>0.63748149834907364</v>
      </c>
    </row>
    <row r="5601" spans="16:18" x14ac:dyDescent="0.3">
      <c r="P5601" s="35">
        <v>36.68</v>
      </c>
      <c r="Q5601">
        <v>305</v>
      </c>
      <c r="R5601" s="34">
        <f t="shared" si="90"/>
        <v>0.63759535466240624</v>
      </c>
    </row>
    <row r="5602" spans="16:18" x14ac:dyDescent="0.3">
      <c r="P5602" s="35">
        <v>36.69</v>
      </c>
      <c r="Q5602">
        <v>305</v>
      </c>
      <c r="R5602" s="34">
        <f t="shared" si="90"/>
        <v>0.63770921097573885</v>
      </c>
    </row>
    <row r="5603" spans="16:18" x14ac:dyDescent="0.3">
      <c r="P5603" s="35">
        <v>36.69</v>
      </c>
      <c r="Q5603">
        <v>305</v>
      </c>
      <c r="R5603" s="34">
        <f t="shared" si="90"/>
        <v>0.63782306728907145</v>
      </c>
    </row>
    <row r="5604" spans="16:18" x14ac:dyDescent="0.3">
      <c r="P5604" s="35">
        <v>36.700000000000003</v>
      </c>
      <c r="Q5604">
        <v>305</v>
      </c>
      <c r="R5604" s="34">
        <f t="shared" si="90"/>
        <v>0.63793692360240406</v>
      </c>
    </row>
    <row r="5605" spans="16:18" x14ac:dyDescent="0.3">
      <c r="P5605" s="35">
        <v>36.700000000000003</v>
      </c>
      <c r="Q5605">
        <v>305</v>
      </c>
      <c r="R5605" s="34">
        <f t="shared" si="90"/>
        <v>0.63805077991573667</v>
      </c>
    </row>
    <row r="5606" spans="16:18" x14ac:dyDescent="0.3">
      <c r="P5606" s="35">
        <v>36.72</v>
      </c>
      <c r="Q5606">
        <v>305</v>
      </c>
      <c r="R5606" s="34">
        <f t="shared" si="90"/>
        <v>0.63816463622906927</v>
      </c>
    </row>
    <row r="5607" spans="16:18" x14ac:dyDescent="0.3">
      <c r="P5607" s="35">
        <v>36.72</v>
      </c>
      <c r="Q5607">
        <v>305</v>
      </c>
      <c r="R5607" s="34">
        <f t="shared" si="90"/>
        <v>0.63827849254240188</v>
      </c>
    </row>
    <row r="5608" spans="16:18" x14ac:dyDescent="0.3">
      <c r="P5608" s="35">
        <v>36.729999999999997</v>
      </c>
      <c r="Q5608">
        <v>305</v>
      </c>
      <c r="R5608" s="34">
        <f t="shared" si="90"/>
        <v>0.63839234885573448</v>
      </c>
    </row>
    <row r="5609" spans="16:18" x14ac:dyDescent="0.3">
      <c r="P5609" s="35">
        <v>36.729999999999997</v>
      </c>
      <c r="Q5609">
        <v>305</v>
      </c>
      <c r="R5609" s="34">
        <f t="shared" si="90"/>
        <v>0.63850620516906709</v>
      </c>
    </row>
    <row r="5610" spans="16:18" x14ac:dyDescent="0.3">
      <c r="P5610" s="35">
        <v>36.729999999999997</v>
      </c>
      <c r="Q5610">
        <v>305</v>
      </c>
      <c r="R5610" s="34">
        <f t="shared" si="90"/>
        <v>0.63862006148239969</v>
      </c>
    </row>
    <row r="5611" spans="16:18" x14ac:dyDescent="0.3">
      <c r="P5611" s="35">
        <v>36.729999999999997</v>
      </c>
      <c r="Q5611">
        <v>305</v>
      </c>
      <c r="R5611" s="34">
        <f t="shared" si="90"/>
        <v>0.6387339177957323</v>
      </c>
    </row>
    <row r="5612" spans="16:18" x14ac:dyDescent="0.3">
      <c r="P5612" s="35">
        <v>36.74</v>
      </c>
      <c r="Q5612">
        <v>305</v>
      </c>
      <c r="R5612" s="34">
        <f t="shared" si="90"/>
        <v>0.6388477741090649</v>
      </c>
    </row>
    <row r="5613" spans="16:18" x14ac:dyDescent="0.3">
      <c r="P5613" s="35">
        <v>36.74</v>
      </c>
      <c r="Q5613">
        <v>305</v>
      </c>
      <c r="R5613" s="34">
        <f t="shared" si="90"/>
        <v>0.63896163042239751</v>
      </c>
    </row>
    <row r="5614" spans="16:18" x14ac:dyDescent="0.3">
      <c r="P5614" s="35">
        <v>36.74</v>
      </c>
      <c r="Q5614">
        <v>305</v>
      </c>
      <c r="R5614" s="34">
        <f t="shared" si="90"/>
        <v>0.63907548673573011</v>
      </c>
    </row>
    <row r="5615" spans="16:18" x14ac:dyDescent="0.3">
      <c r="P5615" s="35">
        <v>36.75</v>
      </c>
      <c r="Q5615">
        <v>305</v>
      </c>
      <c r="R5615" s="34">
        <f t="shared" si="90"/>
        <v>0.63918934304906272</v>
      </c>
    </row>
    <row r="5616" spans="16:18" x14ac:dyDescent="0.3">
      <c r="P5616" s="35">
        <v>36.76</v>
      </c>
      <c r="Q5616">
        <v>305</v>
      </c>
      <c r="R5616" s="34">
        <f t="shared" si="90"/>
        <v>0.63930319936239532</v>
      </c>
    </row>
    <row r="5617" spans="16:18" x14ac:dyDescent="0.3">
      <c r="P5617" s="35">
        <v>36.770000000000003</v>
      </c>
      <c r="Q5617">
        <v>305</v>
      </c>
      <c r="R5617" s="34">
        <f t="shared" si="90"/>
        <v>0.63941705567572793</v>
      </c>
    </row>
    <row r="5618" spans="16:18" x14ac:dyDescent="0.3">
      <c r="P5618" s="35">
        <v>36.770000000000003</v>
      </c>
      <c r="Q5618">
        <v>305</v>
      </c>
      <c r="R5618" s="34">
        <f t="shared" si="90"/>
        <v>0.63953091198906054</v>
      </c>
    </row>
    <row r="5619" spans="16:18" x14ac:dyDescent="0.3">
      <c r="P5619" s="35">
        <v>36.770000000000003</v>
      </c>
      <c r="Q5619">
        <v>305</v>
      </c>
      <c r="R5619" s="34">
        <f t="shared" si="90"/>
        <v>0.63964476830239314</v>
      </c>
    </row>
    <row r="5620" spans="16:18" x14ac:dyDescent="0.3">
      <c r="P5620" s="35">
        <v>36.78</v>
      </c>
      <c r="Q5620">
        <v>305</v>
      </c>
      <c r="R5620" s="34">
        <f t="shared" si="90"/>
        <v>0.63975862461572575</v>
      </c>
    </row>
    <row r="5621" spans="16:18" x14ac:dyDescent="0.3">
      <c r="P5621" s="35">
        <v>36.799999999999997</v>
      </c>
      <c r="Q5621">
        <v>305</v>
      </c>
      <c r="R5621" s="34">
        <f t="shared" si="90"/>
        <v>0.63987248092905835</v>
      </c>
    </row>
    <row r="5622" spans="16:18" x14ac:dyDescent="0.3">
      <c r="P5622" s="35">
        <v>36.81</v>
      </c>
      <c r="Q5622">
        <v>305</v>
      </c>
      <c r="R5622" s="34">
        <f t="shared" si="90"/>
        <v>0.63998633724239096</v>
      </c>
    </row>
    <row r="5623" spans="16:18" x14ac:dyDescent="0.3">
      <c r="P5623" s="35">
        <v>36.82</v>
      </c>
      <c r="Q5623">
        <v>305</v>
      </c>
      <c r="R5623" s="34">
        <f t="shared" si="90"/>
        <v>0.64010019355572356</v>
      </c>
    </row>
    <row r="5624" spans="16:18" x14ac:dyDescent="0.3">
      <c r="P5624" s="35">
        <v>36.83</v>
      </c>
      <c r="Q5624">
        <v>305</v>
      </c>
      <c r="R5624" s="34">
        <f t="shared" si="90"/>
        <v>0.64021404986905617</v>
      </c>
    </row>
    <row r="5625" spans="16:18" x14ac:dyDescent="0.3">
      <c r="P5625" s="35">
        <v>36.840000000000003</v>
      </c>
      <c r="Q5625">
        <v>305</v>
      </c>
      <c r="R5625" s="34">
        <f t="shared" si="90"/>
        <v>0.64032790618238877</v>
      </c>
    </row>
    <row r="5626" spans="16:18" x14ac:dyDescent="0.3">
      <c r="P5626" s="35">
        <v>36.840000000000003</v>
      </c>
      <c r="Q5626">
        <v>305</v>
      </c>
      <c r="R5626" s="34">
        <f t="shared" si="90"/>
        <v>0.64044176249572138</v>
      </c>
    </row>
    <row r="5627" spans="16:18" x14ac:dyDescent="0.3">
      <c r="P5627" s="35">
        <v>36.840000000000003</v>
      </c>
      <c r="Q5627">
        <v>305</v>
      </c>
      <c r="R5627" s="34">
        <f t="shared" si="90"/>
        <v>0.64055561880905398</v>
      </c>
    </row>
    <row r="5628" spans="16:18" x14ac:dyDescent="0.3">
      <c r="P5628" s="35">
        <v>36.85</v>
      </c>
      <c r="Q5628">
        <v>305</v>
      </c>
      <c r="R5628" s="34">
        <f t="shared" si="90"/>
        <v>0.64066947512238659</v>
      </c>
    </row>
    <row r="5629" spans="16:18" x14ac:dyDescent="0.3">
      <c r="P5629" s="35">
        <v>36.869999999999997</v>
      </c>
      <c r="Q5629">
        <v>305</v>
      </c>
      <c r="R5629" s="34">
        <f t="shared" si="90"/>
        <v>0.64078333143571919</v>
      </c>
    </row>
    <row r="5630" spans="16:18" x14ac:dyDescent="0.3">
      <c r="P5630" s="35">
        <v>36.869999999999997</v>
      </c>
      <c r="Q5630">
        <v>305</v>
      </c>
      <c r="R5630" s="34">
        <f t="shared" si="90"/>
        <v>0.6408971877490518</v>
      </c>
    </row>
    <row r="5631" spans="16:18" x14ac:dyDescent="0.3">
      <c r="P5631" s="35">
        <v>36.880000000000003</v>
      </c>
      <c r="Q5631">
        <v>305</v>
      </c>
      <c r="R5631" s="34">
        <f t="shared" si="90"/>
        <v>0.64101104406238441</v>
      </c>
    </row>
    <row r="5632" spans="16:18" x14ac:dyDescent="0.3">
      <c r="P5632" s="35">
        <v>36.880000000000003</v>
      </c>
      <c r="Q5632">
        <v>305</v>
      </c>
      <c r="R5632" s="34">
        <f t="shared" si="90"/>
        <v>0.64112490037571701</v>
      </c>
    </row>
    <row r="5633" spans="16:18" x14ac:dyDescent="0.3">
      <c r="P5633" s="35">
        <v>36.89</v>
      </c>
      <c r="Q5633">
        <v>305</v>
      </c>
      <c r="R5633" s="34">
        <f t="shared" si="90"/>
        <v>0.64123875668904962</v>
      </c>
    </row>
    <row r="5634" spans="16:18" x14ac:dyDescent="0.3">
      <c r="P5634" s="35">
        <v>36.89</v>
      </c>
      <c r="Q5634">
        <v>305</v>
      </c>
      <c r="R5634" s="34">
        <f t="shared" si="90"/>
        <v>0.64135261300238222</v>
      </c>
    </row>
    <row r="5635" spans="16:18" x14ac:dyDescent="0.3">
      <c r="P5635" s="35">
        <v>36.89</v>
      </c>
      <c r="Q5635">
        <v>305</v>
      </c>
      <c r="R5635" s="34">
        <f t="shared" si="90"/>
        <v>0.64146646931571483</v>
      </c>
    </row>
    <row r="5636" spans="16:18" x14ac:dyDescent="0.3">
      <c r="P5636" s="35">
        <v>36.909999999999997</v>
      </c>
      <c r="Q5636">
        <v>305</v>
      </c>
      <c r="R5636" s="34">
        <f t="shared" ref="R5636:R5699" si="91">R5635+R$2</f>
        <v>0.64158032562904743</v>
      </c>
    </row>
    <row r="5637" spans="16:18" x14ac:dyDescent="0.3">
      <c r="P5637" s="35">
        <v>36.93</v>
      </c>
      <c r="Q5637">
        <v>305</v>
      </c>
      <c r="R5637" s="34">
        <f t="shared" si="91"/>
        <v>0.64169418194238004</v>
      </c>
    </row>
    <row r="5638" spans="16:18" x14ac:dyDescent="0.3">
      <c r="P5638" s="35">
        <v>36.93</v>
      </c>
      <c r="Q5638">
        <v>305</v>
      </c>
      <c r="R5638" s="34">
        <f t="shared" si="91"/>
        <v>0.64180803825571264</v>
      </c>
    </row>
    <row r="5639" spans="16:18" x14ac:dyDescent="0.3">
      <c r="P5639" s="35">
        <v>36.94</v>
      </c>
      <c r="Q5639">
        <v>305</v>
      </c>
      <c r="R5639" s="34">
        <f t="shared" si="91"/>
        <v>0.64192189456904525</v>
      </c>
    </row>
    <row r="5640" spans="16:18" x14ac:dyDescent="0.3">
      <c r="P5640" s="35">
        <v>36.94</v>
      </c>
      <c r="Q5640">
        <v>305</v>
      </c>
      <c r="R5640" s="34">
        <f t="shared" si="91"/>
        <v>0.64203575088237785</v>
      </c>
    </row>
    <row r="5641" spans="16:18" x14ac:dyDescent="0.3">
      <c r="P5641" s="35">
        <v>36.94</v>
      </c>
      <c r="Q5641">
        <v>305</v>
      </c>
      <c r="R5641" s="34">
        <f t="shared" si="91"/>
        <v>0.64214960719571046</v>
      </c>
    </row>
    <row r="5642" spans="16:18" x14ac:dyDescent="0.3">
      <c r="P5642" s="35">
        <v>36.94</v>
      </c>
      <c r="Q5642">
        <v>305</v>
      </c>
      <c r="R5642" s="34">
        <f t="shared" si="91"/>
        <v>0.64226346350904306</v>
      </c>
    </row>
    <row r="5643" spans="16:18" x14ac:dyDescent="0.3">
      <c r="P5643" s="35">
        <v>36.950000000000003</v>
      </c>
      <c r="Q5643">
        <v>305</v>
      </c>
      <c r="R5643" s="34">
        <f t="shared" si="91"/>
        <v>0.64237731982237567</v>
      </c>
    </row>
    <row r="5644" spans="16:18" x14ac:dyDescent="0.3">
      <c r="P5644" s="35">
        <v>36.97</v>
      </c>
      <c r="Q5644">
        <v>305</v>
      </c>
      <c r="R5644" s="34">
        <f t="shared" si="91"/>
        <v>0.64249117613570828</v>
      </c>
    </row>
    <row r="5645" spans="16:18" x14ac:dyDescent="0.3">
      <c r="P5645" s="35">
        <v>36.979999999999997</v>
      </c>
      <c r="Q5645">
        <v>305</v>
      </c>
      <c r="R5645" s="34">
        <f t="shared" si="91"/>
        <v>0.64260503244904088</v>
      </c>
    </row>
    <row r="5646" spans="16:18" x14ac:dyDescent="0.3">
      <c r="P5646" s="35">
        <v>36.979999999999997</v>
      </c>
      <c r="Q5646">
        <v>305</v>
      </c>
      <c r="R5646" s="34">
        <f t="shared" si="91"/>
        <v>0.64271888876237349</v>
      </c>
    </row>
    <row r="5647" spans="16:18" x14ac:dyDescent="0.3">
      <c r="P5647" s="35">
        <v>36.99</v>
      </c>
      <c r="Q5647">
        <v>305</v>
      </c>
      <c r="R5647" s="34">
        <f t="shared" si="91"/>
        <v>0.64283274507570609</v>
      </c>
    </row>
    <row r="5648" spans="16:18" x14ac:dyDescent="0.3">
      <c r="P5648" s="35">
        <v>37</v>
      </c>
      <c r="Q5648">
        <v>305</v>
      </c>
      <c r="R5648" s="34">
        <f t="shared" si="91"/>
        <v>0.6429466013890387</v>
      </c>
    </row>
    <row r="5649" spans="16:18" x14ac:dyDescent="0.3">
      <c r="P5649" s="35">
        <v>37</v>
      </c>
      <c r="Q5649">
        <v>305</v>
      </c>
      <c r="R5649" s="34">
        <f t="shared" si="91"/>
        <v>0.6430604577023713</v>
      </c>
    </row>
    <row r="5650" spans="16:18" x14ac:dyDescent="0.3">
      <c r="P5650" s="35">
        <v>37.01</v>
      </c>
      <c r="Q5650">
        <v>305</v>
      </c>
      <c r="R5650" s="34">
        <f t="shared" si="91"/>
        <v>0.64317431401570391</v>
      </c>
    </row>
    <row r="5651" spans="16:18" x14ac:dyDescent="0.3">
      <c r="P5651" s="35">
        <v>37.020000000000003</v>
      </c>
      <c r="Q5651">
        <v>305</v>
      </c>
      <c r="R5651" s="34">
        <f t="shared" si="91"/>
        <v>0.64328817032903651</v>
      </c>
    </row>
    <row r="5652" spans="16:18" x14ac:dyDescent="0.3">
      <c r="P5652" s="35">
        <v>37.020000000000003</v>
      </c>
      <c r="Q5652">
        <v>305</v>
      </c>
      <c r="R5652" s="34">
        <f t="shared" si="91"/>
        <v>0.64340202664236912</v>
      </c>
    </row>
    <row r="5653" spans="16:18" x14ac:dyDescent="0.3">
      <c r="P5653" s="35">
        <v>37.03</v>
      </c>
      <c r="Q5653">
        <v>305</v>
      </c>
      <c r="R5653" s="34">
        <f t="shared" si="91"/>
        <v>0.64351588295570172</v>
      </c>
    </row>
    <row r="5654" spans="16:18" x14ac:dyDescent="0.3">
      <c r="P5654" s="35">
        <v>37.03</v>
      </c>
      <c r="Q5654">
        <v>305</v>
      </c>
      <c r="R5654" s="34">
        <f t="shared" si="91"/>
        <v>0.64362973926903433</v>
      </c>
    </row>
    <row r="5655" spans="16:18" x14ac:dyDescent="0.3">
      <c r="P5655" s="35">
        <v>37.03</v>
      </c>
      <c r="Q5655">
        <v>305</v>
      </c>
      <c r="R5655" s="34">
        <f t="shared" si="91"/>
        <v>0.64374359558236693</v>
      </c>
    </row>
    <row r="5656" spans="16:18" x14ac:dyDescent="0.3">
      <c r="P5656" s="35">
        <v>37.03</v>
      </c>
      <c r="Q5656">
        <v>305</v>
      </c>
      <c r="R5656" s="34">
        <f t="shared" si="91"/>
        <v>0.64385745189569954</v>
      </c>
    </row>
    <row r="5657" spans="16:18" x14ac:dyDescent="0.3">
      <c r="P5657" s="35">
        <v>37.04</v>
      </c>
      <c r="Q5657">
        <v>305</v>
      </c>
      <c r="R5657" s="34">
        <f t="shared" si="91"/>
        <v>0.64397130820903214</v>
      </c>
    </row>
    <row r="5658" spans="16:18" x14ac:dyDescent="0.3">
      <c r="P5658" s="35">
        <v>37.04</v>
      </c>
      <c r="Q5658">
        <v>305</v>
      </c>
      <c r="R5658" s="34">
        <f t="shared" si="91"/>
        <v>0.64408516452236475</v>
      </c>
    </row>
    <row r="5659" spans="16:18" x14ac:dyDescent="0.3">
      <c r="P5659" s="35">
        <v>37.049999999999997</v>
      </c>
      <c r="Q5659">
        <v>305</v>
      </c>
      <c r="R5659" s="34">
        <f t="shared" si="91"/>
        <v>0.64419902083569736</v>
      </c>
    </row>
    <row r="5660" spans="16:18" x14ac:dyDescent="0.3">
      <c r="P5660" s="35">
        <v>37.06</v>
      </c>
      <c r="Q5660">
        <v>305</v>
      </c>
      <c r="R5660" s="34">
        <f t="shared" si="91"/>
        <v>0.64431287714902996</v>
      </c>
    </row>
    <row r="5661" spans="16:18" x14ac:dyDescent="0.3">
      <c r="P5661" s="35">
        <v>37.08</v>
      </c>
      <c r="Q5661">
        <v>305</v>
      </c>
      <c r="R5661" s="34">
        <f t="shared" si="91"/>
        <v>0.64442673346236257</v>
      </c>
    </row>
    <row r="5662" spans="16:18" x14ac:dyDescent="0.3">
      <c r="P5662" s="35">
        <v>37.1</v>
      </c>
      <c r="Q5662">
        <v>305</v>
      </c>
      <c r="R5662" s="34">
        <f t="shared" si="91"/>
        <v>0.64454058977569517</v>
      </c>
    </row>
    <row r="5663" spans="16:18" x14ac:dyDescent="0.3">
      <c r="P5663" s="35">
        <v>37.1</v>
      </c>
      <c r="Q5663">
        <v>305</v>
      </c>
      <c r="R5663" s="34">
        <f t="shared" si="91"/>
        <v>0.64465444608902778</v>
      </c>
    </row>
    <row r="5664" spans="16:18" x14ac:dyDescent="0.3">
      <c r="P5664" s="35">
        <v>37.119999999999997</v>
      </c>
      <c r="Q5664">
        <v>305</v>
      </c>
      <c r="R5664" s="34">
        <f t="shared" si="91"/>
        <v>0.64476830240236038</v>
      </c>
    </row>
    <row r="5665" spans="16:18" x14ac:dyDescent="0.3">
      <c r="P5665" s="35">
        <v>37.15</v>
      </c>
      <c r="Q5665">
        <v>305</v>
      </c>
      <c r="R5665" s="34">
        <f t="shared" si="91"/>
        <v>0.64488215871569299</v>
      </c>
    </row>
    <row r="5666" spans="16:18" x14ac:dyDescent="0.3">
      <c r="P5666" s="35">
        <v>37.159999999999997</v>
      </c>
      <c r="Q5666">
        <v>305</v>
      </c>
      <c r="R5666" s="34">
        <f t="shared" si="91"/>
        <v>0.64499601502902559</v>
      </c>
    </row>
    <row r="5667" spans="16:18" x14ac:dyDescent="0.3">
      <c r="P5667" s="35">
        <v>37.17</v>
      </c>
      <c r="Q5667">
        <v>305</v>
      </c>
      <c r="R5667" s="34">
        <f t="shared" si="91"/>
        <v>0.6451098713423582</v>
      </c>
    </row>
    <row r="5668" spans="16:18" x14ac:dyDescent="0.3">
      <c r="P5668" s="35">
        <v>37.17</v>
      </c>
      <c r="Q5668">
        <v>305</v>
      </c>
      <c r="R5668" s="34">
        <f t="shared" si="91"/>
        <v>0.6452237276556908</v>
      </c>
    </row>
    <row r="5669" spans="16:18" x14ac:dyDescent="0.3">
      <c r="P5669" s="35">
        <v>37.17</v>
      </c>
      <c r="Q5669">
        <v>305</v>
      </c>
      <c r="R5669" s="34">
        <f t="shared" si="91"/>
        <v>0.64533758396902341</v>
      </c>
    </row>
    <row r="5670" spans="16:18" x14ac:dyDescent="0.3">
      <c r="P5670" s="35">
        <v>37.18</v>
      </c>
      <c r="Q5670">
        <v>305</v>
      </c>
      <c r="R5670" s="34">
        <f t="shared" si="91"/>
        <v>0.64545144028235601</v>
      </c>
    </row>
    <row r="5671" spans="16:18" x14ac:dyDescent="0.3">
      <c r="P5671" s="35">
        <v>37.19</v>
      </c>
      <c r="Q5671">
        <v>305</v>
      </c>
      <c r="R5671" s="34">
        <f t="shared" si="91"/>
        <v>0.64556529659568862</v>
      </c>
    </row>
    <row r="5672" spans="16:18" x14ac:dyDescent="0.3">
      <c r="P5672" s="35">
        <v>37.19</v>
      </c>
      <c r="Q5672">
        <v>305</v>
      </c>
      <c r="R5672" s="34">
        <f t="shared" si="91"/>
        <v>0.64567915290902123</v>
      </c>
    </row>
    <row r="5673" spans="16:18" x14ac:dyDescent="0.3">
      <c r="P5673" s="35">
        <v>37.200000000000003</v>
      </c>
      <c r="Q5673">
        <v>305</v>
      </c>
      <c r="R5673" s="34">
        <f t="shared" si="91"/>
        <v>0.64579300922235383</v>
      </c>
    </row>
    <row r="5674" spans="16:18" x14ac:dyDescent="0.3">
      <c r="P5674" s="35">
        <v>37.200000000000003</v>
      </c>
      <c r="Q5674">
        <v>305</v>
      </c>
      <c r="R5674" s="34">
        <f t="shared" si="91"/>
        <v>0.64590686553568644</v>
      </c>
    </row>
    <row r="5675" spans="16:18" x14ac:dyDescent="0.3">
      <c r="P5675" s="35">
        <v>37.21</v>
      </c>
      <c r="Q5675">
        <v>305</v>
      </c>
      <c r="R5675" s="34">
        <f t="shared" si="91"/>
        <v>0.64602072184901904</v>
      </c>
    </row>
    <row r="5676" spans="16:18" x14ac:dyDescent="0.3">
      <c r="P5676" s="35">
        <v>37.21</v>
      </c>
      <c r="Q5676">
        <v>305</v>
      </c>
      <c r="R5676" s="34">
        <f t="shared" si="91"/>
        <v>0.64613457816235165</v>
      </c>
    </row>
    <row r="5677" spans="16:18" x14ac:dyDescent="0.3">
      <c r="P5677" s="35">
        <v>37.21</v>
      </c>
      <c r="Q5677">
        <v>305</v>
      </c>
      <c r="R5677" s="34">
        <f t="shared" si="91"/>
        <v>0.64624843447568425</v>
      </c>
    </row>
    <row r="5678" spans="16:18" x14ac:dyDescent="0.3">
      <c r="P5678" s="35">
        <v>37.22</v>
      </c>
      <c r="Q5678">
        <v>305</v>
      </c>
      <c r="R5678" s="34">
        <f t="shared" si="91"/>
        <v>0.64636229078901686</v>
      </c>
    </row>
    <row r="5679" spans="16:18" x14ac:dyDescent="0.3">
      <c r="P5679" s="35">
        <v>37.22</v>
      </c>
      <c r="Q5679">
        <v>305</v>
      </c>
      <c r="R5679" s="34">
        <f t="shared" si="91"/>
        <v>0.64647614710234946</v>
      </c>
    </row>
    <row r="5680" spans="16:18" x14ac:dyDescent="0.3">
      <c r="P5680" s="35">
        <v>37.229999999999997</v>
      </c>
      <c r="Q5680">
        <v>305</v>
      </c>
      <c r="R5680" s="34">
        <f t="shared" si="91"/>
        <v>0.64659000341568207</v>
      </c>
    </row>
    <row r="5681" spans="16:18" x14ac:dyDescent="0.3">
      <c r="P5681" s="35">
        <v>37.24</v>
      </c>
      <c r="Q5681">
        <v>305</v>
      </c>
      <c r="R5681" s="34">
        <f t="shared" si="91"/>
        <v>0.64670385972901467</v>
      </c>
    </row>
    <row r="5682" spans="16:18" x14ac:dyDescent="0.3">
      <c r="P5682" s="35">
        <v>37.24</v>
      </c>
      <c r="Q5682">
        <v>305</v>
      </c>
      <c r="R5682" s="34">
        <f t="shared" si="91"/>
        <v>0.64681771604234728</v>
      </c>
    </row>
    <row r="5683" spans="16:18" x14ac:dyDescent="0.3">
      <c r="P5683" s="35">
        <v>37.24</v>
      </c>
      <c r="Q5683">
        <v>305</v>
      </c>
      <c r="R5683" s="34">
        <f t="shared" si="91"/>
        <v>0.64693157235567988</v>
      </c>
    </row>
    <row r="5684" spans="16:18" x14ac:dyDescent="0.3">
      <c r="P5684" s="35">
        <v>37.25</v>
      </c>
      <c r="Q5684">
        <v>305</v>
      </c>
      <c r="R5684" s="34">
        <f t="shared" si="91"/>
        <v>0.64704542866901249</v>
      </c>
    </row>
    <row r="5685" spans="16:18" x14ac:dyDescent="0.3">
      <c r="P5685" s="35">
        <v>37.26</v>
      </c>
      <c r="Q5685">
        <v>305</v>
      </c>
      <c r="R5685" s="34">
        <f t="shared" si="91"/>
        <v>0.6471592849823451</v>
      </c>
    </row>
    <row r="5686" spans="16:18" x14ac:dyDescent="0.3">
      <c r="P5686" s="35">
        <v>37.26</v>
      </c>
      <c r="Q5686">
        <v>305</v>
      </c>
      <c r="R5686" s="34">
        <f t="shared" si="91"/>
        <v>0.6472731412956777</v>
      </c>
    </row>
    <row r="5687" spans="16:18" x14ac:dyDescent="0.3">
      <c r="P5687" s="35">
        <v>37.270000000000003</v>
      </c>
      <c r="Q5687">
        <v>305</v>
      </c>
      <c r="R5687" s="34">
        <f t="shared" si="91"/>
        <v>0.64738699760901031</v>
      </c>
    </row>
    <row r="5688" spans="16:18" x14ac:dyDescent="0.3">
      <c r="P5688" s="35">
        <v>37.29</v>
      </c>
      <c r="Q5688">
        <v>305</v>
      </c>
      <c r="R5688" s="34">
        <f t="shared" si="91"/>
        <v>0.64750085392234291</v>
      </c>
    </row>
    <row r="5689" spans="16:18" x14ac:dyDescent="0.3">
      <c r="P5689" s="35">
        <v>37.299999999999997</v>
      </c>
      <c r="Q5689">
        <v>305</v>
      </c>
      <c r="R5689" s="34">
        <f t="shared" si="91"/>
        <v>0.64761471023567552</v>
      </c>
    </row>
    <row r="5690" spans="16:18" x14ac:dyDescent="0.3">
      <c r="P5690" s="35">
        <v>37.299999999999997</v>
      </c>
      <c r="Q5690">
        <v>305</v>
      </c>
      <c r="R5690" s="34">
        <f t="shared" si="91"/>
        <v>0.64772856654900812</v>
      </c>
    </row>
    <row r="5691" spans="16:18" x14ac:dyDescent="0.3">
      <c r="P5691" s="35">
        <v>37.32</v>
      </c>
      <c r="Q5691">
        <v>305</v>
      </c>
      <c r="R5691" s="34">
        <f t="shared" si="91"/>
        <v>0.64784242286234073</v>
      </c>
    </row>
    <row r="5692" spans="16:18" x14ac:dyDescent="0.3">
      <c r="P5692" s="35">
        <v>37.32</v>
      </c>
      <c r="Q5692">
        <v>305</v>
      </c>
      <c r="R5692" s="34">
        <f t="shared" si="91"/>
        <v>0.64795627917567333</v>
      </c>
    </row>
    <row r="5693" spans="16:18" x14ac:dyDescent="0.3">
      <c r="P5693" s="35">
        <v>37.33</v>
      </c>
      <c r="Q5693">
        <v>305</v>
      </c>
      <c r="R5693" s="34">
        <f t="shared" si="91"/>
        <v>0.64807013548900594</v>
      </c>
    </row>
    <row r="5694" spans="16:18" x14ac:dyDescent="0.3">
      <c r="P5694" s="35">
        <v>37.33</v>
      </c>
      <c r="Q5694">
        <v>305</v>
      </c>
      <c r="R5694" s="34">
        <f t="shared" si="91"/>
        <v>0.64818399180233854</v>
      </c>
    </row>
    <row r="5695" spans="16:18" x14ac:dyDescent="0.3">
      <c r="P5695" s="35">
        <v>37.33</v>
      </c>
      <c r="Q5695">
        <v>305</v>
      </c>
      <c r="R5695" s="34">
        <f t="shared" si="91"/>
        <v>0.64829784811567115</v>
      </c>
    </row>
    <row r="5696" spans="16:18" x14ac:dyDescent="0.3">
      <c r="P5696" s="35">
        <v>37.33</v>
      </c>
      <c r="Q5696">
        <v>305</v>
      </c>
      <c r="R5696" s="34">
        <f t="shared" si="91"/>
        <v>0.64841170442900375</v>
      </c>
    </row>
    <row r="5697" spans="16:18" x14ac:dyDescent="0.3">
      <c r="P5697" s="35">
        <v>37.340000000000003</v>
      </c>
      <c r="Q5697">
        <v>305</v>
      </c>
      <c r="R5697" s="34">
        <f t="shared" si="91"/>
        <v>0.64852556074233636</v>
      </c>
    </row>
    <row r="5698" spans="16:18" x14ac:dyDescent="0.3">
      <c r="P5698" s="35">
        <v>37.35</v>
      </c>
      <c r="Q5698">
        <v>305</v>
      </c>
      <c r="R5698" s="34">
        <f t="shared" si="91"/>
        <v>0.64863941705566897</v>
      </c>
    </row>
    <row r="5699" spans="16:18" x14ac:dyDescent="0.3">
      <c r="P5699" s="35">
        <v>37.35</v>
      </c>
      <c r="Q5699">
        <v>305</v>
      </c>
      <c r="R5699" s="34">
        <f t="shared" si="91"/>
        <v>0.64875327336900157</v>
      </c>
    </row>
    <row r="5700" spans="16:18" x14ac:dyDescent="0.3">
      <c r="P5700" s="35">
        <v>37.369999999999997</v>
      </c>
      <c r="Q5700">
        <v>305</v>
      </c>
      <c r="R5700" s="34">
        <f t="shared" ref="R5700:R5763" si="92">R5699+R$2</f>
        <v>0.64886712968233418</v>
      </c>
    </row>
    <row r="5701" spans="16:18" x14ac:dyDescent="0.3">
      <c r="P5701" s="35">
        <v>37.380000000000003</v>
      </c>
      <c r="Q5701">
        <v>305</v>
      </c>
      <c r="R5701" s="34">
        <f t="shared" si="92"/>
        <v>0.64898098599566678</v>
      </c>
    </row>
    <row r="5702" spans="16:18" x14ac:dyDescent="0.3">
      <c r="P5702" s="35">
        <v>37.380000000000003</v>
      </c>
      <c r="Q5702">
        <v>305</v>
      </c>
      <c r="R5702" s="34">
        <f t="shared" si="92"/>
        <v>0.64909484230899939</v>
      </c>
    </row>
    <row r="5703" spans="16:18" x14ac:dyDescent="0.3">
      <c r="P5703" s="35">
        <v>37.39</v>
      </c>
      <c r="Q5703">
        <v>305</v>
      </c>
      <c r="R5703" s="34">
        <f t="shared" si="92"/>
        <v>0.64920869862233199</v>
      </c>
    </row>
    <row r="5704" spans="16:18" x14ac:dyDescent="0.3">
      <c r="P5704" s="35">
        <v>37.4</v>
      </c>
      <c r="Q5704">
        <v>305</v>
      </c>
      <c r="R5704" s="34">
        <f t="shared" si="92"/>
        <v>0.6493225549356646</v>
      </c>
    </row>
    <row r="5705" spans="16:18" x14ac:dyDescent="0.3">
      <c r="P5705" s="35">
        <v>37.4</v>
      </c>
      <c r="Q5705">
        <v>305</v>
      </c>
      <c r="R5705" s="34">
        <f t="shared" si="92"/>
        <v>0.6494364112489972</v>
      </c>
    </row>
    <row r="5706" spans="16:18" x14ac:dyDescent="0.3">
      <c r="P5706" s="35">
        <v>37.409999999999997</v>
      </c>
      <c r="Q5706">
        <v>305</v>
      </c>
      <c r="R5706" s="34">
        <f t="shared" si="92"/>
        <v>0.64955026756232981</v>
      </c>
    </row>
    <row r="5707" spans="16:18" x14ac:dyDescent="0.3">
      <c r="P5707" s="35">
        <v>37.409999999999997</v>
      </c>
      <c r="Q5707">
        <v>305</v>
      </c>
      <c r="R5707" s="34">
        <f t="shared" si="92"/>
        <v>0.64966412387566241</v>
      </c>
    </row>
    <row r="5708" spans="16:18" x14ac:dyDescent="0.3">
      <c r="P5708" s="35">
        <v>37.42</v>
      </c>
      <c r="Q5708">
        <v>305</v>
      </c>
      <c r="R5708" s="34">
        <f t="shared" si="92"/>
        <v>0.64977798018899502</v>
      </c>
    </row>
    <row r="5709" spans="16:18" x14ac:dyDescent="0.3">
      <c r="P5709" s="35">
        <v>37.43</v>
      </c>
      <c r="Q5709">
        <v>305</v>
      </c>
      <c r="R5709" s="34">
        <f t="shared" si="92"/>
        <v>0.64989183650232762</v>
      </c>
    </row>
    <row r="5710" spans="16:18" x14ac:dyDescent="0.3">
      <c r="P5710" s="35">
        <v>37.43</v>
      </c>
      <c r="Q5710">
        <v>305</v>
      </c>
      <c r="R5710" s="34">
        <f t="shared" si="92"/>
        <v>0.65000569281566023</v>
      </c>
    </row>
    <row r="5711" spans="16:18" x14ac:dyDescent="0.3">
      <c r="P5711" s="35">
        <v>37.43</v>
      </c>
      <c r="Q5711">
        <v>305</v>
      </c>
      <c r="R5711" s="34">
        <f t="shared" si="92"/>
        <v>0.65011954912899284</v>
      </c>
    </row>
    <row r="5712" spans="16:18" x14ac:dyDescent="0.3">
      <c r="P5712" s="35">
        <v>37.450000000000003</v>
      </c>
      <c r="Q5712">
        <v>305</v>
      </c>
      <c r="R5712" s="34">
        <f t="shared" si="92"/>
        <v>0.65023340544232544</v>
      </c>
    </row>
    <row r="5713" spans="16:18" x14ac:dyDescent="0.3">
      <c r="P5713" s="35">
        <v>37.450000000000003</v>
      </c>
      <c r="Q5713">
        <v>305</v>
      </c>
      <c r="R5713" s="34">
        <f t="shared" si="92"/>
        <v>0.65034726175565805</v>
      </c>
    </row>
    <row r="5714" spans="16:18" x14ac:dyDescent="0.3">
      <c r="P5714" s="35">
        <v>37.46</v>
      </c>
      <c r="Q5714">
        <v>305</v>
      </c>
      <c r="R5714" s="34">
        <f t="shared" si="92"/>
        <v>0.65046111806899065</v>
      </c>
    </row>
    <row r="5715" spans="16:18" x14ac:dyDescent="0.3">
      <c r="P5715" s="35">
        <v>37.46</v>
      </c>
      <c r="Q5715">
        <v>305</v>
      </c>
      <c r="R5715" s="34">
        <f t="shared" si="92"/>
        <v>0.65057497438232326</v>
      </c>
    </row>
    <row r="5716" spans="16:18" x14ac:dyDescent="0.3">
      <c r="P5716" s="35">
        <v>37.46</v>
      </c>
      <c r="Q5716">
        <v>305</v>
      </c>
      <c r="R5716" s="34">
        <f t="shared" si="92"/>
        <v>0.65068883069565586</v>
      </c>
    </row>
    <row r="5717" spans="16:18" x14ac:dyDescent="0.3">
      <c r="P5717" s="35">
        <v>37.47</v>
      </c>
      <c r="Q5717">
        <v>305</v>
      </c>
      <c r="R5717" s="34">
        <f t="shared" si="92"/>
        <v>0.65080268700898847</v>
      </c>
    </row>
    <row r="5718" spans="16:18" x14ac:dyDescent="0.3">
      <c r="P5718" s="35">
        <v>37.47</v>
      </c>
      <c r="Q5718">
        <v>305</v>
      </c>
      <c r="R5718" s="34">
        <f t="shared" si="92"/>
        <v>0.65091654332232107</v>
      </c>
    </row>
    <row r="5719" spans="16:18" x14ac:dyDescent="0.3">
      <c r="P5719" s="35">
        <v>37.49</v>
      </c>
      <c r="Q5719">
        <v>305</v>
      </c>
      <c r="R5719" s="34">
        <f t="shared" si="92"/>
        <v>0.65103039963565368</v>
      </c>
    </row>
    <row r="5720" spans="16:18" x14ac:dyDescent="0.3">
      <c r="P5720" s="35">
        <v>37.49</v>
      </c>
      <c r="Q5720">
        <v>305</v>
      </c>
      <c r="R5720" s="34">
        <f t="shared" si="92"/>
        <v>0.65114425594898628</v>
      </c>
    </row>
    <row r="5721" spans="16:18" x14ac:dyDescent="0.3">
      <c r="P5721" s="35">
        <v>37.5</v>
      </c>
      <c r="Q5721">
        <v>305</v>
      </c>
      <c r="R5721" s="34">
        <f t="shared" si="92"/>
        <v>0.65125811226231889</v>
      </c>
    </row>
    <row r="5722" spans="16:18" x14ac:dyDescent="0.3">
      <c r="P5722" s="35">
        <v>37.51</v>
      </c>
      <c r="Q5722">
        <v>305</v>
      </c>
      <c r="R5722" s="34">
        <f t="shared" si="92"/>
        <v>0.65137196857565149</v>
      </c>
    </row>
    <row r="5723" spans="16:18" x14ac:dyDescent="0.3">
      <c r="P5723" s="35">
        <v>37.51</v>
      </c>
      <c r="Q5723">
        <v>305</v>
      </c>
      <c r="R5723" s="34">
        <f t="shared" si="92"/>
        <v>0.6514858248889841</v>
      </c>
    </row>
    <row r="5724" spans="16:18" x14ac:dyDescent="0.3">
      <c r="P5724" s="35">
        <v>37.51</v>
      </c>
      <c r="Q5724">
        <v>305</v>
      </c>
      <c r="R5724" s="34">
        <f t="shared" si="92"/>
        <v>0.65159968120231671</v>
      </c>
    </row>
    <row r="5725" spans="16:18" x14ac:dyDescent="0.3">
      <c r="P5725" s="35">
        <v>37.520000000000003</v>
      </c>
      <c r="Q5725">
        <v>305</v>
      </c>
      <c r="R5725" s="34">
        <f t="shared" si="92"/>
        <v>0.65171353751564931</v>
      </c>
    </row>
    <row r="5726" spans="16:18" x14ac:dyDescent="0.3">
      <c r="P5726" s="35">
        <v>37.520000000000003</v>
      </c>
      <c r="Q5726">
        <v>305</v>
      </c>
      <c r="R5726" s="34">
        <f t="shared" si="92"/>
        <v>0.65182739382898192</v>
      </c>
    </row>
    <row r="5727" spans="16:18" x14ac:dyDescent="0.3">
      <c r="P5727" s="35">
        <v>37.57</v>
      </c>
      <c r="Q5727">
        <v>305</v>
      </c>
      <c r="R5727" s="34">
        <f t="shared" si="92"/>
        <v>0.65194125014231452</v>
      </c>
    </row>
    <row r="5728" spans="16:18" x14ac:dyDescent="0.3">
      <c r="P5728" s="35">
        <v>37.57</v>
      </c>
      <c r="Q5728">
        <v>305</v>
      </c>
      <c r="R5728" s="34">
        <f t="shared" si="92"/>
        <v>0.65205510645564713</v>
      </c>
    </row>
    <row r="5729" spans="16:18" x14ac:dyDescent="0.3">
      <c r="P5729" s="35">
        <v>37.57</v>
      </c>
      <c r="Q5729">
        <v>305</v>
      </c>
      <c r="R5729" s="34">
        <f t="shared" si="92"/>
        <v>0.65216896276897973</v>
      </c>
    </row>
    <row r="5730" spans="16:18" x14ac:dyDescent="0.3">
      <c r="P5730" s="35">
        <v>37.590000000000003</v>
      </c>
      <c r="Q5730">
        <v>305</v>
      </c>
      <c r="R5730" s="34">
        <f t="shared" si="92"/>
        <v>0.65228281908231234</v>
      </c>
    </row>
    <row r="5731" spans="16:18" x14ac:dyDescent="0.3">
      <c r="P5731" s="35">
        <v>37.619999999999997</v>
      </c>
      <c r="Q5731">
        <v>305</v>
      </c>
      <c r="R5731" s="34">
        <f t="shared" si="92"/>
        <v>0.65239667539564494</v>
      </c>
    </row>
    <row r="5732" spans="16:18" x14ac:dyDescent="0.3">
      <c r="P5732" s="35">
        <v>37.619999999999997</v>
      </c>
      <c r="Q5732">
        <v>305</v>
      </c>
      <c r="R5732" s="34">
        <f t="shared" si="92"/>
        <v>0.65251053170897755</v>
      </c>
    </row>
    <row r="5733" spans="16:18" x14ac:dyDescent="0.3">
      <c r="P5733" s="35">
        <v>37.619999999999997</v>
      </c>
      <c r="Q5733">
        <v>305</v>
      </c>
      <c r="R5733" s="34">
        <f t="shared" si="92"/>
        <v>0.65262438802231015</v>
      </c>
    </row>
    <row r="5734" spans="16:18" x14ac:dyDescent="0.3">
      <c r="P5734" s="35">
        <v>37.630000000000003</v>
      </c>
      <c r="Q5734">
        <v>305</v>
      </c>
      <c r="R5734" s="34">
        <f t="shared" si="92"/>
        <v>0.65273824433564276</v>
      </c>
    </row>
    <row r="5735" spans="16:18" x14ac:dyDescent="0.3">
      <c r="P5735" s="35">
        <v>37.630000000000003</v>
      </c>
      <c r="Q5735">
        <v>305</v>
      </c>
      <c r="R5735" s="34">
        <f t="shared" si="92"/>
        <v>0.65285210064897536</v>
      </c>
    </row>
    <row r="5736" spans="16:18" x14ac:dyDescent="0.3">
      <c r="P5736" s="35">
        <v>37.64</v>
      </c>
      <c r="Q5736">
        <v>305</v>
      </c>
      <c r="R5736" s="34">
        <f t="shared" si="92"/>
        <v>0.65296595696230797</v>
      </c>
    </row>
    <row r="5737" spans="16:18" x14ac:dyDescent="0.3">
      <c r="P5737" s="35">
        <v>37.64</v>
      </c>
      <c r="Q5737">
        <v>305</v>
      </c>
      <c r="R5737" s="34">
        <f t="shared" si="92"/>
        <v>0.65307981327564057</v>
      </c>
    </row>
    <row r="5738" spans="16:18" x14ac:dyDescent="0.3">
      <c r="P5738" s="35">
        <v>37.64</v>
      </c>
      <c r="Q5738">
        <v>305</v>
      </c>
      <c r="R5738" s="34">
        <f t="shared" si="92"/>
        <v>0.65319366958897318</v>
      </c>
    </row>
    <row r="5739" spans="16:18" x14ac:dyDescent="0.3">
      <c r="P5739" s="35">
        <v>37.67</v>
      </c>
      <c r="Q5739">
        <v>305</v>
      </c>
      <c r="R5739" s="34">
        <f t="shared" si="92"/>
        <v>0.65330752590230579</v>
      </c>
    </row>
    <row r="5740" spans="16:18" x14ac:dyDescent="0.3">
      <c r="P5740" s="35">
        <v>37.68</v>
      </c>
      <c r="Q5740">
        <v>305</v>
      </c>
      <c r="R5740" s="34">
        <f t="shared" si="92"/>
        <v>0.65342138221563839</v>
      </c>
    </row>
    <row r="5741" spans="16:18" x14ac:dyDescent="0.3">
      <c r="P5741" s="35">
        <v>37.68</v>
      </c>
      <c r="Q5741">
        <v>305</v>
      </c>
      <c r="R5741" s="34">
        <f t="shared" si="92"/>
        <v>0.653535238528971</v>
      </c>
    </row>
    <row r="5742" spans="16:18" x14ac:dyDescent="0.3">
      <c r="P5742" s="35">
        <v>37.68</v>
      </c>
      <c r="Q5742">
        <v>305</v>
      </c>
      <c r="R5742" s="34">
        <f t="shared" si="92"/>
        <v>0.6536490948423036</v>
      </c>
    </row>
    <row r="5743" spans="16:18" x14ac:dyDescent="0.3">
      <c r="P5743" s="35">
        <v>37.69</v>
      </c>
      <c r="Q5743">
        <v>305</v>
      </c>
      <c r="R5743" s="34">
        <f t="shared" si="92"/>
        <v>0.65376295115563621</v>
      </c>
    </row>
    <row r="5744" spans="16:18" x14ac:dyDescent="0.3">
      <c r="P5744" s="35">
        <v>37.700000000000003</v>
      </c>
      <c r="Q5744">
        <v>305</v>
      </c>
      <c r="R5744" s="34">
        <f t="shared" si="92"/>
        <v>0.65387680746896881</v>
      </c>
    </row>
    <row r="5745" spans="16:18" x14ac:dyDescent="0.3">
      <c r="P5745" s="35">
        <v>37.700000000000003</v>
      </c>
      <c r="Q5745">
        <v>305</v>
      </c>
      <c r="R5745" s="34">
        <f t="shared" si="92"/>
        <v>0.65399066378230142</v>
      </c>
    </row>
    <row r="5746" spans="16:18" x14ac:dyDescent="0.3">
      <c r="P5746" s="35">
        <v>37.71</v>
      </c>
      <c r="Q5746">
        <v>305</v>
      </c>
      <c r="R5746" s="34">
        <f t="shared" si="92"/>
        <v>0.65410452009563402</v>
      </c>
    </row>
    <row r="5747" spans="16:18" x14ac:dyDescent="0.3">
      <c r="P5747" s="35">
        <v>37.72</v>
      </c>
      <c r="Q5747">
        <v>305</v>
      </c>
      <c r="R5747" s="34">
        <f t="shared" si="92"/>
        <v>0.65421837640896663</v>
      </c>
    </row>
    <row r="5748" spans="16:18" x14ac:dyDescent="0.3">
      <c r="P5748" s="35">
        <v>37.72</v>
      </c>
      <c r="Q5748">
        <v>305</v>
      </c>
      <c r="R5748" s="34">
        <f t="shared" si="92"/>
        <v>0.65433223272229923</v>
      </c>
    </row>
    <row r="5749" spans="16:18" x14ac:dyDescent="0.3">
      <c r="P5749" s="35">
        <v>37.729999999999997</v>
      </c>
      <c r="Q5749">
        <v>305</v>
      </c>
      <c r="R5749" s="34">
        <f t="shared" si="92"/>
        <v>0.65444608903563184</v>
      </c>
    </row>
    <row r="5750" spans="16:18" x14ac:dyDescent="0.3">
      <c r="P5750" s="35">
        <v>37.729999999999997</v>
      </c>
      <c r="Q5750">
        <v>305</v>
      </c>
      <c r="R5750" s="34">
        <f t="shared" si="92"/>
        <v>0.65455994534896444</v>
      </c>
    </row>
    <row r="5751" spans="16:18" x14ac:dyDescent="0.3">
      <c r="P5751" s="35">
        <v>37.74</v>
      </c>
      <c r="Q5751">
        <v>305</v>
      </c>
      <c r="R5751" s="34">
        <f t="shared" si="92"/>
        <v>0.65467380166229705</v>
      </c>
    </row>
    <row r="5752" spans="16:18" x14ac:dyDescent="0.3">
      <c r="P5752" s="35">
        <v>37.75</v>
      </c>
      <c r="Q5752">
        <v>305</v>
      </c>
      <c r="R5752" s="34">
        <f t="shared" si="92"/>
        <v>0.65478765797562966</v>
      </c>
    </row>
    <row r="5753" spans="16:18" x14ac:dyDescent="0.3">
      <c r="P5753" s="35">
        <v>37.75</v>
      </c>
      <c r="Q5753">
        <v>305</v>
      </c>
      <c r="R5753" s="34">
        <f t="shared" si="92"/>
        <v>0.65490151428896226</v>
      </c>
    </row>
    <row r="5754" spans="16:18" x14ac:dyDescent="0.3">
      <c r="P5754" s="35">
        <v>37.75</v>
      </c>
      <c r="Q5754">
        <v>305</v>
      </c>
      <c r="R5754" s="34">
        <f t="shared" si="92"/>
        <v>0.65501537060229487</v>
      </c>
    </row>
    <row r="5755" spans="16:18" x14ac:dyDescent="0.3">
      <c r="P5755" s="35">
        <v>37.76</v>
      </c>
      <c r="Q5755">
        <v>305</v>
      </c>
      <c r="R5755" s="34">
        <f t="shared" si="92"/>
        <v>0.65512922691562747</v>
      </c>
    </row>
    <row r="5756" spans="16:18" x14ac:dyDescent="0.3">
      <c r="P5756" s="35">
        <v>37.76</v>
      </c>
      <c r="Q5756">
        <v>305</v>
      </c>
      <c r="R5756" s="34">
        <f t="shared" si="92"/>
        <v>0.65524308322896008</v>
      </c>
    </row>
    <row r="5757" spans="16:18" x14ac:dyDescent="0.3">
      <c r="P5757" s="35">
        <v>37.76</v>
      </c>
      <c r="Q5757">
        <v>305</v>
      </c>
      <c r="R5757" s="34">
        <f t="shared" si="92"/>
        <v>0.65535693954229268</v>
      </c>
    </row>
    <row r="5758" spans="16:18" x14ac:dyDescent="0.3">
      <c r="P5758" s="35">
        <v>37.770000000000003</v>
      </c>
      <c r="Q5758">
        <v>305</v>
      </c>
      <c r="R5758" s="34">
        <f t="shared" si="92"/>
        <v>0.65547079585562529</v>
      </c>
    </row>
    <row r="5759" spans="16:18" x14ac:dyDescent="0.3">
      <c r="P5759" s="35">
        <v>37.78</v>
      </c>
      <c r="Q5759">
        <v>305</v>
      </c>
      <c r="R5759" s="34">
        <f t="shared" si="92"/>
        <v>0.65558465216895789</v>
      </c>
    </row>
    <row r="5760" spans="16:18" x14ac:dyDescent="0.3">
      <c r="P5760" s="35">
        <v>37.78</v>
      </c>
      <c r="Q5760">
        <v>305</v>
      </c>
      <c r="R5760" s="34">
        <f t="shared" si="92"/>
        <v>0.6556985084822905</v>
      </c>
    </row>
    <row r="5761" spans="16:18" x14ac:dyDescent="0.3">
      <c r="P5761" s="35">
        <v>37.78</v>
      </c>
      <c r="Q5761">
        <v>305</v>
      </c>
      <c r="R5761" s="34">
        <f t="shared" si="92"/>
        <v>0.6558123647956231</v>
      </c>
    </row>
    <row r="5762" spans="16:18" x14ac:dyDescent="0.3">
      <c r="P5762" s="35">
        <v>37.78</v>
      </c>
      <c r="Q5762">
        <v>305</v>
      </c>
      <c r="R5762" s="34">
        <f t="shared" si="92"/>
        <v>0.65592622110895571</v>
      </c>
    </row>
    <row r="5763" spans="16:18" x14ac:dyDescent="0.3">
      <c r="P5763" s="35">
        <v>37.78</v>
      </c>
      <c r="Q5763">
        <v>305</v>
      </c>
      <c r="R5763" s="34">
        <f t="shared" si="92"/>
        <v>0.65604007742228831</v>
      </c>
    </row>
    <row r="5764" spans="16:18" x14ac:dyDescent="0.3">
      <c r="P5764" s="35">
        <v>37.79</v>
      </c>
      <c r="Q5764">
        <v>305</v>
      </c>
      <c r="R5764" s="34">
        <f t="shared" ref="R5764:R5827" si="93">R5763+R$2</f>
        <v>0.65615393373562092</v>
      </c>
    </row>
    <row r="5765" spans="16:18" x14ac:dyDescent="0.3">
      <c r="P5765" s="35">
        <v>37.81</v>
      </c>
      <c r="Q5765">
        <v>305</v>
      </c>
      <c r="R5765" s="34">
        <f t="shared" si="93"/>
        <v>0.65626779004895353</v>
      </c>
    </row>
    <row r="5766" spans="16:18" x14ac:dyDescent="0.3">
      <c r="P5766" s="35">
        <v>37.81</v>
      </c>
      <c r="Q5766">
        <v>305</v>
      </c>
      <c r="R5766" s="34">
        <f t="shared" si="93"/>
        <v>0.65638164636228613</v>
      </c>
    </row>
    <row r="5767" spans="16:18" x14ac:dyDescent="0.3">
      <c r="P5767" s="35">
        <v>37.82</v>
      </c>
      <c r="Q5767">
        <v>305</v>
      </c>
      <c r="R5767" s="34">
        <f t="shared" si="93"/>
        <v>0.65649550267561874</v>
      </c>
    </row>
    <row r="5768" spans="16:18" x14ac:dyDescent="0.3">
      <c r="P5768" s="35">
        <v>37.83</v>
      </c>
      <c r="Q5768">
        <v>305</v>
      </c>
      <c r="R5768" s="34">
        <f t="shared" si="93"/>
        <v>0.65660935898895134</v>
      </c>
    </row>
    <row r="5769" spans="16:18" x14ac:dyDescent="0.3">
      <c r="P5769" s="35">
        <v>37.83</v>
      </c>
      <c r="Q5769">
        <v>305</v>
      </c>
      <c r="R5769" s="34">
        <f t="shared" si="93"/>
        <v>0.65672321530228395</v>
      </c>
    </row>
    <row r="5770" spans="16:18" x14ac:dyDescent="0.3">
      <c r="P5770" s="35">
        <v>37.83</v>
      </c>
      <c r="Q5770">
        <v>305</v>
      </c>
      <c r="R5770" s="34">
        <f t="shared" si="93"/>
        <v>0.65683707161561655</v>
      </c>
    </row>
    <row r="5771" spans="16:18" x14ac:dyDescent="0.3">
      <c r="P5771" s="35">
        <v>37.85</v>
      </c>
      <c r="Q5771">
        <v>305</v>
      </c>
      <c r="R5771" s="34">
        <f t="shared" si="93"/>
        <v>0.65695092792894916</v>
      </c>
    </row>
    <row r="5772" spans="16:18" x14ac:dyDescent="0.3">
      <c r="P5772" s="35">
        <v>37.86</v>
      </c>
      <c r="Q5772">
        <v>305</v>
      </c>
      <c r="R5772" s="34">
        <f t="shared" si="93"/>
        <v>0.65706478424228176</v>
      </c>
    </row>
    <row r="5773" spans="16:18" x14ac:dyDescent="0.3">
      <c r="P5773" s="35">
        <v>37.86</v>
      </c>
      <c r="Q5773">
        <v>305</v>
      </c>
      <c r="R5773" s="34">
        <f t="shared" si="93"/>
        <v>0.65717864055561437</v>
      </c>
    </row>
    <row r="5774" spans="16:18" x14ac:dyDescent="0.3">
      <c r="P5774" s="35">
        <v>37.86</v>
      </c>
      <c r="Q5774">
        <v>305</v>
      </c>
      <c r="R5774" s="34">
        <f t="shared" si="93"/>
        <v>0.65729249686894697</v>
      </c>
    </row>
    <row r="5775" spans="16:18" x14ac:dyDescent="0.3">
      <c r="P5775" s="35">
        <v>37.86</v>
      </c>
      <c r="Q5775">
        <v>305</v>
      </c>
      <c r="R5775" s="34">
        <f t="shared" si="93"/>
        <v>0.65740635318227958</v>
      </c>
    </row>
    <row r="5776" spans="16:18" x14ac:dyDescent="0.3">
      <c r="P5776" s="35">
        <v>37.86</v>
      </c>
      <c r="Q5776">
        <v>305</v>
      </c>
      <c r="R5776" s="34">
        <f t="shared" si="93"/>
        <v>0.65752020949561218</v>
      </c>
    </row>
    <row r="5777" spans="16:18" x14ac:dyDescent="0.3">
      <c r="P5777" s="35">
        <v>37.869999999999997</v>
      </c>
      <c r="Q5777">
        <v>305</v>
      </c>
      <c r="R5777" s="34">
        <f t="shared" si="93"/>
        <v>0.65763406580894479</v>
      </c>
    </row>
    <row r="5778" spans="16:18" x14ac:dyDescent="0.3">
      <c r="P5778" s="35">
        <v>37.869999999999997</v>
      </c>
      <c r="Q5778">
        <v>305</v>
      </c>
      <c r="R5778" s="34">
        <f t="shared" si="93"/>
        <v>0.6577479221222774</v>
      </c>
    </row>
    <row r="5779" spans="16:18" x14ac:dyDescent="0.3">
      <c r="P5779" s="35">
        <v>37.880000000000003</v>
      </c>
      <c r="Q5779">
        <v>305</v>
      </c>
      <c r="R5779" s="34">
        <f t="shared" si="93"/>
        <v>0.65786177843561</v>
      </c>
    </row>
    <row r="5780" spans="16:18" x14ac:dyDescent="0.3">
      <c r="P5780" s="35">
        <v>37.880000000000003</v>
      </c>
      <c r="Q5780">
        <v>305</v>
      </c>
      <c r="R5780" s="34">
        <f t="shared" si="93"/>
        <v>0.65797563474894261</v>
      </c>
    </row>
    <row r="5781" spans="16:18" x14ac:dyDescent="0.3">
      <c r="P5781" s="35">
        <v>37.89</v>
      </c>
      <c r="Q5781">
        <v>305</v>
      </c>
      <c r="R5781" s="34">
        <f t="shared" si="93"/>
        <v>0.65808949106227521</v>
      </c>
    </row>
    <row r="5782" spans="16:18" x14ac:dyDescent="0.3">
      <c r="P5782" s="35">
        <v>37.89</v>
      </c>
      <c r="Q5782">
        <v>305</v>
      </c>
      <c r="R5782" s="34">
        <f t="shared" si="93"/>
        <v>0.65820334737560782</v>
      </c>
    </row>
    <row r="5783" spans="16:18" x14ac:dyDescent="0.3">
      <c r="P5783" s="35">
        <v>37.909999999999997</v>
      </c>
      <c r="Q5783">
        <v>305</v>
      </c>
      <c r="R5783" s="34">
        <f t="shared" si="93"/>
        <v>0.65831720368894042</v>
      </c>
    </row>
    <row r="5784" spans="16:18" x14ac:dyDescent="0.3">
      <c r="P5784" s="35">
        <v>37.92</v>
      </c>
      <c r="Q5784">
        <v>305</v>
      </c>
      <c r="R5784" s="34">
        <f t="shared" si="93"/>
        <v>0.65843106000227303</v>
      </c>
    </row>
    <row r="5785" spans="16:18" x14ac:dyDescent="0.3">
      <c r="P5785" s="35">
        <v>37.92</v>
      </c>
      <c r="Q5785">
        <v>305</v>
      </c>
      <c r="R5785" s="34">
        <f t="shared" si="93"/>
        <v>0.65854491631560563</v>
      </c>
    </row>
    <row r="5786" spans="16:18" x14ac:dyDescent="0.3">
      <c r="P5786" s="35">
        <v>37.93</v>
      </c>
      <c r="Q5786">
        <v>305</v>
      </c>
      <c r="R5786" s="34">
        <f t="shared" si="93"/>
        <v>0.65865877262893824</v>
      </c>
    </row>
    <row r="5787" spans="16:18" x14ac:dyDescent="0.3">
      <c r="P5787" s="35">
        <v>37.94</v>
      </c>
      <c r="Q5787">
        <v>305</v>
      </c>
      <c r="R5787" s="34">
        <f t="shared" si="93"/>
        <v>0.65877262894227084</v>
      </c>
    </row>
    <row r="5788" spans="16:18" x14ac:dyDescent="0.3">
      <c r="P5788" s="35">
        <v>37.950000000000003</v>
      </c>
      <c r="Q5788">
        <v>305</v>
      </c>
      <c r="R5788" s="34">
        <f t="shared" si="93"/>
        <v>0.65888648525560345</v>
      </c>
    </row>
    <row r="5789" spans="16:18" x14ac:dyDescent="0.3">
      <c r="P5789" s="35">
        <v>37.950000000000003</v>
      </c>
      <c r="Q5789">
        <v>305</v>
      </c>
      <c r="R5789" s="34">
        <f t="shared" si="93"/>
        <v>0.65900034156893605</v>
      </c>
    </row>
    <row r="5790" spans="16:18" x14ac:dyDescent="0.3">
      <c r="P5790" s="35">
        <v>37.96</v>
      </c>
      <c r="Q5790">
        <v>305</v>
      </c>
      <c r="R5790" s="34">
        <f t="shared" si="93"/>
        <v>0.65911419788226866</v>
      </c>
    </row>
    <row r="5791" spans="16:18" x14ac:dyDescent="0.3">
      <c r="P5791" s="35">
        <v>37.96</v>
      </c>
      <c r="Q5791">
        <v>305</v>
      </c>
      <c r="R5791" s="34">
        <f t="shared" si="93"/>
        <v>0.65922805419560127</v>
      </c>
    </row>
    <row r="5792" spans="16:18" x14ac:dyDescent="0.3">
      <c r="P5792" s="35">
        <v>37.97</v>
      </c>
      <c r="Q5792">
        <v>305</v>
      </c>
      <c r="R5792" s="34">
        <f t="shared" si="93"/>
        <v>0.65934191050893387</v>
      </c>
    </row>
    <row r="5793" spans="16:18" x14ac:dyDescent="0.3">
      <c r="P5793" s="35">
        <v>37.979999999999997</v>
      </c>
      <c r="Q5793">
        <v>305</v>
      </c>
      <c r="R5793" s="34">
        <f t="shared" si="93"/>
        <v>0.65945576682226648</v>
      </c>
    </row>
    <row r="5794" spans="16:18" x14ac:dyDescent="0.3">
      <c r="P5794" s="35">
        <v>37.979999999999997</v>
      </c>
      <c r="Q5794">
        <v>305</v>
      </c>
      <c r="R5794" s="34">
        <f t="shared" si="93"/>
        <v>0.65956962313559908</v>
      </c>
    </row>
    <row r="5795" spans="16:18" x14ac:dyDescent="0.3">
      <c r="P5795" s="35">
        <v>37.99</v>
      </c>
      <c r="Q5795">
        <v>305</v>
      </c>
      <c r="R5795" s="34">
        <f t="shared" si="93"/>
        <v>0.65968347944893169</v>
      </c>
    </row>
    <row r="5796" spans="16:18" x14ac:dyDescent="0.3">
      <c r="P5796" s="35">
        <v>37.99</v>
      </c>
      <c r="Q5796">
        <v>305</v>
      </c>
      <c r="R5796" s="34">
        <f t="shared" si="93"/>
        <v>0.65979733576226429</v>
      </c>
    </row>
    <row r="5797" spans="16:18" x14ac:dyDescent="0.3">
      <c r="P5797" s="35">
        <v>38.01</v>
      </c>
      <c r="Q5797">
        <v>305</v>
      </c>
      <c r="R5797" s="34">
        <f t="shared" si="93"/>
        <v>0.6599111920755969</v>
      </c>
    </row>
    <row r="5798" spans="16:18" x14ac:dyDescent="0.3">
      <c r="P5798" s="35">
        <v>38.01</v>
      </c>
      <c r="Q5798">
        <v>305</v>
      </c>
      <c r="R5798" s="34">
        <f t="shared" si="93"/>
        <v>0.6600250483889295</v>
      </c>
    </row>
    <row r="5799" spans="16:18" x14ac:dyDescent="0.3">
      <c r="P5799" s="35">
        <v>38.020000000000003</v>
      </c>
      <c r="Q5799">
        <v>305</v>
      </c>
      <c r="R5799" s="34">
        <f t="shared" si="93"/>
        <v>0.66013890470226211</v>
      </c>
    </row>
    <row r="5800" spans="16:18" x14ac:dyDescent="0.3">
      <c r="P5800" s="35">
        <v>38.04</v>
      </c>
      <c r="Q5800">
        <v>305</v>
      </c>
      <c r="R5800" s="34">
        <f t="shared" si="93"/>
        <v>0.66025276101559471</v>
      </c>
    </row>
    <row r="5801" spans="16:18" x14ac:dyDescent="0.3">
      <c r="P5801" s="35">
        <v>38.049999999999997</v>
      </c>
      <c r="Q5801">
        <v>305</v>
      </c>
      <c r="R5801" s="34">
        <f t="shared" si="93"/>
        <v>0.66036661732892732</v>
      </c>
    </row>
    <row r="5802" spans="16:18" x14ac:dyDescent="0.3">
      <c r="P5802" s="35">
        <v>38.049999999999997</v>
      </c>
      <c r="Q5802">
        <v>305</v>
      </c>
      <c r="R5802" s="34">
        <f t="shared" si="93"/>
        <v>0.66048047364225992</v>
      </c>
    </row>
    <row r="5803" spans="16:18" x14ac:dyDescent="0.3">
      <c r="P5803" s="35">
        <v>38.06</v>
      </c>
      <c r="Q5803">
        <v>305</v>
      </c>
      <c r="R5803" s="34">
        <f t="shared" si="93"/>
        <v>0.66059432995559253</v>
      </c>
    </row>
    <row r="5804" spans="16:18" x14ac:dyDescent="0.3">
      <c r="P5804" s="35">
        <v>38.07</v>
      </c>
      <c r="Q5804">
        <v>305</v>
      </c>
      <c r="R5804" s="34">
        <f t="shared" si="93"/>
        <v>0.66070818626892514</v>
      </c>
    </row>
    <row r="5805" spans="16:18" x14ac:dyDescent="0.3">
      <c r="P5805" s="35">
        <v>38.07</v>
      </c>
      <c r="Q5805">
        <v>305</v>
      </c>
      <c r="R5805" s="34">
        <f t="shared" si="93"/>
        <v>0.66082204258225774</v>
      </c>
    </row>
    <row r="5806" spans="16:18" x14ac:dyDescent="0.3">
      <c r="P5806" s="35">
        <v>38.08</v>
      </c>
      <c r="Q5806">
        <v>305</v>
      </c>
      <c r="R5806" s="34">
        <f t="shared" si="93"/>
        <v>0.66093589889559035</v>
      </c>
    </row>
    <row r="5807" spans="16:18" x14ac:dyDescent="0.3">
      <c r="P5807" s="35">
        <v>38.08</v>
      </c>
      <c r="Q5807">
        <v>305</v>
      </c>
      <c r="R5807" s="34">
        <f t="shared" si="93"/>
        <v>0.66104975520892295</v>
      </c>
    </row>
    <row r="5808" spans="16:18" x14ac:dyDescent="0.3">
      <c r="P5808" s="35">
        <v>38.090000000000003</v>
      </c>
      <c r="Q5808">
        <v>305</v>
      </c>
      <c r="R5808" s="34">
        <f t="shared" si="93"/>
        <v>0.66116361152225556</v>
      </c>
    </row>
    <row r="5809" spans="16:18" x14ac:dyDescent="0.3">
      <c r="P5809" s="35">
        <v>38.1</v>
      </c>
      <c r="Q5809">
        <v>305</v>
      </c>
      <c r="R5809" s="34">
        <f t="shared" si="93"/>
        <v>0.66127746783558816</v>
      </c>
    </row>
    <row r="5810" spans="16:18" x14ac:dyDescent="0.3">
      <c r="P5810" s="35">
        <v>38.1</v>
      </c>
      <c r="Q5810">
        <v>305</v>
      </c>
      <c r="R5810" s="34">
        <f t="shared" si="93"/>
        <v>0.66139132414892077</v>
      </c>
    </row>
    <row r="5811" spans="16:18" x14ac:dyDescent="0.3">
      <c r="P5811" s="35">
        <v>38.11</v>
      </c>
      <c r="Q5811">
        <v>305</v>
      </c>
      <c r="R5811" s="34">
        <f t="shared" si="93"/>
        <v>0.66150518046225337</v>
      </c>
    </row>
    <row r="5812" spans="16:18" x14ac:dyDescent="0.3">
      <c r="P5812" s="35">
        <v>38.119999999999997</v>
      </c>
      <c r="Q5812">
        <v>305</v>
      </c>
      <c r="R5812" s="34">
        <f t="shared" si="93"/>
        <v>0.66161903677558598</v>
      </c>
    </row>
    <row r="5813" spans="16:18" x14ac:dyDescent="0.3">
      <c r="P5813" s="35">
        <v>38.130000000000003</v>
      </c>
      <c r="Q5813">
        <v>305</v>
      </c>
      <c r="R5813" s="34">
        <f t="shared" si="93"/>
        <v>0.66173289308891858</v>
      </c>
    </row>
    <row r="5814" spans="16:18" x14ac:dyDescent="0.3">
      <c r="P5814" s="35">
        <v>38.130000000000003</v>
      </c>
      <c r="Q5814">
        <v>305</v>
      </c>
      <c r="R5814" s="34">
        <f t="shared" si="93"/>
        <v>0.66184674940225119</v>
      </c>
    </row>
    <row r="5815" spans="16:18" x14ac:dyDescent="0.3">
      <c r="P5815" s="35">
        <v>38.130000000000003</v>
      </c>
      <c r="Q5815">
        <v>305</v>
      </c>
      <c r="R5815" s="34">
        <f t="shared" si="93"/>
        <v>0.66196060571558379</v>
      </c>
    </row>
    <row r="5816" spans="16:18" x14ac:dyDescent="0.3">
      <c r="P5816" s="35">
        <v>38.130000000000003</v>
      </c>
      <c r="Q5816">
        <v>305</v>
      </c>
      <c r="R5816" s="34">
        <f t="shared" si="93"/>
        <v>0.6620744620289164</v>
      </c>
    </row>
    <row r="5817" spans="16:18" x14ac:dyDescent="0.3">
      <c r="P5817" s="35">
        <v>38.130000000000003</v>
      </c>
      <c r="Q5817">
        <v>305</v>
      </c>
      <c r="R5817" s="34">
        <f t="shared" si="93"/>
        <v>0.662188318342249</v>
      </c>
    </row>
    <row r="5818" spans="16:18" x14ac:dyDescent="0.3">
      <c r="P5818" s="35">
        <v>38.130000000000003</v>
      </c>
      <c r="Q5818">
        <v>305</v>
      </c>
      <c r="R5818" s="34">
        <f t="shared" si="93"/>
        <v>0.66230217465558161</v>
      </c>
    </row>
    <row r="5819" spans="16:18" x14ac:dyDescent="0.3">
      <c r="P5819" s="35">
        <v>38.14</v>
      </c>
      <c r="Q5819">
        <v>305</v>
      </c>
      <c r="R5819" s="34">
        <f t="shared" si="93"/>
        <v>0.66241603096891422</v>
      </c>
    </row>
    <row r="5820" spans="16:18" x14ac:dyDescent="0.3">
      <c r="P5820" s="35">
        <v>38.14</v>
      </c>
      <c r="Q5820">
        <v>305</v>
      </c>
      <c r="R5820" s="34">
        <f t="shared" si="93"/>
        <v>0.66252988728224682</v>
      </c>
    </row>
    <row r="5821" spans="16:18" x14ac:dyDescent="0.3">
      <c r="P5821" s="35">
        <v>38.14</v>
      </c>
      <c r="Q5821">
        <v>305</v>
      </c>
      <c r="R5821" s="34">
        <f t="shared" si="93"/>
        <v>0.66264374359557943</v>
      </c>
    </row>
    <row r="5822" spans="16:18" x14ac:dyDescent="0.3">
      <c r="P5822" s="35">
        <v>38.15</v>
      </c>
      <c r="Q5822">
        <v>305</v>
      </c>
      <c r="R5822" s="34">
        <f t="shared" si="93"/>
        <v>0.66275759990891203</v>
      </c>
    </row>
    <row r="5823" spans="16:18" x14ac:dyDescent="0.3">
      <c r="P5823" s="35">
        <v>38.15</v>
      </c>
      <c r="Q5823">
        <v>305</v>
      </c>
      <c r="R5823" s="34">
        <f t="shared" si="93"/>
        <v>0.66287145622224464</v>
      </c>
    </row>
    <row r="5824" spans="16:18" x14ac:dyDescent="0.3">
      <c r="P5824" s="35">
        <v>38.159999999999997</v>
      </c>
      <c r="Q5824">
        <v>305</v>
      </c>
      <c r="R5824" s="34">
        <f t="shared" si="93"/>
        <v>0.66298531253557724</v>
      </c>
    </row>
    <row r="5825" spans="16:18" x14ac:dyDescent="0.3">
      <c r="P5825" s="35">
        <v>38.159999999999997</v>
      </c>
      <c r="Q5825">
        <v>305</v>
      </c>
      <c r="R5825" s="34">
        <f t="shared" si="93"/>
        <v>0.66309916884890985</v>
      </c>
    </row>
    <row r="5826" spans="16:18" x14ac:dyDescent="0.3">
      <c r="P5826" s="35">
        <v>38.159999999999997</v>
      </c>
      <c r="Q5826">
        <v>305</v>
      </c>
      <c r="R5826" s="34">
        <f t="shared" si="93"/>
        <v>0.66321302516224245</v>
      </c>
    </row>
    <row r="5827" spans="16:18" x14ac:dyDescent="0.3">
      <c r="P5827" s="35">
        <v>38.17</v>
      </c>
      <c r="Q5827">
        <v>305</v>
      </c>
      <c r="R5827" s="34">
        <f t="shared" si="93"/>
        <v>0.66332688147557506</v>
      </c>
    </row>
    <row r="5828" spans="16:18" x14ac:dyDescent="0.3">
      <c r="P5828" s="35">
        <v>38.17</v>
      </c>
      <c r="Q5828">
        <v>305</v>
      </c>
      <c r="R5828" s="34">
        <f t="shared" ref="R5828:R5891" si="94">R5827+R$2</f>
        <v>0.66344073778890766</v>
      </c>
    </row>
    <row r="5829" spans="16:18" x14ac:dyDescent="0.3">
      <c r="P5829" s="35">
        <v>38.18</v>
      </c>
      <c r="Q5829">
        <v>305</v>
      </c>
      <c r="R5829" s="34">
        <f t="shared" si="94"/>
        <v>0.66355459410224027</v>
      </c>
    </row>
    <row r="5830" spans="16:18" x14ac:dyDescent="0.3">
      <c r="P5830" s="35">
        <v>38.19</v>
      </c>
      <c r="Q5830">
        <v>305</v>
      </c>
      <c r="R5830" s="34">
        <f t="shared" si="94"/>
        <v>0.66366845041557287</v>
      </c>
    </row>
    <row r="5831" spans="16:18" x14ac:dyDescent="0.3">
      <c r="P5831" s="35">
        <v>38.19</v>
      </c>
      <c r="Q5831">
        <v>305</v>
      </c>
      <c r="R5831" s="34">
        <f t="shared" si="94"/>
        <v>0.66378230672890548</v>
      </c>
    </row>
    <row r="5832" spans="16:18" x14ac:dyDescent="0.3">
      <c r="P5832" s="35">
        <v>38.200000000000003</v>
      </c>
      <c r="Q5832">
        <v>305</v>
      </c>
      <c r="R5832" s="34">
        <f t="shared" si="94"/>
        <v>0.66389616304223809</v>
      </c>
    </row>
    <row r="5833" spans="16:18" x14ac:dyDescent="0.3">
      <c r="P5833" s="35">
        <v>38.21</v>
      </c>
      <c r="Q5833">
        <v>305</v>
      </c>
      <c r="R5833" s="34">
        <f t="shared" si="94"/>
        <v>0.66401001935557069</v>
      </c>
    </row>
    <row r="5834" spans="16:18" x14ac:dyDescent="0.3">
      <c r="P5834" s="35">
        <v>38.21</v>
      </c>
      <c r="Q5834">
        <v>305</v>
      </c>
      <c r="R5834" s="34">
        <f t="shared" si="94"/>
        <v>0.6641238756689033</v>
      </c>
    </row>
    <row r="5835" spans="16:18" x14ac:dyDescent="0.3">
      <c r="P5835" s="35">
        <v>38.22</v>
      </c>
      <c r="Q5835">
        <v>305</v>
      </c>
      <c r="R5835" s="34">
        <f t="shared" si="94"/>
        <v>0.6642377319822359</v>
      </c>
    </row>
    <row r="5836" spans="16:18" x14ac:dyDescent="0.3">
      <c r="P5836" s="35">
        <v>38.229999999999997</v>
      </c>
      <c r="Q5836">
        <v>305</v>
      </c>
      <c r="R5836" s="34">
        <f t="shared" si="94"/>
        <v>0.66435158829556851</v>
      </c>
    </row>
    <row r="5837" spans="16:18" x14ac:dyDescent="0.3">
      <c r="P5837" s="35">
        <v>38.24</v>
      </c>
      <c r="Q5837">
        <v>305</v>
      </c>
      <c r="R5837" s="34">
        <f t="shared" si="94"/>
        <v>0.66446544460890111</v>
      </c>
    </row>
    <row r="5838" spans="16:18" x14ac:dyDescent="0.3">
      <c r="P5838" s="35">
        <v>38.25</v>
      </c>
      <c r="Q5838">
        <v>305</v>
      </c>
      <c r="R5838" s="34">
        <f t="shared" si="94"/>
        <v>0.66457930092223372</v>
      </c>
    </row>
    <row r="5839" spans="16:18" x14ac:dyDescent="0.3">
      <c r="P5839" s="35">
        <v>38.26</v>
      </c>
      <c r="Q5839">
        <v>305</v>
      </c>
      <c r="R5839" s="34">
        <f t="shared" si="94"/>
        <v>0.66469315723556632</v>
      </c>
    </row>
    <row r="5840" spans="16:18" x14ac:dyDescent="0.3">
      <c r="P5840" s="35">
        <v>38.26</v>
      </c>
      <c r="Q5840">
        <v>305</v>
      </c>
      <c r="R5840" s="34">
        <f t="shared" si="94"/>
        <v>0.66480701354889893</v>
      </c>
    </row>
    <row r="5841" spans="16:18" x14ac:dyDescent="0.3">
      <c r="P5841" s="35">
        <v>38.28</v>
      </c>
      <c r="Q5841">
        <v>305</v>
      </c>
      <c r="R5841" s="34">
        <f t="shared" si="94"/>
        <v>0.66492086986223153</v>
      </c>
    </row>
    <row r="5842" spans="16:18" x14ac:dyDescent="0.3">
      <c r="P5842" s="35">
        <v>38.29</v>
      </c>
      <c r="Q5842">
        <v>305</v>
      </c>
      <c r="R5842" s="34">
        <f t="shared" si="94"/>
        <v>0.66503472617556414</v>
      </c>
    </row>
    <row r="5843" spans="16:18" x14ac:dyDescent="0.3">
      <c r="P5843" s="35">
        <v>38.299999999999997</v>
      </c>
      <c r="Q5843">
        <v>305</v>
      </c>
      <c r="R5843" s="34">
        <f t="shared" si="94"/>
        <v>0.66514858248889674</v>
      </c>
    </row>
    <row r="5844" spans="16:18" x14ac:dyDescent="0.3">
      <c r="P5844" s="35">
        <v>38.299999999999997</v>
      </c>
      <c r="Q5844">
        <v>305</v>
      </c>
      <c r="R5844" s="34">
        <f t="shared" si="94"/>
        <v>0.66526243880222935</v>
      </c>
    </row>
    <row r="5845" spans="16:18" x14ac:dyDescent="0.3">
      <c r="P5845" s="35">
        <v>38.31</v>
      </c>
      <c r="Q5845">
        <v>305</v>
      </c>
      <c r="R5845" s="34">
        <f t="shared" si="94"/>
        <v>0.66537629511556196</v>
      </c>
    </row>
    <row r="5846" spans="16:18" x14ac:dyDescent="0.3">
      <c r="P5846" s="35">
        <v>38.31</v>
      </c>
      <c r="Q5846">
        <v>305</v>
      </c>
      <c r="R5846" s="34">
        <f t="shared" si="94"/>
        <v>0.66549015142889456</v>
      </c>
    </row>
    <row r="5847" spans="16:18" x14ac:dyDescent="0.3">
      <c r="P5847" s="35">
        <v>38.31</v>
      </c>
      <c r="Q5847">
        <v>305</v>
      </c>
      <c r="R5847" s="34">
        <f t="shared" si="94"/>
        <v>0.66560400774222717</v>
      </c>
    </row>
    <row r="5848" spans="16:18" x14ac:dyDescent="0.3">
      <c r="P5848" s="35">
        <v>38.32</v>
      </c>
      <c r="Q5848">
        <v>305</v>
      </c>
      <c r="R5848" s="34">
        <f t="shared" si="94"/>
        <v>0.66571786405555977</v>
      </c>
    </row>
    <row r="5849" spans="16:18" x14ac:dyDescent="0.3">
      <c r="P5849" s="35">
        <v>38.33</v>
      </c>
      <c r="Q5849">
        <v>305</v>
      </c>
      <c r="R5849" s="34">
        <f t="shared" si="94"/>
        <v>0.66583172036889238</v>
      </c>
    </row>
    <row r="5850" spans="16:18" x14ac:dyDescent="0.3">
      <c r="P5850" s="35">
        <v>38.340000000000003</v>
      </c>
      <c r="Q5850">
        <v>305</v>
      </c>
      <c r="R5850" s="34">
        <f t="shared" si="94"/>
        <v>0.66594557668222498</v>
      </c>
    </row>
    <row r="5851" spans="16:18" x14ac:dyDescent="0.3">
      <c r="P5851" s="35">
        <v>38.340000000000003</v>
      </c>
      <c r="Q5851">
        <v>305</v>
      </c>
      <c r="R5851" s="34">
        <f t="shared" si="94"/>
        <v>0.66605943299555759</v>
      </c>
    </row>
    <row r="5852" spans="16:18" x14ac:dyDescent="0.3">
      <c r="P5852" s="35">
        <v>38.35</v>
      </c>
      <c r="Q5852">
        <v>305</v>
      </c>
      <c r="R5852" s="34">
        <f t="shared" si="94"/>
        <v>0.66617328930889019</v>
      </c>
    </row>
    <row r="5853" spans="16:18" x14ac:dyDescent="0.3">
      <c r="P5853" s="35">
        <v>38.35</v>
      </c>
      <c r="Q5853">
        <v>305</v>
      </c>
      <c r="R5853" s="34">
        <f t="shared" si="94"/>
        <v>0.6662871456222228</v>
      </c>
    </row>
    <row r="5854" spans="16:18" x14ac:dyDescent="0.3">
      <c r="P5854" s="35">
        <v>38.36</v>
      </c>
      <c r="Q5854">
        <v>305</v>
      </c>
      <c r="R5854" s="34">
        <f t="shared" si="94"/>
        <v>0.6664010019355554</v>
      </c>
    </row>
    <row r="5855" spans="16:18" x14ac:dyDescent="0.3">
      <c r="P5855" s="35">
        <v>38.369999999999997</v>
      </c>
      <c r="Q5855">
        <v>305</v>
      </c>
      <c r="R5855" s="34">
        <f t="shared" si="94"/>
        <v>0.66651485824888801</v>
      </c>
    </row>
    <row r="5856" spans="16:18" x14ac:dyDescent="0.3">
      <c r="P5856" s="35">
        <v>38.369999999999997</v>
      </c>
      <c r="Q5856">
        <v>305</v>
      </c>
      <c r="R5856" s="34">
        <f t="shared" si="94"/>
        <v>0.66662871456222061</v>
      </c>
    </row>
    <row r="5857" spans="16:18" x14ac:dyDescent="0.3">
      <c r="P5857" s="35">
        <v>38.369999999999997</v>
      </c>
      <c r="Q5857">
        <v>305</v>
      </c>
      <c r="R5857" s="34">
        <f t="shared" si="94"/>
        <v>0.66674257087555322</v>
      </c>
    </row>
    <row r="5858" spans="16:18" x14ac:dyDescent="0.3">
      <c r="P5858" s="35">
        <v>38.380000000000003</v>
      </c>
      <c r="Q5858">
        <v>305</v>
      </c>
      <c r="R5858" s="34">
        <f t="shared" si="94"/>
        <v>0.66685642718888583</v>
      </c>
    </row>
    <row r="5859" spans="16:18" x14ac:dyDescent="0.3">
      <c r="P5859" s="35">
        <v>38.39</v>
      </c>
      <c r="Q5859">
        <v>305</v>
      </c>
      <c r="R5859" s="34">
        <f t="shared" si="94"/>
        <v>0.66697028350221843</v>
      </c>
    </row>
    <row r="5860" spans="16:18" x14ac:dyDescent="0.3">
      <c r="P5860" s="35">
        <v>38.39</v>
      </c>
      <c r="Q5860">
        <v>305</v>
      </c>
      <c r="R5860" s="34">
        <f t="shared" si="94"/>
        <v>0.66708413981555104</v>
      </c>
    </row>
    <row r="5861" spans="16:18" x14ac:dyDescent="0.3">
      <c r="P5861" s="35">
        <v>38.39</v>
      </c>
      <c r="Q5861">
        <v>305</v>
      </c>
      <c r="R5861" s="34">
        <f t="shared" si="94"/>
        <v>0.66719799612888364</v>
      </c>
    </row>
    <row r="5862" spans="16:18" x14ac:dyDescent="0.3">
      <c r="P5862" s="35">
        <v>38.4</v>
      </c>
      <c r="Q5862">
        <v>305</v>
      </c>
      <c r="R5862" s="34">
        <f t="shared" si="94"/>
        <v>0.66731185244221625</v>
      </c>
    </row>
    <row r="5863" spans="16:18" x14ac:dyDescent="0.3">
      <c r="P5863" s="35">
        <v>38.4</v>
      </c>
      <c r="Q5863">
        <v>305</v>
      </c>
      <c r="R5863" s="34">
        <f t="shared" si="94"/>
        <v>0.66742570875554885</v>
      </c>
    </row>
    <row r="5864" spans="16:18" x14ac:dyDescent="0.3">
      <c r="P5864" s="35">
        <v>38.4</v>
      </c>
      <c r="Q5864">
        <v>305</v>
      </c>
      <c r="R5864" s="34">
        <f t="shared" si="94"/>
        <v>0.66753956506888146</v>
      </c>
    </row>
    <row r="5865" spans="16:18" x14ac:dyDescent="0.3">
      <c r="P5865" s="35">
        <v>38.4</v>
      </c>
      <c r="Q5865">
        <v>305</v>
      </c>
      <c r="R5865" s="34">
        <f t="shared" si="94"/>
        <v>0.66765342138221406</v>
      </c>
    </row>
    <row r="5866" spans="16:18" x14ac:dyDescent="0.3">
      <c r="P5866" s="35">
        <v>38.409999999999997</v>
      </c>
      <c r="Q5866">
        <v>305</v>
      </c>
      <c r="R5866" s="34">
        <f t="shared" si="94"/>
        <v>0.66776727769554667</v>
      </c>
    </row>
    <row r="5867" spans="16:18" x14ac:dyDescent="0.3">
      <c r="P5867" s="35">
        <v>38.43</v>
      </c>
      <c r="Q5867">
        <v>305</v>
      </c>
      <c r="R5867" s="34">
        <f t="shared" si="94"/>
        <v>0.66788113400887927</v>
      </c>
    </row>
    <row r="5868" spans="16:18" x14ac:dyDescent="0.3">
      <c r="P5868" s="35">
        <v>38.43</v>
      </c>
      <c r="Q5868">
        <v>305</v>
      </c>
      <c r="R5868" s="34">
        <f t="shared" si="94"/>
        <v>0.66799499032221188</v>
      </c>
    </row>
    <row r="5869" spans="16:18" x14ac:dyDescent="0.3">
      <c r="P5869" s="35">
        <v>38.450000000000003</v>
      </c>
      <c r="Q5869">
        <v>305</v>
      </c>
      <c r="R5869" s="34">
        <f t="shared" si="94"/>
        <v>0.66810884663554448</v>
      </c>
    </row>
    <row r="5870" spans="16:18" x14ac:dyDescent="0.3">
      <c r="P5870" s="35">
        <v>38.46</v>
      </c>
      <c r="Q5870">
        <v>305</v>
      </c>
      <c r="R5870" s="34">
        <f t="shared" si="94"/>
        <v>0.66822270294887709</v>
      </c>
    </row>
    <row r="5871" spans="16:18" x14ac:dyDescent="0.3">
      <c r="P5871" s="35">
        <v>38.47</v>
      </c>
      <c r="Q5871">
        <v>305</v>
      </c>
      <c r="R5871" s="34">
        <f t="shared" si="94"/>
        <v>0.6683365592622097</v>
      </c>
    </row>
    <row r="5872" spans="16:18" x14ac:dyDescent="0.3">
      <c r="P5872" s="35">
        <v>38.479999999999997</v>
      </c>
      <c r="Q5872">
        <v>305</v>
      </c>
      <c r="R5872" s="34">
        <f t="shared" si="94"/>
        <v>0.6684504155755423</v>
      </c>
    </row>
    <row r="5873" spans="16:18" x14ac:dyDescent="0.3">
      <c r="P5873" s="35">
        <v>38.479999999999997</v>
      </c>
      <c r="Q5873">
        <v>305</v>
      </c>
      <c r="R5873" s="34">
        <f t="shared" si="94"/>
        <v>0.66856427188887491</v>
      </c>
    </row>
    <row r="5874" spans="16:18" x14ac:dyDescent="0.3">
      <c r="P5874" s="35">
        <v>38.49</v>
      </c>
      <c r="Q5874">
        <v>305</v>
      </c>
      <c r="R5874" s="34">
        <f t="shared" si="94"/>
        <v>0.66867812820220751</v>
      </c>
    </row>
    <row r="5875" spans="16:18" x14ac:dyDescent="0.3">
      <c r="P5875" s="35">
        <v>38.5</v>
      </c>
      <c r="Q5875">
        <v>305</v>
      </c>
      <c r="R5875" s="34">
        <f t="shared" si="94"/>
        <v>0.66879198451554012</v>
      </c>
    </row>
    <row r="5876" spans="16:18" x14ac:dyDescent="0.3">
      <c r="P5876" s="35">
        <v>38.5</v>
      </c>
      <c r="Q5876">
        <v>305</v>
      </c>
      <c r="R5876" s="34">
        <f t="shared" si="94"/>
        <v>0.66890584082887272</v>
      </c>
    </row>
    <row r="5877" spans="16:18" x14ac:dyDescent="0.3">
      <c r="P5877" s="35">
        <v>38.51</v>
      </c>
      <c r="Q5877">
        <v>305</v>
      </c>
      <c r="R5877" s="34">
        <f t="shared" si="94"/>
        <v>0.66901969714220533</v>
      </c>
    </row>
    <row r="5878" spans="16:18" x14ac:dyDescent="0.3">
      <c r="P5878" s="35">
        <v>38.520000000000003</v>
      </c>
      <c r="Q5878">
        <v>305</v>
      </c>
      <c r="R5878" s="34">
        <f t="shared" si="94"/>
        <v>0.66913355345553793</v>
      </c>
    </row>
    <row r="5879" spans="16:18" x14ac:dyDescent="0.3">
      <c r="P5879" s="35">
        <v>38.520000000000003</v>
      </c>
      <c r="Q5879">
        <v>305</v>
      </c>
      <c r="R5879" s="34">
        <f t="shared" si="94"/>
        <v>0.66924740976887054</v>
      </c>
    </row>
    <row r="5880" spans="16:18" x14ac:dyDescent="0.3">
      <c r="P5880" s="35">
        <v>38.53</v>
      </c>
      <c r="Q5880">
        <v>305</v>
      </c>
      <c r="R5880" s="34">
        <f t="shared" si="94"/>
        <v>0.66936126608220314</v>
      </c>
    </row>
    <row r="5881" spans="16:18" x14ac:dyDescent="0.3">
      <c r="P5881" s="35">
        <v>38.549999999999997</v>
      </c>
      <c r="Q5881">
        <v>305</v>
      </c>
      <c r="R5881" s="34">
        <f t="shared" si="94"/>
        <v>0.66947512239553575</v>
      </c>
    </row>
    <row r="5882" spans="16:18" x14ac:dyDescent="0.3">
      <c r="P5882" s="35">
        <v>38.549999999999997</v>
      </c>
      <c r="Q5882">
        <v>305</v>
      </c>
      <c r="R5882" s="34">
        <f t="shared" si="94"/>
        <v>0.66958897870886835</v>
      </c>
    </row>
    <row r="5883" spans="16:18" x14ac:dyDescent="0.3">
      <c r="P5883" s="35">
        <v>38.549999999999997</v>
      </c>
      <c r="Q5883">
        <v>305</v>
      </c>
      <c r="R5883" s="34">
        <f t="shared" si="94"/>
        <v>0.66970283502220096</v>
      </c>
    </row>
    <row r="5884" spans="16:18" x14ac:dyDescent="0.3">
      <c r="P5884" s="35">
        <v>38.549999999999997</v>
      </c>
      <c r="Q5884">
        <v>305</v>
      </c>
      <c r="R5884" s="34">
        <f t="shared" si="94"/>
        <v>0.66981669133553356</v>
      </c>
    </row>
    <row r="5885" spans="16:18" x14ac:dyDescent="0.3">
      <c r="P5885" s="35">
        <v>38.549999999999997</v>
      </c>
      <c r="Q5885">
        <v>305</v>
      </c>
      <c r="R5885" s="34">
        <f t="shared" si="94"/>
        <v>0.66993054764886617</v>
      </c>
    </row>
    <row r="5886" spans="16:18" x14ac:dyDescent="0.3">
      <c r="P5886" s="35">
        <v>38.56</v>
      </c>
      <c r="Q5886">
        <v>305</v>
      </c>
      <c r="R5886" s="34">
        <f t="shared" si="94"/>
        <v>0.67004440396219878</v>
      </c>
    </row>
    <row r="5887" spans="16:18" x14ac:dyDescent="0.3">
      <c r="P5887" s="35">
        <v>38.56</v>
      </c>
      <c r="Q5887">
        <v>305</v>
      </c>
      <c r="R5887" s="34">
        <f t="shared" si="94"/>
        <v>0.67015826027553138</v>
      </c>
    </row>
    <row r="5888" spans="16:18" x14ac:dyDescent="0.3">
      <c r="P5888" s="35">
        <v>38.57</v>
      </c>
      <c r="Q5888">
        <v>305</v>
      </c>
      <c r="R5888" s="34">
        <f t="shared" si="94"/>
        <v>0.67027211658886399</v>
      </c>
    </row>
    <row r="5889" spans="16:18" x14ac:dyDescent="0.3">
      <c r="P5889" s="35">
        <v>38.57</v>
      </c>
      <c r="Q5889">
        <v>305</v>
      </c>
      <c r="R5889" s="34">
        <f t="shared" si="94"/>
        <v>0.67038597290219659</v>
      </c>
    </row>
    <row r="5890" spans="16:18" x14ac:dyDescent="0.3">
      <c r="P5890" s="35">
        <v>38.590000000000003</v>
      </c>
      <c r="Q5890">
        <v>305</v>
      </c>
      <c r="R5890" s="34">
        <f t="shared" si="94"/>
        <v>0.6704998292155292</v>
      </c>
    </row>
    <row r="5891" spans="16:18" x14ac:dyDescent="0.3">
      <c r="P5891" s="35">
        <v>38.590000000000003</v>
      </c>
      <c r="Q5891">
        <v>305</v>
      </c>
      <c r="R5891" s="34">
        <f t="shared" si="94"/>
        <v>0.6706136855288618</v>
      </c>
    </row>
    <row r="5892" spans="16:18" x14ac:dyDescent="0.3">
      <c r="P5892" s="35">
        <v>38.590000000000003</v>
      </c>
      <c r="Q5892">
        <v>305</v>
      </c>
      <c r="R5892" s="34">
        <f t="shared" ref="R5892:R5955" si="95">R5891+R$2</f>
        <v>0.67072754184219441</v>
      </c>
    </row>
    <row r="5893" spans="16:18" x14ac:dyDescent="0.3">
      <c r="P5893" s="35">
        <v>38.6</v>
      </c>
      <c r="Q5893">
        <v>305</v>
      </c>
      <c r="R5893" s="34">
        <f t="shared" si="95"/>
        <v>0.67084139815552701</v>
      </c>
    </row>
    <row r="5894" spans="16:18" x14ac:dyDescent="0.3">
      <c r="P5894" s="35">
        <v>38.619999999999997</v>
      </c>
      <c r="Q5894">
        <v>305</v>
      </c>
      <c r="R5894" s="34">
        <f t="shared" si="95"/>
        <v>0.67095525446885962</v>
      </c>
    </row>
    <row r="5895" spans="16:18" x14ac:dyDescent="0.3">
      <c r="P5895" s="35">
        <v>38.619999999999997</v>
      </c>
      <c r="Q5895">
        <v>305</v>
      </c>
      <c r="R5895" s="34">
        <f t="shared" si="95"/>
        <v>0.67106911078219222</v>
      </c>
    </row>
    <row r="5896" spans="16:18" x14ac:dyDescent="0.3">
      <c r="P5896" s="35">
        <v>38.64</v>
      </c>
      <c r="Q5896">
        <v>305</v>
      </c>
      <c r="R5896" s="34">
        <f t="shared" si="95"/>
        <v>0.67118296709552483</v>
      </c>
    </row>
    <row r="5897" spans="16:18" x14ac:dyDescent="0.3">
      <c r="P5897" s="35">
        <v>38.64</v>
      </c>
      <c r="Q5897">
        <v>305</v>
      </c>
      <c r="R5897" s="34">
        <f t="shared" si="95"/>
        <v>0.67129682340885743</v>
      </c>
    </row>
    <row r="5898" spans="16:18" x14ac:dyDescent="0.3">
      <c r="P5898" s="35">
        <v>38.64</v>
      </c>
      <c r="Q5898">
        <v>305</v>
      </c>
      <c r="R5898" s="34">
        <f t="shared" si="95"/>
        <v>0.67141067972219004</v>
      </c>
    </row>
    <row r="5899" spans="16:18" x14ac:dyDescent="0.3">
      <c r="P5899" s="35">
        <v>38.64</v>
      </c>
      <c r="Q5899">
        <v>305</v>
      </c>
      <c r="R5899" s="34">
        <f t="shared" si="95"/>
        <v>0.67152453603552265</v>
      </c>
    </row>
    <row r="5900" spans="16:18" x14ac:dyDescent="0.3">
      <c r="P5900" s="35">
        <v>38.65</v>
      </c>
      <c r="Q5900">
        <v>305</v>
      </c>
      <c r="R5900" s="34">
        <f t="shared" si="95"/>
        <v>0.67163839234885525</v>
      </c>
    </row>
    <row r="5901" spans="16:18" x14ac:dyDescent="0.3">
      <c r="P5901" s="35">
        <v>38.65</v>
      </c>
      <c r="Q5901">
        <v>305</v>
      </c>
      <c r="R5901" s="34">
        <f t="shared" si="95"/>
        <v>0.67175224866218786</v>
      </c>
    </row>
    <row r="5902" spans="16:18" x14ac:dyDescent="0.3">
      <c r="P5902" s="35">
        <v>38.65</v>
      </c>
      <c r="Q5902">
        <v>305</v>
      </c>
      <c r="R5902" s="34">
        <f t="shared" si="95"/>
        <v>0.67186610497552046</v>
      </c>
    </row>
    <row r="5903" spans="16:18" x14ac:dyDescent="0.3">
      <c r="P5903" s="35">
        <v>38.65</v>
      </c>
      <c r="Q5903">
        <v>305</v>
      </c>
      <c r="R5903" s="34">
        <f t="shared" si="95"/>
        <v>0.67197996128885307</v>
      </c>
    </row>
    <row r="5904" spans="16:18" x14ac:dyDescent="0.3">
      <c r="P5904" s="35">
        <v>38.659999999999997</v>
      </c>
      <c r="Q5904">
        <v>305</v>
      </c>
      <c r="R5904" s="34">
        <f t="shared" si="95"/>
        <v>0.67209381760218567</v>
      </c>
    </row>
    <row r="5905" spans="16:18" x14ac:dyDescent="0.3">
      <c r="P5905" s="35">
        <v>38.67</v>
      </c>
      <c r="Q5905">
        <v>305</v>
      </c>
      <c r="R5905" s="34">
        <f t="shared" si="95"/>
        <v>0.67220767391551828</v>
      </c>
    </row>
    <row r="5906" spans="16:18" x14ac:dyDescent="0.3">
      <c r="P5906" s="35">
        <v>38.68</v>
      </c>
      <c r="Q5906">
        <v>305</v>
      </c>
      <c r="R5906" s="34">
        <f t="shared" si="95"/>
        <v>0.67232153022885088</v>
      </c>
    </row>
    <row r="5907" spans="16:18" x14ac:dyDescent="0.3">
      <c r="P5907" s="35">
        <v>38.68</v>
      </c>
      <c r="Q5907">
        <v>305</v>
      </c>
      <c r="R5907" s="34">
        <f t="shared" si="95"/>
        <v>0.67243538654218349</v>
      </c>
    </row>
    <row r="5908" spans="16:18" x14ac:dyDescent="0.3">
      <c r="P5908" s="35">
        <v>38.700000000000003</v>
      </c>
      <c r="Q5908">
        <v>305</v>
      </c>
      <c r="R5908" s="34">
        <f t="shared" si="95"/>
        <v>0.67254924285551609</v>
      </c>
    </row>
    <row r="5909" spans="16:18" x14ac:dyDescent="0.3">
      <c r="P5909" s="35">
        <v>38.700000000000003</v>
      </c>
      <c r="Q5909">
        <v>305</v>
      </c>
      <c r="R5909" s="34">
        <f t="shared" si="95"/>
        <v>0.6726630991688487</v>
      </c>
    </row>
    <row r="5910" spans="16:18" x14ac:dyDescent="0.3">
      <c r="P5910" s="35">
        <v>38.71</v>
      </c>
      <c r="Q5910">
        <v>305</v>
      </c>
      <c r="R5910" s="34">
        <f t="shared" si="95"/>
        <v>0.6727769554821813</v>
      </c>
    </row>
    <row r="5911" spans="16:18" x14ac:dyDescent="0.3">
      <c r="P5911" s="35">
        <v>38.71</v>
      </c>
      <c r="Q5911">
        <v>305</v>
      </c>
      <c r="R5911" s="34">
        <f t="shared" si="95"/>
        <v>0.67289081179551391</v>
      </c>
    </row>
    <row r="5912" spans="16:18" x14ac:dyDescent="0.3">
      <c r="P5912" s="35">
        <v>38.72</v>
      </c>
      <c r="Q5912">
        <v>305</v>
      </c>
      <c r="R5912" s="34">
        <f t="shared" si="95"/>
        <v>0.67300466810884652</v>
      </c>
    </row>
    <row r="5913" spans="16:18" x14ac:dyDescent="0.3">
      <c r="P5913" s="35">
        <v>38.72</v>
      </c>
      <c r="Q5913">
        <v>305</v>
      </c>
      <c r="R5913" s="34">
        <f t="shared" si="95"/>
        <v>0.67311852442217912</v>
      </c>
    </row>
    <row r="5914" spans="16:18" x14ac:dyDescent="0.3">
      <c r="P5914" s="35">
        <v>38.72</v>
      </c>
      <c r="Q5914">
        <v>305</v>
      </c>
      <c r="R5914" s="34">
        <f t="shared" si="95"/>
        <v>0.67323238073551173</v>
      </c>
    </row>
    <row r="5915" spans="16:18" x14ac:dyDescent="0.3">
      <c r="P5915" s="35">
        <v>38.729999999999997</v>
      </c>
      <c r="Q5915">
        <v>305</v>
      </c>
      <c r="R5915" s="34">
        <f t="shared" si="95"/>
        <v>0.67334623704884433</v>
      </c>
    </row>
    <row r="5916" spans="16:18" x14ac:dyDescent="0.3">
      <c r="P5916" s="35">
        <v>38.729999999999997</v>
      </c>
      <c r="Q5916">
        <v>305</v>
      </c>
      <c r="R5916" s="34">
        <f t="shared" si="95"/>
        <v>0.67346009336217694</v>
      </c>
    </row>
    <row r="5917" spans="16:18" x14ac:dyDescent="0.3">
      <c r="P5917" s="35">
        <v>38.74</v>
      </c>
      <c r="Q5917">
        <v>305</v>
      </c>
      <c r="R5917" s="34">
        <f t="shared" si="95"/>
        <v>0.67357394967550954</v>
      </c>
    </row>
    <row r="5918" spans="16:18" x14ac:dyDescent="0.3">
      <c r="P5918" s="35">
        <v>38.75</v>
      </c>
      <c r="Q5918">
        <v>305</v>
      </c>
      <c r="R5918" s="34">
        <f t="shared" si="95"/>
        <v>0.67368780598884215</v>
      </c>
    </row>
    <row r="5919" spans="16:18" x14ac:dyDescent="0.3">
      <c r="P5919" s="35">
        <v>38.75</v>
      </c>
      <c r="Q5919">
        <v>305</v>
      </c>
      <c r="R5919" s="34">
        <f t="shared" si="95"/>
        <v>0.67380166230217475</v>
      </c>
    </row>
    <row r="5920" spans="16:18" x14ac:dyDescent="0.3">
      <c r="P5920" s="35">
        <v>38.75</v>
      </c>
      <c r="Q5920">
        <v>305</v>
      </c>
      <c r="R5920" s="34">
        <f t="shared" si="95"/>
        <v>0.67391551861550736</v>
      </c>
    </row>
    <row r="5921" spans="16:18" x14ac:dyDescent="0.3">
      <c r="P5921" s="35">
        <v>38.770000000000003</v>
      </c>
      <c r="Q5921">
        <v>305</v>
      </c>
      <c r="R5921" s="34">
        <f t="shared" si="95"/>
        <v>0.67402937492883996</v>
      </c>
    </row>
    <row r="5922" spans="16:18" x14ac:dyDescent="0.3">
      <c r="P5922" s="35">
        <v>38.78</v>
      </c>
      <c r="Q5922">
        <v>305</v>
      </c>
      <c r="R5922" s="34">
        <f t="shared" si="95"/>
        <v>0.67414323124217257</v>
      </c>
    </row>
    <row r="5923" spans="16:18" x14ac:dyDescent="0.3">
      <c r="P5923" s="35">
        <v>38.79</v>
      </c>
      <c r="Q5923">
        <v>305</v>
      </c>
      <c r="R5923" s="34">
        <f t="shared" si="95"/>
        <v>0.67425708755550517</v>
      </c>
    </row>
    <row r="5924" spans="16:18" x14ac:dyDescent="0.3">
      <c r="P5924" s="35">
        <v>38.799999999999997</v>
      </c>
      <c r="Q5924">
        <v>305</v>
      </c>
      <c r="R5924" s="34">
        <f t="shared" si="95"/>
        <v>0.67437094386883778</v>
      </c>
    </row>
    <row r="5925" spans="16:18" x14ac:dyDescent="0.3">
      <c r="P5925" s="35">
        <v>38.82</v>
      </c>
      <c r="Q5925">
        <v>305</v>
      </c>
      <c r="R5925" s="34">
        <f t="shared" si="95"/>
        <v>0.67448480018217039</v>
      </c>
    </row>
    <row r="5926" spans="16:18" x14ac:dyDescent="0.3">
      <c r="P5926" s="35">
        <v>38.83</v>
      </c>
      <c r="Q5926">
        <v>305</v>
      </c>
      <c r="R5926" s="34">
        <f t="shared" si="95"/>
        <v>0.67459865649550299</v>
      </c>
    </row>
    <row r="5927" spans="16:18" x14ac:dyDescent="0.3">
      <c r="P5927" s="35">
        <v>38.840000000000003</v>
      </c>
      <c r="Q5927">
        <v>305</v>
      </c>
      <c r="R5927" s="34">
        <f t="shared" si="95"/>
        <v>0.6747125128088356</v>
      </c>
    </row>
    <row r="5928" spans="16:18" x14ac:dyDescent="0.3">
      <c r="P5928" s="35">
        <v>38.840000000000003</v>
      </c>
      <c r="Q5928">
        <v>305</v>
      </c>
      <c r="R5928" s="34">
        <f t="shared" si="95"/>
        <v>0.6748263691221682</v>
      </c>
    </row>
    <row r="5929" spans="16:18" x14ac:dyDescent="0.3">
      <c r="P5929" s="35">
        <v>38.85</v>
      </c>
      <c r="Q5929">
        <v>305</v>
      </c>
      <c r="R5929" s="34">
        <f t="shared" si="95"/>
        <v>0.67494022543550081</v>
      </c>
    </row>
    <row r="5930" spans="16:18" x14ac:dyDescent="0.3">
      <c r="P5930" s="35">
        <v>38.86</v>
      </c>
      <c r="Q5930">
        <v>305</v>
      </c>
      <c r="R5930" s="34">
        <f t="shared" si="95"/>
        <v>0.67505408174883341</v>
      </c>
    </row>
    <row r="5931" spans="16:18" x14ac:dyDescent="0.3">
      <c r="P5931" s="35">
        <v>38.869999999999997</v>
      </c>
      <c r="Q5931">
        <v>305</v>
      </c>
      <c r="R5931" s="34">
        <f t="shared" si="95"/>
        <v>0.67516793806216602</v>
      </c>
    </row>
    <row r="5932" spans="16:18" x14ac:dyDescent="0.3">
      <c r="P5932" s="35">
        <v>38.880000000000003</v>
      </c>
      <c r="Q5932">
        <v>305</v>
      </c>
      <c r="R5932" s="34">
        <f t="shared" si="95"/>
        <v>0.67528179437549862</v>
      </c>
    </row>
    <row r="5933" spans="16:18" x14ac:dyDescent="0.3">
      <c r="P5933" s="35">
        <v>38.880000000000003</v>
      </c>
      <c r="Q5933">
        <v>305</v>
      </c>
      <c r="R5933" s="34">
        <f t="shared" si="95"/>
        <v>0.67539565068883123</v>
      </c>
    </row>
    <row r="5934" spans="16:18" x14ac:dyDescent="0.3">
      <c r="P5934" s="35">
        <v>38.880000000000003</v>
      </c>
      <c r="Q5934">
        <v>305</v>
      </c>
      <c r="R5934" s="34">
        <f t="shared" si="95"/>
        <v>0.67550950700216383</v>
      </c>
    </row>
    <row r="5935" spans="16:18" x14ac:dyDescent="0.3">
      <c r="P5935" s="35">
        <v>38.89</v>
      </c>
      <c r="Q5935">
        <v>305</v>
      </c>
      <c r="R5935" s="34">
        <f t="shared" si="95"/>
        <v>0.67562336331549644</v>
      </c>
    </row>
    <row r="5936" spans="16:18" x14ac:dyDescent="0.3">
      <c r="P5936" s="35">
        <v>38.89</v>
      </c>
      <c r="Q5936">
        <v>305</v>
      </c>
      <c r="R5936" s="34">
        <f t="shared" si="95"/>
        <v>0.67573721962882904</v>
      </c>
    </row>
    <row r="5937" spans="16:18" x14ac:dyDescent="0.3">
      <c r="P5937" s="35">
        <v>38.89</v>
      </c>
      <c r="Q5937">
        <v>305</v>
      </c>
      <c r="R5937" s="34">
        <f t="shared" si="95"/>
        <v>0.67585107594216165</v>
      </c>
    </row>
    <row r="5938" spans="16:18" x14ac:dyDescent="0.3">
      <c r="P5938" s="35">
        <v>38.9</v>
      </c>
      <c r="Q5938">
        <v>305</v>
      </c>
      <c r="R5938" s="34">
        <f t="shared" si="95"/>
        <v>0.67596493225549426</v>
      </c>
    </row>
    <row r="5939" spans="16:18" x14ac:dyDescent="0.3">
      <c r="P5939" s="35">
        <v>38.92</v>
      </c>
      <c r="Q5939">
        <v>305</v>
      </c>
      <c r="R5939" s="34">
        <f t="shared" si="95"/>
        <v>0.67607878856882686</v>
      </c>
    </row>
    <row r="5940" spans="16:18" x14ac:dyDescent="0.3">
      <c r="P5940" s="35">
        <v>38.93</v>
      </c>
      <c r="Q5940">
        <v>305</v>
      </c>
      <c r="R5940" s="34">
        <f t="shared" si="95"/>
        <v>0.67619264488215947</v>
      </c>
    </row>
    <row r="5941" spans="16:18" x14ac:dyDescent="0.3">
      <c r="P5941" s="35">
        <v>38.93</v>
      </c>
      <c r="Q5941">
        <v>305</v>
      </c>
      <c r="R5941" s="34">
        <f t="shared" si="95"/>
        <v>0.67630650119549207</v>
      </c>
    </row>
    <row r="5942" spans="16:18" x14ac:dyDescent="0.3">
      <c r="P5942" s="35">
        <v>38.93</v>
      </c>
      <c r="Q5942">
        <v>305</v>
      </c>
      <c r="R5942" s="34">
        <f t="shared" si="95"/>
        <v>0.67642035750882468</v>
      </c>
    </row>
    <row r="5943" spans="16:18" x14ac:dyDescent="0.3">
      <c r="P5943" s="35">
        <v>38.94</v>
      </c>
      <c r="Q5943">
        <v>305</v>
      </c>
      <c r="R5943" s="34">
        <f t="shared" si="95"/>
        <v>0.67653421382215728</v>
      </c>
    </row>
    <row r="5944" spans="16:18" x14ac:dyDescent="0.3">
      <c r="P5944" s="35">
        <v>38.950000000000003</v>
      </c>
      <c r="Q5944">
        <v>305</v>
      </c>
      <c r="R5944" s="34">
        <f t="shared" si="95"/>
        <v>0.67664807013548989</v>
      </c>
    </row>
    <row r="5945" spans="16:18" x14ac:dyDescent="0.3">
      <c r="P5945" s="35">
        <v>38.96</v>
      </c>
      <c r="Q5945">
        <v>305</v>
      </c>
      <c r="R5945" s="34">
        <f t="shared" si="95"/>
        <v>0.67676192644882249</v>
      </c>
    </row>
    <row r="5946" spans="16:18" x14ac:dyDescent="0.3">
      <c r="P5946" s="35">
        <v>38.96</v>
      </c>
      <c r="Q5946">
        <v>305</v>
      </c>
      <c r="R5946" s="34">
        <f t="shared" si="95"/>
        <v>0.6768757827621551</v>
      </c>
    </row>
    <row r="5947" spans="16:18" x14ac:dyDescent="0.3">
      <c r="P5947" s="35">
        <v>38.97</v>
      </c>
      <c r="Q5947">
        <v>305</v>
      </c>
      <c r="R5947" s="34">
        <f t="shared" si="95"/>
        <v>0.6769896390754877</v>
      </c>
    </row>
    <row r="5948" spans="16:18" x14ac:dyDescent="0.3">
      <c r="P5948" s="35">
        <v>38.97</v>
      </c>
      <c r="Q5948">
        <v>305</v>
      </c>
      <c r="R5948" s="34">
        <f t="shared" si="95"/>
        <v>0.67710349538882031</v>
      </c>
    </row>
    <row r="5949" spans="16:18" x14ac:dyDescent="0.3">
      <c r="P5949" s="35">
        <v>38.97</v>
      </c>
      <c r="Q5949">
        <v>305</v>
      </c>
      <c r="R5949" s="34">
        <f t="shared" si="95"/>
        <v>0.67721735170215291</v>
      </c>
    </row>
    <row r="5950" spans="16:18" x14ac:dyDescent="0.3">
      <c r="P5950" s="35">
        <v>39</v>
      </c>
      <c r="Q5950">
        <v>305</v>
      </c>
      <c r="R5950" s="34">
        <f t="shared" si="95"/>
        <v>0.67733120801548552</v>
      </c>
    </row>
    <row r="5951" spans="16:18" x14ac:dyDescent="0.3">
      <c r="P5951" s="35">
        <v>39.01</v>
      </c>
      <c r="Q5951">
        <v>305</v>
      </c>
      <c r="R5951" s="34">
        <f t="shared" si="95"/>
        <v>0.67744506432881813</v>
      </c>
    </row>
    <row r="5952" spans="16:18" x14ac:dyDescent="0.3">
      <c r="P5952" s="35">
        <v>39.01</v>
      </c>
      <c r="Q5952">
        <v>305</v>
      </c>
      <c r="R5952" s="34">
        <f t="shared" si="95"/>
        <v>0.67755892064215073</v>
      </c>
    </row>
    <row r="5953" spans="16:18" x14ac:dyDescent="0.3">
      <c r="P5953" s="35">
        <v>39.03</v>
      </c>
      <c r="Q5953">
        <v>305</v>
      </c>
      <c r="R5953" s="34">
        <f t="shared" si="95"/>
        <v>0.67767277695548334</v>
      </c>
    </row>
    <row r="5954" spans="16:18" x14ac:dyDescent="0.3">
      <c r="P5954" s="35">
        <v>39.049999999999997</v>
      </c>
      <c r="Q5954">
        <v>305</v>
      </c>
      <c r="R5954" s="34">
        <f t="shared" si="95"/>
        <v>0.67778663326881594</v>
      </c>
    </row>
    <row r="5955" spans="16:18" x14ac:dyDescent="0.3">
      <c r="P5955" s="35">
        <v>39.049999999999997</v>
      </c>
      <c r="Q5955">
        <v>305</v>
      </c>
      <c r="R5955" s="34">
        <f t="shared" si="95"/>
        <v>0.67790048958214855</v>
      </c>
    </row>
    <row r="5956" spans="16:18" x14ac:dyDescent="0.3">
      <c r="P5956" s="35">
        <v>39.06</v>
      </c>
      <c r="Q5956">
        <v>305</v>
      </c>
      <c r="R5956" s="34">
        <f t="shared" ref="R5956:R6019" si="96">R5955+R$2</f>
        <v>0.67801434589548115</v>
      </c>
    </row>
    <row r="5957" spans="16:18" x14ac:dyDescent="0.3">
      <c r="P5957" s="35">
        <v>39.07</v>
      </c>
      <c r="Q5957">
        <v>305</v>
      </c>
      <c r="R5957" s="34">
        <f t="shared" si="96"/>
        <v>0.67812820220881376</v>
      </c>
    </row>
    <row r="5958" spans="16:18" x14ac:dyDescent="0.3">
      <c r="P5958" s="35">
        <v>39.08</v>
      </c>
      <c r="Q5958">
        <v>305</v>
      </c>
      <c r="R5958" s="34">
        <f t="shared" si="96"/>
        <v>0.67824205852214636</v>
      </c>
    </row>
    <row r="5959" spans="16:18" x14ac:dyDescent="0.3">
      <c r="P5959" s="35">
        <v>39.08</v>
      </c>
      <c r="Q5959">
        <v>305</v>
      </c>
      <c r="R5959" s="34">
        <f t="shared" si="96"/>
        <v>0.67835591483547897</v>
      </c>
    </row>
    <row r="5960" spans="16:18" x14ac:dyDescent="0.3">
      <c r="P5960" s="35">
        <v>39.08</v>
      </c>
      <c r="Q5960">
        <v>305</v>
      </c>
      <c r="R5960" s="34">
        <f t="shared" si="96"/>
        <v>0.67846977114881157</v>
      </c>
    </row>
    <row r="5961" spans="16:18" x14ac:dyDescent="0.3">
      <c r="P5961" s="35">
        <v>39.090000000000003</v>
      </c>
      <c r="Q5961">
        <v>305</v>
      </c>
      <c r="R5961" s="34">
        <f t="shared" si="96"/>
        <v>0.67858362746214418</v>
      </c>
    </row>
    <row r="5962" spans="16:18" x14ac:dyDescent="0.3">
      <c r="P5962" s="35">
        <v>39.090000000000003</v>
      </c>
      <c r="Q5962">
        <v>305</v>
      </c>
      <c r="R5962" s="34">
        <f t="shared" si="96"/>
        <v>0.67869748377547678</v>
      </c>
    </row>
    <row r="5963" spans="16:18" x14ac:dyDescent="0.3">
      <c r="P5963" s="35">
        <v>39.090000000000003</v>
      </c>
      <c r="Q5963">
        <v>305</v>
      </c>
      <c r="R5963" s="34">
        <f t="shared" si="96"/>
        <v>0.67881134008880939</v>
      </c>
    </row>
    <row r="5964" spans="16:18" x14ac:dyDescent="0.3">
      <c r="P5964" s="35">
        <v>39.11</v>
      </c>
      <c r="Q5964">
        <v>305</v>
      </c>
      <c r="R5964" s="34">
        <f t="shared" si="96"/>
        <v>0.67892519640214199</v>
      </c>
    </row>
    <row r="5965" spans="16:18" x14ac:dyDescent="0.3">
      <c r="P5965" s="35">
        <v>39.119999999999997</v>
      </c>
      <c r="Q5965">
        <v>305</v>
      </c>
      <c r="R5965" s="34">
        <f t="shared" si="96"/>
        <v>0.6790390527154746</v>
      </c>
    </row>
    <row r="5966" spans="16:18" x14ac:dyDescent="0.3">
      <c r="P5966" s="35">
        <v>39.14</v>
      </c>
      <c r="Q5966">
        <v>305</v>
      </c>
      <c r="R5966" s="34">
        <f t="shared" si="96"/>
        <v>0.67915290902880721</v>
      </c>
    </row>
    <row r="5967" spans="16:18" x14ac:dyDescent="0.3">
      <c r="P5967" s="35">
        <v>39.15</v>
      </c>
      <c r="Q5967">
        <v>305</v>
      </c>
      <c r="R5967" s="34">
        <f t="shared" si="96"/>
        <v>0.67926676534213981</v>
      </c>
    </row>
    <row r="5968" spans="16:18" x14ac:dyDescent="0.3">
      <c r="P5968" s="35">
        <v>39.15</v>
      </c>
      <c r="Q5968">
        <v>305</v>
      </c>
      <c r="R5968" s="34">
        <f t="shared" si="96"/>
        <v>0.67938062165547242</v>
      </c>
    </row>
    <row r="5969" spans="16:18" x14ac:dyDescent="0.3">
      <c r="P5969" s="35">
        <v>39.15</v>
      </c>
      <c r="Q5969">
        <v>305</v>
      </c>
      <c r="R5969" s="34">
        <f t="shared" si="96"/>
        <v>0.67949447796880502</v>
      </c>
    </row>
    <row r="5970" spans="16:18" x14ac:dyDescent="0.3">
      <c r="P5970" s="35">
        <v>39.159999999999997</v>
      </c>
      <c r="Q5970">
        <v>305</v>
      </c>
      <c r="R5970" s="34">
        <f t="shared" si="96"/>
        <v>0.67960833428213763</v>
      </c>
    </row>
    <row r="5971" spans="16:18" x14ac:dyDescent="0.3">
      <c r="P5971" s="35">
        <v>39.17</v>
      </c>
      <c r="Q5971">
        <v>305</v>
      </c>
      <c r="R5971" s="34">
        <f t="shared" si="96"/>
        <v>0.67972219059547023</v>
      </c>
    </row>
    <row r="5972" spans="16:18" x14ac:dyDescent="0.3">
      <c r="P5972" s="35">
        <v>39.17</v>
      </c>
      <c r="Q5972">
        <v>305</v>
      </c>
      <c r="R5972" s="34">
        <f t="shared" si="96"/>
        <v>0.67983604690880284</v>
      </c>
    </row>
    <row r="5973" spans="16:18" x14ac:dyDescent="0.3">
      <c r="P5973" s="35">
        <v>39.17</v>
      </c>
      <c r="Q5973">
        <v>305</v>
      </c>
      <c r="R5973" s="34">
        <f t="shared" si="96"/>
        <v>0.67994990322213544</v>
      </c>
    </row>
    <row r="5974" spans="16:18" x14ac:dyDescent="0.3">
      <c r="P5974" s="35">
        <v>39.17</v>
      </c>
      <c r="Q5974">
        <v>305</v>
      </c>
      <c r="R5974" s="34">
        <f t="shared" si="96"/>
        <v>0.68006375953546805</v>
      </c>
    </row>
    <row r="5975" spans="16:18" x14ac:dyDescent="0.3">
      <c r="P5975" s="35">
        <v>39.17</v>
      </c>
      <c r="Q5975">
        <v>305</v>
      </c>
      <c r="R5975" s="34">
        <f t="shared" si="96"/>
        <v>0.68017761584880065</v>
      </c>
    </row>
    <row r="5976" spans="16:18" x14ac:dyDescent="0.3">
      <c r="P5976" s="35">
        <v>39.18</v>
      </c>
      <c r="Q5976">
        <v>305</v>
      </c>
      <c r="R5976" s="34">
        <f t="shared" si="96"/>
        <v>0.68029147216213326</v>
      </c>
    </row>
    <row r="5977" spans="16:18" x14ac:dyDescent="0.3">
      <c r="P5977" s="35">
        <v>39.18</v>
      </c>
      <c r="Q5977">
        <v>305</v>
      </c>
      <c r="R5977" s="34">
        <f t="shared" si="96"/>
        <v>0.68040532847546586</v>
      </c>
    </row>
    <row r="5978" spans="16:18" x14ac:dyDescent="0.3">
      <c r="P5978" s="35">
        <v>39.19</v>
      </c>
      <c r="Q5978">
        <v>305</v>
      </c>
      <c r="R5978" s="34">
        <f t="shared" si="96"/>
        <v>0.68051918478879847</v>
      </c>
    </row>
    <row r="5979" spans="16:18" x14ac:dyDescent="0.3">
      <c r="P5979" s="35">
        <v>39.200000000000003</v>
      </c>
      <c r="Q5979">
        <v>305</v>
      </c>
      <c r="R5979" s="34">
        <f t="shared" si="96"/>
        <v>0.68063304110213108</v>
      </c>
    </row>
    <row r="5980" spans="16:18" x14ac:dyDescent="0.3">
      <c r="P5980" s="35">
        <v>39.200000000000003</v>
      </c>
      <c r="Q5980">
        <v>305</v>
      </c>
      <c r="R5980" s="34">
        <f t="shared" si="96"/>
        <v>0.68074689741546368</v>
      </c>
    </row>
    <row r="5981" spans="16:18" x14ac:dyDescent="0.3">
      <c r="P5981" s="35">
        <v>39.21</v>
      </c>
      <c r="Q5981">
        <v>305</v>
      </c>
      <c r="R5981" s="34">
        <f t="shared" si="96"/>
        <v>0.68086075372879629</v>
      </c>
    </row>
    <row r="5982" spans="16:18" x14ac:dyDescent="0.3">
      <c r="P5982" s="35">
        <v>39.22</v>
      </c>
      <c r="Q5982">
        <v>305</v>
      </c>
      <c r="R5982" s="34">
        <f t="shared" si="96"/>
        <v>0.68097461004212889</v>
      </c>
    </row>
    <row r="5983" spans="16:18" x14ac:dyDescent="0.3">
      <c r="P5983" s="35">
        <v>39.22</v>
      </c>
      <c r="Q5983">
        <v>305</v>
      </c>
      <c r="R5983" s="34">
        <f t="shared" si="96"/>
        <v>0.6810884663554615</v>
      </c>
    </row>
    <row r="5984" spans="16:18" x14ac:dyDescent="0.3">
      <c r="P5984" s="35">
        <v>39.229999999999997</v>
      </c>
      <c r="Q5984">
        <v>305</v>
      </c>
      <c r="R5984" s="34">
        <f t="shared" si="96"/>
        <v>0.6812023226687941</v>
      </c>
    </row>
    <row r="5985" spans="16:18" x14ac:dyDescent="0.3">
      <c r="P5985" s="35">
        <v>39.24</v>
      </c>
      <c r="Q5985">
        <v>305</v>
      </c>
      <c r="R5985" s="34">
        <f t="shared" si="96"/>
        <v>0.68131617898212671</v>
      </c>
    </row>
    <row r="5986" spans="16:18" x14ac:dyDescent="0.3">
      <c r="P5986" s="35">
        <v>39.24</v>
      </c>
      <c r="Q5986">
        <v>305</v>
      </c>
      <c r="R5986" s="34">
        <f t="shared" si="96"/>
        <v>0.68143003529545931</v>
      </c>
    </row>
    <row r="5987" spans="16:18" x14ac:dyDescent="0.3">
      <c r="P5987" s="35">
        <v>39.25</v>
      </c>
      <c r="Q5987">
        <v>305</v>
      </c>
      <c r="R5987" s="34">
        <f t="shared" si="96"/>
        <v>0.68154389160879192</v>
      </c>
    </row>
    <row r="5988" spans="16:18" x14ac:dyDescent="0.3">
      <c r="P5988" s="35">
        <v>39.26</v>
      </c>
      <c r="Q5988">
        <v>305</v>
      </c>
      <c r="R5988" s="34">
        <f t="shared" si="96"/>
        <v>0.68165774792212452</v>
      </c>
    </row>
    <row r="5989" spans="16:18" x14ac:dyDescent="0.3">
      <c r="P5989" s="35">
        <v>39.26</v>
      </c>
      <c r="Q5989">
        <v>305</v>
      </c>
      <c r="R5989" s="34">
        <f t="shared" si="96"/>
        <v>0.68177160423545713</v>
      </c>
    </row>
    <row r="5990" spans="16:18" x14ac:dyDescent="0.3">
      <c r="P5990" s="35">
        <v>39.270000000000003</v>
      </c>
      <c r="Q5990">
        <v>305</v>
      </c>
      <c r="R5990" s="34">
        <f t="shared" si="96"/>
        <v>0.68188546054878973</v>
      </c>
    </row>
    <row r="5991" spans="16:18" x14ac:dyDescent="0.3">
      <c r="P5991" s="35">
        <v>39.270000000000003</v>
      </c>
      <c r="Q5991">
        <v>305</v>
      </c>
      <c r="R5991" s="34">
        <f t="shared" si="96"/>
        <v>0.68199931686212234</v>
      </c>
    </row>
    <row r="5992" spans="16:18" x14ac:dyDescent="0.3">
      <c r="P5992" s="35">
        <v>39.270000000000003</v>
      </c>
      <c r="Q5992">
        <v>305</v>
      </c>
      <c r="R5992" s="34">
        <f t="shared" si="96"/>
        <v>0.68211317317545495</v>
      </c>
    </row>
    <row r="5993" spans="16:18" x14ac:dyDescent="0.3">
      <c r="P5993" s="35">
        <v>39.28</v>
      </c>
      <c r="Q5993">
        <v>305</v>
      </c>
      <c r="R5993" s="34">
        <f t="shared" si="96"/>
        <v>0.68222702948878755</v>
      </c>
    </row>
    <row r="5994" spans="16:18" x14ac:dyDescent="0.3">
      <c r="P5994" s="35">
        <v>39.29</v>
      </c>
      <c r="Q5994">
        <v>305</v>
      </c>
      <c r="R5994" s="34">
        <f t="shared" si="96"/>
        <v>0.68234088580212016</v>
      </c>
    </row>
    <row r="5995" spans="16:18" x14ac:dyDescent="0.3">
      <c r="P5995" s="35">
        <v>39.299999999999997</v>
      </c>
      <c r="Q5995">
        <v>305</v>
      </c>
      <c r="R5995" s="34">
        <f t="shared" si="96"/>
        <v>0.68245474211545276</v>
      </c>
    </row>
    <row r="5996" spans="16:18" x14ac:dyDescent="0.3">
      <c r="P5996" s="35">
        <v>39.299999999999997</v>
      </c>
      <c r="Q5996">
        <v>305</v>
      </c>
      <c r="R5996" s="34">
        <f t="shared" si="96"/>
        <v>0.68256859842878537</v>
      </c>
    </row>
    <row r="5997" spans="16:18" x14ac:dyDescent="0.3">
      <c r="P5997" s="35">
        <v>39.299999999999997</v>
      </c>
      <c r="Q5997">
        <v>305</v>
      </c>
      <c r="R5997" s="34">
        <f t="shared" si="96"/>
        <v>0.68268245474211797</v>
      </c>
    </row>
    <row r="5998" spans="16:18" x14ac:dyDescent="0.3">
      <c r="P5998" s="35">
        <v>39.299999999999997</v>
      </c>
      <c r="Q5998">
        <v>305</v>
      </c>
      <c r="R5998" s="34">
        <f t="shared" si="96"/>
        <v>0.68279631105545058</v>
      </c>
    </row>
    <row r="5999" spans="16:18" x14ac:dyDescent="0.3">
      <c r="P5999" s="35">
        <v>39.31</v>
      </c>
      <c r="Q5999">
        <v>305</v>
      </c>
      <c r="R5999" s="34">
        <f t="shared" si="96"/>
        <v>0.68291016736878318</v>
      </c>
    </row>
    <row r="6000" spans="16:18" x14ac:dyDescent="0.3">
      <c r="P6000" s="35">
        <v>39.32</v>
      </c>
      <c r="Q6000">
        <v>305</v>
      </c>
      <c r="R6000" s="34">
        <f t="shared" si="96"/>
        <v>0.68302402368211579</v>
      </c>
    </row>
    <row r="6001" spans="16:18" x14ac:dyDescent="0.3">
      <c r="P6001" s="35">
        <v>39.32</v>
      </c>
      <c r="Q6001">
        <v>305</v>
      </c>
      <c r="R6001" s="34">
        <f t="shared" si="96"/>
        <v>0.68313787999544839</v>
      </c>
    </row>
    <row r="6002" spans="16:18" x14ac:dyDescent="0.3">
      <c r="P6002" s="35">
        <v>39.33</v>
      </c>
      <c r="Q6002">
        <v>305</v>
      </c>
      <c r="R6002" s="34">
        <f t="shared" si="96"/>
        <v>0.683251736308781</v>
      </c>
    </row>
    <row r="6003" spans="16:18" x14ac:dyDescent="0.3">
      <c r="P6003" s="35">
        <v>39.33</v>
      </c>
      <c r="Q6003">
        <v>305</v>
      </c>
      <c r="R6003" s="34">
        <f t="shared" si="96"/>
        <v>0.6833655926221136</v>
      </c>
    </row>
    <row r="6004" spans="16:18" x14ac:dyDescent="0.3">
      <c r="P6004" s="35">
        <v>39.340000000000003</v>
      </c>
      <c r="Q6004">
        <v>305</v>
      </c>
      <c r="R6004" s="34">
        <f t="shared" si="96"/>
        <v>0.68347944893544621</v>
      </c>
    </row>
    <row r="6005" spans="16:18" x14ac:dyDescent="0.3">
      <c r="P6005" s="35">
        <v>39.340000000000003</v>
      </c>
      <c r="Q6005">
        <v>305</v>
      </c>
      <c r="R6005" s="34">
        <f t="shared" si="96"/>
        <v>0.68359330524877882</v>
      </c>
    </row>
    <row r="6006" spans="16:18" x14ac:dyDescent="0.3">
      <c r="P6006" s="35">
        <v>39.35</v>
      </c>
      <c r="Q6006">
        <v>305</v>
      </c>
      <c r="R6006" s="34">
        <f t="shared" si="96"/>
        <v>0.68370716156211142</v>
      </c>
    </row>
    <row r="6007" spans="16:18" x14ac:dyDescent="0.3">
      <c r="P6007" s="35">
        <v>39.35</v>
      </c>
      <c r="Q6007">
        <v>305</v>
      </c>
      <c r="R6007" s="34">
        <f t="shared" si="96"/>
        <v>0.68382101787544403</v>
      </c>
    </row>
    <row r="6008" spans="16:18" x14ac:dyDescent="0.3">
      <c r="P6008" s="35">
        <v>39.35</v>
      </c>
      <c r="Q6008">
        <v>305</v>
      </c>
      <c r="R6008" s="34">
        <f t="shared" si="96"/>
        <v>0.68393487418877663</v>
      </c>
    </row>
    <row r="6009" spans="16:18" x14ac:dyDescent="0.3">
      <c r="P6009" s="35">
        <v>39.35</v>
      </c>
      <c r="Q6009">
        <v>305</v>
      </c>
      <c r="R6009" s="34">
        <f t="shared" si="96"/>
        <v>0.68404873050210924</v>
      </c>
    </row>
    <row r="6010" spans="16:18" x14ac:dyDescent="0.3">
      <c r="P6010" s="35">
        <v>39.36</v>
      </c>
      <c r="Q6010">
        <v>305</v>
      </c>
      <c r="R6010" s="34">
        <f t="shared" si="96"/>
        <v>0.68416258681544184</v>
      </c>
    </row>
    <row r="6011" spans="16:18" x14ac:dyDescent="0.3">
      <c r="P6011" s="35">
        <v>39.36</v>
      </c>
      <c r="Q6011">
        <v>305</v>
      </c>
      <c r="R6011" s="34">
        <f t="shared" si="96"/>
        <v>0.68427644312877445</v>
      </c>
    </row>
    <row r="6012" spans="16:18" x14ac:dyDescent="0.3">
      <c r="P6012" s="35">
        <v>39.36</v>
      </c>
      <c r="Q6012">
        <v>305</v>
      </c>
      <c r="R6012" s="34">
        <f t="shared" si="96"/>
        <v>0.68439029944210705</v>
      </c>
    </row>
    <row r="6013" spans="16:18" x14ac:dyDescent="0.3">
      <c r="P6013" s="35">
        <v>39.36</v>
      </c>
      <c r="Q6013">
        <v>305</v>
      </c>
      <c r="R6013" s="34">
        <f t="shared" si="96"/>
        <v>0.68450415575543966</v>
      </c>
    </row>
    <row r="6014" spans="16:18" x14ac:dyDescent="0.3">
      <c r="P6014" s="35">
        <v>39.369999999999997</v>
      </c>
      <c r="Q6014">
        <v>305</v>
      </c>
      <c r="R6014" s="34">
        <f t="shared" si="96"/>
        <v>0.68461801206877226</v>
      </c>
    </row>
    <row r="6015" spans="16:18" x14ac:dyDescent="0.3">
      <c r="P6015" s="35">
        <v>39.380000000000003</v>
      </c>
      <c r="Q6015">
        <v>305</v>
      </c>
      <c r="R6015" s="34">
        <f t="shared" si="96"/>
        <v>0.68473186838210487</v>
      </c>
    </row>
    <row r="6016" spans="16:18" x14ac:dyDescent="0.3">
      <c r="P6016" s="35">
        <v>39.380000000000003</v>
      </c>
      <c r="Q6016">
        <v>305</v>
      </c>
      <c r="R6016" s="34">
        <f t="shared" si="96"/>
        <v>0.68484572469543747</v>
      </c>
    </row>
    <row r="6017" spans="16:18" x14ac:dyDescent="0.3">
      <c r="P6017" s="35">
        <v>39.380000000000003</v>
      </c>
      <c r="Q6017">
        <v>305</v>
      </c>
      <c r="R6017" s="34">
        <f t="shared" si="96"/>
        <v>0.68495958100877008</v>
      </c>
    </row>
    <row r="6018" spans="16:18" x14ac:dyDescent="0.3">
      <c r="P6018" s="35">
        <v>39.39</v>
      </c>
      <c r="Q6018">
        <v>305</v>
      </c>
      <c r="R6018" s="34">
        <f t="shared" si="96"/>
        <v>0.68507343732210269</v>
      </c>
    </row>
    <row r="6019" spans="16:18" x14ac:dyDescent="0.3">
      <c r="P6019" s="35">
        <v>39.4</v>
      </c>
      <c r="Q6019">
        <v>305</v>
      </c>
      <c r="R6019" s="34">
        <f t="shared" si="96"/>
        <v>0.68518729363543529</v>
      </c>
    </row>
    <row r="6020" spans="16:18" x14ac:dyDescent="0.3">
      <c r="P6020" s="35">
        <v>39.4</v>
      </c>
      <c r="Q6020">
        <v>305</v>
      </c>
      <c r="R6020" s="34">
        <f t="shared" ref="R6020:R6083" si="97">R6019+R$2</f>
        <v>0.6853011499487679</v>
      </c>
    </row>
    <row r="6021" spans="16:18" x14ac:dyDescent="0.3">
      <c r="P6021" s="35">
        <v>39.4</v>
      </c>
      <c r="Q6021">
        <v>305</v>
      </c>
      <c r="R6021" s="34">
        <f t="shared" si="97"/>
        <v>0.6854150062621005</v>
      </c>
    </row>
    <row r="6022" spans="16:18" x14ac:dyDescent="0.3">
      <c r="P6022" s="35">
        <v>39.409999999999997</v>
      </c>
      <c r="Q6022">
        <v>305</v>
      </c>
      <c r="R6022" s="34">
        <f t="shared" si="97"/>
        <v>0.68552886257543311</v>
      </c>
    </row>
    <row r="6023" spans="16:18" x14ac:dyDescent="0.3">
      <c r="P6023" s="35">
        <v>39.409999999999997</v>
      </c>
      <c r="Q6023">
        <v>305</v>
      </c>
      <c r="R6023" s="34">
        <f t="shared" si="97"/>
        <v>0.68564271888876571</v>
      </c>
    </row>
    <row r="6024" spans="16:18" x14ac:dyDescent="0.3">
      <c r="P6024" s="35">
        <v>39.42</v>
      </c>
      <c r="Q6024">
        <v>305</v>
      </c>
      <c r="R6024" s="34">
        <f t="shared" si="97"/>
        <v>0.68575657520209832</v>
      </c>
    </row>
    <row r="6025" spans="16:18" x14ac:dyDescent="0.3">
      <c r="P6025" s="35">
        <v>39.42</v>
      </c>
      <c r="Q6025">
        <v>305</v>
      </c>
      <c r="R6025" s="34">
        <f t="shared" si="97"/>
        <v>0.68587043151543092</v>
      </c>
    </row>
    <row r="6026" spans="16:18" x14ac:dyDescent="0.3">
      <c r="P6026" s="35">
        <v>39.43</v>
      </c>
      <c r="Q6026">
        <v>305</v>
      </c>
      <c r="R6026" s="34">
        <f t="shared" si="97"/>
        <v>0.68598428782876353</v>
      </c>
    </row>
    <row r="6027" spans="16:18" x14ac:dyDescent="0.3">
      <c r="P6027" s="35">
        <v>39.43</v>
      </c>
      <c r="Q6027">
        <v>305</v>
      </c>
      <c r="R6027" s="34">
        <f t="shared" si="97"/>
        <v>0.68609814414209613</v>
      </c>
    </row>
    <row r="6028" spans="16:18" x14ac:dyDescent="0.3">
      <c r="P6028" s="35">
        <v>39.43</v>
      </c>
      <c r="Q6028">
        <v>305</v>
      </c>
      <c r="R6028" s="34">
        <f t="shared" si="97"/>
        <v>0.68621200045542874</v>
      </c>
    </row>
    <row r="6029" spans="16:18" x14ac:dyDescent="0.3">
      <c r="P6029" s="35">
        <v>39.43</v>
      </c>
      <c r="Q6029">
        <v>305</v>
      </c>
      <c r="R6029" s="34">
        <f t="shared" si="97"/>
        <v>0.68632585676876134</v>
      </c>
    </row>
    <row r="6030" spans="16:18" x14ac:dyDescent="0.3">
      <c r="P6030" s="35">
        <v>39.450000000000003</v>
      </c>
      <c r="Q6030">
        <v>305</v>
      </c>
      <c r="R6030" s="34">
        <f t="shared" si="97"/>
        <v>0.68643971308209395</v>
      </c>
    </row>
    <row r="6031" spans="16:18" x14ac:dyDescent="0.3">
      <c r="P6031" s="35">
        <v>39.450000000000003</v>
      </c>
      <c r="Q6031">
        <v>305</v>
      </c>
      <c r="R6031" s="34">
        <f t="shared" si="97"/>
        <v>0.68655356939542656</v>
      </c>
    </row>
    <row r="6032" spans="16:18" x14ac:dyDescent="0.3">
      <c r="P6032" s="35">
        <v>39.46</v>
      </c>
      <c r="Q6032">
        <v>305</v>
      </c>
      <c r="R6032" s="34">
        <f t="shared" si="97"/>
        <v>0.68666742570875916</v>
      </c>
    </row>
    <row r="6033" spans="16:18" x14ac:dyDescent="0.3">
      <c r="P6033" s="35">
        <v>39.47</v>
      </c>
      <c r="Q6033">
        <v>305</v>
      </c>
      <c r="R6033" s="34">
        <f t="shared" si="97"/>
        <v>0.68678128202209177</v>
      </c>
    </row>
    <row r="6034" spans="16:18" x14ac:dyDescent="0.3">
      <c r="P6034" s="35">
        <v>39.47</v>
      </c>
      <c r="Q6034">
        <v>305</v>
      </c>
      <c r="R6034" s="34">
        <f t="shared" si="97"/>
        <v>0.68689513833542437</v>
      </c>
    </row>
    <row r="6035" spans="16:18" x14ac:dyDescent="0.3">
      <c r="P6035" s="35">
        <v>39.479999999999997</v>
      </c>
      <c r="Q6035">
        <v>305</v>
      </c>
      <c r="R6035" s="34">
        <f t="shared" si="97"/>
        <v>0.68700899464875698</v>
      </c>
    </row>
    <row r="6036" spans="16:18" x14ac:dyDescent="0.3">
      <c r="P6036" s="35">
        <v>39.479999999999997</v>
      </c>
      <c r="Q6036">
        <v>305</v>
      </c>
      <c r="R6036" s="34">
        <f t="shared" si="97"/>
        <v>0.68712285096208958</v>
      </c>
    </row>
    <row r="6037" spans="16:18" x14ac:dyDescent="0.3">
      <c r="P6037" s="35">
        <v>39.5</v>
      </c>
      <c r="Q6037">
        <v>305</v>
      </c>
      <c r="R6037" s="34">
        <f t="shared" si="97"/>
        <v>0.68723670727542219</v>
      </c>
    </row>
    <row r="6038" spans="16:18" x14ac:dyDescent="0.3">
      <c r="P6038" s="35">
        <v>39.51</v>
      </c>
      <c r="Q6038">
        <v>305</v>
      </c>
      <c r="R6038" s="34">
        <f t="shared" si="97"/>
        <v>0.68735056358875479</v>
      </c>
    </row>
    <row r="6039" spans="16:18" x14ac:dyDescent="0.3">
      <c r="P6039" s="35">
        <v>39.51</v>
      </c>
      <c r="Q6039">
        <v>305</v>
      </c>
      <c r="R6039" s="34">
        <f t="shared" si="97"/>
        <v>0.6874644199020874</v>
      </c>
    </row>
    <row r="6040" spans="16:18" x14ac:dyDescent="0.3">
      <c r="P6040" s="35">
        <v>39.51</v>
      </c>
      <c r="Q6040">
        <v>305</v>
      </c>
      <c r="R6040" s="34">
        <f t="shared" si="97"/>
        <v>0.68757827621542</v>
      </c>
    </row>
    <row r="6041" spans="16:18" x14ac:dyDescent="0.3">
      <c r="P6041" s="35">
        <v>39.51</v>
      </c>
      <c r="Q6041">
        <v>305</v>
      </c>
      <c r="R6041" s="34">
        <f t="shared" si="97"/>
        <v>0.68769213252875261</v>
      </c>
    </row>
    <row r="6042" spans="16:18" x14ac:dyDescent="0.3">
      <c r="P6042" s="35">
        <v>39.53</v>
      </c>
      <c r="Q6042">
        <v>305</v>
      </c>
      <c r="R6042" s="34">
        <f t="shared" si="97"/>
        <v>0.68780598884208521</v>
      </c>
    </row>
    <row r="6043" spans="16:18" x14ac:dyDescent="0.3">
      <c r="P6043" s="35">
        <v>39.54</v>
      </c>
      <c r="Q6043">
        <v>305</v>
      </c>
      <c r="R6043" s="34">
        <f t="shared" si="97"/>
        <v>0.68791984515541782</v>
      </c>
    </row>
    <row r="6044" spans="16:18" x14ac:dyDescent="0.3">
      <c r="P6044" s="35">
        <v>39.54</v>
      </c>
      <c r="Q6044">
        <v>305</v>
      </c>
      <c r="R6044" s="34">
        <f t="shared" si="97"/>
        <v>0.68803370146875042</v>
      </c>
    </row>
    <row r="6045" spans="16:18" x14ac:dyDescent="0.3">
      <c r="P6045" s="35">
        <v>39.54</v>
      </c>
      <c r="Q6045">
        <v>305</v>
      </c>
      <c r="R6045" s="34">
        <f t="shared" si="97"/>
        <v>0.68814755778208303</v>
      </c>
    </row>
    <row r="6046" spans="16:18" x14ac:dyDescent="0.3">
      <c r="P6046" s="35">
        <v>39.549999999999997</v>
      </c>
      <c r="Q6046">
        <v>305</v>
      </c>
      <c r="R6046" s="34">
        <f t="shared" si="97"/>
        <v>0.68826141409541564</v>
      </c>
    </row>
    <row r="6047" spans="16:18" x14ac:dyDescent="0.3">
      <c r="P6047" s="35">
        <v>39.549999999999997</v>
      </c>
      <c r="Q6047">
        <v>305</v>
      </c>
      <c r="R6047" s="34">
        <f t="shared" si="97"/>
        <v>0.68837527040874824</v>
      </c>
    </row>
    <row r="6048" spans="16:18" x14ac:dyDescent="0.3">
      <c r="P6048" s="35">
        <v>39.56</v>
      </c>
      <c r="Q6048">
        <v>305</v>
      </c>
      <c r="R6048" s="34">
        <f t="shared" si="97"/>
        <v>0.68848912672208085</v>
      </c>
    </row>
    <row r="6049" spans="16:18" x14ac:dyDescent="0.3">
      <c r="P6049" s="35">
        <v>39.57</v>
      </c>
      <c r="Q6049">
        <v>305</v>
      </c>
      <c r="R6049" s="34">
        <f t="shared" si="97"/>
        <v>0.68860298303541345</v>
      </c>
    </row>
    <row r="6050" spans="16:18" x14ac:dyDescent="0.3">
      <c r="P6050" s="35">
        <v>39.58</v>
      </c>
      <c r="Q6050">
        <v>305</v>
      </c>
      <c r="R6050" s="34">
        <f t="shared" si="97"/>
        <v>0.68871683934874606</v>
      </c>
    </row>
    <row r="6051" spans="16:18" x14ac:dyDescent="0.3">
      <c r="P6051" s="35">
        <v>39.590000000000003</v>
      </c>
      <c r="Q6051">
        <v>305</v>
      </c>
      <c r="R6051" s="34">
        <f t="shared" si="97"/>
        <v>0.68883069566207866</v>
      </c>
    </row>
    <row r="6052" spans="16:18" x14ac:dyDescent="0.3">
      <c r="P6052" s="35">
        <v>39.6</v>
      </c>
      <c r="Q6052">
        <v>305</v>
      </c>
      <c r="R6052" s="34">
        <f t="shared" si="97"/>
        <v>0.68894455197541127</v>
      </c>
    </row>
    <row r="6053" spans="16:18" x14ac:dyDescent="0.3">
      <c r="P6053" s="35">
        <v>39.6</v>
      </c>
      <c r="Q6053">
        <v>305</v>
      </c>
      <c r="R6053" s="34">
        <f t="shared" si="97"/>
        <v>0.68905840828874387</v>
      </c>
    </row>
    <row r="6054" spans="16:18" x14ac:dyDescent="0.3">
      <c r="P6054" s="35">
        <v>39.6</v>
      </c>
      <c r="Q6054">
        <v>305</v>
      </c>
      <c r="R6054" s="34">
        <f t="shared" si="97"/>
        <v>0.68917226460207648</v>
      </c>
    </row>
    <row r="6055" spans="16:18" x14ac:dyDescent="0.3">
      <c r="P6055" s="35">
        <v>39.61</v>
      </c>
      <c r="Q6055">
        <v>305</v>
      </c>
      <c r="R6055" s="34">
        <f t="shared" si="97"/>
        <v>0.68928612091540908</v>
      </c>
    </row>
    <row r="6056" spans="16:18" x14ac:dyDescent="0.3">
      <c r="P6056" s="35">
        <v>39.64</v>
      </c>
      <c r="Q6056">
        <v>305</v>
      </c>
      <c r="R6056" s="34">
        <f t="shared" si="97"/>
        <v>0.68939997722874169</v>
      </c>
    </row>
    <row r="6057" spans="16:18" x14ac:dyDescent="0.3">
      <c r="P6057" s="35">
        <v>39.64</v>
      </c>
      <c r="Q6057">
        <v>305</v>
      </c>
      <c r="R6057" s="34">
        <f t="shared" si="97"/>
        <v>0.68951383354207429</v>
      </c>
    </row>
    <row r="6058" spans="16:18" x14ac:dyDescent="0.3">
      <c r="P6058" s="35">
        <v>39.65</v>
      </c>
      <c r="Q6058">
        <v>305</v>
      </c>
      <c r="R6058" s="34">
        <f t="shared" si="97"/>
        <v>0.6896276898554069</v>
      </c>
    </row>
    <row r="6059" spans="16:18" x14ac:dyDescent="0.3">
      <c r="P6059" s="35">
        <v>39.65</v>
      </c>
      <c r="Q6059">
        <v>305</v>
      </c>
      <c r="R6059" s="34">
        <f t="shared" si="97"/>
        <v>0.68974154616873951</v>
      </c>
    </row>
    <row r="6060" spans="16:18" x14ac:dyDescent="0.3">
      <c r="P6060" s="35">
        <v>39.659999999999997</v>
      </c>
      <c r="Q6060">
        <v>305</v>
      </c>
      <c r="R6060" s="34">
        <f t="shared" si="97"/>
        <v>0.68985540248207211</v>
      </c>
    </row>
    <row r="6061" spans="16:18" x14ac:dyDescent="0.3">
      <c r="P6061" s="35">
        <v>39.659999999999997</v>
      </c>
      <c r="Q6061">
        <v>305</v>
      </c>
      <c r="R6061" s="34">
        <f t="shared" si="97"/>
        <v>0.68996925879540472</v>
      </c>
    </row>
    <row r="6062" spans="16:18" x14ac:dyDescent="0.3">
      <c r="P6062" s="35">
        <v>39.69</v>
      </c>
      <c r="Q6062">
        <v>305</v>
      </c>
      <c r="R6062" s="34">
        <f t="shared" si="97"/>
        <v>0.69008311510873732</v>
      </c>
    </row>
    <row r="6063" spans="16:18" x14ac:dyDescent="0.3">
      <c r="P6063" s="35">
        <v>39.69</v>
      </c>
      <c r="Q6063">
        <v>305</v>
      </c>
      <c r="R6063" s="34">
        <f t="shared" si="97"/>
        <v>0.69019697142206993</v>
      </c>
    </row>
    <row r="6064" spans="16:18" x14ac:dyDescent="0.3">
      <c r="P6064" s="35">
        <v>39.69</v>
      </c>
      <c r="Q6064">
        <v>305</v>
      </c>
      <c r="R6064" s="34">
        <f t="shared" si="97"/>
        <v>0.69031082773540253</v>
      </c>
    </row>
    <row r="6065" spans="16:18" x14ac:dyDescent="0.3">
      <c r="P6065" s="35">
        <v>39.700000000000003</v>
      </c>
      <c r="Q6065">
        <v>305</v>
      </c>
      <c r="R6065" s="34">
        <f t="shared" si="97"/>
        <v>0.69042468404873514</v>
      </c>
    </row>
    <row r="6066" spans="16:18" x14ac:dyDescent="0.3">
      <c r="P6066" s="35">
        <v>39.700000000000003</v>
      </c>
      <c r="Q6066">
        <v>305</v>
      </c>
      <c r="R6066" s="34">
        <f t="shared" si="97"/>
        <v>0.69053854036206774</v>
      </c>
    </row>
    <row r="6067" spans="16:18" x14ac:dyDescent="0.3">
      <c r="P6067" s="35">
        <v>39.71</v>
      </c>
      <c r="Q6067">
        <v>305</v>
      </c>
      <c r="R6067" s="34">
        <f t="shared" si="97"/>
        <v>0.69065239667540035</v>
      </c>
    </row>
    <row r="6068" spans="16:18" x14ac:dyDescent="0.3">
      <c r="P6068" s="35">
        <v>39.71</v>
      </c>
      <c r="Q6068">
        <v>305</v>
      </c>
      <c r="R6068" s="34">
        <f t="shared" si="97"/>
        <v>0.69076625298873295</v>
      </c>
    </row>
    <row r="6069" spans="16:18" x14ac:dyDescent="0.3">
      <c r="P6069" s="35">
        <v>39.729999999999997</v>
      </c>
      <c r="Q6069">
        <v>305</v>
      </c>
      <c r="R6069" s="34">
        <f t="shared" si="97"/>
        <v>0.69088010930206556</v>
      </c>
    </row>
    <row r="6070" spans="16:18" x14ac:dyDescent="0.3">
      <c r="P6070" s="35">
        <v>39.74</v>
      </c>
      <c r="Q6070">
        <v>305</v>
      </c>
      <c r="R6070" s="34">
        <f t="shared" si="97"/>
        <v>0.69099396561539816</v>
      </c>
    </row>
    <row r="6071" spans="16:18" x14ac:dyDescent="0.3">
      <c r="P6071" s="35">
        <v>39.76</v>
      </c>
      <c r="Q6071">
        <v>305</v>
      </c>
      <c r="R6071" s="34">
        <f t="shared" si="97"/>
        <v>0.69110782192873077</v>
      </c>
    </row>
    <row r="6072" spans="16:18" x14ac:dyDescent="0.3">
      <c r="P6072" s="35">
        <v>39.78</v>
      </c>
      <c r="Q6072">
        <v>305</v>
      </c>
      <c r="R6072" s="34">
        <f t="shared" si="97"/>
        <v>0.69122167824206338</v>
      </c>
    </row>
    <row r="6073" spans="16:18" x14ac:dyDescent="0.3">
      <c r="P6073" s="35">
        <v>39.79</v>
      </c>
      <c r="Q6073">
        <v>305</v>
      </c>
      <c r="R6073" s="34">
        <f t="shared" si="97"/>
        <v>0.69133553455539598</v>
      </c>
    </row>
    <row r="6074" spans="16:18" x14ac:dyDescent="0.3">
      <c r="P6074" s="35">
        <v>39.79</v>
      </c>
      <c r="Q6074">
        <v>305</v>
      </c>
      <c r="R6074" s="34">
        <f t="shared" si="97"/>
        <v>0.69144939086872859</v>
      </c>
    </row>
    <row r="6075" spans="16:18" x14ac:dyDescent="0.3">
      <c r="P6075" s="35">
        <v>39.799999999999997</v>
      </c>
      <c r="Q6075">
        <v>305</v>
      </c>
      <c r="R6075" s="34">
        <f t="shared" si="97"/>
        <v>0.69156324718206119</v>
      </c>
    </row>
    <row r="6076" spans="16:18" x14ac:dyDescent="0.3">
      <c r="P6076" s="35">
        <v>39.799999999999997</v>
      </c>
      <c r="Q6076">
        <v>305</v>
      </c>
      <c r="R6076" s="34">
        <f t="shared" si="97"/>
        <v>0.6916771034953938</v>
      </c>
    </row>
    <row r="6077" spans="16:18" x14ac:dyDescent="0.3">
      <c r="P6077" s="35">
        <v>39.799999999999997</v>
      </c>
      <c r="Q6077">
        <v>305</v>
      </c>
      <c r="R6077" s="34">
        <f t="shared" si="97"/>
        <v>0.6917909598087264</v>
      </c>
    </row>
    <row r="6078" spans="16:18" x14ac:dyDescent="0.3">
      <c r="P6078" s="35">
        <v>39.81</v>
      </c>
      <c r="Q6078">
        <v>305</v>
      </c>
      <c r="R6078" s="34">
        <f t="shared" si="97"/>
        <v>0.69190481612205901</v>
      </c>
    </row>
    <row r="6079" spans="16:18" x14ac:dyDescent="0.3">
      <c r="P6079" s="35">
        <v>39.81</v>
      </c>
      <c r="Q6079">
        <v>305</v>
      </c>
      <c r="R6079" s="34">
        <f t="shared" si="97"/>
        <v>0.69201867243539161</v>
      </c>
    </row>
    <row r="6080" spans="16:18" x14ac:dyDescent="0.3">
      <c r="P6080" s="35">
        <v>39.83</v>
      </c>
      <c r="Q6080">
        <v>305</v>
      </c>
      <c r="R6080" s="34">
        <f t="shared" si="97"/>
        <v>0.69213252874872422</v>
      </c>
    </row>
    <row r="6081" spans="16:18" x14ac:dyDescent="0.3">
      <c r="P6081" s="35">
        <v>39.83</v>
      </c>
      <c r="Q6081">
        <v>305</v>
      </c>
      <c r="R6081" s="34">
        <f t="shared" si="97"/>
        <v>0.69224638506205682</v>
      </c>
    </row>
    <row r="6082" spans="16:18" x14ac:dyDescent="0.3">
      <c r="P6082" s="35">
        <v>39.840000000000003</v>
      </c>
      <c r="Q6082">
        <v>305</v>
      </c>
      <c r="R6082" s="34">
        <f t="shared" si="97"/>
        <v>0.69236024137538943</v>
      </c>
    </row>
    <row r="6083" spans="16:18" x14ac:dyDescent="0.3">
      <c r="P6083" s="35">
        <v>39.86</v>
      </c>
      <c r="Q6083">
        <v>305</v>
      </c>
      <c r="R6083" s="34">
        <f t="shared" si="97"/>
        <v>0.69247409768872203</v>
      </c>
    </row>
    <row r="6084" spans="16:18" x14ac:dyDescent="0.3">
      <c r="P6084" s="35">
        <v>39.869999999999997</v>
      </c>
      <c r="Q6084">
        <v>305</v>
      </c>
      <c r="R6084" s="34">
        <f t="shared" ref="R6084:R6147" si="98">R6083+R$2</f>
        <v>0.69258795400205464</v>
      </c>
    </row>
    <row r="6085" spans="16:18" x14ac:dyDescent="0.3">
      <c r="P6085" s="35">
        <v>39.880000000000003</v>
      </c>
      <c r="Q6085">
        <v>305</v>
      </c>
      <c r="R6085" s="34">
        <f t="shared" si="98"/>
        <v>0.69270181031538725</v>
      </c>
    </row>
    <row r="6086" spans="16:18" x14ac:dyDescent="0.3">
      <c r="P6086" s="35">
        <v>39.880000000000003</v>
      </c>
      <c r="Q6086">
        <v>305</v>
      </c>
      <c r="R6086" s="34">
        <f t="shared" si="98"/>
        <v>0.69281566662871985</v>
      </c>
    </row>
    <row r="6087" spans="16:18" x14ac:dyDescent="0.3">
      <c r="P6087" s="35">
        <v>39.89</v>
      </c>
      <c r="Q6087">
        <v>305</v>
      </c>
      <c r="R6087" s="34">
        <f t="shared" si="98"/>
        <v>0.69292952294205246</v>
      </c>
    </row>
    <row r="6088" spans="16:18" x14ac:dyDescent="0.3">
      <c r="P6088" s="35">
        <v>39.9</v>
      </c>
      <c r="Q6088">
        <v>305</v>
      </c>
      <c r="R6088" s="34">
        <f t="shared" si="98"/>
        <v>0.69304337925538506</v>
      </c>
    </row>
    <row r="6089" spans="16:18" x14ac:dyDescent="0.3">
      <c r="P6089" s="35">
        <v>39.9</v>
      </c>
      <c r="Q6089">
        <v>305</v>
      </c>
      <c r="R6089" s="34">
        <f t="shared" si="98"/>
        <v>0.69315723556871767</v>
      </c>
    </row>
    <row r="6090" spans="16:18" x14ac:dyDescent="0.3">
      <c r="P6090" s="35">
        <v>39.9</v>
      </c>
      <c r="Q6090">
        <v>305</v>
      </c>
      <c r="R6090" s="34">
        <f t="shared" si="98"/>
        <v>0.69327109188205027</v>
      </c>
    </row>
    <row r="6091" spans="16:18" x14ac:dyDescent="0.3">
      <c r="P6091" s="35">
        <v>39.909999999999997</v>
      </c>
      <c r="Q6091">
        <v>305</v>
      </c>
      <c r="R6091" s="34">
        <f t="shared" si="98"/>
        <v>0.69338494819538288</v>
      </c>
    </row>
    <row r="6092" spans="16:18" x14ac:dyDescent="0.3">
      <c r="P6092" s="35">
        <v>39.909999999999997</v>
      </c>
      <c r="Q6092">
        <v>305</v>
      </c>
      <c r="R6092" s="34">
        <f t="shared" si="98"/>
        <v>0.69349880450871548</v>
      </c>
    </row>
    <row r="6093" spans="16:18" x14ac:dyDescent="0.3">
      <c r="P6093" s="35">
        <v>39.92</v>
      </c>
      <c r="Q6093">
        <v>305</v>
      </c>
      <c r="R6093" s="34">
        <f t="shared" si="98"/>
        <v>0.69361266082204809</v>
      </c>
    </row>
    <row r="6094" spans="16:18" x14ac:dyDescent="0.3">
      <c r="P6094" s="35">
        <v>39.92</v>
      </c>
      <c r="Q6094">
        <v>305</v>
      </c>
      <c r="R6094" s="34">
        <f t="shared" si="98"/>
        <v>0.69372651713538069</v>
      </c>
    </row>
    <row r="6095" spans="16:18" x14ac:dyDescent="0.3">
      <c r="P6095" s="35">
        <v>39.92</v>
      </c>
      <c r="Q6095">
        <v>305</v>
      </c>
      <c r="R6095" s="34">
        <f t="shared" si="98"/>
        <v>0.6938403734487133</v>
      </c>
    </row>
    <row r="6096" spans="16:18" x14ac:dyDescent="0.3">
      <c r="P6096" s="35">
        <v>39.92</v>
      </c>
      <c r="Q6096">
        <v>305</v>
      </c>
      <c r="R6096" s="34">
        <f t="shared" si="98"/>
        <v>0.6939542297620459</v>
      </c>
    </row>
    <row r="6097" spans="16:18" x14ac:dyDescent="0.3">
      <c r="P6097" s="35">
        <v>39.93</v>
      </c>
      <c r="Q6097">
        <v>305</v>
      </c>
      <c r="R6097" s="34">
        <f t="shared" si="98"/>
        <v>0.69406808607537851</v>
      </c>
    </row>
    <row r="6098" spans="16:18" x14ac:dyDescent="0.3">
      <c r="P6098" s="35">
        <v>39.94</v>
      </c>
      <c r="Q6098">
        <v>305</v>
      </c>
      <c r="R6098" s="34">
        <f t="shared" si="98"/>
        <v>0.69418194238871112</v>
      </c>
    </row>
    <row r="6099" spans="16:18" x14ac:dyDescent="0.3">
      <c r="P6099" s="35">
        <v>39.94</v>
      </c>
      <c r="Q6099">
        <v>305</v>
      </c>
      <c r="R6099" s="34">
        <f t="shared" si="98"/>
        <v>0.69429579870204372</v>
      </c>
    </row>
    <row r="6100" spans="16:18" x14ac:dyDescent="0.3">
      <c r="P6100" s="35">
        <v>39.950000000000003</v>
      </c>
      <c r="Q6100">
        <v>305</v>
      </c>
      <c r="R6100" s="34">
        <f t="shared" si="98"/>
        <v>0.69440965501537633</v>
      </c>
    </row>
    <row r="6101" spans="16:18" x14ac:dyDescent="0.3">
      <c r="P6101" s="35">
        <v>39.950000000000003</v>
      </c>
      <c r="Q6101">
        <v>305</v>
      </c>
      <c r="R6101" s="34">
        <f t="shared" si="98"/>
        <v>0.69452351132870893</v>
      </c>
    </row>
    <row r="6102" spans="16:18" x14ac:dyDescent="0.3">
      <c r="P6102" s="35">
        <v>39.96</v>
      </c>
      <c r="Q6102">
        <v>305</v>
      </c>
      <c r="R6102" s="34">
        <f t="shared" si="98"/>
        <v>0.69463736764204154</v>
      </c>
    </row>
    <row r="6103" spans="16:18" x14ac:dyDescent="0.3">
      <c r="P6103" s="35">
        <v>39.97</v>
      </c>
      <c r="Q6103">
        <v>305</v>
      </c>
      <c r="R6103" s="34">
        <f t="shared" si="98"/>
        <v>0.69475122395537414</v>
      </c>
    </row>
    <row r="6104" spans="16:18" x14ac:dyDescent="0.3">
      <c r="P6104" s="35">
        <v>39.97</v>
      </c>
      <c r="Q6104">
        <v>305</v>
      </c>
      <c r="R6104" s="34">
        <f t="shared" si="98"/>
        <v>0.69486508026870675</v>
      </c>
    </row>
    <row r="6105" spans="16:18" x14ac:dyDescent="0.3">
      <c r="P6105" s="35">
        <v>40</v>
      </c>
      <c r="Q6105">
        <v>305</v>
      </c>
      <c r="R6105" s="34">
        <f t="shared" si="98"/>
        <v>0.69497893658203935</v>
      </c>
    </row>
    <row r="6106" spans="16:18" x14ac:dyDescent="0.3">
      <c r="P6106" s="35">
        <v>40.03</v>
      </c>
      <c r="Q6106">
        <v>305</v>
      </c>
      <c r="R6106" s="34">
        <f t="shared" si="98"/>
        <v>0.69509279289537196</v>
      </c>
    </row>
    <row r="6107" spans="16:18" x14ac:dyDescent="0.3">
      <c r="P6107" s="35">
        <v>40.03</v>
      </c>
      <c r="Q6107">
        <v>305</v>
      </c>
      <c r="R6107" s="34">
        <f t="shared" si="98"/>
        <v>0.69520664920870456</v>
      </c>
    </row>
    <row r="6108" spans="16:18" x14ac:dyDescent="0.3">
      <c r="P6108" s="35">
        <v>40.03</v>
      </c>
      <c r="Q6108">
        <v>305</v>
      </c>
      <c r="R6108" s="34">
        <f t="shared" si="98"/>
        <v>0.69532050552203717</v>
      </c>
    </row>
    <row r="6109" spans="16:18" x14ac:dyDescent="0.3">
      <c r="P6109" s="35">
        <v>40.049999999999997</v>
      </c>
      <c r="Q6109">
        <v>305</v>
      </c>
      <c r="R6109" s="34">
        <f t="shared" si="98"/>
        <v>0.69543436183536977</v>
      </c>
    </row>
    <row r="6110" spans="16:18" x14ac:dyDescent="0.3">
      <c r="P6110" s="35">
        <v>40.049999999999997</v>
      </c>
      <c r="Q6110">
        <v>305</v>
      </c>
      <c r="R6110" s="34">
        <f t="shared" si="98"/>
        <v>0.69554821814870238</v>
      </c>
    </row>
    <row r="6111" spans="16:18" x14ac:dyDescent="0.3">
      <c r="P6111" s="35">
        <v>40.049999999999997</v>
      </c>
      <c r="Q6111">
        <v>305</v>
      </c>
      <c r="R6111" s="34">
        <f t="shared" si="98"/>
        <v>0.69566207446203498</v>
      </c>
    </row>
    <row r="6112" spans="16:18" x14ac:dyDescent="0.3">
      <c r="P6112" s="35">
        <v>40.049999999999997</v>
      </c>
      <c r="Q6112">
        <v>305</v>
      </c>
      <c r="R6112" s="34">
        <f t="shared" si="98"/>
        <v>0.69577593077536759</v>
      </c>
    </row>
    <row r="6113" spans="16:18" x14ac:dyDescent="0.3">
      <c r="P6113" s="35">
        <v>40.06</v>
      </c>
      <c r="Q6113">
        <v>305</v>
      </c>
      <c r="R6113" s="34">
        <f t="shared" si="98"/>
        <v>0.6958897870887002</v>
      </c>
    </row>
    <row r="6114" spans="16:18" x14ac:dyDescent="0.3">
      <c r="P6114" s="35">
        <v>40.06</v>
      </c>
      <c r="Q6114">
        <v>305</v>
      </c>
      <c r="R6114" s="34">
        <f t="shared" si="98"/>
        <v>0.6960036434020328</v>
      </c>
    </row>
    <row r="6115" spans="16:18" x14ac:dyDescent="0.3">
      <c r="P6115" s="35">
        <v>40.06</v>
      </c>
      <c r="Q6115">
        <v>305</v>
      </c>
      <c r="R6115" s="34">
        <f t="shared" si="98"/>
        <v>0.69611749971536541</v>
      </c>
    </row>
    <row r="6116" spans="16:18" x14ac:dyDescent="0.3">
      <c r="P6116" s="35">
        <v>40.07</v>
      </c>
      <c r="Q6116">
        <v>305</v>
      </c>
      <c r="R6116" s="34">
        <f t="shared" si="98"/>
        <v>0.69623135602869801</v>
      </c>
    </row>
    <row r="6117" spans="16:18" x14ac:dyDescent="0.3">
      <c r="P6117" s="35">
        <v>40.08</v>
      </c>
      <c r="Q6117">
        <v>305</v>
      </c>
      <c r="R6117" s="34">
        <f t="shared" si="98"/>
        <v>0.69634521234203062</v>
      </c>
    </row>
    <row r="6118" spans="16:18" x14ac:dyDescent="0.3">
      <c r="P6118" s="35">
        <v>40.090000000000003</v>
      </c>
      <c r="Q6118">
        <v>305</v>
      </c>
      <c r="R6118" s="34">
        <f t="shared" si="98"/>
        <v>0.69645906865536322</v>
      </c>
    </row>
    <row r="6119" spans="16:18" x14ac:dyDescent="0.3">
      <c r="P6119" s="35">
        <v>40.090000000000003</v>
      </c>
      <c r="Q6119">
        <v>305</v>
      </c>
      <c r="R6119" s="34">
        <f t="shared" si="98"/>
        <v>0.69657292496869583</v>
      </c>
    </row>
    <row r="6120" spans="16:18" x14ac:dyDescent="0.3">
      <c r="P6120" s="35">
        <v>40.11</v>
      </c>
      <c r="Q6120">
        <v>305</v>
      </c>
      <c r="R6120" s="34">
        <f t="shared" si="98"/>
        <v>0.69668678128202843</v>
      </c>
    </row>
    <row r="6121" spans="16:18" x14ac:dyDescent="0.3">
      <c r="P6121" s="35">
        <v>40.11</v>
      </c>
      <c r="Q6121">
        <v>305</v>
      </c>
      <c r="R6121" s="34">
        <f t="shared" si="98"/>
        <v>0.69680063759536104</v>
      </c>
    </row>
    <row r="6122" spans="16:18" x14ac:dyDescent="0.3">
      <c r="P6122" s="35">
        <v>40.119999999999997</v>
      </c>
      <c r="Q6122">
        <v>305</v>
      </c>
      <c r="R6122" s="34">
        <f t="shared" si="98"/>
        <v>0.69691449390869364</v>
      </c>
    </row>
    <row r="6123" spans="16:18" x14ac:dyDescent="0.3">
      <c r="P6123" s="35">
        <v>40.14</v>
      </c>
      <c r="Q6123">
        <v>305</v>
      </c>
      <c r="R6123" s="34">
        <f t="shared" si="98"/>
        <v>0.69702835022202625</v>
      </c>
    </row>
    <row r="6124" spans="16:18" x14ac:dyDescent="0.3">
      <c r="P6124" s="35">
        <v>40.15</v>
      </c>
      <c r="Q6124">
        <v>305</v>
      </c>
      <c r="R6124" s="34">
        <f t="shared" si="98"/>
        <v>0.69714220653535885</v>
      </c>
    </row>
    <row r="6125" spans="16:18" x14ac:dyDescent="0.3">
      <c r="P6125" s="35">
        <v>40.15</v>
      </c>
      <c r="Q6125">
        <v>305</v>
      </c>
      <c r="R6125" s="34">
        <f t="shared" si="98"/>
        <v>0.69725606284869146</v>
      </c>
    </row>
    <row r="6126" spans="16:18" x14ac:dyDescent="0.3">
      <c r="P6126" s="35">
        <v>40.15</v>
      </c>
      <c r="Q6126">
        <v>305</v>
      </c>
      <c r="R6126" s="34">
        <f t="shared" si="98"/>
        <v>0.69736991916202407</v>
      </c>
    </row>
    <row r="6127" spans="16:18" x14ac:dyDescent="0.3">
      <c r="P6127" s="35">
        <v>40.159999999999997</v>
      </c>
      <c r="Q6127">
        <v>305</v>
      </c>
      <c r="R6127" s="34">
        <f t="shared" si="98"/>
        <v>0.69748377547535667</v>
      </c>
    </row>
    <row r="6128" spans="16:18" x14ac:dyDescent="0.3">
      <c r="P6128" s="35">
        <v>40.159999999999997</v>
      </c>
      <c r="Q6128">
        <v>305</v>
      </c>
      <c r="R6128" s="34">
        <f t="shared" si="98"/>
        <v>0.69759763178868928</v>
      </c>
    </row>
    <row r="6129" spans="16:18" x14ac:dyDescent="0.3">
      <c r="P6129" s="35">
        <v>40.159999999999997</v>
      </c>
      <c r="Q6129">
        <v>305</v>
      </c>
      <c r="R6129" s="34">
        <f t="shared" si="98"/>
        <v>0.69771148810202188</v>
      </c>
    </row>
    <row r="6130" spans="16:18" x14ac:dyDescent="0.3">
      <c r="P6130" s="35">
        <v>40.17</v>
      </c>
      <c r="Q6130">
        <v>305</v>
      </c>
      <c r="R6130" s="34">
        <f t="shared" si="98"/>
        <v>0.69782534441535449</v>
      </c>
    </row>
    <row r="6131" spans="16:18" x14ac:dyDescent="0.3">
      <c r="P6131" s="35">
        <v>40.17</v>
      </c>
      <c r="Q6131">
        <v>305</v>
      </c>
      <c r="R6131" s="34">
        <f t="shared" si="98"/>
        <v>0.69793920072868709</v>
      </c>
    </row>
    <row r="6132" spans="16:18" x14ac:dyDescent="0.3">
      <c r="P6132" s="35">
        <v>40.17</v>
      </c>
      <c r="Q6132">
        <v>305</v>
      </c>
      <c r="R6132" s="34">
        <f t="shared" si="98"/>
        <v>0.6980530570420197</v>
      </c>
    </row>
    <row r="6133" spans="16:18" x14ac:dyDescent="0.3">
      <c r="P6133" s="35">
        <v>40.18</v>
      </c>
      <c r="Q6133">
        <v>305</v>
      </c>
      <c r="R6133" s="34">
        <f t="shared" si="98"/>
        <v>0.6981669133553523</v>
      </c>
    </row>
    <row r="6134" spans="16:18" x14ac:dyDescent="0.3">
      <c r="P6134" s="35">
        <v>40.18</v>
      </c>
      <c r="Q6134">
        <v>305</v>
      </c>
      <c r="R6134" s="34">
        <f t="shared" si="98"/>
        <v>0.69828076966868491</v>
      </c>
    </row>
    <row r="6135" spans="16:18" x14ac:dyDescent="0.3">
      <c r="P6135" s="35">
        <v>40.18</v>
      </c>
      <c r="Q6135">
        <v>305</v>
      </c>
      <c r="R6135" s="34">
        <f t="shared" si="98"/>
        <v>0.69839462598201751</v>
      </c>
    </row>
    <row r="6136" spans="16:18" x14ac:dyDescent="0.3">
      <c r="P6136" s="35">
        <v>40.19</v>
      </c>
      <c r="Q6136">
        <v>305</v>
      </c>
      <c r="R6136" s="34">
        <f t="shared" si="98"/>
        <v>0.69850848229535012</v>
      </c>
    </row>
    <row r="6137" spans="16:18" x14ac:dyDescent="0.3">
      <c r="P6137" s="35">
        <v>40.19</v>
      </c>
      <c r="Q6137">
        <v>305</v>
      </c>
      <c r="R6137" s="34">
        <f t="shared" si="98"/>
        <v>0.69862233860868272</v>
      </c>
    </row>
    <row r="6138" spans="16:18" x14ac:dyDescent="0.3">
      <c r="P6138" s="35">
        <v>40.19</v>
      </c>
      <c r="Q6138">
        <v>305</v>
      </c>
      <c r="R6138" s="34">
        <f t="shared" si="98"/>
        <v>0.69873619492201533</v>
      </c>
    </row>
    <row r="6139" spans="16:18" x14ac:dyDescent="0.3">
      <c r="P6139" s="35">
        <v>40.200000000000003</v>
      </c>
      <c r="Q6139">
        <v>305</v>
      </c>
      <c r="R6139" s="34">
        <f t="shared" si="98"/>
        <v>0.69885005123534794</v>
      </c>
    </row>
    <row r="6140" spans="16:18" x14ac:dyDescent="0.3">
      <c r="P6140" s="35">
        <v>40.21</v>
      </c>
      <c r="Q6140">
        <v>305</v>
      </c>
      <c r="R6140" s="34">
        <f t="shared" si="98"/>
        <v>0.69896390754868054</v>
      </c>
    </row>
    <row r="6141" spans="16:18" x14ac:dyDescent="0.3">
      <c r="P6141" s="35">
        <v>40.21</v>
      </c>
      <c r="Q6141">
        <v>305</v>
      </c>
      <c r="R6141" s="34">
        <f t="shared" si="98"/>
        <v>0.69907776386201315</v>
      </c>
    </row>
    <row r="6142" spans="16:18" x14ac:dyDescent="0.3">
      <c r="P6142" s="35">
        <v>40.21</v>
      </c>
      <c r="Q6142">
        <v>305</v>
      </c>
      <c r="R6142" s="34">
        <f t="shared" si="98"/>
        <v>0.69919162017534575</v>
      </c>
    </row>
    <row r="6143" spans="16:18" x14ac:dyDescent="0.3">
      <c r="P6143" s="35">
        <v>40.22</v>
      </c>
      <c r="Q6143">
        <v>305</v>
      </c>
      <c r="R6143" s="34">
        <f t="shared" si="98"/>
        <v>0.69930547648867836</v>
      </c>
    </row>
    <row r="6144" spans="16:18" x14ac:dyDescent="0.3">
      <c r="P6144" s="35">
        <v>40.24</v>
      </c>
      <c r="Q6144">
        <v>305</v>
      </c>
      <c r="R6144" s="34">
        <f t="shared" si="98"/>
        <v>0.69941933280201096</v>
      </c>
    </row>
    <row r="6145" spans="16:18" x14ac:dyDescent="0.3">
      <c r="P6145" s="35">
        <v>40.24</v>
      </c>
      <c r="Q6145">
        <v>305</v>
      </c>
      <c r="R6145" s="34">
        <f t="shared" si="98"/>
        <v>0.69953318911534357</v>
      </c>
    </row>
    <row r="6146" spans="16:18" x14ac:dyDescent="0.3">
      <c r="P6146" s="35">
        <v>40.25</v>
      </c>
      <c r="Q6146">
        <v>305</v>
      </c>
      <c r="R6146" s="34">
        <f t="shared" si="98"/>
        <v>0.69964704542867617</v>
      </c>
    </row>
    <row r="6147" spans="16:18" x14ac:dyDescent="0.3">
      <c r="P6147" s="35">
        <v>40.25</v>
      </c>
      <c r="Q6147">
        <v>305</v>
      </c>
      <c r="R6147" s="34">
        <f t="shared" si="98"/>
        <v>0.69976090174200878</v>
      </c>
    </row>
    <row r="6148" spans="16:18" x14ac:dyDescent="0.3">
      <c r="P6148" s="35">
        <v>40.26</v>
      </c>
      <c r="Q6148">
        <v>305</v>
      </c>
      <c r="R6148" s="34">
        <f t="shared" ref="R6148:R6211" si="99">R6147+R$2</f>
        <v>0.69987475805534138</v>
      </c>
    </row>
    <row r="6149" spans="16:18" x14ac:dyDescent="0.3">
      <c r="P6149" s="35">
        <v>40.26</v>
      </c>
      <c r="Q6149">
        <v>305</v>
      </c>
      <c r="R6149" s="34">
        <f t="shared" si="99"/>
        <v>0.69998861436867399</v>
      </c>
    </row>
    <row r="6150" spans="16:18" x14ac:dyDescent="0.3">
      <c r="P6150" s="35">
        <v>40.270000000000003</v>
      </c>
      <c r="Q6150">
        <v>305</v>
      </c>
      <c r="R6150" s="34">
        <f t="shared" si="99"/>
        <v>0.70010247068200659</v>
      </c>
    </row>
    <row r="6151" spans="16:18" x14ac:dyDescent="0.3">
      <c r="P6151" s="35">
        <v>40.270000000000003</v>
      </c>
      <c r="Q6151">
        <v>305</v>
      </c>
      <c r="R6151" s="34">
        <f t="shared" si="99"/>
        <v>0.7002163269953392</v>
      </c>
    </row>
    <row r="6152" spans="16:18" x14ac:dyDescent="0.3">
      <c r="P6152" s="35">
        <v>40.28</v>
      </c>
      <c r="Q6152">
        <v>305</v>
      </c>
      <c r="R6152" s="34">
        <f t="shared" si="99"/>
        <v>0.70033018330867181</v>
      </c>
    </row>
    <row r="6153" spans="16:18" x14ac:dyDescent="0.3">
      <c r="P6153" s="35">
        <v>40.29</v>
      </c>
      <c r="Q6153">
        <v>305</v>
      </c>
      <c r="R6153" s="34">
        <f t="shared" si="99"/>
        <v>0.70044403962200441</v>
      </c>
    </row>
    <row r="6154" spans="16:18" x14ac:dyDescent="0.3">
      <c r="P6154" s="35">
        <v>40.32</v>
      </c>
      <c r="Q6154">
        <v>305</v>
      </c>
      <c r="R6154" s="34">
        <f t="shared" si="99"/>
        <v>0.70055789593533702</v>
      </c>
    </row>
    <row r="6155" spans="16:18" x14ac:dyDescent="0.3">
      <c r="P6155" s="35">
        <v>40.33</v>
      </c>
      <c r="Q6155">
        <v>305</v>
      </c>
      <c r="R6155" s="34">
        <f t="shared" si="99"/>
        <v>0.70067175224866962</v>
      </c>
    </row>
    <row r="6156" spans="16:18" x14ac:dyDescent="0.3">
      <c r="P6156" s="35">
        <v>40.340000000000003</v>
      </c>
      <c r="Q6156">
        <v>305</v>
      </c>
      <c r="R6156" s="34">
        <f t="shared" si="99"/>
        <v>0.70078560856200223</v>
      </c>
    </row>
    <row r="6157" spans="16:18" x14ac:dyDescent="0.3">
      <c r="P6157" s="35">
        <v>40.35</v>
      </c>
      <c r="Q6157">
        <v>305</v>
      </c>
      <c r="R6157" s="34">
        <f t="shared" si="99"/>
        <v>0.70089946487533483</v>
      </c>
    </row>
    <row r="6158" spans="16:18" x14ac:dyDescent="0.3">
      <c r="P6158" s="35">
        <v>40.35</v>
      </c>
      <c r="Q6158">
        <v>305</v>
      </c>
      <c r="R6158" s="34">
        <f t="shared" si="99"/>
        <v>0.70101332118866744</v>
      </c>
    </row>
    <row r="6159" spans="16:18" x14ac:dyDescent="0.3">
      <c r="P6159" s="35">
        <v>40.35</v>
      </c>
      <c r="Q6159">
        <v>305</v>
      </c>
      <c r="R6159" s="34">
        <f t="shared" si="99"/>
        <v>0.70112717750200004</v>
      </c>
    </row>
    <row r="6160" spans="16:18" x14ac:dyDescent="0.3">
      <c r="P6160" s="35">
        <v>40.36</v>
      </c>
      <c r="Q6160">
        <v>305</v>
      </c>
      <c r="R6160" s="34">
        <f t="shared" si="99"/>
        <v>0.70124103381533265</v>
      </c>
    </row>
    <row r="6161" spans="16:18" x14ac:dyDescent="0.3">
      <c r="P6161" s="35">
        <v>40.36</v>
      </c>
      <c r="Q6161">
        <v>305</v>
      </c>
      <c r="R6161" s="34">
        <f t="shared" si="99"/>
        <v>0.70135489012866525</v>
      </c>
    </row>
    <row r="6162" spans="16:18" x14ac:dyDescent="0.3">
      <c r="P6162" s="35">
        <v>40.36</v>
      </c>
      <c r="Q6162">
        <v>305</v>
      </c>
      <c r="R6162" s="34">
        <f t="shared" si="99"/>
        <v>0.70146874644199786</v>
      </c>
    </row>
    <row r="6163" spans="16:18" x14ac:dyDescent="0.3">
      <c r="P6163" s="35">
        <v>40.369999999999997</v>
      </c>
      <c r="Q6163">
        <v>305</v>
      </c>
      <c r="R6163" s="34">
        <f t="shared" si="99"/>
        <v>0.70158260275533046</v>
      </c>
    </row>
    <row r="6164" spans="16:18" x14ac:dyDescent="0.3">
      <c r="P6164" s="35">
        <v>40.380000000000003</v>
      </c>
      <c r="Q6164">
        <v>305</v>
      </c>
      <c r="R6164" s="34">
        <f t="shared" si="99"/>
        <v>0.70169645906866307</v>
      </c>
    </row>
    <row r="6165" spans="16:18" x14ac:dyDescent="0.3">
      <c r="P6165" s="35">
        <v>40.380000000000003</v>
      </c>
      <c r="Q6165">
        <v>305</v>
      </c>
      <c r="R6165" s="34">
        <f t="shared" si="99"/>
        <v>0.70181031538199568</v>
      </c>
    </row>
    <row r="6166" spans="16:18" x14ac:dyDescent="0.3">
      <c r="P6166" s="35">
        <v>40.409999999999997</v>
      </c>
      <c r="Q6166">
        <v>305</v>
      </c>
      <c r="R6166" s="34">
        <f t="shared" si="99"/>
        <v>0.70192417169532828</v>
      </c>
    </row>
    <row r="6167" spans="16:18" x14ac:dyDescent="0.3">
      <c r="P6167" s="35">
        <v>40.42</v>
      </c>
      <c r="Q6167">
        <v>305</v>
      </c>
      <c r="R6167" s="34">
        <f t="shared" si="99"/>
        <v>0.70203802800866089</v>
      </c>
    </row>
    <row r="6168" spans="16:18" x14ac:dyDescent="0.3">
      <c r="P6168" s="35">
        <v>40.42</v>
      </c>
      <c r="Q6168">
        <v>305</v>
      </c>
      <c r="R6168" s="34">
        <f t="shared" si="99"/>
        <v>0.70215188432199349</v>
      </c>
    </row>
    <row r="6169" spans="16:18" x14ac:dyDescent="0.3">
      <c r="P6169" s="35">
        <v>40.43</v>
      </c>
      <c r="Q6169">
        <v>305</v>
      </c>
      <c r="R6169" s="34">
        <f t="shared" si="99"/>
        <v>0.7022657406353261</v>
      </c>
    </row>
    <row r="6170" spans="16:18" x14ac:dyDescent="0.3">
      <c r="P6170" s="35">
        <v>40.43</v>
      </c>
      <c r="Q6170">
        <v>305</v>
      </c>
      <c r="R6170" s="34">
        <f t="shared" si="99"/>
        <v>0.7023795969486587</v>
      </c>
    </row>
    <row r="6171" spans="16:18" x14ac:dyDescent="0.3">
      <c r="P6171" s="35">
        <v>40.44</v>
      </c>
      <c r="Q6171">
        <v>305</v>
      </c>
      <c r="R6171" s="34">
        <f t="shared" si="99"/>
        <v>0.70249345326199131</v>
      </c>
    </row>
    <row r="6172" spans="16:18" x14ac:dyDescent="0.3">
      <c r="P6172" s="35">
        <v>40.450000000000003</v>
      </c>
      <c r="Q6172">
        <v>305</v>
      </c>
      <c r="R6172" s="34">
        <f t="shared" si="99"/>
        <v>0.70260730957532391</v>
      </c>
    </row>
    <row r="6173" spans="16:18" x14ac:dyDescent="0.3">
      <c r="P6173" s="35">
        <v>40.450000000000003</v>
      </c>
      <c r="Q6173">
        <v>305</v>
      </c>
      <c r="R6173" s="34">
        <f t="shared" si="99"/>
        <v>0.70272116588865652</v>
      </c>
    </row>
    <row r="6174" spans="16:18" x14ac:dyDescent="0.3">
      <c r="P6174" s="35">
        <v>40.47</v>
      </c>
      <c r="Q6174">
        <v>305</v>
      </c>
      <c r="R6174" s="34">
        <f t="shared" si="99"/>
        <v>0.70283502220198912</v>
      </c>
    </row>
    <row r="6175" spans="16:18" x14ac:dyDescent="0.3">
      <c r="P6175" s="35">
        <v>40.47</v>
      </c>
      <c r="Q6175">
        <v>305</v>
      </c>
      <c r="R6175" s="34">
        <f t="shared" si="99"/>
        <v>0.70294887851532173</v>
      </c>
    </row>
    <row r="6176" spans="16:18" x14ac:dyDescent="0.3">
      <c r="P6176" s="35">
        <v>40.49</v>
      </c>
      <c r="Q6176">
        <v>305</v>
      </c>
      <c r="R6176" s="34">
        <f t="shared" si="99"/>
        <v>0.70306273482865433</v>
      </c>
    </row>
    <row r="6177" spans="16:18" x14ac:dyDescent="0.3">
      <c r="P6177" s="35">
        <v>40.49</v>
      </c>
      <c r="Q6177">
        <v>305</v>
      </c>
      <c r="R6177" s="34">
        <f t="shared" si="99"/>
        <v>0.70317659114198694</v>
      </c>
    </row>
    <row r="6178" spans="16:18" x14ac:dyDescent="0.3">
      <c r="P6178" s="35">
        <v>40.5</v>
      </c>
      <c r="Q6178">
        <v>305</v>
      </c>
      <c r="R6178" s="34">
        <f t="shared" si="99"/>
        <v>0.70329044745531955</v>
      </c>
    </row>
    <row r="6179" spans="16:18" x14ac:dyDescent="0.3">
      <c r="P6179" s="35">
        <v>40.51</v>
      </c>
      <c r="Q6179">
        <v>305</v>
      </c>
      <c r="R6179" s="34">
        <f t="shared" si="99"/>
        <v>0.70340430376865215</v>
      </c>
    </row>
    <row r="6180" spans="16:18" x14ac:dyDescent="0.3">
      <c r="P6180" s="35">
        <v>40.53</v>
      </c>
      <c r="Q6180">
        <v>305</v>
      </c>
      <c r="R6180" s="34">
        <f t="shared" si="99"/>
        <v>0.70351816008198476</v>
      </c>
    </row>
    <row r="6181" spans="16:18" x14ac:dyDescent="0.3">
      <c r="P6181" s="35">
        <v>40.58</v>
      </c>
      <c r="Q6181">
        <v>305</v>
      </c>
      <c r="R6181" s="34">
        <f t="shared" si="99"/>
        <v>0.70363201639531736</v>
      </c>
    </row>
    <row r="6182" spans="16:18" x14ac:dyDescent="0.3">
      <c r="P6182" s="35">
        <v>40.58</v>
      </c>
      <c r="Q6182">
        <v>305</v>
      </c>
      <c r="R6182" s="34">
        <f t="shared" si="99"/>
        <v>0.70374587270864997</v>
      </c>
    </row>
    <row r="6183" spans="16:18" x14ac:dyDescent="0.3">
      <c r="P6183" s="35">
        <v>40.6</v>
      </c>
      <c r="Q6183">
        <v>305</v>
      </c>
      <c r="R6183" s="34">
        <f t="shared" si="99"/>
        <v>0.70385972902198257</v>
      </c>
    </row>
    <row r="6184" spans="16:18" x14ac:dyDescent="0.3">
      <c r="P6184" s="35">
        <v>40.61</v>
      </c>
      <c r="Q6184">
        <v>305</v>
      </c>
      <c r="R6184" s="34">
        <f t="shared" si="99"/>
        <v>0.70397358533531518</v>
      </c>
    </row>
    <row r="6185" spans="16:18" x14ac:dyDescent="0.3">
      <c r="P6185" s="35">
        <v>40.630000000000003</v>
      </c>
      <c r="Q6185">
        <v>305</v>
      </c>
      <c r="R6185" s="34">
        <f t="shared" si="99"/>
        <v>0.70408744164864778</v>
      </c>
    </row>
    <row r="6186" spans="16:18" x14ac:dyDescent="0.3">
      <c r="P6186" s="35">
        <v>40.64</v>
      </c>
      <c r="Q6186">
        <v>305</v>
      </c>
      <c r="R6186" s="34">
        <f t="shared" si="99"/>
        <v>0.70420129796198039</v>
      </c>
    </row>
    <row r="6187" spans="16:18" x14ac:dyDescent="0.3">
      <c r="P6187" s="35">
        <v>40.65</v>
      </c>
      <c r="Q6187">
        <v>305</v>
      </c>
      <c r="R6187" s="34">
        <f t="shared" si="99"/>
        <v>0.70431515427531299</v>
      </c>
    </row>
    <row r="6188" spans="16:18" x14ac:dyDescent="0.3">
      <c r="P6188" s="35">
        <v>40.659999999999997</v>
      </c>
      <c r="Q6188">
        <v>305</v>
      </c>
      <c r="R6188" s="34">
        <f t="shared" si="99"/>
        <v>0.7044290105886456</v>
      </c>
    </row>
    <row r="6189" spans="16:18" x14ac:dyDescent="0.3">
      <c r="P6189" s="35">
        <v>40.67</v>
      </c>
      <c r="Q6189">
        <v>305</v>
      </c>
      <c r="R6189" s="34">
        <f t="shared" si="99"/>
        <v>0.7045428669019782</v>
      </c>
    </row>
    <row r="6190" spans="16:18" x14ac:dyDescent="0.3">
      <c r="P6190" s="35">
        <v>40.69</v>
      </c>
      <c r="Q6190">
        <v>305</v>
      </c>
      <c r="R6190" s="34">
        <f t="shared" si="99"/>
        <v>0.70465672321531081</v>
      </c>
    </row>
    <row r="6191" spans="16:18" x14ac:dyDescent="0.3">
      <c r="P6191" s="35">
        <v>40.69</v>
      </c>
      <c r="Q6191">
        <v>305</v>
      </c>
      <c r="R6191" s="34">
        <f t="shared" si="99"/>
        <v>0.70477057952864341</v>
      </c>
    </row>
    <row r="6192" spans="16:18" x14ac:dyDescent="0.3">
      <c r="P6192" s="35">
        <v>40.700000000000003</v>
      </c>
      <c r="Q6192">
        <v>305</v>
      </c>
      <c r="R6192" s="34">
        <f t="shared" si="99"/>
        <v>0.70488443584197602</v>
      </c>
    </row>
    <row r="6193" spans="16:18" x14ac:dyDescent="0.3">
      <c r="P6193" s="35">
        <v>40.700000000000003</v>
      </c>
      <c r="Q6193">
        <v>305</v>
      </c>
      <c r="R6193" s="34">
        <f t="shared" si="99"/>
        <v>0.70499829215530863</v>
      </c>
    </row>
    <row r="6194" spans="16:18" x14ac:dyDescent="0.3">
      <c r="P6194" s="35">
        <v>40.71</v>
      </c>
      <c r="Q6194">
        <v>305</v>
      </c>
      <c r="R6194" s="34">
        <f t="shared" si="99"/>
        <v>0.70511214846864123</v>
      </c>
    </row>
    <row r="6195" spans="16:18" x14ac:dyDescent="0.3">
      <c r="P6195" s="35">
        <v>40.71</v>
      </c>
      <c r="Q6195">
        <v>305</v>
      </c>
      <c r="R6195" s="34">
        <f t="shared" si="99"/>
        <v>0.70522600478197384</v>
      </c>
    </row>
    <row r="6196" spans="16:18" x14ac:dyDescent="0.3">
      <c r="P6196" s="35">
        <v>40.71</v>
      </c>
      <c r="Q6196">
        <v>305</v>
      </c>
      <c r="R6196" s="34">
        <f t="shared" si="99"/>
        <v>0.70533986109530644</v>
      </c>
    </row>
    <row r="6197" spans="16:18" x14ac:dyDescent="0.3">
      <c r="P6197" s="35">
        <v>40.72</v>
      </c>
      <c r="Q6197">
        <v>305</v>
      </c>
      <c r="R6197" s="34">
        <f t="shared" si="99"/>
        <v>0.70545371740863905</v>
      </c>
    </row>
    <row r="6198" spans="16:18" x14ac:dyDescent="0.3">
      <c r="P6198" s="35">
        <v>40.72</v>
      </c>
      <c r="Q6198">
        <v>305</v>
      </c>
      <c r="R6198" s="34">
        <f t="shared" si="99"/>
        <v>0.70556757372197165</v>
      </c>
    </row>
    <row r="6199" spans="16:18" x14ac:dyDescent="0.3">
      <c r="P6199" s="35">
        <v>40.72</v>
      </c>
      <c r="Q6199">
        <v>305</v>
      </c>
      <c r="R6199" s="34">
        <f t="shared" si="99"/>
        <v>0.70568143003530426</v>
      </c>
    </row>
    <row r="6200" spans="16:18" x14ac:dyDescent="0.3">
      <c r="P6200" s="35">
        <v>40.729999999999997</v>
      </c>
      <c r="Q6200">
        <v>305</v>
      </c>
      <c r="R6200" s="34">
        <f t="shared" si="99"/>
        <v>0.70579528634863686</v>
      </c>
    </row>
    <row r="6201" spans="16:18" x14ac:dyDescent="0.3">
      <c r="P6201" s="35">
        <v>40.729999999999997</v>
      </c>
      <c r="Q6201">
        <v>305</v>
      </c>
      <c r="R6201" s="34">
        <f t="shared" si="99"/>
        <v>0.70590914266196947</v>
      </c>
    </row>
    <row r="6202" spans="16:18" x14ac:dyDescent="0.3">
      <c r="P6202" s="35">
        <v>40.729999999999997</v>
      </c>
      <c r="Q6202">
        <v>305</v>
      </c>
      <c r="R6202" s="34">
        <f t="shared" si="99"/>
        <v>0.70602299897530207</v>
      </c>
    </row>
    <row r="6203" spans="16:18" x14ac:dyDescent="0.3">
      <c r="P6203" s="35">
        <v>40.74</v>
      </c>
      <c r="Q6203">
        <v>305</v>
      </c>
      <c r="R6203" s="34">
        <f t="shared" si="99"/>
        <v>0.70613685528863468</v>
      </c>
    </row>
    <row r="6204" spans="16:18" x14ac:dyDescent="0.3">
      <c r="P6204" s="35">
        <v>40.75</v>
      </c>
      <c r="Q6204">
        <v>305</v>
      </c>
      <c r="R6204" s="34">
        <f t="shared" si="99"/>
        <v>0.70625071160196728</v>
      </c>
    </row>
    <row r="6205" spans="16:18" x14ac:dyDescent="0.3">
      <c r="P6205" s="35">
        <v>40.76</v>
      </c>
      <c r="Q6205">
        <v>305</v>
      </c>
      <c r="R6205" s="34">
        <f t="shared" si="99"/>
        <v>0.70636456791529989</v>
      </c>
    </row>
    <row r="6206" spans="16:18" x14ac:dyDescent="0.3">
      <c r="P6206" s="35">
        <v>40.76</v>
      </c>
      <c r="Q6206">
        <v>305</v>
      </c>
      <c r="R6206" s="34">
        <f t="shared" si="99"/>
        <v>0.7064784242286325</v>
      </c>
    </row>
    <row r="6207" spans="16:18" x14ac:dyDescent="0.3">
      <c r="P6207" s="35">
        <v>40.770000000000003</v>
      </c>
      <c r="Q6207">
        <v>305</v>
      </c>
      <c r="R6207" s="34">
        <f t="shared" si="99"/>
        <v>0.7065922805419651</v>
      </c>
    </row>
    <row r="6208" spans="16:18" x14ac:dyDescent="0.3">
      <c r="P6208" s="35">
        <v>40.770000000000003</v>
      </c>
      <c r="Q6208">
        <v>305</v>
      </c>
      <c r="R6208" s="34">
        <f t="shared" si="99"/>
        <v>0.70670613685529771</v>
      </c>
    </row>
    <row r="6209" spans="16:18" x14ac:dyDescent="0.3">
      <c r="P6209" s="35">
        <v>40.770000000000003</v>
      </c>
      <c r="Q6209">
        <v>305</v>
      </c>
      <c r="R6209" s="34">
        <f t="shared" si="99"/>
        <v>0.70681999316863031</v>
      </c>
    </row>
    <row r="6210" spans="16:18" x14ac:dyDescent="0.3">
      <c r="P6210" s="35">
        <v>40.770000000000003</v>
      </c>
      <c r="Q6210">
        <v>305</v>
      </c>
      <c r="R6210" s="34">
        <f t="shared" si="99"/>
        <v>0.70693384948196292</v>
      </c>
    </row>
    <row r="6211" spans="16:18" x14ac:dyDescent="0.3">
      <c r="P6211" s="35">
        <v>40.79</v>
      </c>
      <c r="Q6211">
        <v>305</v>
      </c>
      <c r="R6211" s="34">
        <f t="shared" si="99"/>
        <v>0.70704770579529552</v>
      </c>
    </row>
    <row r="6212" spans="16:18" x14ac:dyDescent="0.3">
      <c r="P6212" s="35">
        <v>40.799999999999997</v>
      </c>
      <c r="Q6212">
        <v>305</v>
      </c>
      <c r="R6212" s="34">
        <f t="shared" ref="R6212:R6275" si="100">R6211+R$2</f>
        <v>0.70716156210862813</v>
      </c>
    </row>
    <row r="6213" spans="16:18" x14ac:dyDescent="0.3">
      <c r="P6213" s="35">
        <v>40.81</v>
      </c>
      <c r="Q6213">
        <v>305</v>
      </c>
      <c r="R6213" s="34">
        <f t="shared" si="100"/>
        <v>0.70727541842196073</v>
      </c>
    </row>
    <row r="6214" spans="16:18" x14ac:dyDescent="0.3">
      <c r="P6214" s="35">
        <v>40.83</v>
      </c>
      <c r="Q6214">
        <v>305</v>
      </c>
      <c r="R6214" s="34">
        <f t="shared" si="100"/>
        <v>0.70738927473529334</v>
      </c>
    </row>
    <row r="6215" spans="16:18" x14ac:dyDescent="0.3">
      <c r="P6215" s="35">
        <v>40.83</v>
      </c>
      <c r="Q6215">
        <v>305</v>
      </c>
      <c r="R6215" s="34">
        <f t="shared" si="100"/>
        <v>0.70750313104862594</v>
      </c>
    </row>
    <row r="6216" spans="16:18" x14ac:dyDescent="0.3">
      <c r="P6216" s="35">
        <v>40.840000000000003</v>
      </c>
      <c r="Q6216">
        <v>305</v>
      </c>
      <c r="R6216" s="34">
        <f t="shared" si="100"/>
        <v>0.70761698736195855</v>
      </c>
    </row>
    <row r="6217" spans="16:18" x14ac:dyDescent="0.3">
      <c r="P6217" s="35">
        <v>40.840000000000003</v>
      </c>
      <c r="Q6217">
        <v>305</v>
      </c>
      <c r="R6217" s="34">
        <f t="shared" si="100"/>
        <v>0.70773084367529115</v>
      </c>
    </row>
    <row r="6218" spans="16:18" x14ac:dyDescent="0.3">
      <c r="P6218" s="35">
        <v>40.840000000000003</v>
      </c>
      <c r="Q6218">
        <v>305</v>
      </c>
      <c r="R6218" s="34">
        <f t="shared" si="100"/>
        <v>0.70784469998862376</v>
      </c>
    </row>
    <row r="6219" spans="16:18" x14ac:dyDescent="0.3">
      <c r="P6219" s="35">
        <v>40.869999999999997</v>
      </c>
      <c r="Q6219">
        <v>305</v>
      </c>
      <c r="R6219" s="34">
        <f t="shared" si="100"/>
        <v>0.70795855630195637</v>
      </c>
    </row>
    <row r="6220" spans="16:18" x14ac:dyDescent="0.3">
      <c r="P6220" s="35">
        <v>40.869999999999997</v>
      </c>
      <c r="Q6220">
        <v>305</v>
      </c>
      <c r="R6220" s="34">
        <f t="shared" si="100"/>
        <v>0.70807241261528897</v>
      </c>
    </row>
    <row r="6221" spans="16:18" x14ac:dyDescent="0.3">
      <c r="P6221" s="35">
        <v>40.89</v>
      </c>
      <c r="Q6221">
        <v>305</v>
      </c>
      <c r="R6221" s="34">
        <f t="shared" si="100"/>
        <v>0.70818626892862158</v>
      </c>
    </row>
    <row r="6222" spans="16:18" x14ac:dyDescent="0.3">
      <c r="P6222" s="35">
        <v>40.89</v>
      </c>
      <c r="Q6222">
        <v>305</v>
      </c>
      <c r="R6222" s="34">
        <f t="shared" si="100"/>
        <v>0.70830012524195418</v>
      </c>
    </row>
    <row r="6223" spans="16:18" x14ac:dyDescent="0.3">
      <c r="P6223" s="35">
        <v>40.92</v>
      </c>
      <c r="Q6223">
        <v>305</v>
      </c>
      <c r="R6223" s="34">
        <f t="shared" si="100"/>
        <v>0.70841398155528679</v>
      </c>
    </row>
    <row r="6224" spans="16:18" x14ac:dyDescent="0.3">
      <c r="P6224" s="35">
        <v>40.92</v>
      </c>
      <c r="Q6224">
        <v>305</v>
      </c>
      <c r="R6224" s="34">
        <f t="shared" si="100"/>
        <v>0.70852783786861939</v>
      </c>
    </row>
    <row r="6225" spans="16:18" x14ac:dyDescent="0.3">
      <c r="P6225" s="35">
        <v>40.93</v>
      </c>
      <c r="Q6225">
        <v>305</v>
      </c>
      <c r="R6225" s="34">
        <f t="shared" si="100"/>
        <v>0.708641694181952</v>
      </c>
    </row>
    <row r="6226" spans="16:18" x14ac:dyDescent="0.3">
      <c r="P6226" s="35">
        <v>40.93</v>
      </c>
      <c r="Q6226">
        <v>305</v>
      </c>
      <c r="R6226" s="34">
        <f t="shared" si="100"/>
        <v>0.7087555504952846</v>
      </c>
    </row>
    <row r="6227" spans="16:18" x14ac:dyDescent="0.3">
      <c r="P6227" s="35">
        <v>40.94</v>
      </c>
      <c r="Q6227">
        <v>305</v>
      </c>
      <c r="R6227" s="34">
        <f t="shared" si="100"/>
        <v>0.70886940680861721</v>
      </c>
    </row>
    <row r="6228" spans="16:18" x14ac:dyDescent="0.3">
      <c r="P6228" s="35">
        <v>40.950000000000003</v>
      </c>
      <c r="Q6228">
        <v>305</v>
      </c>
      <c r="R6228" s="34">
        <f t="shared" si="100"/>
        <v>0.70898326312194981</v>
      </c>
    </row>
    <row r="6229" spans="16:18" x14ac:dyDescent="0.3">
      <c r="P6229" s="35">
        <v>40.950000000000003</v>
      </c>
      <c r="Q6229">
        <v>305</v>
      </c>
      <c r="R6229" s="34">
        <f t="shared" si="100"/>
        <v>0.70909711943528242</v>
      </c>
    </row>
    <row r="6230" spans="16:18" x14ac:dyDescent="0.3">
      <c r="P6230" s="35">
        <v>40.96</v>
      </c>
      <c r="Q6230">
        <v>305</v>
      </c>
      <c r="R6230" s="34">
        <f t="shared" si="100"/>
        <v>0.70921097574861502</v>
      </c>
    </row>
    <row r="6231" spans="16:18" x14ac:dyDescent="0.3">
      <c r="P6231" s="35">
        <v>40.96</v>
      </c>
      <c r="Q6231">
        <v>305</v>
      </c>
      <c r="R6231" s="34">
        <f t="shared" si="100"/>
        <v>0.70932483206194763</v>
      </c>
    </row>
    <row r="6232" spans="16:18" x14ac:dyDescent="0.3">
      <c r="P6232" s="35">
        <v>40.97</v>
      </c>
      <c r="Q6232">
        <v>305</v>
      </c>
      <c r="R6232" s="34">
        <f t="shared" si="100"/>
        <v>0.70943868837528024</v>
      </c>
    </row>
    <row r="6233" spans="16:18" x14ac:dyDescent="0.3">
      <c r="P6233" s="35">
        <v>40.97</v>
      </c>
      <c r="Q6233">
        <v>305</v>
      </c>
      <c r="R6233" s="34">
        <f t="shared" si="100"/>
        <v>0.70955254468861284</v>
      </c>
    </row>
    <row r="6234" spans="16:18" x14ac:dyDescent="0.3">
      <c r="P6234" s="35">
        <v>40.98</v>
      </c>
      <c r="Q6234">
        <v>305</v>
      </c>
      <c r="R6234" s="34">
        <f t="shared" si="100"/>
        <v>0.70966640100194545</v>
      </c>
    </row>
    <row r="6235" spans="16:18" x14ac:dyDescent="0.3">
      <c r="P6235" s="35">
        <v>40.98</v>
      </c>
      <c r="Q6235">
        <v>305</v>
      </c>
      <c r="R6235" s="34">
        <f t="shared" si="100"/>
        <v>0.70978025731527805</v>
      </c>
    </row>
    <row r="6236" spans="16:18" x14ac:dyDescent="0.3">
      <c r="P6236" s="35">
        <v>40.99</v>
      </c>
      <c r="Q6236">
        <v>305</v>
      </c>
      <c r="R6236" s="34">
        <f t="shared" si="100"/>
        <v>0.70989411362861066</v>
      </c>
    </row>
    <row r="6237" spans="16:18" x14ac:dyDescent="0.3">
      <c r="P6237" s="35">
        <v>40.99</v>
      </c>
      <c r="Q6237">
        <v>305</v>
      </c>
      <c r="R6237" s="34">
        <f t="shared" si="100"/>
        <v>0.71000796994194326</v>
      </c>
    </row>
    <row r="6238" spans="16:18" x14ac:dyDescent="0.3">
      <c r="P6238" s="35">
        <v>41</v>
      </c>
      <c r="Q6238">
        <v>305</v>
      </c>
      <c r="R6238" s="34">
        <f t="shared" si="100"/>
        <v>0.71012182625527587</v>
      </c>
    </row>
    <row r="6239" spans="16:18" x14ac:dyDescent="0.3">
      <c r="P6239" s="35">
        <v>41.01</v>
      </c>
      <c r="Q6239">
        <v>305</v>
      </c>
      <c r="R6239" s="34">
        <f t="shared" si="100"/>
        <v>0.71023568256860847</v>
      </c>
    </row>
    <row r="6240" spans="16:18" x14ac:dyDescent="0.3">
      <c r="P6240" s="35">
        <v>41.02</v>
      </c>
      <c r="Q6240">
        <v>305</v>
      </c>
      <c r="R6240" s="34">
        <f t="shared" si="100"/>
        <v>0.71034953888194108</v>
      </c>
    </row>
    <row r="6241" spans="16:18" x14ac:dyDescent="0.3">
      <c r="P6241" s="35">
        <v>41.02</v>
      </c>
      <c r="Q6241">
        <v>305</v>
      </c>
      <c r="R6241" s="34">
        <f t="shared" si="100"/>
        <v>0.71046339519527368</v>
      </c>
    </row>
    <row r="6242" spans="16:18" x14ac:dyDescent="0.3">
      <c r="P6242" s="35">
        <v>41.02</v>
      </c>
      <c r="Q6242">
        <v>305</v>
      </c>
      <c r="R6242" s="34">
        <f t="shared" si="100"/>
        <v>0.71057725150860629</v>
      </c>
    </row>
    <row r="6243" spans="16:18" x14ac:dyDescent="0.3">
      <c r="P6243" s="35">
        <v>41.03</v>
      </c>
      <c r="Q6243">
        <v>305</v>
      </c>
      <c r="R6243" s="34">
        <f t="shared" si="100"/>
        <v>0.71069110782193889</v>
      </c>
    </row>
    <row r="6244" spans="16:18" x14ac:dyDescent="0.3">
      <c r="P6244" s="35">
        <v>41.03</v>
      </c>
      <c r="Q6244">
        <v>305</v>
      </c>
      <c r="R6244" s="34">
        <f t="shared" si="100"/>
        <v>0.7108049641352715</v>
      </c>
    </row>
    <row r="6245" spans="16:18" x14ac:dyDescent="0.3">
      <c r="P6245" s="35">
        <v>41.03</v>
      </c>
      <c r="Q6245">
        <v>305</v>
      </c>
      <c r="R6245" s="34">
        <f t="shared" si="100"/>
        <v>0.71091882044860411</v>
      </c>
    </row>
    <row r="6246" spans="16:18" x14ac:dyDescent="0.3">
      <c r="P6246" s="35">
        <v>41.03</v>
      </c>
      <c r="Q6246">
        <v>305</v>
      </c>
      <c r="R6246" s="34">
        <f t="shared" si="100"/>
        <v>0.71103267676193671</v>
      </c>
    </row>
    <row r="6247" spans="16:18" x14ac:dyDescent="0.3">
      <c r="P6247" s="35">
        <v>41.04</v>
      </c>
      <c r="Q6247">
        <v>305</v>
      </c>
      <c r="R6247" s="34">
        <f t="shared" si="100"/>
        <v>0.71114653307526932</v>
      </c>
    </row>
    <row r="6248" spans="16:18" x14ac:dyDescent="0.3">
      <c r="P6248" s="35">
        <v>41.07</v>
      </c>
      <c r="Q6248">
        <v>305</v>
      </c>
      <c r="R6248" s="34">
        <f t="shared" si="100"/>
        <v>0.71126038938860192</v>
      </c>
    </row>
    <row r="6249" spans="16:18" x14ac:dyDescent="0.3">
      <c r="P6249" s="35">
        <v>41.08</v>
      </c>
      <c r="Q6249">
        <v>305</v>
      </c>
      <c r="R6249" s="34">
        <f t="shared" si="100"/>
        <v>0.71137424570193453</v>
      </c>
    </row>
    <row r="6250" spans="16:18" x14ac:dyDescent="0.3">
      <c r="P6250" s="35">
        <v>41.09</v>
      </c>
      <c r="Q6250">
        <v>305</v>
      </c>
      <c r="R6250" s="34">
        <f t="shared" si="100"/>
        <v>0.71148810201526713</v>
      </c>
    </row>
    <row r="6251" spans="16:18" x14ac:dyDescent="0.3">
      <c r="P6251" s="35">
        <v>41.11</v>
      </c>
      <c r="Q6251">
        <v>305</v>
      </c>
      <c r="R6251" s="34">
        <f t="shared" si="100"/>
        <v>0.71160195832859974</v>
      </c>
    </row>
    <row r="6252" spans="16:18" x14ac:dyDescent="0.3">
      <c r="P6252" s="35">
        <v>41.11</v>
      </c>
      <c r="Q6252">
        <v>305</v>
      </c>
      <c r="R6252" s="34">
        <f t="shared" si="100"/>
        <v>0.71171581464193234</v>
      </c>
    </row>
    <row r="6253" spans="16:18" x14ac:dyDescent="0.3">
      <c r="P6253" s="35">
        <v>41.12</v>
      </c>
      <c r="Q6253">
        <v>305</v>
      </c>
      <c r="R6253" s="34">
        <f t="shared" si="100"/>
        <v>0.71182967095526495</v>
      </c>
    </row>
    <row r="6254" spans="16:18" x14ac:dyDescent="0.3">
      <c r="P6254" s="35">
        <v>41.12</v>
      </c>
      <c r="Q6254">
        <v>305</v>
      </c>
      <c r="R6254" s="34">
        <f t="shared" si="100"/>
        <v>0.71194352726859755</v>
      </c>
    </row>
    <row r="6255" spans="16:18" x14ac:dyDescent="0.3">
      <c r="P6255" s="35">
        <v>41.12</v>
      </c>
      <c r="Q6255">
        <v>305</v>
      </c>
      <c r="R6255" s="34">
        <f t="shared" si="100"/>
        <v>0.71205738358193016</v>
      </c>
    </row>
    <row r="6256" spans="16:18" x14ac:dyDescent="0.3">
      <c r="P6256" s="35">
        <v>41.12</v>
      </c>
      <c r="Q6256">
        <v>305</v>
      </c>
      <c r="R6256" s="34">
        <f t="shared" si="100"/>
        <v>0.71217123989526276</v>
      </c>
    </row>
    <row r="6257" spans="16:18" x14ac:dyDescent="0.3">
      <c r="P6257" s="35">
        <v>41.13</v>
      </c>
      <c r="Q6257">
        <v>305</v>
      </c>
      <c r="R6257" s="34">
        <f t="shared" si="100"/>
        <v>0.71228509620859537</v>
      </c>
    </row>
    <row r="6258" spans="16:18" x14ac:dyDescent="0.3">
      <c r="P6258" s="35">
        <v>41.14</v>
      </c>
      <c r="Q6258">
        <v>305</v>
      </c>
      <c r="R6258" s="34">
        <f t="shared" si="100"/>
        <v>0.71239895252192798</v>
      </c>
    </row>
    <row r="6259" spans="16:18" x14ac:dyDescent="0.3">
      <c r="P6259" s="35">
        <v>41.15</v>
      </c>
      <c r="Q6259">
        <v>305</v>
      </c>
      <c r="R6259" s="34">
        <f t="shared" si="100"/>
        <v>0.71251280883526058</v>
      </c>
    </row>
    <row r="6260" spans="16:18" x14ac:dyDescent="0.3">
      <c r="P6260" s="35">
        <v>41.15</v>
      </c>
      <c r="Q6260">
        <v>305</v>
      </c>
      <c r="R6260" s="34">
        <f t="shared" si="100"/>
        <v>0.71262666514859319</v>
      </c>
    </row>
    <row r="6261" spans="16:18" x14ac:dyDescent="0.3">
      <c r="P6261" s="35">
        <v>41.15</v>
      </c>
      <c r="Q6261">
        <v>305</v>
      </c>
      <c r="R6261" s="34">
        <f t="shared" si="100"/>
        <v>0.71274052146192579</v>
      </c>
    </row>
    <row r="6262" spans="16:18" x14ac:dyDescent="0.3">
      <c r="P6262" s="35">
        <v>41.17</v>
      </c>
      <c r="Q6262">
        <v>305</v>
      </c>
      <c r="R6262" s="34">
        <f t="shared" si="100"/>
        <v>0.7128543777752584</v>
      </c>
    </row>
    <row r="6263" spans="16:18" x14ac:dyDescent="0.3">
      <c r="P6263" s="35">
        <v>41.17</v>
      </c>
      <c r="Q6263">
        <v>305</v>
      </c>
      <c r="R6263" s="34">
        <f t="shared" si="100"/>
        <v>0.712968234088591</v>
      </c>
    </row>
    <row r="6264" spans="16:18" x14ac:dyDescent="0.3">
      <c r="P6264" s="35">
        <v>41.19</v>
      </c>
      <c r="Q6264">
        <v>305</v>
      </c>
      <c r="R6264" s="34">
        <f t="shared" si="100"/>
        <v>0.71308209040192361</v>
      </c>
    </row>
    <row r="6265" spans="16:18" x14ac:dyDescent="0.3">
      <c r="P6265" s="35">
        <v>41.2</v>
      </c>
      <c r="Q6265">
        <v>305</v>
      </c>
      <c r="R6265" s="34">
        <f t="shared" si="100"/>
        <v>0.71319594671525621</v>
      </c>
    </row>
    <row r="6266" spans="16:18" x14ac:dyDescent="0.3">
      <c r="P6266" s="35">
        <v>41.2</v>
      </c>
      <c r="Q6266">
        <v>305</v>
      </c>
      <c r="R6266" s="34">
        <f t="shared" si="100"/>
        <v>0.71330980302858882</v>
      </c>
    </row>
    <row r="6267" spans="16:18" x14ac:dyDescent="0.3">
      <c r="P6267" s="35">
        <v>41.21</v>
      </c>
      <c r="Q6267">
        <v>305</v>
      </c>
      <c r="R6267" s="34">
        <f t="shared" si="100"/>
        <v>0.71342365934192142</v>
      </c>
    </row>
    <row r="6268" spans="16:18" x14ac:dyDescent="0.3">
      <c r="P6268" s="35">
        <v>41.21</v>
      </c>
      <c r="Q6268">
        <v>305</v>
      </c>
      <c r="R6268" s="34">
        <f t="shared" si="100"/>
        <v>0.71353751565525403</v>
      </c>
    </row>
    <row r="6269" spans="16:18" x14ac:dyDescent="0.3">
      <c r="P6269" s="35">
        <v>41.21</v>
      </c>
      <c r="Q6269">
        <v>305</v>
      </c>
      <c r="R6269" s="34">
        <f t="shared" si="100"/>
        <v>0.71365137196858663</v>
      </c>
    </row>
    <row r="6270" spans="16:18" x14ac:dyDescent="0.3">
      <c r="P6270" s="35">
        <v>41.22</v>
      </c>
      <c r="Q6270">
        <v>305</v>
      </c>
      <c r="R6270" s="34">
        <f t="shared" si="100"/>
        <v>0.71376522828191924</v>
      </c>
    </row>
    <row r="6271" spans="16:18" x14ac:dyDescent="0.3">
      <c r="P6271" s="35">
        <v>41.22</v>
      </c>
      <c r="Q6271">
        <v>305</v>
      </c>
      <c r="R6271" s="34">
        <f t="shared" si="100"/>
        <v>0.71387908459525184</v>
      </c>
    </row>
    <row r="6272" spans="16:18" x14ac:dyDescent="0.3">
      <c r="P6272" s="35">
        <v>41.23</v>
      </c>
      <c r="Q6272">
        <v>305</v>
      </c>
      <c r="R6272" s="34">
        <f t="shared" si="100"/>
        <v>0.71399294090858445</v>
      </c>
    </row>
    <row r="6273" spans="16:18" x14ac:dyDescent="0.3">
      <c r="P6273" s="35">
        <v>41.24</v>
      </c>
      <c r="Q6273">
        <v>305</v>
      </c>
      <c r="R6273" s="34">
        <f t="shared" si="100"/>
        <v>0.71410679722191706</v>
      </c>
    </row>
    <row r="6274" spans="16:18" x14ac:dyDescent="0.3">
      <c r="P6274" s="35">
        <v>41.24</v>
      </c>
      <c r="Q6274">
        <v>305</v>
      </c>
      <c r="R6274" s="34">
        <f t="shared" si="100"/>
        <v>0.71422065353524966</v>
      </c>
    </row>
    <row r="6275" spans="16:18" x14ac:dyDescent="0.3">
      <c r="P6275" s="35">
        <v>41.24</v>
      </c>
      <c r="Q6275">
        <v>305</v>
      </c>
      <c r="R6275" s="34">
        <f t="shared" si="100"/>
        <v>0.71433450984858227</v>
      </c>
    </row>
    <row r="6276" spans="16:18" x14ac:dyDescent="0.3">
      <c r="P6276" s="35">
        <v>41.25</v>
      </c>
      <c r="Q6276">
        <v>305</v>
      </c>
      <c r="R6276" s="34">
        <f t="shared" ref="R6276:R6339" si="101">R6275+R$2</f>
        <v>0.71444836616191487</v>
      </c>
    </row>
    <row r="6277" spans="16:18" x14ac:dyDescent="0.3">
      <c r="P6277" s="35">
        <v>41.25</v>
      </c>
      <c r="Q6277">
        <v>305</v>
      </c>
      <c r="R6277" s="34">
        <f t="shared" si="101"/>
        <v>0.71456222247524748</v>
      </c>
    </row>
    <row r="6278" spans="16:18" x14ac:dyDescent="0.3">
      <c r="P6278" s="35">
        <v>41.26</v>
      </c>
      <c r="Q6278">
        <v>305</v>
      </c>
      <c r="R6278" s="34">
        <f t="shared" si="101"/>
        <v>0.71467607878858008</v>
      </c>
    </row>
    <row r="6279" spans="16:18" x14ac:dyDescent="0.3">
      <c r="P6279" s="35">
        <v>41.26</v>
      </c>
      <c r="Q6279">
        <v>305</v>
      </c>
      <c r="R6279" s="34">
        <f t="shared" si="101"/>
        <v>0.71478993510191269</v>
      </c>
    </row>
    <row r="6280" spans="16:18" x14ac:dyDescent="0.3">
      <c r="P6280" s="35">
        <v>41.27</v>
      </c>
      <c r="Q6280">
        <v>305</v>
      </c>
      <c r="R6280" s="34">
        <f t="shared" si="101"/>
        <v>0.71490379141524529</v>
      </c>
    </row>
    <row r="6281" spans="16:18" x14ac:dyDescent="0.3">
      <c r="P6281" s="35">
        <v>41.27</v>
      </c>
      <c r="Q6281">
        <v>305</v>
      </c>
      <c r="R6281" s="34">
        <f t="shared" si="101"/>
        <v>0.7150176477285779</v>
      </c>
    </row>
    <row r="6282" spans="16:18" x14ac:dyDescent="0.3">
      <c r="P6282" s="35">
        <v>41.27</v>
      </c>
      <c r="Q6282">
        <v>305</v>
      </c>
      <c r="R6282" s="34">
        <f t="shared" si="101"/>
        <v>0.7151315040419105</v>
      </c>
    </row>
    <row r="6283" spans="16:18" x14ac:dyDescent="0.3">
      <c r="P6283" s="35">
        <v>41.28</v>
      </c>
      <c r="Q6283">
        <v>305</v>
      </c>
      <c r="R6283" s="34">
        <f t="shared" si="101"/>
        <v>0.71524536035524311</v>
      </c>
    </row>
    <row r="6284" spans="16:18" x14ac:dyDescent="0.3">
      <c r="P6284" s="35">
        <v>41.28</v>
      </c>
      <c r="Q6284">
        <v>305</v>
      </c>
      <c r="R6284" s="34">
        <f t="shared" si="101"/>
        <v>0.71535921666857571</v>
      </c>
    </row>
    <row r="6285" spans="16:18" x14ac:dyDescent="0.3">
      <c r="P6285" s="35">
        <v>41.28</v>
      </c>
      <c r="Q6285">
        <v>305</v>
      </c>
      <c r="R6285" s="34">
        <f t="shared" si="101"/>
        <v>0.71547307298190832</v>
      </c>
    </row>
    <row r="6286" spans="16:18" x14ac:dyDescent="0.3">
      <c r="P6286" s="35">
        <v>41.29</v>
      </c>
      <c r="Q6286">
        <v>305</v>
      </c>
      <c r="R6286" s="34">
        <f t="shared" si="101"/>
        <v>0.71558692929524093</v>
      </c>
    </row>
    <row r="6287" spans="16:18" x14ac:dyDescent="0.3">
      <c r="P6287" s="35">
        <v>41.29</v>
      </c>
      <c r="Q6287">
        <v>305</v>
      </c>
      <c r="R6287" s="34">
        <f t="shared" si="101"/>
        <v>0.71570078560857353</v>
      </c>
    </row>
    <row r="6288" spans="16:18" x14ac:dyDescent="0.3">
      <c r="P6288" s="35">
        <v>41.29</v>
      </c>
      <c r="Q6288">
        <v>305</v>
      </c>
      <c r="R6288" s="34">
        <f t="shared" si="101"/>
        <v>0.71581464192190614</v>
      </c>
    </row>
    <row r="6289" spans="16:18" x14ac:dyDescent="0.3">
      <c r="P6289" s="35">
        <v>41.31</v>
      </c>
      <c r="Q6289">
        <v>305</v>
      </c>
      <c r="R6289" s="34">
        <f t="shared" si="101"/>
        <v>0.71592849823523874</v>
      </c>
    </row>
    <row r="6290" spans="16:18" x14ac:dyDescent="0.3">
      <c r="P6290" s="35">
        <v>41.31</v>
      </c>
      <c r="Q6290">
        <v>305</v>
      </c>
      <c r="R6290" s="34">
        <f t="shared" si="101"/>
        <v>0.71604235454857135</v>
      </c>
    </row>
    <row r="6291" spans="16:18" x14ac:dyDescent="0.3">
      <c r="P6291" s="35">
        <v>41.31</v>
      </c>
      <c r="Q6291">
        <v>305</v>
      </c>
      <c r="R6291" s="34">
        <f t="shared" si="101"/>
        <v>0.71615621086190395</v>
      </c>
    </row>
    <row r="6292" spans="16:18" x14ac:dyDescent="0.3">
      <c r="P6292" s="35">
        <v>41.32</v>
      </c>
      <c r="Q6292">
        <v>305</v>
      </c>
      <c r="R6292" s="34">
        <f t="shared" si="101"/>
        <v>0.71627006717523656</v>
      </c>
    </row>
    <row r="6293" spans="16:18" x14ac:dyDescent="0.3">
      <c r="P6293" s="35">
        <v>41.32</v>
      </c>
      <c r="Q6293">
        <v>305</v>
      </c>
      <c r="R6293" s="34">
        <f t="shared" si="101"/>
        <v>0.71638392348856916</v>
      </c>
    </row>
    <row r="6294" spans="16:18" x14ac:dyDescent="0.3">
      <c r="P6294" s="35">
        <v>41.33</v>
      </c>
      <c r="Q6294">
        <v>305</v>
      </c>
      <c r="R6294" s="34">
        <f t="shared" si="101"/>
        <v>0.71649777980190177</v>
      </c>
    </row>
    <row r="6295" spans="16:18" x14ac:dyDescent="0.3">
      <c r="P6295" s="35">
        <v>41.35</v>
      </c>
      <c r="Q6295">
        <v>305</v>
      </c>
      <c r="R6295" s="34">
        <f t="shared" si="101"/>
        <v>0.71661163611523437</v>
      </c>
    </row>
    <row r="6296" spans="16:18" x14ac:dyDescent="0.3">
      <c r="P6296" s="35">
        <v>41.35</v>
      </c>
      <c r="Q6296">
        <v>305</v>
      </c>
      <c r="R6296" s="34">
        <f t="shared" si="101"/>
        <v>0.71672549242856698</v>
      </c>
    </row>
    <row r="6297" spans="16:18" x14ac:dyDescent="0.3">
      <c r="P6297" s="35">
        <v>41.36</v>
      </c>
      <c r="Q6297">
        <v>305</v>
      </c>
      <c r="R6297" s="34">
        <f t="shared" si="101"/>
        <v>0.71683934874189958</v>
      </c>
    </row>
    <row r="6298" spans="16:18" x14ac:dyDescent="0.3">
      <c r="P6298" s="35">
        <v>41.36</v>
      </c>
      <c r="Q6298">
        <v>305</v>
      </c>
      <c r="R6298" s="34">
        <f t="shared" si="101"/>
        <v>0.71695320505523219</v>
      </c>
    </row>
    <row r="6299" spans="16:18" x14ac:dyDescent="0.3">
      <c r="P6299" s="35">
        <v>41.37</v>
      </c>
      <c r="Q6299">
        <v>305</v>
      </c>
      <c r="R6299" s="34">
        <f t="shared" si="101"/>
        <v>0.7170670613685648</v>
      </c>
    </row>
    <row r="6300" spans="16:18" x14ac:dyDescent="0.3">
      <c r="P6300" s="35">
        <v>41.38</v>
      </c>
      <c r="Q6300">
        <v>305</v>
      </c>
      <c r="R6300" s="34">
        <f t="shared" si="101"/>
        <v>0.7171809176818974</v>
      </c>
    </row>
    <row r="6301" spans="16:18" x14ac:dyDescent="0.3">
      <c r="P6301" s="35">
        <v>41.4</v>
      </c>
      <c r="Q6301">
        <v>305</v>
      </c>
      <c r="R6301" s="34">
        <f t="shared" si="101"/>
        <v>0.71729477399523001</v>
      </c>
    </row>
    <row r="6302" spans="16:18" x14ac:dyDescent="0.3">
      <c r="P6302" s="35">
        <v>41.41</v>
      </c>
      <c r="Q6302">
        <v>305</v>
      </c>
      <c r="R6302" s="34">
        <f t="shared" si="101"/>
        <v>0.71740863030856261</v>
      </c>
    </row>
    <row r="6303" spans="16:18" x14ac:dyDescent="0.3">
      <c r="P6303" s="35">
        <v>41.41</v>
      </c>
      <c r="Q6303">
        <v>305</v>
      </c>
      <c r="R6303" s="34">
        <f t="shared" si="101"/>
        <v>0.71752248662189522</v>
      </c>
    </row>
    <row r="6304" spans="16:18" x14ac:dyDescent="0.3">
      <c r="P6304" s="35">
        <v>41.42</v>
      </c>
      <c r="Q6304">
        <v>305</v>
      </c>
      <c r="R6304" s="34">
        <f t="shared" si="101"/>
        <v>0.71763634293522782</v>
      </c>
    </row>
    <row r="6305" spans="16:18" x14ac:dyDescent="0.3">
      <c r="P6305" s="35">
        <v>41.44</v>
      </c>
      <c r="Q6305">
        <v>305</v>
      </c>
      <c r="R6305" s="34">
        <f t="shared" si="101"/>
        <v>0.71775019924856043</v>
      </c>
    </row>
    <row r="6306" spans="16:18" x14ac:dyDescent="0.3">
      <c r="P6306" s="35">
        <v>41.45</v>
      </c>
      <c r="Q6306">
        <v>305</v>
      </c>
      <c r="R6306" s="34">
        <f t="shared" si="101"/>
        <v>0.71786405556189303</v>
      </c>
    </row>
    <row r="6307" spans="16:18" x14ac:dyDescent="0.3">
      <c r="P6307" s="35">
        <v>41.45</v>
      </c>
      <c r="Q6307">
        <v>305</v>
      </c>
      <c r="R6307" s="34">
        <f t="shared" si="101"/>
        <v>0.71797791187522564</v>
      </c>
    </row>
    <row r="6308" spans="16:18" x14ac:dyDescent="0.3">
      <c r="P6308" s="35">
        <v>41.45</v>
      </c>
      <c r="Q6308">
        <v>305</v>
      </c>
      <c r="R6308" s="34">
        <f t="shared" si="101"/>
        <v>0.71809176818855824</v>
      </c>
    </row>
    <row r="6309" spans="16:18" x14ac:dyDescent="0.3">
      <c r="P6309" s="35">
        <v>41.46</v>
      </c>
      <c r="Q6309">
        <v>305</v>
      </c>
      <c r="R6309" s="34">
        <f t="shared" si="101"/>
        <v>0.71820562450189085</v>
      </c>
    </row>
    <row r="6310" spans="16:18" x14ac:dyDescent="0.3">
      <c r="P6310" s="35">
        <v>41.47</v>
      </c>
      <c r="Q6310">
        <v>305</v>
      </c>
      <c r="R6310" s="34">
        <f t="shared" si="101"/>
        <v>0.71831948081522345</v>
      </c>
    </row>
    <row r="6311" spans="16:18" x14ac:dyDescent="0.3">
      <c r="P6311" s="35">
        <v>41.48</v>
      </c>
      <c r="Q6311">
        <v>305</v>
      </c>
      <c r="R6311" s="34">
        <f t="shared" si="101"/>
        <v>0.71843333712855606</v>
      </c>
    </row>
    <row r="6312" spans="16:18" x14ac:dyDescent="0.3">
      <c r="P6312" s="35">
        <v>41.48</v>
      </c>
      <c r="Q6312">
        <v>305</v>
      </c>
      <c r="R6312" s="34">
        <f t="shared" si="101"/>
        <v>0.71854719344188867</v>
      </c>
    </row>
    <row r="6313" spans="16:18" x14ac:dyDescent="0.3">
      <c r="P6313" s="35">
        <v>41.5</v>
      </c>
      <c r="Q6313">
        <v>305</v>
      </c>
      <c r="R6313" s="34">
        <f t="shared" si="101"/>
        <v>0.71866104975522127</v>
      </c>
    </row>
    <row r="6314" spans="16:18" x14ac:dyDescent="0.3">
      <c r="P6314" s="35">
        <v>41.5</v>
      </c>
      <c r="Q6314">
        <v>305</v>
      </c>
      <c r="R6314" s="34">
        <f t="shared" si="101"/>
        <v>0.71877490606855388</v>
      </c>
    </row>
    <row r="6315" spans="16:18" x14ac:dyDescent="0.3">
      <c r="P6315" s="35">
        <v>41.5</v>
      </c>
      <c r="Q6315">
        <v>305</v>
      </c>
      <c r="R6315" s="34">
        <f t="shared" si="101"/>
        <v>0.71888876238188648</v>
      </c>
    </row>
    <row r="6316" spans="16:18" x14ac:dyDescent="0.3">
      <c r="P6316" s="35">
        <v>41.53</v>
      </c>
      <c r="Q6316">
        <v>305</v>
      </c>
      <c r="R6316" s="34">
        <f t="shared" si="101"/>
        <v>0.71900261869521909</v>
      </c>
    </row>
    <row r="6317" spans="16:18" x14ac:dyDescent="0.3">
      <c r="P6317" s="35">
        <v>41.54</v>
      </c>
      <c r="Q6317">
        <v>305</v>
      </c>
      <c r="R6317" s="34">
        <f t="shared" si="101"/>
        <v>0.71911647500855169</v>
      </c>
    </row>
    <row r="6318" spans="16:18" x14ac:dyDescent="0.3">
      <c r="P6318" s="35">
        <v>41.54</v>
      </c>
      <c r="Q6318">
        <v>305</v>
      </c>
      <c r="R6318" s="34">
        <f t="shared" si="101"/>
        <v>0.7192303313218843</v>
      </c>
    </row>
    <row r="6319" spans="16:18" x14ac:dyDescent="0.3">
      <c r="P6319" s="35">
        <v>41.57</v>
      </c>
      <c r="Q6319">
        <v>305</v>
      </c>
      <c r="R6319" s="34">
        <f t="shared" si="101"/>
        <v>0.7193441876352169</v>
      </c>
    </row>
    <row r="6320" spans="16:18" x14ac:dyDescent="0.3">
      <c r="P6320" s="35">
        <v>41.57</v>
      </c>
      <c r="Q6320">
        <v>305</v>
      </c>
      <c r="R6320" s="34">
        <f t="shared" si="101"/>
        <v>0.71945804394854951</v>
      </c>
    </row>
    <row r="6321" spans="16:18" x14ac:dyDescent="0.3">
      <c r="P6321" s="35">
        <v>41.57</v>
      </c>
      <c r="Q6321">
        <v>305</v>
      </c>
      <c r="R6321" s="34">
        <f t="shared" si="101"/>
        <v>0.71957190026188211</v>
      </c>
    </row>
    <row r="6322" spans="16:18" x14ac:dyDescent="0.3">
      <c r="P6322" s="35">
        <v>41.57</v>
      </c>
      <c r="Q6322">
        <v>305</v>
      </c>
      <c r="R6322" s="34">
        <f t="shared" si="101"/>
        <v>0.71968575657521472</v>
      </c>
    </row>
    <row r="6323" spans="16:18" x14ac:dyDescent="0.3">
      <c r="P6323" s="35">
        <v>41.58</v>
      </c>
      <c r="Q6323">
        <v>305</v>
      </c>
      <c r="R6323" s="34">
        <f t="shared" si="101"/>
        <v>0.71979961288854732</v>
      </c>
    </row>
    <row r="6324" spans="16:18" x14ac:dyDescent="0.3">
      <c r="P6324" s="35">
        <v>41.59</v>
      </c>
      <c r="Q6324">
        <v>305</v>
      </c>
      <c r="R6324" s="34">
        <f t="shared" si="101"/>
        <v>0.71991346920187993</v>
      </c>
    </row>
    <row r="6325" spans="16:18" x14ac:dyDescent="0.3">
      <c r="P6325" s="35">
        <v>41.61</v>
      </c>
      <c r="Q6325">
        <v>305</v>
      </c>
      <c r="R6325" s="34">
        <f t="shared" si="101"/>
        <v>0.72002732551521254</v>
      </c>
    </row>
    <row r="6326" spans="16:18" x14ac:dyDescent="0.3">
      <c r="P6326" s="35">
        <v>41.62</v>
      </c>
      <c r="Q6326">
        <v>305</v>
      </c>
      <c r="R6326" s="34">
        <f t="shared" si="101"/>
        <v>0.72014118182854514</v>
      </c>
    </row>
    <row r="6327" spans="16:18" x14ac:dyDescent="0.3">
      <c r="P6327" s="35">
        <v>41.62</v>
      </c>
      <c r="Q6327">
        <v>305</v>
      </c>
      <c r="R6327" s="34">
        <f t="shared" si="101"/>
        <v>0.72025503814187775</v>
      </c>
    </row>
    <row r="6328" spans="16:18" x14ac:dyDescent="0.3">
      <c r="P6328" s="35">
        <v>41.63</v>
      </c>
      <c r="Q6328">
        <v>305</v>
      </c>
      <c r="R6328" s="34">
        <f t="shared" si="101"/>
        <v>0.72036889445521035</v>
      </c>
    </row>
    <row r="6329" spans="16:18" x14ac:dyDescent="0.3">
      <c r="P6329" s="35">
        <v>41.63</v>
      </c>
      <c r="Q6329">
        <v>305</v>
      </c>
      <c r="R6329" s="34">
        <f t="shared" si="101"/>
        <v>0.72048275076854296</v>
      </c>
    </row>
    <row r="6330" spans="16:18" x14ac:dyDescent="0.3">
      <c r="P6330" s="35">
        <v>41.64</v>
      </c>
      <c r="Q6330">
        <v>305</v>
      </c>
      <c r="R6330" s="34">
        <f t="shared" si="101"/>
        <v>0.72059660708187556</v>
      </c>
    </row>
    <row r="6331" spans="16:18" x14ac:dyDescent="0.3">
      <c r="P6331" s="35">
        <v>41.64</v>
      </c>
      <c r="Q6331">
        <v>305</v>
      </c>
      <c r="R6331" s="34">
        <f t="shared" si="101"/>
        <v>0.72071046339520817</v>
      </c>
    </row>
    <row r="6332" spans="16:18" x14ac:dyDescent="0.3">
      <c r="P6332" s="35">
        <v>41.65</v>
      </c>
      <c r="Q6332">
        <v>305</v>
      </c>
      <c r="R6332" s="34">
        <f t="shared" si="101"/>
        <v>0.72082431970854077</v>
      </c>
    </row>
    <row r="6333" spans="16:18" x14ac:dyDescent="0.3">
      <c r="P6333" s="35">
        <v>41.67</v>
      </c>
      <c r="Q6333">
        <v>305</v>
      </c>
      <c r="R6333" s="34">
        <f t="shared" si="101"/>
        <v>0.72093817602187338</v>
      </c>
    </row>
    <row r="6334" spans="16:18" x14ac:dyDescent="0.3">
      <c r="P6334" s="35">
        <v>41.69</v>
      </c>
      <c r="Q6334">
        <v>305</v>
      </c>
      <c r="R6334" s="34">
        <f t="shared" si="101"/>
        <v>0.72105203233520598</v>
      </c>
    </row>
    <row r="6335" spans="16:18" x14ac:dyDescent="0.3">
      <c r="P6335" s="35">
        <v>41.7</v>
      </c>
      <c r="Q6335">
        <v>305</v>
      </c>
      <c r="R6335" s="34">
        <f t="shared" si="101"/>
        <v>0.72116588864853859</v>
      </c>
    </row>
    <row r="6336" spans="16:18" x14ac:dyDescent="0.3">
      <c r="P6336" s="35">
        <v>41.7</v>
      </c>
      <c r="Q6336">
        <v>305</v>
      </c>
      <c r="R6336" s="34">
        <f t="shared" si="101"/>
        <v>0.72127974496187119</v>
      </c>
    </row>
    <row r="6337" spans="16:18" x14ac:dyDescent="0.3">
      <c r="P6337" s="35">
        <v>41.7</v>
      </c>
      <c r="Q6337">
        <v>305</v>
      </c>
      <c r="R6337" s="34">
        <f t="shared" si="101"/>
        <v>0.7213936012752038</v>
      </c>
    </row>
    <row r="6338" spans="16:18" x14ac:dyDescent="0.3">
      <c r="P6338" s="35">
        <v>41.7</v>
      </c>
      <c r="Q6338">
        <v>305</v>
      </c>
      <c r="R6338" s="34">
        <f t="shared" si="101"/>
        <v>0.7215074575885364</v>
      </c>
    </row>
    <row r="6339" spans="16:18" x14ac:dyDescent="0.3">
      <c r="P6339" s="35">
        <v>41.7</v>
      </c>
      <c r="Q6339">
        <v>305</v>
      </c>
      <c r="R6339" s="34">
        <f t="shared" si="101"/>
        <v>0.72162131390186901</v>
      </c>
    </row>
    <row r="6340" spans="16:18" x14ac:dyDescent="0.3">
      <c r="P6340" s="35">
        <v>41.71</v>
      </c>
      <c r="Q6340">
        <v>305</v>
      </c>
      <c r="R6340" s="34">
        <f t="shared" ref="R6340:R6403" si="102">R6339+R$2</f>
        <v>0.72173517021520162</v>
      </c>
    </row>
    <row r="6341" spans="16:18" x14ac:dyDescent="0.3">
      <c r="P6341" s="35">
        <v>41.71</v>
      </c>
      <c r="Q6341">
        <v>305</v>
      </c>
      <c r="R6341" s="34">
        <f t="shared" si="102"/>
        <v>0.72184902652853422</v>
      </c>
    </row>
    <row r="6342" spans="16:18" x14ac:dyDescent="0.3">
      <c r="P6342" s="35">
        <v>41.73</v>
      </c>
      <c r="Q6342">
        <v>305</v>
      </c>
      <c r="R6342" s="34">
        <f t="shared" si="102"/>
        <v>0.72196288284186683</v>
      </c>
    </row>
    <row r="6343" spans="16:18" x14ac:dyDescent="0.3">
      <c r="P6343" s="35">
        <v>41.73</v>
      </c>
      <c r="Q6343">
        <v>305</v>
      </c>
      <c r="R6343" s="34">
        <f t="shared" si="102"/>
        <v>0.72207673915519943</v>
      </c>
    </row>
    <row r="6344" spans="16:18" x14ac:dyDescent="0.3">
      <c r="P6344" s="35">
        <v>41.74</v>
      </c>
      <c r="Q6344">
        <v>305</v>
      </c>
      <c r="R6344" s="34">
        <f t="shared" si="102"/>
        <v>0.72219059546853204</v>
      </c>
    </row>
    <row r="6345" spans="16:18" x14ac:dyDescent="0.3">
      <c r="P6345" s="35">
        <v>41.74</v>
      </c>
      <c r="Q6345">
        <v>305</v>
      </c>
      <c r="R6345" s="34">
        <f t="shared" si="102"/>
        <v>0.72230445178186464</v>
      </c>
    </row>
    <row r="6346" spans="16:18" x14ac:dyDescent="0.3">
      <c r="P6346" s="35">
        <v>41.75</v>
      </c>
      <c r="Q6346">
        <v>305</v>
      </c>
      <c r="R6346" s="34">
        <f t="shared" si="102"/>
        <v>0.72241830809519725</v>
      </c>
    </row>
    <row r="6347" spans="16:18" x14ac:dyDescent="0.3">
      <c r="P6347" s="35">
        <v>41.75</v>
      </c>
      <c r="Q6347">
        <v>305</v>
      </c>
      <c r="R6347" s="34">
        <f t="shared" si="102"/>
        <v>0.72253216440852985</v>
      </c>
    </row>
    <row r="6348" spans="16:18" x14ac:dyDescent="0.3">
      <c r="P6348" s="35">
        <v>41.76</v>
      </c>
      <c r="Q6348">
        <v>305</v>
      </c>
      <c r="R6348" s="34">
        <f t="shared" si="102"/>
        <v>0.72264602072186246</v>
      </c>
    </row>
    <row r="6349" spans="16:18" x14ac:dyDescent="0.3">
      <c r="P6349" s="35">
        <v>41.77</v>
      </c>
      <c r="Q6349">
        <v>305</v>
      </c>
      <c r="R6349" s="34">
        <f t="shared" si="102"/>
        <v>0.72275987703519506</v>
      </c>
    </row>
    <row r="6350" spans="16:18" x14ac:dyDescent="0.3">
      <c r="P6350" s="35">
        <v>41.79</v>
      </c>
      <c r="Q6350">
        <v>305</v>
      </c>
      <c r="R6350" s="34">
        <f t="shared" si="102"/>
        <v>0.72287373334852767</v>
      </c>
    </row>
    <row r="6351" spans="16:18" x14ac:dyDescent="0.3">
      <c r="P6351" s="35">
        <v>41.8</v>
      </c>
      <c r="Q6351">
        <v>305</v>
      </c>
      <c r="R6351" s="34">
        <f t="shared" si="102"/>
        <v>0.72298758966186027</v>
      </c>
    </row>
    <row r="6352" spans="16:18" x14ac:dyDescent="0.3">
      <c r="P6352" s="35">
        <v>41.83</v>
      </c>
      <c r="Q6352">
        <v>305</v>
      </c>
      <c r="R6352" s="34">
        <f t="shared" si="102"/>
        <v>0.72310144597519288</v>
      </c>
    </row>
    <row r="6353" spans="16:18" x14ac:dyDescent="0.3">
      <c r="P6353" s="35">
        <v>41.84</v>
      </c>
      <c r="Q6353">
        <v>305</v>
      </c>
      <c r="R6353" s="34">
        <f t="shared" si="102"/>
        <v>0.72321530228852549</v>
      </c>
    </row>
    <row r="6354" spans="16:18" x14ac:dyDescent="0.3">
      <c r="P6354" s="35">
        <v>41.84</v>
      </c>
      <c r="Q6354">
        <v>305</v>
      </c>
      <c r="R6354" s="34">
        <f t="shared" si="102"/>
        <v>0.72332915860185809</v>
      </c>
    </row>
    <row r="6355" spans="16:18" x14ac:dyDescent="0.3">
      <c r="P6355" s="35">
        <v>41.85</v>
      </c>
      <c r="Q6355">
        <v>305</v>
      </c>
      <c r="R6355" s="34">
        <f t="shared" si="102"/>
        <v>0.7234430149151907</v>
      </c>
    </row>
    <row r="6356" spans="16:18" x14ac:dyDescent="0.3">
      <c r="P6356" s="35">
        <v>41.86</v>
      </c>
      <c r="Q6356">
        <v>305</v>
      </c>
      <c r="R6356" s="34">
        <f t="shared" si="102"/>
        <v>0.7235568712285233</v>
      </c>
    </row>
    <row r="6357" spans="16:18" x14ac:dyDescent="0.3">
      <c r="P6357" s="35">
        <v>41.87</v>
      </c>
      <c r="Q6357">
        <v>305</v>
      </c>
      <c r="R6357" s="34">
        <f t="shared" si="102"/>
        <v>0.72367072754185591</v>
      </c>
    </row>
    <row r="6358" spans="16:18" x14ac:dyDescent="0.3">
      <c r="P6358" s="35">
        <v>41.88</v>
      </c>
      <c r="Q6358">
        <v>305</v>
      </c>
      <c r="R6358" s="34">
        <f t="shared" si="102"/>
        <v>0.72378458385518851</v>
      </c>
    </row>
    <row r="6359" spans="16:18" x14ac:dyDescent="0.3">
      <c r="P6359" s="35">
        <v>41.88</v>
      </c>
      <c r="Q6359">
        <v>305</v>
      </c>
      <c r="R6359" s="34">
        <f t="shared" si="102"/>
        <v>0.72389844016852112</v>
      </c>
    </row>
    <row r="6360" spans="16:18" x14ac:dyDescent="0.3">
      <c r="P6360" s="35">
        <v>41.88</v>
      </c>
      <c r="Q6360">
        <v>305</v>
      </c>
      <c r="R6360" s="34">
        <f t="shared" si="102"/>
        <v>0.72401229648185372</v>
      </c>
    </row>
    <row r="6361" spans="16:18" x14ac:dyDescent="0.3">
      <c r="P6361" s="35">
        <v>41.9</v>
      </c>
      <c r="Q6361">
        <v>305</v>
      </c>
      <c r="R6361" s="34">
        <f t="shared" si="102"/>
        <v>0.72412615279518633</v>
      </c>
    </row>
    <row r="6362" spans="16:18" x14ac:dyDescent="0.3">
      <c r="P6362" s="35">
        <v>41.9</v>
      </c>
      <c r="Q6362">
        <v>305</v>
      </c>
      <c r="R6362" s="34">
        <f t="shared" si="102"/>
        <v>0.72424000910851893</v>
      </c>
    </row>
    <row r="6363" spans="16:18" x14ac:dyDescent="0.3">
      <c r="P6363" s="35">
        <v>41.91</v>
      </c>
      <c r="Q6363">
        <v>305</v>
      </c>
      <c r="R6363" s="34">
        <f t="shared" si="102"/>
        <v>0.72435386542185154</v>
      </c>
    </row>
    <row r="6364" spans="16:18" x14ac:dyDescent="0.3">
      <c r="P6364" s="35">
        <v>41.92</v>
      </c>
      <c r="Q6364">
        <v>305</v>
      </c>
      <c r="R6364" s="34">
        <f t="shared" si="102"/>
        <v>0.72446772173518414</v>
      </c>
    </row>
    <row r="6365" spans="16:18" x14ac:dyDescent="0.3">
      <c r="P6365" s="35">
        <v>41.92</v>
      </c>
      <c r="Q6365">
        <v>305</v>
      </c>
      <c r="R6365" s="34">
        <f t="shared" si="102"/>
        <v>0.72458157804851675</v>
      </c>
    </row>
    <row r="6366" spans="16:18" x14ac:dyDescent="0.3">
      <c r="P6366" s="35">
        <v>41.92</v>
      </c>
      <c r="Q6366">
        <v>305</v>
      </c>
      <c r="R6366" s="34">
        <f t="shared" si="102"/>
        <v>0.72469543436184936</v>
      </c>
    </row>
    <row r="6367" spans="16:18" x14ac:dyDescent="0.3">
      <c r="P6367" s="35">
        <v>41.92</v>
      </c>
      <c r="Q6367">
        <v>305</v>
      </c>
      <c r="R6367" s="34">
        <f t="shared" si="102"/>
        <v>0.72480929067518196</v>
      </c>
    </row>
    <row r="6368" spans="16:18" x14ac:dyDescent="0.3">
      <c r="P6368" s="35">
        <v>41.93</v>
      </c>
      <c r="Q6368">
        <v>305</v>
      </c>
      <c r="R6368" s="34">
        <f t="shared" si="102"/>
        <v>0.72492314698851457</v>
      </c>
    </row>
    <row r="6369" spans="16:18" x14ac:dyDescent="0.3">
      <c r="P6369" s="35">
        <v>41.93</v>
      </c>
      <c r="Q6369">
        <v>305</v>
      </c>
      <c r="R6369" s="34">
        <f t="shared" si="102"/>
        <v>0.72503700330184717</v>
      </c>
    </row>
    <row r="6370" spans="16:18" x14ac:dyDescent="0.3">
      <c r="P6370" s="35">
        <v>41.94</v>
      </c>
      <c r="Q6370">
        <v>305</v>
      </c>
      <c r="R6370" s="34">
        <f t="shared" si="102"/>
        <v>0.72515085961517978</v>
      </c>
    </row>
    <row r="6371" spans="16:18" x14ac:dyDescent="0.3">
      <c r="P6371" s="35">
        <v>41.94</v>
      </c>
      <c r="Q6371">
        <v>305</v>
      </c>
      <c r="R6371" s="34">
        <f t="shared" si="102"/>
        <v>0.72526471592851238</v>
      </c>
    </row>
    <row r="6372" spans="16:18" x14ac:dyDescent="0.3">
      <c r="P6372" s="35">
        <v>41.96</v>
      </c>
      <c r="Q6372">
        <v>305</v>
      </c>
      <c r="R6372" s="34">
        <f t="shared" si="102"/>
        <v>0.72537857224184499</v>
      </c>
    </row>
    <row r="6373" spans="16:18" x14ac:dyDescent="0.3">
      <c r="P6373" s="35">
        <v>41.96</v>
      </c>
      <c r="Q6373">
        <v>305</v>
      </c>
      <c r="R6373" s="34">
        <f t="shared" si="102"/>
        <v>0.72549242855517759</v>
      </c>
    </row>
    <row r="6374" spans="16:18" x14ac:dyDescent="0.3">
      <c r="P6374" s="35">
        <v>41.97</v>
      </c>
      <c r="Q6374">
        <v>305</v>
      </c>
      <c r="R6374" s="34">
        <f t="shared" si="102"/>
        <v>0.7256062848685102</v>
      </c>
    </row>
    <row r="6375" spans="16:18" x14ac:dyDescent="0.3">
      <c r="P6375" s="35">
        <v>41.98</v>
      </c>
      <c r="Q6375">
        <v>305</v>
      </c>
      <c r="R6375" s="34">
        <f t="shared" si="102"/>
        <v>0.7257201411818428</v>
      </c>
    </row>
    <row r="6376" spans="16:18" x14ac:dyDescent="0.3">
      <c r="P6376" s="35">
        <v>41.98</v>
      </c>
      <c r="Q6376">
        <v>305</v>
      </c>
      <c r="R6376" s="34">
        <f t="shared" si="102"/>
        <v>0.72583399749517541</v>
      </c>
    </row>
    <row r="6377" spans="16:18" x14ac:dyDescent="0.3">
      <c r="P6377" s="35">
        <v>41.99</v>
      </c>
      <c r="Q6377">
        <v>305</v>
      </c>
      <c r="R6377" s="34">
        <f t="shared" si="102"/>
        <v>0.72594785380850801</v>
      </c>
    </row>
    <row r="6378" spans="16:18" x14ac:dyDescent="0.3">
      <c r="P6378" s="35">
        <v>41.99</v>
      </c>
      <c r="Q6378">
        <v>305</v>
      </c>
      <c r="R6378" s="34">
        <f t="shared" si="102"/>
        <v>0.72606171012184062</v>
      </c>
    </row>
    <row r="6379" spans="16:18" x14ac:dyDescent="0.3">
      <c r="P6379" s="35">
        <v>42.01</v>
      </c>
      <c r="Q6379">
        <v>305</v>
      </c>
      <c r="R6379" s="34">
        <f t="shared" si="102"/>
        <v>0.72617556643517323</v>
      </c>
    </row>
    <row r="6380" spans="16:18" x14ac:dyDescent="0.3">
      <c r="P6380" s="35">
        <v>42.02</v>
      </c>
      <c r="Q6380">
        <v>305</v>
      </c>
      <c r="R6380" s="34">
        <f t="shared" si="102"/>
        <v>0.72628942274850583</v>
      </c>
    </row>
    <row r="6381" spans="16:18" x14ac:dyDescent="0.3">
      <c r="P6381" s="35">
        <v>42.02</v>
      </c>
      <c r="Q6381">
        <v>305</v>
      </c>
      <c r="R6381" s="34">
        <f t="shared" si="102"/>
        <v>0.72640327906183844</v>
      </c>
    </row>
    <row r="6382" spans="16:18" x14ac:dyDescent="0.3">
      <c r="P6382" s="35">
        <v>42.02</v>
      </c>
      <c r="Q6382">
        <v>305</v>
      </c>
      <c r="R6382" s="34">
        <f t="shared" si="102"/>
        <v>0.72651713537517104</v>
      </c>
    </row>
    <row r="6383" spans="16:18" x14ac:dyDescent="0.3">
      <c r="P6383" s="35">
        <v>42.02</v>
      </c>
      <c r="Q6383">
        <v>305</v>
      </c>
      <c r="R6383" s="34">
        <f t="shared" si="102"/>
        <v>0.72663099168850365</v>
      </c>
    </row>
    <row r="6384" spans="16:18" x14ac:dyDescent="0.3">
      <c r="P6384" s="35">
        <v>42.03</v>
      </c>
      <c r="Q6384">
        <v>305</v>
      </c>
      <c r="R6384" s="34">
        <f t="shared" si="102"/>
        <v>0.72674484800183625</v>
      </c>
    </row>
    <row r="6385" spans="16:18" x14ac:dyDescent="0.3">
      <c r="P6385" s="35">
        <v>42.03</v>
      </c>
      <c r="Q6385">
        <v>305</v>
      </c>
      <c r="R6385" s="34">
        <f t="shared" si="102"/>
        <v>0.72685870431516886</v>
      </c>
    </row>
    <row r="6386" spans="16:18" x14ac:dyDescent="0.3">
      <c r="P6386" s="35">
        <v>42.04</v>
      </c>
      <c r="Q6386">
        <v>305</v>
      </c>
      <c r="R6386" s="34">
        <f t="shared" si="102"/>
        <v>0.72697256062850146</v>
      </c>
    </row>
    <row r="6387" spans="16:18" x14ac:dyDescent="0.3">
      <c r="P6387" s="35">
        <v>42.04</v>
      </c>
      <c r="Q6387">
        <v>305</v>
      </c>
      <c r="R6387" s="34">
        <f t="shared" si="102"/>
        <v>0.72708641694183407</v>
      </c>
    </row>
    <row r="6388" spans="16:18" x14ac:dyDescent="0.3">
      <c r="P6388" s="35">
        <v>42.05</v>
      </c>
      <c r="Q6388">
        <v>305</v>
      </c>
      <c r="R6388" s="34">
        <f t="shared" si="102"/>
        <v>0.72720027325516667</v>
      </c>
    </row>
    <row r="6389" spans="16:18" x14ac:dyDescent="0.3">
      <c r="P6389" s="35">
        <v>42.08</v>
      </c>
      <c r="Q6389">
        <v>305</v>
      </c>
      <c r="R6389" s="34">
        <f t="shared" si="102"/>
        <v>0.72731412956849928</v>
      </c>
    </row>
    <row r="6390" spans="16:18" x14ac:dyDescent="0.3">
      <c r="P6390" s="35">
        <v>42.09</v>
      </c>
      <c r="Q6390">
        <v>305</v>
      </c>
      <c r="R6390" s="34">
        <f t="shared" si="102"/>
        <v>0.72742798588183188</v>
      </c>
    </row>
    <row r="6391" spans="16:18" x14ac:dyDescent="0.3">
      <c r="P6391" s="35">
        <v>42.1</v>
      </c>
      <c r="Q6391">
        <v>305</v>
      </c>
      <c r="R6391" s="34">
        <f t="shared" si="102"/>
        <v>0.72754184219516449</v>
      </c>
    </row>
    <row r="6392" spans="16:18" x14ac:dyDescent="0.3">
      <c r="P6392" s="35">
        <v>42.11</v>
      </c>
      <c r="Q6392">
        <v>305</v>
      </c>
      <c r="R6392" s="34">
        <f t="shared" si="102"/>
        <v>0.7276556985084971</v>
      </c>
    </row>
    <row r="6393" spans="16:18" x14ac:dyDescent="0.3">
      <c r="P6393" s="35">
        <v>42.13</v>
      </c>
      <c r="Q6393">
        <v>305</v>
      </c>
      <c r="R6393" s="34">
        <f t="shared" si="102"/>
        <v>0.7277695548218297</v>
      </c>
    </row>
    <row r="6394" spans="16:18" x14ac:dyDescent="0.3">
      <c r="P6394" s="35">
        <v>42.14</v>
      </c>
      <c r="Q6394">
        <v>305</v>
      </c>
      <c r="R6394" s="34">
        <f t="shared" si="102"/>
        <v>0.72788341113516231</v>
      </c>
    </row>
    <row r="6395" spans="16:18" x14ac:dyDescent="0.3">
      <c r="P6395" s="35">
        <v>42.14</v>
      </c>
      <c r="Q6395">
        <v>305</v>
      </c>
      <c r="R6395" s="34">
        <f t="shared" si="102"/>
        <v>0.72799726744849491</v>
      </c>
    </row>
    <row r="6396" spans="16:18" x14ac:dyDescent="0.3">
      <c r="P6396" s="35">
        <v>42.15</v>
      </c>
      <c r="Q6396">
        <v>305</v>
      </c>
      <c r="R6396" s="34">
        <f t="shared" si="102"/>
        <v>0.72811112376182752</v>
      </c>
    </row>
    <row r="6397" spans="16:18" x14ac:dyDescent="0.3">
      <c r="P6397" s="35">
        <v>42.15</v>
      </c>
      <c r="Q6397">
        <v>305</v>
      </c>
      <c r="R6397" s="34">
        <f t="shared" si="102"/>
        <v>0.72822498007516012</v>
      </c>
    </row>
    <row r="6398" spans="16:18" x14ac:dyDescent="0.3">
      <c r="P6398" s="35">
        <v>42.15</v>
      </c>
      <c r="Q6398">
        <v>305</v>
      </c>
      <c r="R6398" s="34">
        <f t="shared" si="102"/>
        <v>0.72833883638849273</v>
      </c>
    </row>
    <row r="6399" spans="16:18" x14ac:dyDescent="0.3">
      <c r="P6399" s="35">
        <v>42.17</v>
      </c>
      <c r="Q6399">
        <v>305</v>
      </c>
      <c r="R6399" s="34">
        <f t="shared" si="102"/>
        <v>0.72845269270182533</v>
      </c>
    </row>
    <row r="6400" spans="16:18" x14ac:dyDescent="0.3">
      <c r="P6400" s="35">
        <v>42.18</v>
      </c>
      <c r="Q6400">
        <v>305</v>
      </c>
      <c r="R6400" s="34">
        <f t="shared" si="102"/>
        <v>0.72856654901515794</v>
      </c>
    </row>
    <row r="6401" spans="16:18" x14ac:dyDescent="0.3">
      <c r="P6401" s="35">
        <v>42.18</v>
      </c>
      <c r="Q6401">
        <v>305</v>
      </c>
      <c r="R6401" s="34">
        <f t="shared" si="102"/>
        <v>0.72868040532849054</v>
      </c>
    </row>
    <row r="6402" spans="16:18" x14ac:dyDescent="0.3">
      <c r="P6402" s="35">
        <v>42.19</v>
      </c>
      <c r="Q6402">
        <v>305</v>
      </c>
      <c r="R6402" s="34">
        <f t="shared" si="102"/>
        <v>0.72879426164182315</v>
      </c>
    </row>
    <row r="6403" spans="16:18" x14ac:dyDescent="0.3">
      <c r="P6403" s="35">
        <v>42.19</v>
      </c>
      <c r="Q6403">
        <v>305</v>
      </c>
      <c r="R6403" s="34">
        <f t="shared" si="102"/>
        <v>0.72890811795515575</v>
      </c>
    </row>
    <row r="6404" spans="16:18" x14ac:dyDescent="0.3">
      <c r="P6404" s="35">
        <v>42.19</v>
      </c>
      <c r="Q6404">
        <v>305</v>
      </c>
      <c r="R6404" s="34">
        <f t="shared" ref="R6404:R6467" si="103">R6403+R$2</f>
        <v>0.72902197426848836</v>
      </c>
    </row>
    <row r="6405" spans="16:18" x14ac:dyDescent="0.3">
      <c r="P6405" s="35">
        <v>42.2</v>
      </c>
      <c r="Q6405">
        <v>305</v>
      </c>
      <c r="R6405" s="34">
        <f t="shared" si="103"/>
        <v>0.72913583058182097</v>
      </c>
    </row>
    <row r="6406" spans="16:18" x14ac:dyDescent="0.3">
      <c r="P6406" s="35">
        <v>42.2</v>
      </c>
      <c r="Q6406">
        <v>305</v>
      </c>
      <c r="R6406" s="34">
        <f t="shared" si="103"/>
        <v>0.72924968689515357</v>
      </c>
    </row>
    <row r="6407" spans="16:18" x14ac:dyDescent="0.3">
      <c r="P6407" s="35">
        <v>42.2</v>
      </c>
      <c r="Q6407">
        <v>305</v>
      </c>
      <c r="R6407" s="34">
        <f t="shared" si="103"/>
        <v>0.72936354320848618</v>
      </c>
    </row>
    <row r="6408" spans="16:18" x14ac:dyDescent="0.3">
      <c r="P6408" s="35">
        <v>42.2</v>
      </c>
      <c r="Q6408">
        <v>305</v>
      </c>
      <c r="R6408" s="34">
        <f t="shared" si="103"/>
        <v>0.72947739952181878</v>
      </c>
    </row>
    <row r="6409" spans="16:18" x14ac:dyDescent="0.3">
      <c r="P6409" s="35">
        <v>42.22</v>
      </c>
      <c r="Q6409">
        <v>305</v>
      </c>
      <c r="R6409" s="34">
        <f t="shared" si="103"/>
        <v>0.72959125583515139</v>
      </c>
    </row>
    <row r="6410" spans="16:18" x14ac:dyDescent="0.3">
      <c r="P6410" s="35">
        <v>42.24</v>
      </c>
      <c r="Q6410">
        <v>305</v>
      </c>
      <c r="R6410" s="34">
        <f t="shared" si="103"/>
        <v>0.72970511214848399</v>
      </c>
    </row>
    <row r="6411" spans="16:18" x14ac:dyDescent="0.3">
      <c r="P6411" s="35">
        <v>42.25</v>
      </c>
      <c r="Q6411">
        <v>305</v>
      </c>
      <c r="R6411" s="34">
        <f t="shared" si="103"/>
        <v>0.7298189684618166</v>
      </c>
    </row>
    <row r="6412" spans="16:18" x14ac:dyDescent="0.3">
      <c r="P6412" s="35">
        <v>42.25</v>
      </c>
      <c r="Q6412">
        <v>305</v>
      </c>
      <c r="R6412" s="34">
        <f t="shared" si="103"/>
        <v>0.7299328247751492</v>
      </c>
    </row>
    <row r="6413" spans="16:18" x14ac:dyDescent="0.3">
      <c r="P6413" s="35">
        <v>42.27</v>
      </c>
      <c r="Q6413">
        <v>305</v>
      </c>
      <c r="R6413" s="34">
        <f t="shared" si="103"/>
        <v>0.73004668108848181</v>
      </c>
    </row>
    <row r="6414" spans="16:18" x14ac:dyDescent="0.3">
      <c r="P6414" s="35">
        <v>42.28</v>
      </c>
      <c r="Q6414">
        <v>305</v>
      </c>
      <c r="R6414" s="34">
        <f t="shared" si="103"/>
        <v>0.73016053740181441</v>
      </c>
    </row>
    <row r="6415" spans="16:18" x14ac:dyDescent="0.3">
      <c r="P6415" s="35">
        <v>42.28</v>
      </c>
      <c r="Q6415">
        <v>305</v>
      </c>
      <c r="R6415" s="34">
        <f t="shared" si="103"/>
        <v>0.73027439371514702</v>
      </c>
    </row>
    <row r="6416" spans="16:18" x14ac:dyDescent="0.3">
      <c r="P6416" s="35">
        <v>42.29</v>
      </c>
      <c r="Q6416">
        <v>305</v>
      </c>
      <c r="R6416" s="34">
        <f t="shared" si="103"/>
        <v>0.73038825002847962</v>
      </c>
    </row>
    <row r="6417" spans="16:18" x14ac:dyDescent="0.3">
      <c r="P6417" s="35">
        <v>42.3</v>
      </c>
      <c r="Q6417">
        <v>305</v>
      </c>
      <c r="R6417" s="34">
        <f t="shared" si="103"/>
        <v>0.73050210634181223</v>
      </c>
    </row>
    <row r="6418" spans="16:18" x14ac:dyDescent="0.3">
      <c r="P6418" s="35">
        <v>42.3</v>
      </c>
      <c r="Q6418">
        <v>305</v>
      </c>
      <c r="R6418" s="34">
        <f t="shared" si="103"/>
        <v>0.73061596265514483</v>
      </c>
    </row>
    <row r="6419" spans="16:18" x14ac:dyDescent="0.3">
      <c r="P6419" s="35">
        <v>42.31</v>
      </c>
      <c r="Q6419">
        <v>305</v>
      </c>
      <c r="R6419" s="34">
        <f t="shared" si="103"/>
        <v>0.73072981896847744</v>
      </c>
    </row>
    <row r="6420" spans="16:18" x14ac:dyDescent="0.3">
      <c r="P6420" s="35">
        <v>42.31</v>
      </c>
      <c r="Q6420">
        <v>305</v>
      </c>
      <c r="R6420" s="34">
        <f t="shared" si="103"/>
        <v>0.73084367528181005</v>
      </c>
    </row>
    <row r="6421" spans="16:18" x14ac:dyDescent="0.3">
      <c r="P6421" s="35">
        <v>42.31</v>
      </c>
      <c r="Q6421">
        <v>305</v>
      </c>
      <c r="R6421" s="34">
        <f t="shared" si="103"/>
        <v>0.73095753159514265</v>
      </c>
    </row>
    <row r="6422" spans="16:18" x14ac:dyDescent="0.3">
      <c r="P6422" s="35">
        <v>42.33</v>
      </c>
      <c r="Q6422">
        <v>305</v>
      </c>
      <c r="R6422" s="34">
        <f t="shared" si="103"/>
        <v>0.73107138790847526</v>
      </c>
    </row>
    <row r="6423" spans="16:18" x14ac:dyDescent="0.3">
      <c r="P6423" s="35">
        <v>42.34</v>
      </c>
      <c r="Q6423">
        <v>305</v>
      </c>
      <c r="R6423" s="34">
        <f t="shared" si="103"/>
        <v>0.73118524422180786</v>
      </c>
    </row>
    <row r="6424" spans="16:18" x14ac:dyDescent="0.3">
      <c r="P6424" s="35">
        <v>42.36</v>
      </c>
      <c r="Q6424">
        <v>305</v>
      </c>
      <c r="R6424" s="34">
        <f t="shared" si="103"/>
        <v>0.73129910053514047</v>
      </c>
    </row>
    <row r="6425" spans="16:18" x14ac:dyDescent="0.3">
      <c r="P6425" s="35">
        <v>42.4</v>
      </c>
      <c r="Q6425">
        <v>305</v>
      </c>
      <c r="R6425" s="34">
        <f t="shared" si="103"/>
        <v>0.73141295684847307</v>
      </c>
    </row>
    <row r="6426" spans="16:18" x14ac:dyDescent="0.3">
      <c r="P6426" s="35">
        <v>42.41</v>
      </c>
      <c r="Q6426">
        <v>305</v>
      </c>
      <c r="R6426" s="34">
        <f t="shared" si="103"/>
        <v>0.73152681316180568</v>
      </c>
    </row>
    <row r="6427" spans="16:18" x14ac:dyDescent="0.3">
      <c r="P6427" s="35">
        <v>42.41</v>
      </c>
      <c r="Q6427">
        <v>305</v>
      </c>
      <c r="R6427" s="34">
        <f t="shared" si="103"/>
        <v>0.73164066947513828</v>
      </c>
    </row>
    <row r="6428" spans="16:18" x14ac:dyDescent="0.3">
      <c r="P6428" s="35">
        <v>42.41</v>
      </c>
      <c r="Q6428">
        <v>305</v>
      </c>
      <c r="R6428" s="34">
        <f t="shared" si="103"/>
        <v>0.73175452578847089</v>
      </c>
    </row>
    <row r="6429" spans="16:18" x14ac:dyDescent="0.3">
      <c r="P6429" s="35">
        <v>42.42</v>
      </c>
      <c r="Q6429">
        <v>305</v>
      </c>
      <c r="R6429" s="34">
        <f t="shared" si="103"/>
        <v>0.73186838210180349</v>
      </c>
    </row>
    <row r="6430" spans="16:18" x14ac:dyDescent="0.3">
      <c r="P6430" s="35">
        <v>42.42</v>
      </c>
      <c r="Q6430">
        <v>305</v>
      </c>
      <c r="R6430" s="34">
        <f t="shared" si="103"/>
        <v>0.7319822384151361</v>
      </c>
    </row>
    <row r="6431" spans="16:18" x14ac:dyDescent="0.3">
      <c r="P6431" s="35">
        <v>42.43</v>
      </c>
      <c r="Q6431">
        <v>305</v>
      </c>
      <c r="R6431" s="34">
        <f t="shared" si="103"/>
        <v>0.7320960947284687</v>
      </c>
    </row>
    <row r="6432" spans="16:18" x14ac:dyDescent="0.3">
      <c r="P6432" s="35">
        <v>42.43</v>
      </c>
      <c r="Q6432">
        <v>305</v>
      </c>
      <c r="R6432" s="34">
        <f t="shared" si="103"/>
        <v>0.73220995104180131</v>
      </c>
    </row>
    <row r="6433" spans="16:18" x14ac:dyDescent="0.3">
      <c r="P6433" s="35">
        <v>42.44</v>
      </c>
      <c r="Q6433">
        <v>305</v>
      </c>
      <c r="R6433" s="34">
        <f t="shared" si="103"/>
        <v>0.73232380735513392</v>
      </c>
    </row>
    <row r="6434" spans="16:18" x14ac:dyDescent="0.3">
      <c r="P6434" s="35">
        <v>42.45</v>
      </c>
      <c r="Q6434">
        <v>305</v>
      </c>
      <c r="R6434" s="34">
        <f t="shared" si="103"/>
        <v>0.73243766366846652</v>
      </c>
    </row>
    <row r="6435" spans="16:18" x14ac:dyDescent="0.3">
      <c r="P6435" s="35">
        <v>42.47</v>
      </c>
      <c r="Q6435">
        <v>305</v>
      </c>
      <c r="R6435" s="34">
        <f t="shared" si="103"/>
        <v>0.73255151998179913</v>
      </c>
    </row>
    <row r="6436" spans="16:18" x14ac:dyDescent="0.3">
      <c r="P6436" s="35">
        <v>42.47</v>
      </c>
      <c r="Q6436">
        <v>305</v>
      </c>
      <c r="R6436" s="34">
        <f t="shared" si="103"/>
        <v>0.73266537629513173</v>
      </c>
    </row>
    <row r="6437" spans="16:18" x14ac:dyDescent="0.3">
      <c r="P6437" s="35">
        <v>42.49</v>
      </c>
      <c r="Q6437">
        <v>305</v>
      </c>
      <c r="R6437" s="34">
        <f t="shared" si="103"/>
        <v>0.73277923260846434</v>
      </c>
    </row>
    <row r="6438" spans="16:18" x14ac:dyDescent="0.3">
      <c r="P6438" s="35">
        <v>42.49</v>
      </c>
      <c r="Q6438">
        <v>305</v>
      </c>
      <c r="R6438" s="34">
        <f t="shared" si="103"/>
        <v>0.73289308892179694</v>
      </c>
    </row>
    <row r="6439" spans="16:18" x14ac:dyDescent="0.3">
      <c r="P6439" s="35">
        <v>42.49</v>
      </c>
      <c r="Q6439">
        <v>305</v>
      </c>
      <c r="R6439" s="34">
        <f t="shared" si="103"/>
        <v>0.73300694523512955</v>
      </c>
    </row>
    <row r="6440" spans="16:18" x14ac:dyDescent="0.3">
      <c r="P6440" s="35">
        <v>42.49</v>
      </c>
      <c r="Q6440">
        <v>305</v>
      </c>
      <c r="R6440" s="34">
        <f t="shared" si="103"/>
        <v>0.73312080154846215</v>
      </c>
    </row>
    <row r="6441" spans="16:18" x14ac:dyDescent="0.3">
      <c r="P6441" s="35">
        <v>42.49</v>
      </c>
      <c r="Q6441">
        <v>305</v>
      </c>
      <c r="R6441" s="34">
        <f t="shared" si="103"/>
        <v>0.73323465786179476</v>
      </c>
    </row>
    <row r="6442" spans="16:18" x14ac:dyDescent="0.3">
      <c r="P6442" s="35">
        <v>42.5</v>
      </c>
      <c r="Q6442">
        <v>305</v>
      </c>
      <c r="R6442" s="34">
        <f t="shared" si="103"/>
        <v>0.73334851417512736</v>
      </c>
    </row>
    <row r="6443" spans="16:18" x14ac:dyDescent="0.3">
      <c r="P6443" s="35">
        <v>42.51</v>
      </c>
      <c r="Q6443">
        <v>305</v>
      </c>
      <c r="R6443" s="34">
        <f t="shared" si="103"/>
        <v>0.73346237048845997</v>
      </c>
    </row>
    <row r="6444" spans="16:18" x14ac:dyDescent="0.3">
      <c r="P6444" s="35">
        <v>42.51</v>
      </c>
      <c r="Q6444">
        <v>305</v>
      </c>
      <c r="R6444" s="34">
        <f t="shared" si="103"/>
        <v>0.73357622680179257</v>
      </c>
    </row>
    <row r="6445" spans="16:18" x14ac:dyDescent="0.3">
      <c r="P6445" s="35">
        <v>42.52</v>
      </c>
      <c r="Q6445">
        <v>305</v>
      </c>
      <c r="R6445" s="34">
        <f t="shared" si="103"/>
        <v>0.73369008311512518</v>
      </c>
    </row>
    <row r="6446" spans="16:18" x14ac:dyDescent="0.3">
      <c r="P6446" s="35">
        <v>42.52</v>
      </c>
      <c r="Q6446">
        <v>305</v>
      </c>
      <c r="R6446" s="34">
        <f t="shared" si="103"/>
        <v>0.73380393942845779</v>
      </c>
    </row>
    <row r="6447" spans="16:18" x14ac:dyDescent="0.3">
      <c r="P6447" s="35">
        <v>42.53</v>
      </c>
      <c r="Q6447">
        <v>305</v>
      </c>
      <c r="R6447" s="34">
        <f t="shared" si="103"/>
        <v>0.73391779574179039</v>
      </c>
    </row>
    <row r="6448" spans="16:18" x14ac:dyDescent="0.3">
      <c r="P6448" s="35">
        <v>42.53</v>
      </c>
      <c r="Q6448">
        <v>305</v>
      </c>
      <c r="R6448" s="34">
        <f t="shared" si="103"/>
        <v>0.734031652055123</v>
      </c>
    </row>
    <row r="6449" spans="16:18" x14ac:dyDescent="0.3">
      <c r="P6449" s="35">
        <v>42.54</v>
      </c>
      <c r="Q6449">
        <v>305</v>
      </c>
      <c r="R6449" s="34">
        <f t="shared" si="103"/>
        <v>0.7341455083684556</v>
      </c>
    </row>
    <row r="6450" spans="16:18" x14ac:dyDescent="0.3">
      <c r="P6450" s="35">
        <v>42.54</v>
      </c>
      <c r="Q6450">
        <v>305</v>
      </c>
      <c r="R6450" s="34">
        <f t="shared" si="103"/>
        <v>0.73425936468178821</v>
      </c>
    </row>
    <row r="6451" spans="16:18" x14ac:dyDescent="0.3">
      <c r="P6451" s="35">
        <v>42.56</v>
      </c>
      <c r="Q6451">
        <v>305</v>
      </c>
      <c r="R6451" s="34">
        <f t="shared" si="103"/>
        <v>0.73437322099512081</v>
      </c>
    </row>
    <row r="6452" spans="16:18" x14ac:dyDescent="0.3">
      <c r="P6452" s="35">
        <v>42.56</v>
      </c>
      <c r="Q6452">
        <v>305</v>
      </c>
      <c r="R6452" s="34">
        <f t="shared" si="103"/>
        <v>0.73448707730845342</v>
      </c>
    </row>
    <row r="6453" spans="16:18" x14ac:dyDescent="0.3">
      <c r="P6453" s="35">
        <v>42.57</v>
      </c>
      <c r="Q6453">
        <v>305</v>
      </c>
      <c r="R6453" s="34">
        <f t="shared" si="103"/>
        <v>0.73460093362178602</v>
      </c>
    </row>
    <row r="6454" spans="16:18" x14ac:dyDescent="0.3">
      <c r="P6454" s="35">
        <v>42.59</v>
      </c>
      <c r="Q6454">
        <v>305</v>
      </c>
      <c r="R6454" s="34">
        <f t="shared" si="103"/>
        <v>0.73471478993511863</v>
      </c>
    </row>
    <row r="6455" spans="16:18" x14ac:dyDescent="0.3">
      <c r="P6455" s="35">
        <v>42.62</v>
      </c>
      <c r="Q6455">
        <v>305</v>
      </c>
      <c r="R6455" s="34">
        <f t="shared" si="103"/>
        <v>0.73482864624845123</v>
      </c>
    </row>
    <row r="6456" spans="16:18" x14ac:dyDescent="0.3">
      <c r="P6456" s="35">
        <v>42.63</v>
      </c>
      <c r="Q6456">
        <v>305</v>
      </c>
      <c r="R6456" s="34">
        <f t="shared" si="103"/>
        <v>0.73494250256178384</v>
      </c>
    </row>
    <row r="6457" spans="16:18" x14ac:dyDescent="0.3">
      <c r="P6457" s="35">
        <v>42.63</v>
      </c>
      <c r="Q6457">
        <v>305</v>
      </c>
      <c r="R6457" s="34">
        <f t="shared" si="103"/>
        <v>0.73505635887511644</v>
      </c>
    </row>
    <row r="6458" spans="16:18" x14ac:dyDescent="0.3">
      <c r="P6458" s="35">
        <v>42.63</v>
      </c>
      <c r="Q6458">
        <v>305</v>
      </c>
      <c r="R6458" s="34">
        <f t="shared" si="103"/>
        <v>0.73517021518844905</v>
      </c>
    </row>
    <row r="6459" spans="16:18" x14ac:dyDescent="0.3">
      <c r="P6459" s="35">
        <v>42.65</v>
      </c>
      <c r="Q6459">
        <v>305</v>
      </c>
      <c r="R6459" s="34">
        <f t="shared" si="103"/>
        <v>0.73528407150178166</v>
      </c>
    </row>
    <row r="6460" spans="16:18" x14ac:dyDescent="0.3">
      <c r="P6460" s="35">
        <v>42.65</v>
      </c>
      <c r="Q6460">
        <v>305</v>
      </c>
      <c r="R6460" s="34">
        <f t="shared" si="103"/>
        <v>0.73539792781511426</v>
      </c>
    </row>
    <row r="6461" spans="16:18" x14ac:dyDescent="0.3">
      <c r="P6461" s="35">
        <v>42.67</v>
      </c>
      <c r="Q6461">
        <v>305</v>
      </c>
      <c r="R6461" s="34">
        <f t="shared" si="103"/>
        <v>0.73551178412844687</v>
      </c>
    </row>
    <row r="6462" spans="16:18" x14ac:dyDescent="0.3">
      <c r="P6462" s="35">
        <v>42.68</v>
      </c>
      <c r="Q6462">
        <v>305</v>
      </c>
      <c r="R6462" s="34">
        <f t="shared" si="103"/>
        <v>0.73562564044177947</v>
      </c>
    </row>
    <row r="6463" spans="16:18" x14ac:dyDescent="0.3">
      <c r="P6463" s="35">
        <v>42.7</v>
      </c>
      <c r="Q6463">
        <v>305</v>
      </c>
      <c r="R6463" s="34">
        <f t="shared" si="103"/>
        <v>0.73573949675511208</v>
      </c>
    </row>
    <row r="6464" spans="16:18" x14ac:dyDescent="0.3">
      <c r="P6464" s="35">
        <v>42.71</v>
      </c>
      <c r="Q6464">
        <v>305</v>
      </c>
      <c r="R6464" s="34">
        <f t="shared" si="103"/>
        <v>0.73585335306844468</v>
      </c>
    </row>
    <row r="6465" spans="16:18" x14ac:dyDescent="0.3">
      <c r="P6465" s="35">
        <v>42.73</v>
      </c>
      <c r="Q6465">
        <v>305</v>
      </c>
      <c r="R6465" s="34">
        <f t="shared" si="103"/>
        <v>0.73596720938177729</v>
      </c>
    </row>
    <row r="6466" spans="16:18" x14ac:dyDescent="0.3">
      <c r="P6466" s="35">
        <v>42.73</v>
      </c>
      <c r="Q6466">
        <v>305</v>
      </c>
      <c r="R6466" s="34">
        <f t="shared" si="103"/>
        <v>0.73608106569510989</v>
      </c>
    </row>
    <row r="6467" spans="16:18" x14ac:dyDescent="0.3">
      <c r="P6467" s="35">
        <v>42.74</v>
      </c>
      <c r="Q6467">
        <v>305</v>
      </c>
      <c r="R6467" s="34">
        <f t="shared" si="103"/>
        <v>0.7361949220084425</v>
      </c>
    </row>
    <row r="6468" spans="16:18" x14ac:dyDescent="0.3">
      <c r="P6468" s="35">
        <v>42.74</v>
      </c>
      <c r="Q6468">
        <v>305</v>
      </c>
      <c r="R6468" s="34">
        <f t="shared" ref="R6468:R6531" si="104">R6467+R$2</f>
        <v>0.7363087783217751</v>
      </c>
    </row>
    <row r="6469" spans="16:18" x14ac:dyDescent="0.3">
      <c r="P6469" s="35">
        <v>42.77</v>
      </c>
      <c r="Q6469">
        <v>305</v>
      </c>
      <c r="R6469" s="34">
        <f t="shared" si="104"/>
        <v>0.73642263463510771</v>
      </c>
    </row>
    <row r="6470" spans="16:18" x14ac:dyDescent="0.3">
      <c r="P6470" s="35">
        <v>42.81</v>
      </c>
      <c r="Q6470">
        <v>305</v>
      </c>
      <c r="R6470" s="34">
        <f t="shared" si="104"/>
        <v>0.73653649094844031</v>
      </c>
    </row>
    <row r="6471" spans="16:18" x14ac:dyDescent="0.3">
      <c r="P6471" s="35">
        <v>42.81</v>
      </c>
      <c r="Q6471">
        <v>305</v>
      </c>
      <c r="R6471" s="34">
        <f t="shared" si="104"/>
        <v>0.73665034726177292</v>
      </c>
    </row>
    <row r="6472" spans="16:18" x14ac:dyDescent="0.3">
      <c r="P6472" s="35">
        <v>42.83</v>
      </c>
      <c r="Q6472">
        <v>305</v>
      </c>
      <c r="R6472" s="34">
        <f t="shared" si="104"/>
        <v>0.73676420357510553</v>
      </c>
    </row>
    <row r="6473" spans="16:18" x14ac:dyDescent="0.3">
      <c r="P6473" s="35">
        <v>42.85</v>
      </c>
      <c r="Q6473">
        <v>305</v>
      </c>
      <c r="R6473" s="34">
        <f t="shared" si="104"/>
        <v>0.73687805988843813</v>
      </c>
    </row>
    <row r="6474" spans="16:18" x14ac:dyDescent="0.3">
      <c r="P6474" s="35">
        <v>42.85</v>
      </c>
      <c r="Q6474">
        <v>305</v>
      </c>
      <c r="R6474" s="34">
        <f t="shared" si="104"/>
        <v>0.73699191620177074</v>
      </c>
    </row>
    <row r="6475" spans="16:18" x14ac:dyDescent="0.3">
      <c r="P6475" s="35">
        <v>42.86</v>
      </c>
      <c r="Q6475">
        <v>305</v>
      </c>
      <c r="R6475" s="34">
        <f t="shared" si="104"/>
        <v>0.73710577251510334</v>
      </c>
    </row>
    <row r="6476" spans="16:18" x14ac:dyDescent="0.3">
      <c r="P6476" s="35">
        <v>42.87</v>
      </c>
      <c r="Q6476">
        <v>305</v>
      </c>
      <c r="R6476" s="34">
        <f t="shared" si="104"/>
        <v>0.73721962882843595</v>
      </c>
    </row>
    <row r="6477" spans="16:18" x14ac:dyDescent="0.3">
      <c r="P6477" s="35">
        <v>42.88</v>
      </c>
      <c r="Q6477">
        <v>305</v>
      </c>
      <c r="R6477" s="34">
        <f t="shared" si="104"/>
        <v>0.73733348514176855</v>
      </c>
    </row>
    <row r="6478" spans="16:18" x14ac:dyDescent="0.3">
      <c r="P6478" s="35">
        <v>42.89</v>
      </c>
      <c r="Q6478">
        <v>305</v>
      </c>
      <c r="R6478" s="34">
        <f t="shared" si="104"/>
        <v>0.73744734145510116</v>
      </c>
    </row>
    <row r="6479" spans="16:18" x14ac:dyDescent="0.3">
      <c r="P6479" s="35">
        <v>42.89</v>
      </c>
      <c r="Q6479">
        <v>305</v>
      </c>
      <c r="R6479" s="34">
        <f t="shared" si="104"/>
        <v>0.73756119776843376</v>
      </c>
    </row>
    <row r="6480" spans="16:18" x14ac:dyDescent="0.3">
      <c r="P6480" s="35">
        <v>42.91</v>
      </c>
      <c r="Q6480">
        <v>305</v>
      </c>
      <c r="R6480" s="34">
        <f t="shared" si="104"/>
        <v>0.73767505408176637</v>
      </c>
    </row>
    <row r="6481" spans="16:18" x14ac:dyDescent="0.3">
      <c r="P6481" s="35">
        <v>42.91</v>
      </c>
      <c r="Q6481">
        <v>305</v>
      </c>
      <c r="R6481" s="34">
        <f t="shared" si="104"/>
        <v>0.73778891039509897</v>
      </c>
    </row>
    <row r="6482" spans="16:18" x14ac:dyDescent="0.3">
      <c r="P6482" s="35">
        <v>42.92</v>
      </c>
      <c r="Q6482">
        <v>305</v>
      </c>
      <c r="R6482" s="34">
        <f t="shared" si="104"/>
        <v>0.73790276670843158</v>
      </c>
    </row>
    <row r="6483" spans="16:18" x14ac:dyDescent="0.3">
      <c r="P6483" s="35">
        <v>42.94</v>
      </c>
      <c r="Q6483">
        <v>305</v>
      </c>
      <c r="R6483" s="34">
        <f t="shared" si="104"/>
        <v>0.73801662302176418</v>
      </c>
    </row>
    <row r="6484" spans="16:18" x14ac:dyDescent="0.3">
      <c r="P6484" s="35">
        <v>42.95</v>
      </c>
      <c r="Q6484">
        <v>305</v>
      </c>
      <c r="R6484" s="34">
        <f t="shared" si="104"/>
        <v>0.73813047933509679</v>
      </c>
    </row>
    <row r="6485" spans="16:18" x14ac:dyDescent="0.3">
      <c r="P6485" s="35">
        <v>42.97</v>
      </c>
      <c r="Q6485">
        <v>305</v>
      </c>
      <c r="R6485" s="34">
        <f t="shared" si="104"/>
        <v>0.7382443356484294</v>
      </c>
    </row>
    <row r="6486" spans="16:18" x14ac:dyDescent="0.3">
      <c r="P6486" s="35">
        <v>42.98</v>
      </c>
      <c r="Q6486">
        <v>305</v>
      </c>
      <c r="R6486" s="34">
        <f t="shared" si="104"/>
        <v>0.738358191961762</v>
      </c>
    </row>
    <row r="6487" spans="16:18" x14ac:dyDescent="0.3">
      <c r="P6487" s="35">
        <v>42.98</v>
      </c>
      <c r="Q6487">
        <v>305</v>
      </c>
      <c r="R6487" s="34">
        <f t="shared" si="104"/>
        <v>0.73847204827509461</v>
      </c>
    </row>
    <row r="6488" spans="16:18" x14ac:dyDescent="0.3">
      <c r="P6488" s="35">
        <v>42.98</v>
      </c>
      <c r="Q6488">
        <v>305</v>
      </c>
      <c r="R6488" s="34">
        <f t="shared" si="104"/>
        <v>0.73858590458842721</v>
      </c>
    </row>
    <row r="6489" spans="16:18" x14ac:dyDescent="0.3">
      <c r="P6489" s="35">
        <v>42.98</v>
      </c>
      <c r="Q6489">
        <v>305</v>
      </c>
      <c r="R6489" s="34">
        <f t="shared" si="104"/>
        <v>0.73869976090175982</v>
      </c>
    </row>
    <row r="6490" spans="16:18" x14ac:dyDescent="0.3">
      <c r="P6490" s="35">
        <v>42.99</v>
      </c>
      <c r="Q6490">
        <v>305</v>
      </c>
      <c r="R6490" s="34">
        <f t="shared" si="104"/>
        <v>0.73881361721509242</v>
      </c>
    </row>
    <row r="6491" spans="16:18" x14ac:dyDescent="0.3">
      <c r="P6491" s="35">
        <v>43</v>
      </c>
      <c r="Q6491">
        <v>305</v>
      </c>
      <c r="R6491" s="34">
        <f t="shared" si="104"/>
        <v>0.73892747352842503</v>
      </c>
    </row>
    <row r="6492" spans="16:18" x14ac:dyDescent="0.3">
      <c r="P6492" s="35">
        <v>43.02</v>
      </c>
      <c r="Q6492">
        <v>305</v>
      </c>
      <c r="R6492" s="34">
        <f t="shared" si="104"/>
        <v>0.73904132984175763</v>
      </c>
    </row>
    <row r="6493" spans="16:18" x14ac:dyDescent="0.3">
      <c r="P6493" s="35">
        <v>43.04</v>
      </c>
      <c r="Q6493">
        <v>305</v>
      </c>
      <c r="R6493" s="34">
        <f t="shared" si="104"/>
        <v>0.73915518615509024</v>
      </c>
    </row>
    <row r="6494" spans="16:18" x14ac:dyDescent="0.3">
      <c r="P6494" s="35">
        <v>43.04</v>
      </c>
      <c r="Q6494">
        <v>305</v>
      </c>
      <c r="R6494" s="34">
        <f t="shared" si="104"/>
        <v>0.73926904246842284</v>
      </c>
    </row>
    <row r="6495" spans="16:18" x14ac:dyDescent="0.3">
      <c r="P6495" s="35">
        <v>43.08</v>
      </c>
      <c r="Q6495">
        <v>305</v>
      </c>
      <c r="R6495" s="34">
        <f t="shared" si="104"/>
        <v>0.73938289878175545</v>
      </c>
    </row>
    <row r="6496" spans="16:18" x14ac:dyDescent="0.3">
      <c r="P6496" s="35">
        <v>43.08</v>
      </c>
      <c r="Q6496">
        <v>305</v>
      </c>
      <c r="R6496" s="34">
        <f t="shared" si="104"/>
        <v>0.73949675509508805</v>
      </c>
    </row>
    <row r="6497" spans="16:18" x14ac:dyDescent="0.3">
      <c r="P6497" s="35">
        <v>43.08</v>
      </c>
      <c r="Q6497">
        <v>305</v>
      </c>
      <c r="R6497" s="34">
        <f t="shared" si="104"/>
        <v>0.73961061140842066</v>
      </c>
    </row>
    <row r="6498" spans="16:18" x14ac:dyDescent="0.3">
      <c r="P6498" s="35">
        <v>43.08</v>
      </c>
      <c r="Q6498">
        <v>305</v>
      </c>
      <c r="R6498" s="34">
        <f t="shared" si="104"/>
        <v>0.73972446772175326</v>
      </c>
    </row>
    <row r="6499" spans="16:18" x14ac:dyDescent="0.3">
      <c r="P6499" s="35">
        <v>43.11</v>
      </c>
      <c r="Q6499">
        <v>305</v>
      </c>
      <c r="R6499" s="34">
        <f t="shared" si="104"/>
        <v>0.73983832403508587</v>
      </c>
    </row>
    <row r="6500" spans="16:18" x14ac:dyDescent="0.3">
      <c r="P6500" s="35">
        <v>43.13</v>
      </c>
      <c r="Q6500">
        <v>305</v>
      </c>
      <c r="R6500" s="34">
        <f t="shared" si="104"/>
        <v>0.73995218034841848</v>
      </c>
    </row>
    <row r="6501" spans="16:18" x14ac:dyDescent="0.3">
      <c r="P6501" s="35">
        <v>43.14</v>
      </c>
      <c r="Q6501">
        <v>305</v>
      </c>
      <c r="R6501" s="34">
        <f t="shared" si="104"/>
        <v>0.74006603666175108</v>
      </c>
    </row>
    <row r="6502" spans="16:18" x14ac:dyDescent="0.3">
      <c r="P6502" s="35">
        <v>43.14</v>
      </c>
      <c r="Q6502">
        <v>305</v>
      </c>
      <c r="R6502" s="34">
        <f t="shared" si="104"/>
        <v>0.74017989297508369</v>
      </c>
    </row>
    <row r="6503" spans="16:18" x14ac:dyDescent="0.3">
      <c r="P6503" s="35">
        <v>43.18</v>
      </c>
      <c r="Q6503">
        <v>305</v>
      </c>
      <c r="R6503" s="34">
        <f t="shared" si="104"/>
        <v>0.74029374928841629</v>
      </c>
    </row>
    <row r="6504" spans="16:18" x14ac:dyDescent="0.3">
      <c r="P6504" s="35">
        <v>43.18</v>
      </c>
      <c r="Q6504">
        <v>305</v>
      </c>
      <c r="R6504" s="34">
        <f t="shared" si="104"/>
        <v>0.7404076056017489</v>
      </c>
    </row>
    <row r="6505" spans="16:18" x14ac:dyDescent="0.3">
      <c r="P6505" s="35">
        <v>43.18</v>
      </c>
      <c r="Q6505">
        <v>305</v>
      </c>
      <c r="R6505" s="34">
        <f t="shared" si="104"/>
        <v>0.7405214619150815</v>
      </c>
    </row>
    <row r="6506" spans="16:18" x14ac:dyDescent="0.3">
      <c r="P6506" s="35">
        <v>43.19</v>
      </c>
      <c r="Q6506">
        <v>305</v>
      </c>
      <c r="R6506" s="34">
        <f t="shared" si="104"/>
        <v>0.74063531822841411</v>
      </c>
    </row>
    <row r="6507" spans="16:18" x14ac:dyDescent="0.3">
      <c r="P6507" s="35">
        <v>43.19</v>
      </c>
      <c r="Q6507">
        <v>305</v>
      </c>
      <c r="R6507" s="34">
        <f t="shared" si="104"/>
        <v>0.74074917454174671</v>
      </c>
    </row>
    <row r="6508" spans="16:18" x14ac:dyDescent="0.3">
      <c r="P6508" s="35">
        <v>43.19</v>
      </c>
      <c r="Q6508">
        <v>305</v>
      </c>
      <c r="R6508" s="34">
        <f t="shared" si="104"/>
        <v>0.74086303085507932</v>
      </c>
    </row>
    <row r="6509" spans="16:18" x14ac:dyDescent="0.3">
      <c r="P6509" s="35">
        <v>43.2</v>
      </c>
      <c r="Q6509">
        <v>305</v>
      </c>
      <c r="R6509" s="34">
        <f t="shared" si="104"/>
        <v>0.74097688716841192</v>
      </c>
    </row>
    <row r="6510" spans="16:18" x14ac:dyDescent="0.3">
      <c r="P6510" s="35">
        <v>43.21</v>
      </c>
      <c r="Q6510">
        <v>305</v>
      </c>
      <c r="R6510" s="34">
        <f t="shared" si="104"/>
        <v>0.74109074348174453</v>
      </c>
    </row>
    <row r="6511" spans="16:18" x14ac:dyDescent="0.3">
      <c r="P6511" s="35">
        <v>43.23</v>
      </c>
      <c r="Q6511">
        <v>305</v>
      </c>
      <c r="R6511" s="34">
        <f t="shared" si="104"/>
        <v>0.74120459979507713</v>
      </c>
    </row>
    <row r="6512" spans="16:18" x14ac:dyDescent="0.3">
      <c r="P6512" s="35">
        <v>43.24</v>
      </c>
      <c r="Q6512">
        <v>305</v>
      </c>
      <c r="R6512" s="34">
        <f t="shared" si="104"/>
        <v>0.74131845610840974</v>
      </c>
    </row>
    <row r="6513" spans="16:18" x14ac:dyDescent="0.3">
      <c r="P6513" s="35">
        <v>43.24</v>
      </c>
      <c r="Q6513">
        <v>305</v>
      </c>
      <c r="R6513" s="34">
        <f t="shared" si="104"/>
        <v>0.74143231242174235</v>
      </c>
    </row>
    <row r="6514" spans="16:18" x14ac:dyDescent="0.3">
      <c r="P6514" s="35">
        <v>43.24</v>
      </c>
      <c r="Q6514">
        <v>305</v>
      </c>
      <c r="R6514" s="34">
        <f t="shared" si="104"/>
        <v>0.74154616873507495</v>
      </c>
    </row>
    <row r="6515" spans="16:18" x14ac:dyDescent="0.3">
      <c r="P6515" s="35">
        <v>43.25</v>
      </c>
      <c r="Q6515">
        <v>305</v>
      </c>
      <c r="R6515" s="34">
        <f t="shared" si="104"/>
        <v>0.74166002504840756</v>
      </c>
    </row>
    <row r="6516" spans="16:18" x14ac:dyDescent="0.3">
      <c r="P6516" s="35">
        <v>43.25</v>
      </c>
      <c r="Q6516">
        <v>305</v>
      </c>
      <c r="R6516" s="34">
        <f t="shared" si="104"/>
        <v>0.74177388136174016</v>
      </c>
    </row>
    <row r="6517" spans="16:18" x14ac:dyDescent="0.3">
      <c r="P6517" s="35">
        <v>43.25</v>
      </c>
      <c r="Q6517">
        <v>305</v>
      </c>
      <c r="R6517" s="34">
        <f t="shared" si="104"/>
        <v>0.74188773767507277</v>
      </c>
    </row>
    <row r="6518" spans="16:18" x14ac:dyDescent="0.3">
      <c r="P6518" s="35">
        <v>43.26</v>
      </c>
      <c r="Q6518">
        <v>305</v>
      </c>
      <c r="R6518" s="34">
        <f t="shared" si="104"/>
        <v>0.74200159398840537</v>
      </c>
    </row>
    <row r="6519" spans="16:18" x14ac:dyDescent="0.3">
      <c r="P6519" s="35">
        <v>43.27</v>
      </c>
      <c r="Q6519">
        <v>305</v>
      </c>
      <c r="R6519" s="34">
        <f t="shared" si="104"/>
        <v>0.74211545030173798</v>
      </c>
    </row>
    <row r="6520" spans="16:18" x14ac:dyDescent="0.3">
      <c r="P6520" s="35">
        <v>43.28</v>
      </c>
      <c r="Q6520">
        <v>305</v>
      </c>
      <c r="R6520" s="34">
        <f t="shared" si="104"/>
        <v>0.74222930661507058</v>
      </c>
    </row>
    <row r="6521" spans="16:18" x14ac:dyDescent="0.3">
      <c r="P6521" s="35">
        <v>43.29</v>
      </c>
      <c r="Q6521">
        <v>305</v>
      </c>
      <c r="R6521" s="34">
        <f t="shared" si="104"/>
        <v>0.74234316292840319</v>
      </c>
    </row>
    <row r="6522" spans="16:18" x14ac:dyDescent="0.3">
      <c r="P6522" s="35">
        <v>43.29</v>
      </c>
      <c r="Q6522">
        <v>305</v>
      </c>
      <c r="R6522" s="34">
        <f t="shared" si="104"/>
        <v>0.74245701924173579</v>
      </c>
    </row>
    <row r="6523" spans="16:18" x14ac:dyDescent="0.3">
      <c r="P6523" s="35">
        <v>43.3</v>
      </c>
      <c r="Q6523">
        <v>305</v>
      </c>
      <c r="R6523" s="34">
        <f t="shared" si="104"/>
        <v>0.7425708755550684</v>
      </c>
    </row>
    <row r="6524" spans="16:18" x14ac:dyDescent="0.3">
      <c r="P6524" s="35">
        <v>43.33</v>
      </c>
      <c r="Q6524">
        <v>305</v>
      </c>
      <c r="R6524" s="34">
        <f t="shared" si="104"/>
        <v>0.742684731868401</v>
      </c>
    </row>
    <row r="6525" spans="16:18" x14ac:dyDescent="0.3">
      <c r="P6525" s="35">
        <v>43.33</v>
      </c>
      <c r="Q6525">
        <v>305</v>
      </c>
      <c r="R6525" s="34">
        <f t="shared" si="104"/>
        <v>0.74279858818173361</v>
      </c>
    </row>
    <row r="6526" spans="16:18" x14ac:dyDescent="0.3">
      <c r="P6526" s="35">
        <v>43.37</v>
      </c>
      <c r="Q6526">
        <v>305</v>
      </c>
      <c r="R6526" s="34">
        <f t="shared" si="104"/>
        <v>0.74291244449506622</v>
      </c>
    </row>
    <row r="6527" spans="16:18" x14ac:dyDescent="0.3">
      <c r="P6527" s="35">
        <v>43.38</v>
      </c>
      <c r="Q6527">
        <v>305</v>
      </c>
      <c r="R6527" s="34">
        <f t="shared" si="104"/>
        <v>0.74302630080839882</v>
      </c>
    </row>
    <row r="6528" spans="16:18" x14ac:dyDescent="0.3">
      <c r="P6528" s="35">
        <v>43.4</v>
      </c>
      <c r="Q6528">
        <v>305</v>
      </c>
      <c r="R6528" s="34">
        <f t="shared" si="104"/>
        <v>0.74314015712173143</v>
      </c>
    </row>
    <row r="6529" spans="16:18" x14ac:dyDescent="0.3">
      <c r="P6529" s="35">
        <v>43.41</v>
      </c>
      <c r="Q6529">
        <v>305</v>
      </c>
      <c r="R6529" s="34">
        <f t="shared" si="104"/>
        <v>0.74325401343506403</v>
      </c>
    </row>
    <row r="6530" spans="16:18" x14ac:dyDescent="0.3">
      <c r="P6530" s="35">
        <v>43.42</v>
      </c>
      <c r="Q6530">
        <v>305</v>
      </c>
      <c r="R6530" s="34">
        <f t="shared" si="104"/>
        <v>0.74336786974839664</v>
      </c>
    </row>
    <row r="6531" spans="16:18" x14ac:dyDescent="0.3">
      <c r="P6531" s="35">
        <v>43.43</v>
      </c>
      <c r="Q6531">
        <v>305</v>
      </c>
      <c r="R6531" s="34">
        <f t="shared" si="104"/>
        <v>0.74348172606172924</v>
      </c>
    </row>
    <row r="6532" spans="16:18" x14ac:dyDescent="0.3">
      <c r="P6532" s="35">
        <v>43.44</v>
      </c>
      <c r="Q6532">
        <v>305</v>
      </c>
      <c r="R6532" s="34">
        <f t="shared" ref="R6532:R6595" si="105">R6531+R$2</f>
        <v>0.74359558237506185</v>
      </c>
    </row>
    <row r="6533" spans="16:18" x14ac:dyDescent="0.3">
      <c r="P6533" s="35">
        <v>43.46</v>
      </c>
      <c r="Q6533">
        <v>305</v>
      </c>
      <c r="R6533" s="34">
        <f t="shared" si="105"/>
        <v>0.74370943868839445</v>
      </c>
    </row>
    <row r="6534" spans="16:18" x14ac:dyDescent="0.3">
      <c r="P6534" s="35">
        <v>43.47</v>
      </c>
      <c r="Q6534">
        <v>305</v>
      </c>
      <c r="R6534" s="34">
        <f t="shared" si="105"/>
        <v>0.74382329500172706</v>
      </c>
    </row>
    <row r="6535" spans="16:18" x14ac:dyDescent="0.3">
      <c r="P6535" s="35">
        <v>43.47</v>
      </c>
      <c r="Q6535">
        <v>305</v>
      </c>
      <c r="R6535" s="34">
        <f t="shared" si="105"/>
        <v>0.74393715131505966</v>
      </c>
    </row>
    <row r="6536" spans="16:18" x14ac:dyDescent="0.3">
      <c r="P6536" s="35">
        <v>43.48</v>
      </c>
      <c r="Q6536">
        <v>305</v>
      </c>
      <c r="R6536" s="34">
        <f t="shared" si="105"/>
        <v>0.74405100762839227</v>
      </c>
    </row>
    <row r="6537" spans="16:18" x14ac:dyDescent="0.3">
      <c r="P6537" s="35">
        <v>43.48</v>
      </c>
      <c r="Q6537">
        <v>305</v>
      </c>
      <c r="R6537" s="34">
        <f t="shared" si="105"/>
        <v>0.74416486394172487</v>
      </c>
    </row>
    <row r="6538" spans="16:18" x14ac:dyDescent="0.3">
      <c r="P6538" s="35">
        <v>43.49</v>
      </c>
      <c r="Q6538">
        <v>305</v>
      </c>
      <c r="R6538" s="34">
        <f t="shared" si="105"/>
        <v>0.74427872025505748</v>
      </c>
    </row>
    <row r="6539" spans="16:18" x14ac:dyDescent="0.3">
      <c r="P6539" s="35">
        <v>43.49</v>
      </c>
      <c r="Q6539">
        <v>305</v>
      </c>
      <c r="R6539" s="34">
        <f t="shared" si="105"/>
        <v>0.74439257656839009</v>
      </c>
    </row>
    <row r="6540" spans="16:18" x14ac:dyDescent="0.3">
      <c r="P6540" s="35">
        <v>43.49</v>
      </c>
      <c r="Q6540">
        <v>305</v>
      </c>
      <c r="R6540" s="34">
        <f t="shared" si="105"/>
        <v>0.74450643288172269</v>
      </c>
    </row>
    <row r="6541" spans="16:18" x14ac:dyDescent="0.3">
      <c r="P6541" s="35">
        <v>43.5</v>
      </c>
      <c r="Q6541">
        <v>305</v>
      </c>
      <c r="R6541" s="34">
        <f t="shared" si="105"/>
        <v>0.7446202891950553</v>
      </c>
    </row>
    <row r="6542" spans="16:18" x14ac:dyDescent="0.3">
      <c r="P6542" s="35">
        <v>43.52</v>
      </c>
      <c r="Q6542">
        <v>305</v>
      </c>
      <c r="R6542" s="34">
        <f t="shared" si="105"/>
        <v>0.7447341455083879</v>
      </c>
    </row>
    <row r="6543" spans="16:18" x14ac:dyDescent="0.3">
      <c r="P6543" s="35">
        <v>43.52</v>
      </c>
      <c r="Q6543">
        <v>305</v>
      </c>
      <c r="R6543" s="34">
        <f t="shared" si="105"/>
        <v>0.74484800182172051</v>
      </c>
    </row>
    <row r="6544" spans="16:18" x14ac:dyDescent="0.3">
      <c r="P6544" s="35">
        <v>43.52</v>
      </c>
      <c r="Q6544">
        <v>305</v>
      </c>
      <c r="R6544" s="34">
        <f t="shared" si="105"/>
        <v>0.74496185813505311</v>
      </c>
    </row>
    <row r="6545" spans="16:18" x14ac:dyDescent="0.3">
      <c r="P6545" s="35">
        <v>43.56</v>
      </c>
      <c r="Q6545">
        <v>305</v>
      </c>
      <c r="R6545" s="34">
        <f t="shared" si="105"/>
        <v>0.74507571444838572</v>
      </c>
    </row>
    <row r="6546" spans="16:18" x14ac:dyDescent="0.3">
      <c r="P6546" s="35">
        <v>43.56</v>
      </c>
      <c r="Q6546">
        <v>305</v>
      </c>
      <c r="R6546" s="34">
        <f t="shared" si="105"/>
        <v>0.74518957076171832</v>
      </c>
    </row>
    <row r="6547" spans="16:18" x14ac:dyDescent="0.3">
      <c r="P6547" s="35">
        <v>43.57</v>
      </c>
      <c r="Q6547">
        <v>305</v>
      </c>
      <c r="R6547" s="34">
        <f t="shared" si="105"/>
        <v>0.74530342707505093</v>
      </c>
    </row>
    <row r="6548" spans="16:18" x14ac:dyDescent="0.3">
      <c r="P6548" s="35">
        <v>43.57</v>
      </c>
      <c r="Q6548">
        <v>305</v>
      </c>
      <c r="R6548" s="34">
        <f t="shared" si="105"/>
        <v>0.74541728338838353</v>
      </c>
    </row>
    <row r="6549" spans="16:18" x14ac:dyDescent="0.3">
      <c r="P6549" s="35">
        <v>43.58</v>
      </c>
      <c r="Q6549">
        <v>305</v>
      </c>
      <c r="R6549" s="34">
        <f t="shared" si="105"/>
        <v>0.74553113970171614</v>
      </c>
    </row>
    <row r="6550" spans="16:18" x14ac:dyDescent="0.3">
      <c r="P6550" s="35">
        <v>43.59</v>
      </c>
      <c r="Q6550">
        <v>305</v>
      </c>
      <c r="R6550" s="34">
        <f t="shared" si="105"/>
        <v>0.74564499601504874</v>
      </c>
    </row>
    <row r="6551" spans="16:18" x14ac:dyDescent="0.3">
      <c r="P6551" s="35">
        <v>43.59</v>
      </c>
      <c r="Q6551">
        <v>305</v>
      </c>
      <c r="R6551" s="34">
        <f t="shared" si="105"/>
        <v>0.74575885232838135</v>
      </c>
    </row>
    <row r="6552" spans="16:18" x14ac:dyDescent="0.3">
      <c r="P6552" s="35">
        <v>43.59</v>
      </c>
      <c r="Q6552">
        <v>305</v>
      </c>
      <c r="R6552" s="34">
        <f t="shared" si="105"/>
        <v>0.74587270864171396</v>
      </c>
    </row>
    <row r="6553" spans="16:18" x14ac:dyDescent="0.3">
      <c r="P6553" s="35">
        <v>43.59</v>
      </c>
      <c r="Q6553">
        <v>305</v>
      </c>
      <c r="R6553" s="34">
        <f t="shared" si="105"/>
        <v>0.74598656495504656</v>
      </c>
    </row>
    <row r="6554" spans="16:18" x14ac:dyDescent="0.3">
      <c r="P6554" s="35">
        <v>43.59</v>
      </c>
      <c r="Q6554">
        <v>305</v>
      </c>
      <c r="R6554" s="34">
        <f t="shared" si="105"/>
        <v>0.74610042126837917</v>
      </c>
    </row>
    <row r="6555" spans="16:18" x14ac:dyDescent="0.3">
      <c r="P6555" s="35">
        <v>43.6</v>
      </c>
      <c r="Q6555">
        <v>305</v>
      </c>
      <c r="R6555" s="34">
        <f t="shared" si="105"/>
        <v>0.74621427758171177</v>
      </c>
    </row>
    <row r="6556" spans="16:18" x14ac:dyDescent="0.3">
      <c r="P6556" s="35">
        <v>43.6</v>
      </c>
      <c r="Q6556">
        <v>305</v>
      </c>
      <c r="R6556" s="34">
        <f t="shared" si="105"/>
        <v>0.74632813389504438</v>
      </c>
    </row>
    <row r="6557" spans="16:18" x14ac:dyDescent="0.3">
      <c r="P6557" s="35">
        <v>43.6</v>
      </c>
      <c r="Q6557">
        <v>305</v>
      </c>
      <c r="R6557" s="34">
        <f t="shared" si="105"/>
        <v>0.74644199020837698</v>
      </c>
    </row>
    <row r="6558" spans="16:18" x14ac:dyDescent="0.3">
      <c r="P6558" s="35">
        <v>43.6</v>
      </c>
      <c r="Q6558">
        <v>305</v>
      </c>
      <c r="R6558" s="34">
        <f t="shared" si="105"/>
        <v>0.74655584652170959</v>
      </c>
    </row>
    <row r="6559" spans="16:18" x14ac:dyDescent="0.3">
      <c r="P6559" s="35">
        <v>43.61</v>
      </c>
      <c r="Q6559">
        <v>305</v>
      </c>
      <c r="R6559" s="34">
        <f t="shared" si="105"/>
        <v>0.74666970283504219</v>
      </c>
    </row>
    <row r="6560" spans="16:18" x14ac:dyDescent="0.3">
      <c r="P6560" s="35">
        <v>43.62</v>
      </c>
      <c r="Q6560">
        <v>305</v>
      </c>
      <c r="R6560" s="34">
        <f t="shared" si="105"/>
        <v>0.7467835591483748</v>
      </c>
    </row>
    <row r="6561" spans="16:18" x14ac:dyDescent="0.3">
      <c r="P6561" s="35">
        <v>43.63</v>
      </c>
      <c r="Q6561">
        <v>305</v>
      </c>
      <c r="R6561" s="34">
        <f t="shared" si="105"/>
        <v>0.7468974154617074</v>
      </c>
    </row>
    <row r="6562" spans="16:18" x14ac:dyDescent="0.3">
      <c r="P6562" s="35">
        <v>43.64</v>
      </c>
      <c r="Q6562">
        <v>305</v>
      </c>
      <c r="R6562" s="34">
        <f t="shared" si="105"/>
        <v>0.74701127177504001</v>
      </c>
    </row>
    <row r="6563" spans="16:18" x14ac:dyDescent="0.3">
      <c r="P6563" s="35">
        <v>43.64</v>
      </c>
      <c r="Q6563">
        <v>305</v>
      </c>
      <c r="R6563" s="34">
        <f t="shared" si="105"/>
        <v>0.74712512808837261</v>
      </c>
    </row>
    <row r="6564" spans="16:18" x14ac:dyDescent="0.3">
      <c r="P6564" s="35">
        <v>43.65</v>
      </c>
      <c r="Q6564">
        <v>305</v>
      </c>
      <c r="R6564" s="34">
        <f t="shared" si="105"/>
        <v>0.74723898440170522</v>
      </c>
    </row>
    <row r="6565" spans="16:18" x14ac:dyDescent="0.3">
      <c r="P6565" s="35">
        <v>43.65</v>
      </c>
      <c r="Q6565">
        <v>305</v>
      </c>
      <c r="R6565" s="34">
        <f t="shared" si="105"/>
        <v>0.74735284071503782</v>
      </c>
    </row>
    <row r="6566" spans="16:18" x14ac:dyDescent="0.3">
      <c r="P6566" s="35">
        <v>43.67</v>
      </c>
      <c r="Q6566">
        <v>305</v>
      </c>
      <c r="R6566" s="34">
        <f t="shared" si="105"/>
        <v>0.74746669702837043</v>
      </c>
    </row>
    <row r="6567" spans="16:18" x14ac:dyDescent="0.3">
      <c r="P6567" s="35">
        <v>43.69</v>
      </c>
      <c r="Q6567">
        <v>305</v>
      </c>
      <c r="R6567" s="34">
        <f t="shared" si="105"/>
        <v>0.74758055334170304</v>
      </c>
    </row>
    <row r="6568" spans="16:18" x14ac:dyDescent="0.3">
      <c r="P6568" s="35">
        <v>43.7</v>
      </c>
      <c r="Q6568">
        <v>305</v>
      </c>
      <c r="R6568" s="34">
        <f t="shared" si="105"/>
        <v>0.74769440965503564</v>
      </c>
    </row>
    <row r="6569" spans="16:18" x14ac:dyDescent="0.3">
      <c r="P6569" s="35">
        <v>43.7</v>
      </c>
      <c r="Q6569">
        <v>305</v>
      </c>
      <c r="R6569" s="34">
        <f t="shared" si="105"/>
        <v>0.74780826596836825</v>
      </c>
    </row>
    <row r="6570" spans="16:18" x14ac:dyDescent="0.3">
      <c r="P6570" s="35">
        <v>43.71</v>
      </c>
      <c r="Q6570">
        <v>305</v>
      </c>
      <c r="R6570" s="34">
        <f t="shared" si="105"/>
        <v>0.74792212228170085</v>
      </c>
    </row>
    <row r="6571" spans="16:18" x14ac:dyDescent="0.3">
      <c r="P6571" s="35">
        <v>43.71</v>
      </c>
      <c r="Q6571">
        <v>305</v>
      </c>
      <c r="R6571" s="34">
        <f t="shared" si="105"/>
        <v>0.74803597859503346</v>
      </c>
    </row>
    <row r="6572" spans="16:18" x14ac:dyDescent="0.3">
      <c r="P6572" s="35">
        <v>43.72</v>
      </c>
      <c r="Q6572">
        <v>305</v>
      </c>
      <c r="R6572" s="34">
        <f t="shared" si="105"/>
        <v>0.74814983490836606</v>
      </c>
    </row>
    <row r="6573" spans="16:18" x14ac:dyDescent="0.3">
      <c r="P6573" s="35">
        <v>43.72</v>
      </c>
      <c r="Q6573">
        <v>305</v>
      </c>
      <c r="R6573" s="34">
        <f t="shared" si="105"/>
        <v>0.74826369122169867</v>
      </c>
    </row>
    <row r="6574" spans="16:18" x14ac:dyDescent="0.3">
      <c r="P6574" s="35">
        <v>43.73</v>
      </c>
      <c r="Q6574">
        <v>305</v>
      </c>
      <c r="R6574" s="34">
        <f t="shared" si="105"/>
        <v>0.74837754753503127</v>
      </c>
    </row>
    <row r="6575" spans="16:18" x14ac:dyDescent="0.3">
      <c r="P6575" s="35">
        <v>43.74</v>
      </c>
      <c r="Q6575">
        <v>305</v>
      </c>
      <c r="R6575" s="34">
        <f t="shared" si="105"/>
        <v>0.74849140384836388</v>
      </c>
    </row>
    <row r="6576" spans="16:18" x14ac:dyDescent="0.3">
      <c r="P6576" s="35">
        <v>43.74</v>
      </c>
      <c r="Q6576">
        <v>305</v>
      </c>
      <c r="R6576" s="34">
        <f t="shared" si="105"/>
        <v>0.74860526016169648</v>
      </c>
    </row>
    <row r="6577" spans="16:18" x14ac:dyDescent="0.3">
      <c r="P6577" s="35">
        <v>43.76</v>
      </c>
      <c r="Q6577">
        <v>305</v>
      </c>
      <c r="R6577" s="34">
        <f t="shared" si="105"/>
        <v>0.74871911647502909</v>
      </c>
    </row>
    <row r="6578" spans="16:18" x14ac:dyDescent="0.3">
      <c r="P6578" s="35">
        <v>43.76</v>
      </c>
      <c r="Q6578">
        <v>305</v>
      </c>
      <c r="R6578" s="34">
        <f t="shared" si="105"/>
        <v>0.74883297278836169</v>
      </c>
    </row>
    <row r="6579" spans="16:18" x14ac:dyDescent="0.3">
      <c r="P6579" s="35">
        <v>43.76</v>
      </c>
      <c r="Q6579">
        <v>305</v>
      </c>
      <c r="R6579" s="34">
        <f t="shared" si="105"/>
        <v>0.7489468291016943</v>
      </c>
    </row>
    <row r="6580" spans="16:18" x14ac:dyDescent="0.3">
      <c r="P6580" s="35">
        <v>43.78</v>
      </c>
      <c r="Q6580">
        <v>305</v>
      </c>
      <c r="R6580" s="34">
        <f t="shared" si="105"/>
        <v>0.74906068541502691</v>
      </c>
    </row>
    <row r="6581" spans="16:18" x14ac:dyDescent="0.3">
      <c r="P6581" s="35">
        <v>43.79</v>
      </c>
      <c r="Q6581">
        <v>305</v>
      </c>
      <c r="R6581" s="34">
        <f t="shared" si="105"/>
        <v>0.74917454172835951</v>
      </c>
    </row>
    <row r="6582" spans="16:18" x14ac:dyDescent="0.3">
      <c r="P6582" s="35">
        <v>43.79</v>
      </c>
      <c r="Q6582">
        <v>305</v>
      </c>
      <c r="R6582" s="34">
        <f t="shared" si="105"/>
        <v>0.74928839804169212</v>
      </c>
    </row>
    <row r="6583" spans="16:18" x14ac:dyDescent="0.3">
      <c r="P6583" s="35">
        <v>43.8</v>
      </c>
      <c r="Q6583">
        <v>305</v>
      </c>
      <c r="R6583" s="34">
        <f t="shared" si="105"/>
        <v>0.74940225435502472</v>
      </c>
    </row>
    <row r="6584" spans="16:18" x14ac:dyDescent="0.3">
      <c r="P6584" s="35">
        <v>43.8</v>
      </c>
      <c r="Q6584">
        <v>305</v>
      </c>
      <c r="R6584" s="34">
        <f t="shared" si="105"/>
        <v>0.74951611066835733</v>
      </c>
    </row>
    <row r="6585" spans="16:18" x14ac:dyDescent="0.3">
      <c r="P6585" s="35">
        <v>43.8</v>
      </c>
      <c r="Q6585">
        <v>305</v>
      </c>
      <c r="R6585" s="34">
        <f t="shared" si="105"/>
        <v>0.74962996698168993</v>
      </c>
    </row>
    <row r="6586" spans="16:18" x14ac:dyDescent="0.3">
      <c r="P6586" s="35">
        <v>43.8</v>
      </c>
      <c r="Q6586">
        <v>305</v>
      </c>
      <c r="R6586" s="34">
        <f t="shared" si="105"/>
        <v>0.74974382329502254</v>
      </c>
    </row>
    <row r="6587" spans="16:18" x14ac:dyDescent="0.3">
      <c r="P6587" s="35">
        <v>43.83</v>
      </c>
      <c r="Q6587">
        <v>305</v>
      </c>
      <c r="R6587" s="34">
        <f t="shared" si="105"/>
        <v>0.74985767960835514</v>
      </c>
    </row>
    <row r="6588" spans="16:18" x14ac:dyDescent="0.3">
      <c r="P6588" s="35">
        <v>43.83</v>
      </c>
      <c r="Q6588">
        <v>305</v>
      </c>
      <c r="R6588" s="34">
        <f t="shared" si="105"/>
        <v>0.74997153592168775</v>
      </c>
    </row>
    <row r="6589" spans="16:18" x14ac:dyDescent="0.3">
      <c r="P6589" s="35">
        <v>43.83</v>
      </c>
      <c r="Q6589">
        <v>305</v>
      </c>
      <c r="R6589" s="34">
        <f t="shared" si="105"/>
        <v>0.75008539223502035</v>
      </c>
    </row>
    <row r="6590" spans="16:18" x14ac:dyDescent="0.3">
      <c r="P6590" s="35">
        <v>43.85</v>
      </c>
      <c r="Q6590">
        <v>305</v>
      </c>
      <c r="R6590" s="34">
        <f t="shared" si="105"/>
        <v>0.75019924854835296</v>
      </c>
    </row>
    <row r="6591" spans="16:18" x14ac:dyDescent="0.3">
      <c r="P6591" s="35">
        <v>43.85</v>
      </c>
      <c r="Q6591">
        <v>305</v>
      </c>
      <c r="R6591" s="34">
        <f t="shared" si="105"/>
        <v>0.75031310486168556</v>
      </c>
    </row>
    <row r="6592" spans="16:18" x14ac:dyDescent="0.3">
      <c r="P6592" s="35">
        <v>43.86</v>
      </c>
      <c r="Q6592">
        <v>305</v>
      </c>
      <c r="R6592" s="34">
        <f t="shared" si="105"/>
        <v>0.75042696117501817</v>
      </c>
    </row>
    <row r="6593" spans="16:18" x14ac:dyDescent="0.3">
      <c r="P6593" s="35">
        <v>43.86</v>
      </c>
      <c r="Q6593">
        <v>305</v>
      </c>
      <c r="R6593" s="34">
        <f t="shared" si="105"/>
        <v>0.75054081748835078</v>
      </c>
    </row>
    <row r="6594" spans="16:18" x14ac:dyDescent="0.3">
      <c r="P6594" s="35">
        <v>43.86</v>
      </c>
      <c r="Q6594">
        <v>305</v>
      </c>
      <c r="R6594" s="34">
        <f t="shared" si="105"/>
        <v>0.75065467380168338</v>
      </c>
    </row>
    <row r="6595" spans="16:18" x14ac:dyDescent="0.3">
      <c r="P6595" s="35">
        <v>43.87</v>
      </c>
      <c r="Q6595">
        <v>305</v>
      </c>
      <c r="R6595" s="34">
        <f t="shared" si="105"/>
        <v>0.75076853011501599</v>
      </c>
    </row>
    <row r="6596" spans="16:18" x14ac:dyDescent="0.3">
      <c r="P6596" s="35">
        <v>43.89</v>
      </c>
      <c r="Q6596">
        <v>305</v>
      </c>
      <c r="R6596" s="34">
        <f t="shared" ref="R6596:R6659" si="106">R6595+R$2</f>
        <v>0.75088238642834859</v>
      </c>
    </row>
    <row r="6597" spans="16:18" x14ac:dyDescent="0.3">
      <c r="P6597" s="35">
        <v>43.91</v>
      </c>
      <c r="Q6597">
        <v>305</v>
      </c>
      <c r="R6597" s="34">
        <f t="shared" si="106"/>
        <v>0.7509962427416812</v>
      </c>
    </row>
    <row r="6598" spans="16:18" x14ac:dyDescent="0.3">
      <c r="P6598" s="35">
        <v>43.93</v>
      </c>
      <c r="Q6598">
        <v>305</v>
      </c>
      <c r="R6598" s="34">
        <f t="shared" si="106"/>
        <v>0.7511100990550138</v>
      </c>
    </row>
    <row r="6599" spans="16:18" x14ac:dyDescent="0.3">
      <c r="P6599" s="35">
        <v>43.93</v>
      </c>
      <c r="Q6599">
        <v>305</v>
      </c>
      <c r="R6599" s="34">
        <f t="shared" si="106"/>
        <v>0.75122395536834641</v>
      </c>
    </row>
    <row r="6600" spans="16:18" x14ac:dyDescent="0.3">
      <c r="P6600" s="35">
        <v>43.94</v>
      </c>
      <c r="Q6600">
        <v>305</v>
      </c>
      <c r="R6600" s="34">
        <f t="shared" si="106"/>
        <v>0.75133781168167901</v>
      </c>
    </row>
    <row r="6601" spans="16:18" x14ac:dyDescent="0.3">
      <c r="P6601" s="35">
        <v>43.94</v>
      </c>
      <c r="Q6601">
        <v>305</v>
      </c>
      <c r="R6601" s="34">
        <f t="shared" si="106"/>
        <v>0.75145166799501162</v>
      </c>
    </row>
    <row r="6602" spans="16:18" x14ac:dyDescent="0.3">
      <c r="P6602" s="35">
        <v>43.96</v>
      </c>
      <c r="Q6602">
        <v>305</v>
      </c>
      <c r="R6602" s="34">
        <f t="shared" si="106"/>
        <v>0.75156552430834422</v>
      </c>
    </row>
    <row r="6603" spans="16:18" x14ac:dyDescent="0.3">
      <c r="P6603" s="35">
        <v>43.99</v>
      </c>
      <c r="Q6603">
        <v>305</v>
      </c>
      <c r="R6603" s="34">
        <f t="shared" si="106"/>
        <v>0.75167938062167683</v>
      </c>
    </row>
    <row r="6604" spans="16:18" x14ac:dyDescent="0.3">
      <c r="P6604" s="35">
        <v>44</v>
      </c>
      <c r="Q6604">
        <v>305</v>
      </c>
      <c r="R6604" s="34">
        <f t="shared" si="106"/>
        <v>0.75179323693500943</v>
      </c>
    </row>
    <row r="6605" spans="16:18" x14ac:dyDescent="0.3">
      <c r="P6605" s="35">
        <v>44.01</v>
      </c>
      <c r="Q6605">
        <v>305</v>
      </c>
      <c r="R6605" s="34">
        <f t="shared" si="106"/>
        <v>0.75190709324834204</v>
      </c>
    </row>
    <row r="6606" spans="16:18" x14ac:dyDescent="0.3">
      <c r="P6606" s="35">
        <v>44.01</v>
      </c>
      <c r="Q6606">
        <v>305</v>
      </c>
      <c r="R6606" s="34">
        <f t="shared" si="106"/>
        <v>0.75202094956167465</v>
      </c>
    </row>
    <row r="6607" spans="16:18" x14ac:dyDescent="0.3">
      <c r="P6607" s="35">
        <v>44.02</v>
      </c>
      <c r="Q6607">
        <v>305</v>
      </c>
      <c r="R6607" s="34">
        <f t="shared" si="106"/>
        <v>0.75213480587500725</v>
      </c>
    </row>
    <row r="6608" spans="16:18" x14ac:dyDescent="0.3">
      <c r="P6608" s="35">
        <v>44.02</v>
      </c>
      <c r="Q6608">
        <v>305</v>
      </c>
      <c r="R6608" s="34">
        <f t="shared" si="106"/>
        <v>0.75224866218833986</v>
      </c>
    </row>
    <row r="6609" spans="16:18" x14ac:dyDescent="0.3">
      <c r="P6609" s="35">
        <v>44.02</v>
      </c>
      <c r="Q6609">
        <v>305</v>
      </c>
      <c r="R6609" s="34">
        <f t="shared" si="106"/>
        <v>0.75236251850167246</v>
      </c>
    </row>
    <row r="6610" spans="16:18" x14ac:dyDescent="0.3">
      <c r="P6610" s="35">
        <v>44.02</v>
      </c>
      <c r="Q6610">
        <v>305</v>
      </c>
      <c r="R6610" s="34">
        <f t="shared" si="106"/>
        <v>0.75247637481500507</v>
      </c>
    </row>
    <row r="6611" spans="16:18" x14ac:dyDescent="0.3">
      <c r="P6611" s="35">
        <v>44.02</v>
      </c>
      <c r="Q6611">
        <v>305</v>
      </c>
      <c r="R6611" s="34">
        <f t="shared" si="106"/>
        <v>0.75259023112833767</v>
      </c>
    </row>
    <row r="6612" spans="16:18" x14ac:dyDescent="0.3">
      <c r="P6612" s="35">
        <v>44.02</v>
      </c>
      <c r="Q6612">
        <v>305</v>
      </c>
      <c r="R6612" s="34">
        <f t="shared" si="106"/>
        <v>0.75270408744167028</v>
      </c>
    </row>
    <row r="6613" spans="16:18" x14ac:dyDescent="0.3">
      <c r="P6613" s="35">
        <v>44.03</v>
      </c>
      <c r="Q6613">
        <v>305</v>
      </c>
      <c r="R6613" s="34">
        <f t="shared" si="106"/>
        <v>0.75281794375500288</v>
      </c>
    </row>
    <row r="6614" spans="16:18" x14ac:dyDescent="0.3">
      <c r="P6614" s="35">
        <v>44.03</v>
      </c>
      <c r="Q6614">
        <v>305</v>
      </c>
      <c r="R6614" s="34">
        <f t="shared" si="106"/>
        <v>0.75293180006833549</v>
      </c>
    </row>
    <row r="6615" spans="16:18" x14ac:dyDescent="0.3">
      <c r="P6615" s="35">
        <v>44.04</v>
      </c>
      <c r="Q6615">
        <v>305</v>
      </c>
      <c r="R6615" s="34">
        <f t="shared" si="106"/>
        <v>0.75304565638166809</v>
      </c>
    </row>
    <row r="6616" spans="16:18" x14ac:dyDescent="0.3">
      <c r="P6616" s="35">
        <v>44.05</v>
      </c>
      <c r="Q6616">
        <v>305</v>
      </c>
      <c r="R6616" s="34">
        <f t="shared" si="106"/>
        <v>0.7531595126950007</v>
      </c>
    </row>
    <row r="6617" spans="16:18" x14ac:dyDescent="0.3">
      <c r="P6617" s="35">
        <v>44.05</v>
      </c>
      <c r="Q6617">
        <v>305</v>
      </c>
      <c r="R6617" s="34">
        <f t="shared" si="106"/>
        <v>0.7532733690083333</v>
      </c>
    </row>
    <row r="6618" spans="16:18" x14ac:dyDescent="0.3">
      <c r="P6618" s="35">
        <v>44.06</v>
      </c>
      <c r="Q6618">
        <v>305</v>
      </c>
      <c r="R6618" s="34">
        <f t="shared" si="106"/>
        <v>0.75338722532166591</v>
      </c>
    </row>
    <row r="6619" spans="16:18" x14ac:dyDescent="0.3">
      <c r="P6619" s="35">
        <v>44.07</v>
      </c>
      <c r="Q6619">
        <v>305</v>
      </c>
      <c r="R6619" s="34">
        <f t="shared" si="106"/>
        <v>0.75350108163499852</v>
      </c>
    </row>
    <row r="6620" spans="16:18" x14ac:dyDescent="0.3">
      <c r="P6620" s="35">
        <v>44.07</v>
      </c>
      <c r="Q6620">
        <v>305</v>
      </c>
      <c r="R6620" s="34">
        <f t="shared" si="106"/>
        <v>0.75361493794833112</v>
      </c>
    </row>
    <row r="6621" spans="16:18" x14ac:dyDescent="0.3">
      <c r="P6621" s="35">
        <v>44.08</v>
      </c>
      <c r="Q6621">
        <v>305</v>
      </c>
      <c r="R6621" s="34">
        <f t="shared" si="106"/>
        <v>0.75372879426166373</v>
      </c>
    </row>
    <row r="6622" spans="16:18" x14ac:dyDescent="0.3">
      <c r="P6622" s="35">
        <v>44.08</v>
      </c>
      <c r="Q6622">
        <v>305</v>
      </c>
      <c r="R6622" s="34">
        <f t="shared" si="106"/>
        <v>0.75384265057499633</v>
      </c>
    </row>
    <row r="6623" spans="16:18" x14ac:dyDescent="0.3">
      <c r="P6623" s="35">
        <v>44.08</v>
      </c>
      <c r="Q6623">
        <v>305</v>
      </c>
      <c r="R6623" s="34">
        <f t="shared" si="106"/>
        <v>0.75395650688832894</v>
      </c>
    </row>
    <row r="6624" spans="16:18" x14ac:dyDescent="0.3">
      <c r="P6624" s="35">
        <v>44.08</v>
      </c>
      <c r="Q6624">
        <v>305</v>
      </c>
      <c r="R6624" s="34">
        <f t="shared" si="106"/>
        <v>0.75407036320166154</v>
      </c>
    </row>
    <row r="6625" spans="16:18" x14ac:dyDescent="0.3">
      <c r="P6625" s="35">
        <v>44.08</v>
      </c>
      <c r="Q6625">
        <v>305</v>
      </c>
      <c r="R6625" s="34">
        <f t="shared" si="106"/>
        <v>0.75418421951499415</v>
      </c>
    </row>
    <row r="6626" spans="16:18" x14ac:dyDescent="0.3">
      <c r="P6626" s="35">
        <v>44.1</v>
      </c>
      <c r="Q6626">
        <v>305</v>
      </c>
      <c r="R6626" s="34">
        <f t="shared" si="106"/>
        <v>0.75429807582832675</v>
      </c>
    </row>
    <row r="6627" spans="16:18" x14ac:dyDescent="0.3">
      <c r="P6627" s="35">
        <v>44.1</v>
      </c>
      <c r="Q6627">
        <v>305</v>
      </c>
      <c r="R6627" s="34">
        <f t="shared" si="106"/>
        <v>0.75441193214165936</v>
      </c>
    </row>
    <row r="6628" spans="16:18" x14ac:dyDescent="0.3">
      <c r="P6628" s="35">
        <v>44.1</v>
      </c>
      <c r="Q6628">
        <v>305</v>
      </c>
      <c r="R6628" s="34">
        <f t="shared" si="106"/>
        <v>0.75452578845499196</v>
      </c>
    </row>
    <row r="6629" spans="16:18" x14ac:dyDescent="0.3">
      <c r="P6629" s="35">
        <v>44.1</v>
      </c>
      <c r="Q6629">
        <v>305</v>
      </c>
      <c r="R6629" s="34">
        <f t="shared" si="106"/>
        <v>0.75463964476832457</v>
      </c>
    </row>
    <row r="6630" spans="16:18" x14ac:dyDescent="0.3">
      <c r="P6630" s="35">
        <v>44.13</v>
      </c>
      <c r="Q6630">
        <v>305</v>
      </c>
      <c r="R6630" s="34">
        <f t="shared" si="106"/>
        <v>0.75475350108165717</v>
      </c>
    </row>
    <row r="6631" spans="16:18" x14ac:dyDescent="0.3">
      <c r="P6631" s="35">
        <v>44.13</v>
      </c>
      <c r="Q6631">
        <v>305</v>
      </c>
      <c r="R6631" s="34">
        <f t="shared" si="106"/>
        <v>0.75486735739498978</v>
      </c>
    </row>
    <row r="6632" spans="16:18" x14ac:dyDescent="0.3">
      <c r="P6632" s="35">
        <v>44.19</v>
      </c>
      <c r="Q6632">
        <v>305</v>
      </c>
      <c r="R6632" s="34">
        <f t="shared" si="106"/>
        <v>0.75498121370832239</v>
      </c>
    </row>
    <row r="6633" spans="16:18" x14ac:dyDescent="0.3">
      <c r="P6633" s="35">
        <v>44.19</v>
      </c>
      <c r="Q6633">
        <v>305</v>
      </c>
      <c r="R6633" s="34">
        <f t="shared" si="106"/>
        <v>0.75509507002165499</v>
      </c>
    </row>
    <row r="6634" spans="16:18" x14ac:dyDescent="0.3">
      <c r="P6634" s="35">
        <v>44.22</v>
      </c>
      <c r="Q6634">
        <v>305</v>
      </c>
      <c r="R6634" s="34">
        <f t="shared" si="106"/>
        <v>0.7552089263349876</v>
      </c>
    </row>
    <row r="6635" spans="16:18" x14ac:dyDescent="0.3">
      <c r="P6635" s="35">
        <v>44.23</v>
      </c>
      <c r="Q6635">
        <v>305</v>
      </c>
      <c r="R6635" s="34">
        <f t="shared" si="106"/>
        <v>0.7553227826483202</v>
      </c>
    </row>
    <row r="6636" spans="16:18" x14ac:dyDescent="0.3">
      <c r="P6636" s="35">
        <v>44.24</v>
      </c>
      <c r="Q6636">
        <v>305</v>
      </c>
      <c r="R6636" s="34">
        <f t="shared" si="106"/>
        <v>0.75543663896165281</v>
      </c>
    </row>
    <row r="6637" spans="16:18" x14ac:dyDescent="0.3">
      <c r="P6637" s="35">
        <v>44.25</v>
      </c>
      <c r="Q6637">
        <v>305</v>
      </c>
      <c r="R6637" s="34">
        <f t="shared" si="106"/>
        <v>0.75555049527498541</v>
      </c>
    </row>
    <row r="6638" spans="16:18" x14ac:dyDescent="0.3">
      <c r="P6638" s="35">
        <v>44.26</v>
      </c>
      <c r="Q6638">
        <v>305</v>
      </c>
      <c r="R6638" s="34">
        <f t="shared" si="106"/>
        <v>0.75566435158831802</v>
      </c>
    </row>
    <row r="6639" spans="16:18" x14ac:dyDescent="0.3">
      <c r="P6639" s="35">
        <v>44.27</v>
      </c>
      <c r="Q6639">
        <v>305</v>
      </c>
      <c r="R6639" s="34">
        <f t="shared" si="106"/>
        <v>0.75577820790165062</v>
      </c>
    </row>
    <row r="6640" spans="16:18" x14ac:dyDescent="0.3">
      <c r="P6640" s="35">
        <v>44.27</v>
      </c>
      <c r="Q6640">
        <v>305</v>
      </c>
      <c r="R6640" s="34">
        <f t="shared" si="106"/>
        <v>0.75589206421498323</v>
      </c>
    </row>
    <row r="6641" spans="16:18" x14ac:dyDescent="0.3">
      <c r="P6641" s="35">
        <v>44.28</v>
      </c>
      <c r="Q6641">
        <v>305</v>
      </c>
      <c r="R6641" s="34">
        <f t="shared" si="106"/>
        <v>0.75600592052831583</v>
      </c>
    </row>
    <row r="6642" spans="16:18" x14ac:dyDescent="0.3">
      <c r="P6642" s="35">
        <v>44.29</v>
      </c>
      <c r="Q6642">
        <v>305</v>
      </c>
      <c r="R6642" s="34">
        <f t="shared" si="106"/>
        <v>0.75611977684164844</v>
      </c>
    </row>
    <row r="6643" spans="16:18" x14ac:dyDescent="0.3">
      <c r="P6643" s="35">
        <v>44.29</v>
      </c>
      <c r="Q6643">
        <v>305</v>
      </c>
      <c r="R6643" s="34">
        <f t="shared" si="106"/>
        <v>0.75623363315498104</v>
      </c>
    </row>
    <row r="6644" spans="16:18" x14ac:dyDescent="0.3">
      <c r="P6644" s="35">
        <v>44.29</v>
      </c>
      <c r="Q6644">
        <v>305</v>
      </c>
      <c r="R6644" s="34">
        <f t="shared" si="106"/>
        <v>0.75634748946831365</v>
      </c>
    </row>
    <row r="6645" spans="16:18" x14ac:dyDescent="0.3">
      <c r="P6645" s="35">
        <v>44.31</v>
      </c>
      <c r="Q6645">
        <v>305</v>
      </c>
      <c r="R6645" s="34">
        <f t="shared" si="106"/>
        <v>0.75646134578164625</v>
      </c>
    </row>
    <row r="6646" spans="16:18" x14ac:dyDescent="0.3">
      <c r="P6646" s="35">
        <v>44.33</v>
      </c>
      <c r="Q6646">
        <v>305</v>
      </c>
      <c r="R6646" s="34">
        <f t="shared" si="106"/>
        <v>0.75657520209497886</v>
      </c>
    </row>
    <row r="6647" spans="16:18" x14ac:dyDescent="0.3">
      <c r="P6647" s="35">
        <v>44.34</v>
      </c>
      <c r="Q6647">
        <v>305</v>
      </c>
      <c r="R6647" s="34">
        <f t="shared" si="106"/>
        <v>0.75668905840831147</v>
      </c>
    </row>
    <row r="6648" spans="16:18" x14ac:dyDescent="0.3">
      <c r="P6648" s="35">
        <v>44.34</v>
      </c>
      <c r="Q6648">
        <v>305</v>
      </c>
      <c r="R6648" s="34">
        <f t="shared" si="106"/>
        <v>0.75680291472164407</v>
      </c>
    </row>
    <row r="6649" spans="16:18" x14ac:dyDescent="0.3">
      <c r="P6649" s="35">
        <v>44.35</v>
      </c>
      <c r="Q6649">
        <v>305</v>
      </c>
      <c r="R6649" s="34">
        <f t="shared" si="106"/>
        <v>0.75691677103497668</v>
      </c>
    </row>
    <row r="6650" spans="16:18" x14ac:dyDescent="0.3">
      <c r="P6650" s="35">
        <v>44.36</v>
      </c>
      <c r="Q6650">
        <v>305</v>
      </c>
      <c r="R6650" s="34">
        <f t="shared" si="106"/>
        <v>0.75703062734830928</v>
      </c>
    </row>
    <row r="6651" spans="16:18" x14ac:dyDescent="0.3">
      <c r="P6651" s="35">
        <v>44.37</v>
      </c>
      <c r="Q6651">
        <v>305</v>
      </c>
      <c r="R6651" s="34">
        <f t="shared" si="106"/>
        <v>0.75714448366164189</v>
      </c>
    </row>
    <row r="6652" spans="16:18" x14ac:dyDescent="0.3">
      <c r="P6652" s="35">
        <v>44.37</v>
      </c>
      <c r="Q6652">
        <v>305</v>
      </c>
      <c r="R6652" s="34">
        <f t="shared" si="106"/>
        <v>0.75725833997497449</v>
      </c>
    </row>
    <row r="6653" spans="16:18" x14ac:dyDescent="0.3">
      <c r="P6653" s="35">
        <v>44.37</v>
      </c>
      <c r="Q6653">
        <v>305</v>
      </c>
      <c r="R6653" s="34">
        <f t="shared" si="106"/>
        <v>0.7573721962883071</v>
      </c>
    </row>
    <row r="6654" spans="16:18" x14ac:dyDescent="0.3">
      <c r="P6654" s="35">
        <v>44.39</v>
      </c>
      <c r="Q6654">
        <v>305</v>
      </c>
      <c r="R6654" s="34">
        <f t="shared" si="106"/>
        <v>0.7574860526016397</v>
      </c>
    </row>
    <row r="6655" spans="16:18" x14ac:dyDescent="0.3">
      <c r="P6655" s="35">
        <v>44.39</v>
      </c>
      <c r="Q6655">
        <v>305</v>
      </c>
      <c r="R6655" s="34">
        <f t="shared" si="106"/>
        <v>0.75759990891497231</v>
      </c>
    </row>
    <row r="6656" spans="16:18" x14ac:dyDescent="0.3">
      <c r="P6656" s="35">
        <v>44.39</v>
      </c>
      <c r="Q6656">
        <v>305</v>
      </c>
      <c r="R6656" s="34">
        <f t="shared" si="106"/>
        <v>0.75771376522830491</v>
      </c>
    </row>
    <row r="6657" spans="16:18" x14ac:dyDescent="0.3">
      <c r="P6657" s="35">
        <v>44.39</v>
      </c>
      <c r="Q6657">
        <v>305</v>
      </c>
      <c r="R6657" s="34">
        <f t="shared" si="106"/>
        <v>0.75782762154163752</v>
      </c>
    </row>
    <row r="6658" spans="16:18" x14ac:dyDescent="0.3">
      <c r="P6658" s="35">
        <v>44.39</v>
      </c>
      <c r="Q6658">
        <v>305</v>
      </c>
      <c r="R6658" s="34">
        <f t="shared" si="106"/>
        <v>0.75794147785497012</v>
      </c>
    </row>
    <row r="6659" spans="16:18" x14ac:dyDescent="0.3">
      <c r="P6659" s="35">
        <v>44.4</v>
      </c>
      <c r="Q6659">
        <v>305</v>
      </c>
      <c r="R6659" s="34">
        <f t="shared" si="106"/>
        <v>0.75805533416830273</v>
      </c>
    </row>
    <row r="6660" spans="16:18" x14ac:dyDescent="0.3">
      <c r="P6660" s="35">
        <v>44.42</v>
      </c>
      <c r="Q6660">
        <v>305</v>
      </c>
      <c r="R6660" s="34">
        <f t="shared" ref="R6660:R6723" si="107">R6659+R$2</f>
        <v>0.75816919048163534</v>
      </c>
    </row>
    <row r="6661" spans="16:18" x14ac:dyDescent="0.3">
      <c r="P6661" s="35">
        <v>44.43</v>
      </c>
      <c r="Q6661">
        <v>305</v>
      </c>
      <c r="R6661" s="34">
        <f t="shared" si="107"/>
        <v>0.75828304679496794</v>
      </c>
    </row>
    <row r="6662" spans="16:18" x14ac:dyDescent="0.3">
      <c r="P6662" s="35">
        <v>44.43</v>
      </c>
      <c r="Q6662">
        <v>305</v>
      </c>
      <c r="R6662" s="34">
        <f t="shared" si="107"/>
        <v>0.75839690310830055</v>
      </c>
    </row>
    <row r="6663" spans="16:18" x14ac:dyDescent="0.3">
      <c r="P6663" s="35">
        <v>44.43</v>
      </c>
      <c r="Q6663">
        <v>305</v>
      </c>
      <c r="R6663" s="34">
        <f t="shared" si="107"/>
        <v>0.75851075942163315</v>
      </c>
    </row>
    <row r="6664" spans="16:18" x14ac:dyDescent="0.3">
      <c r="P6664" s="35">
        <v>44.44</v>
      </c>
      <c r="Q6664">
        <v>305</v>
      </c>
      <c r="R6664" s="34">
        <f t="shared" si="107"/>
        <v>0.75862461573496576</v>
      </c>
    </row>
    <row r="6665" spans="16:18" x14ac:dyDescent="0.3">
      <c r="P6665" s="35">
        <v>44.47</v>
      </c>
      <c r="Q6665">
        <v>305</v>
      </c>
      <c r="R6665" s="34">
        <f t="shared" si="107"/>
        <v>0.75873847204829836</v>
      </c>
    </row>
    <row r="6666" spans="16:18" x14ac:dyDescent="0.3">
      <c r="P6666" s="35">
        <v>44.51</v>
      </c>
      <c r="Q6666">
        <v>305</v>
      </c>
      <c r="R6666" s="34">
        <f t="shared" si="107"/>
        <v>0.75885232836163097</v>
      </c>
    </row>
    <row r="6667" spans="16:18" x14ac:dyDescent="0.3">
      <c r="P6667" s="35">
        <v>44.51</v>
      </c>
      <c r="Q6667">
        <v>305</v>
      </c>
      <c r="R6667" s="34">
        <f t="shared" si="107"/>
        <v>0.75896618467496357</v>
      </c>
    </row>
    <row r="6668" spans="16:18" x14ac:dyDescent="0.3">
      <c r="P6668" s="35">
        <v>44.53</v>
      </c>
      <c r="Q6668">
        <v>305</v>
      </c>
      <c r="R6668" s="34">
        <f t="shared" si="107"/>
        <v>0.75908004098829618</v>
      </c>
    </row>
    <row r="6669" spans="16:18" x14ac:dyDescent="0.3">
      <c r="P6669" s="35">
        <v>44.53</v>
      </c>
      <c r="Q6669">
        <v>305</v>
      </c>
      <c r="R6669" s="34">
        <f t="shared" si="107"/>
        <v>0.75919389730162878</v>
      </c>
    </row>
    <row r="6670" spans="16:18" x14ac:dyDescent="0.3">
      <c r="P6670" s="35">
        <v>44.53</v>
      </c>
      <c r="Q6670">
        <v>305</v>
      </c>
      <c r="R6670" s="34">
        <f t="shared" si="107"/>
        <v>0.75930775361496139</v>
      </c>
    </row>
    <row r="6671" spans="16:18" x14ac:dyDescent="0.3">
      <c r="P6671" s="35">
        <v>44.54</v>
      </c>
      <c r="Q6671">
        <v>305</v>
      </c>
      <c r="R6671" s="34">
        <f t="shared" si="107"/>
        <v>0.75942160992829399</v>
      </c>
    </row>
    <row r="6672" spans="16:18" x14ac:dyDescent="0.3">
      <c r="P6672" s="35">
        <v>44.54</v>
      </c>
      <c r="Q6672">
        <v>305</v>
      </c>
      <c r="R6672" s="34">
        <f t="shared" si="107"/>
        <v>0.7595354662416266</v>
      </c>
    </row>
    <row r="6673" spans="16:18" x14ac:dyDescent="0.3">
      <c r="P6673" s="35">
        <v>44.54</v>
      </c>
      <c r="Q6673">
        <v>305</v>
      </c>
      <c r="R6673" s="34">
        <f t="shared" si="107"/>
        <v>0.75964932255495921</v>
      </c>
    </row>
    <row r="6674" spans="16:18" x14ac:dyDescent="0.3">
      <c r="P6674" s="35">
        <v>44.54</v>
      </c>
      <c r="Q6674">
        <v>305</v>
      </c>
      <c r="R6674" s="34">
        <f t="shared" si="107"/>
        <v>0.75976317886829181</v>
      </c>
    </row>
    <row r="6675" spans="16:18" x14ac:dyDescent="0.3">
      <c r="P6675" s="35">
        <v>44.55</v>
      </c>
      <c r="Q6675">
        <v>305</v>
      </c>
      <c r="R6675" s="34">
        <f t="shared" si="107"/>
        <v>0.75987703518162442</v>
      </c>
    </row>
    <row r="6676" spans="16:18" x14ac:dyDescent="0.3">
      <c r="P6676" s="35">
        <v>44.56</v>
      </c>
      <c r="Q6676">
        <v>305</v>
      </c>
      <c r="R6676" s="34">
        <f t="shared" si="107"/>
        <v>0.75999089149495702</v>
      </c>
    </row>
    <row r="6677" spans="16:18" x14ac:dyDescent="0.3">
      <c r="P6677" s="35">
        <v>44.56</v>
      </c>
      <c r="Q6677">
        <v>305</v>
      </c>
      <c r="R6677" s="34">
        <f t="shared" si="107"/>
        <v>0.76010474780828963</v>
      </c>
    </row>
    <row r="6678" spans="16:18" x14ac:dyDescent="0.3">
      <c r="P6678" s="35">
        <v>44.57</v>
      </c>
      <c r="Q6678">
        <v>305</v>
      </c>
      <c r="R6678" s="34">
        <f t="shared" si="107"/>
        <v>0.76021860412162223</v>
      </c>
    </row>
    <row r="6679" spans="16:18" x14ac:dyDescent="0.3">
      <c r="P6679" s="35">
        <v>44.58</v>
      </c>
      <c r="Q6679">
        <v>305</v>
      </c>
      <c r="R6679" s="34">
        <f t="shared" si="107"/>
        <v>0.76033246043495484</v>
      </c>
    </row>
    <row r="6680" spans="16:18" x14ac:dyDescent="0.3">
      <c r="P6680" s="35">
        <v>44.58</v>
      </c>
      <c r="Q6680">
        <v>305</v>
      </c>
      <c r="R6680" s="34">
        <f t="shared" si="107"/>
        <v>0.76044631674828744</v>
      </c>
    </row>
    <row r="6681" spans="16:18" x14ac:dyDescent="0.3">
      <c r="P6681" s="35">
        <v>44.59</v>
      </c>
      <c r="Q6681">
        <v>305</v>
      </c>
      <c r="R6681" s="34">
        <f t="shared" si="107"/>
        <v>0.76056017306162005</v>
      </c>
    </row>
    <row r="6682" spans="16:18" x14ac:dyDescent="0.3">
      <c r="P6682" s="35">
        <v>44.61</v>
      </c>
      <c r="Q6682">
        <v>305</v>
      </c>
      <c r="R6682" s="34">
        <f t="shared" si="107"/>
        <v>0.76067402937495265</v>
      </c>
    </row>
    <row r="6683" spans="16:18" x14ac:dyDescent="0.3">
      <c r="P6683" s="35">
        <v>44.62</v>
      </c>
      <c r="Q6683">
        <v>305</v>
      </c>
      <c r="R6683" s="34">
        <f t="shared" si="107"/>
        <v>0.76078788568828526</v>
      </c>
    </row>
    <row r="6684" spans="16:18" x14ac:dyDescent="0.3">
      <c r="P6684" s="35">
        <v>44.64</v>
      </c>
      <c r="Q6684">
        <v>305</v>
      </c>
      <c r="R6684" s="34">
        <f t="shared" si="107"/>
        <v>0.76090174200161786</v>
      </c>
    </row>
    <row r="6685" spans="16:18" x14ac:dyDescent="0.3">
      <c r="P6685" s="35">
        <v>44.65</v>
      </c>
      <c r="Q6685">
        <v>305</v>
      </c>
      <c r="R6685" s="34">
        <f t="shared" si="107"/>
        <v>0.76101559831495047</v>
      </c>
    </row>
    <row r="6686" spans="16:18" x14ac:dyDescent="0.3">
      <c r="P6686" s="35">
        <v>44.7</v>
      </c>
      <c r="Q6686">
        <v>305</v>
      </c>
      <c r="R6686" s="34">
        <f t="shared" si="107"/>
        <v>0.76112945462828308</v>
      </c>
    </row>
    <row r="6687" spans="16:18" x14ac:dyDescent="0.3">
      <c r="P6687" s="35">
        <v>44.71</v>
      </c>
      <c r="Q6687">
        <v>305</v>
      </c>
      <c r="R6687" s="34">
        <f t="shared" si="107"/>
        <v>0.76124331094161568</v>
      </c>
    </row>
    <row r="6688" spans="16:18" x14ac:dyDescent="0.3">
      <c r="P6688" s="35">
        <v>44.71</v>
      </c>
      <c r="Q6688">
        <v>305</v>
      </c>
      <c r="R6688" s="34">
        <f t="shared" si="107"/>
        <v>0.76135716725494829</v>
      </c>
    </row>
    <row r="6689" spans="16:18" x14ac:dyDescent="0.3">
      <c r="P6689" s="35">
        <v>44.73</v>
      </c>
      <c r="Q6689">
        <v>305</v>
      </c>
      <c r="R6689" s="34">
        <f t="shared" si="107"/>
        <v>0.76147102356828089</v>
      </c>
    </row>
    <row r="6690" spans="16:18" x14ac:dyDescent="0.3">
      <c r="P6690" s="35">
        <v>44.74</v>
      </c>
      <c r="Q6690">
        <v>305</v>
      </c>
      <c r="R6690" s="34">
        <f t="shared" si="107"/>
        <v>0.7615848798816135</v>
      </c>
    </row>
    <row r="6691" spans="16:18" x14ac:dyDescent="0.3">
      <c r="P6691" s="35">
        <v>44.74</v>
      </c>
      <c r="Q6691">
        <v>305</v>
      </c>
      <c r="R6691" s="34">
        <f t="shared" si="107"/>
        <v>0.7616987361949461</v>
      </c>
    </row>
    <row r="6692" spans="16:18" x14ac:dyDescent="0.3">
      <c r="P6692" s="35">
        <v>44.75</v>
      </c>
      <c r="Q6692">
        <v>305</v>
      </c>
      <c r="R6692" s="34">
        <f t="shared" si="107"/>
        <v>0.76181259250827871</v>
      </c>
    </row>
    <row r="6693" spans="16:18" x14ac:dyDescent="0.3">
      <c r="P6693" s="35">
        <v>44.76</v>
      </c>
      <c r="Q6693">
        <v>305</v>
      </c>
      <c r="R6693" s="34">
        <f t="shared" si="107"/>
        <v>0.76192644882161131</v>
      </c>
    </row>
    <row r="6694" spans="16:18" x14ac:dyDescent="0.3">
      <c r="P6694" s="35">
        <v>44.79</v>
      </c>
      <c r="Q6694">
        <v>305</v>
      </c>
      <c r="R6694" s="34">
        <f t="shared" si="107"/>
        <v>0.76204030513494392</v>
      </c>
    </row>
    <row r="6695" spans="16:18" x14ac:dyDescent="0.3">
      <c r="P6695" s="35">
        <v>44.8</v>
      </c>
      <c r="Q6695">
        <v>305</v>
      </c>
      <c r="R6695" s="34">
        <f t="shared" si="107"/>
        <v>0.76215416144827652</v>
      </c>
    </row>
    <row r="6696" spans="16:18" x14ac:dyDescent="0.3">
      <c r="P6696" s="35">
        <v>44.83</v>
      </c>
      <c r="Q6696">
        <v>305</v>
      </c>
      <c r="R6696" s="34">
        <f t="shared" si="107"/>
        <v>0.76226801776160913</v>
      </c>
    </row>
    <row r="6697" spans="16:18" x14ac:dyDescent="0.3">
      <c r="P6697" s="35">
        <v>44.83</v>
      </c>
      <c r="Q6697">
        <v>305</v>
      </c>
      <c r="R6697" s="34">
        <f t="shared" si="107"/>
        <v>0.76238187407494173</v>
      </c>
    </row>
    <row r="6698" spans="16:18" x14ac:dyDescent="0.3">
      <c r="P6698" s="35">
        <v>44.83</v>
      </c>
      <c r="Q6698">
        <v>305</v>
      </c>
      <c r="R6698" s="34">
        <f t="shared" si="107"/>
        <v>0.76249573038827434</v>
      </c>
    </row>
    <row r="6699" spans="16:18" x14ac:dyDescent="0.3">
      <c r="P6699" s="35">
        <v>44.84</v>
      </c>
      <c r="Q6699">
        <v>305</v>
      </c>
      <c r="R6699" s="34">
        <f t="shared" si="107"/>
        <v>0.76260958670160695</v>
      </c>
    </row>
    <row r="6700" spans="16:18" x14ac:dyDescent="0.3">
      <c r="P6700" s="35">
        <v>44.84</v>
      </c>
      <c r="Q6700">
        <v>305</v>
      </c>
      <c r="R6700" s="34">
        <f t="shared" si="107"/>
        <v>0.76272344301493955</v>
      </c>
    </row>
    <row r="6701" spans="16:18" x14ac:dyDescent="0.3">
      <c r="P6701" s="35">
        <v>44.85</v>
      </c>
      <c r="Q6701">
        <v>305</v>
      </c>
      <c r="R6701" s="34">
        <f t="shared" si="107"/>
        <v>0.76283729932827216</v>
      </c>
    </row>
    <row r="6702" spans="16:18" x14ac:dyDescent="0.3">
      <c r="P6702" s="35">
        <v>44.86</v>
      </c>
      <c r="Q6702">
        <v>305</v>
      </c>
      <c r="R6702" s="34">
        <f t="shared" si="107"/>
        <v>0.76295115564160476</v>
      </c>
    </row>
    <row r="6703" spans="16:18" x14ac:dyDescent="0.3">
      <c r="P6703" s="35">
        <v>44.87</v>
      </c>
      <c r="Q6703">
        <v>305</v>
      </c>
      <c r="R6703" s="34">
        <f t="shared" si="107"/>
        <v>0.76306501195493737</v>
      </c>
    </row>
    <row r="6704" spans="16:18" x14ac:dyDescent="0.3">
      <c r="P6704" s="35">
        <v>44.87</v>
      </c>
      <c r="Q6704">
        <v>305</v>
      </c>
      <c r="R6704" s="34">
        <f t="shared" si="107"/>
        <v>0.76317886826826997</v>
      </c>
    </row>
    <row r="6705" spans="16:18" x14ac:dyDescent="0.3">
      <c r="P6705" s="35">
        <v>44.87</v>
      </c>
      <c r="Q6705">
        <v>305</v>
      </c>
      <c r="R6705" s="34">
        <f t="shared" si="107"/>
        <v>0.76329272458160258</v>
      </c>
    </row>
    <row r="6706" spans="16:18" x14ac:dyDescent="0.3">
      <c r="P6706" s="35">
        <v>44.89</v>
      </c>
      <c r="Q6706">
        <v>305</v>
      </c>
      <c r="R6706" s="34">
        <f t="shared" si="107"/>
        <v>0.76340658089493518</v>
      </c>
    </row>
    <row r="6707" spans="16:18" x14ac:dyDescent="0.3">
      <c r="P6707" s="35">
        <v>44.89</v>
      </c>
      <c r="Q6707">
        <v>305</v>
      </c>
      <c r="R6707" s="34">
        <f t="shared" si="107"/>
        <v>0.76352043720826779</v>
      </c>
    </row>
    <row r="6708" spans="16:18" x14ac:dyDescent="0.3">
      <c r="P6708" s="35">
        <v>44.9</v>
      </c>
      <c r="Q6708">
        <v>305</v>
      </c>
      <c r="R6708" s="34">
        <f t="shared" si="107"/>
        <v>0.76363429352160039</v>
      </c>
    </row>
    <row r="6709" spans="16:18" x14ac:dyDescent="0.3">
      <c r="P6709" s="35">
        <v>44.9</v>
      </c>
      <c r="Q6709">
        <v>305</v>
      </c>
      <c r="R6709" s="34">
        <f t="shared" si="107"/>
        <v>0.763748149834933</v>
      </c>
    </row>
    <row r="6710" spans="16:18" x14ac:dyDescent="0.3">
      <c r="P6710" s="35">
        <v>44.9</v>
      </c>
      <c r="Q6710">
        <v>305</v>
      </c>
      <c r="R6710" s="34">
        <f t="shared" si="107"/>
        <v>0.7638620061482656</v>
      </c>
    </row>
    <row r="6711" spans="16:18" x14ac:dyDescent="0.3">
      <c r="P6711" s="35">
        <v>44.92</v>
      </c>
      <c r="Q6711">
        <v>305</v>
      </c>
      <c r="R6711" s="34">
        <f t="shared" si="107"/>
        <v>0.76397586246159821</v>
      </c>
    </row>
    <row r="6712" spans="16:18" x14ac:dyDescent="0.3">
      <c r="P6712" s="35">
        <v>44.93</v>
      </c>
      <c r="Q6712">
        <v>305</v>
      </c>
      <c r="R6712" s="34">
        <f t="shared" si="107"/>
        <v>0.76408971877493082</v>
      </c>
    </row>
    <row r="6713" spans="16:18" x14ac:dyDescent="0.3">
      <c r="P6713" s="35">
        <v>44.93</v>
      </c>
      <c r="Q6713">
        <v>305</v>
      </c>
      <c r="R6713" s="34">
        <f t="shared" si="107"/>
        <v>0.76420357508826342</v>
      </c>
    </row>
    <row r="6714" spans="16:18" x14ac:dyDescent="0.3">
      <c r="P6714" s="35">
        <v>44.94</v>
      </c>
      <c r="Q6714">
        <v>305</v>
      </c>
      <c r="R6714" s="34">
        <f t="shared" si="107"/>
        <v>0.76431743140159603</v>
      </c>
    </row>
    <row r="6715" spans="16:18" x14ac:dyDescent="0.3">
      <c r="P6715" s="35">
        <v>44.96</v>
      </c>
      <c r="Q6715">
        <v>305</v>
      </c>
      <c r="R6715" s="34">
        <f t="shared" si="107"/>
        <v>0.76443128771492863</v>
      </c>
    </row>
    <row r="6716" spans="16:18" x14ac:dyDescent="0.3">
      <c r="P6716" s="35">
        <v>44.96</v>
      </c>
      <c r="Q6716">
        <v>305</v>
      </c>
      <c r="R6716" s="34">
        <f t="shared" si="107"/>
        <v>0.76454514402826124</v>
      </c>
    </row>
    <row r="6717" spans="16:18" x14ac:dyDescent="0.3">
      <c r="P6717" s="35">
        <v>44.99</v>
      </c>
      <c r="Q6717">
        <v>305</v>
      </c>
      <c r="R6717" s="34">
        <f t="shared" si="107"/>
        <v>0.76465900034159384</v>
      </c>
    </row>
    <row r="6718" spans="16:18" x14ac:dyDescent="0.3">
      <c r="P6718" s="35">
        <v>45.01</v>
      </c>
      <c r="Q6718">
        <v>305</v>
      </c>
      <c r="R6718" s="34">
        <f t="shared" si="107"/>
        <v>0.76477285665492645</v>
      </c>
    </row>
    <row r="6719" spans="16:18" x14ac:dyDescent="0.3">
      <c r="P6719" s="35">
        <v>45.02</v>
      </c>
      <c r="Q6719">
        <v>305</v>
      </c>
      <c r="R6719" s="34">
        <f t="shared" si="107"/>
        <v>0.76488671296825905</v>
      </c>
    </row>
    <row r="6720" spans="16:18" x14ac:dyDescent="0.3">
      <c r="P6720" s="35">
        <v>45.02</v>
      </c>
      <c r="Q6720">
        <v>305</v>
      </c>
      <c r="R6720" s="34">
        <f t="shared" si="107"/>
        <v>0.76500056928159166</v>
      </c>
    </row>
    <row r="6721" spans="16:18" x14ac:dyDescent="0.3">
      <c r="P6721" s="35">
        <v>45.05</v>
      </c>
      <c r="Q6721">
        <v>305</v>
      </c>
      <c r="R6721" s="34">
        <f t="shared" si="107"/>
        <v>0.76511442559492426</v>
      </c>
    </row>
    <row r="6722" spans="16:18" x14ac:dyDescent="0.3">
      <c r="P6722" s="35">
        <v>45.06</v>
      </c>
      <c r="Q6722">
        <v>305</v>
      </c>
      <c r="R6722" s="34">
        <f t="shared" si="107"/>
        <v>0.76522828190825687</v>
      </c>
    </row>
    <row r="6723" spans="16:18" x14ac:dyDescent="0.3">
      <c r="P6723" s="35">
        <v>45.08</v>
      </c>
      <c r="Q6723">
        <v>305</v>
      </c>
      <c r="R6723" s="34">
        <f t="shared" si="107"/>
        <v>0.76534213822158947</v>
      </c>
    </row>
    <row r="6724" spans="16:18" x14ac:dyDescent="0.3">
      <c r="P6724" s="35">
        <v>45.09</v>
      </c>
      <c r="Q6724">
        <v>305</v>
      </c>
      <c r="R6724" s="34">
        <f t="shared" ref="R6724:R6787" si="108">R6723+R$2</f>
        <v>0.76545599453492208</v>
      </c>
    </row>
    <row r="6725" spans="16:18" x14ac:dyDescent="0.3">
      <c r="P6725" s="35">
        <v>45.1</v>
      </c>
      <c r="Q6725">
        <v>305</v>
      </c>
      <c r="R6725" s="34">
        <f t="shared" si="108"/>
        <v>0.76556985084825468</v>
      </c>
    </row>
    <row r="6726" spans="16:18" x14ac:dyDescent="0.3">
      <c r="P6726" s="35">
        <v>45.1</v>
      </c>
      <c r="Q6726">
        <v>305</v>
      </c>
      <c r="R6726" s="34">
        <f t="shared" si="108"/>
        <v>0.76568370716158729</v>
      </c>
    </row>
    <row r="6727" spans="16:18" x14ac:dyDescent="0.3">
      <c r="P6727" s="35">
        <v>45.1</v>
      </c>
      <c r="Q6727">
        <v>305</v>
      </c>
      <c r="R6727" s="34">
        <f t="shared" si="108"/>
        <v>0.7657975634749199</v>
      </c>
    </row>
    <row r="6728" spans="16:18" x14ac:dyDescent="0.3">
      <c r="P6728" s="35">
        <v>45.12</v>
      </c>
      <c r="Q6728">
        <v>305</v>
      </c>
      <c r="R6728" s="34">
        <f t="shared" si="108"/>
        <v>0.7659114197882525</v>
      </c>
    </row>
    <row r="6729" spans="16:18" x14ac:dyDescent="0.3">
      <c r="P6729" s="35">
        <v>45.13</v>
      </c>
      <c r="Q6729">
        <v>305</v>
      </c>
      <c r="R6729" s="34">
        <f t="shared" si="108"/>
        <v>0.76602527610158511</v>
      </c>
    </row>
    <row r="6730" spans="16:18" x14ac:dyDescent="0.3">
      <c r="P6730" s="35">
        <v>45.14</v>
      </c>
      <c r="Q6730">
        <v>305</v>
      </c>
      <c r="R6730" s="34">
        <f t="shared" si="108"/>
        <v>0.76613913241491771</v>
      </c>
    </row>
    <row r="6731" spans="16:18" x14ac:dyDescent="0.3">
      <c r="P6731" s="35">
        <v>45.14</v>
      </c>
      <c r="Q6731">
        <v>305</v>
      </c>
      <c r="R6731" s="34">
        <f t="shared" si="108"/>
        <v>0.76625298872825032</v>
      </c>
    </row>
    <row r="6732" spans="16:18" x14ac:dyDescent="0.3">
      <c r="P6732" s="35">
        <v>45.15</v>
      </c>
      <c r="Q6732">
        <v>305</v>
      </c>
      <c r="R6732" s="34">
        <f t="shared" si="108"/>
        <v>0.76636684504158292</v>
      </c>
    </row>
    <row r="6733" spans="16:18" x14ac:dyDescent="0.3">
      <c r="P6733" s="35">
        <v>45.17</v>
      </c>
      <c r="Q6733">
        <v>305</v>
      </c>
      <c r="R6733" s="34">
        <f t="shared" si="108"/>
        <v>0.76648070135491553</v>
      </c>
    </row>
    <row r="6734" spans="16:18" x14ac:dyDescent="0.3">
      <c r="P6734" s="35">
        <v>45.18</v>
      </c>
      <c r="Q6734">
        <v>305</v>
      </c>
      <c r="R6734" s="34">
        <f t="shared" si="108"/>
        <v>0.76659455766824813</v>
      </c>
    </row>
    <row r="6735" spans="16:18" x14ac:dyDescent="0.3">
      <c r="P6735" s="35">
        <v>45.19</v>
      </c>
      <c r="Q6735">
        <v>305</v>
      </c>
      <c r="R6735" s="34">
        <f t="shared" si="108"/>
        <v>0.76670841398158074</v>
      </c>
    </row>
    <row r="6736" spans="16:18" x14ac:dyDescent="0.3">
      <c r="P6736" s="35">
        <v>45.2</v>
      </c>
      <c r="Q6736">
        <v>305</v>
      </c>
      <c r="R6736" s="34">
        <f t="shared" si="108"/>
        <v>0.76682227029491334</v>
      </c>
    </row>
    <row r="6737" spans="16:18" x14ac:dyDescent="0.3">
      <c r="P6737" s="35">
        <v>45.21</v>
      </c>
      <c r="Q6737">
        <v>305</v>
      </c>
      <c r="R6737" s="34">
        <f t="shared" si="108"/>
        <v>0.76693612660824595</v>
      </c>
    </row>
    <row r="6738" spans="16:18" x14ac:dyDescent="0.3">
      <c r="P6738" s="35">
        <v>45.22</v>
      </c>
      <c r="Q6738">
        <v>305</v>
      </c>
      <c r="R6738" s="34">
        <f t="shared" si="108"/>
        <v>0.76704998292157855</v>
      </c>
    </row>
    <row r="6739" spans="16:18" x14ac:dyDescent="0.3">
      <c r="P6739" s="35">
        <v>45.25</v>
      </c>
      <c r="Q6739">
        <v>305</v>
      </c>
      <c r="R6739" s="34">
        <f t="shared" si="108"/>
        <v>0.76716383923491116</v>
      </c>
    </row>
    <row r="6740" spans="16:18" x14ac:dyDescent="0.3">
      <c r="P6740" s="35">
        <v>45.25</v>
      </c>
      <c r="Q6740">
        <v>305</v>
      </c>
      <c r="R6740" s="34">
        <f t="shared" si="108"/>
        <v>0.76727769554824377</v>
      </c>
    </row>
    <row r="6741" spans="16:18" x14ac:dyDescent="0.3">
      <c r="P6741" s="35">
        <v>45.25</v>
      </c>
      <c r="Q6741">
        <v>305</v>
      </c>
      <c r="R6741" s="34">
        <f t="shared" si="108"/>
        <v>0.76739155186157637</v>
      </c>
    </row>
    <row r="6742" spans="16:18" x14ac:dyDescent="0.3">
      <c r="P6742" s="35">
        <v>45.28</v>
      </c>
      <c r="Q6742">
        <v>305</v>
      </c>
      <c r="R6742" s="34">
        <f t="shared" si="108"/>
        <v>0.76750540817490898</v>
      </c>
    </row>
    <row r="6743" spans="16:18" x14ac:dyDescent="0.3">
      <c r="P6743" s="35">
        <v>45.3</v>
      </c>
      <c r="Q6743">
        <v>305</v>
      </c>
      <c r="R6743" s="34">
        <f t="shared" si="108"/>
        <v>0.76761926448824158</v>
      </c>
    </row>
    <row r="6744" spans="16:18" x14ac:dyDescent="0.3">
      <c r="P6744" s="35">
        <v>45.31</v>
      </c>
      <c r="Q6744">
        <v>305</v>
      </c>
      <c r="R6744" s="34">
        <f t="shared" si="108"/>
        <v>0.76773312080157419</v>
      </c>
    </row>
    <row r="6745" spans="16:18" x14ac:dyDescent="0.3">
      <c r="P6745" s="35">
        <v>45.31</v>
      </c>
      <c r="Q6745">
        <v>305</v>
      </c>
      <c r="R6745" s="34">
        <f t="shared" si="108"/>
        <v>0.76784697711490679</v>
      </c>
    </row>
    <row r="6746" spans="16:18" x14ac:dyDescent="0.3">
      <c r="P6746" s="35">
        <v>45.32</v>
      </c>
      <c r="Q6746">
        <v>305</v>
      </c>
      <c r="R6746" s="34">
        <f t="shared" si="108"/>
        <v>0.7679608334282394</v>
      </c>
    </row>
    <row r="6747" spans="16:18" x14ac:dyDescent="0.3">
      <c r="P6747" s="35">
        <v>45.33</v>
      </c>
      <c r="Q6747">
        <v>305</v>
      </c>
      <c r="R6747" s="34">
        <f t="shared" si="108"/>
        <v>0.768074689741572</v>
      </c>
    </row>
    <row r="6748" spans="16:18" x14ac:dyDescent="0.3">
      <c r="P6748" s="35">
        <v>45.33</v>
      </c>
      <c r="Q6748">
        <v>305</v>
      </c>
      <c r="R6748" s="34">
        <f t="shared" si="108"/>
        <v>0.76818854605490461</v>
      </c>
    </row>
    <row r="6749" spans="16:18" x14ac:dyDescent="0.3">
      <c r="P6749" s="35">
        <v>45.34</v>
      </c>
      <c r="Q6749">
        <v>305</v>
      </c>
      <c r="R6749" s="34">
        <f t="shared" si="108"/>
        <v>0.76830240236823721</v>
      </c>
    </row>
    <row r="6750" spans="16:18" x14ac:dyDescent="0.3">
      <c r="P6750" s="35">
        <v>45.34</v>
      </c>
      <c r="Q6750">
        <v>305</v>
      </c>
      <c r="R6750" s="34">
        <f t="shared" si="108"/>
        <v>0.76841625868156982</v>
      </c>
    </row>
    <row r="6751" spans="16:18" x14ac:dyDescent="0.3">
      <c r="P6751" s="35">
        <v>45.34</v>
      </c>
      <c r="Q6751">
        <v>305</v>
      </c>
      <c r="R6751" s="34">
        <f t="shared" si="108"/>
        <v>0.76853011499490242</v>
      </c>
    </row>
    <row r="6752" spans="16:18" x14ac:dyDescent="0.3">
      <c r="P6752" s="35">
        <v>45.36</v>
      </c>
      <c r="Q6752">
        <v>305</v>
      </c>
      <c r="R6752" s="34">
        <f t="shared" si="108"/>
        <v>0.76864397130823503</v>
      </c>
    </row>
    <row r="6753" spans="16:18" x14ac:dyDescent="0.3">
      <c r="P6753" s="35">
        <v>45.38</v>
      </c>
      <c r="Q6753">
        <v>305</v>
      </c>
      <c r="R6753" s="34">
        <f t="shared" si="108"/>
        <v>0.76875782762156764</v>
      </c>
    </row>
    <row r="6754" spans="16:18" x14ac:dyDescent="0.3">
      <c r="P6754" s="35">
        <v>45.4</v>
      </c>
      <c r="Q6754">
        <v>305</v>
      </c>
      <c r="R6754" s="34">
        <f t="shared" si="108"/>
        <v>0.76887168393490024</v>
      </c>
    </row>
    <row r="6755" spans="16:18" x14ac:dyDescent="0.3">
      <c r="P6755" s="35">
        <v>45.41</v>
      </c>
      <c r="Q6755">
        <v>305</v>
      </c>
      <c r="R6755" s="34">
        <f t="shared" si="108"/>
        <v>0.76898554024823285</v>
      </c>
    </row>
    <row r="6756" spans="16:18" x14ac:dyDescent="0.3">
      <c r="P6756" s="35">
        <v>45.41</v>
      </c>
      <c r="Q6756">
        <v>305</v>
      </c>
      <c r="R6756" s="34">
        <f t="shared" si="108"/>
        <v>0.76909939656156545</v>
      </c>
    </row>
    <row r="6757" spans="16:18" x14ac:dyDescent="0.3">
      <c r="P6757" s="35">
        <v>45.42</v>
      </c>
      <c r="Q6757">
        <v>305</v>
      </c>
      <c r="R6757" s="34">
        <f t="shared" si="108"/>
        <v>0.76921325287489806</v>
      </c>
    </row>
    <row r="6758" spans="16:18" x14ac:dyDescent="0.3">
      <c r="P6758" s="35">
        <v>45.42</v>
      </c>
      <c r="Q6758">
        <v>305</v>
      </c>
      <c r="R6758" s="34">
        <f t="shared" si="108"/>
        <v>0.76932710918823066</v>
      </c>
    </row>
    <row r="6759" spans="16:18" x14ac:dyDescent="0.3">
      <c r="P6759" s="35">
        <v>45.43</v>
      </c>
      <c r="Q6759">
        <v>305</v>
      </c>
      <c r="R6759" s="34">
        <f t="shared" si="108"/>
        <v>0.76944096550156327</v>
      </c>
    </row>
    <row r="6760" spans="16:18" x14ac:dyDescent="0.3">
      <c r="P6760" s="35">
        <v>45.43</v>
      </c>
      <c r="Q6760">
        <v>305</v>
      </c>
      <c r="R6760" s="34">
        <f t="shared" si="108"/>
        <v>0.76955482181489587</v>
      </c>
    </row>
    <row r="6761" spans="16:18" x14ac:dyDescent="0.3">
      <c r="P6761" s="35">
        <v>45.44</v>
      </c>
      <c r="Q6761">
        <v>305</v>
      </c>
      <c r="R6761" s="34">
        <f t="shared" si="108"/>
        <v>0.76966867812822848</v>
      </c>
    </row>
    <row r="6762" spans="16:18" x14ac:dyDescent="0.3">
      <c r="P6762" s="35">
        <v>45.45</v>
      </c>
      <c r="Q6762">
        <v>305</v>
      </c>
      <c r="R6762" s="34">
        <f t="shared" si="108"/>
        <v>0.76978253444156108</v>
      </c>
    </row>
    <row r="6763" spans="16:18" x14ac:dyDescent="0.3">
      <c r="P6763" s="35">
        <v>45.46</v>
      </c>
      <c r="Q6763">
        <v>305</v>
      </c>
      <c r="R6763" s="34">
        <f t="shared" si="108"/>
        <v>0.76989639075489369</v>
      </c>
    </row>
    <row r="6764" spans="16:18" x14ac:dyDescent="0.3">
      <c r="P6764" s="35">
        <v>45.47</v>
      </c>
      <c r="Q6764">
        <v>305</v>
      </c>
      <c r="R6764" s="34">
        <f t="shared" si="108"/>
        <v>0.77001024706822629</v>
      </c>
    </row>
    <row r="6765" spans="16:18" x14ac:dyDescent="0.3">
      <c r="P6765" s="35">
        <v>45.48</v>
      </c>
      <c r="Q6765">
        <v>305</v>
      </c>
      <c r="R6765" s="34">
        <f t="shared" si="108"/>
        <v>0.7701241033815589</v>
      </c>
    </row>
    <row r="6766" spans="16:18" x14ac:dyDescent="0.3">
      <c r="P6766" s="35">
        <v>45.49</v>
      </c>
      <c r="Q6766">
        <v>305</v>
      </c>
      <c r="R6766" s="34">
        <f t="shared" si="108"/>
        <v>0.77023795969489151</v>
      </c>
    </row>
    <row r="6767" spans="16:18" x14ac:dyDescent="0.3">
      <c r="P6767" s="35">
        <v>45.51</v>
      </c>
      <c r="Q6767">
        <v>305</v>
      </c>
      <c r="R6767" s="34">
        <f t="shared" si="108"/>
        <v>0.77035181600822411</v>
      </c>
    </row>
    <row r="6768" spans="16:18" x14ac:dyDescent="0.3">
      <c r="P6768" s="35">
        <v>45.51</v>
      </c>
      <c r="Q6768">
        <v>305</v>
      </c>
      <c r="R6768" s="34">
        <f t="shared" si="108"/>
        <v>0.77046567232155672</v>
      </c>
    </row>
    <row r="6769" spans="16:18" x14ac:dyDescent="0.3">
      <c r="P6769" s="35">
        <v>45.54</v>
      </c>
      <c r="Q6769">
        <v>305</v>
      </c>
      <c r="R6769" s="34">
        <f t="shared" si="108"/>
        <v>0.77057952863488932</v>
      </c>
    </row>
    <row r="6770" spans="16:18" x14ac:dyDescent="0.3">
      <c r="P6770" s="35">
        <v>45.55</v>
      </c>
      <c r="Q6770">
        <v>305</v>
      </c>
      <c r="R6770" s="34">
        <f t="shared" si="108"/>
        <v>0.77069338494822193</v>
      </c>
    </row>
    <row r="6771" spans="16:18" x14ac:dyDescent="0.3">
      <c r="P6771" s="35">
        <v>45.57</v>
      </c>
      <c r="Q6771">
        <v>305</v>
      </c>
      <c r="R6771" s="34">
        <f t="shared" si="108"/>
        <v>0.77080724126155453</v>
      </c>
    </row>
    <row r="6772" spans="16:18" x14ac:dyDescent="0.3">
      <c r="P6772" s="35">
        <v>45.58</v>
      </c>
      <c r="Q6772">
        <v>305</v>
      </c>
      <c r="R6772" s="34">
        <f t="shared" si="108"/>
        <v>0.77092109757488714</v>
      </c>
    </row>
    <row r="6773" spans="16:18" x14ac:dyDescent="0.3">
      <c r="P6773" s="35">
        <v>45.61</v>
      </c>
      <c r="Q6773">
        <v>305</v>
      </c>
      <c r="R6773" s="34">
        <f t="shared" si="108"/>
        <v>0.77103495388821974</v>
      </c>
    </row>
    <row r="6774" spans="16:18" x14ac:dyDescent="0.3">
      <c r="P6774" s="35">
        <v>45.62</v>
      </c>
      <c r="Q6774">
        <v>305</v>
      </c>
      <c r="R6774" s="34">
        <f t="shared" si="108"/>
        <v>0.77114881020155235</v>
      </c>
    </row>
    <row r="6775" spans="16:18" x14ac:dyDescent="0.3">
      <c r="P6775" s="35">
        <v>45.64</v>
      </c>
      <c r="Q6775">
        <v>305</v>
      </c>
      <c r="R6775" s="34">
        <f t="shared" si="108"/>
        <v>0.77126266651488495</v>
      </c>
    </row>
    <row r="6776" spans="16:18" x14ac:dyDescent="0.3">
      <c r="P6776" s="35">
        <v>45.65</v>
      </c>
      <c r="Q6776">
        <v>305</v>
      </c>
      <c r="R6776" s="34">
        <f t="shared" si="108"/>
        <v>0.77137652282821756</v>
      </c>
    </row>
    <row r="6777" spans="16:18" x14ac:dyDescent="0.3">
      <c r="P6777" s="35">
        <v>45.65</v>
      </c>
      <c r="Q6777">
        <v>305</v>
      </c>
      <c r="R6777" s="34">
        <f t="shared" si="108"/>
        <v>0.77149037914155016</v>
      </c>
    </row>
    <row r="6778" spans="16:18" x14ac:dyDescent="0.3">
      <c r="P6778" s="35">
        <v>45.66</v>
      </c>
      <c r="Q6778">
        <v>305</v>
      </c>
      <c r="R6778" s="34">
        <f t="shared" si="108"/>
        <v>0.77160423545488277</v>
      </c>
    </row>
    <row r="6779" spans="16:18" x14ac:dyDescent="0.3">
      <c r="P6779" s="35">
        <v>45.67</v>
      </c>
      <c r="Q6779">
        <v>305</v>
      </c>
      <c r="R6779" s="34">
        <f t="shared" si="108"/>
        <v>0.77171809176821538</v>
      </c>
    </row>
    <row r="6780" spans="16:18" x14ac:dyDescent="0.3">
      <c r="P6780" s="35">
        <v>45.7</v>
      </c>
      <c r="Q6780">
        <v>305</v>
      </c>
      <c r="R6780" s="34">
        <f t="shared" si="108"/>
        <v>0.77183194808154798</v>
      </c>
    </row>
    <row r="6781" spans="16:18" x14ac:dyDescent="0.3">
      <c r="P6781" s="35">
        <v>45.71</v>
      </c>
      <c r="Q6781">
        <v>305</v>
      </c>
      <c r="R6781" s="34">
        <f t="shared" si="108"/>
        <v>0.77194580439488059</v>
      </c>
    </row>
    <row r="6782" spans="16:18" x14ac:dyDescent="0.3">
      <c r="P6782" s="35">
        <v>45.72</v>
      </c>
      <c r="Q6782">
        <v>305</v>
      </c>
      <c r="R6782" s="34">
        <f t="shared" si="108"/>
        <v>0.77205966070821319</v>
      </c>
    </row>
    <row r="6783" spans="16:18" x14ac:dyDescent="0.3">
      <c r="P6783" s="35">
        <v>45.73</v>
      </c>
      <c r="Q6783">
        <v>305</v>
      </c>
      <c r="R6783" s="34">
        <f t="shared" si="108"/>
        <v>0.7721735170215458</v>
      </c>
    </row>
    <row r="6784" spans="16:18" x14ac:dyDescent="0.3">
      <c r="P6784" s="35">
        <v>45.73</v>
      </c>
      <c r="Q6784">
        <v>305</v>
      </c>
      <c r="R6784" s="34">
        <f t="shared" si="108"/>
        <v>0.7722873733348784</v>
      </c>
    </row>
    <row r="6785" spans="16:18" x14ac:dyDescent="0.3">
      <c r="P6785" s="35">
        <v>45.73</v>
      </c>
      <c r="Q6785">
        <v>305</v>
      </c>
      <c r="R6785" s="34">
        <f t="shared" si="108"/>
        <v>0.77240122964821101</v>
      </c>
    </row>
    <row r="6786" spans="16:18" x14ac:dyDescent="0.3">
      <c r="P6786" s="35">
        <v>45.74</v>
      </c>
      <c r="Q6786">
        <v>305</v>
      </c>
      <c r="R6786" s="34">
        <f t="shared" si="108"/>
        <v>0.77251508596154361</v>
      </c>
    </row>
    <row r="6787" spans="16:18" x14ac:dyDescent="0.3">
      <c r="P6787" s="35">
        <v>45.74</v>
      </c>
      <c r="Q6787">
        <v>305</v>
      </c>
      <c r="R6787" s="34">
        <f t="shared" si="108"/>
        <v>0.77262894227487622</v>
      </c>
    </row>
    <row r="6788" spans="16:18" x14ac:dyDescent="0.3">
      <c r="P6788" s="35">
        <v>45.74</v>
      </c>
      <c r="Q6788">
        <v>305</v>
      </c>
      <c r="R6788" s="34">
        <f t="shared" ref="R6788:R6851" si="109">R6787+R$2</f>
        <v>0.77274279858820882</v>
      </c>
    </row>
    <row r="6789" spans="16:18" x14ac:dyDescent="0.3">
      <c r="P6789" s="35">
        <v>45.75</v>
      </c>
      <c r="Q6789">
        <v>305</v>
      </c>
      <c r="R6789" s="34">
        <f t="shared" si="109"/>
        <v>0.77285665490154143</v>
      </c>
    </row>
    <row r="6790" spans="16:18" x14ac:dyDescent="0.3">
      <c r="P6790" s="35">
        <v>45.75</v>
      </c>
      <c r="Q6790">
        <v>305</v>
      </c>
      <c r="R6790" s="34">
        <f t="shared" si="109"/>
        <v>0.77297051121487403</v>
      </c>
    </row>
    <row r="6791" spans="16:18" x14ac:dyDescent="0.3">
      <c r="P6791" s="35">
        <v>45.76</v>
      </c>
      <c r="Q6791">
        <v>305</v>
      </c>
      <c r="R6791" s="34">
        <f t="shared" si="109"/>
        <v>0.77308436752820664</v>
      </c>
    </row>
    <row r="6792" spans="16:18" x14ac:dyDescent="0.3">
      <c r="P6792" s="35">
        <v>45.76</v>
      </c>
      <c r="Q6792">
        <v>305</v>
      </c>
      <c r="R6792" s="34">
        <f t="shared" si="109"/>
        <v>0.77319822384153924</v>
      </c>
    </row>
    <row r="6793" spans="16:18" x14ac:dyDescent="0.3">
      <c r="P6793" s="35">
        <v>45.78</v>
      </c>
      <c r="Q6793">
        <v>305</v>
      </c>
      <c r="R6793" s="34">
        <f t="shared" si="109"/>
        <v>0.77331208015487185</v>
      </c>
    </row>
    <row r="6794" spans="16:18" x14ac:dyDescent="0.3">
      <c r="P6794" s="35">
        <v>45.79</v>
      </c>
      <c r="Q6794">
        <v>305</v>
      </c>
      <c r="R6794" s="34">
        <f t="shared" si="109"/>
        <v>0.77342593646820446</v>
      </c>
    </row>
    <row r="6795" spans="16:18" x14ac:dyDescent="0.3">
      <c r="P6795" s="35">
        <v>45.8</v>
      </c>
      <c r="Q6795">
        <v>305</v>
      </c>
      <c r="R6795" s="34">
        <f t="shared" si="109"/>
        <v>0.77353979278153706</v>
      </c>
    </row>
    <row r="6796" spans="16:18" x14ac:dyDescent="0.3">
      <c r="P6796" s="35">
        <v>45.8</v>
      </c>
      <c r="Q6796">
        <v>305</v>
      </c>
      <c r="R6796" s="34">
        <f t="shared" si="109"/>
        <v>0.77365364909486967</v>
      </c>
    </row>
    <row r="6797" spans="16:18" x14ac:dyDescent="0.3">
      <c r="P6797" s="35">
        <v>45.84</v>
      </c>
      <c r="Q6797">
        <v>305</v>
      </c>
      <c r="R6797" s="34">
        <f t="shared" si="109"/>
        <v>0.77376750540820227</v>
      </c>
    </row>
    <row r="6798" spans="16:18" x14ac:dyDescent="0.3">
      <c r="P6798" s="35">
        <v>45.85</v>
      </c>
      <c r="Q6798">
        <v>305</v>
      </c>
      <c r="R6798" s="34">
        <f t="shared" si="109"/>
        <v>0.77388136172153488</v>
      </c>
    </row>
    <row r="6799" spans="16:18" x14ac:dyDescent="0.3">
      <c r="P6799" s="35">
        <v>45.86</v>
      </c>
      <c r="Q6799">
        <v>305</v>
      </c>
      <c r="R6799" s="34">
        <f t="shared" si="109"/>
        <v>0.77399521803486748</v>
      </c>
    </row>
    <row r="6800" spans="16:18" x14ac:dyDescent="0.3">
      <c r="P6800" s="35">
        <v>45.86</v>
      </c>
      <c r="Q6800">
        <v>305</v>
      </c>
      <c r="R6800" s="34">
        <f t="shared" si="109"/>
        <v>0.77410907434820009</v>
      </c>
    </row>
    <row r="6801" spans="16:18" x14ac:dyDescent="0.3">
      <c r="P6801" s="35">
        <v>45.86</v>
      </c>
      <c r="Q6801">
        <v>305</v>
      </c>
      <c r="R6801" s="34">
        <f t="shared" si="109"/>
        <v>0.77422293066153269</v>
      </c>
    </row>
    <row r="6802" spans="16:18" x14ac:dyDescent="0.3">
      <c r="P6802" s="35">
        <v>45.87</v>
      </c>
      <c r="Q6802">
        <v>305</v>
      </c>
      <c r="R6802" s="34">
        <f t="shared" si="109"/>
        <v>0.7743367869748653</v>
      </c>
    </row>
    <row r="6803" spans="16:18" x14ac:dyDescent="0.3">
      <c r="P6803" s="35">
        <v>45.88</v>
      </c>
      <c r="Q6803">
        <v>305</v>
      </c>
      <c r="R6803" s="34">
        <f t="shared" si="109"/>
        <v>0.7744506432881979</v>
      </c>
    </row>
    <row r="6804" spans="16:18" x14ac:dyDescent="0.3">
      <c r="P6804" s="35">
        <v>45.89</v>
      </c>
      <c r="Q6804">
        <v>305</v>
      </c>
      <c r="R6804" s="34">
        <f t="shared" si="109"/>
        <v>0.77456449960153051</v>
      </c>
    </row>
    <row r="6805" spans="16:18" x14ac:dyDescent="0.3">
      <c r="P6805" s="35">
        <v>45.9</v>
      </c>
      <c r="Q6805">
        <v>305</v>
      </c>
      <c r="R6805" s="34">
        <f t="shared" si="109"/>
        <v>0.77467835591486311</v>
      </c>
    </row>
    <row r="6806" spans="16:18" x14ac:dyDescent="0.3">
      <c r="P6806" s="35">
        <v>45.9</v>
      </c>
      <c r="Q6806">
        <v>305</v>
      </c>
      <c r="R6806" s="34">
        <f t="shared" si="109"/>
        <v>0.77479221222819572</v>
      </c>
    </row>
    <row r="6807" spans="16:18" x14ac:dyDescent="0.3">
      <c r="P6807" s="35">
        <v>45.9</v>
      </c>
      <c r="Q6807">
        <v>305</v>
      </c>
      <c r="R6807" s="34">
        <f t="shared" si="109"/>
        <v>0.77490606854152833</v>
      </c>
    </row>
    <row r="6808" spans="16:18" x14ac:dyDescent="0.3">
      <c r="P6808" s="35">
        <v>45.92</v>
      </c>
      <c r="Q6808">
        <v>305</v>
      </c>
      <c r="R6808" s="34">
        <f t="shared" si="109"/>
        <v>0.77501992485486093</v>
      </c>
    </row>
    <row r="6809" spans="16:18" x14ac:dyDescent="0.3">
      <c r="P6809" s="35">
        <v>45.92</v>
      </c>
      <c r="Q6809">
        <v>305</v>
      </c>
      <c r="R6809" s="34">
        <f t="shared" si="109"/>
        <v>0.77513378116819354</v>
      </c>
    </row>
    <row r="6810" spans="16:18" x14ac:dyDescent="0.3">
      <c r="P6810" s="35">
        <v>45.97</v>
      </c>
      <c r="Q6810">
        <v>305</v>
      </c>
      <c r="R6810" s="34">
        <f t="shared" si="109"/>
        <v>0.77524763748152614</v>
      </c>
    </row>
    <row r="6811" spans="16:18" x14ac:dyDescent="0.3">
      <c r="P6811" s="35">
        <v>45.97</v>
      </c>
      <c r="Q6811">
        <v>305</v>
      </c>
      <c r="R6811" s="34">
        <f t="shared" si="109"/>
        <v>0.77536149379485875</v>
      </c>
    </row>
    <row r="6812" spans="16:18" x14ac:dyDescent="0.3">
      <c r="P6812" s="35">
        <v>45.99</v>
      </c>
      <c r="Q6812">
        <v>305</v>
      </c>
      <c r="R6812" s="34">
        <f t="shared" si="109"/>
        <v>0.77547535010819135</v>
      </c>
    </row>
    <row r="6813" spans="16:18" x14ac:dyDescent="0.3">
      <c r="P6813" s="35">
        <v>45.99</v>
      </c>
      <c r="Q6813">
        <v>305</v>
      </c>
      <c r="R6813" s="34">
        <f t="shared" si="109"/>
        <v>0.77558920642152396</v>
      </c>
    </row>
    <row r="6814" spans="16:18" x14ac:dyDescent="0.3">
      <c r="P6814" s="35">
        <v>46</v>
      </c>
      <c r="Q6814">
        <v>305</v>
      </c>
      <c r="R6814" s="34">
        <f t="shared" si="109"/>
        <v>0.77570306273485656</v>
      </c>
    </row>
    <row r="6815" spans="16:18" x14ac:dyDescent="0.3">
      <c r="P6815" s="35">
        <v>46</v>
      </c>
      <c r="Q6815">
        <v>305</v>
      </c>
      <c r="R6815" s="34">
        <f t="shared" si="109"/>
        <v>0.77581691904818917</v>
      </c>
    </row>
    <row r="6816" spans="16:18" x14ac:dyDescent="0.3">
      <c r="P6816" s="35">
        <v>46</v>
      </c>
      <c r="Q6816">
        <v>305</v>
      </c>
      <c r="R6816" s="34">
        <f t="shared" si="109"/>
        <v>0.77593077536152177</v>
      </c>
    </row>
    <row r="6817" spans="16:18" x14ac:dyDescent="0.3">
      <c r="P6817" s="35">
        <v>46</v>
      </c>
      <c r="Q6817">
        <v>305</v>
      </c>
      <c r="R6817" s="34">
        <f t="shared" si="109"/>
        <v>0.77604463167485438</v>
      </c>
    </row>
    <row r="6818" spans="16:18" x14ac:dyDescent="0.3">
      <c r="P6818" s="35">
        <v>46.01</v>
      </c>
      <c r="Q6818">
        <v>305</v>
      </c>
      <c r="R6818" s="34">
        <f t="shared" si="109"/>
        <v>0.77615848798818698</v>
      </c>
    </row>
    <row r="6819" spans="16:18" x14ac:dyDescent="0.3">
      <c r="P6819" s="35">
        <v>46.01</v>
      </c>
      <c r="Q6819">
        <v>305</v>
      </c>
      <c r="R6819" s="34">
        <f t="shared" si="109"/>
        <v>0.77627234430151959</v>
      </c>
    </row>
    <row r="6820" spans="16:18" x14ac:dyDescent="0.3">
      <c r="P6820" s="35">
        <v>46.02</v>
      </c>
      <c r="Q6820">
        <v>305</v>
      </c>
      <c r="R6820" s="34">
        <f t="shared" si="109"/>
        <v>0.7763862006148522</v>
      </c>
    </row>
    <row r="6821" spans="16:18" x14ac:dyDescent="0.3">
      <c r="P6821" s="35">
        <v>46.04</v>
      </c>
      <c r="Q6821">
        <v>305</v>
      </c>
      <c r="R6821" s="34">
        <f t="shared" si="109"/>
        <v>0.7765000569281848</v>
      </c>
    </row>
    <row r="6822" spans="16:18" x14ac:dyDescent="0.3">
      <c r="P6822" s="35">
        <v>46.06</v>
      </c>
      <c r="Q6822">
        <v>305</v>
      </c>
      <c r="R6822" s="34">
        <f t="shared" si="109"/>
        <v>0.77661391324151741</v>
      </c>
    </row>
    <row r="6823" spans="16:18" x14ac:dyDescent="0.3">
      <c r="P6823" s="35">
        <v>46.08</v>
      </c>
      <c r="Q6823">
        <v>305</v>
      </c>
      <c r="R6823" s="34">
        <f t="shared" si="109"/>
        <v>0.77672776955485001</v>
      </c>
    </row>
    <row r="6824" spans="16:18" x14ac:dyDescent="0.3">
      <c r="P6824" s="35">
        <v>46.09</v>
      </c>
      <c r="Q6824">
        <v>305</v>
      </c>
      <c r="R6824" s="34">
        <f t="shared" si="109"/>
        <v>0.77684162586818262</v>
      </c>
    </row>
    <row r="6825" spans="16:18" x14ac:dyDescent="0.3">
      <c r="P6825" s="35">
        <v>46.09</v>
      </c>
      <c r="Q6825">
        <v>305</v>
      </c>
      <c r="R6825" s="34">
        <f t="shared" si="109"/>
        <v>0.77695548218151522</v>
      </c>
    </row>
    <row r="6826" spans="16:18" x14ac:dyDescent="0.3">
      <c r="P6826" s="35">
        <v>46.09</v>
      </c>
      <c r="Q6826">
        <v>305</v>
      </c>
      <c r="R6826" s="34">
        <f t="shared" si="109"/>
        <v>0.77706933849484783</v>
      </c>
    </row>
    <row r="6827" spans="16:18" x14ac:dyDescent="0.3">
      <c r="P6827" s="35">
        <v>46.12</v>
      </c>
      <c r="Q6827">
        <v>305</v>
      </c>
      <c r="R6827" s="34">
        <f t="shared" si="109"/>
        <v>0.77718319480818043</v>
      </c>
    </row>
    <row r="6828" spans="16:18" x14ac:dyDescent="0.3">
      <c r="P6828" s="35">
        <v>46.13</v>
      </c>
      <c r="Q6828">
        <v>305</v>
      </c>
      <c r="R6828" s="34">
        <f t="shared" si="109"/>
        <v>0.77729705112151304</v>
      </c>
    </row>
    <row r="6829" spans="16:18" x14ac:dyDescent="0.3">
      <c r="P6829" s="35">
        <v>46.14</v>
      </c>
      <c r="Q6829">
        <v>305</v>
      </c>
      <c r="R6829" s="34">
        <f t="shared" si="109"/>
        <v>0.77741090743484564</v>
      </c>
    </row>
    <row r="6830" spans="16:18" x14ac:dyDescent="0.3">
      <c r="P6830" s="35">
        <v>46.14</v>
      </c>
      <c r="Q6830">
        <v>305</v>
      </c>
      <c r="R6830" s="34">
        <f t="shared" si="109"/>
        <v>0.77752476374817825</v>
      </c>
    </row>
    <row r="6831" spans="16:18" x14ac:dyDescent="0.3">
      <c r="P6831" s="35">
        <v>46.21</v>
      </c>
      <c r="Q6831">
        <v>305</v>
      </c>
      <c r="R6831" s="34">
        <f t="shared" si="109"/>
        <v>0.77763862006151085</v>
      </c>
    </row>
    <row r="6832" spans="16:18" x14ac:dyDescent="0.3">
      <c r="P6832" s="35">
        <v>46.21</v>
      </c>
      <c r="Q6832">
        <v>305</v>
      </c>
      <c r="R6832" s="34">
        <f t="shared" si="109"/>
        <v>0.77775247637484346</v>
      </c>
    </row>
    <row r="6833" spans="16:18" x14ac:dyDescent="0.3">
      <c r="P6833" s="35">
        <v>46.21</v>
      </c>
      <c r="Q6833">
        <v>305</v>
      </c>
      <c r="R6833" s="34">
        <f t="shared" si="109"/>
        <v>0.77786633268817607</v>
      </c>
    </row>
    <row r="6834" spans="16:18" x14ac:dyDescent="0.3">
      <c r="P6834" s="35">
        <v>46.22</v>
      </c>
      <c r="Q6834">
        <v>305</v>
      </c>
      <c r="R6834" s="34">
        <f t="shared" si="109"/>
        <v>0.77798018900150867</v>
      </c>
    </row>
    <row r="6835" spans="16:18" x14ac:dyDescent="0.3">
      <c r="P6835" s="35">
        <v>46.23</v>
      </c>
      <c r="Q6835">
        <v>305</v>
      </c>
      <c r="R6835" s="34">
        <f t="shared" si="109"/>
        <v>0.77809404531484128</v>
      </c>
    </row>
    <row r="6836" spans="16:18" x14ac:dyDescent="0.3">
      <c r="P6836" s="35">
        <v>46.24</v>
      </c>
      <c r="Q6836">
        <v>305</v>
      </c>
      <c r="R6836" s="34">
        <f t="shared" si="109"/>
        <v>0.77820790162817388</v>
      </c>
    </row>
    <row r="6837" spans="16:18" x14ac:dyDescent="0.3">
      <c r="P6837" s="35">
        <v>46.24</v>
      </c>
      <c r="Q6837">
        <v>305</v>
      </c>
      <c r="R6837" s="34">
        <f t="shared" si="109"/>
        <v>0.77832175794150649</v>
      </c>
    </row>
    <row r="6838" spans="16:18" x14ac:dyDescent="0.3">
      <c r="P6838" s="35">
        <v>46.26</v>
      </c>
      <c r="Q6838">
        <v>305</v>
      </c>
      <c r="R6838" s="34">
        <f t="shared" si="109"/>
        <v>0.77843561425483909</v>
      </c>
    </row>
    <row r="6839" spans="16:18" x14ac:dyDescent="0.3">
      <c r="P6839" s="35">
        <v>46.28</v>
      </c>
      <c r="Q6839">
        <v>305</v>
      </c>
      <c r="R6839" s="34">
        <f t="shared" si="109"/>
        <v>0.7785494705681717</v>
      </c>
    </row>
    <row r="6840" spans="16:18" x14ac:dyDescent="0.3">
      <c r="P6840" s="35">
        <v>46.29</v>
      </c>
      <c r="Q6840">
        <v>305</v>
      </c>
      <c r="R6840" s="34">
        <f t="shared" si="109"/>
        <v>0.7786633268815043</v>
      </c>
    </row>
    <row r="6841" spans="16:18" x14ac:dyDescent="0.3">
      <c r="P6841" s="35">
        <v>46.29</v>
      </c>
      <c r="Q6841">
        <v>305</v>
      </c>
      <c r="R6841" s="34">
        <f t="shared" si="109"/>
        <v>0.77877718319483691</v>
      </c>
    </row>
    <row r="6842" spans="16:18" x14ac:dyDescent="0.3">
      <c r="P6842" s="35">
        <v>46.29</v>
      </c>
      <c r="Q6842">
        <v>305</v>
      </c>
      <c r="R6842" s="34">
        <f t="shared" si="109"/>
        <v>0.77889103950816951</v>
      </c>
    </row>
    <row r="6843" spans="16:18" x14ac:dyDescent="0.3">
      <c r="P6843" s="35">
        <v>46.29</v>
      </c>
      <c r="Q6843">
        <v>305</v>
      </c>
      <c r="R6843" s="34">
        <f t="shared" si="109"/>
        <v>0.77900489582150212</v>
      </c>
    </row>
    <row r="6844" spans="16:18" x14ac:dyDescent="0.3">
      <c r="P6844" s="35">
        <v>46.3</v>
      </c>
      <c r="Q6844">
        <v>305</v>
      </c>
      <c r="R6844" s="34">
        <f t="shared" si="109"/>
        <v>0.77911875213483472</v>
      </c>
    </row>
    <row r="6845" spans="16:18" x14ac:dyDescent="0.3">
      <c r="P6845" s="35">
        <v>46.3</v>
      </c>
      <c r="Q6845">
        <v>305</v>
      </c>
      <c r="R6845" s="34">
        <f t="shared" si="109"/>
        <v>0.77923260844816733</v>
      </c>
    </row>
    <row r="6846" spans="16:18" x14ac:dyDescent="0.3">
      <c r="P6846" s="35">
        <v>46.31</v>
      </c>
      <c r="Q6846">
        <v>305</v>
      </c>
      <c r="R6846" s="34">
        <f t="shared" si="109"/>
        <v>0.77934646476149994</v>
      </c>
    </row>
    <row r="6847" spans="16:18" x14ac:dyDescent="0.3">
      <c r="P6847" s="35">
        <v>46.31</v>
      </c>
      <c r="Q6847">
        <v>305</v>
      </c>
      <c r="R6847" s="34">
        <f t="shared" si="109"/>
        <v>0.77946032107483254</v>
      </c>
    </row>
    <row r="6848" spans="16:18" x14ac:dyDescent="0.3">
      <c r="P6848" s="35">
        <v>46.32</v>
      </c>
      <c r="Q6848">
        <v>305</v>
      </c>
      <c r="R6848" s="34">
        <f t="shared" si="109"/>
        <v>0.77957417738816515</v>
      </c>
    </row>
    <row r="6849" spans="16:18" x14ac:dyDescent="0.3">
      <c r="P6849" s="35">
        <v>46.34</v>
      </c>
      <c r="Q6849">
        <v>305</v>
      </c>
      <c r="R6849" s="34">
        <f t="shared" si="109"/>
        <v>0.77968803370149775</v>
      </c>
    </row>
    <row r="6850" spans="16:18" x14ac:dyDescent="0.3">
      <c r="P6850" s="35">
        <v>46.34</v>
      </c>
      <c r="Q6850">
        <v>305</v>
      </c>
      <c r="R6850" s="34">
        <f t="shared" si="109"/>
        <v>0.77980189001483036</v>
      </c>
    </row>
    <row r="6851" spans="16:18" x14ac:dyDescent="0.3">
      <c r="P6851" s="35">
        <v>46.35</v>
      </c>
      <c r="Q6851">
        <v>305</v>
      </c>
      <c r="R6851" s="34">
        <f t="shared" si="109"/>
        <v>0.77991574632816296</v>
      </c>
    </row>
    <row r="6852" spans="16:18" x14ac:dyDescent="0.3">
      <c r="P6852" s="35">
        <v>46.35</v>
      </c>
      <c r="Q6852">
        <v>305</v>
      </c>
      <c r="R6852" s="34">
        <f t="shared" ref="R6852:R6915" si="110">R6851+R$2</f>
        <v>0.78002960264149557</v>
      </c>
    </row>
    <row r="6853" spans="16:18" x14ac:dyDescent="0.3">
      <c r="P6853" s="35">
        <v>46.38</v>
      </c>
      <c r="Q6853">
        <v>305</v>
      </c>
      <c r="R6853" s="34">
        <f t="shared" si="110"/>
        <v>0.78014345895482817</v>
      </c>
    </row>
    <row r="6854" spans="16:18" x14ac:dyDescent="0.3">
      <c r="P6854" s="35">
        <v>46.39</v>
      </c>
      <c r="Q6854">
        <v>305</v>
      </c>
      <c r="R6854" s="34">
        <f t="shared" si="110"/>
        <v>0.78025731526816078</v>
      </c>
    </row>
    <row r="6855" spans="16:18" x14ac:dyDescent="0.3">
      <c r="P6855" s="35">
        <v>46.39</v>
      </c>
      <c r="Q6855">
        <v>305</v>
      </c>
      <c r="R6855" s="34">
        <f t="shared" si="110"/>
        <v>0.78037117158149338</v>
      </c>
    </row>
    <row r="6856" spans="16:18" x14ac:dyDescent="0.3">
      <c r="P6856" s="35">
        <v>46.39</v>
      </c>
      <c r="Q6856">
        <v>305</v>
      </c>
      <c r="R6856" s="34">
        <f t="shared" si="110"/>
        <v>0.78048502789482599</v>
      </c>
    </row>
    <row r="6857" spans="16:18" x14ac:dyDescent="0.3">
      <c r="P6857" s="35">
        <v>46.41</v>
      </c>
      <c r="Q6857">
        <v>305</v>
      </c>
      <c r="R6857" s="34">
        <f t="shared" si="110"/>
        <v>0.78059888420815859</v>
      </c>
    </row>
    <row r="6858" spans="16:18" x14ac:dyDescent="0.3">
      <c r="P6858" s="35">
        <v>46.42</v>
      </c>
      <c r="Q6858">
        <v>305</v>
      </c>
      <c r="R6858" s="34">
        <f t="shared" si="110"/>
        <v>0.7807127405214912</v>
      </c>
    </row>
    <row r="6859" spans="16:18" x14ac:dyDescent="0.3">
      <c r="P6859" s="35">
        <v>46.43</v>
      </c>
      <c r="Q6859">
        <v>305</v>
      </c>
      <c r="R6859" s="34">
        <f t="shared" si="110"/>
        <v>0.78082659683482381</v>
      </c>
    </row>
    <row r="6860" spans="16:18" x14ac:dyDescent="0.3">
      <c r="P6860" s="35">
        <v>46.45</v>
      </c>
      <c r="Q6860">
        <v>305</v>
      </c>
      <c r="R6860" s="34">
        <f t="shared" si="110"/>
        <v>0.78094045314815641</v>
      </c>
    </row>
    <row r="6861" spans="16:18" x14ac:dyDescent="0.3">
      <c r="P6861" s="35">
        <v>46.49</v>
      </c>
      <c r="Q6861">
        <v>305</v>
      </c>
      <c r="R6861" s="34">
        <f t="shared" si="110"/>
        <v>0.78105430946148902</v>
      </c>
    </row>
    <row r="6862" spans="16:18" x14ac:dyDescent="0.3">
      <c r="P6862" s="35">
        <v>46.51</v>
      </c>
      <c r="Q6862">
        <v>305</v>
      </c>
      <c r="R6862" s="34">
        <f t="shared" si="110"/>
        <v>0.78116816577482162</v>
      </c>
    </row>
    <row r="6863" spans="16:18" x14ac:dyDescent="0.3">
      <c r="P6863" s="35">
        <v>46.52</v>
      </c>
      <c r="Q6863">
        <v>305</v>
      </c>
      <c r="R6863" s="34">
        <f t="shared" si="110"/>
        <v>0.78128202208815423</v>
      </c>
    </row>
    <row r="6864" spans="16:18" x14ac:dyDescent="0.3">
      <c r="P6864" s="35">
        <v>46.52</v>
      </c>
      <c r="Q6864">
        <v>305</v>
      </c>
      <c r="R6864" s="34">
        <f t="shared" si="110"/>
        <v>0.78139587840148683</v>
      </c>
    </row>
    <row r="6865" spans="16:18" x14ac:dyDescent="0.3">
      <c r="P6865" s="35">
        <v>46.55</v>
      </c>
      <c r="Q6865">
        <v>305</v>
      </c>
      <c r="R6865" s="34">
        <f t="shared" si="110"/>
        <v>0.78150973471481944</v>
      </c>
    </row>
    <row r="6866" spans="16:18" x14ac:dyDescent="0.3">
      <c r="P6866" s="35">
        <v>46.55</v>
      </c>
      <c r="Q6866">
        <v>305</v>
      </c>
      <c r="R6866" s="34">
        <f t="shared" si="110"/>
        <v>0.78162359102815204</v>
      </c>
    </row>
    <row r="6867" spans="16:18" x14ac:dyDescent="0.3">
      <c r="P6867" s="35">
        <v>46.56</v>
      </c>
      <c r="Q6867">
        <v>305</v>
      </c>
      <c r="R6867" s="34">
        <f t="shared" si="110"/>
        <v>0.78173744734148465</v>
      </c>
    </row>
    <row r="6868" spans="16:18" x14ac:dyDescent="0.3">
      <c r="P6868" s="35">
        <v>46.58</v>
      </c>
      <c r="Q6868">
        <v>305</v>
      </c>
      <c r="R6868" s="34">
        <f t="shared" si="110"/>
        <v>0.78185130365481725</v>
      </c>
    </row>
    <row r="6869" spans="16:18" x14ac:dyDescent="0.3">
      <c r="P6869" s="35">
        <v>46.58</v>
      </c>
      <c r="Q6869">
        <v>305</v>
      </c>
      <c r="R6869" s="34">
        <f t="shared" si="110"/>
        <v>0.78196515996814986</v>
      </c>
    </row>
    <row r="6870" spans="16:18" x14ac:dyDescent="0.3">
      <c r="P6870" s="35">
        <v>46.59</v>
      </c>
      <c r="Q6870">
        <v>305</v>
      </c>
      <c r="R6870" s="34">
        <f t="shared" si="110"/>
        <v>0.78207901628148246</v>
      </c>
    </row>
    <row r="6871" spans="16:18" x14ac:dyDescent="0.3">
      <c r="P6871" s="35">
        <v>46.6</v>
      </c>
      <c r="Q6871">
        <v>305</v>
      </c>
      <c r="R6871" s="34">
        <f t="shared" si="110"/>
        <v>0.78219287259481507</v>
      </c>
    </row>
    <row r="6872" spans="16:18" x14ac:dyDescent="0.3">
      <c r="P6872" s="35">
        <v>46.61</v>
      </c>
      <c r="Q6872">
        <v>305</v>
      </c>
      <c r="R6872" s="34">
        <f t="shared" si="110"/>
        <v>0.78230672890814767</v>
      </c>
    </row>
    <row r="6873" spans="16:18" x14ac:dyDescent="0.3">
      <c r="P6873" s="35">
        <v>46.61</v>
      </c>
      <c r="Q6873">
        <v>305</v>
      </c>
      <c r="R6873" s="34">
        <f t="shared" si="110"/>
        <v>0.78242058522148028</v>
      </c>
    </row>
    <row r="6874" spans="16:18" x14ac:dyDescent="0.3">
      <c r="P6874" s="35">
        <v>46.66</v>
      </c>
      <c r="Q6874">
        <v>305</v>
      </c>
      <c r="R6874" s="34">
        <f t="shared" si="110"/>
        <v>0.78253444153481289</v>
      </c>
    </row>
    <row r="6875" spans="16:18" x14ac:dyDescent="0.3">
      <c r="P6875" s="35">
        <v>46.66</v>
      </c>
      <c r="Q6875">
        <v>305</v>
      </c>
      <c r="R6875" s="34">
        <f t="shared" si="110"/>
        <v>0.78264829784814549</v>
      </c>
    </row>
    <row r="6876" spans="16:18" x14ac:dyDescent="0.3">
      <c r="P6876" s="35">
        <v>46.66</v>
      </c>
      <c r="Q6876">
        <v>305</v>
      </c>
      <c r="R6876" s="34">
        <f t="shared" si="110"/>
        <v>0.7827621541614781</v>
      </c>
    </row>
    <row r="6877" spans="16:18" x14ac:dyDescent="0.3">
      <c r="P6877" s="35">
        <v>46.67</v>
      </c>
      <c r="Q6877">
        <v>305</v>
      </c>
      <c r="R6877" s="34">
        <f t="shared" si="110"/>
        <v>0.7828760104748107</v>
      </c>
    </row>
    <row r="6878" spans="16:18" x14ac:dyDescent="0.3">
      <c r="P6878" s="35">
        <v>46.68</v>
      </c>
      <c r="Q6878">
        <v>305</v>
      </c>
      <c r="R6878" s="34">
        <f t="shared" si="110"/>
        <v>0.78298986678814331</v>
      </c>
    </row>
    <row r="6879" spans="16:18" x14ac:dyDescent="0.3">
      <c r="P6879" s="35">
        <v>46.68</v>
      </c>
      <c r="Q6879">
        <v>305</v>
      </c>
      <c r="R6879" s="34">
        <f t="shared" si="110"/>
        <v>0.78310372310147591</v>
      </c>
    </row>
    <row r="6880" spans="16:18" x14ac:dyDescent="0.3">
      <c r="P6880" s="35">
        <v>46.69</v>
      </c>
      <c r="Q6880">
        <v>305</v>
      </c>
      <c r="R6880" s="34">
        <f t="shared" si="110"/>
        <v>0.78321757941480852</v>
      </c>
    </row>
    <row r="6881" spans="16:18" x14ac:dyDescent="0.3">
      <c r="P6881" s="35">
        <v>46.69</v>
      </c>
      <c r="Q6881">
        <v>305</v>
      </c>
      <c r="R6881" s="34">
        <f t="shared" si="110"/>
        <v>0.78333143572814112</v>
      </c>
    </row>
    <row r="6882" spans="16:18" x14ac:dyDescent="0.3">
      <c r="P6882" s="35">
        <v>46.71</v>
      </c>
      <c r="Q6882">
        <v>305</v>
      </c>
      <c r="R6882" s="34">
        <f t="shared" si="110"/>
        <v>0.78344529204147373</v>
      </c>
    </row>
    <row r="6883" spans="16:18" x14ac:dyDescent="0.3">
      <c r="P6883" s="35">
        <v>46.71</v>
      </c>
      <c r="Q6883">
        <v>305</v>
      </c>
      <c r="R6883" s="34">
        <f t="shared" si="110"/>
        <v>0.78355914835480633</v>
      </c>
    </row>
    <row r="6884" spans="16:18" x14ac:dyDescent="0.3">
      <c r="P6884" s="35">
        <v>46.72</v>
      </c>
      <c r="Q6884">
        <v>305</v>
      </c>
      <c r="R6884" s="34">
        <f t="shared" si="110"/>
        <v>0.78367300466813894</v>
      </c>
    </row>
    <row r="6885" spans="16:18" x14ac:dyDescent="0.3">
      <c r="P6885" s="35">
        <v>46.73</v>
      </c>
      <c r="Q6885">
        <v>305</v>
      </c>
      <c r="R6885" s="34">
        <f t="shared" si="110"/>
        <v>0.78378686098147154</v>
      </c>
    </row>
    <row r="6886" spans="16:18" x14ac:dyDescent="0.3">
      <c r="P6886" s="35">
        <v>46.73</v>
      </c>
      <c r="Q6886">
        <v>305</v>
      </c>
      <c r="R6886" s="34">
        <f t="shared" si="110"/>
        <v>0.78390071729480415</v>
      </c>
    </row>
    <row r="6887" spans="16:18" x14ac:dyDescent="0.3">
      <c r="P6887" s="35">
        <v>46.74</v>
      </c>
      <c r="Q6887">
        <v>305</v>
      </c>
      <c r="R6887" s="34">
        <f t="shared" si="110"/>
        <v>0.78401457360813676</v>
      </c>
    </row>
    <row r="6888" spans="16:18" x14ac:dyDescent="0.3">
      <c r="P6888" s="35">
        <v>46.76</v>
      </c>
      <c r="Q6888">
        <v>305</v>
      </c>
      <c r="R6888" s="34">
        <f t="shared" si="110"/>
        <v>0.78412842992146936</v>
      </c>
    </row>
    <row r="6889" spans="16:18" x14ac:dyDescent="0.3">
      <c r="P6889" s="35">
        <v>46.77</v>
      </c>
      <c r="Q6889">
        <v>305</v>
      </c>
      <c r="R6889" s="34">
        <f t="shared" si="110"/>
        <v>0.78424228623480197</v>
      </c>
    </row>
    <row r="6890" spans="16:18" x14ac:dyDescent="0.3">
      <c r="P6890" s="35">
        <v>46.77</v>
      </c>
      <c r="Q6890">
        <v>305</v>
      </c>
      <c r="R6890" s="34">
        <f t="shared" si="110"/>
        <v>0.78435614254813457</v>
      </c>
    </row>
    <row r="6891" spans="16:18" x14ac:dyDescent="0.3">
      <c r="P6891" s="35">
        <v>46.78</v>
      </c>
      <c r="Q6891">
        <v>305</v>
      </c>
      <c r="R6891" s="34">
        <f t="shared" si="110"/>
        <v>0.78446999886146718</v>
      </c>
    </row>
    <row r="6892" spans="16:18" x14ac:dyDescent="0.3">
      <c r="P6892" s="35">
        <v>46.79</v>
      </c>
      <c r="Q6892">
        <v>305</v>
      </c>
      <c r="R6892" s="34">
        <f t="shared" si="110"/>
        <v>0.78458385517479978</v>
      </c>
    </row>
    <row r="6893" spans="16:18" x14ac:dyDescent="0.3">
      <c r="P6893" s="35">
        <v>46.8</v>
      </c>
      <c r="Q6893">
        <v>305</v>
      </c>
      <c r="R6893" s="34">
        <f t="shared" si="110"/>
        <v>0.78469771148813239</v>
      </c>
    </row>
    <row r="6894" spans="16:18" x14ac:dyDescent="0.3">
      <c r="P6894" s="35">
        <v>46.81</v>
      </c>
      <c r="Q6894">
        <v>305</v>
      </c>
      <c r="R6894" s="34">
        <f t="shared" si="110"/>
        <v>0.78481156780146499</v>
      </c>
    </row>
    <row r="6895" spans="16:18" x14ac:dyDescent="0.3">
      <c r="P6895" s="35">
        <v>46.81</v>
      </c>
      <c r="Q6895">
        <v>305</v>
      </c>
      <c r="R6895" s="34">
        <f t="shared" si="110"/>
        <v>0.7849254241147976</v>
      </c>
    </row>
    <row r="6896" spans="16:18" x14ac:dyDescent="0.3">
      <c r="P6896" s="35">
        <v>46.81</v>
      </c>
      <c r="Q6896">
        <v>305</v>
      </c>
      <c r="R6896" s="34">
        <f t="shared" si="110"/>
        <v>0.7850392804281302</v>
      </c>
    </row>
    <row r="6897" spans="16:18" x14ac:dyDescent="0.3">
      <c r="P6897" s="35">
        <v>46.81</v>
      </c>
      <c r="Q6897">
        <v>305</v>
      </c>
      <c r="R6897" s="34">
        <f t="shared" si="110"/>
        <v>0.78515313674146281</v>
      </c>
    </row>
    <row r="6898" spans="16:18" x14ac:dyDescent="0.3">
      <c r="P6898" s="35">
        <v>46.82</v>
      </c>
      <c r="Q6898">
        <v>305</v>
      </c>
      <c r="R6898" s="34">
        <f t="shared" si="110"/>
        <v>0.78526699305479541</v>
      </c>
    </row>
    <row r="6899" spans="16:18" x14ac:dyDescent="0.3">
      <c r="P6899" s="35">
        <v>46.84</v>
      </c>
      <c r="Q6899">
        <v>305</v>
      </c>
      <c r="R6899" s="34">
        <f t="shared" si="110"/>
        <v>0.78538084936812802</v>
      </c>
    </row>
    <row r="6900" spans="16:18" x14ac:dyDescent="0.3">
      <c r="P6900" s="35">
        <v>46.85</v>
      </c>
      <c r="Q6900">
        <v>305</v>
      </c>
      <c r="R6900" s="34">
        <f t="shared" si="110"/>
        <v>0.78549470568146063</v>
      </c>
    </row>
    <row r="6901" spans="16:18" x14ac:dyDescent="0.3">
      <c r="P6901" s="35">
        <v>46.85</v>
      </c>
      <c r="Q6901">
        <v>305</v>
      </c>
      <c r="R6901" s="34">
        <f t="shared" si="110"/>
        <v>0.78560856199479323</v>
      </c>
    </row>
    <row r="6902" spans="16:18" x14ac:dyDescent="0.3">
      <c r="P6902" s="35">
        <v>46.91</v>
      </c>
      <c r="Q6902">
        <v>305</v>
      </c>
      <c r="R6902" s="34">
        <f t="shared" si="110"/>
        <v>0.78572241830812584</v>
      </c>
    </row>
    <row r="6903" spans="16:18" x14ac:dyDescent="0.3">
      <c r="P6903" s="35">
        <v>46.92</v>
      </c>
      <c r="Q6903">
        <v>305</v>
      </c>
      <c r="R6903" s="34">
        <f t="shared" si="110"/>
        <v>0.78583627462145844</v>
      </c>
    </row>
    <row r="6904" spans="16:18" x14ac:dyDescent="0.3">
      <c r="P6904" s="35">
        <v>46.92</v>
      </c>
      <c r="Q6904">
        <v>305</v>
      </c>
      <c r="R6904" s="34">
        <f t="shared" si="110"/>
        <v>0.78595013093479105</v>
      </c>
    </row>
    <row r="6905" spans="16:18" x14ac:dyDescent="0.3">
      <c r="P6905" s="35">
        <v>46.94</v>
      </c>
      <c r="Q6905">
        <v>305</v>
      </c>
      <c r="R6905" s="34">
        <f t="shared" si="110"/>
        <v>0.78606398724812365</v>
      </c>
    </row>
    <row r="6906" spans="16:18" x14ac:dyDescent="0.3">
      <c r="P6906" s="35">
        <v>46.94</v>
      </c>
      <c r="Q6906">
        <v>305</v>
      </c>
      <c r="R6906" s="34">
        <f t="shared" si="110"/>
        <v>0.78617784356145626</v>
      </c>
    </row>
    <row r="6907" spans="16:18" x14ac:dyDescent="0.3">
      <c r="P6907" s="35">
        <v>46.95</v>
      </c>
      <c r="Q6907">
        <v>305</v>
      </c>
      <c r="R6907" s="34">
        <f t="shared" si="110"/>
        <v>0.78629169987478886</v>
      </c>
    </row>
    <row r="6908" spans="16:18" x14ac:dyDescent="0.3">
      <c r="P6908" s="35">
        <v>46.97</v>
      </c>
      <c r="Q6908">
        <v>305</v>
      </c>
      <c r="R6908" s="34">
        <f t="shared" si="110"/>
        <v>0.78640555618812147</v>
      </c>
    </row>
    <row r="6909" spans="16:18" x14ac:dyDescent="0.3">
      <c r="P6909" s="35">
        <v>46.97</v>
      </c>
      <c r="Q6909">
        <v>305</v>
      </c>
      <c r="R6909" s="34">
        <f t="shared" si="110"/>
        <v>0.78651941250145407</v>
      </c>
    </row>
    <row r="6910" spans="16:18" x14ac:dyDescent="0.3">
      <c r="P6910" s="35">
        <v>46.98</v>
      </c>
      <c r="Q6910">
        <v>305</v>
      </c>
      <c r="R6910" s="34">
        <f t="shared" si="110"/>
        <v>0.78663326881478668</v>
      </c>
    </row>
    <row r="6911" spans="16:18" x14ac:dyDescent="0.3">
      <c r="P6911" s="35">
        <v>46.98</v>
      </c>
      <c r="Q6911">
        <v>305</v>
      </c>
      <c r="R6911" s="34">
        <f t="shared" si="110"/>
        <v>0.78674712512811928</v>
      </c>
    </row>
    <row r="6912" spans="16:18" x14ac:dyDescent="0.3">
      <c r="P6912" s="35">
        <v>47.02</v>
      </c>
      <c r="Q6912">
        <v>305</v>
      </c>
      <c r="R6912" s="34">
        <f t="shared" si="110"/>
        <v>0.78686098144145189</v>
      </c>
    </row>
    <row r="6913" spans="16:18" x14ac:dyDescent="0.3">
      <c r="P6913" s="35">
        <v>47.06</v>
      </c>
      <c r="Q6913">
        <v>305</v>
      </c>
      <c r="R6913" s="34">
        <f t="shared" si="110"/>
        <v>0.7869748377547845</v>
      </c>
    </row>
    <row r="6914" spans="16:18" x14ac:dyDescent="0.3">
      <c r="P6914" s="35">
        <v>47.07</v>
      </c>
      <c r="Q6914">
        <v>305</v>
      </c>
      <c r="R6914" s="34">
        <f t="shared" si="110"/>
        <v>0.7870886940681171</v>
      </c>
    </row>
    <row r="6915" spans="16:18" x14ac:dyDescent="0.3">
      <c r="P6915" s="35">
        <v>47.07</v>
      </c>
      <c r="Q6915">
        <v>305</v>
      </c>
      <c r="R6915" s="34">
        <f t="shared" si="110"/>
        <v>0.78720255038144971</v>
      </c>
    </row>
    <row r="6916" spans="16:18" x14ac:dyDescent="0.3">
      <c r="P6916" s="35">
        <v>47.08</v>
      </c>
      <c r="Q6916">
        <v>305</v>
      </c>
      <c r="R6916" s="34">
        <f t="shared" ref="R6916:R6979" si="111">R6915+R$2</f>
        <v>0.78731640669478231</v>
      </c>
    </row>
    <row r="6917" spans="16:18" x14ac:dyDescent="0.3">
      <c r="P6917" s="35">
        <v>47.09</v>
      </c>
      <c r="Q6917">
        <v>305</v>
      </c>
      <c r="R6917" s="34">
        <f t="shared" si="111"/>
        <v>0.78743026300811492</v>
      </c>
    </row>
    <row r="6918" spans="16:18" x14ac:dyDescent="0.3">
      <c r="P6918" s="35">
        <v>47.09</v>
      </c>
      <c r="Q6918">
        <v>305</v>
      </c>
      <c r="R6918" s="34">
        <f t="shared" si="111"/>
        <v>0.78754411932144752</v>
      </c>
    </row>
    <row r="6919" spans="16:18" x14ac:dyDescent="0.3">
      <c r="P6919" s="35">
        <v>47.1</v>
      </c>
      <c r="Q6919">
        <v>305</v>
      </c>
      <c r="R6919" s="34">
        <f t="shared" si="111"/>
        <v>0.78765797563478013</v>
      </c>
    </row>
    <row r="6920" spans="16:18" x14ac:dyDescent="0.3">
      <c r="P6920" s="35">
        <v>47.1</v>
      </c>
      <c r="Q6920">
        <v>305</v>
      </c>
      <c r="R6920" s="34">
        <f t="shared" si="111"/>
        <v>0.78777183194811273</v>
      </c>
    </row>
    <row r="6921" spans="16:18" x14ac:dyDescent="0.3">
      <c r="P6921" s="35">
        <v>47.11</v>
      </c>
      <c r="Q6921">
        <v>305</v>
      </c>
      <c r="R6921" s="34">
        <f t="shared" si="111"/>
        <v>0.78788568826144534</v>
      </c>
    </row>
    <row r="6922" spans="16:18" x14ac:dyDescent="0.3">
      <c r="P6922" s="35">
        <v>47.11</v>
      </c>
      <c r="Q6922">
        <v>305</v>
      </c>
      <c r="R6922" s="34">
        <f t="shared" si="111"/>
        <v>0.78799954457477794</v>
      </c>
    </row>
    <row r="6923" spans="16:18" x14ac:dyDescent="0.3">
      <c r="P6923" s="35">
        <v>47.11</v>
      </c>
      <c r="Q6923">
        <v>305</v>
      </c>
      <c r="R6923" s="34">
        <f t="shared" si="111"/>
        <v>0.78811340088811055</v>
      </c>
    </row>
    <row r="6924" spans="16:18" x14ac:dyDescent="0.3">
      <c r="P6924" s="35">
        <v>47.14</v>
      </c>
      <c r="Q6924">
        <v>305</v>
      </c>
      <c r="R6924" s="34">
        <f t="shared" si="111"/>
        <v>0.78822725720144315</v>
      </c>
    </row>
    <row r="6925" spans="16:18" x14ac:dyDescent="0.3">
      <c r="P6925" s="35">
        <v>47.14</v>
      </c>
      <c r="Q6925">
        <v>305</v>
      </c>
      <c r="R6925" s="34">
        <f t="shared" si="111"/>
        <v>0.78834111351477576</v>
      </c>
    </row>
    <row r="6926" spans="16:18" x14ac:dyDescent="0.3">
      <c r="P6926" s="35">
        <v>47.15</v>
      </c>
      <c r="Q6926">
        <v>305</v>
      </c>
      <c r="R6926" s="34">
        <f t="shared" si="111"/>
        <v>0.78845496982810837</v>
      </c>
    </row>
    <row r="6927" spans="16:18" x14ac:dyDescent="0.3">
      <c r="P6927" s="35">
        <v>47.16</v>
      </c>
      <c r="Q6927">
        <v>305</v>
      </c>
      <c r="R6927" s="34">
        <f t="shared" si="111"/>
        <v>0.78856882614144097</v>
      </c>
    </row>
    <row r="6928" spans="16:18" x14ac:dyDescent="0.3">
      <c r="P6928" s="35">
        <v>47.17</v>
      </c>
      <c r="Q6928">
        <v>305</v>
      </c>
      <c r="R6928" s="34">
        <f t="shared" si="111"/>
        <v>0.78868268245477358</v>
      </c>
    </row>
    <row r="6929" spans="16:18" x14ac:dyDescent="0.3">
      <c r="P6929" s="35">
        <v>47.18</v>
      </c>
      <c r="Q6929">
        <v>305</v>
      </c>
      <c r="R6929" s="34">
        <f t="shared" si="111"/>
        <v>0.78879653876810618</v>
      </c>
    </row>
    <row r="6930" spans="16:18" x14ac:dyDescent="0.3">
      <c r="P6930" s="35">
        <v>47.2</v>
      </c>
      <c r="Q6930">
        <v>305</v>
      </c>
      <c r="R6930" s="34">
        <f t="shared" si="111"/>
        <v>0.78891039508143879</v>
      </c>
    </row>
    <row r="6931" spans="16:18" x14ac:dyDescent="0.3">
      <c r="P6931" s="35">
        <v>47.2</v>
      </c>
      <c r="Q6931">
        <v>305</v>
      </c>
      <c r="R6931" s="34">
        <f t="shared" si="111"/>
        <v>0.78902425139477139</v>
      </c>
    </row>
    <row r="6932" spans="16:18" x14ac:dyDescent="0.3">
      <c r="P6932" s="35">
        <v>47.21</v>
      </c>
      <c r="Q6932">
        <v>305</v>
      </c>
      <c r="R6932" s="34">
        <f t="shared" si="111"/>
        <v>0.789138107708104</v>
      </c>
    </row>
    <row r="6933" spans="16:18" x14ac:dyDescent="0.3">
      <c r="P6933" s="35">
        <v>47.22</v>
      </c>
      <c r="Q6933">
        <v>305</v>
      </c>
      <c r="R6933" s="34">
        <f t="shared" si="111"/>
        <v>0.7892519640214366</v>
      </c>
    </row>
    <row r="6934" spans="16:18" x14ac:dyDescent="0.3">
      <c r="P6934" s="35">
        <v>47.23</v>
      </c>
      <c r="Q6934">
        <v>305</v>
      </c>
      <c r="R6934" s="34">
        <f t="shared" si="111"/>
        <v>0.78936582033476921</v>
      </c>
    </row>
    <row r="6935" spans="16:18" x14ac:dyDescent="0.3">
      <c r="P6935" s="35">
        <v>47.23</v>
      </c>
      <c r="Q6935">
        <v>305</v>
      </c>
      <c r="R6935" s="34">
        <f t="shared" si="111"/>
        <v>0.78947967664810181</v>
      </c>
    </row>
    <row r="6936" spans="16:18" x14ac:dyDescent="0.3">
      <c r="P6936" s="35">
        <v>47.24</v>
      </c>
      <c r="Q6936">
        <v>305</v>
      </c>
      <c r="R6936" s="34">
        <f t="shared" si="111"/>
        <v>0.78959353296143442</v>
      </c>
    </row>
    <row r="6937" spans="16:18" x14ac:dyDescent="0.3">
      <c r="P6937" s="35">
        <v>47.24</v>
      </c>
      <c r="Q6937">
        <v>305</v>
      </c>
      <c r="R6937" s="34">
        <f t="shared" si="111"/>
        <v>0.78970738927476702</v>
      </c>
    </row>
    <row r="6938" spans="16:18" x14ac:dyDescent="0.3">
      <c r="P6938" s="35">
        <v>47.26</v>
      </c>
      <c r="Q6938">
        <v>305</v>
      </c>
      <c r="R6938" s="34">
        <f t="shared" si="111"/>
        <v>0.78982124558809963</v>
      </c>
    </row>
    <row r="6939" spans="16:18" x14ac:dyDescent="0.3">
      <c r="P6939" s="35">
        <v>47.32</v>
      </c>
      <c r="Q6939">
        <v>305</v>
      </c>
      <c r="R6939" s="34">
        <f t="shared" si="111"/>
        <v>0.78993510190143224</v>
      </c>
    </row>
    <row r="6940" spans="16:18" x14ac:dyDescent="0.3">
      <c r="P6940" s="35">
        <v>47.37</v>
      </c>
      <c r="Q6940">
        <v>305</v>
      </c>
      <c r="R6940" s="34">
        <f t="shared" si="111"/>
        <v>0.79004895821476484</v>
      </c>
    </row>
    <row r="6941" spans="16:18" x14ac:dyDescent="0.3">
      <c r="P6941" s="35">
        <v>47.38</v>
      </c>
      <c r="Q6941">
        <v>305</v>
      </c>
      <c r="R6941" s="34">
        <f t="shared" si="111"/>
        <v>0.79016281452809745</v>
      </c>
    </row>
    <row r="6942" spans="16:18" x14ac:dyDescent="0.3">
      <c r="P6942" s="35">
        <v>47.38</v>
      </c>
      <c r="Q6942">
        <v>305</v>
      </c>
      <c r="R6942" s="34">
        <f t="shared" si="111"/>
        <v>0.79027667084143005</v>
      </c>
    </row>
    <row r="6943" spans="16:18" x14ac:dyDescent="0.3">
      <c r="P6943" s="35">
        <v>47.39</v>
      </c>
      <c r="Q6943">
        <v>305</v>
      </c>
      <c r="R6943" s="34">
        <f t="shared" si="111"/>
        <v>0.79039052715476266</v>
      </c>
    </row>
    <row r="6944" spans="16:18" x14ac:dyDescent="0.3">
      <c r="P6944" s="35">
        <v>47.41</v>
      </c>
      <c r="Q6944">
        <v>305</v>
      </c>
      <c r="R6944" s="34">
        <f t="shared" si="111"/>
        <v>0.79050438346809526</v>
      </c>
    </row>
    <row r="6945" spans="16:18" x14ac:dyDescent="0.3">
      <c r="P6945" s="35">
        <v>47.42</v>
      </c>
      <c r="Q6945">
        <v>305</v>
      </c>
      <c r="R6945" s="34">
        <f t="shared" si="111"/>
        <v>0.79061823978142787</v>
      </c>
    </row>
    <row r="6946" spans="16:18" x14ac:dyDescent="0.3">
      <c r="P6946" s="35">
        <v>47.43</v>
      </c>
      <c r="Q6946">
        <v>305</v>
      </c>
      <c r="R6946" s="34">
        <f t="shared" si="111"/>
        <v>0.79073209609476047</v>
      </c>
    </row>
    <row r="6947" spans="16:18" x14ac:dyDescent="0.3">
      <c r="P6947" s="35">
        <v>47.45</v>
      </c>
      <c r="Q6947">
        <v>305</v>
      </c>
      <c r="R6947" s="34">
        <f t="shared" si="111"/>
        <v>0.79084595240809308</v>
      </c>
    </row>
    <row r="6948" spans="16:18" x14ac:dyDescent="0.3">
      <c r="P6948" s="35">
        <v>47.45</v>
      </c>
      <c r="Q6948">
        <v>305</v>
      </c>
      <c r="R6948" s="34">
        <f t="shared" si="111"/>
        <v>0.79095980872142568</v>
      </c>
    </row>
    <row r="6949" spans="16:18" x14ac:dyDescent="0.3">
      <c r="P6949" s="35">
        <v>47.48</v>
      </c>
      <c r="Q6949">
        <v>305</v>
      </c>
      <c r="R6949" s="34">
        <f t="shared" si="111"/>
        <v>0.79107366503475829</v>
      </c>
    </row>
    <row r="6950" spans="16:18" x14ac:dyDescent="0.3">
      <c r="P6950" s="35">
        <v>47.5</v>
      </c>
      <c r="Q6950">
        <v>305</v>
      </c>
      <c r="R6950" s="34">
        <f t="shared" si="111"/>
        <v>0.79118752134809089</v>
      </c>
    </row>
    <row r="6951" spans="16:18" x14ac:dyDescent="0.3">
      <c r="P6951" s="35">
        <v>47.5</v>
      </c>
      <c r="Q6951">
        <v>305</v>
      </c>
      <c r="R6951" s="34">
        <f t="shared" si="111"/>
        <v>0.7913013776614235</v>
      </c>
    </row>
    <row r="6952" spans="16:18" x14ac:dyDescent="0.3">
      <c r="P6952" s="35">
        <v>47.5</v>
      </c>
      <c r="Q6952">
        <v>305</v>
      </c>
      <c r="R6952" s="34">
        <f t="shared" si="111"/>
        <v>0.7914152339747561</v>
      </c>
    </row>
    <row r="6953" spans="16:18" x14ac:dyDescent="0.3">
      <c r="P6953" s="35">
        <v>47.53</v>
      </c>
      <c r="Q6953">
        <v>305</v>
      </c>
      <c r="R6953" s="34">
        <f t="shared" si="111"/>
        <v>0.79152909028808871</v>
      </c>
    </row>
    <row r="6954" spans="16:18" x14ac:dyDescent="0.3">
      <c r="P6954" s="35">
        <v>47.54</v>
      </c>
      <c r="Q6954">
        <v>305</v>
      </c>
      <c r="R6954" s="34">
        <f t="shared" si="111"/>
        <v>0.79164294660142132</v>
      </c>
    </row>
    <row r="6955" spans="16:18" x14ac:dyDescent="0.3">
      <c r="P6955" s="35">
        <v>47.58</v>
      </c>
      <c r="Q6955">
        <v>305</v>
      </c>
      <c r="R6955" s="34">
        <f t="shared" si="111"/>
        <v>0.79175680291475392</v>
      </c>
    </row>
    <row r="6956" spans="16:18" x14ac:dyDescent="0.3">
      <c r="P6956" s="35">
        <v>47.59</v>
      </c>
      <c r="Q6956">
        <v>305</v>
      </c>
      <c r="R6956" s="34">
        <f t="shared" si="111"/>
        <v>0.79187065922808653</v>
      </c>
    </row>
    <row r="6957" spans="16:18" x14ac:dyDescent="0.3">
      <c r="P6957" s="35">
        <v>47.59</v>
      </c>
      <c r="Q6957">
        <v>305</v>
      </c>
      <c r="R6957" s="34">
        <f t="shared" si="111"/>
        <v>0.79198451554141913</v>
      </c>
    </row>
    <row r="6958" spans="16:18" x14ac:dyDescent="0.3">
      <c r="P6958" s="35">
        <v>47.59</v>
      </c>
      <c r="Q6958">
        <v>305</v>
      </c>
      <c r="R6958" s="34">
        <f t="shared" si="111"/>
        <v>0.79209837185475174</v>
      </c>
    </row>
    <row r="6959" spans="16:18" x14ac:dyDescent="0.3">
      <c r="P6959" s="35">
        <v>47.6</v>
      </c>
      <c r="Q6959">
        <v>305</v>
      </c>
      <c r="R6959" s="34">
        <f t="shared" si="111"/>
        <v>0.79221222816808434</v>
      </c>
    </row>
    <row r="6960" spans="16:18" x14ac:dyDescent="0.3">
      <c r="P6960" s="35">
        <v>47.61</v>
      </c>
      <c r="Q6960">
        <v>305</v>
      </c>
      <c r="R6960" s="34">
        <f t="shared" si="111"/>
        <v>0.79232608448141695</v>
      </c>
    </row>
    <row r="6961" spans="16:18" x14ac:dyDescent="0.3">
      <c r="P6961" s="35">
        <v>47.63</v>
      </c>
      <c r="Q6961">
        <v>305</v>
      </c>
      <c r="R6961" s="34">
        <f t="shared" si="111"/>
        <v>0.79243994079474955</v>
      </c>
    </row>
    <row r="6962" spans="16:18" x14ac:dyDescent="0.3">
      <c r="P6962" s="35">
        <v>47.63</v>
      </c>
      <c r="Q6962">
        <v>305</v>
      </c>
      <c r="R6962" s="34">
        <f t="shared" si="111"/>
        <v>0.79255379710808216</v>
      </c>
    </row>
    <row r="6963" spans="16:18" x14ac:dyDescent="0.3">
      <c r="P6963" s="35">
        <v>47.65</v>
      </c>
      <c r="Q6963">
        <v>305</v>
      </c>
      <c r="R6963" s="34">
        <f t="shared" si="111"/>
        <v>0.79266765342141476</v>
      </c>
    </row>
    <row r="6964" spans="16:18" x14ac:dyDescent="0.3">
      <c r="P6964" s="35">
        <v>47.66</v>
      </c>
      <c r="Q6964">
        <v>305</v>
      </c>
      <c r="R6964" s="34">
        <f t="shared" si="111"/>
        <v>0.79278150973474737</v>
      </c>
    </row>
    <row r="6965" spans="16:18" x14ac:dyDescent="0.3">
      <c r="P6965" s="35">
        <v>47.66</v>
      </c>
      <c r="Q6965">
        <v>305</v>
      </c>
      <c r="R6965" s="34">
        <f t="shared" si="111"/>
        <v>0.79289536604807997</v>
      </c>
    </row>
    <row r="6966" spans="16:18" x14ac:dyDescent="0.3">
      <c r="P6966" s="35">
        <v>47.68</v>
      </c>
      <c r="Q6966">
        <v>305</v>
      </c>
      <c r="R6966" s="34">
        <f t="shared" si="111"/>
        <v>0.79300922236141258</v>
      </c>
    </row>
    <row r="6967" spans="16:18" x14ac:dyDescent="0.3">
      <c r="P6967" s="35">
        <v>47.71</v>
      </c>
      <c r="Q6967">
        <v>305</v>
      </c>
      <c r="R6967" s="34">
        <f t="shared" si="111"/>
        <v>0.79312307867474519</v>
      </c>
    </row>
    <row r="6968" spans="16:18" x14ac:dyDescent="0.3">
      <c r="P6968" s="35">
        <v>47.72</v>
      </c>
      <c r="Q6968">
        <v>305</v>
      </c>
      <c r="R6968" s="34">
        <f t="shared" si="111"/>
        <v>0.79323693498807779</v>
      </c>
    </row>
    <row r="6969" spans="16:18" x14ac:dyDescent="0.3">
      <c r="P6969" s="35">
        <v>47.73</v>
      </c>
      <c r="Q6969">
        <v>305</v>
      </c>
      <c r="R6969" s="34">
        <f t="shared" si="111"/>
        <v>0.7933507913014104</v>
      </c>
    </row>
    <row r="6970" spans="16:18" x14ac:dyDescent="0.3">
      <c r="P6970" s="35">
        <v>47.73</v>
      </c>
      <c r="Q6970">
        <v>305</v>
      </c>
      <c r="R6970" s="34">
        <f t="shared" si="111"/>
        <v>0.793464647614743</v>
      </c>
    </row>
    <row r="6971" spans="16:18" x14ac:dyDescent="0.3">
      <c r="P6971" s="35">
        <v>47.73</v>
      </c>
      <c r="Q6971">
        <v>305</v>
      </c>
      <c r="R6971" s="34">
        <f t="shared" si="111"/>
        <v>0.79357850392807561</v>
      </c>
    </row>
    <row r="6972" spans="16:18" x14ac:dyDescent="0.3">
      <c r="P6972" s="35">
        <v>47.75</v>
      </c>
      <c r="Q6972">
        <v>305</v>
      </c>
      <c r="R6972" s="34">
        <f t="shared" si="111"/>
        <v>0.79369236024140821</v>
      </c>
    </row>
    <row r="6973" spans="16:18" x14ac:dyDescent="0.3">
      <c r="P6973" s="35">
        <v>47.75</v>
      </c>
      <c r="Q6973">
        <v>305</v>
      </c>
      <c r="R6973" s="34">
        <f t="shared" si="111"/>
        <v>0.79380621655474082</v>
      </c>
    </row>
    <row r="6974" spans="16:18" x14ac:dyDescent="0.3">
      <c r="P6974" s="35">
        <v>47.76</v>
      </c>
      <c r="Q6974">
        <v>305</v>
      </c>
      <c r="R6974" s="34">
        <f t="shared" si="111"/>
        <v>0.79392007286807342</v>
      </c>
    </row>
    <row r="6975" spans="16:18" x14ac:dyDescent="0.3">
      <c r="P6975" s="35">
        <v>47.79</v>
      </c>
      <c r="Q6975">
        <v>305</v>
      </c>
      <c r="R6975" s="34">
        <f t="shared" si="111"/>
        <v>0.79403392918140603</v>
      </c>
    </row>
    <row r="6976" spans="16:18" x14ac:dyDescent="0.3">
      <c r="P6976" s="35">
        <v>47.82</v>
      </c>
      <c r="Q6976">
        <v>305</v>
      </c>
      <c r="R6976" s="34">
        <f t="shared" si="111"/>
        <v>0.79414778549473863</v>
      </c>
    </row>
    <row r="6977" spans="16:18" x14ac:dyDescent="0.3">
      <c r="P6977" s="35">
        <v>47.85</v>
      </c>
      <c r="Q6977">
        <v>305</v>
      </c>
      <c r="R6977" s="34">
        <f t="shared" si="111"/>
        <v>0.79426164180807124</v>
      </c>
    </row>
    <row r="6978" spans="16:18" x14ac:dyDescent="0.3">
      <c r="P6978" s="35">
        <v>47.86</v>
      </c>
      <c r="Q6978">
        <v>305</v>
      </c>
      <c r="R6978" s="34">
        <f t="shared" si="111"/>
        <v>0.79437549812140384</v>
      </c>
    </row>
    <row r="6979" spans="16:18" x14ac:dyDescent="0.3">
      <c r="P6979" s="35">
        <v>47.86</v>
      </c>
      <c r="Q6979">
        <v>305</v>
      </c>
      <c r="R6979" s="34">
        <f t="shared" si="111"/>
        <v>0.79448935443473645</v>
      </c>
    </row>
    <row r="6980" spans="16:18" x14ac:dyDescent="0.3">
      <c r="P6980" s="35">
        <v>47.87</v>
      </c>
      <c r="Q6980">
        <v>305</v>
      </c>
      <c r="R6980" s="34">
        <f t="shared" ref="R6980:R7043" si="112">R6979+R$2</f>
        <v>0.79460321074806906</v>
      </c>
    </row>
    <row r="6981" spans="16:18" x14ac:dyDescent="0.3">
      <c r="P6981" s="35">
        <v>47.88</v>
      </c>
      <c r="Q6981">
        <v>305</v>
      </c>
      <c r="R6981" s="34">
        <f t="shared" si="112"/>
        <v>0.79471706706140166</v>
      </c>
    </row>
    <row r="6982" spans="16:18" x14ac:dyDescent="0.3">
      <c r="P6982" s="35">
        <v>47.88</v>
      </c>
      <c r="Q6982">
        <v>305</v>
      </c>
      <c r="R6982" s="34">
        <f t="shared" si="112"/>
        <v>0.79483092337473427</v>
      </c>
    </row>
    <row r="6983" spans="16:18" x14ac:dyDescent="0.3">
      <c r="P6983" s="35">
        <v>47.91</v>
      </c>
      <c r="Q6983">
        <v>305</v>
      </c>
      <c r="R6983" s="34">
        <f t="shared" si="112"/>
        <v>0.79494477968806687</v>
      </c>
    </row>
    <row r="6984" spans="16:18" x14ac:dyDescent="0.3">
      <c r="P6984" s="35">
        <v>47.92</v>
      </c>
      <c r="Q6984">
        <v>305</v>
      </c>
      <c r="R6984" s="34">
        <f t="shared" si="112"/>
        <v>0.79505863600139948</v>
      </c>
    </row>
    <row r="6985" spans="16:18" x14ac:dyDescent="0.3">
      <c r="P6985" s="35">
        <v>47.93</v>
      </c>
      <c r="Q6985">
        <v>305</v>
      </c>
      <c r="R6985" s="34">
        <f t="shared" si="112"/>
        <v>0.79517249231473208</v>
      </c>
    </row>
    <row r="6986" spans="16:18" x14ac:dyDescent="0.3">
      <c r="P6986" s="35">
        <v>47.95</v>
      </c>
      <c r="Q6986">
        <v>305</v>
      </c>
      <c r="R6986" s="34">
        <f t="shared" si="112"/>
        <v>0.79528634862806469</v>
      </c>
    </row>
    <row r="6987" spans="16:18" x14ac:dyDescent="0.3">
      <c r="P6987" s="35">
        <v>47.96</v>
      </c>
      <c r="Q6987">
        <v>305</v>
      </c>
      <c r="R6987" s="34">
        <f t="shared" si="112"/>
        <v>0.79540020494139729</v>
      </c>
    </row>
    <row r="6988" spans="16:18" x14ac:dyDescent="0.3">
      <c r="P6988" s="35">
        <v>47.99</v>
      </c>
      <c r="Q6988">
        <v>305</v>
      </c>
      <c r="R6988" s="34">
        <f t="shared" si="112"/>
        <v>0.7955140612547299</v>
      </c>
    </row>
    <row r="6989" spans="16:18" x14ac:dyDescent="0.3">
      <c r="P6989" s="35">
        <v>48.01</v>
      </c>
      <c r="Q6989">
        <v>305</v>
      </c>
      <c r="R6989" s="34">
        <f t="shared" si="112"/>
        <v>0.7956279175680625</v>
      </c>
    </row>
    <row r="6990" spans="16:18" x14ac:dyDescent="0.3">
      <c r="P6990" s="35">
        <v>48.04</v>
      </c>
      <c r="Q6990">
        <v>305</v>
      </c>
      <c r="R6990" s="34">
        <f t="shared" si="112"/>
        <v>0.79574177388139511</v>
      </c>
    </row>
    <row r="6991" spans="16:18" x14ac:dyDescent="0.3">
      <c r="P6991" s="35">
        <v>48.06</v>
      </c>
      <c r="Q6991">
        <v>305</v>
      </c>
      <c r="R6991" s="34">
        <f t="shared" si="112"/>
        <v>0.79585563019472771</v>
      </c>
    </row>
    <row r="6992" spans="16:18" x14ac:dyDescent="0.3">
      <c r="P6992" s="35">
        <v>48.09</v>
      </c>
      <c r="Q6992">
        <v>305</v>
      </c>
      <c r="R6992" s="34">
        <f t="shared" si="112"/>
        <v>0.79596948650806032</v>
      </c>
    </row>
    <row r="6993" spans="16:18" x14ac:dyDescent="0.3">
      <c r="P6993" s="35">
        <v>48.11</v>
      </c>
      <c r="Q6993">
        <v>305</v>
      </c>
      <c r="R6993" s="34">
        <f t="shared" si="112"/>
        <v>0.79608334282139293</v>
      </c>
    </row>
    <row r="6994" spans="16:18" x14ac:dyDescent="0.3">
      <c r="P6994" s="35">
        <v>48.11</v>
      </c>
      <c r="Q6994">
        <v>305</v>
      </c>
      <c r="R6994" s="34">
        <f t="shared" si="112"/>
        <v>0.79619719913472553</v>
      </c>
    </row>
    <row r="6995" spans="16:18" x14ac:dyDescent="0.3">
      <c r="P6995" s="35">
        <v>48.11</v>
      </c>
      <c r="Q6995">
        <v>305</v>
      </c>
      <c r="R6995" s="34">
        <f t="shared" si="112"/>
        <v>0.79631105544805814</v>
      </c>
    </row>
    <row r="6996" spans="16:18" x14ac:dyDescent="0.3">
      <c r="P6996" s="35">
        <v>48.11</v>
      </c>
      <c r="Q6996">
        <v>305</v>
      </c>
      <c r="R6996" s="34">
        <f t="shared" si="112"/>
        <v>0.79642491176139074</v>
      </c>
    </row>
    <row r="6997" spans="16:18" x14ac:dyDescent="0.3">
      <c r="P6997" s="35">
        <v>48.14</v>
      </c>
      <c r="Q6997">
        <v>305</v>
      </c>
      <c r="R6997" s="34">
        <f t="shared" si="112"/>
        <v>0.79653876807472335</v>
      </c>
    </row>
    <row r="6998" spans="16:18" x14ac:dyDescent="0.3">
      <c r="P6998" s="35">
        <v>48.16</v>
      </c>
      <c r="Q6998">
        <v>305</v>
      </c>
      <c r="R6998" s="34">
        <f t="shared" si="112"/>
        <v>0.79665262438805595</v>
      </c>
    </row>
    <row r="6999" spans="16:18" x14ac:dyDescent="0.3">
      <c r="P6999" s="35">
        <v>48.2</v>
      </c>
      <c r="Q6999">
        <v>305</v>
      </c>
      <c r="R6999" s="34">
        <f t="shared" si="112"/>
        <v>0.79676648070138856</v>
      </c>
    </row>
    <row r="7000" spans="16:18" x14ac:dyDescent="0.3">
      <c r="P7000" s="35">
        <v>48.21</v>
      </c>
      <c r="Q7000">
        <v>305</v>
      </c>
      <c r="R7000" s="34">
        <f t="shared" si="112"/>
        <v>0.79688033701472116</v>
      </c>
    </row>
    <row r="7001" spans="16:18" x14ac:dyDescent="0.3">
      <c r="P7001" s="35">
        <v>48.21</v>
      </c>
      <c r="Q7001">
        <v>305</v>
      </c>
      <c r="R7001" s="34">
        <f t="shared" si="112"/>
        <v>0.79699419332805377</v>
      </c>
    </row>
    <row r="7002" spans="16:18" x14ac:dyDescent="0.3">
      <c r="P7002" s="35">
        <v>48.22</v>
      </c>
      <c r="Q7002">
        <v>305</v>
      </c>
      <c r="R7002" s="34">
        <f t="shared" si="112"/>
        <v>0.79710804964138637</v>
      </c>
    </row>
    <row r="7003" spans="16:18" x14ac:dyDescent="0.3">
      <c r="P7003" s="35">
        <v>48.25</v>
      </c>
      <c r="Q7003">
        <v>305</v>
      </c>
      <c r="R7003" s="34">
        <f t="shared" si="112"/>
        <v>0.79722190595471898</v>
      </c>
    </row>
    <row r="7004" spans="16:18" x14ac:dyDescent="0.3">
      <c r="P7004" s="35">
        <v>48.27</v>
      </c>
      <c r="Q7004">
        <v>305</v>
      </c>
      <c r="R7004" s="34">
        <f t="shared" si="112"/>
        <v>0.79733576226805158</v>
      </c>
    </row>
    <row r="7005" spans="16:18" x14ac:dyDescent="0.3">
      <c r="P7005" s="35">
        <v>48.31</v>
      </c>
      <c r="Q7005">
        <v>305</v>
      </c>
      <c r="R7005" s="34">
        <f t="shared" si="112"/>
        <v>0.79744961858138419</v>
      </c>
    </row>
    <row r="7006" spans="16:18" x14ac:dyDescent="0.3">
      <c r="P7006" s="35">
        <v>48.33</v>
      </c>
      <c r="Q7006">
        <v>305</v>
      </c>
      <c r="R7006" s="34">
        <f t="shared" si="112"/>
        <v>0.7975634748947168</v>
      </c>
    </row>
    <row r="7007" spans="16:18" x14ac:dyDescent="0.3">
      <c r="P7007" s="35">
        <v>48.36</v>
      </c>
      <c r="Q7007">
        <v>305</v>
      </c>
      <c r="R7007" s="34">
        <f t="shared" si="112"/>
        <v>0.7976773312080494</v>
      </c>
    </row>
    <row r="7008" spans="16:18" x14ac:dyDescent="0.3">
      <c r="P7008" s="35">
        <v>48.37</v>
      </c>
      <c r="Q7008">
        <v>305</v>
      </c>
      <c r="R7008" s="34">
        <f t="shared" si="112"/>
        <v>0.79779118752138201</v>
      </c>
    </row>
    <row r="7009" spans="16:18" x14ac:dyDescent="0.3">
      <c r="P7009" s="35">
        <v>48.41</v>
      </c>
      <c r="Q7009">
        <v>305</v>
      </c>
      <c r="R7009" s="34">
        <f t="shared" si="112"/>
        <v>0.79790504383471461</v>
      </c>
    </row>
    <row r="7010" spans="16:18" x14ac:dyDescent="0.3">
      <c r="P7010" s="35">
        <v>48.47</v>
      </c>
      <c r="Q7010">
        <v>305</v>
      </c>
      <c r="R7010" s="34">
        <f t="shared" si="112"/>
        <v>0.79801890014804722</v>
      </c>
    </row>
    <row r="7011" spans="16:18" x14ac:dyDescent="0.3">
      <c r="P7011" s="35">
        <v>48.47</v>
      </c>
      <c r="Q7011">
        <v>305</v>
      </c>
      <c r="R7011" s="34">
        <f t="shared" si="112"/>
        <v>0.79813275646137982</v>
      </c>
    </row>
    <row r="7012" spans="16:18" x14ac:dyDescent="0.3">
      <c r="P7012" s="35">
        <v>48.49</v>
      </c>
      <c r="Q7012">
        <v>305</v>
      </c>
      <c r="R7012" s="34">
        <f t="shared" si="112"/>
        <v>0.79824661277471243</v>
      </c>
    </row>
    <row r="7013" spans="16:18" x14ac:dyDescent="0.3">
      <c r="P7013" s="35">
        <v>48.5</v>
      </c>
      <c r="Q7013">
        <v>305</v>
      </c>
      <c r="R7013" s="34">
        <f t="shared" si="112"/>
        <v>0.79836046908804503</v>
      </c>
    </row>
    <row r="7014" spans="16:18" x14ac:dyDescent="0.3">
      <c r="P7014" s="35">
        <v>48.52</v>
      </c>
      <c r="Q7014">
        <v>305</v>
      </c>
      <c r="R7014" s="34">
        <f t="shared" si="112"/>
        <v>0.79847432540137764</v>
      </c>
    </row>
    <row r="7015" spans="16:18" x14ac:dyDescent="0.3">
      <c r="P7015" s="35">
        <v>48.53</v>
      </c>
      <c r="Q7015">
        <v>305</v>
      </c>
      <c r="R7015" s="34">
        <f t="shared" si="112"/>
        <v>0.79858818171471024</v>
      </c>
    </row>
    <row r="7016" spans="16:18" x14ac:dyDescent="0.3">
      <c r="P7016" s="35">
        <v>48.56</v>
      </c>
      <c r="Q7016">
        <v>305</v>
      </c>
      <c r="R7016" s="34">
        <f t="shared" si="112"/>
        <v>0.79870203802804285</v>
      </c>
    </row>
    <row r="7017" spans="16:18" x14ac:dyDescent="0.3">
      <c r="P7017" s="35">
        <v>48.57</v>
      </c>
      <c r="Q7017">
        <v>305</v>
      </c>
      <c r="R7017" s="34">
        <f t="shared" si="112"/>
        <v>0.79881589434137545</v>
      </c>
    </row>
    <row r="7018" spans="16:18" x14ac:dyDescent="0.3">
      <c r="P7018" s="35">
        <v>48.58</v>
      </c>
      <c r="Q7018">
        <v>305</v>
      </c>
      <c r="R7018" s="34">
        <f t="shared" si="112"/>
        <v>0.79892975065470806</v>
      </c>
    </row>
    <row r="7019" spans="16:18" x14ac:dyDescent="0.3">
      <c r="P7019" s="35">
        <v>48.58</v>
      </c>
      <c r="Q7019">
        <v>305</v>
      </c>
      <c r="R7019" s="34">
        <f t="shared" si="112"/>
        <v>0.79904360696804066</v>
      </c>
    </row>
    <row r="7020" spans="16:18" x14ac:dyDescent="0.3">
      <c r="P7020" s="35">
        <v>48.59</v>
      </c>
      <c r="Q7020">
        <v>305</v>
      </c>
      <c r="R7020" s="34">
        <f t="shared" si="112"/>
        <v>0.79915746328137327</v>
      </c>
    </row>
    <row r="7021" spans="16:18" x14ac:dyDescent="0.3">
      <c r="P7021" s="35">
        <v>48.61</v>
      </c>
      <c r="Q7021">
        <v>305</v>
      </c>
      <c r="R7021" s="34">
        <f t="shared" si="112"/>
        <v>0.79927131959470588</v>
      </c>
    </row>
    <row r="7022" spans="16:18" x14ac:dyDescent="0.3">
      <c r="P7022" s="35">
        <v>48.61</v>
      </c>
      <c r="Q7022">
        <v>305</v>
      </c>
      <c r="R7022" s="34">
        <f t="shared" si="112"/>
        <v>0.79938517590803848</v>
      </c>
    </row>
    <row r="7023" spans="16:18" x14ac:dyDescent="0.3">
      <c r="P7023" s="35">
        <v>48.62</v>
      </c>
      <c r="Q7023">
        <v>305</v>
      </c>
      <c r="R7023" s="34">
        <f t="shared" si="112"/>
        <v>0.79949903222137109</v>
      </c>
    </row>
    <row r="7024" spans="16:18" x14ac:dyDescent="0.3">
      <c r="P7024" s="35">
        <v>48.62</v>
      </c>
      <c r="Q7024">
        <v>305</v>
      </c>
      <c r="R7024" s="34">
        <f t="shared" si="112"/>
        <v>0.79961288853470369</v>
      </c>
    </row>
    <row r="7025" spans="16:18" x14ac:dyDescent="0.3">
      <c r="P7025" s="35">
        <v>48.62</v>
      </c>
      <c r="Q7025">
        <v>305</v>
      </c>
      <c r="R7025" s="34">
        <f t="shared" si="112"/>
        <v>0.7997267448480363</v>
      </c>
    </row>
    <row r="7026" spans="16:18" x14ac:dyDescent="0.3">
      <c r="P7026" s="35">
        <v>48.64</v>
      </c>
      <c r="Q7026">
        <v>305</v>
      </c>
      <c r="R7026" s="34">
        <f t="shared" si="112"/>
        <v>0.7998406011613689</v>
      </c>
    </row>
    <row r="7027" spans="16:18" x14ac:dyDescent="0.3">
      <c r="P7027" s="35">
        <v>48.64</v>
      </c>
      <c r="Q7027">
        <v>305</v>
      </c>
      <c r="R7027" s="34">
        <f t="shared" si="112"/>
        <v>0.79995445747470151</v>
      </c>
    </row>
    <row r="7028" spans="16:18" x14ac:dyDescent="0.3">
      <c r="P7028" s="35">
        <v>48.65</v>
      </c>
      <c r="Q7028">
        <v>305</v>
      </c>
      <c r="R7028" s="34">
        <f t="shared" si="112"/>
        <v>0.80006831378803411</v>
      </c>
    </row>
    <row r="7029" spans="16:18" x14ac:dyDescent="0.3">
      <c r="P7029" s="35">
        <v>48.65</v>
      </c>
      <c r="Q7029">
        <v>305</v>
      </c>
      <c r="R7029" s="34">
        <f t="shared" si="112"/>
        <v>0.80018217010136672</v>
      </c>
    </row>
    <row r="7030" spans="16:18" x14ac:dyDescent="0.3">
      <c r="P7030" s="35">
        <v>48.66</v>
      </c>
      <c r="Q7030">
        <v>305</v>
      </c>
      <c r="R7030" s="34">
        <f t="shared" si="112"/>
        <v>0.80029602641469932</v>
      </c>
    </row>
    <row r="7031" spans="16:18" x14ac:dyDescent="0.3">
      <c r="P7031" s="35">
        <v>48.68</v>
      </c>
      <c r="Q7031">
        <v>305</v>
      </c>
      <c r="R7031" s="34">
        <f t="shared" si="112"/>
        <v>0.80040988272803193</v>
      </c>
    </row>
    <row r="7032" spans="16:18" x14ac:dyDescent="0.3">
      <c r="P7032" s="35">
        <v>48.68</v>
      </c>
      <c r="Q7032">
        <v>305</v>
      </c>
      <c r="R7032" s="34">
        <f t="shared" si="112"/>
        <v>0.80052373904136453</v>
      </c>
    </row>
    <row r="7033" spans="16:18" x14ac:dyDescent="0.3">
      <c r="P7033" s="35">
        <v>48.71</v>
      </c>
      <c r="Q7033">
        <v>305</v>
      </c>
      <c r="R7033" s="34">
        <f t="shared" si="112"/>
        <v>0.80063759535469714</v>
      </c>
    </row>
    <row r="7034" spans="16:18" x14ac:dyDescent="0.3">
      <c r="P7034" s="35">
        <v>48.76</v>
      </c>
      <c r="Q7034">
        <v>305</v>
      </c>
      <c r="R7034" s="34">
        <f t="shared" si="112"/>
        <v>0.80075145166802975</v>
      </c>
    </row>
    <row r="7035" spans="16:18" x14ac:dyDescent="0.3">
      <c r="P7035" s="35">
        <v>48.76</v>
      </c>
      <c r="Q7035">
        <v>305</v>
      </c>
      <c r="R7035" s="34">
        <f t="shared" si="112"/>
        <v>0.80086530798136235</v>
      </c>
    </row>
    <row r="7036" spans="16:18" x14ac:dyDescent="0.3">
      <c r="P7036" s="35">
        <v>48.77</v>
      </c>
      <c r="Q7036">
        <v>305</v>
      </c>
      <c r="R7036" s="34">
        <f t="shared" si="112"/>
        <v>0.80097916429469496</v>
      </c>
    </row>
    <row r="7037" spans="16:18" x14ac:dyDescent="0.3">
      <c r="P7037" s="35">
        <v>48.78</v>
      </c>
      <c r="Q7037">
        <v>305</v>
      </c>
      <c r="R7037" s="34">
        <f t="shared" si="112"/>
        <v>0.80109302060802756</v>
      </c>
    </row>
    <row r="7038" spans="16:18" x14ac:dyDescent="0.3">
      <c r="P7038" s="35">
        <v>48.82</v>
      </c>
      <c r="Q7038">
        <v>305</v>
      </c>
      <c r="R7038" s="34">
        <f t="shared" si="112"/>
        <v>0.80120687692136017</v>
      </c>
    </row>
    <row r="7039" spans="16:18" x14ac:dyDescent="0.3">
      <c r="P7039" s="35">
        <v>48.83</v>
      </c>
      <c r="Q7039">
        <v>305</v>
      </c>
      <c r="R7039" s="34">
        <f t="shared" si="112"/>
        <v>0.80132073323469277</v>
      </c>
    </row>
    <row r="7040" spans="16:18" x14ac:dyDescent="0.3">
      <c r="P7040" s="35">
        <v>48.83</v>
      </c>
      <c r="Q7040">
        <v>305</v>
      </c>
      <c r="R7040" s="34">
        <f t="shared" si="112"/>
        <v>0.80143458954802538</v>
      </c>
    </row>
    <row r="7041" spans="16:18" x14ac:dyDescent="0.3">
      <c r="P7041" s="35">
        <v>48.85</v>
      </c>
      <c r="Q7041">
        <v>305</v>
      </c>
      <c r="R7041" s="34">
        <f t="shared" si="112"/>
        <v>0.80154844586135798</v>
      </c>
    </row>
    <row r="7042" spans="16:18" x14ac:dyDescent="0.3">
      <c r="P7042" s="35">
        <v>48.85</v>
      </c>
      <c r="Q7042">
        <v>305</v>
      </c>
      <c r="R7042" s="34">
        <f t="shared" si="112"/>
        <v>0.80166230217469059</v>
      </c>
    </row>
    <row r="7043" spans="16:18" x14ac:dyDescent="0.3">
      <c r="P7043" s="35">
        <v>48.87</v>
      </c>
      <c r="Q7043">
        <v>305</v>
      </c>
      <c r="R7043" s="34">
        <f t="shared" si="112"/>
        <v>0.80177615848802319</v>
      </c>
    </row>
    <row r="7044" spans="16:18" x14ac:dyDescent="0.3">
      <c r="P7044" s="35">
        <v>48.88</v>
      </c>
      <c r="Q7044">
        <v>305</v>
      </c>
      <c r="R7044" s="34">
        <f t="shared" ref="R7044:R7107" si="113">R7043+R$2</f>
        <v>0.8018900148013558</v>
      </c>
    </row>
    <row r="7045" spans="16:18" x14ac:dyDescent="0.3">
      <c r="P7045" s="35">
        <v>48.9</v>
      </c>
      <c r="Q7045">
        <v>305</v>
      </c>
      <c r="R7045" s="34">
        <f t="shared" si="113"/>
        <v>0.8020038711146884</v>
      </c>
    </row>
    <row r="7046" spans="16:18" x14ac:dyDescent="0.3">
      <c r="P7046" s="35">
        <v>48.9</v>
      </c>
      <c r="Q7046">
        <v>305</v>
      </c>
      <c r="R7046" s="34">
        <f t="shared" si="113"/>
        <v>0.80211772742802101</v>
      </c>
    </row>
    <row r="7047" spans="16:18" x14ac:dyDescent="0.3">
      <c r="P7047" s="35">
        <v>48.91</v>
      </c>
      <c r="Q7047">
        <v>305</v>
      </c>
      <c r="R7047" s="34">
        <f t="shared" si="113"/>
        <v>0.80223158374135362</v>
      </c>
    </row>
    <row r="7048" spans="16:18" x14ac:dyDescent="0.3">
      <c r="P7048" s="35">
        <v>48.92</v>
      </c>
      <c r="Q7048">
        <v>305</v>
      </c>
      <c r="R7048" s="34">
        <f t="shared" si="113"/>
        <v>0.80234544005468622</v>
      </c>
    </row>
    <row r="7049" spans="16:18" x14ac:dyDescent="0.3">
      <c r="P7049" s="35">
        <v>48.95</v>
      </c>
      <c r="Q7049">
        <v>305</v>
      </c>
      <c r="R7049" s="34">
        <f t="shared" si="113"/>
        <v>0.80245929636801883</v>
      </c>
    </row>
    <row r="7050" spans="16:18" x14ac:dyDescent="0.3">
      <c r="P7050" s="35">
        <v>48.96</v>
      </c>
      <c r="Q7050">
        <v>305</v>
      </c>
      <c r="R7050" s="34">
        <f t="shared" si="113"/>
        <v>0.80257315268135143</v>
      </c>
    </row>
    <row r="7051" spans="16:18" x14ac:dyDescent="0.3">
      <c r="P7051" s="35">
        <v>48.99</v>
      </c>
      <c r="Q7051">
        <v>305</v>
      </c>
      <c r="R7051" s="34">
        <f t="shared" si="113"/>
        <v>0.80268700899468404</v>
      </c>
    </row>
    <row r="7052" spans="16:18" x14ac:dyDescent="0.3">
      <c r="P7052" s="35">
        <v>49.02</v>
      </c>
      <c r="Q7052">
        <v>305</v>
      </c>
      <c r="R7052" s="34">
        <f t="shared" si="113"/>
        <v>0.80280086530801664</v>
      </c>
    </row>
    <row r="7053" spans="16:18" x14ac:dyDescent="0.3">
      <c r="P7053" s="35">
        <v>49.02</v>
      </c>
      <c r="Q7053">
        <v>305</v>
      </c>
      <c r="R7053" s="34">
        <f t="shared" si="113"/>
        <v>0.80291472162134925</v>
      </c>
    </row>
    <row r="7054" spans="16:18" x14ac:dyDescent="0.3">
      <c r="P7054" s="35">
        <v>49.03</v>
      </c>
      <c r="Q7054">
        <v>305</v>
      </c>
      <c r="R7054" s="34">
        <f t="shared" si="113"/>
        <v>0.80302857793468185</v>
      </c>
    </row>
    <row r="7055" spans="16:18" x14ac:dyDescent="0.3">
      <c r="P7055" s="35">
        <v>49.04</v>
      </c>
      <c r="Q7055">
        <v>305</v>
      </c>
      <c r="R7055" s="34">
        <f t="shared" si="113"/>
        <v>0.80314243424801446</v>
      </c>
    </row>
    <row r="7056" spans="16:18" x14ac:dyDescent="0.3">
      <c r="P7056" s="35">
        <v>49.04</v>
      </c>
      <c r="Q7056">
        <v>305</v>
      </c>
      <c r="R7056" s="34">
        <f t="shared" si="113"/>
        <v>0.80325629056134706</v>
      </c>
    </row>
    <row r="7057" spans="16:18" x14ac:dyDescent="0.3">
      <c r="P7057" s="35">
        <v>49.05</v>
      </c>
      <c r="Q7057">
        <v>305</v>
      </c>
      <c r="R7057" s="34">
        <f t="shared" si="113"/>
        <v>0.80337014687467967</v>
      </c>
    </row>
    <row r="7058" spans="16:18" x14ac:dyDescent="0.3">
      <c r="P7058" s="35">
        <v>49.06</v>
      </c>
      <c r="Q7058">
        <v>305</v>
      </c>
      <c r="R7058" s="34">
        <f t="shared" si="113"/>
        <v>0.80348400318801227</v>
      </c>
    </row>
    <row r="7059" spans="16:18" x14ac:dyDescent="0.3">
      <c r="P7059" s="35">
        <v>49.07</v>
      </c>
      <c r="Q7059">
        <v>305</v>
      </c>
      <c r="R7059" s="34">
        <f t="shared" si="113"/>
        <v>0.80359785950134488</v>
      </c>
    </row>
    <row r="7060" spans="16:18" x14ac:dyDescent="0.3">
      <c r="P7060" s="35">
        <v>49.07</v>
      </c>
      <c r="Q7060">
        <v>305</v>
      </c>
      <c r="R7060" s="34">
        <f t="shared" si="113"/>
        <v>0.80371171581467749</v>
      </c>
    </row>
    <row r="7061" spans="16:18" x14ac:dyDescent="0.3">
      <c r="P7061" s="35">
        <v>49.08</v>
      </c>
      <c r="Q7061">
        <v>305</v>
      </c>
      <c r="R7061" s="34">
        <f t="shared" si="113"/>
        <v>0.80382557212801009</v>
      </c>
    </row>
    <row r="7062" spans="16:18" x14ac:dyDescent="0.3">
      <c r="P7062" s="35">
        <v>49.09</v>
      </c>
      <c r="Q7062">
        <v>305</v>
      </c>
      <c r="R7062" s="34">
        <f t="shared" si="113"/>
        <v>0.8039394284413427</v>
      </c>
    </row>
    <row r="7063" spans="16:18" x14ac:dyDescent="0.3">
      <c r="P7063" s="35">
        <v>49.13</v>
      </c>
      <c r="Q7063">
        <v>305</v>
      </c>
      <c r="R7063" s="34">
        <f t="shared" si="113"/>
        <v>0.8040532847546753</v>
      </c>
    </row>
    <row r="7064" spans="16:18" x14ac:dyDescent="0.3">
      <c r="P7064" s="35">
        <v>49.14</v>
      </c>
      <c r="Q7064">
        <v>305</v>
      </c>
      <c r="R7064" s="34">
        <f t="shared" si="113"/>
        <v>0.80416714106800791</v>
      </c>
    </row>
    <row r="7065" spans="16:18" x14ac:dyDescent="0.3">
      <c r="P7065" s="35">
        <v>49.14</v>
      </c>
      <c r="Q7065">
        <v>305</v>
      </c>
      <c r="R7065" s="34">
        <f t="shared" si="113"/>
        <v>0.80428099738134051</v>
      </c>
    </row>
    <row r="7066" spans="16:18" x14ac:dyDescent="0.3">
      <c r="P7066" s="35">
        <v>49.15</v>
      </c>
      <c r="Q7066">
        <v>305</v>
      </c>
      <c r="R7066" s="34">
        <f t="shared" si="113"/>
        <v>0.80439485369467312</v>
      </c>
    </row>
    <row r="7067" spans="16:18" x14ac:dyDescent="0.3">
      <c r="P7067" s="35">
        <v>49.21</v>
      </c>
      <c r="Q7067">
        <v>305</v>
      </c>
      <c r="R7067" s="34">
        <f t="shared" si="113"/>
        <v>0.80450871000800572</v>
      </c>
    </row>
    <row r="7068" spans="16:18" x14ac:dyDescent="0.3">
      <c r="P7068" s="35">
        <v>49.26</v>
      </c>
      <c r="Q7068">
        <v>305</v>
      </c>
      <c r="R7068" s="34">
        <f t="shared" si="113"/>
        <v>0.80462256632133833</v>
      </c>
    </row>
    <row r="7069" spans="16:18" x14ac:dyDescent="0.3">
      <c r="P7069" s="35">
        <v>49.28</v>
      </c>
      <c r="Q7069">
        <v>305</v>
      </c>
      <c r="R7069" s="34">
        <f t="shared" si="113"/>
        <v>0.80473642263467093</v>
      </c>
    </row>
    <row r="7070" spans="16:18" x14ac:dyDescent="0.3">
      <c r="P7070" s="35">
        <v>49.28</v>
      </c>
      <c r="Q7070">
        <v>305</v>
      </c>
      <c r="R7070" s="34">
        <f t="shared" si="113"/>
        <v>0.80485027894800354</v>
      </c>
    </row>
    <row r="7071" spans="16:18" x14ac:dyDescent="0.3">
      <c r="P7071" s="35">
        <v>49.32</v>
      </c>
      <c r="Q7071">
        <v>305</v>
      </c>
      <c r="R7071" s="34">
        <f t="shared" si="113"/>
        <v>0.80496413526133614</v>
      </c>
    </row>
    <row r="7072" spans="16:18" x14ac:dyDescent="0.3">
      <c r="P7072" s="35">
        <v>49.33</v>
      </c>
      <c r="Q7072">
        <v>305</v>
      </c>
      <c r="R7072" s="34">
        <f t="shared" si="113"/>
        <v>0.80507799157466875</v>
      </c>
    </row>
    <row r="7073" spans="16:18" x14ac:dyDescent="0.3">
      <c r="P7073" s="35">
        <v>49.38</v>
      </c>
      <c r="Q7073">
        <v>305</v>
      </c>
      <c r="R7073" s="34">
        <f t="shared" si="113"/>
        <v>0.80519184788800136</v>
      </c>
    </row>
    <row r="7074" spans="16:18" x14ac:dyDescent="0.3">
      <c r="P7074" s="35">
        <v>49.39</v>
      </c>
      <c r="Q7074">
        <v>305</v>
      </c>
      <c r="R7074" s="34">
        <f t="shared" si="113"/>
        <v>0.80530570420133396</v>
      </c>
    </row>
    <row r="7075" spans="16:18" x14ac:dyDescent="0.3">
      <c r="P7075" s="35">
        <v>49.43</v>
      </c>
      <c r="Q7075">
        <v>305</v>
      </c>
      <c r="R7075" s="34">
        <f t="shared" si="113"/>
        <v>0.80541956051466657</v>
      </c>
    </row>
    <row r="7076" spans="16:18" x14ac:dyDescent="0.3">
      <c r="P7076" s="35">
        <v>49.47</v>
      </c>
      <c r="Q7076">
        <v>305</v>
      </c>
      <c r="R7076" s="34">
        <f t="shared" si="113"/>
        <v>0.80553341682799917</v>
      </c>
    </row>
    <row r="7077" spans="16:18" x14ac:dyDescent="0.3">
      <c r="P7077" s="35">
        <v>49.49</v>
      </c>
      <c r="Q7077">
        <v>305</v>
      </c>
      <c r="R7077" s="34">
        <f t="shared" si="113"/>
        <v>0.80564727314133178</v>
      </c>
    </row>
    <row r="7078" spans="16:18" x14ac:dyDescent="0.3">
      <c r="P7078" s="35">
        <v>49.49</v>
      </c>
      <c r="Q7078">
        <v>305</v>
      </c>
      <c r="R7078" s="34">
        <f t="shared" si="113"/>
        <v>0.80576112945466438</v>
      </c>
    </row>
    <row r="7079" spans="16:18" x14ac:dyDescent="0.3">
      <c r="P7079" s="35">
        <v>49.5</v>
      </c>
      <c r="Q7079">
        <v>305</v>
      </c>
      <c r="R7079" s="34">
        <f t="shared" si="113"/>
        <v>0.80587498576799699</v>
      </c>
    </row>
    <row r="7080" spans="16:18" x14ac:dyDescent="0.3">
      <c r="P7080" s="35">
        <v>49.5</v>
      </c>
      <c r="Q7080">
        <v>305</v>
      </c>
      <c r="R7080" s="34">
        <f t="shared" si="113"/>
        <v>0.80598884208132959</v>
      </c>
    </row>
    <row r="7081" spans="16:18" x14ac:dyDescent="0.3">
      <c r="P7081" s="35">
        <v>49.52</v>
      </c>
      <c r="Q7081">
        <v>305</v>
      </c>
      <c r="R7081" s="34">
        <f t="shared" si="113"/>
        <v>0.8061026983946622</v>
      </c>
    </row>
    <row r="7082" spans="16:18" x14ac:dyDescent="0.3">
      <c r="P7082" s="35">
        <v>49.53</v>
      </c>
      <c r="Q7082">
        <v>305</v>
      </c>
      <c r="R7082" s="34">
        <f t="shared" si="113"/>
        <v>0.8062165547079948</v>
      </c>
    </row>
    <row r="7083" spans="16:18" x14ac:dyDescent="0.3">
      <c r="P7083" s="35">
        <v>49.54</v>
      </c>
      <c r="Q7083">
        <v>305</v>
      </c>
      <c r="R7083" s="34">
        <f t="shared" si="113"/>
        <v>0.80633041102132741</v>
      </c>
    </row>
    <row r="7084" spans="16:18" x14ac:dyDescent="0.3">
      <c r="P7084" s="35">
        <v>49.55</v>
      </c>
      <c r="Q7084">
        <v>305</v>
      </c>
      <c r="R7084" s="34">
        <f t="shared" si="113"/>
        <v>0.80644426733466001</v>
      </c>
    </row>
    <row r="7085" spans="16:18" x14ac:dyDescent="0.3">
      <c r="P7085" s="35">
        <v>49.59</v>
      </c>
      <c r="Q7085">
        <v>305</v>
      </c>
      <c r="R7085" s="34">
        <f t="shared" si="113"/>
        <v>0.80655812364799262</v>
      </c>
    </row>
    <row r="7086" spans="16:18" x14ac:dyDescent="0.3">
      <c r="P7086" s="35">
        <v>49.59</v>
      </c>
      <c r="Q7086">
        <v>305</v>
      </c>
      <c r="R7086" s="34">
        <f t="shared" si="113"/>
        <v>0.80667197996132523</v>
      </c>
    </row>
    <row r="7087" spans="16:18" x14ac:dyDescent="0.3">
      <c r="P7087" s="35">
        <v>49.6</v>
      </c>
      <c r="Q7087">
        <v>305</v>
      </c>
      <c r="R7087" s="34">
        <f t="shared" si="113"/>
        <v>0.80678583627465783</v>
      </c>
    </row>
    <row r="7088" spans="16:18" x14ac:dyDescent="0.3">
      <c r="P7088" s="35">
        <v>49.6</v>
      </c>
      <c r="Q7088">
        <v>305</v>
      </c>
      <c r="R7088" s="34">
        <f t="shared" si="113"/>
        <v>0.80689969258799044</v>
      </c>
    </row>
    <row r="7089" spans="16:18" x14ac:dyDescent="0.3">
      <c r="P7089" s="35">
        <v>49.61</v>
      </c>
      <c r="Q7089">
        <v>305</v>
      </c>
      <c r="R7089" s="34">
        <f t="shared" si="113"/>
        <v>0.80701354890132304</v>
      </c>
    </row>
    <row r="7090" spans="16:18" x14ac:dyDescent="0.3">
      <c r="P7090" s="35">
        <v>49.63</v>
      </c>
      <c r="Q7090">
        <v>305</v>
      </c>
      <c r="R7090" s="34">
        <f t="shared" si="113"/>
        <v>0.80712740521465565</v>
      </c>
    </row>
    <row r="7091" spans="16:18" x14ac:dyDescent="0.3">
      <c r="P7091" s="35">
        <v>49.66</v>
      </c>
      <c r="Q7091">
        <v>305</v>
      </c>
      <c r="R7091" s="34">
        <f t="shared" si="113"/>
        <v>0.80724126152798825</v>
      </c>
    </row>
    <row r="7092" spans="16:18" x14ac:dyDescent="0.3">
      <c r="P7092" s="35">
        <v>49.67</v>
      </c>
      <c r="Q7092">
        <v>305</v>
      </c>
      <c r="R7092" s="34">
        <f t="shared" si="113"/>
        <v>0.80735511784132086</v>
      </c>
    </row>
    <row r="7093" spans="16:18" x14ac:dyDescent="0.3">
      <c r="P7093" s="35">
        <v>49.69</v>
      </c>
      <c r="Q7093">
        <v>305</v>
      </c>
      <c r="R7093" s="34">
        <f t="shared" si="113"/>
        <v>0.80746897415465346</v>
      </c>
    </row>
    <row r="7094" spans="16:18" x14ac:dyDescent="0.3">
      <c r="P7094" s="35">
        <v>49.71</v>
      </c>
      <c r="Q7094">
        <v>305</v>
      </c>
      <c r="R7094" s="34">
        <f t="shared" si="113"/>
        <v>0.80758283046798607</v>
      </c>
    </row>
    <row r="7095" spans="16:18" x14ac:dyDescent="0.3">
      <c r="P7095" s="35">
        <v>49.72</v>
      </c>
      <c r="Q7095">
        <v>305</v>
      </c>
      <c r="R7095" s="34">
        <f t="shared" si="113"/>
        <v>0.80769668678131867</v>
      </c>
    </row>
    <row r="7096" spans="16:18" x14ac:dyDescent="0.3">
      <c r="P7096" s="35">
        <v>49.72</v>
      </c>
      <c r="Q7096">
        <v>305</v>
      </c>
      <c r="R7096" s="34">
        <f t="shared" si="113"/>
        <v>0.80781054309465128</v>
      </c>
    </row>
    <row r="7097" spans="16:18" x14ac:dyDescent="0.3">
      <c r="P7097" s="35">
        <v>49.73</v>
      </c>
      <c r="Q7097">
        <v>305</v>
      </c>
      <c r="R7097" s="34">
        <f t="shared" si="113"/>
        <v>0.80792439940798388</v>
      </c>
    </row>
    <row r="7098" spans="16:18" x14ac:dyDescent="0.3">
      <c r="P7098" s="35">
        <v>49.74</v>
      </c>
      <c r="Q7098">
        <v>305</v>
      </c>
      <c r="R7098" s="34">
        <f t="shared" si="113"/>
        <v>0.80803825572131649</v>
      </c>
    </row>
    <row r="7099" spans="16:18" x14ac:dyDescent="0.3">
      <c r="P7099" s="35">
        <v>49.75</v>
      </c>
      <c r="Q7099">
        <v>305</v>
      </c>
      <c r="R7099" s="34">
        <f t="shared" si="113"/>
        <v>0.80815211203464909</v>
      </c>
    </row>
    <row r="7100" spans="16:18" x14ac:dyDescent="0.3">
      <c r="P7100" s="35">
        <v>49.75</v>
      </c>
      <c r="Q7100">
        <v>305</v>
      </c>
      <c r="R7100" s="34">
        <f t="shared" si="113"/>
        <v>0.8082659683479817</v>
      </c>
    </row>
    <row r="7101" spans="16:18" x14ac:dyDescent="0.3">
      <c r="P7101" s="35">
        <v>49.77</v>
      </c>
      <c r="Q7101">
        <v>305</v>
      </c>
      <c r="R7101" s="34">
        <f t="shared" si="113"/>
        <v>0.80837982466131431</v>
      </c>
    </row>
    <row r="7102" spans="16:18" x14ac:dyDescent="0.3">
      <c r="P7102" s="35">
        <v>49.8</v>
      </c>
      <c r="Q7102">
        <v>305</v>
      </c>
      <c r="R7102" s="34">
        <f t="shared" si="113"/>
        <v>0.80849368097464691</v>
      </c>
    </row>
    <row r="7103" spans="16:18" x14ac:dyDescent="0.3">
      <c r="P7103" s="35">
        <v>49.83</v>
      </c>
      <c r="Q7103">
        <v>305</v>
      </c>
      <c r="R7103" s="34">
        <f t="shared" si="113"/>
        <v>0.80860753728797952</v>
      </c>
    </row>
    <row r="7104" spans="16:18" x14ac:dyDescent="0.3">
      <c r="P7104" s="35">
        <v>49.84</v>
      </c>
      <c r="Q7104">
        <v>305</v>
      </c>
      <c r="R7104" s="34">
        <f t="shared" si="113"/>
        <v>0.80872139360131212</v>
      </c>
    </row>
    <row r="7105" spans="16:18" x14ac:dyDescent="0.3">
      <c r="P7105" s="35">
        <v>49.85</v>
      </c>
      <c r="Q7105">
        <v>305</v>
      </c>
      <c r="R7105" s="34">
        <f t="shared" si="113"/>
        <v>0.80883524991464473</v>
      </c>
    </row>
    <row r="7106" spans="16:18" x14ac:dyDescent="0.3">
      <c r="P7106" s="35">
        <v>49.9</v>
      </c>
      <c r="Q7106">
        <v>305</v>
      </c>
      <c r="R7106" s="34">
        <f t="shared" si="113"/>
        <v>0.80894910622797733</v>
      </c>
    </row>
    <row r="7107" spans="16:18" x14ac:dyDescent="0.3">
      <c r="P7107" s="35">
        <v>49.91</v>
      </c>
      <c r="Q7107">
        <v>305</v>
      </c>
      <c r="R7107" s="34">
        <f t="shared" si="113"/>
        <v>0.80906296254130994</v>
      </c>
    </row>
    <row r="7108" spans="16:18" x14ac:dyDescent="0.3">
      <c r="P7108" s="35">
        <v>49.93</v>
      </c>
      <c r="Q7108">
        <v>305</v>
      </c>
      <c r="R7108" s="34">
        <f t="shared" ref="R7108:R7171" si="114">R7107+R$2</f>
        <v>0.80917681885464254</v>
      </c>
    </row>
    <row r="7109" spans="16:18" x14ac:dyDescent="0.3">
      <c r="P7109" s="35">
        <v>49.93</v>
      </c>
      <c r="Q7109">
        <v>305</v>
      </c>
      <c r="R7109" s="34">
        <f t="shared" si="114"/>
        <v>0.80929067516797515</v>
      </c>
    </row>
    <row r="7110" spans="16:18" x14ac:dyDescent="0.3">
      <c r="P7110" s="35">
        <v>49.95</v>
      </c>
      <c r="Q7110">
        <v>305</v>
      </c>
      <c r="R7110" s="34">
        <f t="shared" si="114"/>
        <v>0.80940453148130775</v>
      </c>
    </row>
    <row r="7111" spans="16:18" x14ac:dyDescent="0.3">
      <c r="P7111" s="35">
        <v>49.95</v>
      </c>
      <c r="Q7111">
        <v>305</v>
      </c>
      <c r="R7111" s="34">
        <f t="shared" si="114"/>
        <v>0.80951838779464036</v>
      </c>
    </row>
    <row r="7112" spans="16:18" x14ac:dyDescent="0.3">
      <c r="P7112" s="35">
        <v>49.95</v>
      </c>
      <c r="Q7112">
        <v>305</v>
      </c>
      <c r="R7112" s="34">
        <f t="shared" si="114"/>
        <v>0.80963224410797296</v>
      </c>
    </row>
    <row r="7113" spans="16:18" x14ac:dyDescent="0.3">
      <c r="P7113" s="35">
        <v>49.96</v>
      </c>
      <c r="Q7113">
        <v>305</v>
      </c>
      <c r="R7113" s="34">
        <f t="shared" si="114"/>
        <v>0.80974610042130557</v>
      </c>
    </row>
    <row r="7114" spans="16:18" x14ac:dyDescent="0.3">
      <c r="P7114" s="35">
        <v>49.97</v>
      </c>
      <c r="Q7114">
        <v>305</v>
      </c>
      <c r="R7114" s="34">
        <f t="shared" si="114"/>
        <v>0.80985995673463818</v>
      </c>
    </row>
    <row r="7115" spans="16:18" x14ac:dyDescent="0.3">
      <c r="P7115" s="35">
        <v>49.98</v>
      </c>
      <c r="Q7115">
        <v>305</v>
      </c>
      <c r="R7115" s="34">
        <f t="shared" si="114"/>
        <v>0.80997381304797078</v>
      </c>
    </row>
    <row r="7116" spans="16:18" x14ac:dyDescent="0.3">
      <c r="P7116" s="35">
        <v>49.99</v>
      </c>
      <c r="Q7116">
        <v>305</v>
      </c>
      <c r="R7116" s="34">
        <f t="shared" si="114"/>
        <v>0.81008766936130339</v>
      </c>
    </row>
    <row r="7117" spans="16:18" x14ac:dyDescent="0.3">
      <c r="P7117" s="35">
        <v>50</v>
      </c>
      <c r="Q7117">
        <v>305</v>
      </c>
      <c r="R7117" s="34">
        <f t="shared" si="114"/>
        <v>0.81020152567463599</v>
      </c>
    </row>
    <row r="7118" spans="16:18" x14ac:dyDescent="0.3">
      <c r="P7118" s="35">
        <v>50</v>
      </c>
      <c r="Q7118">
        <v>305</v>
      </c>
      <c r="R7118" s="34">
        <f t="shared" si="114"/>
        <v>0.8103153819879686</v>
      </c>
    </row>
    <row r="7119" spans="16:18" x14ac:dyDescent="0.3">
      <c r="P7119" s="35">
        <v>50.01</v>
      </c>
      <c r="Q7119">
        <v>305</v>
      </c>
      <c r="R7119" s="34">
        <f t="shared" si="114"/>
        <v>0.8104292383013012</v>
      </c>
    </row>
    <row r="7120" spans="16:18" x14ac:dyDescent="0.3">
      <c r="P7120" s="35">
        <v>50.01</v>
      </c>
      <c r="Q7120">
        <v>305</v>
      </c>
      <c r="R7120" s="34">
        <f t="shared" si="114"/>
        <v>0.81054309461463381</v>
      </c>
    </row>
    <row r="7121" spans="16:18" x14ac:dyDescent="0.3">
      <c r="P7121" s="35">
        <v>50.02</v>
      </c>
      <c r="Q7121">
        <v>305</v>
      </c>
      <c r="R7121" s="34">
        <f t="shared" si="114"/>
        <v>0.81065695092796641</v>
      </c>
    </row>
    <row r="7122" spans="16:18" x14ac:dyDescent="0.3">
      <c r="P7122" s="35">
        <v>50.05</v>
      </c>
      <c r="Q7122">
        <v>305</v>
      </c>
      <c r="R7122" s="34">
        <f t="shared" si="114"/>
        <v>0.81077080724129902</v>
      </c>
    </row>
    <row r="7123" spans="16:18" x14ac:dyDescent="0.3">
      <c r="P7123" s="35">
        <v>50.07</v>
      </c>
      <c r="Q7123">
        <v>305</v>
      </c>
      <c r="R7123" s="34">
        <f t="shared" si="114"/>
        <v>0.81088466355463162</v>
      </c>
    </row>
    <row r="7124" spans="16:18" x14ac:dyDescent="0.3">
      <c r="P7124" s="35">
        <v>50.09</v>
      </c>
      <c r="Q7124">
        <v>305</v>
      </c>
      <c r="R7124" s="34">
        <f t="shared" si="114"/>
        <v>0.81099851986796423</v>
      </c>
    </row>
    <row r="7125" spans="16:18" x14ac:dyDescent="0.3">
      <c r="P7125" s="35">
        <v>50.13</v>
      </c>
      <c r="Q7125">
        <v>305</v>
      </c>
      <c r="R7125" s="34">
        <f t="shared" si="114"/>
        <v>0.81111237618129683</v>
      </c>
    </row>
    <row r="7126" spans="16:18" x14ac:dyDescent="0.3">
      <c r="P7126" s="35">
        <v>50.13</v>
      </c>
      <c r="Q7126">
        <v>305</v>
      </c>
      <c r="R7126" s="34">
        <f t="shared" si="114"/>
        <v>0.81122623249462944</v>
      </c>
    </row>
    <row r="7127" spans="16:18" x14ac:dyDescent="0.3">
      <c r="P7127" s="35">
        <v>50.14</v>
      </c>
      <c r="Q7127">
        <v>305</v>
      </c>
      <c r="R7127" s="34">
        <f t="shared" si="114"/>
        <v>0.81134008880796205</v>
      </c>
    </row>
    <row r="7128" spans="16:18" x14ac:dyDescent="0.3">
      <c r="P7128" s="35">
        <v>50.15</v>
      </c>
      <c r="Q7128">
        <v>305</v>
      </c>
      <c r="R7128" s="34">
        <f t="shared" si="114"/>
        <v>0.81145394512129465</v>
      </c>
    </row>
    <row r="7129" spans="16:18" x14ac:dyDescent="0.3">
      <c r="P7129" s="35">
        <v>50.19</v>
      </c>
      <c r="Q7129">
        <v>305</v>
      </c>
      <c r="R7129" s="34">
        <f t="shared" si="114"/>
        <v>0.81156780143462726</v>
      </c>
    </row>
    <row r="7130" spans="16:18" x14ac:dyDescent="0.3">
      <c r="P7130" s="35">
        <v>50.19</v>
      </c>
      <c r="Q7130">
        <v>305</v>
      </c>
      <c r="R7130" s="34">
        <f t="shared" si="114"/>
        <v>0.81168165774795986</v>
      </c>
    </row>
    <row r="7131" spans="16:18" x14ac:dyDescent="0.3">
      <c r="P7131" s="35">
        <v>50.2</v>
      </c>
      <c r="Q7131">
        <v>305</v>
      </c>
      <c r="R7131" s="34">
        <f t="shared" si="114"/>
        <v>0.81179551406129247</v>
      </c>
    </row>
    <row r="7132" spans="16:18" x14ac:dyDescent="0.3">
      <c r="P7132" s="35">
        <v>50.2</v>
      </c>
      <c r="Q7132">
        <v>305</v>
      </c>
      <c r="R7132" s="34">
        <f t="shared" si="114"/>
        <v>0.81190937037462507</v>
      </c>
    </row>
    <row r="7133" spans="16:18" x14ac:dyDescent="0.3">
      <c r="P7133" s="35">
        <v>50.21</v>
      </c>
      <c r="Q7133">
        <v>305</v>
      </c>
      <c r="R7133" s="34">
        <f t="shared" si="114"/>
        <v>0.81202322668795768</v>
      </c>
    </row>
    <row r="7134" spans="16:18" x14ac:dyDescent="0.3">
      <c r="P7134" s="35">
        <v>50.22</v>
      </c>
      <c r="Q7134">
        <v>305</v>
      </c>
      <c r="R7134" s="34">
        <f t="shared" si="114"/>
        <v>0.81213708300129028</v>
      </c>
    </row>
    <row r="7135" spans="16:18" x14ac:dyDescent="0.3">
      <c r="P7135" s="35">
        <v>50.25</v>
      </c>
      <c r="Q7135">
        <v>305</v>
      </c>
      <c r="R7135" s="34">
        <f t="shared" si="114"/>
        <v>0.81225093931462289</v>
      </c>
    </row>
    <row r="7136" spans="16:18" x14ac:dyDescent="0.3">
      <c r="P7136" s="35">
        <v>50.27</v>
      </c>
      <c r="Q7136">
        <v>305</v>
      </c>
      <c r="R7136" s="34">
        <f t="shared" si="114"/>
        <v>0.81236479562795549</v>
      </c>
    </row>
    <row r="7137" spans="16:18" x14ac:dyDescent="0.3">
      <c r="P7137" s="35">
        <v>50.29</v>
      </c>
      <c r="Q7137">
        <v>305</v>
      </c>
      <c r="R7137" s="34">
        <f t="shared" si="114"/>
        <v>0.8124786519412881</v>
      </c>
    </row>
    <row r="7138" spans="16:18" x14ac:dyDescent="0.3">
      <c r="P7138" s="35">
        <v>50.3</v>
      </c>
      <c r="Q7138">
        <v>305</v>
      </c>
      <c r="R7138" s="34">
        <f t="shared" si="114"/>
        <v>0.8125925082546207</v>
      </c>
    </row>
    <row r="7139" spans="16:18" x14ac:dyDescent="0.3">
      <c r="P7139" s="35">
        <v>50.31</v>
      </c>
      <c r="Q7139">
        <v>305</v>
      </c>
      <c r="R7139" s="34">
        <f t="shared" si="114"/>
        <v>0.81270636456795331</v>
      </c>
    </row>
    <row r="7140" spans="16:18" x14ac:dyDescent="0.3">
      <c r="P7140" s="35">
        <v>50.34</v>
      </c>
      <c r="Q7140">
        <v>305</v>
      </c>
      <c r="R7140" s="34">
        <f t="shared" si="114"/>
        <v>0.81282022088128592</v>
      </c>
    </row>
    <row r="7141" spans="16:18" x14ac:dyDescent="0.3">
      <c r="P7141" s="35">
        <v>50.34</v>
      </c>
      <c r="Q7141">
        <v>305</v>
      </c>
      <c r="R7141" s="34">
        <f t="shared" si="114"/>
        <v>0.81293407719461852</v>
      </c>
    </row>
    <row r="7142" spans="16:18" x14ac:dyDescent="0.3">
      <c r="P7142" s="35">
        <v>50.34</v>
      </c>
      <c r="Q7142">
        <v>305</v>
      </c>
      <c r="R7142" s="34">
        <f t="shared" si="114"/>
        <v>0.81304793350795113</v>
      </c>
    </row>
    <row r="7143" spans="16:18" x14ac:dyDescent="0.3">
      <c r="P7143" s="35">
        <v>50.34</v>
      </c>
      <c r="Q7143">
        <v>305</v>
      </c>
      <c r="R7143" s="34">
        <f t="shared" si="114"/>
        <v>0.81316178982128373</v>
      </c>
    </row>
    <row r="7144" spans="16:18" x14ac:dyDescent="0.3">
      <c r="P7144" s="35">
        <v>50.34</v>
      </c>
      <c r="Q7144">
        <v>305</v>
      </c>
      <c r="R7144" s="34">
        <f t="shared" si="114"/>
        <v>0.81327564613461634</v>
      </c>
    </row>
    <row r="7145" spans="16:18" x14ac:dyDescent="0.3">
      <c r="P7145" s="35">
        <v>50.36</v>
      </c>
      <c r="Q7145">
        <v>305</v>
      </c>
      <c r="R7145" s="34">
        <f t="shared" si="114"/>
        <v>0.81338950244794894</v>
      </c>
    </row>
    <row r="7146" spans="16:18" x14ac:dyDescent="0.3">
      <c r="P7146" s="35">
        <v>50.37</v>
      </c>
      <c r="Q7146">
        <v>305</v>
      </c>
      <c r="R7146" s="34">
        <f t="shared" si="114"/>
        <v>0.81350335876128155</v>
      </c>
    </row>
    <row r="7147" spans="16:18" x14ac:dyDescent="0.3">
      <c r="P7147" s="35">
        <v>50.38</v>
      </c>
      <c r="Q7147">
        <v>305</v>
      </c>
      <c r="R7147" s="34">
        <f t="shared" si="114"/>
        <v>0.81361721507461415</v>
      </c>
    </row>
    <row r="7148" spans="16:18" x14ac:dyDescent="0.3">
      <c r="P7148" s="35">
        <v>50.38</v>
      </c>
      <c r="Q7148">
        <v>305</v>
      </c>
      <c r="R7148" s="34">
        <f t="shared" si="114"/>
        <v>0.81373107138794676</v>
      </c>
    </row>
    <row r="7149" spans="16:18" x14ac:dyDescent="0.3">
      <c r="P7149" s="35">
        <v>50.4</v>
      </c>
      <c r="Q7149">
        <v>305</v>
      </c>
      <c r="R7149" s="34">
        <f t="shared" si="114"/>
        <v>0.81384492770127936</v>
      </c>
    </row>
    <row r="7150" spans="16:18" x14ac:dyDescent="0.3">
      <c r="P7150" s="35">
        <v>50.41</v>
      </c>
      <c r="Q7150">
        <v>305</v>
      </c>
      <c r="R7150" s="34">
        <f t="shared" si="114"/>
        <v>0.81395878401461197</v>
      </c>
    </row>
    <row r="7151" spans="16:18" x14ac:dyDescent="0.3">
      <c r="P7151" s="35">
        <v>50.43</v>
      </c>
      <c r="Q7151">
        <v>305</v>
      </c>
      <c r="R7151" s="34">
        <f t="shared" si="114"/>
        <v>0.81407264032794457</v>
      </c>
    </row>
    <row r="7152" spans="16:18" x14ac:dyDescent="0.3">
      <c r="P7152" s="35">
        <v>50.45</v>
      </c>
      <c r="Q7152">
        <v>305</v>
      </c>
      <c r="R7152" s="34">
        <f t="shared" si="114"/>
        <v>0.81418649664127718</v>
      </c>
    </row>
    <row r="7153" spans="16:18" x14ac:dyDescent="0.3">
      <c r="P7153" s="35">
        <v>50.45</v>
      </c>
      <c r="Q7153">
        <v>305</v>
      </c>
      <c r="R7153" s="34">
        <f t="shared" si="114"/>
        <v>0.81430035295460979</v>
      </c>
    </row>
    <row r="7154" spans="16:18" x14ac:dyDescent="0.3">
      <c r="P7154" s="35">
        <v>50.46</v>
      </c>
      <c r="Q7154">
        <v>305</v>
      </c>
      <c r="R7154" s="34">
        <f t="shared" si="114"/>
        <v>0.81441420926794239</v>
      </c>
    </row>
    <row r="7155" spans="16:18" x14ac:dyDescent="0.3">
      <c r="P7155" s="35">
        <v>50.46</v>
      </c>
      <c r="Q7155">
        <v>305</v>
      </c>
      <c r="R7155" s="34">
        <f t="shared" si="114"/>
        <v>0.814528065581275</v>
      </c>
    </row>
    <row r="7156" spans="16:18" x14ac:dyDescent="0.3">
      <c r="P7156" s="35">
        <v>50.47</v>
      </c>
      <c r="Q7156">
        <v>305</v>
      </c>
      <c r="R7156" s="34">
        <f t="shared" si="114"/>
        <v>0.8146419218946076</v>
      </c>
    </row>
    <row r="7157" spans="16:18" x14ac:dyDescent="0.3">
      <c r="P7157" s="35">
        <v>50.48</v>
      </c>
      <c r="Q7157">
        <v>305</v>
      </c>
      <c r="R7157" s="34">
        <f t="shared" si="114"/>
        <v>0.81475577820794021</v>
      </c>
    </row>
    <row r="7158" spans="16:18" x14ac:dyDescent="0.3">
      <c r="P7158" s="35">
        <v>50.49</v>
      </c>
      <c r="Q7158">
        <v>305</v>
      </c>
      <c r="R7158" s="34">
        <f t="shared" si="114"/>
        <v>0.81486963452127281</v>
      </c>
    </row>
    <row r="7159" spans="16:18" x14ac:dyDescent="0.3">
      <c r="P7159" s="35">
        <v>50.5</v>
      </c>
      <c r="Q7159">
        <v>305</v>
      </c>
      <c r="R7159" s="34">
        <f t="shared" si="114"/>
        <v>0.81498349083460542</v>
      </c>
    </row>
    <row r="7160" spans="16:18" x14ac:dyDescent="0.3">
      <c r="P7160" s="35">
        <v>50.51</v>
      </c>
      <c r="Q7160">
        <v>305</v>
      </c>
      <c r="R7160" s="34">
        <f t="shared" si="114"/>
        <v>0.81509734714793802</v>
      </c>
    </row>
    <row r="7161" spans="16:18" x14ac:dyDescent="0.3">
      <c r="P7161" s="35">
        <v>50.53</v>
      </c>
      <c r="Q7161">
        <v>305</v>
      </c>
      <c r="R7161" s="34">
        <f t="shared" si="114"/>
        <v>0.81521120346127063</v>
      </c>
    </row>
    <row r="7162" spans="16:18" x14ac:dyDescent="0.3">
      <c r="P7162" s="35">
        <v>50.55</v>
      </c>
      <c r="Q7162">
        <v>305</v>
      </c>
      <c r="R7162" s="34">
        <f t="shared" si="114"/>
        <v>0.81532505977460323</v>
      </c>
    </row>
    <row r="7163" spans="16:18" x14ac:dyDescent="0.3">
      <c r="P7163" s="35">
        <v>50.58</v>
      </c>
      <c r="Q7163">
        <v>305</v>
      </c>
      <c r="R7163" s="34">
        <f t="shared" si="114"/>
        <v>0.81543891608793584</v>
      </c>
    </row>
    <row r="7164" spans="16:18" x14ac:dyDescent="0.3">
      <c r="P7164" s="35">
        <v>50.61</v>
      </c>
      <c r="Q7164">
        <v>305</v>
      </c>
      <c r="R7164" s="34">
        <f t="shared" si="114"/>
        <v>0.81555277240126844</v>
      </c>
    </row>
    <row r="7165" spans="16:18" x14ac:dyDescent="0.3">
      <c r="P7165" s="35">
        <v>50.64</v>
      </c>
      <c r="Q7165">
        <v>305</v>
      </c>
      <c r="R7165" s="34">
        <f t="shared" si="114"/>
        <v>0.81566662871460105</v>
      </c>
    </row>
    <row r="7166" spans="16:18" x14ac:dyDescent="0.3">
      <c r="P7166" s="35">
        <v>50.67</v>
      </c>
      <c r="Q7166">
        <v>305</v>
      </c>
      <c r="R7166" s="34">
        <f t="shared" si="114"/>
        <v>0.81578048502793366</v>
      </c>
    </row>
    <row r="7167" spans="16:18" x14ac:dyDescent="0.3">
      <c r="P7167" s="35">
        <v>50.68</v>
      </c>
      <c r="Q7167">
        <v>305</v>
      </c>
      <c r="R7167" s="34">
        <f t="shared" si="114"/>
        <v>0.81589434134126626</v>
      </c>
    </row>
    <row r="7168" spans="16:18" x14ac:dyDescent="0.3">
      <c r="P7168" s="35">
        <v>50.71</v>
      </c>
      <c r="Q7168">
        <v>305</v>
      </c>
      <c r="R7168" s="34">
        <f t="shared" si="114"/>
        <v>0.81600819765459887</v>
      </c>
    </row>
    <row r="7169" spans="16:18" x14ac:dyDescent="0.3">
      <c r="P7169" s="35">
        <v>50.73</v>
      </c>
      <c r="Q7169">
        <v>305</v>
      </c>
      <c r="R7169" s="34">
        <f t="shared" si="114"/>
        <v>0.81612205396793147</v>
      </c>
    </row>
    <row r="7170" spans="16:18" x14ac:dyDescent="0.3">
      <c r="P7170" s="35">
        <v>50.75</v>
      </c>
      <c r="Q7170">
        <v>305</v>
      </c>
      <c r="R7170" s="34">
        <f t="shared" si="114"/>
        <v>0.81623591028126408</v>
      </c>
    </row>
    <row r="7171" spans="16:18" x14ac:dyDescent="0.3">
      <c r="P7171" s="35">
        <v>50.76</v>
      </c>
      <c r="Q7171">
        <v>305</v>
      </c>
      <c r="R7171" s="34">
        <f t="shared" si="114"/>
        <v>0.81634976659459668</v>
      </c>
    </row>
    <row r="7172" spans="16:18" x14ac:dyDescent="0.3">
      <c r="P7172" s="35">
        <v>50.8</v>
      </c>
      <c r="Q7172">
        <v>305</v>
      </c>
      <c r="R7172" s="34">
        <f t="shared" ref="R7172:R7235" si="115">R7171+R$2</f>
        <v>0.81646362290792929</v>
      </c>
    </row>
    <row r="7173" spans="16:18" x14ac:dyDescent="0.3">
      <c r="P7173" s="35">
        <v>50.83</v>
      </c>
      <c r="Q7173">
        <v>305</v>
      </c>
      <c r="R7173" s="34">
        <f t="shared" si="115"/>
        <v>0.81657747922126189</v>
      </c>
    </row>
    <row r="7174" spans="16:18" x14ac:dyDescent="0.3">
      <c r="P7174" s="35">
        <v>50.84</v>
      </c>
      <c r="Q7174">
        <v>305</v>
      </c>
      <c r="R7174" s="34">
        <f t="shared" si="115"/>
        <v>0.8166913355345945</v>
      </c>
    </row>
    <row r="7175" spans="16:18" x14ac:dyDescent="0.3">
      <c r="P7175" s="35">
        <v>50.88</v>
      </c>
      <c r="Q7175">
        <v>305</v>
      </c>
      <c r="R7175" s="34">
        <f t="shared" si="115"/>
        <v>0.8168051918479271</v>
      </c>
    </row>
    <row r="7176" spans="16:18" x14ac:dyDescent="0.3">
      <c r="P7176" s="35">
        <v>50.89</v>
      </c>
      <c r="Q7176">
        <v>305</v>
      </c>
      <c r="R7176" s="34">
        <f t="shared" si="115"/>
        <v>0.81691904816125971</v>
      </c>
    </row>
    <row r="7177" spans="16:18" x14ac:dyDescent="0.3">
      <c r="P7177" s="35">
        <v>50.9</v>
      </c>
      <c r="Q7177">
        <v>305</v>
      </c>
      <c r="R7177" s="34">
        <f t="shared" si="115"/>
        <v>0.81703290447459231</v>
      </c>
    </row>
    <row r="7178" spans="16:18" x14ac:dyDescent="0.3">
      <c r="P7178" s="35">
        <v>50.91</v>
      </c>
      <c r="Q7178">
        <v>305</v>
      </c>
      <c r="R7178" s="34">
        <f t="shared" si="115"/>
        <v>0.81714676078792492</v>
      </c>
    </row>
    <row r="7179" spans="16:18" x14ac:dyDescent="0.3">
      <c r="P7179" s="35">
        <v>50.91</v>
      </c>
      <c r="Q7179">
        <v>305</v>
      </c>
      <c r="R7179" s="34">
        <f t="shared" si="115"/>
        <v>0.81726061710125752</v>
      </c>
    </row>
    <row r="7180" spans="16:18" x14ac:dyDescent="0.3">
      <c r="P7180" s="35">
        <v>50.92</v>
      </c>
      <c r="Q7180">
        <v>305</v>
      </c>
      <c r="R7180" s="34">
        <f t="shared" si="115"/>
        <v>0.81737447341459013</v>
      </c>
    </row>
    <row r="7181" spans="16:18" x14ac:dyDescent="0.3">
      <c r="P7181" s="35">
        <v>50.92</v>
      </c>
      <c r="Q7181">
        <v>305</v>
      </c>
      <c r="R7181" s="34">
        <f t="shared" si="115"/>
        <v>0.81748832972792274</v>
      </c>
    </row>
    <row r="7182" spans="16:18" x14ac:dyDescent="0.3">
      <c r="P7182" s="35">
        <v>50.94</v>
      </c>
      <c r="Q7182">
        <v>305</v>
      </c>
      <c r="R7182" s="34">
        <f t="shared" si="115"/>
        <v>0.81760218604125534</v>
      </c>
    </row>
    <row r="7183" spans="16:18" x14ac:dyDescent="0.3">
      <c r="P7183" s="35">
        <v>50.96</v>
      </c>
      <c r="Q7183">
        <v>305</v>
      </c>
      <c r="R7183" s="34">
        <f t="shared" si="115"/>
        <v>0.81771604235458795</v>
      </c>
    </row>
    <row r="7184" spans="16:18" x14ac:dyDescent="0.3">
      <c r="P7184" s="35">
        <v>50.97</v>
      </c>
      <c r="Q7184">
        <v>305</v>
      </c>
      <c r="R7184" s="34">
        <f t="shared" si="115"/>
        <v>0.81782989866792055</v>
      </c>
    </row>
    <row r="7185" spans="16:18" x14ac:dyDescent="0.3">
      <c r="P7185" s="35">
        <v>50.97</v>
      </c>
      <c r="Q7185">
        <v>305</v>
      </c>
      <c r="R7185" s="34">
        <f t="shared" si="115"/>
        <v>0.81794375498125316</v>
      </c>
    </row>
    <row r="7186" spans="16:18" x14ac:dyDescent="0.3">
      <c r="P7186" s="35">
        <v>50.97</v>
      </c>
      <c r="Q7186">
        <v>305</v>
      </c>
      <c r="R7186" s="34">
        <f t="shared" si="115"/>
        <v>0.81805761129458576</v>
      </c>
    </row>
    <row r="7187" spans="16:18" x14ac:dyDescent="0.3">
      <c r="P7187" s="35">
        <v>51</v>
      </c>
      <c r="Q7187">
        <v>305</v>
      </c>
      <c r="R7187" s="34">
        <f t="shared" si="115"/>
        <v>0.81817146760791837</v>
      </c>
    </row>
    <row r="7188" spans="16:18" x14ac:dyDescent="0.3">
      <c r="P7188" s="35">
        <v>51.04</v>
      </c>
      <c r="Q7188">
        <v>305</v>
      </c>
      <c r="R7188" s="34">
        <f t="shared" si="115"/>
        <v>0.81828532392125097</v>
      </c>
    </row>
    <row r="7189" spans="16:18" x14ac:dyDescent="0.3">
      <c r="P7189" s="35">
        <v>51.04</v>
      </c>
      <c r="Q7189">
        <v>305</v>
      </c>
      <c r="R7189" s="34">
        <f t="shared" si="115"/>
        <v>0.81839918023458358</v>
      </c>
    </row>
    <row r="7190" spans="16:18" x14ac:dyDescent="0.3">
      <c r="P7190" s="35">
        <v>51.06</v>
      </c>
      <c r="Q7190">
        <v>305</v>
      </c>
      <c r="R7190" s="34">
        <f t="shared" si="115"/>
        <v>0.81851303654791618</v>
      </c>
    </row>
    <row r="7191" spans="16:18" x14ac:dyDescent="0.3">
      <c r="P7191" s="35">
        <v>51.06</v>
      </c>
      <c r="Q7191">
        <v>305</v>
      </c>
      <c r="R7191" s="34">
        <f t="shared" si="115"/>
        <v>0.81862689286124879</v>
      </c>
    </row>
    <row r="7192" spans="16:18" x14ac:dyDescent="0.3">
      <c r="P7192" s="35">
        <v>51.08</v>
      </c>
      <c r="Q7192">
        <v>305</v>
      </c>
      <c r="R7192" s="34">
        <f t="shared" si="115"/>
        <v>0.81874074917458139</v>
      </c>
    </row>
    <row r="7193" spans="16:18" x14ac:dyDescent="0.3">
      <c r="P7193" s="35">
        <v>51.08</v>
      </c>
      <c r="Q7193">
        <v>305</v>
      </c>
      <c r="R7193" s="34">
        <f t="shared" si="115"/>
        <v>0.818854605487914</v>
      </c>
    </row>
    <row r="7194" spans="16:18" x14ac:dyDescent="0.3">
      <c r="P7194" s="35">
        <v>51.12</v>
      </c>
      <c r="Q7194">
        <v>305</v>
      </c>
      <c r="R7194" s="34">
        <f t="shared" si="115"/>
        <v>0.81896846180124661</v>
      </c>
    </row>
    <row r="7195" spans="16:18" x14ac:dyDescent="0.3">
      <c r="P7195" s="35">
        <v>51.14</v>
      </c>
      <c r="Q7195">
        <v>305</v>
      </c>
      <c r="R7195" s="34">
        <f t="shared" si="115"/>
        <v>0.81908231811457921</v>
      </c>
    </row>
    <row r="7196" spans="16:18" x14ac:dyDescent="0.3">
      <c r="P7196" s="35">
        <v>51.14</v>
      </c>
      <c r="Q7196">
        <v>305</v>
      </c>
      <c r="R7196" s="34">
        <f t="shared" si="115"/>
        <v>0.81919617442791182</v>
      </c>
    </row>
    <row r="7197" spans="16:18" x14ac:dyDescent="0.3">
      <c r="P7197" s="35">
        <v>51.14</v>
      </c>
      <c r="Q7197">
        <v>305</v>
      </c>
      <c r="R7197" s="34">
        <f t="shared" si="115"/>
        <v>0.81931003074124442</v>
      </c>
    </row>
    <row r="7198" spans="16:18" x14ac:dyDescent="0.3">
      <c r="P7198" s="35">
        <v>51.16</v>
      </c>
      <c r="Q7198">
        <v>305</v>
      </c>
      <c r="R7198" s="34">
        <f t="shared" si="115"/>
        <v>0.81942388705457703</v>
      </c>
    </row>
    <row r="7199" spans="16:18" x14ac:dyDescent="0.3">
      <c r="P7199" s="35">
        <v>51.17</v>
      </c>
      <c r="Q7199">
        <v>305</v>
      </c>
      <c r="R7199" s="34">
        <f t="shared" si="115"/>
        <v>0.81953774336790963</v>
      </c>
    </row>
    <row r="7200" spans="16:18" x14ac:dyDescent="0.3">
      <c r="P7200" s="35">
        <v>51.19</v>
      </c>
      <c r="Q7200">
        <v>305</v>
      </c>
      <c r="R7200" s="34">
        <f t="shared" si="115"/>
        <v>0.81965159968124224</v>
      </c>
    </row>
    <row r="7201" spans="16:18" x14ac:dyDescent="0.3">
      <c r="P7201" s="35">
        <v>51.2</v>
      </c>
      <c r="Q7201">
        <v>305</v>
      </c>
      <c r="R7201" s="34">
        <f t="shared" si="115"/>
        <v>0.81976545599457484</v>
      </c>
    </row>
    <row r="7202" spans="16:18" x14ac:dyDescent="0.3">
      <c r="P7202" s="35">
        <v>51.25</v>
      </c>
      <c r="Q7202">
        <v>305</v>
      </c>
      <c r="R7202" s="34">
        <f t="shared" si="115"/>
        <v>0.81987931230790745</v>
      </c>
    </row>
    <row r="7203" spans="16:18" x14ac:dyDescent="0.3">
      <c r="P7203" s="35">
        <v>51.25</v>
      </c>
      <c r="Q7203">
        <v>305</v>
      </c>
      <c r="R7203" s="34">
        <f t="shared" si="115"/>
        <v>0.81999316862124005</v>
      </c>
    </row>
    <row r="7204" spans="16:18" x14ac:dyDescent="0.3">
      <c r="P7204" s="35">
        <v>51.27</v>
      </c>
      <c r="Q7204">
        <v>305</v>
      </c>
      <c r="R7204" s="34">
        <f t="shared" si="115"/>
        <v>0.82010702493457266</v>
      </c>
    </row>
    <row r="7205" spans="16:18" x14ac:dyDescent="0.3">
      <c r="P7205" s="35">
        <v>51.27</v>
      </c>
      <c r="Q7205">
        <v>305</v>
      </c>
      <c r="R7205" s="34">
        <f t="shared" si="115"/>
        <v>0.82022088124790526</v>
      </c>
    </row>
    <row r="7206" spans="16:18" x14ac:dyDescent="0.3">
      <c r="P7206" s="35">
        <v>51.29</v>
      </c>
      <c r="Q7206">
        <v>305</v>
      </c>
      <c r="R7206" s="34">
        <f t="shared" si="115"/>
        <v>0.82033473756123787</v>
      </c>
    </row>
    <row r="7207" spans="16:18" x14ac:dyDescent="0.3">
      <c r="P7207" s="35">
        <v>51.31</v>
      </c>
      <c r="Q7207">
        <v>305</v>
      </c>
      <c r="R7207" s="34">
        <f t="shared" si="115"/>
        <v>0.82044859387457048</v>
      </c>
    </row>
    <row r="7208" spans="16:18" x14ac:dyDescent="0.3">
      <c r="P7208" s="35">
        <v>51.35</v>
      </c>
      <c r="Q7208">
        <v>305</v>
      </c>
      <c r="R7208" s="34">
        <f t="shared" si="115"/>
        <v>0.82056245018790308</v>
      </c>
    </row>
    <row r="7209" spans="16:18" x14ac:dyDescent="0.3">
      <c r="P7209" s="35">
        <v>51.4</v>
      </c>
      <c r="Q7209">
        <v>305</v>
      </c>
      <c r="R7209" s="34">
        <f t="shared" si="115"/>
        <v>0.82067630650123569</v>
      </c>
    </row>
    <row r="7210" spans="16:18" x14ac:dyDescent="0.3">
      <c r="P7210" s="35">
        <v>51.44</v>
      </c>
      <c r="Q7210">
        <v>305</v>
      </c>
      <c r="R7210" s="34">
        <f t="shared" si="115"/>
        <v>0.82079016281456829</v>
      </c>
    </row>
    <row r="7211" spans="16:18" x14ac:dyDescent="0.3">
      <c r="P7211" s="35">
        <v>51.44</v>
      </c>
      <c r="Q7211">
        <v>305</v>
      </c>
      <c r="R7211" s="34">
        <f t="shared" si="115"/>
        <v>0.8209040191279009</v>
      </c>
    </row>
    <row r="7212" spans="16:18" x14ac:dyDescent="0.3">
      <c r="P7212" s="35">
        <v>51.47</v>
      </c>
      <c r="Q7212">
        <v>305</v>
      </c>
      <c r="R7212" s="34">
        <f t="shared" si="115"/>
        <v>0.8210178754412335</v>
      </c>
    </row>
    <row r="7213" spans="16:18" x14ac:dyDescent="0.3">
      <c r="P7213" s="35">
        <v>51.5</v>
      </c>
      <c r="Q7213">
        <v>305</v>
      </c>
      <c r="R7213" s="34">
        <f t="shared" si="115"/>
        <v>0.82113173175456611</v>
      </c>
    </row>
    <row r="7214" spans="16:18" x14ac:dyDescent="0.3">
      <c r="P7214" s="35">
        <v>51.5</v>
      </c>
      <c r="Q7214">
        <v>305</v>
      </c>
      <c r="R7214" s="34">
        <f t="shared" si="115"/>
        <v>0.82124558806789871</v>
      </c>
    </row>
    <row r="7215" spans="16:18" x14ac:dyDescent="0.3">
      <c r="P7215" s="35">
        <v>51.57</v>
      </c>
      <c r="Q7215">
        <v>305</v>
      </c>
      <c r="R7215" s="34">
        <f t="shared" si="115"/>
        <v>0.82135944438123132</v>
      </c>
    </row>
    <row r="7216" spans="16:18" x14ac:dyDescent="0.3">
      <c r="P7216" s="35">
        <v>51.57</v>
      </c>
      <c r="Q7216">
        <v>305</v>
      </c>
      <c r="R7216" s="34">
        <f t="shared" si="115"/>
        <v>0.82147330069456392</v>
      </c>
    </row>
    <row r="7217" spans="16:18" x14ac:dyDescent="0.3">
      <c r="P7217" s="35">
        <v>51.59</v>
      </c>
      <c r="Q7217">
        <v>305</v>
      </c>
      <c r="R7217" s="34">
        <f t="shared" si="115"/>
        <v>0.82158715700789653</v>
      </c>
    </row>
    <row r="7218" spans="16:18" x14ac:dyDescent="0.3">
      <c r="P7218" s="35">
        <v>51.63</v>
      </c>
      <c r="Q7218">
        <v>305</v>
      </c>
      <c r="R7218" s="34">
        <f t="shared" si="115"/>
        <v>0.82170101332122913</v>
      </c>
    </row>
    <row r="7219" spans="16:18" x14ac:dyDescent="0.3">
      <c r="P7219" s="35">
        <v>51.65</v>
      </c>
      <c r="Q7219">
        <v>305</v>
      </c>
      <c r="R7219" s="34">
        <f t="shared" si="115"/>
        <v>0.82181486963456174</v>
      </c>
    </row>
    <row r="7220" spans="16:18" x14ac:dyDescent="0.3">
      <c r="P7220" s="35">
        <v>51.66</v>
      </c>
      <c r="Q7220">
        <v>305</v>
      </c>
      <c r="R7220" s="34">
        <f t="shared" si="115"/>
        <v>0.82192872594789435</v>
      </c>
    </row>
    <row r="7221" spans="16:18" x14ac:dyDescent="0.3">
      <c r="P7221" s="35">
        <v>51.67</v>
      </c>
      <c r="Q7221">
        <v>305</v>
      </c>
      <c r="R7221" s="34">
        <f t="shared" si="115"/>
        <v>0.82204258226122695</v>
      </c>
    </row>
    <row r="7222" spans="16:18" x14ac:dyDescent="0.3">
      <c r="P7222" s="35">
        <v>51.72</v>
      </c>
      <c r="Q7222">
        <v>305</v>
      </c>
      <c r="R7222" s="34">
        <f t="shared" si="115"/>
        <v>0.82215643857455956</v>
      </c>
    </row>
    <row r="7223" spans="16:18" x14ac:dyDescent="0.3">
      <c r="P7223" s="35">
        <v>51.74</v>
      </c>
      <c r="Q7223">
        <v>305</v>
      </c>
      <c r="R7223" s="34">
        <f t="shared" si="115"/>
        <v>0.82227029488789216</v>
      </c>
    </row>
    <row r="7224" spans="16:18" x14ac:dyDescent="0.3">
      <c r="P7224" s="35">
        <v>51.78</v>
      </c>
      <c r="Q7224">
        <v>305</v>
      </c>
      <c r="R7224" s="34">
        <f t="shared" si="115"/>
        <v>0.82238415120122477</v>
      </c>
    </row>
    <row r="7225" spans="16:18" x14ac:dyDescent="0.3">
      <c r="P7225" s="35">
        <v>51.79</v>
      </c>
      <c r="Q7225">
        <v>305</v>
      </c>
      <c r="R7225" s="34">
        <f t="shared" si="115"/>
        <v>0.82249800751455737</v>
      </c>
    </row>
    <row r="7226" spans="16:18" x14ac:dyDescent="0.3">
      <c r="P7226" s="35">
        <v>51.8</v>
      </c>
      <c r="Q7226">
        <v>305</v>
      </c>
      <c r="R7226" s="34">
        <f t="shared" si="115"/>
        <v>0.82261186382788998</v>
      </c>
    </row>
    <row r="7227" spans="16:18" x14ac:dyDescent="0.3">
      <c r="P7227" s="35">
        <v>51.81</v>
      </c>
      <c r="Q7227">
        <v>305</v>
      </c>
      <c r="R7227" s="34">
        <f t="shared" si="115"/>
        <v>0.82272572014122258</v>
      </c>
    </row>
    <row r="7228" spans="16:18" x14ac:dyDescent="0.3">
      <c r="P7228" s="35">
        <v>51.81</v>
      </c>
      <c r="Q7228">
        <v>305</v>
      </c>
      <c r="R7228" s="34">
        <f t="shared" si="115"/>
        <v>0.82283957645455519</v>
      </c>
    </row>
    <row r="7229" spans="16:18" x14ac:dyDescent="0.3">
      <c r="P7229" s="35">
        <v>51.82</v>
      </c>
      <c r="Q7229">
        <v>305</v>
      </c>
      <c r="R7229" s="34">
        <f t="shared" si="115"/>
        <v>0.82295343276788779</v>
      </c>
    </row>
    <row r="7230" spans="16:18" x14ac:dyDescent="0.3">
      <c r="P7230" s="35">
        <v>51.83</v>
      </c>
      <c r="Q7230">
        <v>305</v>
      </c>
      <c r="R7230" s="34">
        <f t="shared" si="115"/>
        <v>0.8230672890812204</v>
      </c>
    </row>
    <row r="7231" spans="16:18" x14ac:dyDescent="0.3">
      <c r="P7231" s="35">
        <v>51.84</v>
      </c>
      <c r="Q7231">
        <v>305</v>
      </c>
      <c r="R7231" s="34">
        <f t="shared" si="115"/>
        <v>0.823181145394553</v>
      </c>
    </row>
    <row r="7232" spans="16:18" x14ac:dyDescent="0.3">
      <c r="P7232" s="35">
        <v>51.84</v>
      </c>
      <c r="Q7232">
        <v>305</v>
      </c>
      <c r="R7232" s="34">
        <f t="shared" si="115"/>
        <v>0.82329500170788561</v>
      </c>
    </row>
    <row r="7233" spans="16:18" x14ac:dyDescent="0.3">
      <c r="P7233" s="35">
        <v>51.86</v>
      </c>
      <c r="Q7233">
        <v>305</v>
      </c>
      <c r="R7233" s="34">
        <f t="shared" si="115"/>
        <v>0.82340885802121822</v>
      </c>
    </row>
    <row r="7234" spans="16:18" x14ac:dyDescent="0.3">
      <c r="P7234" s="35">
        <v>51.87</v>
      </c>
      <c r="Q7234">
        <v>305</v>
      </c>
      <c r="R7234" s="34">
        <f t="shared" si="115"/>
        <v>0.82352271433455082</v>
      </c>
    </row>
    <row r="7235" spans="16:18" x14ac:dyDescent="0.3">
      <c r="P7235" s="35">
        <v>51.88</v>
      </c>
      <c r="Q7235">
        <v>305</v>
      </c>
      <c r="R7235" s="34">
        <f t="shared" si="115"/>
        <v>0.82363657064788343</v>
      </c>
    </row>
    <row r="7236" spans="16:18" x14ac:dyDescent="0.3">
      <c r="P7236" s="35">
        <v>51.89</v>
      </c>
      <c r="Q7236">
        <v>305</v>
      </c>
      <c r="R7236" s="34">
        <f t="shared" ref="R7236:R7299" si="116">R7235+R$2</f>
        <v>0.82375042696121603</v>
      </c>
    </row>
    <row r="7237" spans="16:18" x14ac:dyDescent="0.3">
      <c r="P7237" s="35">
        <v>51.91</v>
      </c>
      <c r="Q7237">
        <v>305</v>
      </c>
      <c r="R7237" s="34">
        <f t="shared" si="116"/>
        <v>0.82386428327454864</v>
      </c>
    </row>
    <row r="7238" spans="16:18" x14ac:dyDescent="0.3">
      <c r="P7238" s="35">
        <v>51.93</v>
      </c>
      <c r="Q7238">
        <v>305</v>
      </c>
      <c r="R7238" s="34">
        <f t="shared" si="116"/>
        <v>0.82397813958788124</v>
      </c>
    </row>
    <row r="7239" spans="16:18" x14ac:dyDescent="0.3">
      <c r="P7239" s="35">
        <v>51.96</v>
      </c>
      <c r="Q7239">
        <v>305</v>
      </c>
      <c r="R7239" s="34">
        <f t="shared" si="116"/>
        <v>0.82409199590121385</v>
      </c>
    </row>
    <row r="7240" spans="16:18" x14ac:dyDescent="0.3">
      <c r="P7240" s="35">
        <v>51.96</v>
      </c>
      <c r="Q7240">
        <v>305</v>
      </c>
      <c r="R7240" s="34">
        <f t="shared" si="116"/>
        <v>0.82420585221454645</v>
      </c>
    </row>
    <row r="7241" spans="16:18" x14ac:dyDescent="0.3">
      <c r="P7241" s="35">
        <v>51.98</v>
      </c>
      <c r="Q7241">
        <v>305</v>
      </c>
      <c r="R7241" s="34">
        <f t="shared" si="116"/>
        <v>0.82431970852787906</v>
      </c>
    </row>
    <row r="7242" spans="16:18" x14ac:dyDescent="0.3">
      <c r="P7242" s="35">
        <v>51.99</v>
      </c>
      <c r="Q7242">
        <v>305</v>
      </c>
      <c r="R7242" s="34">
        <f t="shared" si="116"/>
        <v>0.82443356484121166</v>
      </c>
    </row>
    <row r="7243" spans="16:18" x14ac:dyDescent="0.3">
      <c r="P7243" s="35">
        <v>52.01</v>
      </c>
      <c r="Q7243">
        <v>305</v>
      </c>
      <c r="R7243" s="34">
        <f t="shared" si="116"/>
        <v>0.82454742115454427</v>
      </c>
    </row>
    <row r="7244" spans="16:18" x14ac:dyDescent="0.3">
      <c r="P7244" s="35">
        <v>52.02</v>
      </c>
      <c r="Q7244">
        <v>305</v>
      </c>
      <c r="R7244" s="34">
        <f t="shared" si="116"/>
        <v>0.82466127746787687</v>
      </c>
    </row>
    <row r="7245" spans="16:18" x14ac:dyDescent="0.3">
      <c r="P7245" s="35">
        <v>52.07</v>
      </c>
      <c r="Q7245">
        <v>305</v>
      </c>
      <c r="R7245" s="34">
        <f t="shared" si="116"/>
        <v>0.82477513378120948</v>
      </c>
    </row>
    <row r="7246" spans="16:18" x14ac:dyDescent="0.3">
      <c r="P7246" s="35">
        <v>52.07</v>
      </c>
      <c r="Q7246">
        <v>305</v>
      </c>
      <c r="R7246" s="34">
        <f t="shared" si="116"/>
        <v>0.82488899009454208</v>
      </c>
    </row>
    <row r="7247" spans="16:18" x14ac:dyDescent="0.3">
      <c r="P7247" s="35">
        <v>52.08</v>
      </c>
      <c r="Q7247">
        <v>305</v>
      </c>
      <c r="R7247" s="34">
        <f t="shared" si="116"/>
        <v>0.82500284640787469</v>
      </c>
    </row>
    <row r="7248" spans="16:18" x14ac:dyDescent="0.3">
      <c r="P7248" s="35">
        <v>52.08</v>
      </c>
      <c r="Q7248">
        <v>305</v>
      </c>
      <c r="R7248" s="34">
        <f t="shared" si="116"/>
        <v>0.8251167027212073</v>
      </c>
    </row>
    <row r="7249" spans="16:18" x14ac:dyDescent="0.3">
      <c r="P7249" s="35">
        <v>52.11</v>
      </c>
      <c r="Q7249">
        <v>305</v>
      </c>
      <c r="R7249" s="34">
        <f t="shared" si="116"/>
        <v>0.8252305590345399</v>
      </c>
    </row>
    <row r="7250" spans="16:18" x14ac:dyDescent="0.3">
      <c r="P7250" s="35">
        <v>52.11</v>
      </c>
      <c r="Q7250">
        <v>305</v>
      </c>
      <c r="R7250" s="34">
        <f t="shared" si="116"/>
        <v>0.82534441534787251</v>
      </c>
    </row>
    <row r="7251" spans="16:18" x14ac:dyDescent="0.3">
      <c r="P7251" s="35">
        <v>52.11</v>
      </c>
      <c r="Q7251">
        <v>305</v>
      </c>
      <c r="R7251" s="34">
        <f t="shared" si="116"/>
        <v>0.82545827166120511</v>
      </c>
    </row>
    <row r="7252" spans="16:18" x14ac:dyDescent="0.3">
      <c r="P7252" s="35">
        <v>52.13</v>
      </c>
      <c r="Q7252">
        <v>305</v>
      </c>
      <c r="R7252" s="34">
        <f t="shared" si="116"/>
        <v>0.82557212797453772</v>
      </c>
    </row>
    <row r="7253" spans="16:18" x14ac:dyDescent="0.3">
      <c r="P7253" s="35">
        <v>52.15</v>
      </c>
      <c r="Q7253">
        <v>305</v>
      </c>
      <c r="R7253" s="34">
        <f t="shared" si="116"/>
        <v>0.82568598428787032</v>
      </c>
    </row>
    <row r="7254" spans="16:18" x14ac:dyDescent="0.3">
      <c r="P7254" s="35">
        <v>52.17</v>
      </c>
      <c r="Q7254">
        <v>305</v>
      </c>
      <c r="R7254" s="34">
        <f t="shared" si="116"/>
        <v>0.82579984060120293</v>
      </c>
    </row>
    <row r="7255" spans="16:18" x14ac:dyDescent="0.3">
      <c r="P7255" s="35">
        <v>52.17</v>
      </c>
      <c r="Q7255">
        <v>305</v>
      </c>
      <c r="R7255" s="34">
        <f t="shared" si="116"/>
        <v>0.82591369691453553</v>
      </c>
    </row>
    <row r="7256" spans="16:18" x14ac:dyDescent="0.3">
      <c r="P7256" s="35">
        <v>52.18</v>
      </c>
      <c r="Q7256">
        <v>305</v>
      </c>
      <c r="R7256" s="34">
        <f t="shared" si="116"/>
        <v>0.82602755322786814</v>
      </c>
    </row>
    <row r="7257" spans="16:18" x14ac:dyDescent="0.3">
      <c r="P7257" s="35">
        <v>52.22</v>
      </c>
      <c r="Q7257">
        <v>305</v>
      </c>
      <c r="R7257" s="34">
        <f t="shared" si="116"/>
        <v>0.82614140954120074</v>
      </c>
    </row>
    <row r="7258" spans="16:18" x14ac:dyDescent="0.3">
      <c r="P7258" s="35">
        <v>52.22</v>
      </c>
      <c r="Q7258">
        <v>305</v>
      </c>
      <c r="R7258" s="34">
        <f t="shared" si="116"/>
        <v>0.82625526585453335</v>
      </c>
    </row>
    <row r="7259" spans="16:18" x14ac:dyDescent="0.3">
      <c r="P7259" s="35">
        <v>52.22</v>
      </c>
      <c r="Q7259">
        <v>305</v>
      </c>
      <c r="R7259" s="34">
        <f t="shared" si="116"/>
        <v>0.82636912216786595</v>
      </c>
    </row>
    <row r="7260" spans="16:18" x14ac:dyDescent="0.3">
      <c r="P7260" s="35">
        <v>52.23</v>
      </c>
      <c r="Q7260">
        <v>305</v>
      </c>
      <c r="R7260" s="34">
        <f t="shared" si="116"/>
        <v>0.82648297848119856</v>
      </c>
    </row>
    <row r="7261" spans="16:18" x14ac:dyDescent="0.3">
      <c r="P7261" s="35">
        <v>52.25</v>
      </c>
      <c r="Q7261">
        <v>305</v>
      </c>
      <c r="R7261" s="34">
        <f t="shared" si="116"/>
        <v>0.82659683479453117</v>
      </c>
    </row>
    <row r="7262" spans="16:18" x14ac:dyDescent="0.3">
      <c r="P7262" s="35">
        <v>52.28</v>
      </c>
      <c r="Q7262">
        <v>305</v>
      </c>
      <c r="R7262" s="34">
        <f t="shared" si="116"/>
        <v>0.82671069110786377</v>
      </c>
    </row>
    <row r="7263" spans="16:18" x14ac:dyDescent="0.3">
      <c r="P7263" s="35">
        <v>52.28</v>
      </c>
      <c r="Q7263">
        <v>305</v>
      </c>
      <c r="R7263" s="34">
        <f t="shared" si="116"/>
        <v>0.82682454742119638</v>
      </c>
    </row>
    <row r="7264" spans="16:18" x14ac:dyDescent="0.3">
      <c r="P7264" s="35">
        <v>52.31</v>
      </c>
      <c r="Q7264">
        <v>305</v>
      </c>
      <c r="R7264" s="34">
        <f t="shared" si="116"/>
        <v>0.82693840373452898</v>
      </c>
    </row>
    <row r="7265" spans="16:18" x14ac:dyDescent="0.3">
      <c r="P7265" s="35">
        <v>52.32</v>
      </c>
      <c r="Q7265">
        <v>305</v>
      </c>
      <c r="R7265" s="34">
        <f t="shared" si="116"/>
        <v>0.82705226004786159</v>
      </c>
    </row>
    <row r="7266" spans="16:18" x14ac:dyDescent="0.3">
      <c r="P7266" s="35">
        <v>52.37</v>
      </c>
      <c r="Q7266">
        <v>305</v>
      </c>
      <c r="R7266" s="34">
        <f t="shared" si="116"/>
        <v>0.82716611636119419</v>
      </c>
    </row>
    <row r="7267" spans="16:18" x14ac:dyDescent="0.3">
      <c r="P7267" s="35">
        <v>52.37</v>
      </c>
      <c r="Q7267">
        <v>305</v>
      </c>
      <c r="R7267" s="34">
        <f t="shared" si="116"/>
        <v>0.8272799726745268</v>
      </c>
    </row>
    <row r="7268" spans="16:18" x14ac:dyDescent="0.3">
      <c r="P7268" s="35">
        <v>52.4</v>
      </c>
      <c r="Q7268">
        <v>305</v>
      </c>
      <c r="R7268" s="34">
        <f t="shared" si="116"/>
        <v>0.8273938289878594</v>
      </c>
    </row>
    <row r="7269" spans="16:18" x14ac:dyDescent="0.3">
      <c r="P7269" s="35">
        <v>52.41</v>
      </c>
      <c r="Q7269">
        <v>305</v>
      </c>
      <c r="R7269" s="34">
        <f t="shared" si="116"/>
        <v>0.82750768530119201</v>
      </c>
    </row>
    <row r="7270" spans="16:18" x14ac:dyDescent="0.3">
      <c r="P7270" s="35">
        <v>52.42</v>
      </c>
      <c r="Q7270">
        <v>305</v>
      </c>
      <c r="R7270" s="34">
        <f t="shared" si="116"/>
        <v>0.82762154161452461</v>
      </c>
    </row>
    <row r="7271" spans="16:18" x14ac:dyDescent="0.3">
      <c r="P7271" s="35">
        <v>52.44</v>
      </c>
      <c r="Q7271">
        <v>305</v>
      </c>
      <c r="R7271" s="34">
        <f t="shared" si="116"/>
        <v>0.82773539792785722</v>
      </c>
    </row>
    <row r="7272" spans="16:18" x14ac:dyDescent="0.3">
      <c r="P7272" s="35">
        <v>52.46</v>
      </c>
      <c r="Q7272">
        <v>305</v>
      </c>
      <c r="R7272" s="34">
        <f t="shared" si="116"/>
        <v>0.82784925424118982</v>
      </c>
    </row>
    <row r="7273" spans="16:18" x14ac:dyDescent="0.3">
      <c r="P7273" s="35">
        <v>52.48</v>
      </c>
      <c r="Q7273">
        <v>305</v>
      </c>
      <c r="R7273" s="34">
        <f t="shared" si="116"/>
        <v>0.82796311055452243</v>
      </c>
    </row>
    <row r="7274" spans="16:18" x14ac:dyDescent="0.3">
      <c r="P7274" s="35">
        <v>52.49</v>
      </c>
      <c r="Q7274">
        <v>305</v>
      </c>
      <c r="R7274" s="34">
        <f t="shared" si="116"/>
        <v>0.82807696686785504</v>
      </c>
    </row>
    <row r="7275" spans="16:18" x14ac:dyDescent="0.3">
      <c r="P7275" s="35">
        <v>52.49</v>
      </c>
      <c r="Q7275">
        <v>305</v>
      </c>
      <c r="R7275" s="34">
        <f t="shared" si="116"/>
        <v>0.82819082318118764</v>
      </c>
    </row>
    <row r="7276" spans="16:18" x14ac:dyDescent="0.3">
      <c r="P7276" s="35">
        <v>52.5</v>
      </c>
      <c r="Q7276">
        <v>305</v>
      </c>
      <c r="R7276" s="34">
        <f t="shared" si="116"/>
        <v>0.82830467949452025</v>
      </c>
    </row>
    <row r="7277" spans="16:18" x14ac:dyDescent="0.3">
      <c r="P7277" s="35">
        <v>52.5</v>
      </c>
      <c r="Q7277">
        <v>305</v>
      </c>
      <c r="R7277" s="34">
        <f t="shared" si="116"/>
        <v>0.82841853580785285</v>
      </c>
    </row>
    <row r="7278" spans="16:18" x14ac:dyDescent="0.3">
      <c r="P7278" s="35">
        <v>52.51</v>
      </c>
      <c r="Q7278">
        <v>305</v>
      </c>
      <c r="R7278" s="34">
        <f t="shared" si="116"/>
        <v>0.82853239212118546</v>
      </c>
    </row>
    <row r="7279" spans="16:18" x14ac:dyDescent="0.3">
      <c r="P7279" s="35">
        <v>52.53</v>
      </c>
      <c r="Q7279">
        <v>305</v>
      </c>
      <c r="R7279" s="34">
        <f t="shared" si="116"/>
        <v>0.82864624843451806</v>
      </c>
    </row>
    <row r="7280" spans="16:18" x14ac:dyDescent="0.3">
      <c r="P7280" s="35">
        <v>52.54</v>
      </c>
      <c r="Q7280">
        <v>305</v>
      </c>
      <c r="R7280" s="34">
        <f t="shared" si="116"/>
        <v>0.82876010474785067</v>
      </c>
    </row>
    <row r="7281" spans="16:18" x14ac:dyDescent="0.3">
      <c r="P7281" s="35">
        <v>52.58</v>
      </c>
      <c r="Q7281">
        <v>305</v>
      </c>
      <c r="R7281" s="34">
        <f t="shared" si="116"/>
        <v>0.82887396106118327</v>
      </c>
    </row>
    <row r="7282" spans="16:18" x14ac:dyDescent="0.3">
      <c r="P7282" s="35">
        <v>52.59</v>
      </c>
      <c r="Q7282">
        <v>305</v>
      </c>
      <c r="R7282" s="34">
        <f t="shared" si="116"/>
        <v>0.82898781737451588</v>
      </c>
    </row>
    <row r="7283" spans="16:18" x14ac:dyDescent="0.3">
      <c r="P7283" s="35">
        <v>52.6</v>
      </c>
      <c r="Q7283">
        <v>305</v>
      </c>
      <c r="R7283" s="34">
        <f t="shared" si="116"/>
        <v>0.82910167368784848</v>
      </c>
    </row>
    <row r="7284" spans="16:18" x14ac:dyDescent="0.3">
      <c r="P7284" s="35">
        <v>52.61</v>
      </c>
      <c r="Q7284">
        <v>305</v>
      </c>
      <c r="R7284" s="34">
        <f t="shared" si="116"/>
        <v>0.82921553000118109</v>
      </c>
    </row>
    <row r="7285" spans="16:18" x14ac:dyDescent="0.3">
      <c r="P7285" s="35">
        <v>52.61</v>
      </c>
      <c r="Q7285">
        <v>305</v>
      </c>
      <c r="R7285" s="34">
        <f t="shared" si="116"/>
        <v>0.82932938631451369</v>
      </c>
    </row>
    <row r="7286" spans="16:18" x14ac:dyDescent="0.3">
      <c r="P7286" s="35">
        <v>52.67</v>
      </c>
      <c r="Q7286">
        <v>305</v>
      </c>
      <c r="R7286" s="34">
        <f t="shared" si="116"/>
        <v>0.8294432426278463</v>
      </c>
    </row>
    <row r="7287" spans="16:18" x14ac:dyDescent="0.3">
      <c r="P7287" s="35">
        <v>52.68</v>
      </c>
      <c r="Q7287">
        <v>305</v>
      </c>
      <c r="R7287" s="34">
        <f t="shared" si="116"/>
        <v>0.82955709894117891</v>
      </c>
    </row>
    <row r="7288" spans="16:18" x14ac:dyDescent="0.3">
      <c r="P7288" s="35">
        <v>52.7</v>
      </c>
      <c r="Q7288">
        <v>305</v>
      </c>
      <c r="R7288" s="34">
        <f t="shared" si="116"/>
        <v>0.82967095525451151</v>
      </c>
    </row>
    <row r="7289" spans="16:18" x14ac:dyDescent="0.3">
      <c r="P7289" s="35">
        <v>52.71</v>
      </c>
      <c r="Q7289">
        <v>305</v>
      </c>
      <c r="R7289" s="34">
        <f t="shared" si="116"/>
        <v>0.82978481156784412</v>
      </c>
    </row>
    <row r="7290" spans="16:18" x14ac:dyDescent="0.3">
      <c r="P7290" s="35">
        <v>52.73</v>
      </c>
      <c r="Q7290">
        <v>305</v>
      </c>
      <c r="R7290" s="34">
        <f t="shared" si="116"/>
        <v>0.82989866788117672</v>
      </c>
    </row>
    <row r="7291" spans="16:18" x14ac:dyDescent="0.3">
      <c r="P7291" s="35">
        <v>52.74</v>
      </c>
      <c r="Q7291">
        <v>305</v>
      </c>
      <c r="R7291" s="34">
        <f t="shared" si="116"/>
        <v>0.83001252419450933</v>
      </c>
    </row>
    <row r="7292" spans="16:18" x14ac:dyDescent="0.3">
      <c r="P7292" s="35">
        <v>52.75</v>
      </c>
      <c r="Q7292">
        <v>305</v>
      </c>
      <c r="R7292" s="34">
        <f t="shared" si="116"/>
        <v>0.83012638050784193</v>
      </c>
    </row>
    <row r="7293" spans="16:18" x14ac:dyDescent="0.3">
      <c r="P7293" s="35">
        <v>52.75</v>
      </c>
      <c r="Q7293">
        <v>305</v>
      </c>
      <c r="R7293" s="34">
        <f t="shared" si="116"/>
        <v>0.83024023682117454</v>
      </c>
    </row>
    <row r="7294" spans="16:18" x14ac:dyDescent="0.3">
      <c r="P7294" s="35">
        <v>52.76</v>
      </c>
      <c r="Q7294">
        <v>305</v>
      </c>
      <c r="R7294" s="34">
        <f t="shared" si="116"/>
        <v>0.83035409313450714</v>
      </c>
    </row>
    <row r="7295" spans="16:18" x14ac:dyDescent="0.3">
      <c r="P7295" s="35">
        <v>52.81</v>
      </c>
      <c r="Q7295">
        <v>305</v>
      </c>
      <c r="R7295" s="34">
        <f t="shared" si="116"/>
        <v>0.83046794944783975</v>
      </c>
    </row>
    <row r="7296" spans="16:18" x14ac:dyDescent="0.3">
      <c r="P7296" s="35">
        <v>52.85</v>
      </c>
      <c r="Q7296">
        <v>305</v>
      </c>
      <c r="R7296" s="34">
        <f t="shared" si="116"/>
        <v>0.83058180576117235</v>
      </c>
    </row>
    <row r="7297" spans="16:18" x14ac:dyDescent="0.3">
      <c r="P7297" s="35">
        <v>52.86</v>
      </c>
      <c r="Q7297">
        <v>305</v>
      </c>
      <c r="R7297" s="34">
        <f t="shared" si="116"/>
        <v>0.83069566207450496</v>
      </c>
    </row>
    <row r="7298" spans="16:18" x14ac:dyDescent="0.3">
      <c r="P7298" s="35">
        <v>52.87</v>
      </c>
      <c r="Q7298">
        <v>305</v>
      </c>
      <c r="R7298" s="34">
        <f t="shared" si="116"/>
        <v>0.83080951838783756</v>
      </c>
    </row>
    <row r="7299" spans="16:18" x14ac:dyDescent="0.3">
      <c r="P7299" s="35">
        <v>52.89</v>
      </c>
      <c r="Q7299">
        <v>305</v>
      </c>
      <c r="R7299" s="34">
        <f t="shared" si="116"/>
        <v>0.83092337470117017</v>
      </c>
    </row>
    <row r="7300" spans="16:18" x14ac:dyDescent="0.3">
      <c r="P7300" s="35">
        <v>52.9</v>
      </c>
      <c r="Q7300">
        <v>305</v>
      </c>
      <c r="R7300" s="34">
        <f t="shared" ref="R7300:R7363" si="117">R7299+R$2</f>
        <v>0.83103723101450278</v>
      </c>
    </row>
    <row r="7301" spans="16:18" x14ac:dyDescent="0.3">
      <c r="P7301" s="35">
        <v>52.9</v>
      </c>
      <c r="Q7301">
        <v>305</v>
      </c>
      <c r="R7301" s="34">
        <f t="shared" si="117"/>
        <v>0.83115108732783538</v>
      </c>
    </row>
    <row r="7302" spans="16:18" x14ac:dyDescent="0.3">
      <c r="P7302" s="35">
        <v>52.95</v>
      </c>
      <c r="Q7302">
        <v>305</v>
      </c>
      <c r="R7302" s="34">
        <f t="shared" si="117"/>
        <v>0.83126494364116799</v>
      </c>
    </row>
    <row r="7303" spans="16:18" x14ac:dyDescent="0.3">
      <c r="P7303" s="35">
        <v>52.96</v>
      </c>
      <c r="Q7303">
        <v>305</v>
      </c>
      <c r="R7303" s="34">
        <f t="shared" si="117"/>
        <v>0.83137879995450059</v>
      </c>
    </row>
    <row r="7304" spans="16:18" x14ac:dyDescent="0.3">
      <c r="P7304" s="35">
        <v>52.98</v>
      </c>
      <c r="Q7304">
        <v>305</v>
      </c>
      <c r="R7304" s="34">
        <f t="shared" si="117"/>
        <v>0.8314926562678332</v>
      </c>
    </row>
    <row r="7305" spans="16:18" x14ac:dyDescent="0.3">
      <c r="P7305" s="35">
        <v>52.98</v>
      </c>
      <c r="Q7305">
        <v>305</v>
      </c>
      <c r="R7305" s="34">
        <f t="shared" si="117"/>
        <v>0.8316065125811658</v>
      </c>
    </row>
    <row r="7306" spans="16:18" x14ac:dyDescent="0.3">
      <c r="P7306" s="35">
        <v>53.02</v>
      </c>
      <c r="Q7306">
        <v>305</v>
      </c>
      <c r="R7306" s="34">
        <f t="shared" si="117"/>
        <v>0.83172036889449841</v>
      </c>
    </row>
    <row r="7307" spans="16:18" x14ac:dyDescent="0.3">
      <c r="P7307" s="35">
        <v>53.03</v>
      </c>
      <c r="Q7307">
        <v>305</v>
      </c>
      <c r="R7307" s="34">
        <f t="shared" si="117"/>
        <v>0.83183422520783101</v>
      </c>
    </row>
    <row r="7308" spans="16:18" x14ac:dyDescent="0.3">
      <c r="P7308" s="35">
        <v>53.04</v>
      </c>
      <c r="Q7308">
        <v>305</v>
      </c>
      <c r="R7308" s="34">
        <f t="shared" si="117"/>
        <v>0.83194808152116362</v>
      </c>
    </row>
    <row r="7309" spans="16:18" x14ac:dyDescent="0.3">
      <c r="P7309" s="35">
        <v>53.04</v>
      </c>
      <c r="Q7309">
        <v>305</v>
      </c>
      <c r="R7309" s="34">
        <f t="shared" si="117"/>
        <v>0.83206193783449622</v>
      </c>
    </row>
    <row r="7310" spans="16:18" x14ac:dyDescent="0.3">
      <c r="P7310" s="35">
        <v>53.05</v>
      </c>
      <c r="Q7310">
        <v>305</v>
      </c>
      <c r="R7310" s="34">
        <f t="shared" si="117"/>
        <v>0.83217579414782883</v>
      </c>
    </row>
    <row r="7311" spans="16:18" x14ac:dyDescent="0.3">
      <c r="P7311" s="35">
        <v>53.05</v>
      </c>
      <c r="Q7311">
        <v>305</v>
      </c>
      <c r="R7311" s="34">
        <f t="shared" si="117"/>
        <v>0.83228965046116143</v>
      </c>
    </row>
    <row r="7312" spans="16:18" x14ac:dyDescent="0.3">
      <c r="P7312" s="35">
        <v>53.07</v>
      </c>
      <c r="Q7312">
        <v>305</v>
      </c>
      <c r="R7312" s="34">
        <f t="shared" si="117"/>
        <v>0.83240350677449404</v>
      </c>
    </row>
    <row r="7313" spans="16:18" x14ac:dyDescent="0.3">
      <c r="P7313" s="35">
        <v>53.08</v>
      </c>
      <c r="Q7313">
        <v>305</v>
      </c>
      <c r="R7313" s="34">
        <f t="shared" si="117"/>
        <v>0.83251736308782665</v>
      </c>
    </row>
    <row r="7314" spans="16:18" x14ac:dyDescent="0.3">
      <c r="P7314" s="35">
        <v>53.09</v>
      </c>
      <c r="Q7314">
        <v>305</v>
      </c>
      <c r="R7314" s="34">
        <f t="shared" si="117"/>
        <v>0.83263121940115925</v>
      </c>
    </row>
    <row r="7315" spans="16:18" x14ac:dyDescent="0.3">
      <c r="P7315" s="35">
        <v>53.1</v>
      </c>
      <c r="Q7315">
        <v>305</v>
      </c>
      <c r="R7315" s="34">
        <f t="shared" si="117"/>
        <v>0.83274507571449186</v>
      </c>
    </row>
    <row r="7316" spans="16:18" x14ac:dyDescent="0.3">
      <c r="P7316" s="35">
        <v>53.12</v>
      </c>
      <c r="Q7316">
        <v>305</v>
      </c>
      <c r="R7316" s="34">
        <f t="shared" si="117"/>
        <v>0.83285893202782446</v>
      </c>
    </row>
    <row r="7317" spans="16:18" x14ac:dyDescent="0.3">
      <c r="P7317" s="35">
        <v>53.15</v>
      </c>
      <c r="Q7317">
        <v>305</v>
      </c>
      <c r="R7317" s="34">
        <f t="shared" si="117"/>
        <v>0.83297278834115707</v>
      </c>
    </row>
    <row r="7318" spans="16:18" x14ac:dyDescent="0.3">
      <c r="P7318" s="35">
        <v>53.15</v>
      </c>
      <c r="Q7318">
        <v>305</v>
      </c>
      <c r="R7318" s="34">
        <f t="shared" si="117"/>
        <v>0.83308664465448967</v>
      </c>
    </row>
    <row r="7319" spans="16:18" x14ac:dyDescent="0.3">
      <c r="P7319" s="35">
        <v>53.18</v>
      </c>
      <c r="Q7319">
        <v>305</v>
      </c>
      <c r="R7319" s="34">
        <f t="shared" si="117"/>
        <v>0.83320050096782228</v>
      </c>
    </row>
    <row r="7320" spans="16:18" x14ac:dyDescent="0.3">
      <c r="P7320" s="35">
        <v>53.18</v>
      </c>
      <c r="Q7320">
        <v>305</v>
      </c>
      <c r="R7320" s="34">
        <f t="shared" si="117"/>
        <v>0.83331435728115488</v>
      </c>
    </row>
    <row r="7321" spans="16:18" x14ac:dyDescent="0.3">
      <c r="P7321" s="35">
        <v>53.18</v>
      </c>
      <c r="Q7321">
        <v>305</v>
      </c>
      <c r="R7321" s="34">
        <f t="shared" si="117"/>
        <v>0.83342821359448749</v>
      </c>
    </row>
    <row r="7322" spans="16:18" x14ac:dyDescent="0.3">
      <c r="P7322" s="35">
        <v>53.19</v>
      </c>
      <c r="Q7322">
        <v>305</v>
      </c>
      <c r="R7322" s="34">
        <f t="shared" si="117"/>
        <v>0.83354206990782009</v>
      </c>
    </row>
    <row r="7323" spans="16:18" x14ac:dyDescent="0.3">
      <c r="P7323" s="35">
        <v>53.25</v>
      </c>
      <c r="Q7323">
        <v>305</v>
      </c>
      <c r="R7323" s="34">
        <f t="shared" si="117"/>
        <v>0.8336559262211527</v>
      </c>
    </row>
    <row r="7324" spans="16:18" x14ac:dyDescent="0.3">
      <c r="P7324" s="35">
        <v>53.29</v>
      </c>
      <c r="Q7324">
        <v>305</v>
      </c>
      <c r="R7324" s="34">
        <f t="shared" si="117"/>
        <v>0.8337697825344853</v>
      </c>
    </row>
    <row r="7325" spans="16:18" x14ac:dyDescent="0.3">
      <c r="P7325" s="35">
        <v>53.31</v>
      </c>
      <c r="Q7325">
        <v>305</v>
      </c>
      <c r="R7325" s="34">
        <f t="shared" si="117"/>
        <v>0.83388363884781791</v>
      </c>
    </row>
    <row r="7326" spans="16:18" x14ac:dyDescent="0.3">
      <c r="P7326" s="35">
        <v>53.32</v>
      </c>
      <c r="Q7326">
        <v>305</v>
      </c>
      <c r="R7326" s="34">
        <f t="shared" si="117"/>
        <v>0.83399749516115051</v>
      </c>
    </row>
    <row r="7327" spans="16:18" x14ac:dyDescent="0.3">
      <c r="P7327" s="35">
        <v>53.33</v>
      </c>
      <c r="Q7327">
        <v>305</v>
      </c>
      <c r="R7327" s="34">
        <f t="shared" si="117"/>
        <v>0.83411135147448312</v>
      </c>
    </row>
    <row r="7328" spans="16:18" x14ac:dyDescent="0.3">
      <c r="P7328" s="35">
        <v>53.35</v>
      </c>
      <c r="Q7328">
        <v>305</v>
      </c>
      <c r="R7328" s="34">
        <f t="shared" si="117"/>
        <v>0.83422520778781573</v>
      </c>
    </row>
    <row r="7329" spans="16:18" x14ac:dyDescent="0.3">
      <c r="P7329" s="35">
        <v>53.37</v>
      </c>
      <c r="Q7329">
        <v>305</v>
      </c>
      <c r="R7329" s="34">
        <f t="shared" si="117"/>
        <v>0.83433906410114833</v>
      </c>
    </row>
    <row r="7330" spans="16:18" x14ac:dyDescent="0.3">
      <c r="P7330" s="35">
        <v>53.38</v>
      </c>
      <c r="Q7330">
        <v>305</v>
      </c>
      <c r="R7330" s="34">
        <f t="shared" si="117"/>
        <v>0.83445292041448094</v>
      </c>
    </row>
    <row r="7331" spans="16:18" x14ac:dyDescent="0.3">
      <c r="P7331" s="35">
        <v>53.45</v>
      </c>
      <c r="Q7331">
        <v>305</v>
      </c>
      <c r="R7331" s="34">
        <f t="shared" si="117"/>
        <v>0.83456677672781354</v>
      </c>
    </row>
    <row r="7332" spans="16:18" x14ac:dyDescent="0.3">
      <c r="P7332" s="35">
        <v>53.51</v>
      </c>
      <c r="Q7332">
        <v>305</v>
      </c>
      <c r="R7332" s="34">
        <f t="shared" si="117"/>
        <v>0.83468063304114615</v>
      </c>
    </row>
    <row r="7333" spans="16:18" x14ac:dyDescent="0.3">
      <c r="P7333" s="35">
        <v>53.53</v>
      </c>
      <c r="Q7333">
        <v>305</v>
      </c>
      <c r="R7333" s="34">
        <f t="shared" si="117"/>
        <v>0.83479448935447875</v>
      </c>
    </row>
    <row r="7334" spans="16:18" x14ac:dyDescent="0.3">
      <c r="P7334" s="35">
        <v>53.57</v>
      </c>
      <c r="Q7334">
        <v>305</v>
      </c>
      <c r="R7334" s="34">
        <f t="shared" si="117"/>
        <v>0.83490834566781136</v>
      </c>
    </row>
    <row r="7335" spans="16:18" x14ac:dyDescent="0.3">
      <c r="P7335" s="35">
        <v>53.58</v>
      </c>
      <c r="Q7335">
        <v>305</v>
      </c>
      <c r="R7335" s="34">
        <f t="shared" si="117"/>
        <v>0.83502220198114396</v>
      </c>
    </row>
    <row r="7336" spans="16:18" x14ac:dyDescent="0.3">
      <c r="P7336" s="35">
        <v>53.63</v>
      </c>
      <c r="Q7336">
        <v>305</v>
      </c>
      <c r="R7336" s="34">
        <f t="shared" si="117"/>
        <v>0.83513605829447657</v>
      </c>
    </row>
    <row r="7337" spans="16:18" x14ac:dyDescent="0.3">
      <c r="P7337" s="35">
        <v>53.64</v>
      </c>
      <c r="Q7337">
        <v>305</v>
      </c>
      <c r="R7337" s="34">
        <f t="shared" si="117"/>
        <v>0.83524991460780917</v>
      </c>
    </row>
    <row r="7338" spans="16:18" x14ac:dyDescent="0.3">
      <c r="P7338" s="35">
        <v>53.64</v>
      </c>
      <c r="Q7338">
        <v>305</v>
      </c>
      <c r="R7338" s="34">
        <f t="shared" si="117"/>
        <v>0.83536377092114178</v>
      </c>
    </row>
    <row r="7339" spans="16:18" x14ac:dyDescent="0.3">
      <c r="P7339" s="35">
        <v>53.65</v>
      </c>
      <c r="Q7339">
        <v>305</v>
      </c>
      <c r="R7339" s="34">
        <f t="shared" si="117"/>
        <v>0.83547762723447438</v>
      </c>
    </row>
    <row r="7340" spans="16:18" x14ac:dyDescent="0.3">
      <c r="P7340" s="35">
        <v>53.66</v>
      </c>
      <c r="Q7340">
        <v>305</v>
      </c>
      <c r="R7340" s="34">
        <f t="shared" si="117"/>
        <v>0.83559148354780699</v>
      </c>
    </row>
    <row r="7341" spans="16:18" x14ac:dyDescent="0.3">
      <c r="P7341" s="35">
        <v>53.68</v>
      </c>
      <c r="Q7341">
        <v>305</v>
      </c>
      <c r="R7341" s="34">
        <f t="shared" si="117"/>
        <v>0.8357053398611396</v>
      </c>
    </row>
    <row r="7342" spans="16:18" x14ac:dyDescent="0.3">
      <c r="P7342" s="35">
        <v>53.68</v>
      </c>
      <c r="Q7342">
        <v>305</v>
      </c>
      <c r="R7342" s="34">
        <f t="shared" si="117"/>
        <v>0.8358191961744722</v>
      </c>
    </row>
    <row r="7343" spans="16:18" x14ac:dyDescent="0.3">
      <c r="P7343" s="35">
        <v>53.71</v>
      </c>
      <c r="Q7343">
        <v>305</v>
      </c>
      <c r="R7343" s="34">
        <f t="shared" si="117"/>
        <v>0.83593305248780481</v>
      </c>
    </row>
    <row r="7344" spans="16:18" x14ac:dyDescent="0.3">
      <c r="P7344" s="35">
        <v>53.72</v>
      </c>
      <c r="Q7344">
        <v>305</v>
      </c>
      <c r="R7344" s="34">
        <f t="shared" si="117"/>
        <v>0.83604690880113741</v>
      </c>
    </row>
    <row r="7345" spans="16:18" x14ac:dyDescent="0.3">
      <c r="P7345" s="35">
        <v>53.73</v>
      </c>
      <c r="Q7345">
        <v>305</v>
      </c>
      <c r="R7345" s="34">
        <f t="shared" si="117"/>
        <v>0.83616076511447002</v>
      </c>
    </row>
    <row r="7346" spans="16:18" x14ac:dyDescent="0.3">
      <c r="P7346" s="35">
        <v>53.74</v>
      </c>
      <c r="Q7346">
        <v>305</v>
      </c>
      <c r="R7346" s="34">
        <f t="shared" si="117"/>
        <v>0.83627462142780262</v>
      </c>
    </row>
    <row r="7347" spans="16:18" x14ac:dyDescent="0.3">
      <c r="P7347" s="35">
        <v>53.75</v>
      </c>
      <c r="Q7347">
        <v>305</v>
      </c>
      <c r="R7347" s="34">
        <f t="shared" si="117"/>
        <v>0.83638847774113523</v>
      </c>
    </row>
    <row r="7348" spans="16:18" x14ac:dyDescent="0.3">
      <c r="P7348" s="35">
        <v>53.83</v>
      </c>
      <c r="Q7348">
        <v>305</v>
      </c>
      <c r="R7348" s="34">
        <f t="shared" si="117"/>
        <v>0.83650233405446783</v>
      </c>
    </row>
    <row r="7349" spans="16:18" x14ac:dyDescent="0.3">
      <c r="P7349" s="35">
        <v>53.83</v>
      </c>
      <c r="Q7349">
        <v>305</v>
      </c>
      <c r="R7349" s="34">
        <f t="shared" si="117"/>
        <v>0.83661619036780044</v>
      </c>
    </row>
    <row r="7350" spans="16:18" x14ac:dyDescent="0.3">
      <c r="P7350" s="35">
        <v>53.87</v>
      </c>
      <c r="Q7350">
        <v>305</v>
      </c>
      <c r="R7350" s="34">
        <f t="shared" si="117"/>
        <v>0.83673004668113304</v>
      </c>
    </row>
    <row r="7351" spans="16:18" x14ac:dyDescent="0.3">
      <c r="P7351" s="35">
        <v>53.91</v>
      </c>
      <c r="Q7351">
        <v>305</v>
      </c>
      <c r="R7351" s="34">
        <f t="shared" si="117"/>
        <v>0.83684390299446565</v>
      </c>
    </row>
    <row r="7352" spans="16:18" x14ac:dyDescent="0.3">
      <c r="P7352" s="35">
        <v>53.92</v>
      </c>
      <c r="Q7352">
        <v>305</v>
      </c>
      <c r="R7352" s="34">
        <f t="shared" si="117"/>
        <v>0.83695775930779825</v>
      </c>
    </row>
    <row r="7353" spans="16:18" x14ac:dyDescent="0.3">
      <c r="P7353" s="35">
        <v>53.94</v>
      </c>
      <c r="Q7353">
        <v>305</v>
      </c>
      <c r="R7353" s="34">
        <f t="shared" si="117"/>
        <v>0.83707161562113086</v>
      </c>
    </row>
    <row r="7354" spans="16:18" x14ac:dyDescent="0.3">
      <c r="P7354" s="35">
        <v>53.95</v>
      </c>
      <c r="Q7354">
        <v>305</v>
      </c>
      <c r="R7354" s="34">
        <f t="shared" si="117"/>
        <v>0.83718547193446347</v>
      </c>
    </row>
    <row r="7355" spans="16:18" x14ac:dyDescent="0.3">
      <c r="P7355" s="35">
        <v>53.96</v>
      </c>
      <c r="Q7355">
        <v>305</v>
      </c>
      <c r="R7355" s="34">
        <f t="shared" si="117"/>
        <v>0.83729932824779607</v>
      </c>
    </row>
    <row r="7356" spans="16:18" x14ac:dyDescent="0.3">
      <c r="P7356" s="35">
        <v>53.98</v>
      </c>
      <c r="Q7356">
        <v>305</v>
      </c>
      <c r="R7356" s="34">
        <f t="shared" si="117"/>
        <v>0.83741318456112868</v>
      </c>
    </row>
    <row r="7357" spans="16:18" x14ac:dyDescent="0.3">
      <c r="P7357" s="35">
        <v>53.99</v>
      </c>
      <c r="Q7357">
        <v>305</v>
      </c>
      <c r="R7357" s="34">
        <f t="shared" si="117"/>
        <v>0.83752704087446128</v>
      </c>
    </row>
    <row r="7358" spans="16:18" x14ac:dyDescent="0.3">
      <c r="P7358" s="35">
        <v>54</v>
      </c>
      <c r="Q7358">
        <v>305</v>
      </c>
      <c r="R7358" s="34">
        <f t="shared" si="117"/>
        <v>0.83764089718779389</v>
      </c>
    </row>
    <row r="7359" spans="16:18" x14ac:dyDescent="0.3">
      <c r="P7359" s="35">
        <v>54.06</v>
      </c>
      <c r="Q7359">
        <v>305</v>
      </c>
      <c r="R7359" s="34">
        <f t="shared" si="117"/>
        <v>0.83775475350112649</v>
      </c>
    </row>
    <row r="7360" spans="16:18" x14ac:dyDescent="0.3">
      <c r="P7360" s="35">
        <v>54.07</v>
      </c>
      <c r="Q7360">
        <v>305</v>
      </c>
      <c r="R7360" s="34">
        <f t="shared" si="117"/>
        <v>0.8378686098144591</v>
      </c>
    </row>
    <row r="7361" spans="16:18" x14ac:dyDescent="0.3">
      <c r="P7361" s="35">
        <v>54.08</v>
      </c>
      <c r="Q7361">
        <v>305</v>
      </c>
      <c r="R7361" s="34">
        <f t="shared" si="117"/>
        <v>0.8379824661277917</v>
      </c>
    </row>
    <row r="7362" spans="16:18" x14ac:dyDescent="0.3">
      <c r="P7362" s="35">
        <v>54.09</v>
      </c>
      <c r="Q7362">
        <v>305</v>
      </c>
      <c r="R7362" s="34">
        <f t="shared" si="117"/>
        <v>0.83809632244112431</v>
      </c>
    </row>
    <row r="7363" spans="16:18" x14ac:dyDescent="0.3">
      <c r="P7363" s="35">
        <v>54.09</v>
      </c>
      <c r="Q7363">
        <v>305</v>
      </c>
      <c r="R7363" s="34">
        <f t="shared" si="117"/>
        <v>0.83821017875445691</v>
      </c>
    </row>
    <row r="7364" spans="16:18" x14ac:dyDescent="0.3">
      <c r="P7364" s="35">
        <v>54.1</v>
      </c>
      <c r="Q7364">
        <v>305</v>
      </c>
      <c r="R7364" s="34">
        <f t="shared" ref="R7364:R7427" si="118">R7363+R$2</f>
        <v>0.83832403506778952</v>
      </c>
    </row>
    <row r="7365" spans="16:18" x14ac:dyDescent="0.3">
      <c r="P7365" s="35">
        <v>54.1</v>
      </c>
      <c r="Q7365">
        <v>305</v>
      </c>
      <c r="R7365" s="34">
        <f t="shared" si="118"/>
        <v>0.83843789138112212</v>
      </c>
    </row>
    <row r="7366" spans="16:18" x14ac:dyDescent="0.3">
      <c r="P7366" s="35">
        <v>54.1</v>
      </c>
      <c r="Q7366">
        <v>305</v>
      </c>
      <c r="R7366" s="34">
        <f t="shared" si="118"/>
        <v>0.83855174769445473</v>
      </c>
    </row>
    <row r="7367" spans="16:18" x14ac:dyDescent="0.3">
      <c r="P7367" s="35">
        <v>54.1</v>
      </c>
      <c r="Q7367">
        <v>305</v>
      </c>
      <c r="R7367" s="34">
        <f t="shared" si="118"/>
        <v>0.83866560400778734</v>
      </c>
    </row>
    <row r="7368" spans="16:18" x14ac:dyDescent="0.3">
      <c r="P7368" s="35">
        <v>54.1</v>
      </c>
      <c r="Q7368">
        <v>305</v>
      </c>
      <c r="R7368" s="34">
        <f t="shared" si="118"/>
        <v>0.83877946032111994</v>
      </c>
    </row>
    <row r="7369" spans="16:18" x14ac:dyDescent="0.3">
      <c r="P7369" s="35">
        <v>54.11</v>
      </c>
      <c r="Q7369">
        <v>305</v>
      </c>
      <c r="R7369" s="34">
        <f t="shared" si="118"/>
        <v>0.83889331663445255</v>
      </c>
    </row>
    <row r="7370" spans="16:18" x14ac:dyDescent="0.3">
      <c r="P7370" s="35">
        <v>54.12</v>
      </c>
      <c r="Q7370">
        <v>305</v>
      </c>
      <c r="R7370" s="34">
        <f t="shared" si="118"/>
        <v>0.83900717294778515</v>
      </c>
    </row>
    <row r="7371" spans="16:18" x14ac:dyDescent="0.3">
      <c r="P7371" s="35">
        <v>54.14</v>
      </c>
      <c r="Q7371">
        <v>305</v>
      </c>
      <c r="R7371" s="34">
        <f t="shared" si="118"/>
        <v>0.83912102926111776</v>
      </c>
    </row>
    <row r="7372" spans="16:18" x14ac:dyDescent="0.3">
      <c r="P7372" s="35">
        <v>54.15</v>
      </c>
      <c r="Q7372">
        <v>305</v>
      </c>
      <c r="R7372" s="34">
        <f t="shared" si="118"/>
        <v>0.83923488557445036</v>
      </c>
    </row>
    <row r="7373" spans="16:18" x14ac:dyDescent="0.3">
      <c r="P7373" s="35">
        <v>54.15</v>
      </c>
      <c r="Q7373">
        <v>305</v>
      </c>
      <c r="R7373" s="34">
        <f t="shared" si="118"/>
        <v>0.83934874188778297</v>
      </c>
    </row>
    <row r="7374" spans="16:18" x14ac:dyDescent="0.3">
      <c r="P7374" s="35">
        <v>54.16</v>
      </c>
      <c r="Q7374">
        <v>305</v>
      </c>
      <c r="R7374" s="34">
        <f t="shared" si="118"/>
        <v>0.83946259820111557</v>
      </c>
    </row>
    <row r="7375" spans="16:18" x14ac:dyDescent="0.3">
      <c r="P7375" s="35">
        <v>54.2</v>
      </c>
      <c r="Q7375">
        <v>305</v>
      </c>
      <c r="R7375" s="34">
        <f t="shared" si="118"/>
        <v>0.83957645451444818</v>
      </c>
    </row>
    <row r="7376" spans="16:18" x14ac:dyDescent="0.3">
      <c r="P7376" s="35">
        <v>54.2</v>
      </c>
      <c r="Q7376">
        <v>305</v>
      </c>
      <c r="R7376" s="34">
        <f t="shared" si="118"/>
        <v>0.83969031082778078</v>
      </c>
    </row>
    <row r="7377" spans="16:18" x14ac:dyDescent="0.3">
      <c r="P7377" s="35">
        <v>54.21</v>
      </c>
      <c r="Q7377">
        <v>305</v>
      </c>
      <c r="R7377" s="34">
        <f t="shared" si="118"/>
        <v>0.83980416714111339</v>
      </c>
    </row>
    <row r="7378" spans="16:18" x14ac:dyDescent="0.3">
      <c r="P7378" s="35">
        <v>54.27</v>
      </c>
      <c r="Q7378">
        <v>305</v>
      </c>
      <c r="R7378" s="34">
        <f t="shared" si="118"/>
        <v>0.83991802345444599</v>
      </c>
    </row>
    <row r="7379" spans="16:18" x14ac:dyDescent="0.3">
      <c r="P7379" s="35">
        <v>54.27</v>
      </c>
      <c r="Q7379">
        <v>305</v>
      </c>
      <c r="R7379" s="34">
        <f t="shared" si="118"/>
        <v>0.8400318797677786</v>
      </c>
    </row>
    <row r="7380" spans="16:18" x14ac:dyDescent="0.3">
      <c r="P7380" s="35">
        <v>54.31</v>
      </c>
      <c r="Q7380">
        <v>305</v>
      </c>
      <c r="R7380" s="34">
        <f t="shared" si="118"/>
        <v>0.84014573608111121</v>
      </c>
    </row>
    <row r="7381" spans="16:18" x14ac:dyDescent="0.3">
      <c r="P7381" s="35">
        <v>54.36</v>
      </c>
      <c r="Q7381">
        <v>305</v>
      </c>
      <c r="R7381" s="34">
        <f t="shared" si="118"/>
        <v>0.84025959239444381</v>
      </c>
    </row>
    <row r="7382" spans="16:18" x14ac:dyDescent="0.3">
      <c r="P7382" s="35">
        <v>54.37</v>
      </c>
      <c r="Q7382">
        <v>305</v>
      </c>
      <c r="R7382" s="34">
        <f t="shared" si="118"/>
        <v>0.84037344870777642</v>
      </c>
    </row>
    <row r="7383" spans="16:18" x14ac:dyDescent="0.3">
      <c r="P7383" s="35">
        <v>54.37</v>
      </c>
      <c r="Q7383">
        <v>305</v>
      </c>
      <c r="R7383" s="34">
        <f t="shared" si="118"/>
        <v>0.84048730502110902</v>
      </c>
    </row>
    <row r="7384" spans="16:18" x14ac:dyDescent="0.3">
      <c r="P7384" s="35">
        <v>54.38</v>
      </c>
      <c r="Q7384">
        <v>305</v>
      </c>
      <c r="R7384" s="34">
        <f t="shared" si="118"/>
        <v>0.84060116133444163</v>
      </c>
    </row>
    <row r="7385" spans="16:18" x14ac:dyDescent="0.3">
      <c r="P7385" s="35">
        <v>54.39</v>
      </c>
      <c r="Q7385">
        <v>305</v>
      </c>
      <c r="R7385" s="34">
        <f t="shared" si="118"/>
        <v>0.84071501764777423</v>
      </c>
    </row>
    <row r="7386" spans="16:18" x14ac:dyDescent="0.3">
      <c r="P7386" s="35">
        <v>54.46</v>
      </c>
      <c r="Q7386">
        <v>305</v>
      </c>
      <c r="R7386" s="34">
        <f t="shared" si="118"/>
        <v>0.84082887396110684</v>
      </c>
    </row>
    <row r="7387" spans="16:18" x14ac:dyDescent="0.3">
      <c r="P7387" s="35">
        <v>54.49</v>
      </c>
      <c r="Q7387">
        <v>305</v>
      </c>
      <c r="R7387" s="34">
        <f t="shared" si="118"/>
        <v>0.84094273027443944</v>
      </c>
    </row>
    <row r="7388" spans="16:18" x14ac:dyDescent="0.3">
      <c r="P7388" s="35">
        <v>54.51</v>
      </c>
      <c r="Q7388">
        <v>305</v>
      </c>
      <c r="R7388" s="34">
        <f t="shared" si="118"/>
        <v>0.84105658658777205</v>
      </c>
    </row>
    <row r="7389" spans="16:18" x14ac:dyDescent="0.3">
      <c r="P7389" s="35">
        <v>54.51</v>
      </c>
      <c r="Q7389">
        <v>305</v>
      </c>
      <c r="R7389" s="34">
        <f t="shared" si="118"/>
        <v>0.84117044290110465</v>
      </c>
    </row>
    <row r="7390" spans="16:18" x14ac:dyDescent="0.3">
      <c r="P7390" s="35">
        <v>54.53</v>
      </c>
      <c r="Q7390">
        <v>305</v>
      </c>
      <c r="R7390" s="34">
        <f t="shared" si="118"/>
        <v>0.84128429921443726</v>
      </c>
    </row>
    <row r="7391" spans="16:18" x14ac:dyDescent="0.3">
      <c r="P7391" s="35">
        <v>54.54</v>
      </c>
      <c r="Q7391">
        <v>305</v>
      </c>
      <c r="R7391" s="34">
        <f t="shared" si="118"/>
        <v>0.84139815552776986</v>
      </c>
    </row>
    <row r="7392" spans="16:18" x14ac:dyDescent="0.3">
      <c r="P7392" s="35">
        <v>54.55</v>
      </c>
      <c r="Q7392">
        <v>305</v>
      </c>
      <c r="R7392" s="34">
        <f t="shared" si="118"/>
        <v>0.84151201184110247</v>
      </c>
    </row>
    <row r="7393" spans="16:18" x14ac:dyDescent="0.3">
      <c r="P7393" s="35">
        <v>54.55</v>
      </c>
      <c r="Q7393">
        <v>305</v>
      </c>
      <c r="R7393" s="34">
        <f t="shared" si="118"/>
        <v>0.84162586815443508</v>
      </c>
    </row>
    <row r="7394" spans="16:18" x14ac:dyDescent="0.3">
      <c r="P7394" s="35">
        <v>54.57</v>
      </c>
      <c r="Q7394">
        <v>305</v>
      </c>
      <c r="R7394" s="34">
        <f t="shared" si="118"/>
        <v>0.84173972446776768</v>
      </c>
    </row>
    <row r="7395" spans="16:18" x14ac:dyDescent="0.3">
      <c r="P7395" s="35">
        <v>54.57</v>
      </c>
      <c r="Q7395">
        <v>305</v>
      </c>
      <c r="R7395" s="34">
        <f t="shared" si="118"/>
        <v>0.84185358078110029</v>
      </c>
    </row>
    <row r="7396" spans="16:18" x14ac:dyDescent="0.3">
      <c r="P7396" s="35">
        <v>54.58</v>
      </c>
      <c r="Q7396">
        <v>305</v>
      </c>
      <c r="R7396" s="34">
        <f t="shared" si="118"/>
        <v>0.84196743709443289</v>
      </c>
    </row>
    <row r="7397" spans="16:18" x14ac:dyDescent="0.3">
      <c r="P7397" s="35">
        <v>54.6</v>
      </c>
      <c r="Q7397">
        <v>305</v>
      </c>
      <c r="R7397" s="34">
        <f t="shared" si="118"/>
        <v>0.8420812934077655</v>
      </c>
    </row>
    <row r="7398" spans="16:18" x14ac:dyDescent="0.3">
      <c r="P7398" s="35">
        <v>54.62</v>
      </c>
      <c r="Q7398">
        <v>305</v>
      </c>
      <c r="R7398" s="34">
        <f t="shared" si="118"/>
        <v>0.8421951497210981</v>
      </c>
    </row>
    <row r="7399" spans="16:18" x14ac:dyDescent="0.3">
      <c r="P7399" s="35">
        <v>54.62</v>
      </c>
      <c r="Q7399">
        <v>305</v>
      </c>
      <c r="R7399" s="34">
        <f t="shared" si="118"/>
        <v>0.84230900603443071</v>
      </c>
    </row>
    <row r="7400" spans="16:18" x14ac:dyDescent="0.3">
      <c r="P7400" s="35">
        <v>54.63</v>
      </c>
      <c r="Q7400">
        <v>305</v>
      </c>
      <c r="R7400" s="34">
        <f t="shared" si="118"/>
        <v>0.84242286234776331</v>
      </c>
    </row>
    <row r="7401" spans="16:18" x14ac:dyDescent="0.3">
      <c r="P7401" s="35">
        <v>54.64</v>
      </c>
      <c r="Q7401">
        <v>305</v>
      </c>
      <c r="R7401" s="34">
        <f t="shared" si="118"/>
        <v>0.84253671866109592</v>
      </c>
    </row>
    <row r="7402" spans="16:18" x14ac:dyDescent="0.3">
      <c r="P7402" s="35">
        <v>54.66</v>
      </c>
      <c r="Q7402">
        <v>305</v>
      </c>
      <c r="R7402" s="34">
        <f t="shared" si="118"/>
        <v>0.84265057497442852</v>
      </c>
    </row>
    <row r="7403" spans="16:18" x14ac:dyDescent="0.3">
      <c r="P7403" s="35">
        <v>54.71</v>
      </c>
      <c r="Q7403">
        <v>305</v>
      </c>
      <c r="R7403" s="34">
        <f t="shared" si="118"/>
        <v>0.84276443128776113</v>
      </c>
    </row>
    <row r="7404" spans="16:18" x14ac:dyDescent="0.3">
      <c r="P7404" s="35">
        <v>54.71</v>
      </c>
      <c r="Q7404">
        <v>305</v>
      </c>
      <c r="R7404" s="34">
        <f t="shared" si="118"/>
        <v>0.84287828760109373</v>
      </c>
    </row>
    <row r="7405" spans="16:18" x14ac:dyDescent="0.3">
      <c r="P7405" s="35">
        <v>54.74</v>
      </c>
      <c r="Q7405">
        <v>305</v>
      </c>
      <c r="R7405" s="34">
        <f t="shared" si="118"/>
        <v>0.84299214391442634</v>
      </c>
    </row>
    <row r="7406" spans="16:18" x14ac:dyDescent="0.3">
      <c r="P7406" s="35">
        <v>54.75</v>
      </c>
      <c r="Q7406">
        <v>305</v>
      </c>
      <c r="R7406" s="34">
        <f t="shared" si="118"/>
        <v>0.84310600022775894</v>
      </c>
    </row>
    <row r="7407" spans="16:18" x14ac:dyDescent="0.3">
      <c r="P7407" s="35">
        <v>54.77</v>
      </c>
      <c r="Q7407">
        <v>305</v>
      </c>
      <c r="R7407" s="34">
        <f t="shared" si="118"/>
        <v>0.84321985654109155</v>
      </c>
    </row>
    <row r="7408" spans="16:18" x14ac:dyDescent="0.3">
      <c r="P7408" s="35">
        <v>54.79</v>
      </c>
      <c r="Q7408">
        <v>305</v>
      </c>
      <c r="R7408" s="34">
        <f t="shared" si="118"/>
        <v>0.84333371285442416</v>
      </c>
    </row>
    <row r="7409" spans="16:18" x14ac:dyDescent="0.3">
      <c r="P7409" s="35">
        <v>54.79</v>
      </c>
      <c r="Q7409">
        <v>305</v>
      </c>
      <c r="R7409" s="34">
        <f t="shared" si="118"/>
        <v>0.84344756916775676</v>
      </c>
    </row>
    <row r="7410" spans="16:18" x14ac:dyDescent="0.3">
      <c r="P7410" s="35">
        <v>54.81</v>
      </c>
      <c r="Q7410">
        <v>305</v>
      </c>
      <c r="R7410" s="34">
        <f t="shared" si="118"/>
        <v>0.84356142548108937</v>
      </c>
    </row>
    <row r="7411" spans="16:18" x14ac:dyDescent="0.3">
      <c r="P7411" s="35">
        <v>54.82</v>
      </c>
      <c r="Q7411">
        <v>305</v>
      </c>
      <c r="R7411" s="34">
        <f t="shared" si="118"/>
        <v>0.84367528179442197</v>
      </c>
    </row>
    <row r="7412" spans="16:18" x14ac:dyDescent="0.3">
      <c r="P7412" s="35">
        <v>54.87</v>
      </c>
      <c r="Q7412">
        <v>305</v>
      </c>
      <c r="R7412" s="34">
        <f t="shared" si="118"/>
        <v>0.84378913810775458</v>
      </c>
    </row>
    <row r="7413" spans="16:18" x14ac:dyDescent="0.3">
      <c r="P7413" s="35">
        <v>54.98</v>
      </c>
      <c r="Q7413">
        <v>305</v>
      </c>
      <c r="R7413" s="34">
        <f t="shared" si="118"/>
        <v>0.84390299442108718</v>
      </c>
    </row>
    <row r="7414" spans="16:18" x14ac:dyDescent="0.3">
      <c r="P7414" s="35">
        <v>55.01</v>
      </c>
      <c r="Q7414">
        <v>305</v>
      </c>
      <c r="R7414" s="34">
        <f t="shared" si="118"/>
        <v>0.84401685073441979</v>
      </c>
    </row>
    <row r="7415" spans="16:18" x14ac:dyDescent="0.3">
      <c r="P7415" s="35">
        <v>55.02</v>
      </c>
      <c r="Q7415">
        <v>305</v>
      </c>
      <c r="R7415" s="34">
        <f t="shared" si="118"/>
        <v>0.84413070704775239</v>
      </c>
    </row>
    <row r="7416" spans="16:18" x14ac:dyDescent="0.3">
      <c r="P7416" s="35">
        <v>55.11</v>
      </c>
      <c r="Q7416">
        <v>305</v>
      </c>
      <c r="R7416" s="34">
        <f t="shared" si="118"/>
        <v>0.844244563361085</v>
      </c>
    </row>
    <row r="7417" spans="16:18" x14ac:dyDescent="0.3">
      <c r="P7417" s="35">
        <v>55.12</v>
      </c>
      <c r="Q7417">
        <v>305</v>
      </c>
      <c r="R7417" s="34">
        <f t="shared" si="118"/>
        <v>0.8443584196744176</v>
      </c>
    </row>
    <row r="7418" spans="16:18" x14ac:dyDescent="0.3">
      <c r="P7418" s="35">
        <v>55.13</v>
      </c>
      <c r="Q7418">
        <v>305</v>
      </c>
      <c r="R7418" s="34">
        <f t="shared" si="118"/>
        <v>0.84447227598775021</v>
      </c>
    </row>
    <row r="7419" spans="16:18" x14ac:dyDescent="0.3">
      <c r="P7419" s="35">
        <v>55.14</v>
      </c>
      <c r="Q7419">
        <v>305</v>
      </c>
      <c r="R7419" s="34">
        <f t="shared" si="118"/>
        <v>0.84458613230108281</v>
      </c>
    </row>
    <row r="7420" spans="16:18" x14ac:dyDescent="0.3">
      <c r="P7420" s="35">
        <v>55.15</v>
      </c>
      <c r="Q7420">
        <v>305</v>
      </c>
      <c r="R7420" s="34">
        <f t="shared" si="118"/>
        <v>0.84469998861441542</v>
      </c>
    </row>
    <row r="7421" spans="16:18" x14ac:dyDescent="0.3">
      <c r="P7421" s="35">
        <v>55.15</v>
      </c>
      <c r="Q7421">
        <v>305</v>
      </c>
      <c r="R7421" s="34">
        <f t="shared" si="118"/>
        <v>0.84481384492774803</v>
      </c>
    </row>
    <row r="7422" spans="16:18" x14ac:dyDescent="0.3">
      <c r="P7422" s="35">
        <v>55.2</v>
      </c>
      <c r="Q7422">
        <v>305</v>
      </c>
      <c r="R7422" s="34">
        <f t="shared" si="118"/>
        <v>0.84492770124108063</v>
      </c>
    </row>
    <row r="7423" spans="16:18" x14ac:dyDescent="0.3">
      <c r="P7423" s="35">
        <v>55.21</v>
      </c>
      <c r="Q7423">
        <v>305</v>
      </c>
      <c r="R7423" s="34">
        <f t="shared" si="118"/>
        <v>0.84504155755441324</v>
      </c>
    </row>
    <row r="7424" spans="16:18" x14ac:dyDescent="0.3">
      <c r="P7424" s="35">
        <v>55.25</v>
      </c>
      <c r="Q7424">
        <v>305</v>
      </c>
      <c r="R7424" s="34">
        <f t="shared" si="118"/>
        <v>0.84515541386774584</v>
      </c>
    </row>
    <row r="7425" spans="16:18" x14ac:dyDescent="0.3">
      <c r="P7425" s="35">
        <v>55.25</v>
      </c>
      <c r="Q7425">
        <v>305</v>
      </c>
      <c r="R7425" s="34">
        <f t="shared" si="118"/>
        <v>0.84526927018107845</v>
      </c>
    </row>
    <row r="7426" spans="16:18" x14ac:dyDescent="0.3">
      <c r="P7426" s="35">
        <v>55.29</v>
      </c>
      <c r="Q7426">
        <v>305</v>
      </c>
      <c r="R7426" s="34">
        <f t="shared" si="118"/>
        <v>0.84538312649441105</v>
      </c>
    </row>
    <row r="7427" spans="16:18" x14ac:dyDescent="0.3">
      <c r="P7427" s="35">
        <v>55.31</v>
      </c>
      <c r="Q7427">
        <v>305</v>
      </c>
      <c r="R7427" s="34">
        <f t="shared" si="118"/>
        <v>0.84549698280774366</v>
      </c>
    </row>
    <row r="7428" spans="16:18" x14ac:dyDescent="0.3">
      <c r="P7428" s="35">
        <v>55.32</v>
      </c>
      <c r="Q7428">
        <v>305</v>
      </c>
      <c r="R7428" s="34">
        <f t="shared" ref="R7428:R7491" si="119">R7427+R$2</f>
        <v>0.84561083912107626</v>
      </c>
    </row>
    <row r="7429" spans="16:18" x14ac:dyDescent="0.3">
      <c r="P7429" s="35">
        <v>55.35</v>
      </c>
      <c r="Q7429">
        <v>305</v>
      </c>
      <c r="R7429" s="34">
        <f t="shared" si="119"/>
        <v>0.84572469543440887</v>
      </c>
    </row>
    <row r="7430" spans="16:18" x14ac:dyDescent="0.3">
      <c r="P7430" s="35">
        <v>55.37</v>
      </c>
      <c r="Q7430">
        <v>305</v>
      </c>
      <c r="R7430" s="34">
        <f t="shared" si="119"/>
        <v>0.84583855174774147</v>
      </c>
    </row>
    <row r="7431" spans="16:18" x14ac:dyDescent="0.3">
      <c r="P7431" s="35">
        <v>55.37</v>
      </c>
      <c r="Q7431">
        <v>305</v>
      </c>
      <c r="R7431" s="34">
        <f t="shared" si="119"/>
        <v>0.84595240806107408</v>
      </c>
    </row>
    <row r="7432" spans="16:18" x14ac:dyDescent="0.3">
      <c r="P7432" s="35">
        <v>55.38</v>
      </c>
      <c r="Q7432">
        <v>305</v>
      </c>
      <c r="R7432" s="34">
        <f t="shared" si="119"/>
        <v>0.84606626437440668</v>
      </c>
    </row>
    <row r="7433" spans="16:18" x14ac:dyDescent="0.3">
      <c r="P7433" s="35">
        <v>55.44</v>
      </c>
      <c r="Q7433">
        <v>305</v>
      </c>
      <c r="R7433" s="34">
        <f t="shared" si="119"/>
        <v>0.84618012068773929</v>
      </c>
    </row>
    <row r="7434" spans="16:18" x14ac:dyDescent="0.3">
      <c r="P7434" s="35">
        <v>55.45</v>
      </c>
      <c r="Q7434">
        <v>305</v>
      </c>
      <c r="R7434" s="34">
        <f t="shared" si="119"/>
        <v>0.8462939770010719</v>
      </c>
    </row>
    <row r="7435" spans="16:18" x14ac:dyDescent="0.3">
      <c r="P7435" s="35">
        <v>55.47</v>
      </c>
      <c r="Q7435">
        <v>305</v>
      </c>
      <c r="R7435" s="34">
        <f t="shared" si="119"/>
        <v>0.8464078333144045</v>
      </c>
    </row>
    <row r="7436" spans="16:18" x14ac:dyDescent="0.3">
      <c r="P7436" s="35">
        <v>55.49</v>
      </c>
      <c r="Q7436">
        <v>305</v>
      </c>
      <c r="R7436" s="34">
        <f t="shared" si="119"/>
        <v>0.84652168962773711</v>
      </c>
    </row>
    <row r="7437" spans="16:18" x14ac:dyDescent="0.3">
      <c r="P7437" s="35">
        <v>55.52</v>
      </c>
      <c r="Q7437">
        <v>305</v>
      </c>
      <c r="R7437" s="34">
        <f t="shared" si="119"/>
        <v>0.84663554594106971</v>
      </c>
    </row>
    <row r="7438" spans="16:18" x14ac:dyDescent="0.3">
      <c r="P7438" s="35">
        <v>55.56</v>
      </c>
      <c r="Q7438">
        <v>305</v>
      </c>
      <c r="R7438" s="34">
        <f t="shared" si="119"/>
        <v>0.84674940225440232</v>
      </c>
    </row>
    <row r="7439" spans="16:18" x14ac:dyDescent="0.3">
      <c r="P7439" s="35">
        <v>55.57</v>
      </c>
      <c r="Q7439">
        <v>305</v>
      </c>
      <c r="R7439" s="34">
        <f t="shared" si="119"/>
        <v>0.84686325856773492</v>
      </c>
    </row>
    <row r="7440" spans="16:18" x14ac:dyDescent="0.3">
      <c r="P7440" s="35">
        <v>55.6</v>
      </c>
      <c r="Q7440">
        <v>305</v>
      </c>
      <c r="R7440" s="34">
        <f t="shared" si="119"/>
        <v>0.84697711488106753</v>
      </c>
    </row>
    <row r="7441" spans="16:18" x14ac:dyDescent="0.3">
      <c r="P7441" s="35">
        <v>55.64</v>
      </c>
      <c r="Q7441">
        <v>305</v>
      </c>
      <c r="R7441" s="34">
        <f t="shared" si="119"/>
        <v>0.84709097119440013</v>
      </c>
    </row>
    <row r="7442" spans="16:18" x14ac:dyDescent="0.3">
      <c r="P7442" s="35">
        <v>55.64</v>
      </c>
      <c r="Q7442">
        <v>305</v>
      </c>
      <c r="R7442" s="34">
        <f t="shared" si="119"/>
        <v>0.84720482750773274</v>
      </c>
    </row>
    <row r="7443" spans="16:18" x14ac:dyDescent="0.3">
      <c r="P7443" s="35">
        <v>55.65</v>
      </c>
      <c r="Q7443">
        <v>305</v>
      </c>
      <c r="R7443" s="34">
        <f t="shared" si="119"/>
        <v>0.84731868382106534</v>
      </c>
    </row>
    <row r="7444" spans="16:18" x14ac:dyDescent="0.3">
      <c r="P7444" s="35">
        <v>55.66</v>
      </c>
      <c r="Q7444">
        <v>305</v>
      </c>
      <c r="R7444" s="34">
        <f t="shared" si="119"/>
        <v>0.84743254013439795</v>
      </c>
    </row>
    <row r="7445" spans="16:18" x14ac:dyDescent="0.3">
      <c r="P7445" s="35">
        <v>55.67</v>
      </c>
      <c r="Q7445">
        <v>305</v>
      </c>
      <c r="R7445" s="34">
        <f t="shared" si="119"/>
        <v>0.84754639644773055</v>
      </c>
    </row>
    <row r="7446" spans="16:18" x14ac:dyDescent="0.3">
      <c r="P7446" s="35">
        <v>55.68</v>
      </c>
      <c r="Q7446">
        <v>305</v>
      </c>
      <c r="R7446" s="34">
        <f t="shared" si="119"/>
        <v>0.84766025276106316</v>
      </c>
    </row>
    <row r="7447" spans="16:18" x14ac:dyDescent="0.3">
      <c r="P7447" s="35">
        <v>55.69</v>
      </c>
      <c r="Q7447">
        <v>305</v>
      </c>
      <c r="R7447" s="34">
        <f t="shared" si="119"/>
        <v>0.84777410907439577</v>
      </c>
    </row>
    <row r="7448" spans="16:18" x14ac:dyDescent="0.3">
      <c r="P7448" s="35">
        <v>55.7</v>
      </c>
      <c r="Q7448">
        <v>305</v>
      </c>
      <c r="R7448" s="34">
        <f t="shared" si="119"/>
        <v>0.84788796538772837</v>
      </c>
    </row>
    <row r="7449" spans="16:18" x14ac:dyDescent="0.3">
      <c r="P7449" s="35">
        <v>55.71</v>
      </c>
      <c r="Q7449">
        <v>305</v>
      </c>
      <c r="R7449" s="34">
        <f t="shared" si="119"/>
        <v>0.84800182170106098</v>
      </c>
    </row>
    <row r="7450" spans="16:18" x14ac:dyDescent="0.3">
      <c r="P7450" s="35">
        <v>55.75</v>
      </c>
      <c r="Q7450">
        <v>305</v>
      </c>
      <c r="R7450" s="34">
        <f t="shared" si="119"/>
        <v>0.84811567801439358</v>
      </c>
    </row>
    <row r="7451" spans="16:18" x14ac:dyDescent="0.3">
      <c r="P7451" s="35">
        <v>55.76</v>
      </c>
      <c r="Q7451">
        <v>305</v>
      </c>
      <c r="R7451" s="34">
        <f t="shared" si="119"/>
        <v>0.84822953432772619</v>
      </c>
    </row>
    <row r="7452" spans="16:18" x14ac:dyDescent="0.3">
      <c r="P7452" s="35">
        <v>55.78</v>
      </c>
      <c r="Q7452">
        <v>305</v>
      </c>
      <c r="R7452" s="34">
        <f t="shared" si="119"/>
        <v>0.84834339064105879</v>
      </c>
    </row>
    <row r="7453" spans="16:18" x14ac:dyDescent="0.3">
      <c r="P7453" s="35">
        <v>55.81</v>
      </c>
      <c r="Q7453">
        <v>305</v>
      </c>
      <c r="R7453" s="34">
        <f t="shared" si="119"/>
        <v>0.8484572469543914</v>
      </c>
    </row>
    <row r="7454" spans="16:18" x14ac:dyDescent="0.3">
      <c r="P7454" s="35">
        <v>55.84</v>
      </c>
      <c r="Q7454">
        <v>305</v>
      </c>
      <c r="R7454" s="34">
        <f t="shared" si="119"/>
        <v>0.848571103267724</v>
      </c>
    </row>
    <row r="7455" spans="16:18" x14ac:dyDescent="0.3">
      <c r="P7455" s="35">
        <v>55.86</v>
      </c>
      <c r="Q7455">
        <v>305</v>
      </c>
      <c r="R7455" s="34">
        <f t="shared" si="119"/>
        <v>0.84868495958105661</v>
      </c>
    </row>
    <row r="7456" spans="16:18" x14ac:dyDescent="0.3">
      <c r="P7456" s="35">
        <v>55.86</v>
      </c>
      <c r="Q7456">
        <v>305</v>
      </c>
      <c r="R7456" s="34">
        <f t="shared" si="119"/>
        <v>0.84879881589438921</v>
      </c>
    </row>
    <row r="7457" spans="16:18" x14ac:dyDescent="0.3">
      <c r="P7457" s="35">
        <v>55.88</v>
      </c>
      <c r="Q7457">
        <v>305</v>
      </c>
      <c r="R7457" s="34">
        <f t="shared" si="119"/>
        <v>0.84891267220772182</v>
      </c>
    </row>
    <row r="7458" spans="16:18" x14ac:dyDescent="0.3">
      <c r="P7458" s="35">
        <v>55.89</v>
      </c>
      <c r="Q7458">
        <v>305</v>
      </c>
      <c r="R7458" s="34">
        <f t="shared" si="119"/>
        <v>0.84902652852105442</v>
      </c>
    </row>
    <row r="7459" spans="16:18" x14ac:dyDescent="0.3">
      <c r="P7459" s="35">
        <v>55.93</v>
      </c>
      <c r="Q7459">
        <v>305</v>
      </c>
      <c r="R7459" s="34">
        <f t="shared" si="119"/>
        <v>0.84914038483438703</v>
      </c>
    </row>
    <row r="7460" spans="16:18" x14ac:dyDescent="0.3">
      <c r="P7460" s="35">
        <v>55.97</v>
      </c>
      <c r="Q7460">
        <v>305</v>
      </c>
      <c r="R7460" s="34">
        <f t="shared" si="119"/>
        <v>0.84925424114771964</v>
      </c>
    </row>
    <row r="7461" spans="16:18" x14ac:dyDescent="0.3">
      <c r="P7461" s="35">
        <v>56.01</v>
      </c>
      <c r="Q7461">
        <v>305</v>
      </c>
      <c r="R7461" s="34">
        <f t="shared" si="119"/>
        <v>0.84936809746105224</v>
      </c>
    </row>
    <row r="7462" spans="16:18" x14ac:dyDescent="0.3">
      <c r="P7462" s="35">
        <v>56.02</v>
      </c>
      <c r="Q7462">
        <v>305</v>
      </c>
      <c r="R7462" s="34">
        <f t="shared" si="119"/>
        <v>0.84948195377438485</v>
      </c>
    </row>
    <row r="7463" spans="16:18" x14ac:dyDescent="0.3">
      <c r="P7463" s="35">
        <v>56.04</v>
      </c>
      <c r="Q7463">
        <v>305</v>
      </c>
      <c r="R7463" s="34">
        <f t="shared" si="119"/>
        <v>0.84959581008771745</v>
      </c>
    </row>
    <row r="7464" spans="16:18" x14ac:dyDescent="0.3">
      <c r="P7464" s="35">
        <v>56.05</v>
      </c>
      <c r="Q7464">
        <v>305</v>
      </c>
      <c r="R7464" s="34">
        <f t="shared" si="119"/>
        <v>0.84970966640105006</v>
      </c>
    </row>
    <row r="7465" spans="16:18" x14ac:dyDescent="0.3">
      <c r="P7465" s="35">
        <v>56.07</v>
      </c>
      <c r="Q7465">
        <v>305</v>
      </c>
      <c r="R7465" s="34">
        <f t="shared" si="119"/>
        <v>0.84982352271438266</v>
      </c>
    </row>
    <row r="7466" spans="16:18" x14ac:dyDescent="0.3">
      <c r="P7466" s="35">
        <v>56.12</v>
      </c>
      <c r="Q7466">
        <v>305</v>
      </c>
      <c r="R7466" s="34">
        <f t="shared" si="119"/>
        <v>0.84993737902771527</v>
      </c>
    </row>
    <row r="7467" spans="16:18" x14ac:dyDescent="0.3">
      <c r="P7467" s="35">
        <v>56.13</v>
      </c>
      <c r="Q7467">
        <v>305</v>
      </c>
      <c r="R7467" s="34">
        <f t="shared" si="119"/>
        <v>0.85005123534104787</v>
      </c>
    </row>
    <row r="7468" spans="16:18" x14ac:dyDescent="0.3">
      <c r="P7468" s="35">
        <v>56.18</v>
      </c>
      <c r="Q7468">
        <v>305</v>
      </c>
      <c r="R7468" s="34">
        <f t="shared" si="119"/>
        <v>0.85016509165438048</v>
      </c>
    </row>
    <row r="7469" spans="16:18" x14ac:dyDescent="0.3">
      <c r="P7469" s="35">
        <v>56.2</v>
      </c>
      <c r="Q7469">
        <v>305</v>
      </c>
      <c r="R7469" s="34">
        <f t="shared" si="119"/>
        <v>0.85027894796771308</v>
      </c>
    </row>
    <row r="7470" spans="16:18" x14ac:dyDescent="0.3">
      <c r="P7470" s="35">
        <v>56.21</v>
      </c>
      <c r="Q7470">
        <v>305</v>
      </c>
      <c r="R7470" s="34">
        <f t="shared" si="119"/>
        <v>0.85039280428104569</v>
      </c>
    </row>
    <row r="7471" spans="16:18" x14ac:dyDescent="0.3">
      <c r="P7471" s="35">
        <v>56.22</v>
      </c>
      <c r="Q7471">
        <v>305</v>
      </c>
      <c r="R7471" s="34">
        <f t="shared" si="119"/>
        <v>0.85050666059437829</v>
      </c>
    </row>
    <row r="7472" spans="16:18" x14ac:dyDescent="0.3">
      <c r="P7472" s="35">
        <v>56.24</v>
      </c>
      <c r="Q7472">
        <v>305</v>
      </c>
      <c r="R7472" s="34">
        <f t="shared" si="119"/>
        <v>0.8506205169077109</v>
      </c>
    </row>
    <row r="7473" spans="16:18" x14ac:dyDescent="0.3">
      <c r="P7473" s="35">
        <v>56.27</v>
      </c>
      <c r="Q7473">
        <v>305</v>
      </c>
      <c r="R7473" s="34">
        <f t="shared" si="119"/>
        <v>0.8507343732210435</v>
      </c>
    </row>
    <row r="7474" spans="16:18" x14ac:dyDescent="0.3">
      <c r="P7474" s="35">
        <v>56.28</v>
      </c>
      <c r="Q7474">
        <v>305</v>
      </c>
      <c r="R7474" s="34">
        <f t="shared" si="119"/>
        <v>0.85084822953437611</v>
      </c>
    </row>
    <row r="7475" spans="16:18" x14ac:dyDescent="0.3">
      <c r="P7475" s="35">
        <v>56.29</v>
      </c>
      <c r="Q7475">
        <v>305</v>
      </c>
      <c r="R7475" s="34">
        <f t="shared" si="119"/>
        <v>0.85096208584770872</v>
      </c>
    </row>
    <row r="7476" spans="16:18" x14ac:dyDescent="0.3">
      <c r="P7476" s="35">
        <v>56.3</v>
      </c>
      <c r="Q7476">
        <v>305</v>
      </c>
      <c r="R7476" s="34">
        <f t="shared" si="119"/>
        <v>0.85107594216104132</v>
      </c>
    </row>
    <row r="7477" spans="16:18" x14ac:dyDescent="0.3">
      <c r="P7477" s="35">
        <v>56.31</v>
      </c>
      <c r="Q7477">
        <v>305</v>
      </c>
      <c r="R7477" s="34">
        <f t="shared" si="119"/>
        <v>0.85118979847437393</v>
      </c>
    </row>
    <row r="7478" spans="16:18" x14ac:dyDescent="0.3">
      <c r="P7478" s="35">
        <v>56.32</v>
      </c>
      <c r="Q7478">
        <v>305</v>
      </c>
      <c r="R7478" s="34">
        <f t="shared" si="119"/>
        <v>0.85130365478770653</v>
      </c>
    </row>
    <row r="7479" spans="16:18" x14ac:dyDescent="0.3">
      <c r="P7479" s="35">
        <v>56.33</v>
      </c>
      <c r="Q7479">
        <v>305</v>
      </c>
      <c r="R7479" s="34">
        <f t="shared" si="119"/>
        <v>0.85141751110103914</v>
      </c>
    </row>
    <row r="7480" spans="16:18" x14ac:dyDescent="0.3">
      <c r="P7480" s="35">
        <v>56.39</v>
      </c>
      <c r="Q7480">
        <v>305</v>
      </c>
      <c r="R7480" s="34">
        <f t="shared" si="119"/>
        <v>0.85153136741437174</v>
      </c>
    </row>
    <row r="7481" spans="16:18" x14ac:dyDescent="0.3">
      <c r="P7481" s="35">
        <v>56.39</v>
      </c>
      <c r="Q7481">
        <v>305</v>
      </c>
      <c r="R7481" s="34">
        <f t="shared" si="119"/>
        <v>0.85164522372770435</v>
      </c>
    </row>
    <row r="7482" spans="16:18" x14ac:dyDescent="0.3">
      <c r="P7482" s="35">
        <v>56.42</v>
      </c>
      <c r="Q7482">
        <v>305</v>
      </c>
      <c r="R7482" s="34">
        <f t="shared" si="119"/>
        <v>0.85175908004103695</v>
      </c>
    </row>
    <row r="7483" spans="16:18" x14ac:dyDescent="0.3">
      <c r="P7483" s="35">
        <v>56.45</v>
      </c>
      <c r="Q7483">
        <v>305</v>
      </c>
      <c r="R7483" s="34">
        <f t="shared" si="119"/>
        <v>0.85187293635436956</v>
      </c>
    </row>
    <row r="7484" spans="16:18" x14ac:dyDescent="0.3">
      <c r="P7484" s="35">
        <v>56.5</v>
      </c>
      <c r="Q7484">
        <v>305</v>
      </c>
      <c r="R7484" s="34">
        <f t="shared" si="119"/>
        <v>0.85198679266770216</v>
      </c>
    </row>
    <row r="7485" spans="16:18" x14ac:dyDescent="0.3">
      <c r="P7485" s="35">
        <v>56.5</v>
      </c>
      <c r="Q7485">
        <v>305</v>
      </c>
      <c r="R7485" s="34">
        <f t="shared" si="119"/>
        <v>0.85210064898103477</v>
      </c>
    </row>
    <row r="7486" spans="16:18" x14ac:dyDescent="0.3">
      <c r="P7486" s="35">
        <v>56.62</v>
      </c>
      <c r="Q7486">
        <v>305</v>
      </c>
      <c r="R7486" s="34">
        <f t="shared" si="119"/>
        <v>0.85221450529436737</v>
      </c>
    </row>
    <row r="7487" spans="16:18" x14ac:dyDescent="0.3">
      <c r="P7487" s="35">
        <v>56.62</v>
      </c>
      <c r="Q7487">
        <v>305</v>
      </c>
      <c r="R7487" s="34">
        <f t="shared" si="119"/>
        <v>0.85232836160769998</v>
      </c>
    </row>
    <row r="7488" spans="16:18" x14ac:dyDescent="0.3">
      <c r="P7488" s="35">
        <v>56.63</v>
      </c>
      <c r="Q7488">
        <v>305</v>
      </c>
      <c r="R7488" s="34">
        <f t="shared" si="119"/>
        <v>0.85244221792103259</v>
      </c>
    </row>
    <row r="7489" spans="16:18" x14ac:dyDescent="0.3">
      <c r="P7489" s="35">
        <v>56.66</v>
      </c>
      <c r="Q7489">
        <v>305</v>
      </c>
      <c r="R7489" s="34">
        <f t="shared" si="119"/>
        <v>0.85255607423436519</v>
      </c>
    </row>
    <row r="7490" spans="16:18" x14ac:dyDescent="0.3">
      <c r="P7490" s="35">
        <v>56.73</v>
      </c>
      <c r="Q7490">
        <v>305</v>
      </c>
      <c r="R7490" s="34">
        <f t="shared" si="119"/>
        <v>0.8526699305476978</v>
      </c>
    </row>
    <row r="7491" spans="16:18" x14ac:dyDescent="0.3">
      <c r="P7491" s="35">
        <v>56.73</v>
      </c>
      <c r="Q7491">
        <v>305</v>
      </c>
      <c r="R7491" s="34">
        <f t="shared" si="119"/>
        <v>0.8527837868610304</v>
      </c>
    </row>
    <row r="7492" spans="16:18" x14ac:dyDescent="0.3">
      <c r="P7492" s="35">
        <v>56.74</v>
      </c>
      <c r="Q7492">
        <v>305</v>
      </c>
      <c r="R7492" s="34">
        <f t="shared" ref="R7492:R7555" si="120">R7491+R$2</f>
        <v>0.85289764317436301</v>
      </c>
    </row>
    <row r="7493" spans="16:18" x14ac:dyDescent="0.3">
      <c r="P7493" s="35">
        <v>56.74</v>
      </c>
      <c r="Q7493">
        <v>305</v>
      </c>
      <c r="R7493" s="34">
        <f t="shared" si="120"/>
        <v>0.85301149948769561</v>
      </c>
    </row>
    <row r="7494" spans="16:18" x14ac:dyDescent="0.3">
      <c r="P7494" s="35">
        <v>56.75</v>
      </c>
      <c r="Q7494">
        <v>305</v>
      </c>
      <c r="R7494" s="34">
        <f t="shared" si="120"/>
        <v>0.85312535580102822</v>
      </c>
    </row>
    <row r="7495" spans="16:18" x14ac:dyDescent="0.3">
      <c r="P7495" s="35">
        <v>56.76</v>
      </c>
      <c r="Q7495">
        <v>305</v>
      </c>
      <c r="R7495" s="34">
        <f t="shared" si="120"/>
        <v>0.85323921211436082</v>
      </c>
    </row>
    <row r="7496" spans="16:18" x14ac:dyDescent="0.3">
      <c r="P7496" s="35">
        <v>56.77</v>
      </c>
      <c r="Q7496">
        <v>305</v>
      </c>
      <c r="R7496" s="34">
        <f t="shared" si="120"/>
        <v>0.85335306842769343</v>
      </c>
    </row>
    <row r="7497" spans="16:18" x14ac:dyDescent="0.3">
      <c r="P7497" s="35">
        <v>56.78</v>
      </c>
      <c r="Q7497">
        <v>305</v>
      </c>
      <c r="R7497" s="34">
        <f t="shared" si="120"/>
        <v>0.85346692474102603</v>
      </c>
    </row>
    <row r="7498" spans="16:18" x14ac:dyDescent="0.3">
      <c r="P7498" s="35">
        <v>56.79</v>
      </c>
      <c r="Q7498">
        <v>305</v>
      </c>
      <c r="R7498" s="34">
        <f t="shared" si="120"/>
        <v>0.85358078105435864</v>
      </c>
    </row>
    <row r="7499" spans="16:18" x14ac:dyDescent="0.3">
      <c r="P7499" s="35">
        <v>56.89</v>
      </c>
      <c r="Q7499">
        <v>305</v>
      </c>
      <c r="R7499" s="34">
        <f t="shared" si="120"/>
        <v>0.85369463736769124</v>
      </c>
    </row>
    <row r="7500" spans="16:18" x14ac:dyDescent="0.3">
      <c r="P7500" s="35">
        <v>56.9</v>
      </c>
      <c r="Q7500">
        <v>305</v>
      </c>
      <c r="R7500" s="34">
        <f t="shared" si="120"/>
        <v>0.85380849368102385</v>
      </c>
    </row>
    <row r="7501" spans="16:18" x14ac:dyDescent="0.3">
      <c r="P7501" s="35">
        <v>56.95</v>
      </c>
      <c r="Q7501">
        <v>305</v>
      </c>
      <c r="R7501" s="34">
        <f t="shared" si="120"/>
        <v>0.85392234999435646</v>
      </c>
    </row>
    <row r="7502" spans="16:18" x14ac:dyDescent="0.3">
      <c r="P7502" s="35">
        <v>56.96</v>
      </c>
      <c r="Q7502">
        <v>305</v>
      </c>
      <c r="R7502" s="34">
        <f t="shared" si="120"/>
        <v>0.85403620630768906</v>
      </c>
    </row>
    <row r="7503" spans="16:18" x14ac:dyDescent="0.3">
      <c r="P7503" s="35">
        <v>56.97</v>
      </c>
      <c r="Q7503">
        <v>305</v>
      </c>
      <c r="R7503" s="34">
        <f t="shared" si="120"/>
        <v>0.85415006262102167</v>
      </c>
    </row>
    <row r="7504" spans="16:18" x14ac:dyDescent="0.3">
      <c r="P7504" s="35">
        <v>56.97</v>
      </c>
      <c r="Q7504">
        <v>305</v>
      </c>
      <c r="R7504" s="34">
        <f t="shared" si="120"/>
        <v>0.85426391893435427</v>
      </c>
    </row>
    <row r="7505" spans="16:18" x14ac:dyDescent="0.3">
      <c r="P7505" s="35">
        <v>57.05</v>
      </c>
      <c r="Q7505">
        <v>305</v>
      </c>
      <c r="R7505" s="34">
        <f t="shared" si="120"/>
        <v>0.85437777524768688</v>
      </c>
    </row>
    <row r="7506" spans="16:18" x14ac:dyDescent="0.3">
      <c r="P7506" s="35">
        <v>57.06</v>
      </c>
      <c r="Q7506">
        <v>305</v>
      </c>
      <c r="R7506" s="34">
        <f t="shared" si="120"/>
        <v>0.85449163156101948</v>
      </c>
    </row>
    <row r="7507" spans="16:18" x14ac:dyDescent="0.3">
      <c r="P7507" s="35">
        <v>57.07</v>
      </c>
      <c r="Q7507">
        <v>305</v>
      </c>
      <c r="R7507" s="34">
        <f t="shared" si="120"/>
        <v>0.85460548787435209</v>
      </c>
    </row>
    <row r="7508" spans="16:18" x14ac:dyDescent="0.3">
      <c r="P7508" s="35">
        <v>57.12</v>
      </c>
      <c r="Q7508">
        <v>305</v>
      </c>
      <c r="R7508" s="34">
        <f t="shared" si="120"/>
        <v>0.85471934418768469</v>
      </c>
    </row>
    <row r="7509" spans="16:18" x14ac:dyDescent="0.3">
      <c r="P7509" s="35">
        <v>57.17</v>
      </c>
      <c r="Q7509">
        <v>305</v>
      </c>
      <c r="R7509" s="34">
        <f t="shared" si="120"/>
        <v>0.8548332005010173</v>
      </c>
    </row>
    <row r="7510" spans="16:18" x14ac:dyDescent="0.3">
      <c r="P7510" s="35">
        <v>57.18</v>
      </c>
      <c r="Q7510">
        <v>305</v>
      </c>
      <c r="R7510" s="34">
        <f t="shared" si="120"/>
        <v>0.8549470568143499</v>
      </c>
    </row>
    <row r="7511" spans="16:18" x14ac:dyDescent="0.3">
      <c r="P7511" s="35">
        <v>57.19</v>
      </c>
      <c r="Q7511">
        <v>305</v>
      </c>
      <c r="R7511" s="34">
        <f t="shared" si="120"/>
        <v>0.85506091312768251</v>
      </c>
    </row>
    <row r="7512" spans="16:18" x14ac:dyDescent="0.3">
      <c r="P7512" s="35">
        <v>57.2</v>
      </c>
      <c r="Q7512">
        <v>305</v>
      </c>
      <c r="R7512" s="34">
        <f t="shared" si="120"/>
        <v>0.85517476944101511</v>
      </c>
    </row>
    <row r="7513" spans="16:18" x14ac:dyDescent="0.3">
      <c r="P7513" s="35">
        <v>57.25</v>
      </c>
      <c r="Q7513">
        <v>305</v>
      </c>
      <c r="R7513" s="34">
        <f t="shared" si="120"/>
        <v>0.85528862575434772</v>
      </c>
    </row>
    <row r="7514" spans="16:18" x14ac:dyDescent="0.3">
      <c r="P7514" s="35">
        <v>57.26</v>
      </c>
      <c r="Q7514">
        <v>305</v>
      </c>
      <c r="R7514" s="34">
        <f t="shared" si="120"/>
        <v>0.85540248206768033</v>
      </c>
    </row>
    <row r="7515" spans="16:18" x14ac:dyDescent="0.3">
      <c r="P7515" s="35">
        <v>57.3</v>
      </c>
      <c r="Q7515">
        <v>305</v>
      </c>
      <c r="R7515" s="34">
        <f t="shared" si="120"/>
        <v>0.85551633838101293</v>
      </c>
    </row>
    <row r="7516" spans="16:18" x14ac:dyDescent="0.3">
      <c r="P7516" s="35">
        <v>57.31</v>
      </c>
      <c r="Q7516">
        <v>305</v>
      </c>
      <c r="R7516" s="34">
        <f t="shared" si="120"/>
        <v>0.85563019469434554</v>
      </c>
    </row>
    <row r="7517" spans="16:18" x14ac:dyDescent="0.3">
      <c r="P7517" s="35">
        <v>57.34</v>
      </c>
      <c r="Q7517">
        <v>305</v>
      </c>
      <c r="R7517" s="34">
        <f t="shared" si="120"/>
        <v>0.85574405100767814</v>
      </c>
    </row>
    <row r="7518" spans="16:18" x14ac:dyDescent="0.3">
      <c r="P7518" s="35">
        <v>57.34</v>
      </c>
      <c r="Q7518">
        <v>305</v>
      </c>
      <c r="R7518" s="34">
        <f t="shared" si="120"/>
        <v>0.85585790732101075</v>
      </c>
    </row>
    <row r="7519" spans="16:18" x14ac:dyDescent="0.3">
      <c r="P7519" s="35">
        <v>57.41</v>
      </c>
      <c r="Q7519">
        <v>305</v>
      </c>
      <c r="R7519" s="34">
        <f t="shared" si="120"/>
        <v>0.85597176363434335</v>
      </c>
    </row>
    <row r="7520" spans="16:18" x14ac:dyDescent="0.3">
      <c r="P7520" s="35">
        <v>57.43</v>
      </c>
      <c r="Q7520">
        <v>305</v>
      </c>
      <c r="R7520" s="34">
        <f t="shared" si="120"/>
        <v>0.85608561994767596</v>
      </c>
    </row>
    <row r="7521" spans="16:18" x14ac:dyDescent="0.3">
      <c r="P7521" s="35">
        <v>57.43</v>
      </c>
      <c r="Q7521">
        <v>305</v>
      </c>
      <c r="R7521" s="34">
        <f t="shared" si="120"/>
        <v>0.85619947626100856</v>
      </c>
    </row>
    <row r="7522" spans="16:18" x14ac:dyDescent="0.3">
      <c r="P7522" s="35">
        <v>57.44</v>
      </c>
      <c r="Q7522">
        <v>305</v>
      </c>
      <c r="R7522" s="34">
        <f t="shared" si="120"/>
        <v>0.85631333257434117</v>
      </c>
    </row>
    <row r="7523" spans="16:18" x14ac:dyDescent="0.3">
      <c r="P7523" s="35">
        <v>57.45</v>
      </c>
      <c r="Q7523">
        <v>305</v>
      </c>
      <c r="R7523" s="34">
        <f t="shared" si="120"/>
        <v>0.85642718888767377</v>
      </c>
    </row>
    <row r="7524" spans="16:18" x14ac:dyDescent="0.3">
      <c r="P7524" s="35">
        <v>57.45</v>
      </c>
      <c r="Q7524">
        <v>305</v>
      </c>
      <c r="R7524" s="34">
        <f t="shared" si="120"/>
        <v>0.85654104520100638</v>
      </c>
    </row>
    <row r="7525" spans="16:18" x14ac:dyDescent="0.3">
      <c r="P7525" s="35">
        <v>57.47</v>
      </c>
      <c r="Q7525">
        <v>305</v>
      </c>
      <c r="R7525" s="34">
        <f t="shared" si="120"/>
        <v>0.85665490151433898</v>
      </c>
    </row>
    <row r="7526" spans="16:18" x14ac:dyDescent="0.3">
      <c r="P7526" s="35">
        <v>57.48</v>
      </c>
      <c r="Q7526">
        <v>305</v>
      </c>
      <c r="R7526" s="34">
        <f t="shared" si="120"/>
        <v>0.85676875782767159</v>
      </c>
    </row>
    <row r="7527" spans="16:18" x14ac:dyDescent="0.3">
      <c r="P7527" s="35">
        <v>57.56</v>
      </c>
      <c r="Q7527">
        <v>305</v>
      </c>
      <c r="R7527" s="34">
        <f t="shared" si="120"/>
        <v>0.8568826141410042</v>
      </c>
    </row>
    <row r="7528" spans="16:18" x14ac:dyDescent="0.3">
      <c r="P7528" s="35">
        <v>57.57</v>
      </c>
      <c r="Q7528">
        <v>305</v>
      </c>
      <c r="R7528" s="34">
        <f t="shared" si="120"/>
        <v>0.8569964704543368</v>
      </c>
    </row>
    <row r="7529" spans="16:18" x14ac:dyDescent="0.3">
      <c r="P7529" s="35">
        <v>57.57</v>
      </c>
      <c r="Q7529">
        <v>305</v>
      </c>
      <c r="R7529" s="34">
        <f t="shared" si="120"/>
        <v>0.85711032676766941</v>
      </c>
    </row>
    <row r="7530" spans="16:18" x14ac:dyDescent="0.3">
      <c r="P7530" s="35">
        <v>57.58</v>
      </c>
      <c r="Q7530">
        <v>305</v>
      </c>
      <c r="R7530" s="34">
        <f t="shared" si="120"/>
        <v>0.85722418308100201</v>
      </c>
    </row>
    <row r="7531" spans="16:18" x14ac:dyDescent="0.3">
      <c r="P7531" s="35">
        <v>57.59</v>
      </c>
      <c r="Q7531">
        <v>305</v>
      </c>
      <c r="R7531" s="34">
        <f t="shared" si="120"/>
        <v>0.85733803939433462</v>
      </c>
    </row>
    <row r="7532" spans="16:18" x14ac:dyDescent="0.3">
      <c r="P7532" s="35">
        <v>57.62</v>
      </c>
      <c r="Q7532">
        <v>305</v>
      </c>
      <c r="R7532" s="34">
        <f t="shared" si="120"/>
        <v>0.85745189570766722</v>
      </c>
    </row>
    <row r="7533" spans="16:18" x14ac:dyDescent="0.3">
      <c r="P7533" s="35">
        <v>57.64</v>
      </c>
      <c r="Q7533">
        <v>305</v>
      </c>
      <c r="R7533" s="34">
        <f t="shared" si="120"/>
        <v>0.85756575202099983</v>
      </c>
    </row>
    <row r="7534" spans="16:18" x14ac:dyDescent="0.3">
      <c r="P7534" s="35">
        <v>57.66</v>
      </c>
      <c r="Q7534">
        <v>305</v>
      </c>
      <c r="R7534" s="34">
        <f t="shared" si="120"/>
        <v>0.85767960833433243</v>
      </c>
    </row>
    <row r="7535" spans="16:18" x14ac:dyDescent="0.3">
      <c r="P7535" s="35">
        <v>57.68</v>
      </c>
      <c r="Q7535">
        <v>305</v>
      </c>
      <c r="R7535" s="34">
        <f t="shared" si="120"/>
        <v>0.85779346464766504</v>
      </c>
    </row>
    <row r="7536" spans="16:18" x14ac:dyDescent="0.3">
      <c r="P7536" s="35">
        <v>57.69</v>
      </c>
      <c r="Q7536">
        <v>305</v>
      </c>
      <c r="R7536" s="34">
        <f t="shared" si="120"/>
        <v>0.85790732096099764</v>
      </c>
    </row>
    <row r="7537" spans="16:18" x14ac:dyDescent="0.3">
      <c r="P7537" s="35">
        <v>57.7</v>
      </c>
      <c r="Q7537">
        <v>305</v>
      </c>
      <c r="R7537" s="34">
        <f t="shared" si="120"/>
        <v>0.85802117727433025</v>
      </c>
    </row>
    <row r="7538" spans="16:18" x14ac:dyDescent="0.3">
      <c r="P7538" s="35">
        <v>57.74</v>
      </c>
      <c r="Q7538">
        <v>305</v>
      </c>
      <c r="R7538" s="34">
        <f t="shared" si="120"/>
        <v>0.85813503358766285</v>
      </c>
    </row>
    <row r="7539" spans="16:18" x14ac:dyDescent="0.3">
      <c r="P7539" s="35">
        <v>57.8</v>
      </c>
      <c r="Q7539">
        <v>305</v>
      </c>
      <c r="R7539" s="34">
        <f t="shared" si="120"/>
        <v>0.85824888990099546</v>
      </c>
    </row>
    <row r="7540" spans="16:18" x14ac:dyDescent="0.3">
      <c r="P7540" s="35">
        <v>57.81</v>
      </c>
      <c r="Q7540">
        <v>305</v>
      </c>
      <c r="R7540" s="34">
        <f t="shared" si="120"/>
        <v>0.85836274621432807</v>
      </c>
    </row>
    <row r="7541" spans="16:18" x14ac:dyDescent="0.3">
      <c r="P7541" s="35">
        <v>57.84</v>
      </c>
      <c r="Q7541">
        <v>305</v>
      </c>
      <c r="R7541" s="34">
        <f t="shared" si="120"/>
        <v>0.85847660252766067</v>
      </c>
    </row>
    <row r="7542" spans="16:18" x14ac:dyDescent="0.3">
      <c r="P7542" s="35">
        <v>57.98</v>
      </c>
      <c r="Q7542">
        <v>305</v>
      </c>
      <c r="R7542" s="34">
        <f t="shared" si="120"/>
        <v>0.85859045884099328</v>
      </c>
    </row>
    <row r="7543" spans="16:18" x14ac:dyDescent="0.3">
      <c r="P7543" s="35">
        <v>58</v>
      </c>
      <c r="Q7543">
        <v>305</v>
      </c>
      <c r="R7543" s="34">
        <f t="shared" si="120"/>
        <v>0.85870431515432588</v>
      </c>
    </row>
    <row r="7544" spans="16:18" x14ac:dyDescent="0.3">
      <c r="P7544" s="35">
        <v>58.01</v>
      </c>
      <c r="Q7544">
        <v>305</v>
      </c>
      <c r="R7544" s="34">
        <f t="shared" si="120"/>
        <v>0.85881817146765849</v>
      </c>
    </row>
    <row r="7545" spans="16:18" x14ac:dyDescent="0.3">
      <c r="P7545" s="35">
        <v>58.02</v>
      </c>
      <c r="Q7545">
        <v>305</v>
      </c>
      <c r="R7545" s="34">
        <f t="shared" si="120"/>
        <v>0.85893202778099109</v>
      </c>
    </row>
    <row r="7546" spans="16:18" x14ac:dyDescent="0.3">
      <c r="P7546" s="35">
        <v>58.1</v>
      </c>
      <c r="Q7546">
        <v>305</v>
      </c>
      <c r="R7546" s="34">
        <f t="shared" si="120"/>
        <v>0.8590458840943237</v>
      </c>
    </row>
    <row r="7547" spans="16:18" x14ac:dyDescent="0.3">
      <c r="P7547" s="35">
        <v>58.15</v>
      </c>
      <c r="Q7547">
        <v>305</v>
      </c>
      <c r="R7547" s="34">
        <f t="shared" si="120"/>
        <v>0.8591597404076563</v>
      </c>
    </row>
    <row r="7548" spans="16:18" x14ac:dyDescent="0.3">
      <c r="P7548" s="35">
        <v>58.16</v>
      </c>
      <c r="Q7548">
        <v>305</v>
      </c>
      <c r="R7548" s="34">
        <f t="shared" si="120"/>
        <v>0.85927359672098891</v>
      </c>
    </row>
    <row r="7549" spans="16:18" x14ac:dyDescent="0.3">
      <c r="P7549" s="35">
        <v>58.17</v>
      </c>
      <c r="Q7549">
        <v>305</v>
      </c>
      <c r="R7549" s="34">
        <f t="shared" si="120"/>
        <v>0.85938745303432151</v>
      </c>
    </row>
    <row r="7550" spans="16:18" x14ac:dyDescent="0.3">
      <c r="P7550" s="35">
        <v>58.18</v>
      </c>
      <c r="Q7550">
        <v>305</v>
      </c>
      <c r="R7550" s="34">
        <f t="shared" si="120"/>
        <v>0.85950130934765412</v>
      </c>
    </row>
    <row r="7551" spans="16:18" x14ac:dyDescent="0.3">
      <c r="P7551" s="35">
        <v>58.22</v>
      </c>
      <c r="Q7551">
        <v>305</v>
      </c>
      <c r="R7551" s="34">
        <f t="shared" si="120"/>
        <v>0.85961516566098672</v>
      </c>
    </row>
    <row r="7552" spans="16:18" x14ac:dyDescent="0.3">
      <c r="P7552" s="35">
        <v>58.25</v>
      </c>
      <c r="Q7552">
        <v>305</v>
      </c>
      <c r="R7552" s="34">
        <f t="shared" si="120"/>
        <v>0.85972902197431933</v>
      </c>
    </row>
    <row r="7553" spans="16:18" x14ac:dyDescent="0.3">
      <c r="P7553" s="35">
        <v>58.25</v>
      </c>
      <c r="Q7553">
        <v>305</v>
      </c>
      <c r="R7553" s="34">
        <f t="shared" si="120"/>
        <v>0.85984287828765193</v>
      </c>
    </row>
    <row r="7554" spans="16:18" x14ac:dyDescent="0.3">
      <c r="P7554" s="35">
        <v>58.28</v>
      </c>
      <c r="Q7554">
        <v>305</v>
      </c>
      <c r="R7554" s="34">
        <f t="shared" si="120"/>
        <v>0.85995673460098454</v>
      </c>
    </row>
    <row r="7555" spans="16:18" x14ac:dyDescent="0.3">
      <c r="P7555" s="35">
        <v>58.34</v>
      </c>
      <c r="Q7555">
        <v>305</v>
      </c>
      <c r="R7555" s="34">
        <f t="shared" si="120"/>
        <v>0.86007059091431715</v>
      </c>
    </row>
    <row r="7556" spans="16:18" x14ac:dyDescent="0.3">
      <c r="P7556" s="35">
        <v>58.36</v>
      </c>
      <c r="Q7556">
        <v>305</v>
      </c>
      <c r="R7556" s="34">
        <f t="shared" ref="R7556:R7619" si="121">R7555+R$2</f>
        <v>0.86018444722764975</v>
      </c>
    </row>
    <row r="7557" spans="16:18" x14ac:dyDescent="0.3">
      <c r="P7557" s="35">
        <v>58.4</v>
      </c>
      <c r="Q7557">
        <v>305</v>
      </c>
      <c r="R7557" s="34">
        <f t="shared" si="121"/>
        <v>0.86029830354098236</v>
      </c>
    </row>
    <row r="7558" spans="16:18" x14ac:dyDescent="0.3">
      <c r="P7558" s="35">
        <v>58.48</v>
      </c>
      <c r="Q7558">
        <v>305</v>
      </c>
      <c r="R7558" s="34">
        <f t="shared" si="121"/>
        <v>0.86041215985431496</v>
      </c>
    </row>
    <row r="7559" spans="16:18" x14ac:dyDescent="0.3">
      <c r="P7559" s="35">
        <v>58.49</v>
      </c>
      <c r="Q7559">
        <v>305</v>
      </c>
      <c r="R7559" s="34">
        <f t="shared" si="121"/>
        <v>0.86052601616764757</v>
      </c>
    </row>
    <row r="7560" spans="16:18" x14ac:dyDescent="0.3">
      <c r="P7560" s="35">
        <v>58.53</v>
      </c>
      <c r="Q7560">
        <v>305</v>
      </c>
      <c r="R7560" s="34">
        <f t="shared" si="121"/>
        <v>0.86063987248098017</v>
      </c>
    </row>
    <row r="7561" spans="16:18" x14ac:dyDescent="0.3">
      <c r="P7561" s="35">
        <v>58.54</v>
      </c>
      <c r="Q7561">
        <v>305</v>
      </c>
      <c r="R7561" s="34">
        <f t="shared" si="121"/>
        <v>0.86075372879431278</v>
      </c>
    </row>
    <row r="7562" spans="16:18" x14ac:dyDescent="0.3">
      <c r="P7562" s="35">
        <v>58.55</v>
      </c>
      <c r="Q7562">
        <v>305</v>
      </c>
      <c r="R7562" s="34">
        <f t="shared" si="121"/>
        <v>0.86086758510764538</v>
      </c>
    </row>
    <row r="7563" spans="16:18" x14ac:dyDescent="0.3">
      <c r="P7563" s="35">
        <v>58.56</v>
      </c>
      <c r="Q7563">
        <v>305</v>
      </c>
      <c r="R7563" s="34">
        <f t="shared" si="121"/>
        <v>0.86098144142097799</v>
      </c>
    </row>
    <row r="7564" spans="16:18" x14ac:dyDescent="0.3">
      <c r="P7564" s="35">
        <v>58.6</v>
      </c>
      <c r="Q7564">
        <v>305</v>
      </c>
      <c r="R7564" s="34">
        <f t="shared" si="121"/>
        <v>0.86109529773431059</v>
      </c>
    </row>
    <row r="7565" spans="16:18" x14ac:dyDescent="0.3">
      <c r="P7565" s="35">
        <v>58.68</v>
      </c>
      <c r="Q7565">
        <v>305</v>
      </c>
      <c r="R7565" s="34">
        <f t="shared" si="121"/>
        <v>0.8612091540476432</v>
      </c>
    </row>
    <row r="7566" spans="16:18" x14ac:dyDescent="0.3">
      <c r="P7566" s="35">
        <v>58.74</v>
      </c>
      <c r="Q7566">
        <v>305</v>
      </c>
      <c r="R7566" s="34">
        <f t="shared" si="121"/>
        <v>0.8613230103609758</v>
      </c>
    </row>
    <row r="7567" spans="16:18" x14ac:dyDescent="0.3">
      <c r="P7567" s="35">
        <v>58.75</v>
      </c>
      <c r="Q7567">
        <v>305</v>
      </c>
      <c r="R7567" s="34">
        <f t="shared" si="121"/>
        <v>0.86143686667430841</v>
      </c>
    </row>
    <row r="7568" spans="16:18" x14ac:dyDescent="0.3">
      <c r="P7568" s="35">
        <v>58.76</v>
      </c>
      <c r="Q7568">
        <v>305</v>
      </c>
      <c r="R7568" s="34">
        <f t="shared" si="121"/>
        <v>0.86155072298764102</v>
      </c>
    </row>
    <row r="7569" spans="16:18" x14ac:dyDescent="0.3">
      <c r="P7569" s="35">
        <v>58.8</v>
      </c>
      <c r="Q7569">
        <v>305</v>
      </c>
      <c r="R7569" s="34">
        <f t="shared" si="121"/>
        <v>0.86166457930097362</v>
      </c>
    </row>
    <row r="7570" spans="16:18" x14ac:dyDescent="0.3">
      <c r="P7570" s="35">
        <v>58.86</v>
      </c>
      <c r="Q7570">
        <v>305</v>
      </c>
      <c r="R7570" s="34">
        <f t="shared" si="121"/>
        <v>0.86177843561430623</v>
      </c>
    </row>
    <row r="7571" spans="16:18" x14ac:dyDescent="0.3">
      <c r="P7571" s="35">
        <v>58.88</v>
      </c>
      <c r="Q7571">
        <v>305</v>
      </c>
      <c r="R7571" s="34">
        <f t="shared" si="121"/>
        <v>0.86189229192763883</v>
      </c>
    </row>
    <row r="7572" spans="16:18" x14ac:dyDescent="0.3">
      <c r="P7572" s="35">
        <v>58.88</v>
      </c>
      <c r="Q7572">
        <v>305</v>
      </c>
      <c r="R7572" s="34">
        <f t="shared" si="121"/>
        <v>0.86200614824097144</v>
      </c>
    </row>
    <row r="7573" spans="16:18" x14ac:dyDescent="0.3">
      <c r="P7573" s="35">
        <v>58.89</v>
      </c>
      <c r="Q7573">
        <v>305</v>
      </c>
      <c r="R7573" s="34">
        <f t="shared" si="121"/>
        <v>0.86212000455430404</v>
      </c>
    </row>
    <row r="7574" spans="16:18" x14ac:dyDescent="0.3">
      <c r="P7574" s="35">
        <v>58.96</v>
      </c>
      <c r="Q7574">
        <v>305</v>
      </c>
      <c r="R7574" s="34">
        <f t="shared" si="121"/>
        <v>0.86223386086763665</v>
      </c>
    </row>
    <row r="7575" spans="16:18" x14ac:dyDescent="0.3">
      <c r="P7575" s="35">
        <v>58.97</v>
      </c>
      <c r="Q7575">
        <v>305</v>
      </c>
      <c r="R7575" s="34">
        <f t="shared" si="121"/>
        <v>0.86234771718096925</v>
      </c>
    </row>
    <row r="7576" spans="16:18" x14ac:dyDescent="0.3">
      <c r="P7576" s="35">
        <v>59.06</v>
      </c>
      <c r="Q7576">
        <v>305</v>
      </c>
      <c r="R7576" s="34">
        <f t="shared" si="121"/>
        <v>0.86246157349430186</v>
      </c>
    </row>
    <row r="7577" spans="16:18" x14ac:dyDescent="0.3">
      <c r="P7577" s="35">
        <v>59.08</v>
      </c>
      <c r="Q7577">
        <v>305</v>
      </c>
      <c r="R7577" s="34">
        <f t="shared" si="121"/>
        <v>0.86257542980763446</v>
      </c>
    </row>
    <row r="7578" spans="16:18" x14ac:dyDescent="0.3">
      <c r="P7578" s="35">
        <v>59.08</v>
      </c>
      <c r="Q7578">
        <v>305</v>
      </c>
      <c r="R7578" s="34">
        <f t="shared" si="121"/>
        <v>0.86268928612096707</v>
      </c>
    </row>
    <row r="7579" spans="16:18" x14ac:dyDescent="0.3">
      <c r="P7579" s="35">
        <v>59.09</v>
      </c>
      <c r="Q7579">
        <v>305</v>
      </c>
      <c r="R7579" s="34">
        <f t="shared" si="121"/>
        <v>0.86280314243429967</v>
      </c>
    </row>
    <row r="7580" spans="16:18" x14ac:dyDescent="0.3">
      <c r="P7580" s="35">
        <v>59.11</v>
      </c>
      <c r="Q7580">
        <v>305</v>
      </c>
      <c r="R7580" s="34">
        <f t="shared" si="121"/>
        <v>0.86291699874763228</v>
      </c>
    </row>
    <row r="7581" spans="16:18" x14ac:dyDescent="0.3">
      <c r="P7581" s="35">
        <v>59.13</v>
      </c>
      <c r="Q7581">
        <v>305</v>
      </c>
      <c r="R7581" s="34">
        <f t="shared" si="121"/>
        <v>0.86303085506096489</v>
      </c>
    </row>
    <row r="7582" spans="16:18" x14ac:dyDescent="0.3">
      <c r="P7582" s="35">
        <v>59.18</v>
      </c>
      <c r="Q7582">
        <v>305</v>
      </c>
      <c r="R7582" s="34">
        <f t="shared" si="121"/>
        <v>0.86314471137429749</v>
      </c>
    </row>
    <row r="7583" spans="16:18" x14ac:dyDescent="0.3">
      <c r="P7583" s="35">
        <v>59.18</v>
      </c>
      <c r="Q7583">
        <v>305</v>
      </c>
      <c r="R7583" s="34">
        <f t="shared" si="121"/>
        <v>0.8632585676876301</v>
      </c>
    </row>
    <row r="7584" spans="16:18" x14ac:dyDescent="0.3">
      <c r="P7584" s="35">
        <v>59.18</v>
      </c>
      <c r="Q7584">
        <v>305</v>
      </c>
      <c r="R7584" s="34">
        <f t="shared" si="121"/>
        <v>0.8633724240009627</v>
      </c>
    </row>
    <row r="7585" spans="16:18" x14ac:dyDescent="0.3">
      <c r="P7585" s="35">
        <v>59.21</v>
      </c>
      <c r="Q7585">
        <v>305</v>
      </c>
      <c r="R7585" s="34">
        <f t="shared" si="121"/>
        <v>0.86348628031429531</v>
      </c>
    </row>
    <row r="7586" spans="16:18" x14ac:dyDescent="0.3">
      <c r="P7586" s="35">
        <v>59.23</v>
      </c>
      <c r="Q7586">
        <v>305</v>
      </c>
      <c r="R7586" s="34">
        <f t="shared" si="121"/>
        <v>0.86360013662762791</v>
      </c>
    </row>
    <row r="7587" spans="16:18" x14ac:dyDescent="0.3">
      <c r="P7587" s="35">
        <v>59.23</v>
      </c>
      <c r="Q7587">
        <v>305</v>
      </c>
      <c r="R7587" s="34">
        <f t="shared" si="121"/>
        <v>0.86371399294096052</v>
      </c>
    </row>
    <row r="7588" spans="16:18" x14ac:dyDescent="0.3">
      <c r="P7588" s="35">
        <v>59.25</v>
      </c>
      <c r="Q7588">
        <v>305</v>
      </c>
      <c r="R7588" s="34">
        <f t="shared" si="121"/>
        <v>0.86382784925429312</v>
      </c>
    </row>
    <row r="7589" spans="16:18" x14ac:dyDescent="0.3">
      <c r="P7589" s="35">
        <v>59.27</v>
      </c>
      <c r="Q7589">
        <v>305</v>
      </c>
      <c r="R7589" s="34">
        <f t="shared" si="121"/>
        <v>0.86394170556762573</v>
      </c>
    </row>
    <row r="7590" spans="16:18" x14ac:dyDescent="0.3">
      <c r="P7590" s="35">
        <v>59.33</v>
      </c>
      <c r="Q7590">
        <v>305</v>
      </c>
      <c r="R7590" s="34">
        <f t="shared" si="121"/>
        <v>0.86405556188095833</v>
      </c>
    </row>
    <row r="7591" spans="16:18" x14ac:dyDescent="0.3">
      <c r="P7591" s="35">
        <v>59.33</v>
      </c>
      <c r="Q7591">
        <v>305</v>
      </c>
      <c r="R7591" s="34">
        <f t="shared" si="121"/>
        <v>0.86416941819429094</v>
      </c>
    </row>
    <row r="7592" spans="16:18" x14ac:dyDescent="0.3">
      <c r="P7592" s="35">
        <v>59.42</v>
      </c>
      <c r="Q7592">
        <v>305</v>
      </c>
      <c r="R7592" s="34">
        <f t="shared" si="121"/>
        <v>0.86428327450762354</v>
      </c>
    </row>
    <row r="7593" spans="16:18" x14ac:dyDescent="0.3">
      <c r="P7593" s="35">
        <v>59.48</v>
      </c>
      <c r="Q7593">
        <v>305</v>
      </c>
      <c r="R7593" s="34">
        <f t="shared" si="121"/>
        <v>0.86439713082095615</v>
      </c>
    </row>
    <row r="7594" spans="16:18" x14ac:dyDescent="0.3">
      <c r="P7594" s="35">
        <v>59.51</v>
      </c>
      <c r="Q7594">
        <v>305</v>
      </c>
      <c r="R7594" s="34">
        <f t="shared" si="121"/>
        <v>0.86451098713428876</v>
      </c>
    </row>
    <row r="7595" spans="16:18" x14ac:dyDescent="0.3">
      <c r="P7595" s="35">
        <v>59.58</v>
      </c>
      <c r="Q7595">
        <v>305</v>
      </c>
      <c r="R7595" s="34">
        <f t="shared" si="121"/>
        <v>0.86462484344762136</v>
      </c>
    </row>
    <row r="7596" spans="16:18" x14ac:dyDescent="0.3">
      <c r="P7596" s="35">
        <v>59.58</v>
      </c>
      <c r="Q7596">
        <v>305</v>
      </c>
      <c r="R7596" s="34">
        <f t="shared" si="121"/>
        <v>0.86473869976095397</v>
      </c>
    </row>
    <row r="7597" spans="16:18" x14ac:dyDescent="0.3">
      <c r="P7597" s="35">
        <v>59.58</v>
      </c>
      <c r="Q7597">
        <v>305</v>
      </c>
      <c r="R7597" s="34">
        <f t="shared" si="121"/>
        <v>0.86485255607428657</v>
      </c>
    </row>
    <row r="7598" spans="16:18" x14ac:dyDescent="0.3">
      <c r="P7598" s="35">
        <v>59.61</v>
      </c>
      <c r="Q7598">
        <v>305</v>
      </c>
      <c r="R7598" s="34">
        <f t="shared" si="121"/>
        <v>0.86496641238761918</v>
      </c>
    </row>
    <row r="7599" spans="16:18" x14ac:dyDescent="0.3">
      <c r="P7599" s="35">
        <v>59.62</v>
      </c>
      <c r="Q7599">
        <v>305</v>
      </c>
      <c r="R7599" s="34">
        <f t="shared" si="121"/>
        <v>0.86508026870095178</v>
      </c>
    </row>
    <row r="7600" spans="16:18" x14ac:dyDescent="0.3">
      <c r="P7600" s="35">
        <v>59.63</v>
      </c>
      <c r="Q7600">
        <v>305</v>
      </c>
      <c r="R7600" s="34">
        <f t="shared" si="121"/>
        <v>0.86519412501428439</v>
      </c>
    </row>
    <row r="7601" spans="16:18" x14ac:dyDescent="0.3">
      <c r="P7601" s="35">
        <v>59.64</v>
      </c>
      <c r="Q7601">
        <v>305</v>
      </c>
      <c r="R7601" s="34">
        <f t="shared" si="121"/>
        <v>0.86530798132761699</v>
      </c>
    </row>
    <row r="7602" spans="16:18" x14ac:dyDescent="0.3">
      <c r="P7602" s="35">
        <v>59.7</v>
      </c>
      <c r="Q7602">
        <v>305</v>
      </c>
      <c r="R7602" s="34">
        <f t="shared" si="121"/>
        <v>0.8654218376409496</v>
      </c>
    </row>
    <row r="7603" spans="16:18" x14ac:dyDescent="0.3">
      <c r="P7603" s="35">
        <v>59.71</v>
      </c>
      <c r="Q7603">
        <v>305</v>
      </c>
      <c r="R7603" s="34">
        <f t="shared" si="121"/>
        <v>0.8655356939542822</v>
      </c>
    </row>
    <row r="7604" spans="16:18" x14ac:dyDescent="0.3">
      <c r="P7604" s="35">
        <v>59.75</v>
      </c>
      <c r="Q7604">
        <v>305</v>
      </c>
      <c r="R7604" s="34">
        <f t="shared" si="121"/>
        <v>0.86564955026761481</v>
      </c>
    </row>
    <row r="7605" spans="16:18" x14ac:dyDescent="0.3">
      <c r="P7605" s="35">
        <v>59.75</v>
      </c>
      <c r="Q7605">
        <v>305</v>
      </c>
      <c r="R7605" s="34">
        <f t="shared" si="121"/>
        <v>0.86576340658094741</v>
      </c>
    </row>
    <row r="7606" spans="16:18" x14ac:dyDescent="0.3">
      <c r="P7606" s="35">
        <v>59.76</v>
      </c>
      <c r="Q7606">
        <v>305</v>
      </c>
      <c r="R7606" s="34">
        <f t="shared" si="121"/>
        <v>0.86587726289428002</v>
      </c>
    </row>
    <row r="7607" spans="16:18" x14ac:dyDescent="0.3">
      <c r="P7607" s="35">
        <v>59.77</v>
      </c>
      <c r="Q7607">
        <v>305</v>
      </c>
      <c r="R7607" s="34">
        <f t="shared" si="121"/>
        <v>0.86599111920761263</v>
      </c>
    </row>
    <row r="7608" spans="16:18" x14ac:dyDescent="0.3">
      <c r="P7608" s="35">
        <v>59.77</v>
      </c>
      <c r="Q7608">
        <v>305</v>
      </c>
      <c r="R7608" s="34">
        <f t="shared" si="121"/>
        <v>0.86610497552094523</v>
      </c>
    </row>
    <row r="7609" spans="16:18" x14ac:dyDescent="0.3">
      <c r="P7609" s="35">
        <v>59.77</v>
      </c>
      <c r="Q7609">
        <v>305</v>
      </c>
      <c r="R7609" s="34">
        <f t="shared" si="121"/>
        <v>0.86621883183427784</v>
      </c>
    </row>
    <row r="7610" spans="16:18" x14ac:dyDescent="0.3">
      <c r="P7610" s="35">
        <v>59.78</v>
      </c>
      <c r="Q7610">
        <v>305</v>
      </c>
      <c r="R7610" s="34">
        <f t="shared" si="121"/>
        <v>0.86633268814761044</v>
      </c>
    </row>
    <row r="7611" spans="16:18" x14ac:dyDescent="0.3">
      <c r="P7611" s="35">
        <v>59.85</v>
      </c>
      <c r="Q7611">
        <v>305</v>
      </c>
      <c r="R7611" s="34">
        <f t="shared" si="121"/>
        <v>0.86644654446094305</v>
      </c>
    </row>
    <row r="7612" spans="16:18" x14ac:dyDescent="0.3">
      <c r="P7612" s="35">
        <v>59.88</v>
      </c>
      <c r="Q7612">
        <v>305</v>
      </c>
      <c r="R7612" s="34">
        <f t="shared" si="121"/>
        <v>0.86656040077427565</v>
      </c>
    </row>
    <row r="7613" spans="16:18" x14ac:dyDescent="0.3">
      <c r="P7613" s="35">
        <v>59.91</v>
      </c>
      <c r="Q7613">
        <v>305</v>
      </c>
      <c r="R7613" s="34">
        <f t="shared" si="121"/>
        <v>0.86667425708760826</v>
      </c>
    </row>
    <row r="7614" spans="16:18" x14ac:dyDescent="0.3">
      <c r="P7614" s="35">
        <v>59.93</v>
      </c>
      <c r="Q7614">
        <v>305</v>
      </c>
      <c r="R7614" s="34">
        <f t="shared" si="121"/>
        <v>0.86678811340094086</v>
      </c>
    </row>
    <row r="7615" spans="16:18" x14ac:dyDescent="0.3">
      <c r="P7615" s="35">
        <v>59.94</v>
      </c>
      <c r="Q7615">
        <v>305</v>
      </c>
      <c r="R7615" s="34">
        <f t="shared" si="121"/>
        <v>0.86690196971427347</v>
      </c>
    </row>
    <row r="7616" spans="16:18" x14ac:dyDescent="0.3">
      <c r="P7616" s="35">
        <v>59.94</v>
      </c>
      <c r="Q7616">
        <v>305</v>
      </c>
      <c r="R7616" s="34">
        <f t="shared" si="121"/>
        <v>0.86701582602760607</v>
      </c>
    </row>
    <row r="7617" spans="16:18" x14ac:dyDescent="0.3">
      <c r="P7617" s="35">
        <v>59.95</v>
      </c>
      <c r="Q7617">
        <v>305</v>
      </c>
      <c r="R7617" s="34">
        <f t="shared" si="121"/>
        <v>0.86712968234093868</v>
      </c>
    </row>
    <row r="7618" spans="16:18" x14ac:dyDescent="0.3">
      <c r="P7618" s="35">
        <v>59.98</v>
      </c>
      <c r="Q7618">
        <v>305</v>
      </c>
      <c r="R7618" s="34">
        <f t="shared" si="121"/>
        <v>0.86724353865427128</v>
      </c>
    </row>
    <row r="7619" spans="16:18" x14ac:dyDescent="0.3">
      <c r="P7619" s="35">
        <v>60.02</v>
      </c>
      <c r="Q7619">
        <v>305</v>
      </c>
      <c r="R7619" s="34">
        <f t="shared" si="121"/>
        <v>0.86735739496760389</v>
      </c>
    </row>
    <row r="7620" spans="16:18" x14ac:dyDescent="0.3">
      <c r="P7620" s="35">
        <v>60.02</v>
      </c>
      <c r="Q7620">
        <v>305</v>
      </c>
      <c r="R7620" s="34">
        <f t="shared" ref="R7620:R7683" si="122">R7619+R$2</f>
        <v>0.8674712512809365</v>
      </c>
    </row>
    <row r="7621" spans="16:18" x14ac:dyDescent="0.3">
      <c r="P7621" s="35">
        <v>60.04</v>
      </c>
      <c r="Q7621">
        <v>305</v>
      </c>
      <c r="R7621" s="34">
        <f t="shared" si="122"/>
        <v>0.8675851075942691</v>
      </c>
    </row>
    <row r="7622" spans="16:18" x14ac:dyDescent="0.3">
      <c r="P7622" s="35">
        <v>60.06</v>
      </c>
      <c r="Q7622">
        <v>305</v>
      </c>
      <c r="R7622" s="34">
        <f t="shared" si="122"/>
        <v>0.86769896390760171</v>
      </c>
    </row>
    <row r="7623" spans="16:18" x14ac:dyDescent="0.3">
      <c r="P7623" s="35">
        <v>60.06</v>
      </c>
      <c r="Q7623">
        <v>305</v>
      </c>
      <c r="R7623" s="34">
        <f t="shared" si="122"/>
        <v>0.86781282022093431</v>
      </c>
    </row>
    <row r="7624" spans="16:18" x14ac:dyDescent="0.3">
      <c r="P7624" s="35">
        <v>60.07</v>
      </c>
      <c r="Q7624">
        <v>305</v>
      </c>
      <c r="R7624" s="34">
        <f t="shared" si="122"/>
        <v>0.86792667653426692</v>
      </c>
    </row>
    <row r="7625" spans="16:18" x14ac:dyDescent="0.3">
      <c r="P7625" s="35">
        <v>60.13</v>
      </c>
      <c r="Q7625">
        <v>305</v>
      </c>
      <c r="R7625" s="34">
        <f t="shared" si="122"/>
        <v>0.86804053284759952</v>
      </c>
    </row>
    <row r="7626" spans="16:18" x14ac:dyDescent="0.3">
      <c r="P7626" s="35">
        <v>60.15</v>
      </c>
      <c r="Q7626">
        <v>305</v>
      </c>
      <c r="R7626" s="34">
        <f t="shared" si="122"/>
        <v>0.86815438916093213</v>
      </c>
    </row>
    <row r="7627" spans="16:18" x14ac:dyDescent="0.3">
      <c r="P7627" s="35">
        <v>60.18</v>
      </c>
      <c r="Q7627">
        <v>305</v>
      </c>
      <c r="R7627" s="34">
        <f t="shared" si="122"/>
        <v>0.86826824547426473</v>
      </c>
    </row>
    <row r="7628" spans="16:18" x14ac:dyDescent="0.3">
      <c r="P7628" s="35">
        <v>60.22</v>
      </c>
      <c r="Q7628">
        <v>305</v>
      </c>
      <c r="R7628" s="34">
        <f t="shared" si="122"/>
        <v>0.86838210178759734</v>
      </c>
    </row>
    <row r="7629" spans="16:18" x14ac:dyDescent="0.3">
      <c r="P7629" s="35">
        <v>60.32</v>
      </c>
      <c r="Q7629">
        <v>305</v>
      </c>
      <c r="R7629" s="34">
        <f t="shared" si="122"/>
        <v>0.86849595810092994</v>
      </c>
    </row>
    <row r="7630" spans="16:18" x14ac:dyDescent="0.3">
      <c r="P7630" s="35">
        <v>60.34</v>
      </c>
      <c r="Q7630">
        <v>305</v>
      </c>
      <c r="R7630" s="34">
        <f t="shared" si="122"/>
        <v>0.86860981441426255</v>
      </c>
    </row>
    <row r="7631" spans="16:18" x14ac:dyDescent="0.3">
      <c r="P7631" s="35">
        <v>60.35</v>
      </c>
      <c r="Q7631">
        <v>305</v>
      </c>
      <c r="R7631" s="34">
        <f t="shared" si="122"/>
        <v>0.86872367072759515</v>
      </c>
    </row>
    <row r="7632" spans="16:18" x14ac:dyDescent="0.3">
      <c r="P7632" s="35">
        <v>60.35</v>
      </c>
      <c r="Q7632">
        <v>305</v>
      </c>
      <c r="R7632" s="34">
        <f t="shared" si="122"/>
        <v>0.86883752704092776</v>
      </c>
    </row>
    <row r="7633" spans="16:18" x14ac:dyDescent="0.3">
      <c r="P7633" s="35">
        <v>60.35</v>
      </c>
      <c r="Q7633">
        <v>305</v>
      </c>
      <c r="R7633" s="34">
        <f t="shared" si="122"/>
        <v>0.86895138335426036</v>
      </c>
    </row>
    <row r="7634" spans="16:18" x14ac:dyDescent="0.3">
      <c r="P7634" s="35">
        <v>60.37</v>
      </c>
      <c r="Q7634">
        <v>305</v>
      </c>
      <c r="R7634" s="34">
        <f t="shared" si="122"/>
        <v>0.86906523966759297</v>
      </c>
    </row>
    <row r="7635" spans="16:18" x14ac:dyDescent="0.3">
      <c r="P7635" s="35">
        <v>60.41</v>
      </c>
      <c r="Q7635">
        <v>305</v>
      </c>
      <c r="R7635" s="34">
        <f t="shared" si="122"/>
        <v>0.86917909598092558</v>
      </c>
    </row>
    <row r="7636" spans="16:18" x14ac:dyDescent="0.3">
      <c r="P7636" s="35">
        <v>60.41</v>
      </c>
      <c r="Q7636">
        <v>305</v>
      </c>
      <c r="R7636" s="34">
        <f t="shared" si="122"/>
        <v>0.86929295229425818</v>
      </c>
    </row>
    <row r="7637" spans="16:18" x14ac:dyDescent="0.3">
      <c r="P7637" s="35">
        <v>60.42</v>
      </c>
      <c r="Q7637">
        <v>305</v>
      </c>
      <c r="R7637" s="34">
        <f t="shared" si="122"/>
        <v>0.86940680860759079</v>
      </c>
    </row>
    <row r="7638" spans="16:18" x14ac:dyDescent="0.3">
      <c r="P7638" s="35">
        <v>60.45</v>
      </c>
      <c r="Q7638">
        <v>305</v>
      </c>
      <c r="R7638" s="34">
        <f t="shared" si="122"/>
        <v>0.86952066492092339</v>
      </c>
    </row>
    <row r="7639" spans="16:18" x14ac:dyDescent="0.3">
      <c r="P7639" s="35">
        <v>60.49</v>
      </c>
      <c r="Q7639">
        <v>305</v>
      </c>
      <c r="R7639" s="34">
        <f t="shared" si="122"/>
        <v>0.869634521234256</v>
      </c>
    </row>
    <row r="7640" spans="16:18" x14ac:dyDescent="0.3">
      <c r="P7640" s="35">
        <v>60.51</v>
      </c>
      <c r="Q7640">
        <v>305</v>
      </c>
      <c r="R7640" s="34">
        <f t="shared" si="122"/>
        <v>0.8697483775475886</v>
      </c>
    </row>
    <row r="7641" spans="16:18" x14ac:dyDescent="0.3">
      <c r="P7641" s="35">
        <v>60.55</v>
      </c>
      <c r="Q7641">
        <v>305</v>
      </c>
      <c r="R7641" s="34">
        <f t="shared" si="122"/>
        <v>0.86986223386092121</v>
      </c>
    </row>
    <row r="7642" spans="16:18" x14ac:dyDescent="0.3">
      <c r="P7642" s="35">
        <v>60.58</v>
      </c>
      <c r="Q7642">
        <v>305</v>
      </c>
      <c r="R7642" s="34">
        <f t="shared" si="122"/>
        <v>0.86997609017425381</v>
      </c>
    </row>
    <row r="7643" spans="16:18" x14ac:dyDescent="0.3">
      <c r="P7643" s="35">
        <v>60.59</v>
      </c>
      <c r="Q7643">
        <v>305</v>
      </c>
      <c r="R7643" s="34">
        <f t="shared" si="122"/>
        <v>0.87008994648758642</v>
      </c>
    </row>
    <row r="7644" spans="16:18" x14ac:dyDescent="0.3">
      <c r="P7644" s="35">
        <v>60.6</v>
      </c>
      <c r="Q7644">
        <v>305</v>
      </c>
      <c r="R7644" s="34">
        <f t="shared" si="122"/>
        <v>0.87020380280091902</v>
      </c>
    </row>
    <row r="7645" spans="16:18" x14ac:dyDescent="0.3">
      <c r="P7645" s="35">
        <v>60.61</v>
      </c>
      <c r="Q7645">
        <v>305</v>
      </c>
      <c r="R7645" s="34">
        <f t="shared" si="122"/>
        <v>0.87031765911425163</v>
      </c>
    </row>
    <row r="7646" spans="16:18" x14ac:dyDescent="0.3">
      <c r="P7646" s="35">
        <v>60.62</v>
      </c>
      <c r="Q7646">
        <v>305</v>
      </c>
      <c r="R7646" s="34">
        <f t="shared" si="122"/>
        <v>0.87043151542758423</v>
      </c>
    </row>
    <row r="7647" spans="16:18" x14ac:dyDescent="0.3">
      <c r="P7647" s="35">
        <v>60.62</v>
      </c>
      <c r="Q7647">
        <v>305</v>
      </c>
      <c r="R7647" s="34">
        <f t="shared" si="122"/>
        <v>0.87054537174091684</v>
      </c>
    </row>
    <row r="7648" spans="16:18" x14ac:dyDescent="0.3">
      <c r="P7648" s="35">
        <v>60.69</v>
      </c>
      <c r="Q7648">
        <v>305</v>
      </c>
      <c r="R7648" s="34">
        <f t="shared" si="122"/>
        <v>0.87065922805424945</v>
      </c>
    </row>
    <row r="7649" spans="16:18" x14ac:dyDescent="0.3">
      <c r="P7649" s="35">
        <v>60.7</v>
      </c>
      <c r="Q7649">
        <v>305</v>
      </c>
      <c r="R7649" s="34">
        <f t="shared" si="122"/>
        <v>0.87077308436758205</v>
      </c>
    </row>
    <row r="7650" spans="16:18" x14ac:dyDescent="0.3">
      <c r="P7650" s="35">
        <v>60.72</v>
      </c>
      <c r="Q7650">
        <v>305</v>
      </c>
      <c r="R7650" s="34">
        <f t="shared" si="122"/>
        <v>0.87088694068091466</v>
      </c>
    </row>
    <row r="7651" spans="16:18" x14ac:dyDescent="0.3">
      <c r="P7651" s="35">
        <v>60.73</v>
      </c>
      <c r="Q7651">
        <v>305</v>
      </c>
      <c r="R7651" s="34">
        <f t="shared" si="122"/>
        <v>0.87100079699424726</v>
      </c>
    </row>
    <row r="7652" spans="16:18" x14ac:dyDescent="0.3">
      <c r="P7652" s="35">
        <v>60.74</v>
      </c>
      <c r="Q7652">
        <v>305</v>
      </c>
      <c r="R7652" s="34">
        <f t="shared" si="122"/>
        <v>0.87111465330757987</v>
      </c>
    </row>
    <row r="7653" spans="16:18" x14ac:dyDescent="0.3">
      <c r="P7653" s="35">
        <v>60.82</v>
      </c>
      <c r="Q7653">
        <v>305</v>
      </c>
      <c r="R7653" s="34">
        <f t="shared" si="122"/>
        <v>0.87122850962091247</v>
      </c>
    </row>
    <row r="7654" spans="16:18" x14ac:dyDescent="0.3">
      <c r="P7654" s="35">
        <v>60.89</v>
      </c>
      <c r="Q7654">
        <v>305</v>
      </c>
      <c r="R7654" s="34">
        <f t="shared" si="122"/>
        <v>0.87134236593424508</v>
      </c>
    </row>
    <row r="7655" spans="16:18" x14ac:dyDescent="0.3">
      <c r="P7655" s="35">
        <v>60.9</v>
      </c>
      <c r="Q7655">
        <v>305</v>
      </c>
      <c r="R7655" s="34">
        <f t="shared" si="122"/>
        <v>0.87145622224757768</v>
      </c>
    </row>
    <row r="7656" spans="16:18" x14ac:dyDescent="0.3">
      <c r="P7656" s="35">
        <v>60.92</v>
      </c>
      <c r="Q7656">
        <v>305</v>
      </c>
      <c r="R7656" s="34">
        <f t="shared" si="122"/>
        <v>0.87157007856091029</v>
      </c>
    </row>
    <row r="7657" spans="16:18" x14ac:dyDescent="0.3">
      <c r="P7657" s="35">
        <v>60.94</v>
      </c>
      <c r="Q7657">
        <v>305</v>
      </c>
      <c r="R7657" s="34">
        <f t="shared" si="122"/>
        <v>0.87168393487424289</v>
      </c>
    </row>
    <row r="7658" spans="16:18" x14ac:dyDescent="0.3">
      <c r="P7658" s="35">
        <v>61.02</v>
      </c>
      <c r="Q7658">
        <v>305</v>
      </c>
      <c r="R7658" s="34">
        <f t="shared" si="122"/>
        <v>0.8717977911875755</v>
      </c>
    </row>
    <row r="7659" spans="16:18" x14ac:dyDescent="0.3">
      <c r="P7659" s="35">
        <v>61.03</v>
      </c>
      <c r="Q7659">
        <v>305</v>
      </c>
      <c r="R7659" s="34">
        <f t="shared" si="122"/>
        <v>0.8719116475009081</v>
      </c>
    </row>
    <row r="7660" spans="16:18" x14ac:dyDescent="0.3">
      <c r="P7660" s="35">
        <v>61.04</v>
      </c>
      <c r="Q7660">
        <v>305</v>
      </c>
      <c r="R7660" s="34">
        <f t="shared" si="122"/>
        <v>0.87202550381424071</v>
      </c>
    </row>
    <row r="7661" spans="16:18" x14ac:dyDescent="0.3">
      <c r="P7661" s="35">
        <v>61.05</v>
      </c>
      <c r="Q7661">
        <v>305</v>
      </c>
      <c r="R7661" s="34">
        <f t="shared" si="122"/>
        <v>0.87213936012757332</v>
      </c>
    </row>
    <row r="7662" spans="16:18" x14ac:dyDescent="0.3">
      <c r="P7662" s="35">
        <v>61.05</v>
      </c>
      <c r="Q7662">
        <v>305</v>
      </c>
      <c r="R7662" s="34">
        <f t="shared" si="122"/>
        <v>0.87225321644090592</v>
      </c>
    </row>
    <row r="7663" spans="16:18" x14ac:dyDescent="0.3">
      <c r="P7663" s="35">
        <v>61.06</v>
      </c>
      <c r="Q7663">
        <v>305</v>
      </c>
      <c r="R7663" s="34">
        <f t="shared" si="122"/>
        <v>0.87236707275423853</v>
      </c>
    </row>
    <row r="7664" spans="16:18" x14ac:dyDescent="0.3">
      <c r="P7664" s="35">
        <v>61.19</v>
      </c>
      <c r="Q7664">
        <v>305</v>
      </c>
      <c r="R7664" s="34">
        <f t="shared" si="122"/>
        <v>0.87248092906757113</v>
      </c>
    </row>
    <row r="7665" spans="16:18" x14ac:dyDescent="0.3">
      <c r="P7665" s="35">
        <v>61.23</v>
      </c>
      <c r="Q7665">
        <v>305</v>
      </c>
      <c r="R7665" s="34">
        <f t="shared" si="122"/>
        <v>0.87259478538090374</v>
      </c>
    </row>
    <row r="7666" spans="16:18" x14ac:dyDescent="0.3">
      <c r="P7666" s="35">
        <v>61.23</v>
      </c>
      <c r="Q7666">
        <v>305</v>
      </c>
      <c r="R7666" s="34">
        <f t="shared" si="122"/>
        <v>0.87270864169423634</v>
      </c>
    </row>
    <row r="7667" spans="16:18" x14ac:dyDescent="0.3">
      <c r="P7667" s="35">
        <v>61.27</v>
      </c>
      <c r="Q7667">
        <v>305</v>
      </c>
      <c r="R7667" s="34">
        <f t="shared" si="122"/>
        <v>0.87282249800756895</v>
      </c>
    </row>
    <row r="7668" spans="16:18" x14ac:dyDescent="0.3">
      <c r="P7668" s="35">
        <v>61.29</v>
      </c>
      <c r="Q7668">
        <v>305</v>
      </c>
      <c r="R7668" s="34">
        <f t="shared" si="122"/>
        <v>0.87293635432090155</v>
      </c>
    </row>
    <row r="7669" spans="16:18" x14ac:dyDescent="0.3">
      <c r="P7669" s="35">
        <v>61.32</v>
      </c>
      <c r="Q7669">
        <v>305</v>
      </c>
      <c r="R7669" s="34">
        <f t="shared" si="122"/>
        <v>0.87305021063423416</v>
      </c>
    </row>
    <row r="7670" spans="16:18" x14ac:dyDescent="0.3">
      <c r="P7670" s="35">
        <v>61.33</v>
      </c>
      <c r="Q7670">
        <v>305</v>
      </c>
      <c r="R7670" s="34">
        <f t="shared" si="122"/>
        <v>0.87316406694756676</v>
      </c>
    </row>
    <row r="7671" spans="16:18" x14ac:dyDescent="0.3">
      <c r="P7671" s="35">
        <v>61.4</v>
      </c>
      <c r="Q7671">
        <v>305</v>
      </c>
      <c r="R7671" s="34">
        <f t="shared" si="122"/>
        <v>0.87327792326089937</v>
      </c>
    </row>
    <row r="7672" spans="16:18" x14ac:dyDescent="0.3">
      <c r="P7672" s="35">
        <v>61.44</v>
      </c>
      <c r="Q7672">
        <v>305</v>
      </c>
      <c r="R7672" s="34">
        <f t="shared" si="122"/>
        <v>0.87339177957423197</v>
      </c>
    </row>
    <row r="7673" spans="16:18" x14ac:dyDescent="0.3">
      <c r="P7673" s="35">
        <v>61.45</v>
      </c>
      <c r="Q7673">
        <v>305</v>
      </c>
      <c r="R7673" s="34">
        <f t="shared" si="122"/>
        <v>0.87350563588756458</v>
      </c>
    </row>
    <row r="7674" spans="16:18" x14ac:dyDescent="0.3">
      <c r="P7674" s="35">
        <v>61.47</v>
      </c>
      <c r="Q7674">
        <v>305</v>
      </c>
      <c r="R7674" s="34">
        <f t="shared" si="122"/>
        <v>0.87361949220089719</v>
      </c>
    </row>
    <row r="7675" spans="16:18" x14ac:dyDescent="0.3">
      <c r="P7675" s="35">
        <v>61.53</v>
      </c>
      <c r="Q7675">
        <v>305</v>
      </c>
      <c r="R7675" s="34">
        <f t="shared" si="122"/>
        <v>0.87373334851422979</v>
      </c>
    </row>
    <row r="7676" spans="16:18" x14ac:dyDescent="0.3">
      <c r="P7676" s="35">
        <v>61.55</v>
      </c>
      <c r="Q7676">
        <v>305</v>
      </c>
      <c r="R7676" s="34">
        <f t="shared" si="122"/>
        <v>0.8738472048275624</v>
      </c>
    </row>
    <row r="7677" spans="16:18" x14ac:dyDescent="0.3">
      <c r="P7677" s="35">
        <v>61.56</v>
      </c>
      <c r="Q7677">
        <v>305</v>
      </c>
      <c r="R7677" s="34">
        <f t="shared" si="122"/>
        <v>0.873961061140895</v>
      </c>
    </row>
    <row r="7678" spans="16:18" x14ac:dyDescent="0.3">
      <c r="P7678" s="35">
        <v>61.57</v>
      </c>
      <c r="Q7678">
        <v>305</v>
      </c>
      <c r="R7678" s="34">
        <f t="shared" si="122"/>
        <v>0.87407491745422761</v>
      </c>
    </row>
    <row r="7679" spans="16:18" x14ac:dyDescent="0.3">
      <c r="P7679" s="35">
        <v>61.59</v>
      </c>
      <c r="Q7679">
        <v>305</v>
      </c>
      <c r="R7679" s="34">
        <f t="shared" si="122"/>
        <v>0.87418877376756021</v>
      </c>
    </row>
    <row r="7680" spans="16:18" x14ac:dyDescent="0.3">
      <c r="P7680" s="35">
        <v>61.62</v>
      </c>
      <c r="Q7680">
        <v>305</v>
      </c>
      <c r="R7680" s="34">
        <f t="shared" si="122"/>
        <v>0.87430263008089282</v>
      </c>
    </row>
    <row r="7681" spans="16:18" x14ac:dyDescent="0.3">
      <c r="P7681" s="35">
        <v>61.65</v>
      </c>
      <c r="Q7681">
        <v>305</v>
      </c>
      <c r="R7681" s="34">
        <f t="shared" si="122"/>
        <v>0.87441648639422542</v>
      </c>
    </row>
    <row r="7682" spans="16:18" x14ac:dyDescent="0.3">
      <c r="P7682" s="35">
        <v>61.65</v>
      </c>
      <c r="Q7682">
        <v>305</v>
      </c>
      <c r="R7682" s="34">
        <f t="shared" si="122"/>
        <v>0.87453034270755803</v>
      </c>
    </row>
    <row r="7683" spans="16:18" x14ac:dyDescent="0.3">
      <c r="P7683" s="35">
        <v>61.65</v>
      </c>
      <c r="Q7683">
        <v>305</v>
      </c>
      <c r="R7683" s="34">
        <f t="shared" si="122"/>
        <v>0.87464419902089063</v>
      </c>
    </row>
    <row r="7684" spans="16:18" x14ac:dyDescent="0.3">
      <c r="P7684" s="35">
        <v>61.71</v>
      </c>
      <c r="Q7684">
        <v>305</v>
      </c>
      <c r="R7684" s="34">
        <f t="shared" ref="R7684:R7747" si="123">R7683+R$2</f>
        <v>0.87475805533422324</v>
      </c>
    </row>
    <row r="7685" spans="16:18" x14ac:dyDescent="0.3">
      <c r="P7685" s="35">
        <v>61.73</v>
      </c>
      <c r="Q7685">
        <v>305</v>
      </c>
      <c r="R7685" s="34">
        <f t="shared" si="123"/>
        <v>0.87487191164755584</v>
      </c>
    </row>
    <row r="7686" spans="16:18" x14ac:dyDescent="0.3">
      <c r="P7686" s="35">
        <v>61.75</v>
      </c>
      <c r="Q7686">
        <v>305</v>
      </c>
      <c r="R7686" s="34">
        <f t="shared" si="123"/>
        <v>0.87498576796088845</v>
      </c>
    </row>
    <row r="7687" spans="16:18" x14ac:dyDescent="0.3">
      <c r="P7687" s="35">
        <v>61.8</v>
      </c>
      <c r="Q7687">
        <v>305</v>
      </c>
      <c r="R7687" s="34">
        <f t="shared" si="123"/>
        <v>0.87509962427422106</v>
      </c>
    </row>
    <row r="7688" spans="16:18" x14ac:dyDescent="0.3">
      <c r="P7688" s="35">
        <v>61.83</v>
      </c>
      <c r="Q7688">
        <v>305</v>
      </c>
      <c r="R7688" s="34">
        <f t="shared" si="123"/>
        <v>0.87521348058755366</v>
      </c>
    </row>
    <row r="7689" spans="16:18" x14ac:dyDescent="0.3">
      <c r="P7689" s="35">
        <v>61.85</v>
      </c>
      <c r="Q7689">
        <v>305</v>
      </c>
      <c r="R7689" s="34">
        <f t="shared" si="123"/>
        <v>0.87532733690088627</v>
      </c>
    </row>
    <row r="7690" spans="16:18" x14ac:dyDescent="0.3">
      <c r="P7690" s="35">
        <v>61.89</v>
      </c>
      <c r="Q7690">
        <v>305</v>
      </c>
      <c r="R7690" s="34">
        <f t="shared" si="123"/>
        <v>0.87544119321421887</v>
      </c>
    </row>
    <row r="7691" spans="16:18" x14ac:dyDescent="0.3">
      <c r="P7691" s="35">
        <v>62.06</v>
      </c>
      <c r="Q7691">
        <v>305</v>
      </c>
      <c r="R7691" s="34">
        <f t="shared" si="123"/>
        <v>0.87555504952755148</v>
      </c>
    </row>
    <row r="7692" spans="16:18" x14ac:dyDescent="0.3">
      <c r="P7692" s="35">
        <v>62.08</v>
      </c>
      <c r="Q7692">
        <v>305</v>
      </c>
      <c r="R7692" s="34">
        <f t="shared" si="123"/>
        <v>0.87566890584088408</v>
      </c>
    </row>
    <row r="7693" spans="16:18" x14ac:dyDescent="0.3">
      <c r="P7693" s="35">
        <v>62.08</v>
      </c>
      <c r="Q7693">
        <v>305</v>
      </c>
      <c r="R7693" s="34">
        <f t="shared" si="123"/>
        <v>0.87578276215421669</v>
      </c>
    </row>
    <row r="7694" spans="16:18" x14ac:dyDescent="0.3">
      <c r="P7694" s="35">
        <v>62.09</v>
      </c>
      <c r="Q7694">
        <v>305</v>
      </c>
      <c r="R7694" s="34">
        <f t="shared" si="123"/>
        <v>0.87589661846754929</v>
      </c>
    </row>
    <row r="7695" spans="16:18" x14ac:dyDescent="0.3">
      <c r="P7695" s="35">
        <v>62.12</v>
      </c>
      <c r="Q7695">
        <v>305</v>
      </c>
      <c r="R7695" s="34">
        <f t="shared" si="123"/>
        <v>0.8760104747808819</v>
      </c>
    </row>
    <row r="7696" spans="16:18" x14ac:dyDescent="0.3">
      <c r="P7696" s="35">
        <v>62.18</v>
      </c>
      <c r="Q7696">
        <v>305</v>
      </c>
      <c r="R7696" s="34">
        <f t="shared" si="123"/>
        <v>0.8761243310942145</v>
      </c>
    </row>
    <row r="7697" spans="16:18" x14ac:dyDescent="0.3">
      <c r="P7697" s="35">
        <v>62.22</v>
      </c>
      <c r="Q7697">
        <v>305</v>
      </c>
      <c r="R7697" s="34">
        <f t="shared" si="123"/>
        <v>0.87623818740754711</v>
      </c>
    </row>
    <row r="7698" spans="16:18" x14ac:dyDescent="0.3">
      <c r="P7698" s="35">
        <v>62.24</v>
      </c>
      <c r="Q7698">
        <v>305</v>
      </c>
      <c r="R7698" s="34">
        <f t="shared" si="123"/>
        <v>0.87635204372087971</v>
      </c>
    </row>
    <row r="7699" spans="16:18" x14ac:dyDescent="0.3">
      <c r="P7699" s="35">
        <v>62.25</v>
      </c>
      <c r="Q7699">
        <v>305</v>
      </c>
      <c r="R7699" s="34">
        <f t="shared" si="123"/>
        <v>0.87646590003421232</v>
      </c>
    </row>
    <row r="7700" spans="16:18" x14ac:dyDescent="0.3">
      <c r="P7700" s="35">
        <v>62.3</v>
      </c>
      <c r="Q7700">
        <v>305</v>
      </c>
      <c r="R7700" s="34">
        <f t="shared" si="123"/>
        <v>0.87657975634754492</v>
      </c>
    </row>
    <row r="7701" spans="16:18" x14ac:dyDescent="0.3">
      <c r="P7701" s="35">
        <v>62.35</v>
      </c>
      <c r="Q7701">
        <v>305</v>
      </c>
      <c r="R7701" s="34">
        <f t="shared" si="123"/>
        <v>0.87669361266087753</v>
      </c>
    </row>
    <row r="7702" spans="16:18" x14ac:dyDescent="0.3">
      <c r="P7702" s="35">
        <v>62.39</v>
      </c>
      <c r="Q7702">
        <v>305</v>
      </c>
      <c r="R7702" s="34">
        <f t="shared" si="123"/>
        <v>0.87680746897421014</v>
      </c>
    </row>
    <row r="7703" spans="16:18" x14ac:dyDescent="0.3">
      <c r="P7703" s="35">
        <v>62.46</v>
      </c>
      <c r="Q7703">
        <v>305</v>
      </c>
      <c r="R7703" s="34">
        <f t="shared" si="123"/>
        <v>0.87692132528754274</v>
      </c>
    </row>
    <row r="7704" spans="16:18" x14ac:dyDescent="0.3">
      <c r="P7704" s="35">
        <v>62.49</v>
      </c>
      <c r="Q7704">
        <v>305</v>
      </c>
      <c r="R7704" s="34">
        <f t="shared" si="123"/>
        <v>0.87703518160087535</v>
      </c>
    </row>
    <row r="7705" spans="16:18" x14ac:dyDescent="0.3">
      <c r="P7705" s="35">
        <v>62.5</v>
      </c>
      <c r="Q7705">
        <v>305</v>
      </c>
      <c r="R7705" s="34">
        <f t="shared" si="123"/>
        <v>0.87714903791420795</v>
      </c>
    </row>
    <row r="7706" spans="16:18" x14ac:dyDescent="0.3">
      <c r="P7706" s="35">
        <v>62.5</v>
      </c>
      <c r="Q7706">
        <v>305</v>
      </c>
      <c r="R7706" s="34">
        <f t="shared" si="123"/>
        <v>0.87726289422754056</v>
      </c>
    </row>
    <row r="7707" spans="16:18" x14ac:dyDescent="0.3">
      <c r="P7707" s="35">
        <v>62.51</v>
      </c>
      <c r="Q7707">
        <v>305</v>
      </c>
      <c r="R7707" s="34">
        <f t="shared" si="123"/>
        <v>0.87737675054087316</v>
      </c>
    </row>
    <row r="7708" spans="16:18" x14ac:dyDescent="0.3">
      <c r="P7708" s="35">
        <v>62.53</v>
      </c>
      <c r="Q7708">
        <v>305</v>
      </c>
      <c r="R7708" s="34">
        <f t="shared" si="123"/>
        <v>0.87749060685420577</v>
      </c>
    </row>
    <row r="7709" spans="16:18" x14ac:dyDescent="0.3">
      <c r="P7709" s="35">
        <v>62.54</v>
      </c>
      <c r="Q7709">
        <v>305</v>
      </c>
      <c r="R7709" s="34">
        <f t="shared" si="123"/>
        <v>0.87760446316753837</v>
      </c>
    </row>
    <row r="7710" spans="16:18" x14ac:dyDescent="0.3">
      <c r="P7710" s="35">
        <v>62.58</v>
      </c>
      <c r="Q7710">
        <v>305</v>
      </c>
      <c r="R7710" s="34">
        <f t="shared" si="123"/>
        <v>0.87771831948087098</v>
      </c>
    </row>
    <row r="7711" spans="16:18" x14ac:dyDescent="0.3">
      <c r="P7711" s="35">
        <v>62.58</v>
      </c>
      <c r="Q7711">
        <v>305</v>
      </c>
      <c r="R7711" s="34">
        <f t="shared" si="123"/>
        <v>0.87783217579420358</v>
      </c>
    </row>
    <row r="7712" spans="16:18" x14ac:dyDescent="0.3">
      <c r="P7712" s="35">
        <v>62.58</v>
      </c>
      <c r="Q7712">
        <v>305</v>
      </c>
      <c r="R7712" s="34">
        <f t="shared" si="123"/>
        <v>0.87794603210753619</v>
      </c>
    </row>
    <row r="7713" spans="16:18" x14ac:dyDescent="0.3">
      <c r="P7713" s="35">
        <v>62.6</v>
      </c>
      <c r="Q7713">
        <v>305</v>
      </c>
      <c r="R7713" s="34">
        <f t="shared" si="123"/>
        <v>0.87805988842086879</v>
      </c>
    </row>
    <row r="7714" spans="16:18" x14ac:dyDescent="0.3">
      <c r="P7714" s="35">
        <v>62.63</v>
      </c>
      <c r="Q7714">
        <v>305</v>
      </c>
      <c r="R7714" s="34">
        <f t="shared" si="123"/>
        <v>0.8781737447342014</v>
      </c>
    </row>
    <row r="7715" spans="16:18" x14ac:dyDescent="0.3">
      <c r="P7715" s="35">
        <v>62.64</v>
      </c>
      <c r="Q7715">
        <v>305</v>
      </c>
      <c r="R7715" s="34">
        <f t="shared" si="123"/>
        <v>0.87828760104753401</v>
      </c>
    </row>
    <row r="7716" spans="16:18" x14ac:dyDescent="0.3">
      <c r="P7716" s="35">
        <v>62.64</v>
      </c>
      <c r="Q7716">
        <v>305</v>
      </c>
      <c r="R7716" s="34">
        <f t="shared" si="123"/>
        <v>0.87840145736086661</v>
      </c>
    </row>
    <row r="7717" spans="16:18" x14ac:dyDescent="0.3">
      <c r="P7717" s="35">
        <v>62.68</v>
      </c>
      <c r="Q7717">
        <v>305</v>
      </c>
      <c r="R7717" s="34">
        <f t="shared" si="123"/>
        <v>0.87851531367419922</v>
      </c>
    </row>
    <row r="7718" spans="16:18" x14ac:dyDescent="0.3">
      <c r="P7718" s="35">
        <v>62.7</v>
      </c>
      <c r="Q7718">
        <v>305</v>
      </c>
      <c r="R7718" s="34">
        <f t="shared" si="123"/>
        <v>0.87862916998753182</v>
      </c>
    </row>
    <row r="7719" spans="16:18" x14ac:dyDescent="0.3">
      <c r="P7719" s="35">
        <v>62.72</v>
      </c>
      <c r="Q7719">
        <v>305</v>
      </c>
      <c r="R7719" s="34">
        <f t="shared" si="123"/>
        <v>0.87874302630086443</v>
      </c>
    </row>
    <row r="7720" spans="16:18" x14ac:dyDescent="0.3">
      <c r="P7720" s="35">
        <v>62.76</v>
      </c>
      <c r="Q7720">
        <v>305</v>
      </c>
      <c r="R7720" s="34">
        <f t="shared" si="123"/>
        <v>0.87885688261419703</v>
      </c>
    </row>
    <row r="7721" spans="16:18" x14ac:dyDescent="0.3">
      <c r="P7721" s="35">
        <v>62.79</v>
      </c>
      <c r="Q7721">
        <v>305</v>
      </c>
      <c r="R7721" s="34">
        <f t="shared" si="123"/>
        <v>0.87897073892752964</v>
      </c>
    </row>
    <row r="7722" spans="16:18" x14ac:dyDescent="0.3">
      <c r="P7722" s="35">
        <v>62.81</v>
      </c>
      <c r="Q7722">
        <v>305</v>
      </c>
      <c r="R7722" s="34">
        <f t="shared" si="123"/>
        <v>0.87908459524086224</v>
      </c>
    </row>
    <row r="7723" spans="16:18" x14ac:dyDescent="0.3">
      <c r="P7723" s="35">
        <v>62.91</v>
      </c>
      <c r="Q7723">
        <v>305</v>
      </c>
      <c r="R7723" s="34">
        <f t="shared" si="123"/>
        <v>0.87919845155419485</v>
      </c>
    </row>
    <row r="7724" spans="16:18" x14ac:dyDescent="0.3">
      <c r="P7724" s="35">
        <v>62.92</v>
      </c>
      <c r="Q7724">
        <v>305</v>
      </c>
      <c r="R7724" s="34">
        <f t="shared" si="123"/>
        <v>0.87931230786752745</v>
      </c>
    </row>
    <row r="7725" spans="16:18" x14ac:dyDescent="0.3">
      <c r="P7725" s="35">
        <v>62.95</v>
      </c>
      <c r="Q7725">
        <v>305</v>
      </c>
      <c r="R7725" s="34">
        <f t="shared" si="123"/>
        <v>0.87942616418086006</v>
      </c>
    </row>
    <row r="7726" spans="16:18" x14ac:dyDescent="0.3">
      <c r="P7726" s="35">
        <v>62.97</v>
      </c>
      <c r="Q7726">
        <v>305</v>
      </c>
      <c r="R7726" s="34">
        <f t="shared" si="123"/>
        <v>0.87954002049419266</v>
      </c>
    </row>
    <row r="7727" spans="16:18" x14ac:dyDescent="0.3">
      <c r="P7727" s="35">
        <v>62.97</v>
      </c>
      <c r="Q7727">
        <v>305</v>
      </c>
      <c r="R7727" s="34">
        <f t="shared" si="123"/>
        <v>0.87965387680752527</v>
      </c>
    </row>
    <row r="7728" spans="16:18" x14ac:dyDescent="0.3">
      <c r="P7728" s="35">
        <v>63.09</v>
      </c>
      <c r="Q7728">
        <v>305</v>
      </c>
      <c r="R7728" s="34">
        <f t="shared" si="123"/>
        <v>0.87976773312085788</v>
      </c>
    </row>
    <row r="7729" spans="16:18" x14ac:dyDescent="0.3">
      <c r="P7729" s="35">
        <v>63.12</v>
      </c>
      <c r="Q7729">
        <v>305</v>
      </c>
      <c r="R7729" s="34">
        <f t="shared" si="123"/>
        <v>0.87988158943419048</v>
      </c>
    </row>
    <row r="7730" spans="16:18" x14ac:dyDescent="0.3">
      <c r="P7730" s="35">
        <v>63.17</v>
      </c>
      <c r="Q7730">
        <v>305</v>
      </c>
      <c r="R7730" s="34">
        <f t="shared" si="123"/>
        <v>0.87999544574752309</v>
      </c>
    </row>
    <row r="7731" spans="16:18" x14ac:dyDescent="0.3">
      <c r="P7731" s="35">
        <v>63.2</v>
      </c>
      <c r="Q7731">
        <v>305</v>
      </c>
      <c r="R7731" s="34">
        <f t="shared" si="123"/>
        <v>0.88010930206085569</v>
      </c>
    </row>
    <row r="7732" spans="16:18" x14ac:dyDescent="0.3">
      <c r="P7732" s="35">
        <v>63.2</v>
      </c>
      <c r="Q7732">
        <v>305</v>
      </c>
      <c r="R7732" s="34">
        <f t="shared" si="123"/>
        <v>0.8802231583741883</v>
      </c>
    </row>
    <row r="7733" spans="16:18" x14ac:dyDescent="0.3">
      <c r="P7733" s="35">
        <v>63.22</v>
      </c>
      <c r="Q7733">
        <v>305</v>
      </c>
      <c r="R7733" s="34">
        <f t="shared" si="123"/>
        <v>0.8803370146875209</v>
      </c>
    </row>
    <row r="7734" spans="16:18" x14ac:dyDescent="0.3">
      <c r="P7734" s="35">
        <v>63.24</v>
      </c>
      <c r="Q7734">
        <v>305</v>
      </c>
      <c r="R7734" s="34">
        <f t="shared" si="123"/>
        <v>0.88045087100085351</v>
      </c>
    </row>
    <row r="7735" spans="16:18" x14ac:dyDescent="0.3">
      <c r="P7735" s="35">
        <v>63.29</v>
      </c>
      <c r="Q7735">
        <v>305</v>
      </c>
      <c r="R7735" s="34">
        <f t="shared" si="123"/>
        <v>0.88056472731418611</v>
      </c>
    </row>
    <row r="7736" spans="16:18" x14ac:dyDescent="0.3">
      <c r="P7736" s="35">
        <v>63.29</v>
      </c>
      <c r="Q7736">
        <v>305</v>
      </c>
      <c r="R7736" s="34">
        <f t="shared" si="123"/>
        <v>0.88067858362751872</v>
      </c>
    </row>
    <row r="7737" spans="16:18" x14ac:dyDescent="0.3">
      <c r="P7737" s="35">
        <v>63.33</v>
      </c>
      <c r="Q7737">
        <v>305</v>
      </c>
      <c r="R7737" s="34">
        <f t="shared" si="123"/>
        <v>0.88079243994085132</v>
      </c>
    </row>
    <row r="7738" spans="16:18" x14ac:dyDescent="0.3">
      <c r="P7738" s="35">
        <v>63.33</v>
      </c>
      <c r="Q7738">
        <v>305</v>
      </c>
      <c r="R7738" s="34">
        <f t="shared" si="123"/>
        <v>0.88090629625418393</v>
      </c>
    </row>
    <row r="7739" spans="16:18" x14ac:dyDescent="0.3">
      <c r="P7739" s="35">
        <v>63.36</v>
      </c>
      <c r="Q7739">
        <v>305</v>
      </c>
      <c r="R7739" s="34">
        <f t="shared" si="123"/>
        <v>0.88102015256751653</v>
      </c>
    </row>
    <row r="7740" spans="16:18" x14ac:dyDescent="0.3">
      <c r="P7740" s="35">
        <v>63.37</v>
      </c>
      <c r="Q7740">
        <v>305</v>
      </c>
      <c r="R7740" s="34">
        <f t="shared" si="123"/>
        <v>0.88113400888084914</v>
      </c>
    </row>
    <row r="7741" spans="16:18" x14ac:dyDescent="0.3">
      <c r="P7741" s="35">
        <v>63.39</v>
      </c>
      <c r="Q7741">
        <v>305</v>
      </c>
      <c r="R7741" s="34">
        <f t="shared" si="123"/>
        <v>0.88124786519418175</v>
      </c>
    </row>
    <row r="7742" spans="16:18" x14ac:dyDescent="0.3">
      <c r="P7742" s="35">
        <v>63.4</v>
      </c>
      <c r="Q7742">
        <v>305</v>
      </c>
      <c r="R7742" s="34">
        <f t="shared" si="123"/>
        <v>0.88136172150751435</v>
      </c>
    </row>
    <row r="7743" spans="16:18" x14ac:dyDescent="0.3">
      <c r="P7743" s="35">
        <v>63.43</v>
      </c>
      <c r="Q7743">
        <v>305</v>
      </c>
      <c r="R7743" s="34">
        <f t="shared" si="123"/>
        <v>0.88147557782084696</v>
      </c>
    </row>
    <row r="7744" spans="16:18" x14ac:dyDescent="0.3">
      <c r="P7744" s="35">
        <v>63.52</v>
      </c>
      <c r="Q7744">
        <v>305</v>
      </c>
      <c r="R7744" s="34">
        <f t="shared" si="123"/>
        <v>0.88158943413417956</v>
      </c>
    </row>
    <row r="7745" spans="16:18" x14ac:dyDescent="0.3">
      <c r="P7745" s="35">
        <v>63.56</v>
      </c>
      <c r="Q7745">
        <v>305</v>
      </c>
      <c r="R7745" s="34">
        <f t="shared" si="123"/>
        <v>0.88170329044751217</v>
      </c>
    </row>
    <row r="7746" spans="16:18" x14ac:dyDescent="0.3">
      <c r="P7746" s="35">
        <v>63.58</v>
      </c>
      <c r="Q7746">
        <v>305</v>
      </c>
      <c r="R7746" s="34">
        <f t="shared" si="123"/>
        <v>0.88181714676084477</v>
      </c>
    </row>
    <row r="7747" spans="16:18" x14ac:dyDescent="0.3">
      <c r="P7747" s="35">
        <v>63.65</v>
      </c>
      <c r="Q7747">
        <v>305</v>
      </c>
      <c r="R7747" s="34">
        <f t="shared" si="123"/>
        <v>0.88193100307417738</v>
      </c>
    </row>
    <row r="7748" spans="16:18" x14ac:dyDescent="0.3">
      <c r="P7748" s="35">
        <v>63.65</v>
      </c>
      <c r="Q7748">
        <v>305</v>
      </c>
      <c r="R7748" s="34">
        <f t="shared" ref="R7748:R7811" si="124">R7747+R$2</f>
        <v>0.88204485938750998</v>
      </c>
    </row>
    <row r="7749" spans="16:18" x14ac:dyDescent="0.3">
      <c r="P7749" s="35">
        <v>63.76</v>
      </c>
      <c r="Q7749">
        <v>305</v>
      </c>
      <c r="R7749" s="34">
        <f t="shared" si="124"/>
        <v>0.88215871570084259</v>
      </c>
    </row>
    <row r="7750" spans="16:18" x14ac:dyDescent="0.3">
      <c r="P7750" s="35">
        <v>63.83</v>
      </c>
      <c r="Q7750">
        <v>305</v>
      </c>
      <c r="R7750" s="34">
        <f t="shared" si="124"/>
        <v>0.88227257201417519</v>
      </c>
    </row>
    <row r="7751" spans="16:18" x14ac:dyDescent="0.3">
      <c r="P7751" s="35">
        <v>63.83</v>
      </c>
      <c r="Q7751">
        <v>305</v>
      </c>
      <c r="R7751" s="34">
        <f t="shared" si="124"/>
        <v>0.8823864283275078</v>
      </c>
    </row>
    <row r="7752" spans="16:18" x14ac:dyDescent="0.3">
      <c r="P7752" s="35">
        <v>63.86</v>
      </c>
      <c r="Q7752">
        <v>305</v>
      </c>
      <c r="R7752" s="34">
        <f t="shared" si="124"/>
        <v>0.8825002846408404</v>
      </c>
    </row>
    <row r="7753" spans="16:18" x14ac:dyDescent="0.3">
      <c r="P7753" s="35">
        <v>63.91</v>
      </c>
      <c r="Q7753">
        <v>305</v>
      </c>
      <c r="R7753" s="34">
        <f t="shared" si="124"/>
        <v>0.88261414095417301</v>
      </c>
    </row>
    <row r="7754" spans="16:18" x14ac:dyDescent="0.3">
      <c r="P7754" s="35">
        <v>63.92</v>
      </c>
      <c r="Q7754">
        <v>305</v>
      </c>
      <c r="R7754" s="34">
        <f t="shared" si="124"/>
        <v>0.88272799726750562</v>
      </c>
    </row>
    <row r="7755" spans="16:18" x14ac:dyDescent="0.3">
      <c r="P7755" s="35">
        <v>63.94</v>
      </c>
      <c r="Q7755">
        <v>305</v>
      </c>
      <c r="R7755" s="34">
        <f t="shared" si="124"/>
        <v>0.88284185358083822</v>
      </c>
    </row>
    <row r="7756" spans="16:18" x14ac:dyDescent="0.3">
      <c r="P7756" s="35">
        <v>63.94</v>
      </c>
      <c r="Q7756">
        <v>305</v>
      </c>
      <c r="R7756" s="34">
        <f t="shared" si="124"/>
        <v>0.88295570989417083</v>
      </c>
    </row>
    <row r="7757" spans="16:18" x14ac:dyDescent="0.3">
      <c r="P7757" s="35">
        <v>63.94</v>
      </c>
      <c r="Q7757">
        <v>305</v>
      </c>
      <c r="R7757" s="34">
        <f t="shared" si="124"/>
        <v>0.88306956620750343</v>
      </c>
    </row>
    <row r="7758" spans="16:18" x14ac:dyDescent="0.3">
      <c r="P7758" s="35">
        <v>63.96</v>
      </c>
      <c r="Q7758">
        <v>305</v>
      </c>
      <c r="R7758" s="34">
        <f t="shared" si="124"/>
        <v>0.88318342252083604</v>
      </c>
    </row>
    <row r="7759" spans="16:18" x14ac:dyDescent="0.3">
      <c r="P7759" s="35">
        <v>63.97</v>
      </c>
      <c r="Q7759">
        <v>305</v>
      </c>
      <c r="R7759" s="34">
        <f t="shared" si="124"/>
        <v>0.88329727883416864</v>
      </c>
    </row>
    <row r="7760" spans="16:18" x14ac:dyDescent="0.3">
      <c r="P7760" s="35">
        <v>64</v>
      </c>
      <c r="Q7760">
        <v>305</v>
      </c>
      <c r="R7760" s="34">
        <f t="shared" si="124"/>
        <v>0.88341113514750125</v>
      </c>
    </row>
    <row r="7761" spans="16:18" x14ac:dyDescent="0.3">
      <c r="P7761" s="35">
        <v>64.06</v>
      </c>
      <c r="Q7761">
        <v>305</v>
      </c>
      <c r="R7761" s="34">
        <f t="shared" si="124"/>
        <v>0.88352499146083385</v>
      </c>
    </row>
    <row r="7762" spans="16:18" x14ac:dyDescent="0.3">
      <c r="P7762" s="35">
        <v>64.069999999999993</v>
      </c>
      <c r="Q7762">
        <v>305</v>
      </c>
      <c r="R7762" s="34">
        <f t="shared" si="124"/>
        <v>0.88363884777416646</v>
      </c>
    </row>
    <row r="7763" spans="16:18" x14ac:dyDescent="0.3">
      <c r="P7763" s="35">
        <v>64.069999999999993</v>
      </c>
      <c r="Q7763">
        <v>305</v>
      </c>
      <c r="R7763" s="34">
        <f t="shared" si="124"/>
        <v>0.88375270408749906</v>
      </c>
    </row>
    <row r="7764" spans="16:18" x14ac:dyDescent="0.3">
      <c r="P7764" s="35">
        <v>64.08</v>
      </c>
      <c r="Q7764">
        <v>305</v>
      </c>
      <c r="R7764" s="34">
        <f t="shared" si="124"/>
        <v>0.88386656040083167</v>
      </c>
    </row>
    <row r="7765" spans="16:18" x14ac:dyDescent="0.3">
      <c r="P7765" s="35">
        <v>64.08</v>
      </c>
      <c r="Q7765">
        <v>305</v>
      </c>
      <c r="R7765" s="34">
        <f t="shared" si="124"/>
        <v>0.88398041671416427</v>
      </c>
    </row>
    <row r="7766" spans="16:18" x14ac:dyDescent="0.3">
      <c r="P7766" s="35">
        <v>64.180000000000007</v>
      </c>
      <c r="Q7766">
        <v>305</v>
      </c>
      <c r="R7766" s="34">
        <f t="shared" si="124"/>
        <v>0.88409427302749688</v>
      </c>
    </row>
    <row r="7767" spans="16:18" x14ac:dyDescent="0.3">
      <c r="P7767" s="35">
        <v>64.209999999999994</v>
      </c>
      <c r="Q7767">
        <v>305</v>
      </c>
      <c r="R7767" s="34">
        <f t="shared" si="124"/>
        <v>0.88420812934082949</v>
      </c>
    </row>
    <row r="7768" spans="16:18" x14ac:dyDescent="0.3">
      <c r="P7768" s="35">
        <v>64.22</v>
      </c>
      <c r="Q7768">
        <v>305</v>
      </c>
      <c r="R7768" s="34">
        <f t="shared" si="124"/>
        <v>0.88432198565416209</v>
      </c>
    </row>
    <row r="7769" spans="16:18" x14ac:dyDescent="0.3">
      <c r="P7769" s="35">
        <v>64.260000000000005</v>
      </c>
      <c r="Q7769">
        <v>305</v>
      </c>
      <c r="R7769" s="34">
        <f t="shared" si="124"/>
        <v>0.8844358419674947</v>
      </c>
    </row>
    <row r="7770" spans="16:18" x14ac:dyDescent="0.3">
      <c r="P7770" s="35">
        <v>64.27</v>
      </c>
      <c r="Q7770">
        <v>305</v>
      </c>
      <c r="R7770" s="34">
        <f t="shared" si="124"/>
        <v>0.8845496982808273</v>
      </c>
    </row>
    <row r="7771" spans="16:18" x14ac:dyDescent="0.3">
      <c r="P7771" s="35">
        <v>64.28</v>
      </c>
      <c r="Q7771">
        <v>305</v>
      </c>
      <c r="R7771" s="34">
        <f t="shared" si="124"/>
        <v>0.88466355459415991</v>
      </c>
    </row>
    <row r="7772" spans="16:18" x14ac:dyDescent="0.3">
      <c r="P7772" s="35">
        <v>64.28</v>
      </c>
      <c r="Q7772">
        <v>305</v>
      </c>
      <c r="R7772" s="34">
        <f t="shared" si="124"/>
        <v>0.88477741090749251</v>
      </c>
    </row>
    <row r="7773" spans="16:18" x14ac:dyDescent="0.3">
      <c r="P7773" s="35">
        <v>64.33</v>
      </c>
      <c r="Q7773">
        <v>305</v>
      </c>
      <c r="R7773" s="34">
        <f t="shared" si="124"/>
        <v>0.88489126722082512</v>
      </c>
    </row>
    <row r="7774" spans="16:18" x14ac:dyDescent="0.3">
      <c r="P7774" s="35">
        <v>64.33</v>
      </c>
      <c r="Q7774">
        <v>305</v>
      </c>
      <c r="R7774" s="34">
        <f t="shared" si="124"/>
        <v>0.88500512353415772</v>
      </c>
    </row>
    <row r="7775" spans="16:18" x14ac:dyDescent="0.3">
      <c r="P7775" s="35">
        <v>64.34</v>
      </c>
      <c r="Q7775">
        <v>305</v>
      </c>
      <c r="R7775" s="34">
        <f t="shared" si="124"/>
        <v>0.88511897984749033</v>
      </c>
    </row>
    <row r="7776" spans="16:18" x14ac:dyDescent="0.3">
      <c r="P7776" s="35">
        <v>64.34</v>
      </c>
      <c r="Q7776">
        <v>305</v>
      </c>
      <c r="R7776" s="34">
        <f t="shared" si="124"/>
        <v>0.88523283616082293</v>
      </c>
    </row>
    <row r="7777" spans="16:18" x14ac:dyDescent="0.3">
      <c r="P7777" s="35">
        <v>64.37</v>
      </c>
      <c r="Q7777">
        <v>305</v>
      </c>
      <c r="R7777" s="34">
        <f t="shared" si="124"/>
        <v>0.88534669247415554</v>
      </c>
    </row>
    <row r="7778" spans="16:18" x14ac:dyDescent="0.3">
      <c r="P7778" s="35">
        <v>64.37</v>
      </c>
      <c r="Q7778">
        <v>305</v>
      </c>
      <c r="R7778" s="34">
        <f t="shared" si="124"/>
        <v>0.88546054878748814</v>
      </c>
    </row>
    <row r="7779" spans="16:18" x14ac:dyDescent="0.3">
      <c r="P7779" s="35">
        <v>64.38</v>
      </c>
      <c r="Q7779">
        <v>305</v>
      </c>
      <c r="R7779" s="34">
        <f t="shared" si="124"/>
        <v>0.88557440510082075</v>
      </c>
    </row>
    <row r="7780" spans="16:18" x14ac:dyDescent="0.3">
      <c r="P7780" s="35">
        <v>64.42</v>
      </c>
      <c r="Q7780">
        <v>305</v>
      </c>
      <c r="R7780" s="34">
        <f t="shared" si="124"/>
        <v>0.88568826141415335</v>
      </c>
    </row>
    <row r="7781" spans="16:18" x14ac:dyDescent="0.3">
      <c r="P7781" s="35">
        <v>64.430000000000007</v>
      </c>
      <c r="Q7781">
        <v>305</v>
      </c>
      <c r="R7781" s="34">
        <f t="shared" si="124"/>
        <v>0.88580211772748596</v>
      </c>
    </row>
    <row r="7782" spans="16:18" x14ac:dyDescent="0.3">
      <c r="P7782" s="35">
        <v>64.430000000000007</v>
      </c>
      <c r="Q7782">
        <v>305</v>
      </c>
      <c r="R7782" s="34">
        <f t="shared" si="124"/>
        <v>0.88591597404081857</v>
      </c>
    </row>
    <row r="7783" spans="16:18" x14ac:dyDescent="0.3">
      <c r="P7783" s="35">
        <v>64.44</v>
      </c>
      <c r="Q7783">
        <v>305</v>
      </c>
      <c r="R7783" s="34">
        <f t="shared" si="124"/>
        <v>0.88602983035415117</v>
      </c>
    </row>
    <row r="7784" spans="16:18" x14ac:dyDescent="0.3">
      <c r="P7784" s="35">
        <v>64.45</v>
      </c>
      <c r="Q7784">
        <v>305</v>
      </c>
      <c r="R7784" s="34">
        <f t="shared" si="124"/>
        <v>0.88614368666748378</v>
      </c>
    </row>
    <row r="7785" spans="16:18" x14ac:dyDescent="0.3">
      <c r="P7785" s="35">
        <v>64.48</v>
      </c>
      <c r="Q7785">
        <v>305</v>
      </c>
      <c r="R7785" s="34">
        <f t="shared" si="124"/>
        <v>0.88625754298081638</v>
      </c>
    </row>
    <row r="7786" spans="16:18" x14ac:dyDescent="0.3">
      <c r="P7786" s="35">
        <v>64.489999999999995</v>
      </c>
      <c r="Q7786">
        <v>305</v>
      </c>
      <c r="R7786" s="34">
        <f t="shared" si="124"/>
        <v>0.88637139929414899</v>
      </c>
    </row>
    <row r="7787" spans="16:18" x14ac:dyDescent="0.3">
      <c r="P7787" s="35">
        <v>64.55</v>
      </c>
      <c r="Q7787">
        <v>305</v>
      </c>
      <c r="R7787" s="34">
        <f t="shared" si="124"/>
        <v>0.88648525560748159</v>
      </c>
    </row>
    <row r="7788" spans="16:18" x14ac:dyDescent="0.3">
      <c r="P7788" s="35">
        <v>64.56</v>
      </c>
      <c r="Q7788">
        <v>305</v>
      </c>
      <c r="R7788" s="34">
        <f t="shared" si="124"/>
        <v>0.8865991119208142</v>
      </c>
    </row>
    <row r="7789" spans="16:18" x14ac:dyDescent="0.3">
      <c r="P7789" s="35">
        <v>64.59</v>
      </c>
      <c r="Q7789">
        <v>305</v>
      </c>
      <c r="R7789" s="34">
        <f t="shared" si="124"/>
        <v>0.8867129682341468</v>
      </c>
    </row>
    <row r="7790" spans="16:18" x14ac:dyDescent="0.3">
      <c r="P7790" s="35">
        <v>64.59</v>
      </c>
      <c r="Q7790">
        <v>305</v>
      </c>
      <c r="R7790" s="34">
        <f t="shared" si="124"/>
        <v>0.88682682454747941</v>
      </c>
    </row>
    <row r="7791" spans="16:18" x14ac:dyDescent="0.3">
      <c r="P7791" s="35">
        <v>64.650000000000006</v>
      </c>
      <c r="Q7791">
        <v>305</v>
      </c>
      <c r="R7791" s="34">
        <f t="shared" si="124"/>
        <v>0.88694068086081201</v>
      </c>
    </row>
    <row r="7792" spans="16:18" x14ac:dyDescent="0.3">
      <c r="P7792" s="35">
        <v>64.66</v>
      </c>
      <c r="Q7792">
        <v>305</v>
      </c>
      <c r="R7792" s="34">
        <f t="shared" si="124"/>
        <v>0.88705453717414462</v>
      </c>
    </row>
    <row r="7793" spans="16:18" x14ac:dyDescent="0.3">
      <c r="P7793" s="35">
        <v>64.709999999999994</v>
      </c>
      <c r="Q7793">
        <v>305</v>
      </c>
      <c r="R7793" s="34">
        <f t="shared" si="124"/>
        <v>0.88716839348747722</v>
      </c>
    </row>
    <row r="7794" spans="16:18" x14ac:dyDescent="0.3">
      <c r="P7794" s="35">
        <v>64.78</v>
      </c>
      <c r="Q7794">
        <v>305</v>
      </c>
      <c r="R7794" s="34">
        <f t="shared" si="124"/>
        <v>0.88728224980080983</v>
      </c>
    </row>
    <row r="7795" spans="16:18" x14ac:dyDescent="0.3">
      <c r="P7795" s="35">
        <v>64.86</v>
      </c>
      <c r="Q7795">
        <v>305</v>
      </c>
      <c r="R7795" s="34">
        <f t="shared" si="124"/>
        <v>0.88739610611414244</v>
      </c>
    </row>
    <row r="7796" spans="16:18" x14ac:dyDescent="0.3">
      <c r="P7796" s="35">
        <v>64.88</v>
      </c>
      <c r="Q7796">
        <v>305</v>
      </c>
      <c r="R7796" s="34">
        <f t="shared" si="124"/>
        <v>0.88750996242747504</v>
      </c>
    </row>
    <row r="7797" spans="16:18" x14ac:dyDescent="0.3">
      <c r="P7797" s="35">
        <v>64.94</v>
      </c>
      <c r="Q7797">
        <v>305</v>
      </c>
      <c r="R7797" s="34">
        <f t="shared" si="124"/>
        <v>0.88762381874080765</v>
      </c>
    </row>
    <row r="7798" spans="16:18" x14ac:dyDescent="0.3">
      <c r="P7798" s="35">
        <v>64.989999999999995</v>
      </c>
      <c r="Q7798">
        <v>305</v>
      </c>
      <c r="R7798" s="34">
        <f t="shared" si="124"/>
        <v>0.88773767505414025</v>
      </c>
    </row>
    <row r="7799" spans="16:18" x14ac:dyDescent="0.3">
      <c r="P7799" s="35">
        <v>65.040000000000006</v>
      </c>
      <c r="Q7799">
        <v>305</v>
      </c>
      <c r="R7799" s="34">
        <f t="shared" si="124"/>
        <v>0.88785153136747286</v>
      </c>
    </row>
    <row r="7800" spans="16:18" x14ac:dyDescent="0.3">
      <c r="P7800" s="35">
        <v>65.069999999999993</v>
      </c>
      <c r="Q7800">
        <v>305</v>
      </c>
      <c r="R7800" s="34">
        <f t="shared" si="124"/>
        <v>0.88796538768080546</v>
      </c>
    </row>
    <row r="7801" spans="16:18" x14ac:dyDescent="0.3">
      <c r="P7801" s="35">
        <v>65.099999999999994</v>
      </c>
      <c r="Q7801">
        <v>305</v>
      </c>
      <c r="R7801" s="34">
        <f t="shared" si="124"/>
        <v>0.88807924399413807</v>
      </c>
    </row>
    <row r="7802" spans="16:18" x14ac:dyDescent="0.3">
      <c r="P7802" s="35">
        <v>65.12</v>
      </c>
      <c r="Q7802">
        <v>305</v>
      </c>
      <c r="R7802" s="34">
        <f t="shared" si="124"/>
        <v>0.88819310030747067</v>
      </c>
    </row>
    <row r="7803" spans="16:18" x14ac:dyDescent="0.3">
      <c r="P7803" s="35">
        <v>65.22</v>
      </c>
      <c r="Q7803">
        <v>305</v>
      </c>
      <c r="R7803" s="34">
        <f t="shared" si="124"/>
        <v>0.88830695662080328</v>
      </c>
    </row>
    <row r="7804" spans="16:18" x14ac:dyDescent="0.3">
      <c r="P7804" s="35">
        <v>65.23</v>
      </c>
      <c r="Q7804">
        <v>305</v>
      </c>
      <c r="R7804" s="34">
        <f t="shared" si="124"/>
        <v>0.88842081293413588</v>
      </c>
    </row>
    <row r="7805" spans="16:18" x14ac:dyDescent="0.3">
      <c r="P7805" s="35">
        <v>65.23</v>
      </c>
      <c r="Q7805">
        <v>305</v>
      </c>
      <c r="R7805" s="34">
        <f t="shared" si="124"/>
        <v>0.88853466924746849</v>
      </c>
    </row>
    <row r="7806" spans="16:18" x14ac:dyDescent="0.3">
      <c r="P7806" s="35">
        <v>65.3</v>
      </c>
      <c r="Q7806">
        <v>305</v>
      </c>
      <c r="R7806" s="34">
        <f t="shared" si="124"/>
        <v>0.88864852556080109</v>
      </c>
    </row>
    <row r="7807" spans="16:18" x14ac:dyDescent="0.3">
      <c r="P7807" s="35">
        <v>65.3</v>
      </c>
      <c r="Q7807">
        <v>305</v>
      </c>
      <c r="R7807" s="34">
        <f t="shared" si="124"/>
        <v>0.8887623818741337</v>
      </c>
    </row>
    <row r="7808" spans="16:18" x14ac:dyDescent="0.3">
      <c r="P7808" s="35">
        <v>65.33</v>
      </c>
      <c r="Q7808">
        <v>305</v>
      </c>
      <c r="R7808" s="34">
        <f t="shared" si="124"/>
        <v>0.88887623818746631</v>
      </c>
    </row>
    <row r="7809" spans="16:18" x14ac:dyDescent="0.3">
      <c r="P7809" s="35">
        <v>65.349999999999994</v>
      </c>
      <c r="Q7809">
        <v>305</v>
      </c>
      <c r="R7809" s="34">
        <f t="shared" si="124"/>
        <v>0.88899009450079891</v>
      </c>
    </row>
    <row r="7810" spans="16:18" x14ac:dyDescent="0.3">
      <c r="P7810" s="35">
        <v>65.37</v>
      </c>
      <c r="Q7810">
        <v>305</v>
      </c>
      <c r="R7810" s="34">
        <f t="shared" si="124"/>
        <v>0.88910395081413152</v>
      </c>
    </row>
    <row r="7811" spans="16:18" x14ac:dyDescent="0.3">
      <c r="P7811" s="35">
        <v>65.41</v>
      </c>
      <c r="Q7811">
        <v>305</v>
      </c>
      <c r="R7811" s="34">
        <f t="shared" si="124"/>
        <v>0.88921780712746412</v>
      </c>
    </row>
    <row r="7812" spans="16:18" x14ac:dyDescent="0.3">
      <c r="P7812" s="35">
        <v>65.42</v>
      </c>
      <c r="Q7812">
        <v>305</v>
      </c>
      <c r="R7812" s="34">
        <f t="shared" ref="R7812:R7875" si="125">R7811+R$2</f>
        <v>0.88933166344079673</v>
      </c>
    </row>
    <row r="7813" spans="16:18" x14ac:dyDescent="0.3">
      <c r="P7813" s="35">
        <v>65.45</v>
      </c>
      <c r="Q7813">
        <v>305</v>
      </c>
      <c r="R7813" s="34">
        <f t="shared" si="125"/>
        <v>0.88944551975412933</v>
      </c>
    </row>
    <row r="7814" spans="16:18" x14ac:dyDescent="0.3">
      <c r="P7814" s="35">
        <v>65.47</v>
      </c>
      <c r="Q7814">
        <v>305</v>
      </c>
      <c r="R7814" s="34">
        <f t="shared" si="125"/>
        <v>0.88955937606746194</v>
      </c>
    </row>
    <row r="7815" spans="16:18" x14ac:dyDescent="0.3">
      <c r="P7815" s="35">
        <v>65.47</v>
      </c>
      <c r="Q7815">
        <v>305</v>
      </c>
      <c r="R7815" s="34">
        <f t="shared" si="125"/>
        <v>0.88967323238079454</v>
      </c>
    </row>
    <row r="7816" spans="16:18" x14ac:dyDescent="0.3">
      <c r="P7816" s="35">
        <v>65.540000000000006</v>
      </c>
      <c r="Q7816">
        <v>305</v>
      </c>
      <c r="R7816" s="34">
        <f t="shared" si="125"/>
        <v>0.88978708869412715</v>
      </c>
    </row>
    <row r="7817" spans="16:18" x14ac:dyDescent="0.3">
      <c r="P7817" s="35">
        <v>65.59</v>
      </c>
      <c r="Q7817">
        <v>305</v>
      </c>
      <c r="R7817" s="34">
        <f t="shared" si="125"/>
        <v>0.88990094500745975</v>
      </c>
    </row>
    <row r="7818" spans="16:18" x14ac:dyDescent="0.3">
      <c r="P7818" s="35">
        <v>65.680000000000007</v>
      </c>
      <c r="Q7818">
        <v>305</v>
      </c>
      <c r="R7818" s="34">
        <f t="shared" si="125"/>
        <v>0.89001480132079236</v>
      </c>
    </row>
    <row r="7819" spans="16:18" x14ac:dyDescent="0.3">
      <c r="P7819" s="35">
        <v>65.69</v>
      </c>
      <c r="Q7819">
        <v>305</v>
      </c>
      <c r="R7819" s="34">
        <f t="shared" si="125"/>
        <v>0.89012865763412496</v>
      </c>
    </row>
    <row r="7820" spans="16:18" x14ac:dyDescent="0.3">
      <c r="P7820" s="35">
        <v>65.69</v>
      </c>
      <c r="Q7820">
        <v>305</v>
      </c>
      <c r="R7820" s="34">
        <f t="shared" si="125"/>
        <v>0.89024251394745757</v>
      </c>
    </row>
    <row r="7821" spans="16:18" x14ac:dyDescent="0.3">
      <c r="P7821" s="35">
        <v>65.89</v>
      </c>
      <c r="Q7821">
        <v>305</v>
      </c>
      <c r="R7821" s="34">
        <f t="shared" si="125"/>
        <v>0.89035637026079018</v>
      </c>
    </row>
    <row r="7822" spans="16:18" x14ac:dyDescent="0.3">
      <c r="P7822" s="35">
        <v>65.98</v>
      </c>
      <c r="Q7822">
        <v>305</v>
      </c>
      <c r="R7822" s="34">
        <f t="shared" si="125"/>
        <v>0.89047022657412278</v>
      </c>
    </row>
    <row r="7823" spans="16:18" x14ac:dyDescent="0.3">
      <c r="P7823" s="35">
        <v>66.02</v>
      </c>
      <c r="Q7823">
        <v>305</v>
      </c>
      <c r="R7823" s="34">
        <f t="shared" si="125"/>
        <v>0.89058408288745539</v>
      </c>
    </row>
    <row r="7824" spans="16:18" x14ac:dyDescent="0.3">
      <c r="P7824" s="35">
        <v>66.150000000000006</v>
      </c>
      <c r="Q7824">
        <v>305</v>
      </c>
      <c r="R7824" s="34">
        <f t="shared" si="125"/>
        <v>0.89069793920078799</v>
      </c>
    </row>
    <row r="7825" spans="16:18" x14ac:dyDescent="0.3">
      <c r="P7825" s="35">
        <v>66.16</v>
      </c>
      <c r="Q7825">
        <v>305</v>
      </c>
      <c r="R7825" s="34">
        <f t="shared" si="125"/>
        <v>0.8908117955141206</v>
      </c>
    </row>
    <row r="7826" spans="16:18" x14ac:dyDescent="0.3">
      <c r="P7826" s="35">
        <v>66.16</v>
      </c>
      <c r="Q7826">
        <v>305</v>
      </c>
      <c r="R7826" s="34">
        <f t="shared" si="125"/>
        <v>0.8909256518274532</v>
      </c>
    </row>
    <row r="7827" spans="16:18" x14ac:dyDescent="0.3">
      <c r="P7827" s="35">
        <v>66.17</v>
      </c>
      <c r="Q7827">
        <v>305</v>
      </c>
      <c r="R7827" s="34">
        <f t="shared" si="125"/>
        <v>0.89103950814078581</v>
      </c>
    </row>
    <row r="7828" spans="16:18" x14ac:dyDescent="0.3">
      <c r="P7828" s="35">
        <v>66.209999999999994</v>
      </c>
      <c r="Q7828">
        <v>305</v>
      </c>
      <c r="R7828" s="34">
        <f t="shared" si="125"/>
        <v>0.89115336445411841</v>
      </c>
    </row>
    <row r="7829" spans="16:18" x14ac:dyDescent="0.3">
      <c r="P7829" s="35">
        <v>66.260000000000005</v>
      </c>
      <c r="Q7829">
        <v>305</v>
      </c>
      <c r="R7829" s="34">
        <f t="shared" si="125"/>
        <v>0.89126722076745102</v>
      </c>
    </row>
    <row r="7830" spans="16:18" x14ac:dyDescent="0.3">
      <c r="P7830" s="35">
        <v>66.260000000000005</v>
      </c>
      <c r="Q7830">
        <v>305</v>
      </c>
      <c r="R7830" s="34">
        <f t="shared" si="125"/>
        <v>0.89138107708078362</v>
      </c>
    </row>
    <row r="7831" spans="16:18" x14ac:dyDescent="0.3">
      <c r="P7831" s="35">
        <v>66.28</v>
      </c>
      <c r="Q7831">
        <v>305</v>
      </c>
      <c r="R7831" s="34">
        <f t="shared" si="125"/>
        <v>0.89149493339411623</v>
      </c>
    </row>
    <row r="7832" spans="16:18" x14ac:dyDescent="0.3">
      <c r="P7832" s="35">
        <v>66.31</v>
      </c>
      <c r="Q7832">
        <v>305</v>
      </c>
      <c r="R7832" s="34">
        <f t="shared" si="125"/>
        <v>0.89160878970744883</v>
      </c>
    </row>
    <row r="7833" spans="16:18" x14ac:dyDescent="0.3">
      <c r="P7833" s="35">
        <v>66.319999999999993</v>
      </c>
      <c r="Q7833">
        <v>305</v>
      </c>
      <c r="R7833" s="34">
        <f t="shared" si="125"/>
        <v>0.89172264602078144</v>
      </c>
    </row>
    <row r="7834" spans="16:18" x14ac:dyDescent="0.3">
      <c r="P7834" s="35">
        <v>66.36</v>
      </c>
      <c r="Q7834">
        <v>305</v>
      </c>
      <c r="R7834" s="34">
        <f t="shared" si="125"/>
        <v>0.89183650233411405</v>
      </c>
    </row>
    <row r="7835" spans="16:18" x14ac:dyDescent="0.3">
      <c r="P7835" s="35">
        <v>66.44</v>
      </c>
      <c r="Q7835">
        <v>305</v>
      </c>
      <c r="R7835" s="34">
        <f t="shared" si="125"/>
        <v>0.89195035864744665</v>
      </c>
    </row>
    <row r="7836" spans="16:18" x14ac:dyDescent="0.3">
      <c r="P7836" s="35">
        <v>66.52</v>
      </c>
      <c r="Q7836">
        <v>305</v>
      </c>
      <c r="R7836" s="34">
        <f t="shared" si="125"/>
        <v>0.89206421496077926</v>
      </c>
    </row>
    <row r="7837" spans="16:18" x14ac:dyDescent="0.3">
      <c r="P7837" s="35">
        <v>66.55</v>
      </c>
      <c r="Q7837">
        <v>305</v>
      </c>
      <c r="R7837" s="34">
        <f t="shared" si="125"/>
        <v>0.89217807127411186</v>
      </c>
    </row>
    <row r="7838" spans="16:18" x14ac:dyDescent="0.3">
      <c r="P7838" s="35">
        <v>66.58</v>
      </c>
      <c r="Q7838">
        <v>305</v>
      </c>
      <c r="R7838" s="34">
        <f t="shared" si="125"/>
        <v>0.89229192758744447</v>
      </c>
    </row>
    <row r="7839" spans="16:18" x14ac:dyDescent="0.3">
      <c r="P7839" s="35">
        <v>66.58</v>
      </c>
      <c r="Q7839">
        <v>305</v>
      </c>
      <c r="R7839" s="34">
        <f t="shared" si="125"/>
        <v>0.89240578390077707</v>
      </c>
    </row>
    <row r="7840" spans="16:18" x14ac:dyDescent="0.3">
      <c r="P7840" s="35">
        <v>66.599999999999994</v>
      </c>
      <c r="Q7840">
        <v>305</v>
      </c>
      <c r="R7840" s="34">
        <f t="shared" si="125"/>
        <v>0.89251964021410968</v>
      </c>
    </row>
    <row r="7841" spans="16:18" x14ac:dyDescent="0.3">
      <c r="P7841" s="35">
        <v>66.599999999999994</v>
      </c>
      <c r="Q7841">
        <v>305</v>
      </c>
      <c r="R7841" s="34">
        <f t="shared" si="125"/>
        <v>0.89263349652744228</v>
      </c>
    </row>
    <row r="7842" spans="16:18" x14ac:dyDescent="0.3">
      <c r="P7842" s="35">
        <v>66.62</v>
      </c>
      <c r="Q7842">
        <v>305</v>
      </c>
      <c r="R7842" s="34">
        <f t="shared" si="125"/>
        <v>0.89274735284077489</v>
      </c>
    </row>
    <row r="7843" spans="16:18" x14ac:dyDescent="0.3">
      <c r="P7843" s="35">
        <v>66.62</v>
      </c>
      <c r="Q7843">
        <v>305</v>
      </c>
      <c r="R7843" s="34">
        <f t="shared" si="125"/>
        <v>0.89286120915410749</v>
      </c>
    </row>
    <row r="7844" spans="16:18" x14ac:dyDescent="0.3">
      <c r="P7844" s="35">
        <v>66.66</v>
      </c>
      <c r="Q7844">
        <v>305</v>
      </c>
      <c r="R7844" s="34">
        <f t="shared" si="125"/>
        <v>0.8929750654674401</v>
      </c>
    </row>
    <row r="7845" spans="16:18" x14ac:dyDescent="0.3">
      <c r="P7845" s="35">
        <v>66.67</v>
      </c>
      <c r="Q7845">
        <v>305</v>
      </c>
      <c r="R7845" s="34">
        <f t="shared" si="125"/>
        <v>0.8930889217807727</v>
      </c>
    </row>
    <row r="7846" spans="16:18" x14ac:dyDescent="0.3">
      <c r="P7846" s="35">
        <v>66.680000000000007</v>
      </c>
      <c r="Q7846">
        <v>305</v>
      </c>
      <c r="R7846" s="34">
        <f t="shared" si="125"/>
        <v>0.89320277809410531</v>
      </c>
    </row>
    <row r="7847" spans="16:18" x14ac:dyDescent="0.3">
      <c r="P7847" s="35">
        <v>66.680000000000007</v>
      </c>
      <c r="Q7847">
        <v>305</v>
      </c>
      <c r="R7847" s="34">
        <f t="shared" si="125"/>
        <v>0.89331663440743792</v>
      </c>
    </row>
    <row r="7848" spans="16:18" x14ac:dyDescent="0.3">
      <c r="P7848" s="35">
        <v>66.72</v>
      </c>
      <c r="Q7848">
        <v>305</v>
      </c>
      <c r="R7848" s="34">
        <f t="shared" si="125"/>
        <v>0.89343049072077052</v>
      </c>
    </row>
    <row r="7849" spans="16:18" x14ac:dyDescent="0.3">
      <c r="P7849" s="35">
        <v>66.73</v>
      </c>
      <c r="Q7849">
        <v>305</v>
      </c>
      <c r="R7849" s="34">
        <f t="shared" si="125"/>
        <v>0.89354434703410313</v>
      </c>
    </row>
    <row r="7850" spans="16:18" x14ac:dyDescent="0.3">
      <c r="P7850" s="35">
        <v>66.760000000000005</v>
      </c>
      <c r="Q7850">
        <v>305</v>
      </c>
      <c r="R7850" s="34">
        <f t="shared" si="125"/>
        <v>0.89365820334743573</v>
      </c>
    </row>
    <row r="7851" spans="16:18" x14ac:dyDescent="0.3">
      <c r="P7851" s="35">
        <v>66.760000000000005</v>
      </c>
      <c r="Q7851">
        <v>305</v>
      </c>
      <c r="R7851" s="34">
        <f t="shared" si="125"/>
        <v>0.89377205966076834</v>
      </c>
    </row>
    <row r="7852" spans="16:18" x14ac:dyDescent="0.3">
      <c r="P7852" s="35">
        <v>66.77</v>
      </c>
      <c r="Q7852">
        <v>305</v>
      </c>
      <c r="R7852" s="34">
        <f t="shared" si="125"/>
        <v>0.89388591597410094</v>
      </c>
    </row>
    <row r="7853" spans="16:18" x14ac:dyDescent="0.3">
      <c r="P7853" s="35">
        <v>66.77</v>
      </c>
      <c r="Q7853">
        <v>305</v>
      </c>
      <c r="R7853" s="34">
        <f t="shared" si="125"/>
        <v>0.89399977228743355</v>
      </c>
    </row>
    <row r="7854" spans="16:18" x14ac:dyDescent="0.3">
      <c r="P7854" s="35">
        <v>66.78</v>
      </c>
      <c r="Q7854">
        <v>305</v>
      </c>
      <c r="R7854" s="34">
        <f t="shared" si="125"/>
        <v>0.89411362860076615</v>
      </c>
    </row>
    <row r="7855" spans="16:18" x14ac:dyDescent="0.3">
      <c r="P7855" s="35">
        <v>66.78</v>
      </c>
      <c r="Q7855">
        <v>305</v>
      </c>
      <c r="R7855" s="34">
        <f t="shared" si="125"/>
        <v>0.89422748491409876</v>
      </c>
    </row>
    <row r="7856" spans="16:18" x14ac:dyDescent="0.3">
      <c r="P7856" s="35">
        <v>66.78</v>
      </c>
      <c r="Q7856">
        <v>305</v>
      </c>
      <c r="R7856" s="34">
        <f t="shared" si="125"/>
        <v>0.89434134122743136</v>
      </c>
    </row>
    <row r="7857" spans="16:18" x14ac:dyDescent="0.3">
      <c r="P7857" s="35">
        <v>66.790000000000006</v>
      </c>
      <c r="Q7857">
        <v>305</v>
      </c>
      <c r="R7857" s="34">
        <f t="shared" si="125"/>
        <v>0.89445519754076397</v>
      </c>
    </row>
    <row r="7858" spans="16:18" x14ac:dyDescent="0.3">
      <c r="P7858" s="35">
        <v>66.8</v>
      </c>
      <c r="Q7858">
        <v>305</v>
      </c>
      <c r="R7858" s="34">
        <f t="shared" si="125"/>
        <v>0.89456905385409657</v>
      </c>
    </row>
    <row r="7859" spans="16:18" x14ac:dyDescent="0.3">
      <c r="P7859" s="35">
        <v>66.88</v>
      </c>
      <c r="Q7859">
        <v>305</v>
      </c>
      <c r="R7859" s="34">
        <f t="shared" si="125"/>
        <v>0.89468291016742918</v>
      </c>
    </row>
    <row r="7860" spans="16:18" x14ac:dyDescent="0.3">
      <c r="P7860" s="35">
        <v>66.89</v>
      </c>
      <c r="Q7860">
        <v>305</v>
      </c>
      <c r="R7860" s="34">
        <f t="shared" si="125"/>
        <v>0.89479676648076178</v>
      </c>
    </row>
    <row r="7861" spans="16:18" x14ac:dyDescent="0.3">
      <c r="P7861" s="35">
        <v>66.92</v>
      </c>
      <c r="Q7861">
        <v>305</v>
      </c>
      <c r="R7861" s="34">
        <f t="shared" si="125"/>
        <v>0.89491062279409439</v>
      </c>
    </row>
    <row r="7862" spans="16:18" x14ac:dyDescent="0.3">
      <c r="P7862" s="35">
        <v>66.95</v>
      </c>
      <c r="Q7862">
        <v>305</v>
      </c>
      <c r="R7862" s="34">
        <f t="shared" si="125"/>
        <v>0.895024479107427</v>
      </c>
    </row>
    <row r="7863" spans="16:18" x14ac:dyDescent="0.3">
      <c r="P7863" s="35">
        <v>66.989999999999995</v>
      </c>
      <c r="Q7863">
        <v>305</v>
      </c>
      <c r="R7863" s="34">
        <f t="shared" si="125"/>
        <v>0.8951383354207596</v>
      </c>
    </row>
    <row r="7864" spans="16:18" x14ac:dyDescent="0.3">
      <c r="P7864" s="35">
        <v>67</v>
      </c>
      <c r="Q7864">
        <v>305</v>
      </c>
      <c r="R7864" s="34">
        <f t="shared" si="125"/>
        <v>0.89525219173409221</v>
      </c>
    </row>
    <row r="7865" spans="16:18" x14ac:dyDescent="0.3">
      <c r="P7865" s="35">
        <v>67.03</v>
      </c>
      <c r="Q7865">
        <v>305</v>
      </c>
      <c r="R7865" s="34">
        <f t="shared" si="125"/>
        <v>0.89536604804742481</v>
      </c>
    </row>
    <row r="7866" spans="16:18" x14ac:dyDescent="0.3">
      <c r="P7866" s="35">
        <v>67.05</v>
      </c>
      <c r="Q7866">
        <v>305</v>
      </c>
      <c r="R7866" s="34">
        <f t="shared" si="125"/>
        <v>0.89547990436075742</v>
      </c>
    </row>
    <row r="7867" spans="16:18" x14ac:dyDescent="0.3">
      <c r="P7867" s="35">
        <v>67.34</v>
      </c>
      <c r="Q7867">
        <v>305</v>
      </c>
      <c r="R7867" s="34">
        <f t="shared" si="125"/>
        <v>0.89559376067409002</v>
      </c>
    </row>
    <row r="7868" spans="16:18" x14ac:dyDescent="0.3">
      <c r="P7868" s="35">
        <v>67.42</v>
      </c>
      <c r="Q7868">
        <v>305</v>
      </c>
      <c r="R7868" s="34">
        <f t="shared" si="125"/>
        <v>0.89570761698742263</v>
      </c>
    </row>
    <row r="7869" spans="16:18" x14ac:dyDescent="0.3">
      <c r="P7869" s="35">
        <v>67.44</v>
      </c>
      <c r="Q7869">
        <v>305</v>
      </c>
      <c r="R7869" s="34">
        <f t="shared" si="125"/>
        <v>0.89582147330075523</v>
      </c>
    </row>
    <row r="7870" spans="16:18" x14ac:dyDescent="0.3">
      <c r="P7870" s="35">
        <v>67.48</v>
      </c>
      <c r="Q7870">
        <v>305</v>
      </c>
      <c r="R7870" s="34">
        <f t="shared" si="125"/>
        <v>0.89593532961408784</v>
      </c>
    </row>
    <row r="7871" spans="16:18" x14ac:dyDescent="0.3">
      <c r="P7871" s="35">
        <v>67.489999999999995</v>
      </c>
      <c r="Q7871">
        <v>305</v>
      </c>
      <c r="R7871" s="34">
        <f t="shared" si="125"/>
        <v>0.89604918592742044</v>
      </c>
    </row>
    <row r="7872" spans="16:18" x14ac:dyDescent="0.3">
      <c r="P7872" s="35">
        <v>67.52</v>
      </c>
      <c r="Q7872">
        <v>305</v>
      </c>
      <c r="R7872" s="34">
        <f t="shared" si="125"/>
        <v>0.89616304224075305</v>
      </c>
    </row>
    <row r="7873" spans="16:18" x14ac:dyDescent="0.3">
      <c r="P7873" s="35">
        <v>67.53</v>
      </c>
      <c r="Q7873">
        <v>305</v>
      </c>
      <c r="R7873" s="34">
        <f t="shared" si="125"/>
        <v>0.89627689855408565</v>
      </c>
    </row>
    <row r="7874" spans="16:18" x14ac:dyDescent="0.3">
      <c r="P7874" s="35">
        <v>67.53</v>
      </c>
      <c r="Q7874">
        <v>305</v>
      </c>
      <c r="R7874" s="34">
        <f t="shared" si="125"/>
        <v>0.89639075486741826</v>
      </c>
    </row>
    <row r="7875" spans="16:18" x14ac:dyDescent="0.3">
      <c r="P7875" s="35">
        <v>67.55</v>
      </c>
      <c r="Q7875">
        <v>305</v>
      </c>
      <c r="R7875" s="34">
        <f t="shared" si="125"/>
        <v>0.89650461118075087</v>
      </c>
    </row>
    <row r="7876" spans="16:18" x14ac:dyDescent="0.3">
      <c r="P7876" s="35">
        <v>67.569999999999993</v>
      </c>
      <c r="Q7876">
        <v>305</v>
      </c>
      <c r="R7876" s="34">
        <f t="shared" ref="R7876:R7939" si="126">R7875+R$2</f>
        <v>0.89661846749408347</v>
      </c>
    </row>
    <row r="7877" spans="16:18" x14ac:dyDescent="0.3">
      <c r="P7877" s="35">
        <v>67.58</v>
      </c>
      <c r="Q7877">
        <v>305</v>
      </c>
      <c r="R7877" s="34">
        <f t="shared" si="126"/>
        <v>0.89673232380741608</v>
      </c>
    </row>
    <row r="7878" spans="16:18" x14ac:dyDescent="0.3">
      <c r="P7878" s="35">
        <v>67.58</v>
      </c>
      <c r="Q7878">
        <v>305</v>
      </c>
      <c r="R7878" s="34">
        <f t="shared" si="126"/>
        <v>0.89684618012074868</v>
      </c>
    </row>
    <row r="7879" spans="16:18" x14ac:dyDescent="0.3">
      <c r="P7879" s="35">
        <v>67.59</v>
      </c>
      <c r="Q7879">
        <v>305</v>
      </c>
      <c r="R7879" s="34">
        <f t="shared" si="126"/>
        <v>0.89696003643408129</v>
      </c>
    </row>
    <row r="7880" spans="16:18" x14ac:dyDescent="0.3">
      <c r="P7880" s="35">
        <v>67.72</v>
      </c>
      <c r="Q7880">
        <v>305</v>
      </c>
      <c r="R7880" s="34">
        <f t="shared" si="126"/>
        <v>0.89707389274741389</v>
      </c>
    </row>
    <row r="7881" spans="16:18" x14ac:dyDescent="0.3">
      <c r="P7881" s="35">
        <v>67.849999999999994</v>
      </c>
      <c r="Q7881">
        <v>305</v>
      </c>
      <c r="R7881" s="34">
        <f t="shared" si="126"/>
        <v>0.8971877490607465</v>
      </c>
    </row>
    <row r="7882" spans="16:18" x14ac:dyDescent="0.3">
      <c r="P7882" s="35">
        <v>67.959999999999994</v>
      </c>
      <c r="Q7882">
        <v>305</v>
      </c>
      <c r="R7882" s="34">
        <f t="shared" si="126"/>
        <v>0.8973016053740791</v>
      </c>
    </row>
    <row r="7883" spans="16:18" x14ac:dyDescent="0.3">
      <c r="P7883" s="35">
        <v>67.97</v>
      </c>
      <c r="Q7883">
        <v>305</v>
      </c>
      <c r="R7883" s="34">
        <f t="shared" si="126"/>
        <v>0.89741546168741171</v>
      </c>
    </row>
    <row r="7884" spans="16:18" x14ac:dyDescent="0.3">
      <c r="P7884" s="35">
        <v>68.08</v>
      </c>
      <c r="Q7884">
        <v>305</v>
      </c>
      <c r="R7884" s="34">
        <f t="shared" si="126"/>
        <v>0.89752931800074431</v>
      </c>
    </row>
    <row r="7885" spans="16:18" x14ac:dyDescent="0.3">
      <c r="P7885" s="35">
        <v>68.19</v>
      </c>
      <c r="Q7885">
        <v>305</v>
      </c>
      <c r="R7885" s="34">
        <f t="shared" si="126"/>
        <v>0.89764317431407692</v>
      </c>
    </row>
    <row r="7886" spans="16:18" x14ac:dyDescent="0.3">
      <c r="P7886" s="35">
        <v>68.260000000000005</v>
      </c>
      <c r="Q7886">
        <v>305</v>
      </c>
      <c r="R7886" s="34">
        <f t="shared" si="126"/>
        <v>0.89775703062740952</v>
      </c>
    </row>
    <row r="7887" spans="16:18" x14ac:dyDescent="0.3">
      <c r="P7887" s="35">
        <v>68.290000000000006</v>
      </c>
      <c r="Q7887">
        <v>305</v>
      </c>
      <c r="R7887" s="34">
        <f t="shared" si="126"/>
        <v>0.89787088694074213</v>
      </c>
    </row>
    <row r="7888" spans="16:18" x14ac:dyDescent="0.3">
      <c r="P7888" s="35">
        <v>68.3</v>
      </c>
      <c r="Q7888">
        <v>305</v>
      </c>
      <c r="R7888" s="34">
        <f t="shared" si="126"/>
        <v>0.89798474325407474</v>
      </c>
    </row>
    <row r="7889" spans="16:18" x14ac:dyDescent="0.3">
      <c r="P7889" s="35">
        <v>68.319999999999993</v>
      </c>
      <c r="Q7889">
        <v>305</v>
      </c>
      <c r="R7889" s="34">
        <f t="shared" si="126"/>
        <v>0.89809859956740734</v>
      </c>
    </row>
    <row r="7890" spans="16:18" x14ac:dyDescent="0.3">
      <c r="P7890" s="35">
        <v>68.33</v>
      </c>
      <c r="Q7890">
        <v>305</v>
      </c>
      <c r="R7890" s="34">
        <f t="shared" si="126"/>
        <v>0.89821245588073995</v>
      </c>
    </row>
    <row r="7891" spans="16:18" x14ac:dyDescent="0.3">
      <c r="P7891" s="35">
        <v>68.37</v>
      </c>
      <c r="Q7891">
        <v>305</v>
      </c>
      <c r="R7891" s="34">
        <f t="shared" si="126"/>
        <v>0.89832631219407255</v>
      </c>
    </row>
    <row r="7892" spans="16:18" x14ac:dyDescent="0.3">
      <c r="P7892" s="35">
        <v>68.42</v>
      </c>
      <c r="Q7892">
        <v>305</v>
      </c>
      <c r="R7892" s="34">
        <f t="shared" si="126"/>
        <v>0.89844016850740516</v>
      </c>
    </row>
    <row r="7893" spans="16:18" x14ac:dyDescent="0.3">
      <c r="P7893" s="35">
        <v>68.48</v>
      </c>
      <c r="Q7893">
        <v>305</v>
      </c>
      <c r="R7893" s="34">
        <f t="shared" si="126"/>
        <v>0.89855402482073776</v>
      </c>
    </row>
    <row r="7894" spans="16:18" x14ac:dyDescent="0.3">
      <c r="P7894" s="35">
        <v>68.48</v>
      </c>
      <c r="Q7894">
        <v>305</v>
      </c>
      <c r="R7894" s="34">
        <f t="shared" si="126"/>
        <v>0.89866788113407037</v>
      </c>
    </row>
    <row r="7895" spans="16:18" x14ac:dyDescent="0.3">
      <c r="P7895" s="35">
        <v>68.489999999999995</v>
      </c>
      <c r="Q7895">
        <v>305</v>
      </c>
      <c r="R7895" s="34">
        <f t="shared" si="126"/>
        <v>0.89878173744740297</v>
      </c>
    </row>
    <row r="7896" spans="16:18" x14ac:dyDescent="0.3">
      <c r="P7896" s="35">
        <v>68.510000000000005</v>
      </c>
      <c r="Q7896">
        <v>305</v>
      </c>
      <c r="R7896" s="34">
        <f t="shared" si="126"/>
        <v>0.89889559376073558</v>
      </c>
    </row>
    <row r="7897" spans="16:18" x14ac:dyDescent="0.3">
      <c r="P7897" s="35">
        <v>68.53</v>
      </c>
      <c r="Q7897">
        <v>305</v>
      </c>
      <c r="R7897" s="34">
        <f t="shared" si="126"/>
        <v>0.89900945007406818</v>
      </c>
    </row>
    <row r="7898" spans="16:18" x14ac:dyDescent="0.3">
      <c r="P7898" s="35">
        <v>68.540000000000006</v>
      </c>
      <c r="Q7898">
        <v>305</v>
      </c>
      <c r="R7898" s="34">
        <f t="shared" si="126"/>
        <v>0.89912330638740079</v>
      </c>
    </row>
    <row r="7899" spans="16:18" x14ac:dyDescent="0.3">
      <c r="P7899" s="35">
        <v>68.64</v>
      </c>
      <c r="Q7899">
        <v>305</v>
      </c>
      <c r="R7899" s="34">
        <f t="shared" si="126"/>
        <v>0.89923716270073339</v>
      </c>
    </row>
    <row r="7900" spans="16:18" x14ac:dyDescent="0.3">
      <c r="P7900" s="35">
        <v>68.650000000000006</v>
      </c>
      <c r="Q7900">
        <v>305</v>
      </c>
      <c r="R7900" s="34">
        <f t="shared" si="126"/>
        <v>0.899351019014066</v>
      </c>
    </row>
    <row r="7901" spans="16:18" x14ac:dyDescent="0.3">
      <c r="P7901" s="35">
        <v>68.66</v>
      </c>
      <c r="Q7901">
        <v>305</v>
      </c>
      <c r="R7901" s="34">
        <f t="shared" si="126"/>
        <v>0.89946487532739861</v>
      </c>
    </row>
    <row r="7902" spans="16:18" x14ac:dyDescent="0.3">
      <c r="P7902" s="35">
        <v>68.680000000000007</v>
      </c>
      <c r="Q7902">
        <v>305</v>
      </c>
      <c r="R7902" s="34">
        <f t="shared" si="126"/>
        <v>0.89957873164073121</v>
      </c>
    </row>
    <row r="7903" spans="16:18" x14ac:dyDescent="0.3">
      <c r="P7903" s="35">
        <v>68.72</v>
      </c>
      <c r="Q7903">
        <v>305</v>
      </c>
      <c r="R7903" s="34">
        <f t="shared" si="126"/>
        <v>0.89969258795406382</v>
      </c>
    </row>
    <row r="7904" spans="16:18" x14ac:dyDescent="0.3">
      <c r="P7904" s="35">
        <v>68.739999999999995</v>
      </c>
      <c r="Q7904">
        <v>305</v>
      </c>
      <c r="R7904" s="34">
        <f t="shared" si="126"/>
        <v>0.89980644426739642</v>
      </c>
    </row>
    <row r="7905" spans="16:18" x14ac:dyDescent="0.3">
      <c r="P7905" s="35">
        <v>68.78</v>
      </c>
      <c r="Q7905">
        <v>305</v>
      </c>
      <c r="R7905" s="34">
        <f t="shared" si="126"/>
        <v>0.89992030058072903</v>
      </c>
    </row>
    <row r="7906" spans="16:18" x14ac:dyDescent="0.3">
      <c r="P7906" s="35">
        <v>68.78</v>
      </c>
      <c r="Q7906">
        <v>305</v>
      </c>
      <c r="R7906" s="34">
        <f t="shared" si="126"/>
        <v>0.90003415689406163</v>
      </c>
    </row>
    <row r="7907" spans="16:18" x14ac:dyDescent="0.3">
      <c r="P7907" s="35">
        <v>68.84</v>
      </c>
      <c r="Q7907">
        <v>305</v>
      </c>
      <c r="R7907" s="34">
        <f t="shared" si="126"/>
        <v>0.90014801320739424</v>
      </c>
    </row>
    <row r="7908" spans="16:18" x14ac:dyDescent="0.3">
      <c r="P7908" s="35">
        <v>68.900000000000006</v>
      </c>
      <c r="Q7908">
        <v>305</v>
      </c>
      <c r="R7908" s="34">
        <f t="shared" si="126"/>
        <v>0.90026186952072684</v>
      </c>
    </row>
    <row r="7909" spans="16:18" x14ac:dyDescent="0.3">
      <c r="P7909" s="35">
        <v>68.92</v>
      </c>
      <c r="Q7909">
        <v>305</v>
      </c>
      <c r="R7909" s="34">
        <f t="shared" si="126"/>
        <v>0.90037572583405945</v>
      </c>
    </row>
    <row r="7910" spans="16:18" x14ac:dyDescent="0.3">
      <c r="P7910" s="35">
        <v>68.94</v>
      </c>
      <c r="Q7910">
        <v>305</v>
      </c>
      <c r="R7910" s="34">
        <f t="shared" si="126"/>
        <v>0.90048958214739205</v>
      </c>
    </row>
    <row r="7911" spans="16:18" x14ac:dyDescent="0.3">
      <c r="P7911" s="35">
        <v>68.98</v>
      </c>
      <c r="Q7911">
        <v>305</v>
      </c>
      <c r="R7911" s="34">
        <f t="shared" si="126"/>
        <v>0.90060343846072466</v>
      </c>
    </row>
    <row r="7912" spans="16:18" x14ac:dyDescent="0.3">
      <c r="P7912" s="35">
        <v>69.08</v>
      </c>
      <c r="Q7912">
        <v>305</v>
      </c>
      <c r="R7912" s="34">
        <f t="shared" si="126"/>
        <v>0.90071729477405726</v>
      </c>
    </row>
    <row r="7913" spans="16:18" x14ac:dyDescent="0.3">
      <c r="P7913" s="35">
        <v>69.09</v>
      </c>
      <c r="Q7913">
        <v>305</v>
      </c>
      <c r="R7913" s="34">
        <f t="shared" si="126"/>
        <v>0.90083115108738987</v>
      </c>
    </row>
    <row r="7914" spans="16:18" x14ac:dyDescent="0.3">
      <c r="P7914" s="35">
        <v>69.099999999999994</v>
      </c>
      <c r="Q7914">
        <v>305</v>
      </c>
      <c r="R7914" s="34">
        <f t="shared" si="126"/>
        <v>0.90094500740072248</v>
      </c>
    </row>
    <row r="7915" spans="16:18" x14ac:dyDescent="0.3">
      <c r="P7915" s="35">
        <v>69.12</v>
      </c>
      <c r="Q7915">
        <v>305</v>
      </c>
      <c r="R7915" s="34">
        <f t="shared" si="126"/>
        <v>0.90105886371405508</v>
      </c>
    </row>
    <row r="7916" spans="16:18" x14ac:dyDescent="0.3">
      <c r="P7916" s="35">
        <v>69.16</v>
      </c>
      <c r="Q7916">
        <v>305</v>
      </c>
      <c r="R7916" s="34">
        <f t="shared" si="126"/>
        <v>0.90117272002738769</v>
      </c>
    </row>
    <row r="7917" spans="16:18" x14ac:dyDescent="0.3">
      <c r="P7917" s="35">
        <v>69.16</v>
      </c>
      <c r="Q7917">
        <v>305</v>
      </c>
      <c r="R7917" s="34">
        <f t="shared" si="126"/>
        <v>0.90128657634072029</v>
      </c>
    </row>
    <row r="7918" spans="16:18" x14ac:dyDescent="0.3">
      <c r="P7918" s="35">
        <v>69.27</v>
      </c>
      <c r="Q7918">
        <v>305</v>
      </c>
      <c r="R7918" s="34">
        <f t="shared" si="126"/>
        <v>0.9014004326540529</v>
      </c>
    </row>
    <row r="7919" spans="16:18" x14ac:dyDescent="0.3">
      <c r="P7919" s="35">
        <v>69.31</v>
      </c>
      <c r="Q7919">
        <v>305</v>
      </c>
      <c r="R7919" s="34">
        <f t="shared" si="126"/>
        <v>0.9015142889673855</v>
      </c>
    </row>
    <row r="7920" spans="16:18" x14ac:dyDescent="0.3">
      <c r="P7920" s="35">
        <v>69.319999999999993</v>
      </c>
      <c r="Q7920">
        <v>305</v>
      </c>
      <c r="R7920" s="34">
        <f t="shared" si="126"/>
        <v>0.90162814528071811</v>
      </c>
    </row>
    <row r="7921" spans="16:18" x14ac:dyDescent="0.3">
      <c r="P7921" s="35">
        <v>69.34</v>
      </c>
      <c r="Q7921">
        <v>305</v>
      </c>
      <c r="R7921" s="34">
        <f t="shared" si="126"/>
        <v>0.90174200159405071</v>
      </c>
    </row>
    <row r="7922" spans="16:18" x14ac:dyDescent="0.3">
      <c r="P7922" s="35">
        <v>69.41</v>
      </c>
      <c r="Q7922">
        <v>305</v>
      </c>
      <c r="R7922" s="34">
        <f t="shared" si="126"/>
        <v>0.90185585790738332</v>
      </c>
    </row>
    <row r="7923" spans="16:18" x14ac:dyDescent="0.3">
      <c r="P7923" s="35">
        <v>69.42</v>
      </c>
      <c r="Q7923">
        <v>305</v>
      </c>
      <c r="R7923" s="34">
        <f t="shared" si="126"/>
        <v>0.90196971422071592</v>
      </c>
    </row>
    <row r="7924" spans="16:18" x14ac:dyDescent="0.3">
      <c r="P7924" s="35">
        <v>69.48</v>
      </c>
      <c r="Q7924">
        <v>305</v>
      </c>
      <c r="R7924" s="34">
        <f t="shared" si="126"/>
        <v>0.90208357053404853</v>
      </c>
    </row>
    <row r="7925" spans="16:18" x14ac:dyDescent="0.3">
      <c r="P7925" s="35">
        <v>69.5</v>
      </c>
      <c r="Q7925">
        <v>305</v>
      </c>
      <c r="R7925" s="34">
        <f t="shared" si="126"/>
        <v>0.90219742684738113</v>
      </c>
    </row>
    <row r="7926" spans="16:18" x14ac:dyDescent="0.3">
      <c r="P7926" s="35">
        <v>69.510000000000005</v>
      </c>
      <c r="Q7926">
        <v>305</v>
      </c>
      <c r="R7926" s="34">
        <f t="shared" si="126"/>
        <v>0.90231128316071374</v>
      </c>
    </row>
    <row r="7927" spans="16:18" x14ac:dyDescent="0.3">
      <c r="P7927" s="35">
        <v>69.52</v>
      </c>
      <c r="Q7927">
        <v>305</v>
      </c>
      <c r="R7927" s="34">
        <f t="shared" si="126"/>
        <v>0.90242513947404635</v>
      </c>
    </row>
    <row r="7928" spans="16:18" x14ac:dyDescent="0.3">
      <c r="P7928" s="35">
        <v>69.599999999999994</v>
      </c>
      <c r="Q7928">
        <v>305</v>
      </c>
      <c r="R7928" s="34">
        <f t="shared" si="126"/>
        <v>0.90253899578737895</v>
      </c>
    </row>
    <row r="7929" spans="16:18" x14ac:dyDescent="0.3">
      <c r="P7929" s="35">
        <v>69.67</v>
      </c>
      <c r="Q7929">
        <v>305</v>
      </c>
      <c r="R7929" s="34">
        <f t="shared" si="126"/>
        <v>0.90265285210071156</v>
      </c>
    </row>
    <row r="7930" spans="16:18" x14ac:dyDescent="0.3">
      <c r="P7930" s="35">
        <v>69.709999999999994</v>
      </c>
      <c r="Q7930">
        <v>305</v>
      </c>
      <c r="R7930" s="34">
        <f t="shared" si="126"/>
        <v>0.90276670841404416</v>
      </c>
    </row>
    <row r="7931" spans="16:18" x14ac:dyDescent="0.3">
      <c r="P7931" s="35">
        <v>69.819999999999993</v>
      </c>
      <c r="Q7931">
        <v>305</v>
      </c>
      <c r="R7931" s="34">
        <f t="shared" si="126"/>
        <v>0.90288056472737677</v>
      </c>
    </row>
    <row r="7932" spans="16:18" x14ac:dyDescent="0.3">
      <c r="P7932" s="35">
        <v>69.959999999999994</v>
      </c>
      <c r="Q7932">
        <v>305</v>
      </c>
      <c r="R7932" s="34">
        <f t="shared" si="126"/>
        <v>0.90299442104070937</v>
      </c>
    </row>
    <row r="7933" spans="16:18" x14ac:dyDescent="0.3">
      <c r="P7933" s="35">
        <v>70</v>
      </c>
      <c r="Q7933">
        <v>305</v>
      </c>
      <c r="R7933" s="34">
        <f t="shared" si="126"/>
        <v>0.90310827735404198</v>
      </c>
    </row>
    <row r="7934" spans="16:18" x14ac:dyDescent="0.3">
      <c r="P7934" s="35">
        <v>70</v>
      </c>
      <c r="Q7934">
        <v>305</v>
      </c>
      <c r="R7934" s="34">
        <f t="shared" si="126"/>
        <v>0.90322213366737458</v>
      </c>
    </row>
    <row r="7935" spans="16:18" x14ac:dyDescent="0.3">
      <c r="P7935" s="35">
        <v>70.08</v>
      </c>
      <c r="Q7935">
        <v>305</v>
      </c>
      <c r="R7935" s="34">
        <f t="shared" si="126"/>
        <v>0.90333598998070719</v>
      </c>
    </row>
    <row r="7936" spans="16:18" x14ac:dyDescent="0.3">
      <c r="P7936" s="35">
        <v>70.08</v>
      </c>
      <c r="Q7936">
        <v>305</v>
      </c>
      <c r="R7936" s="34">
        <f t="shared" si="126"/>
        <v>0.90344984629403979</v>
      </c>
    </row>
    <row r="7937" spans="16:18" x14ac:dyDescent="0.3">
      <c r="P7937" s="35">
        <v>70.12</v>
      </c>
      <c r="Q7937">
        <v>305</v>
      </c>
      <c r="R7937" s="34">
        <f t="shared" si="126"/>
        <v>0.9035637026073724</v>
      </c>
    </row>
    <row r="7938" spans="16:18" x14ac:dyDescent="0.3">
      <c r="P7938" s="35">
        <v>70.19</v>
      </c>
      <c r="Q7938">
        <v>305</v>
      </c>
      <c r="R7938" s="34">
        <f t="shared" si="126"/>
        <v>0.903677558920705</v>
      </c>
    </row>
    <row r="7939" spans="16:18" x14ac:dyDescent="0.3">
      <c r="P7939" s="35">
        <v>70.27</v>
      </c>
      <c r="Q7939">
        <v>305</v>
      </c>
      <c r="R7939" s="34">
        <f t="shared" si="126"/>
        <v>0.90379141523403761</v>
      </c>
    </row>
    <row r="7940" spans="16:18" x14ac:dyDescent="0.3">
      <c r="P7940" s="35">
        <v>70.28</v>
      </c>
      <c r="Q7940">
        <v>305</v>
      </c>
      <c r="R7940" s="34">
        <f t="shared" ref="R7940:R8003" si="127">R7939+R$2</f>
        <v>0.90390527154737021</v>
      </c>
    </row>
    <row r="7941" spans="16:18" x14ac:dyDescent="0.3">
      <c r="P7941" s="35">
        <v>70.290000000000006</v>
      </c>
      <c r="Q7941">
        <v>305</v>
      </c>
      <c r="R7941" s="34">
        <f t="shared" si="127"/>
        <v>0.90401912786070282</v>
      </c>
    </row>
    <row r="7942" spans="16:18" x14ac:dyDescent="0.3">
      <c r="P7942" s="35">
        <v>70.39</v>
      </c>
      <c r="Q7942">
        <v>305</v>
      </c>
      <c r="R7942" s="34">
        <f t="shared" si="127"/>
        <v>0.90413298417403543</v>
      </c>
    </row>
    <row r="7943" spans="16:18" x14ac:dyDescent="0.3">
      <c r="P7943" s="35">
        <v>70.41</v>
      </c>
      <c r="Q7943">
        <v>305</v>
      </c>
      <c r="R7943" s="34">
        <f t="shared" si="127"/>
        <v>0.90424684048736803</v>
      </c>
    </row>
    <row r="7944" spans="16:18" x14ac:dyDescent="0.3">
      <c r="P7944" s="35">
        <v>70.42</v>
      </c>
      <c r="Q7944">
        <v>305</v>
      </c>
      <c r="R7944" s="34">
        <f t="shared" si="127"/>
        <v>0.90436069680070064</v>
      </c>
    </row>
    <row r="7945" spans="16:18" x14ac:dyDescent="0.3">
      <c r="P7945" s="35">
        <v>70.430000000000007</v>
      </c>
      <c r="Q7945">
        <v>305</v>
      </c>
      <c r="R7945" s="34">
        <f t="shared" si="127"/>
        <v>0.90447455311403324</v>
      </c>
    </row>
    <row r="7946" spans="16:18" x14ac:dyDescent="0.3">
      <c r="P7946" s="35">
        <v>70.45</v>
      </c>
      <c r="Q7946">
        <v>305</v>
      </c>
      <c r="R7946" s="34">
        <f t="shared" si="127"/>
        <v>0.90458840942736585</v>
      </c>
    </row>
    <row r="7947" spans="16:18" x14ac:dyDescent="0.3">
      <c r="P7947" s="35">
        <v>70.45</v>
      </c>
      <c r="Q7947">
        <v>305</v>
      </c>
      <c r="R7947" s="34">
        <f t="shared" si="127"/>
        <v>0.90470226574069845</v>
      </c>
    </row>
    <row r="7948" spans="16:18" x14ac:dyDescent="0.3">
      <c r="P7948" s="35">
        <v>70.47</v>
      </c>
      <c r="Q7948">
        <v>305</v>
      </c>
      <c r="R7948" s="34">
        <f t="shared" si="127"/>
        <v>0.90481612205403106</v>
      </c>
    </row>
    <row r="7949" spans="16:18" x14ac:dyDescent="0.3">
      <c r="P7949" s="35">
        <v>70.47</v>
      </c>
      <c r="Q7949">
        <v>305</v>
      </c>
      <c r="R7949" s="34">
        <f t="shared" si="127"/>
        <v>0.90492997836736366</v>
      </c>
    </row>
    <row r="7950" spans="16:18" x14ac:dyDescent="0.3">
      <c r="P7950" s="35">
        <v>70.53</v>
      </c>
      <c r="Q7950">
        <v>305</v>
      </c>
      <c r="R7950" s="34">
        <f t="shared" si="127"/>
        <v>0.90504383468069627</v>
      </c>
    </row>
    <row r="7951" spans="16:18" x14ac:dyDescent="0.3">
      <c r="P7951" s="35">
        <v>70.61</v>
      </c>
      <c r="Q7951">
        <v>305</v>
      </c>
      <c r="R7951" s="34">
        <f t="shared" si="127"/>
        <v>0.90515769099402887</v>
      </c>
    </row>
    <row r="7952" spans="16:18" x14ac:dyDescent="0.3">
      <c r="P7952" s="35">
        <v>70.709999999999994</v>
      </c>
      <c r="Q7952">
        <v>305</v>
      </c>
      <c r="R7952" s="34">
        <f t="shared" si="127"/>
        <v>0.90527154730736148</v>
      </c>
    </row>
    <row r="7953" spans="16:18" x14ac:dyDescent="0.3">
      <c r="P7953" s="35">
        <v>70.739999999999995</v>
      </c>
      <c r="Q7953">
        <v>305</v>
      </c>
      <c r="R7953" s="34">
        <f t="shared" si="127"/>
        <v>0.90538540362069408</v>
      </c>
    </row>
    <row r="7954" spans="16:18" x14ac:dyDescent="0.3">
      <c r="P7954" s="35">
        <v>70.739999999999995</v>
      </c>
      <c r="Q7954">
        <v>305</v>
      </c>
      <c r="R7954" s="34">
        <f t="shared" si="127"/>
        <v>0.90549925993402669</v>
      </c>
    </row>
    <row r="7955" spans="16:18" x14ac:dyDescent="0.3">
      <c r="P7955" s="35">
        <v>70.790000000000006</v>
      </c>
      <c r="Q7955">
        <v>305</v>
      </c>
      <c r="R7955" s="34">
        <f t="shared" si="127"/>
        <v>0.9056131162473593</v>
      </c>
    </row>
    <row r="7956" spans="16:18" x14ac:dyDescent="0.3">
      <c r="P7956" s="35">
        <v>70.819999999999993</v>
      </c>
      <c r="Q7956">
        <v>305</v>
      </c>
      <c r="R7956" s="34">
        <f t="shared" si="127"/>
        <v>0.9057269725606919</v>
      </c>
    </row>
    <row r="7957" spans="16:18" x14ac:dyDescent="0.3">
      <c r="P7957" s="35">
        <v>70.86</v>
      </c>
      <c r="Q7957">
        <v>305</v>
      </c>
      <c r="R7957" s="34">
        <f t="shared" si="127"/>
        <v>0.90584082887402451</v>
      </c>
    </row>
    <row r="7958" spans="16:18" x14ac:dyDescent="0.3">
      <c r="P7958" s="35">
        <v>70.88</v>
      </c>
      <c r="Q7958">
        <v>305</v>
      </c>
      <c r="R7958" s="34">
        <f t="shared" si="127"/>
        <v>0.90595468518735711</v>
      </c>
    </row>
    <row r="7959" spans="16:18" x14ac:dyDescent="0.3">
      <c r="P7959" s="35">
        <v>70.97</v>
      </c>
      <c r="Q7959">
        <v>305</v>
      </c>
      <c r="R7959" s="34">
        <f t="shared" si="127"/>
        <v>0.90606854150068972</v>
      </c>
    </row>
    <row r="7960" spans="16:18" x14ac:dyDescent="0.3">
      <c r="P7960" s="35">
        <v>70.98</v>
      </c>
      <c r="Q7960">
        <v>305</v>
      </c>
      <c r="R7960" s="34">
        <f t="shared" si="127"/>
        <v>0.90618239781402232</v>
      </c>
    </row>
    <row r="7961" spans="16:18" x14ac:dyDescent="0.3">
      <c r="P7961" s="35">
        <v>70.98</v>
      </c>
      <c r="Q7961">
        <v>305</v>
      </c>
      <c r="R7961" s="34">
        <f t="shared" si="127"/>
        <v>0.90629625412735493</v>
      </c>
    </row>
    <row r="7962" spans="16:18" x14ac:dyDescent="0.3">
      <c r="P7962" s="35">
        <v>70.989999999999995</v>
      </c>
      <c r="Q7962">
        <v>305</v>
      </c>
      <c r="R7962" s="34">
        <f t="shared" si="127"/>
        <v>0.90641011044068753</v>
      </c>
    </row>
    <row r="7963" spans="16:18" x14ac:dyDescent="0.3">
      <c r="P7963" s="35">
        <v>71.010000000000005</v>
      </c>
      <c r="Q7963">
        <v>305</v>
      </c>
      <c r="R7963" s="34">
        <f t="shared" si="127"/>
        <v>0.90652396675402014</v>
      </c>
    </row>
    <row r="7964" spans="16:18" x14ac:dyDescent="0.3">
      <c r="P7964" s="35">
        <v>71.010000000000005</v>
      </c>
      <c r="Q7964">
        <v>305</v>
      </c>
      <c r="R7964" s="34">
        <f t="shared" si="127"/>
        <v>0.90663782306735274</v>
      </c>
    </row>
    <row r="7965" spans="16:18" x14ac:dyDescent="0.3">
      <c r="P7965" s="35">
        <v>71.02</v>
      </c>
      <c r="Q7965">
        <v>305</v>
      </c>
      <c r="R7965" s="34">
        <f t="shared" si="127"/>
        <v>0.90675167938068535</v>
      </c>
    </row>
    <row r="7966" spans="16:18" x14ac:dyDescent="0.3">
      <c r="P7966" s="35">
        <v>71.05</v>
      </c>
      <c r="Q7966">
        <v>305</v>
      </c>
      <c r="R7966" s="34">
        <f t="shared" si="127"/>
        <v>0.90686553569401795</v>
      </c>
    </row>
    <row r="7967" spans="16:18" x14ac:dyDescent="0.3">
      <c r="P7967" s="35">
        <v>71.06</v>
      </c>
      <c r="Q7967">
        <v>305</v>
      </c>
      <c r="R7967" s="34">
        <f t="shared" si="127"/>
        <v>0.90697939200735056</v>
      </c>
    </row>
    <row r="7968" spans="16:18" x14ac:dyDescent="0.3">
      <c r="P7968" s="35">
        <v>71.08</v>
      </c>
      <c r="Q7968">
        <v>305</v>
      </c>
      <c r="R7968" s="34">
        <f t="shared" si="127"/>
        <v>0.90709324832068317</v>
      </c>
    </row>
    <row r="7969" spans="16:18" x14ac:dyDescent="0.3">
      <c r="P7969" s="35">
        <v>71.14</v>
      </c>
      <c r="Q7969">
        <v>305</v>
      </c>
      <c r="R7969" s="34">
        <f t="shared" si="127"/>
        <v>0.90720710463401577</v>
      </c>
    </row>
    <row r="7970" spans="16:18" x14ac:dyDescent="0.3">
      <c r="P7970" s="35">
        <v>71.25</v>
      </c>
      <c r="Q7970">
        <v>305</v>
      </c>
      <c r="R7970" s="34">
        <f t="shared" si="127"/>
        <v>0.90732096094734838</v>
      </c>
    </row>
    <row r="7971" spans="16:18" x14ac:dyDescent="0.3">
      <c r="P7971" s="35">
        <v>71.290000000000006</v>
      </c>
      <c r="Q7971">
        <v>305</v>
      </c>
      <c r="R7971" s="34">
        <f t="shared" si="127"/>
        <v>0.90743481726068098</v>
      </c>
    </row>
    <row r="7972" spans="16:18" x14ac:dyDescent="0.3">
      <c r="P7972" s="35">
        <v>71.3</v>
      </c>
      <c r="Q7972">
        <v>305</v>
      </c>
      <c r="R7972" s="34">
        <f t="shared" si="127"/>
        <v>0.90754867357401359</v>
      </c>
    </row>
    <row r="7973" spans="16:18" x14ac:dyDescent="0.3">
      <c r="P7973" s="35">
        <v>71.31</v>
      </c>
      <c r="Q7973">
        <v>305</v>
      </c>
      <c r="R7973" s="34">
        <f t="shared" si="127"/>
        <v>0.90766252988734619</v>
      </c>
    </row>
    <row r="7974" spans="16:18" x14ac:dyDescent="0.3">
      <c r="P7974" s="35">
        <v>71.319999999999993</v>
      </c>
      <c r="Q7974">
        <v>305</v>
      </c>
      <c r="R7974" s="34">
        <f t="shared" si="127"/>
        <v>0.9077763862006788</v>
      </c>
    </row>
    <row r="7975" spans="16:18" x14ac:dyDescent="0.3">
      <c r="P7975" s="35">
        <v>71.349999999999994</v>
      </c>
      <c r="Q7975">
        <v>305</v>
      </c>
      <c r="R7975" s="34">
        <f t="shared" si="127"/>
        <v>0.9078902425140114</v>
      </c>
    </row>
    <row r="7976" spans="16:18" x14ac:dyDescent="0.3">
      <c r="P7976" s="35">
        <v>71.459999999999994</v>
      </c>
      <c r="Q7976">
        <v>305</v>
      </c>
      <c r="R7976" s="34">
        <f t="shared" si="127"/>
        <v>0.90800409882734401</v>
      </c>
    </row>
    <row r="7977" spans="16:18" x14ac:dyDescent="0.3">
      <c r="P7977" s="35">
        <v>71.510000000000005</v>
      </c>
      <c r="Q7977">
        <v>305</v>
      </c>
      <c r="R7977" s="34">
        <f t="shared" si="127"/>
        <v>0.90811795514067661</v>
      </c>
    </row>
    <row r="7978" spans="16:18" x14ac:dyDescent="0.3">
      <c r="P7978" s="35">
        <v>71.62</v>
      </c>
      <c r="Q7978">
        <v>305</v>
      </c>
      <c r="R7978" s="34">
        <f t="shared" si="127"/>
        <v>0.90823181145400922</v>
      </c>
    </row>
    <row r="7979" spans="16:18" x14ac:dyDescent="0.3">
      <c r="P7979" s="35">
        <v>71.64</v>
      </c>
      <c r="Q7979">
        <v>305</v>
      </c>
      <c r="R7979" s="34">
        <f t="shared" si="127"/>
        <v>0.90834566776734182</v>
      </c>
    </row>
    <row r="7980" spans="16:18" x14ac:dyDescent="0.3">
      <c r="P7980" s="35">
        <v>71.75</v>
      </c>
      <c r="Q7980">
        <v>305</v>
      </c>
      <c r="R7980" s="34">
        <f t="shared" si="127"/>
        <v>0.90845952408067443</v>
      </c>
    </row>
    <row r="7981" spans="16:18" x14ac:dyDescent="0.3">
      <c r="P7981" s="35">
        <v>71.760000000000005</v>
      </c>
      <c r="Q7981">
        <v>305</v>
      </c>
      <c r="R7981" s="34">
        <f t="shared" si="127"/>
        <v>0.90857338039400704</v>
      </c>
    </row>
    <row r="7982" spans="16:18" x14ac:dyDescent="0.3">
      <c r="P7982" s="35">
        <v>71.78</v>
      </c>
      <c r="Q7982">
        <v>305</v>
      </c>
      <c r="R7982" s="34">
        <f t="shared" si="127"/>
        <v>0.90868723670733964</v>
      </c>
    </row>
    <row r="7983" spans="16:18" x14ac:dyDescent="0.3">
      <c r="P7983" s="35">
        <v>71.81</v>
      </c>
      <c r="Q7983">
        <v>305</v>
      </c>
      <c r="R7983" s="34">
        <f t="shared" si="127"/>
        <v>0.90880109302067225</v>
      </c>
    </row>
    <row r="7984" spans="16:18" x14ac:dyDescent="0.3">
      <c r="P7984" s="35">
        <v>71.87</v>
      </c>
      <c r="Q7984">
        <v>305</v>
      </c>
      <c r="R7984" s="34">
        <f t="shared" si="127"/>
        <v>0.90891494933400485</v>
      </c>
    </row>
    <row r="7985" spans="16:18" x14ac:dyDescent="0.3">
      <c r="P7985" s="35">
        <v>71.87</v>
      </c>
      <c r="Q7985">
        <v>305</v>
      </c>
      <c r="R7985" s="34">
        <f t="shared" si="127"/>
        <v>0.90902880564733746</v>
      </c>
    </row>
    <row r="7986" spans="16:18" x14ac:dyDescent="0.3">
      <c r="P7986" s="35">
        <v>71.88</v>
      </c>
      <c r="Q7986">
        <v>305</v>
      </c>
      <c r="R7986" s="34">
        <f t="shared" si="127"/>
        <v>0.90914266196067006</v>
      </c>
    </row>
    <row r="7987" spans="16:18" x14ac:dyDescent="0.3">
      <c r="P7987" s="35">
        <v>71.89</v>
      </c>
      <c r="Q7987">
        <v>305</v>
      </c>
      <c r="R7987" s="34">
        <f t="shared" si="127"/>
        <v>0.90925651827400267</v>
      </c>
    </row>
    <row r="7988" spans="16:18" x14ac:dyDescent="0.3">
      <c r="P7988" s="35">
        <v>71.95</v>
      </c>
      <c r="Q7988">
        <v>305</v>
      </c>
      <c r="R7988" s="34">
        <f t="shared" si="127"/>
        <v>0.90937037458733527</v>
      </c>
    </row>
    <row r="7989" spans="16:18" x14ac:dyDescent="0.3">
      <c r="P7989" s="35">
        <v>71.989999999999995</v>
      </c>
      <c r="Q7989">
        <v>305</v>
      </c>
      <c r="R7989" s="34">
        <f t="shared" si="127"/>
        <v>0.90948423090066788</v>
      </c>
    </row>
    <row r="7990" spans="16:18" x14ac:dyDescent="0.3">
      <c r="P7990" s="35">
        <v>72.14</v>
      </c>
      <c r="Q7990">
        <v>305</v>
      </c>
      <c r="R7990" s="34">
        <f t="shared" si="127"/>
        <v>0.90959808721400048</v>
      </c>
    </row>
    <row r="7991" spans="16:18" x14ac:dyDescent="0.3">
      <c r="P7991" s="35">
        <v>72.19</v>
      </c>
      <c r="Q7991">
        <v>305</v>
      </c>
      <c r="R7991" s="34">
        <f t="shared" si="127"/>
        <v>0.90971194352733309</v>
      </c>
    </row>
    <row r="7992" spans="16:18" x14ac:dyDescent="0.3">
      <c r="P7992" s="35">
        <v>72.27</v>
      </c>
      <c r="Q7992">
        <v>305</v>
      </c>
      <c r="R7992" s="34">
        <f t="shared" si="127"/>
        <v>0.90982579984066569</v>
      </c>
    </row>
    <row r="7993" spans="16:18" x14ac:dyDescent="0.3">
      <c r="P7993" s="35">
        <v>72.349999999999994</v>
      </c>
      <c r="Q7993">
        <v>305</v>
      </c>
      <c r="R7993" s="34">
        <f t="shared" si="127"/>
        <v>0.9099396561539983</v>
      </c>
    </row>
    <row r="7994" spans="16:18" x14ac:dyDescent="0.3">
      <c r="P7994" s="35">
        <v>72.41</v>
      </c>
      <c r="Q7994">
        <v>305</v>
      </c>
      <c r="R7994" s="34">
        <f t="shared" si="127"/>
        <v>0.91005351246733091</v>
      </c>
    </row>
    <row r="7995" spans="16:18" x14ac:dyDescent="0.3">
      <c r="P7995" s="35">
        <v>72.41</v>
      </c>
      <c r="Q7995">
        <v>305</v>
      </c>
      <c r="R7995" s="34">
        <f t="shared" si="127"/>
        <v>0.91016736878066351</v>
      </c>
    </row>
    <row r="7996" spans="16:18" x14ac:dyDescent="0.3">
      <c r="P7996" s="35">
        <v>72.459999999999994</v>
      </c>
      <c r="Q7996">
        <v>305</v>
      </c>
      <c r="R7996" s="34">
        <f t="shared" si="127"/>
        <v>0.91028122509399612</v>
      </c>
    </row>
    <row r="7997" spans="16:18" x14ac:dyDescent="0.3">
      <c r="P7997" s="35">
        <v>72.55</v>
      </c>
      <c r="Q7997">
        <v>305</v>
      </c>
      <c r="R7997" s="34">
        <f t="shared" si="127"/>
        <v>0.91039508140732872</v>
      </c>
    </row>
    <row r="7998" spans="16:18" x14ac:dyDescent="0.3">
      <c r="P7998" s="35">
        <v>72.56</v>
      </c>
      <c r="Q7998">
        <v>305</v>
      </c>
      <c r="R7998" s="34">
        <f t="shared" si="127"/>
        <v>0.91050893772066133</v>
      </c>
    </row>
    <row r="7999" spans="16:18" x14ac:dyDescent="0.3">
      <c r="P7999" s="35">
        <v>72.67</v>
      </c>
      <c r="Q7999">
        <v>305</v>
      </c>
      <c r="R7999" s="34">
        <f t="shared" si="127"/>
        <v>0.91062279403399393</v>
      </c>
    </row>
    <row r="8000" spans="16:18" x14ac:dyDescent="0.3">
      <c r="P8000" s="35">
        <v>72.680000000000007</v>
      </c>
      <c r="Q8000">
        <v>305</v>
      </c>
      <c r="R8000" s="34">
        <f t="shared" si="127"/>
        <v>0.91073665034732654</v>
      </c>
    </row>
    <row r="8001" spans="16:18" x14ac:dyDescent="0.3">
      <c r="P8001" s="35">
        <v>72.69</v>
      </c>
      <c r="Q8001">
        <v>305</v>
      </c>
      <c r="R8001" s="34">
        <f t="shared" si="127"/>
        <v>0.91085050666065914</v>
      </c>
    </row>
    <row r="8002" spans="16:18" x14ac:dyDescent="0.3">
      <c r="P8002" s="35">
        <v>72.7</v>
      </c>
      <c r="Q8002">
        <v>305</v>
      </c>
      <c r="R8002" s="34">
        <f t="shared" si="127"/>
        <v>0.91096436297399175</v>
      </c>
    </row>
    <row r="8003" spans="16:18" x14ac:dyDescent="0.3">
      <c r="P8003" s="35">
        <v>72.73</v>
      </c>
      <c r="Q8003">
        <v>305</v>
      </c>
      <c r="R8003" s="34">
        <f t="shared" si="127"/>
        <v>0.91107821928732435</v>
      </c>
    </row>
    <row r="8004" spans="16:18" x14ac:dyDescent="0.3">
      <c r="P8004" s="35">
        <v>72.83</v>
      </c>
      <c r="Q8004">
        <v>305</v>
      </c>
      <c r="R8004" s="34">
        <f t="shared" ref="R8004:R8067" si="128">R8003+R$2</f>
        <v>0.91119207560065696</v>
      </c>
    </row>
    <row r="8005" spans="16:18" x14ac:dyDescent="0.3">
      <c r="P8005" s="35">
        <v>73.03</v>
      </c>
      <c r="Q8005">
        <v>305</v>
      </c>
      <c r="R8005" s="34">
        <f t="shared" si="128"/>
        <v>0.91130593191398956</v>
      </c>
    </row>
    <row r="8006" spans="16:18" x14ac:dyDescent="0.3">
      <c r="P8006" s="35">
        <v>73.16</v>
      </c>
      <c r="Q8006">
        <v>305</v>
      </c>
      <c r="R8006" s="34">
        <f t="shared" si="128"/>
        <v>0.91141978822732217</v>
      </c>
    </row>
    <row r="8007" spans="16:18" x14ac:dyDescent="0.3">
      <c r="P8007" s="35">
        <v>73.19</v>
      </c>
      <c r="Q8007">
        <v>305</v>
      </c>
      <c r="R8007" s="34">
        <f t="shared" si="128"/>
        <v>0.91153364454065477</v>
      </c>
    </row>
    <row r="8008" spans="16:18" x14ac:dyDescent="0.3">
      <c r="P8008" s="35">
        <v>73.31</v>
      </c>
      <c r="Q8008">
        <v>305</v>
      </c>
      <c r="R8008" s="34">
        <f t="shared" si="128"/>
        <v>0.91164750085398738</v>
      </c>
    </row>
    <row r="8009" spans="16:18" x14ac:dyDescent="0.3">
      <c r="P8009" s="35">
        <v>73.319999999999993</v>
      </c>
      <c r="Q8009">
        <v>305</v>
      </c>
      <c r="R8009" s="34">
        <f t="shared" si="128"/>
        <v>0.91176135716731999</v>
      </c>
    </row>
    <row r="8010" spans="16:18" x14ac:dyDescent="0.3">
      <c r="P8010" s="35">
        <v>73.33</v>
      </c>
      <c r="Q8010">
        <v>305</v>
      </c>
      <c r="R8010" s="34">
        <f t="shared" si="128"/>
        <v>0.91187521348065259</v>
      </c>
    </row>
    <row r="8011" spans="16:18" x14ac:dyDescent="0.3">
      <c r="P8011" s="35">
        <v>73.42</v>
      </c>
      <c r="Q8011">
        <v>305</v>
      </c>
      <c r="R8011" s="34">
        <f t="shared" si="128"/>
        <v>0.9119890697939852</v>
      </c>
    </row>
    <row r="8012" spans="16:18" x14ac:dyDescent="0.3">
      <c r="P8012" s="35">
        <v>73.430000000000007</v>
      </c>
      <c r="Q8012">
        <v>305</v>
      </c>
      <c r="R8012" s="34">
        <f t="shared" si="128"/>
        <v>0.9121029261073178</v>
      </c>
    </row>
    <row r="8013" spans="16:18" x14ac:dyDescent="0.3">
      <c r="P8013" s="35">
        <v>73.48</v>
      </c>
      <c r="Q8013">
        <v>305</v>
      </c>
      <c r="R8013" s="34">
        <f t="shared" si="128"/>
        <v>0.91221678242065041</v>
      </c>
    </row>
    <row r="8014" spans="16:18" x14ac:dyDescent="0.3">
      <c r="P8014" s="35">
        <v>73.540000000000006</v>
      </c>
      <c r="Q8014">
        <v>305</v>
      </c>
      <c r="R8014" s="34">
        <f t="shared" si="128"/>
        <v>0.91233063873398301</v>
      </c>
    </row>
    <row r="8015" spans="16:18" x14ac:dyDescent="0.3">
      <c r="P8015" s="35">
        <v>73.540000000000006</v>
      </c>
      <c r="Q8015">
        <v>305</v>
      </c>
      <c r="R8015" s="34">
        <f t="shared" si="128"/>
        <v>0.91244449504731562</v>
      </c>
    </row>
    <row r="8016" spans="16:18" x14ac:dyDescent="0.3">
      <c r="P8016" s="35">
        <v>73.650000000000006</v>
      </c>
      <c r="Q8016">
        <v>305</v>
      </c>
      <c r="R8016" s="34">
        <f t="shared" si="128"/>
        <v>0.91255835136064822</v>
      </c>
    </row>
    <row r="8017" spans="16:18" x14ac:dyDescent="0.3">
      <c r="P8017" s="35">
        <v>73.78</v>
      </c>
      <c r="Q8017">
        <v>305</v>
      </c>
      <c r="R8017" s="34">
        <f t="shared" si="128"/>
        <v>0.91267220767398083</v>
      </c>
    </row>
    <row r="8018" spans="16:18" x14ac:dyDescent="0.3">
      <c r="P8018" s="35">
        <v>73.849999999999994</v>
      </c>
      <c r="Q8018">
        <v>305</v>
      </c>
      <c r="R8018" s="34">
        <f t="shared" si="128"/>
        <v>0.91278606398731343</v>
      </c>
    </row>
    <row r="8019" spans="16:18" x14ac:dyDescent="0.3">
      <c r="P8019" s="35">
        <v>73.900000000000006</v>
      </c>
      <c r="Q8019">
        <v>305</v>
      </c>
      <c r="R8019" s="34">
        <f t="shared" si="128"/>
        <v>0.91289992030064604</v>
      </c>
    </row>
    <row r="8020" spans="16:18" x14ac:dyDescent="0.3">
      <c r="P8020" s="35">
        <v>73.92</v>
      </c>
      <c r="Q8020">
        <v>305</v>
      </c>
      <c r="R8020" s="34">
        <f t="shared" si="128"/>
        <v>0.91301377661397864</v>
      </c>
    </row>
    <row r="8021" spans="16:18" x14ac:dyDescent="0.3">
      <c r="P8021" s="35">
        <v>73.97</v>
      </c>
      <c r="Q8021">
        <v>305</v>
      </c>
      <c r="R8021" s="34">
        <f t="shared" si="128"/>
        <v>0.91312763292731125</v>
      </c>
    </row>
    <row r="8022" spans="16:18" x14ac:dyDescent="0.3">
      <c r="P8022" s="35">
        <v>74.05</v>
      </c>
      <c r="Q8022">
        <v>305</v>
      </c>
      <c r="R8022" s="34">
        <f t="shared" si="128"/>
        <v>0.91324148924064386</v>
      </c>
    </row>
    <row r="8023" spans="16:18" x14ac:dyDescent="0.3">
      <c r="P8023" s="35">
        <v>74.209999999999994</v>
      </c>
      <c r="Q8023">
        <v>305</v>
      </c>
      <c r="R8023" s="34">
        <f t="shared" si="128"/>
        <v>0.91335534555397646</v>
      </c>
    </row>
    <row r="8024" spans="16:18" x14ac:dyDescent="0.3">
      <c r="P8024" s="35">
        <v>74.27</v>
      </c>
      <c r="Q8024">
        <v>305</v>
      </c>
      <c r="R8024" s="34">
        <f t="shared" si="128"/>
        <v>0.91346920186730907</v>
      </c>
    </row>
    <row r="8025" spans="16:18" x14ac:dyDescent="0.3">
      <c r="P8025" s="35">
        <v>74.3</v>
      </c>
      <c r="Q8025">
        <v>305</v>
      </c>
      <c r="R8025" s="34">
        <f t="shared" si="128"/>
        <v>0.91358305818064167</v>
      </c>
    </row>
    <row r="8026" spans="16:18" x14ac:dyDescent="0.3">
      <c r="P8026" s="35">
        <v>74.37</v>
      </c>
      <c r="Q8026">
        <v>305</v>
      </c>
      <c r="R8026" s="34">
        <f t="shared" si="128"/>
        <v>0.91369691449397428</v>
      </c>
    </row>
    <row r="8027" spans="16:18" x14ac:dyDescent="0.3">
      <c r="P8027" s="35">
        <v>74.400000000000006</v>
      </c>
      <c r="Q8027">
        <v>305</v>
      </c>
      <c r="R8027" s="34">
        <f t="shared" si="128"/>
        <v>0.91381077080730688</v>
      </c>
    </row>
    <row r="8028" spans="16:18" x14ac:dyDescent="0.3">
      <c r="P8028" s="35">
        <v>74.42</v>
      </c>
      <c r="Q8028">
        <v>305</v>
      </c>
      <c r="R8028" s="34">
        <f t="shared" si="128"/>
        <v>0.91392462712063949</v>
      </c>
    </row>
    <row r="8029" spans="16:18" x14ac:dyDescent="0.3">
      <c r="P8029" s="35">
        <v>74.53</v>
      </c>
      <c r="Q8029">
        <v>305</v>
      </c>
      <c r="R8029" s="34">
        <f t="shared" si="128"/>
        <v>0.91403848343397209</v>
      </c>
    </row>
    <row r="8030" spans="16:18" x14ac:dyDescent="0.3">
      <c r="P8030" s="35">
        <v>74.53</v>
      </c>
      <c r="Q8030">
        <v>305</v>
      </c>
      <c r="R8030" s="34">
        <f t="shared" si="128"/>
        <v>0.9141523397473047</v>
      </c>
    </row>
    <row r="8031" spans="16:18" x14ac:dyDescent="0.3">
      <c r="P8031" s="35">
        <v>74.599999999999994</v>
      </c>
      <c r="Q8031">
        <v>305</v>
      </c>
      <c r="R8031" s="34">
        <f t="shared" si="128"/>
        <v>0.9142661960606373</v>
      </c>
    </row>
    <row r="8032" spans="16:18" x14ac:dyDescent="0.3">
      <c r="P8032" s="35">
        <v>74.62</v>
      </c>
      <c r="Q8032">
        <v>305</v>
      </c>
      <c r="R8032" s="34">
        <f t="shared" si="128"/>
        <v>0.91438005237396991</v>
      </c>
    </row>
    <row r="8033" spans="16:18" x14ac:dyDescent="0.3">
      <c r="P8033" s="35">
        <v>74.63</v>
      </c>
      <c r="Q8033">
        <v>305</v>
      </c>
      <c r="R8033" s="34">
        <f t="shared" si="128"/>
        <v>0.91449390868730251</v>
      </c>
    </row>
    <row r="8034" spans="16:18" x14ac:dyDescent="0.3">
      <c r="P8034" s="35">
        <v>74.650000000000006</v>
      </c>
      <c r="Q8034">
        <v>305</v>
      </c>
      <c r="R8034" s="34">
        <f t="shared" si="128"/>
        <v>0.91460776500063512</v>
      </c>
    </row>
    <row r="8035" spans="16:18" x14ac:dyDescent="0.3">
      <c r="P8035" s="35">
        <v>74.72</v>
      </c>
      <c r="Q8035">
        <v>305</v>
      </c>
      <c r="R8035" s="34">
        <f t="shared" si="128"/>
        <v>0.91472162131396773</v>
      </c>
    </row>
    <row r="8036" spans="16:18" x14ac:dyDescent="0.3">
      <c r="P8036" s="35">
        <v>74.75</v>
      </c>
      <c r="Q8036">
        <v>305</v>
      </c>
      <c r="R8036" s="34">
        <f t="shared" si="128"/>
        <v>0.91483547762730033</v>
      </c>
    </row>
    <row r="8037" spans="16:18" x14ac:dyDescent="0.3">
      <c r="P8037" s="35">
        <v>74.819999999999993</v>
      </c>
      <c r="Q8037">
        <v>305</v>
      </c>
      <c r="R8037" s="34">
        <f t="shared" si="128"/>
        <v>0.91494933394063294</v>
      </c>
    </row>
    <row r="8038" spans="16:18" x14ac:dyDescent="0.3">
      <c r="P8038" s="35">
        <v>74.84</v>
      </c>
      <c r="Q8038">
        <v>305</v>
      </c>
      <c r="R8038" s="34">
        <f t="shared" si="128"/>
        <v>0.91506319025396554</v>
      </c>
    </row>
    <row r="8039" spans="16:18" x14ac:dyDescent="0.3">
      <c r="P8039" s="35">
        <v>74.849999999999994</v>
      </c>
      <c r="Q8039">
        <v>305</v>
      </c>
      <c r="R8039" s="34">
        <f t="shared" si="128"/>
        <v>0.91517704656729815</v>
      </c>
    </row>
    <row r="8040" spans="16:18" x14ac:dyDescent="0.3">
      <c r="P8040" s="35">
        <v>74.849999999999994</v>
      </c>
      <c r="Q8040">
        <v>305</v>
      </c>
      <c r="R8040" s="34">
        <f t="shared" si="128"/>
        <v>0.91529090288063075</v>
      </c>
    </row>
    <row r="8041" spans="16:18" x14ac:dyDescent="0.3">
      <c r="P8041" s="35">
        <v>74.88</v>
      </c>
      <c r="Q8041">
        <v>305</v>
      </c>
      <c r="R8041" s="34">
        <f t="shared" si="128"/>
        <v>0.91540475919396336</v>
      </c>
    </row>
    <row r="8042" spans="16:18" x14ac:dyDescent="0.3">
      <c r="P8042" s="35">
        <v>74.88</v>
      </c>
      <c r="Q8042">
        <v>305</v>
      </c>
      <c r="R8042" s="34">
        <f t="shared" si="128"/>
        <v>0.91551861550729596</v>
      </c>
    </row>
    <row r="8043" spans="16:18" x14ac:dyDescent="0.3">
      <c r="P8043" s="35">
        <v>74.98</v>
      </c>
      <c r="Q8043">
        <v>305</v>
      </c>
      <c r="R8043" s="34">
        <f t="shared" si="128"/>
        <v>0.91563247182062857</v>
      </c>
    </row>
    <row r="8044" spans="16:18" x14ac:dyDescent="0.3">
      <c r="P8044" s="35">
        <v>74.98</v>
      </c>
      <c r="Q8044">
        <v>305</v>
      </c>
      <c r="R8044" s="34">
        <f t="shared" si="128"/>
        <v>0.91574632813396117</v>
      </c>
    </row>
    <row r="8045" spans="16:18" x14ac:dyDescent="0.3">
      <c r="P8045" s="35">
        <v>75.010000000000005</v>
      </c>
      <c r="Q8045">
        <v>305</v>
      </c>
      <c r="R8045" s="34">
        <f t="shared" si="128"/>
        <v>0.91586018444729378</v>
      </c>
    </row>
    <row r="8046" spans="16:18" x14ac:dyDescent="0.3">
      <c r="P8046" s="35">
        <v>75.02</v>
      </c>
      <c r="Q8046">
        <v>305</v>
      </c>
      <c r="R8046" s="34">
        <f t="shared" si="128"/>
        <v>0.91597404076062638</v>
      </c>
    </row>
    <row r="8047" spans="16:18" x14ac:dyDescent="0.3">
      <c r="P8047" s="35">
        <v>75.05</v>
      </c>
      <c r="Q8047">
        <v>305</v>
      </c>
      <c r="R8047" s="34">
        <f t="shared" si="128"/>
        <v>0.91608789707395899</v>
      </c>
    </row>
    <row r="8048" spans="16:18" x14ac:dyDescent="0.3">
      <c r="P8048" s="35">
        <v>75.06</v>
      </c>
      <c r="Q8048">
        <v>305</v>
      </c>
      <c r="R8048" s="34">
        <f t="shared" si="128"/>
        <v>0.9162017533872916</v>
      </c>
    </row>
    <row r="8049" spans="16:18" x14ac:dyDescent="0.3">
      <c r="P8049" s="35">
        <v>75.099999999999994</v>
      </c>
      <c r="Q8049">
        <v>305</v>
      </c>
      <c r="R8049" s="34">
        <f t="shared" si="128"/>
        <v>0.9163156097006242</v>
      </c>
    </row>
    <row r="8050" spans="16:18" x14ac:dyDescent="0.3">
      <c r="P8050" s="35">
        <v>75.13</v>
      </c>
      <c r="Q8050">
        <v>305</v>
      </c>
      <c r="R8050" s="34">
        <f t="shared" si="128"/>
        <v>0.91642946601395681</v>
      </c>
    </row>
    <row r="8051" spans="16:18" x14ac:dyDescent="0.3">
      <c r="P8051" s="35">
        <v>75.17</v>
      </c>
      <c r="Q8051">
        <v>305</v>
      </c>
      <c r="R8051" s="34">
        <f t="shared" si="128"/>
        <v>0.91654332232728941</v>
      </c>
    </row>
    <row r="8052" spans="16:18" x14ac:dyDescent="0.3">
      <c r="P8052" s="35">
        <v>75.290000000000006</v>
      </c>
      <c r="Q8052">
        <v>305</v>
      </c>
      <c r="R8052" s="34">
        <f t="shared" si="128"/>
        <v>0.91665717864062202</v>
      </c>
    </row>
    <row r="8053" spans="16:18" x14ac:dyDescent="0.3">
      <c r="P8053" s="35">
        <v>75.319999999999993</v>
      </c>
      <c r="Q8053">
        <v>305</v>
      </c>
      <c r="R8053" s="34">
        <f t="shared" si="128"/>
        <v>0.91677103495395462</v>
      </c>
    </row>
    <row r="8054" spans="16:18" x14ac:dyDescent="0.3">
      <c r="P8054" s="35">
        <v>75.41</v>
      </c>
      <c r="Q8054">
        <v>305</v>
      </c>
      <c r="R8054" s="34">
        <f t="shared" si="128"/>
        <v>0.91688489126728723</v>
      </c>
    </row>
    <row r="8055" spans="16:18" x14ac:dyDescent="0.3">
      <c r="P8055" s="35">
        <v>75.52</v>
      </c>
      <c r="Q8055">
        <v>305</v>
      </c>
      <c r="R8055" s="34">
        <f t="shared" si="128"/>
        <v>0.91699874758061983</v>
      </c>
    </row>
    <row r="8056" spans="16:18" x14ac:dyDescent="0.3">
      <c r="P8056" s="35">
        <v>75.540000000000006</v>
      </c>
      <c r="Q8056">
        <v>305</v>
      </c>
      <c r="R8056" s="34">
        <f t="shared" si="128"/>
        <v>0.91711260389395244</v>
      </c>
    </row>
    <row r="8057" spans="16:18" x14ac:dyDescent="0.3">
      <c r="P8057" s="35">
        <v>75.599999999999994</v>
      </c>
      <c r="Q8057">
        <v>305</v>
      </c>
      <c r="R8057" s="34">
        <f t="shared" si="128"/>
        <v>0.91722646020728504</v>
      </c>
    </row>
    <row r="8058" spans="16:18" x14ac:dyDescent="0.3">
      <c r="P8058" s="35">
        <v>75.63</v>
      </c>
      <c r="Q8058">
        <v>305</v>
      </c>
      <c r="R8058" s="34">
        <f t="shared" si="128"/>
        <v>0.91734031652061765</v>
      </c>
    </row>
    <row r="8059" spans="16:18" x14ac:dyDescent="0.3">
      <c r="P8059" s="35">
        <v>75.7</v>
      </c>
      <c r="Q8059">
        <v>305</v>
      </c>
      <c r="R8059" s="34">
        <f t="shared" si="128"/>
        <v>0.91745417283395025</v>
      </c>
    </row>
    <row r="8060" spans="16:18" x14ac:dyDescent="0.3">
      <c r="P8060" s="35">
        <v>75.78</v>
      </c>
      <c r="Q8060">
        <v>305</v>
      </c>
      <c r="R8060" s="34">
        <f t="shared" si="128"/>
        <v>0.91756802914728286</v>
      </c>
    </row>
    <row r="8061" spans="16:18" x14ac:dyDescent="0.3">
      <c r="P8061" s="35">
        <v>75.84</v>
      </c>
      <c r="Q8061">
        <v>305</v>
      </c>
      <c r="R8061" s="34">
        <f t="shared" si="128"/>
        <v>0.91768188546061547</v>
      </c>
    </row>
    <row r="8062" spans="16:18" x14ac:dyDescent="0.3">
      <c r="P8062" s="35">
        <v>76.03</v>
      </c>
      <c r="Q8062">
        <v>305</v>
      </c>
      <c r="R8062" s="34">
        <f t="shared" si="128"/>
        <v>0.91779574177394807</v>
      </c>
    </row>
    <row r="8063" spans="16:18" x14ac:dyDescent="0.3">
      <c r="P8063" s="35">
        <v>76.09</v>
      </c>
      <c r="Q8063">
        <v>305</v>
      </c>
      <c r="R8063" s="34">
        <f t="shared" si="128"/>
        <v>0.91790959808728068</v>
      </c>
    </row>
    <row r="8064" spans="16:18" x14ac:dyDescent="0.3">
      <c r="P8064" s="35">
        <v>76.12</v>
      </c>
      <c r="Q8064">
        <v>305</v>
      </c>
      <c r="R8064" s="34">
        <f t="shared" si="128"/>
        <v>0.91802345440061328</v>
      </c>
    </row>
    <row r="8065" spans="16:18" x14ac:dyDescent="0.3">
      <c r="P8065" s="35">
        <v>76.2</v>
      </c>
      <c r="Q8065">
        <v>305</v>
      </c>
      <c r="R8065" s="34">
        <f t="shared" si="128"/>
        <v>0.91813731071394589</v>
      </c>
    </row>
    <row r="8066" spans="16:18" x14ac:dyDescent="0.3">
      <c r="P8066" s="35">
        <v>76.209999999999994</v>
      </c>
      <c r="Q8066">
        <v>305</v>
      </c>
      <c r="R8066" s="34">
        <f t="shared" si="128"/>
        <v>0.91825116702727849</v>
      </c>
    </row>
    <row r="8067" spans="16:18" x14ac:dyDescent="0.3">
      <c r="P8067" s="35">
        <v>76.22</v>
      </c>
      <c r="Q8067">
        <v>305</v>
      </c>
      <c r="R8067" s="34">
        <f t="shared" si="128"/>
        <v>0.9183650233406111</v>
      </c>
    </row>
    <row r="8068" spans="16:18" x14ac:dyDescent="0.3">
      <c r="P8068" s="35">
        <v>76.31</v>
      </c>
      <c r="Q8068">
        <v>305</v>
      </c>
      <c r="R8068" s="34">
        <f t="shared" ref="R8068:R8131" si="129">R8067+R$2</f>
        <v>0.9184788796539437</v>
      </c>
    </row>
    <row r="8069" spans="16:18" x14ac:dyDescent="0.3">
      <c r="P8069" s="35">
        <v>76.349999999999994</v>
      </c>
      <c r="Q8069">
        <v>305</v>
      </c>
      <c r="R8069" s="34">
        <f t="shared" si="129"/>
        <v>0.91859273596727631</v>
      </c>
    </row>
    <row r="8070" spans="16:18" x14ac:dyDescent="0.3">
      <c r="P8070" s="35">
        <v>76.42</v>
      </c>
      <c r="Q8070">
        <v>305</v>
      </c>
      <c r="R8070" s="34">
        <f t="shared" si="129"/>
        <v>0.91870659228060891</v>
      </c>
    </row>
    <row r="8071" spans="16:18" x14ac:dyDescent="0.3">
      <c r="P8071" s="35">
        <v>76.42</v>
      </c>
      <c r="Q8071">
        <v>305</v>
      </c>
      <c r="R8071" s="34">
        <f t="shared" si="129"/>
        <v>0.91882044859394152</v>
      </c>
    </row>
    <row r="8072" spans="16:18" x14ac:dyDescent="0.3">
      <c r="P8072" s="35">
        <v>76.430000000000007</v>
      </c>
      <c r="Q8072">
        <v>305</v>
      </c>
      <c r="R8072" s="34">
        <f t="shared" si="129"/>
        <v>0.91893430490727412</v>
      </c>
    </row>
    <row r="8073" spans="16:18" x14ac:dyDescent="0.3">
      <c r="P8073" s="35">
        <v>76.58</v>
      </c>
      <c r="Q8073">
        <v>305</v>
      </c>
      <c r="R8073" s="34">
        <f t="shared" si="129"/>
        <v>0.91904816122060673</v>
      </c>
    </row>
    <row r="8074" spans="16:18" x14ac:dyDescent="0.3">
      <c r="P8074" s="35">
        <v>76.599999999999994</v>
      </c>
      <c r="Q8074">
        <v>305</v>
      </c>
      <c r="R8074" s="34">
        <f t="shared" si="129"/>
        <v>0.91916201753393934</v>
      </c>
    </row>
    <row r="8075" spans="16:18" x14ac:dyDescent="0.3">
      <c r="P8075" s="35">
        <v>76.62</v>
      </c>
      <c r="Q8075">
        <v>305</v>
      </c>
      <c r="R8075" s="34">
        <f t="shared" si="129"/>
        <v>0.91927587384727194</v>
      </c>
    </row>
    <row r="8076" spans="16:18" x14ac:dyDescent="0.3">
      <c r="P8076" s="35">
        <v>76.650000000000006</v>
      </c>
      <c r="Q8076">
        <v>305</v>
      </c>
      <c r="R8076" s="34">
        <f t="shared" si="129"/>
        <v>0.91938973016060455</v>
      </c>
    </row>
    <row r="8077" spans="16:18" x14ac:dyDescent="0.3">
      <c r="P8077" s="35">
        <v>76.66</v>
      </c>
      <c r="Q8077">
        <v>305</v>
      </c>
      <c r="R8077" s="34">
        <f t="shared" si="129"/>
        <v>0.91950358647393715</v>
      </c>
    </row>
    <row r="8078" spans="16:18" x14ac:dyDescent="0.3">
      <c r="P8078" s="35">
        <v>76.680000000000007</v>
      </c>
      <c r="Q8078">
        <v>305</v>
      </c>
      <c r="R8078" s="34">
        <f t="shared" si="129"/>
        <v>0.91961744278726976</v>
      </c>
    </row>
    <row r="8079" spans="16:18" x14ac:dyDescent="0.3">
      <c r="P8079" s="35">
        <v>76.739999999999995</v>
      </c>
      <c r="Q8079">
        <v>305</v>
      </c>
      <c r="R8079" s="34">
        <f t="shared" si="129"/>
        <v>0.91973129910060236</v>
      </c>
    </row>
    <row r="8080" spans="16:18" x14ac:dyDescent="0.3">
      <c r="P8080" s="35">
        <v>76.760000000000005</v>
      </c>
      <c r="Q8080">
        <v>305</v>
      </c>
      <c r="R8080" s="34">
        <f t="shared" si="129"/>
        <v>0.91984515541393497</v>
      </c>
    </row>
    <row r="8081" spans="16:18" x14ac:dyDescent="0.3">
      <c r="P8081" s="35">
        <v>76.89</v>
      </c>
      <c r="Q8081">
        <v>305</v>
      </c>
      <c r="R8081" s="34">
        <f t="shared" si="129"/>
        <v>0.91995901172726757</v>
      </c>
    </row>
    <row r="8082" spans="16:18" x14ac:dyDescent="0.3">
      <c r="P8082" s="35">
        <v>76.97</v>
      </c>
      <c r="Q8082">
        <v>305</v>
      </c>
      <c r="R8082" s="34">
        <f t="shared" si="129"/>
        <v>0.92007286804060018</v>
      </c>
    </row>
    <row r="8083" spans="16:18" x14ac:dyDescent="0.3">
      <c r="P8083" s="35">
        <v>76.97</v>
      </c>
      <c r="Q8083">
        <v>305</v>
      </c>
      <c r="R8083" s="34">
        <f t="shared" si="129"/>
        <v>0.92018672435393278</v>
      </c>
    </row>
    <row r="8084" spans="16:18" x14ac:dyDescent="0.3">
      <c r="P8084" s="35">
        <v>77.040000000000006</v>
      </c>
      <c r="Q8084">
        <v>305</v>
      </c>
      <c r="R8084" s="34">
        <f t="shared" si="129"/>
        <v>0.92030058066726539</v>
      </c>
    </row>
    <row r="8085" spans="16:18" x14ac:dyDescent="0.3">
      <c r="P8085" s="35">
        <v>77.06</v>
      </c>
      <c r="Q8085">
        <v>305</v>
      </c>
      <c r="R8085" s="34">
        <f t="shared" si="129"/>
        <v>0.92041443698059799</v>
      </c>
    </row>
    <row r="8086" spans="16:18" x14ac:dyDescent="0.3">
      <c r="P8086" s="35">
        <v>77.099999999999994</v>
      </c>
      <c r="Q8086">
        <v>305</v>
      </c>
      <c r="R8086" s="34">
        <f t="shared" si="129"/>
        <v>0.9205282932939306</v>
      </c>
    </row>
    <row r="8087" spans="16:18" x14ac:dyDescent="0.3">
      <c r="P8087" s="35">
        <v>77.13</v>
      </c>
      <c r="Q8087">
        <v>305</v>
      </c>
      <c r="R8087" s="34">
        <f t="shared" si="129"/>
        <v>0.9206421496072632</v>
      </c>
    </row>
    <row r="8088" spans="16:18" x14ac:dyDescent="0.3">
      <c r="P8088" s="35">
        <v>77.13</v>
      </c>
      <c r="Q8088">
        <v>305</v>
      </c>
      <c r="R8088" s="34">
        <f t="shared" si="129"/>
        <v>0.92075600592059581</v>
      </c>
    </row>
    <row r="8089" spans="16:18" x14ac:dyDescent="0.3">
      <c r="P8089" s="35">
        <v>77.14</v>
      </c>
      <c r="Q8089">
        <v>305</v>
      </c>
      <c r="R8089" s="34">
        <f t="shared" si="129"/>
        <v>0.92086986223392842</v>
      </c>
    </row>
    <row r="8090" spans="16:18" x14ac:dyDescent="0.3">
      <c r="P8090" s="35">
        <v>77.180000000000007</v>
      </c>
      <c r="Q8090">
        <v>305</v>
      </c>
      <c r="R8090" s="34">
        <f t="shared" si="129"/>
        <v>0.92098371854726102</v>
      </c>
    </row>
    <row r="8091" spans="16:18" x14ac:dyDescent="0.3">
      <c r="P8091" s="35">
        <v>77.239999999999995</v>
      </c>
      <c r="Q8091">
        <v>305</v>
      </c>
      <c r="R8091" s="34">
        <f t="shared" si="129"/>
        <v>0.92109757486059363</v>
      </c>
    </row>
    <row r="8092" spans="16:18" x14ac:dyDescent="0.3">
      <c r="P8092" s="35">
        <v>77.28</v>
      </c>
      <c r="Q8092">
        <v>305</v>
      </c>
      <c r="R8092" s="34">
        <f t="shared" si="129"/>
        <v>0.92121143117392623</v>
      </c>
    </row>
    <row r="8093" spans="16:18" x14ac:dyDescent="0.3">
      <c r="P8093" s="35">
        <v>77.31</v>
      </c>
      <c r="Q8093">
        <v>305</v>
      </c>
      <c r="R8093" s="34">
        <f t="shared" si="129"/>
        <v>0.92132528748725884</v>
      </c>
    </row>
    <row r="8094" spans="16:18" x14ac:dyDescent="0.3">
      <c r="P8094" s="35">
        <v>77.319999999999993</v>
      </c>
      <c r="Q8094">
        <v>305</v>
      </c>
      <c r="R8094" s="34">
        <f t="shared" si="129"/>
        <v>0.92143914380059144</v>
      </c>
    </row>
    <row r="8095" spans="16:18" x14ac:dyDescent="0.3">
      <c r="P8095" s="35">
        <v>77.37</v>
      </c>
      <c r="Q8095">
        <v>305</v>
      </c>
      <c r="R8095" s="34">
        <f t="shared" si="129"/>
        <v>0.92155300011392405</v>
      </c>
    </row>
    <row r="8096" spans="16:18" x14ac:dyDescent="0.3">
      <c r="P8096" s="35">
        <v>77.41</v>
      </c>
      <c r="Q8096">
        <v>305</v>
      </c>
      <c r="R8096" s="34">
        <f t="shared" si="129"/>
        <v>0.92166685642725665</v>
      </c>
    </row>
    <row r="8097" spans="16:18" x14ac:dyDescent="0.3">
      <c r="P8097" s="35">
        <v>77.42</v>
      </c>
      <c r="Q8097">
        <v>305</v>
      </c>
      <c r="R8097" s="34">
        <f t="shared" si="129"/>
        <v>0.92178071274058926</v>
      </c>
    </row>
    <row r="8098" spans="16:18" x14ac:dyDescent="0.3">
      <c r="P8098" s="35">
        <v>77.44</v>
      </c>
      <c r="Q8098">
        <v>305</v>
      </c>
      <c r="R8098" s="34">
        <f t="shared" si="129"/>
        <v>0.92189456905392186</v>
      </c>
    </row>
    <row r="8099" spans="16:18" x14ac:dyDescent="0.3">
      <c r="P8099" s="35">
        <v>77.45</v>
      </c>
      <c r="Q8099">
        <v>305</v>
      </c>
      <c r="R8099" s="34">
        <f t="shared" si="129"/>
        <v>0.92200842536725447</v>
      </c>
    </row>
    <row r="8100" spans="16:18" x14ac:dyDescent="0.3">
      <c r="P8100" s="35">
        <v>77.45</v>
      </c>
      <c r="Q8100">
        <v>305</v>
      </c>
      <c r="R8100" s="34">
        <f t="shared" si="129"/>
        <v>0.92212228168058707</v>
      </c>
    </row>
    <row r="8101" spans="16:18" x14ac:dyDescent="0.3">
      <c r="P8101" s="35">
        <v>77.459999999999994</v>
      </c>
      <c r="Q8101">
        <v>305</v>
      </c>
      <c r="R8101" s="34">
        <f t="shared" si="129"/>
        <v>0.92223613799391968</v>
      </c>
    </row>
    <row r="8102" spans="16:18" x14ac:dyDescent="0.3">
      <c r="P8102" s="35">
        <v>77.48</v>
      </c>
      <c r="Q8102">
        <v>305</v>
      </c>
      <c r="R8102" s="34">
        <f t="shared" si="129"/>
        <v>0.92234999430725229</v>
      </c>
    </row>
    <row r="8103" spans="16:18" x14ac:dyDescent="0.3">
      <c r="P8103" s="35">
        <v>77.489999999999995</v>
      </c>
      <c r="Q8103">
        <v>305</v>
      </c>
      <c r="R8103" s="34">
        <f t="shared" si="129"/>
        <v>0.92246385062058489</v>
      </c>
    </row>
    <row r="8104" spans="16:18" x14ac:dyDescent="0.3">
      <c r="P8104" s="35">
        <v>77.569999999999993</v>
      </c>
      <c r="Q8104">
        <v>305</v>
      </c>
      <c r="R8104" s="34">
        <f t="shared" si="129"/>
        <v>0.9225777069339175</v>
      </c>
    </row>
    <row r="8105" spans="16:18" x14ac:dyDescent="0.3">
      <c r="P8105" s="35">
        <v>77.67</v>
      </c>
      <c r="Q8105">
        <v>305</v>
      </c>
      <c r="R8105" s="34">
        <f t="shared" si="129"/>
        <v>0.9226915632472501</v>
      </c>
    </row>
    <row r="8106" spans="16:18" x14ac:dyDescent="0.3">
      <c r="P8106" s="35">
        <v>77.81</v>
      </c>
      <c r="Q8106">
        <v>305</v>
      </c>
      <c r="R8106" s="34">
        <f t="shared" si="129"/>
        <v>0.92280541956058271</v>
      </c>
    </row>
    <row r="8107" spans="16:18" x14ac:dyDescent="0.3">
      <c r="P8107" s="35">
        <v>77.819999999999993</v>
      </c>
      <c r="Q8107">
        <v>305</v>
      </c>
      <c r="R8107" s="34">
        <f t="shared" si="129"/>
        <v>0.92291927587391531</v>
      </c>
    </row>
    <row r="8108" spans="16:18" x14ac:dyDescent="0.3">
      <c r="P8108" s="35">
        <v>77.849999999999994</v>
      </c>
      <c r="Q8108">
        <v>305</v>
      </c>
      <c r="R8108" s="34">
        <f t="shared" si="129"/>
        <v>0.92303313218724792</v>
      </c>
    </row>
    <row r="8109" spans="16:18" x14ac:dyDescent="0.3">
      <c r="P8109" s="35">
        <v>77.97</v>
      </c>
      <c r="Q8109">
        <v>305</v>
      </c>
      <c r="R8109" s="34">
        <f t="shared" si="129"/>
        <v>0.92314698850058052</v>
      </c>
    </row>
    <row r="8110" spans="16:18" x14ac:dyDescent="0.3">
      <c r="P8110" s="35">
        <v>78.05</v>
      </c>
      <c r="Q8110">
        <v>305</v>
      </c>
      <c r="R8110" s="34">
        <f t="shared" si="129"/>
        <v>0.92326084481391313</v>
      </c>
    </row>
    <row r="8111" spans="16:18" x14ac:dyDescent="0.3">
      <c r="P8111" s="35">
        <v>78.069999999999993</v>
      </c>
      <c r="Q8111">
        <v>305</v>
      </c>
      <c r="R8111" s="34">
        <f t="shared" si="129"/>
        <v>0.92337470112724573</v>
      </c>
    </row>
    <row r="8112" spans="16:18" x14ac:dyDescent="0.3">
      <c r="P8112" s="35">
        <v>78.11</v>
      </c>
      <c r="Q8112">
        <v>305</v>
      </c>
      <c r="R8112" s="34">
        <f t="shared" si="129"/>
        <v>0.92348855744057834</v>
      </c>
    </row>
    <row r="8113" spans="16:18" x14ac:dyDescent="0.3">
      <c r="P8113" s="35">
        <v>78.209999999999994</v>
      </c>
      <c r="Q8113">
        <v>305</v>
      </c>
      <c r="R8113" s="34">
        <f t="shared" si="129"/>
        <v>0.92360241375391094</v>
      </c>
    </row>
    <row r="8114" spans="16:18" x14ac:dyDescent="0.3">
      <c r="P8114" s="35">
        <v>78.27</v>
      </c>
      <c r="Q8114">
        <v>305</v>
      </c>
      <c r="R8114" s="34">
        <f t="shared" si="129"/>
        <v>0.92371627006724355</v>
      </c>
    </row>
    <row r="8115" spans="16:18" x14ac:dyDescent="0.3">
      <c r="P8115" s="35">
        <v>78.290000000000006</v>
      </c>
      <c r="Q8115">
        <v>305</v>
      </c>
      <c r="R8115" s="34">
        <f t="shared" si="129"/>
        <v>0.92383012638057616</v>
      </c>
    </row>
    <row r="8116" spans="16:18" x14ac:dyDescent="0.3">
      <c r="P8116" s="35">
        <v>78.41</v>
      </c>
      <c r="Q8116">
        <v>305</v>
      </c>
      <c r="R8116" s="34">
        <f t="shared" si="129"/>
        <v>0.92394398269390876</v>
      </c>
    </row>
    <row r="8117" spans="16:18" x14ac:dyDescent="0.3">
      <c r="P8117" s="35">
        <v>78.430000000000007</v>
      </c>
      <c r="Q8117">
        <v>305</v>
      </c>
      <c r="R8117" s="34">
        <f t="shared" si="129"/>
        <v>0.92405783900724137</v>
      </c>
    </row>
    <row r="8118" spans="16:18" x14ac:dyDescent="0.3">
      <c r="P8118" s="35">
        <v>78.59</v>
      </c>
      <c r="Q8118">
        <v>305</v>
      </c>
      <c r="R8118" s="34">
        <f t="shared" si="129"/>
        <v>0.92417169532057397</v>
      </c>
    </row>
    <row r="8119" spans="16:18" x14ac:dyDescent="0.3">
      <c r="P8119" s="35">
        <v>78.63</v>
      </c>
      <c r="Q8119">
        <v>305</v>
      </c>
      <c r="R8119" s="34">
        <f t="shared" si="129"/>
        <v>0.92428555163390658</v>
      </c>
    </row>
    <row r="8120" spans="16:18" x14ac:dyDescent="0.3">
      <c r="P8120" s="35">
        <v>78.680000000000007</v>
      </c>
      <c r="Q8120">
        <v>305</v>
      </c>
      <c r="R8120" s="34">
        <f t="shared" si="129"/>
        <v>0.92439940794723918</v>
      </c>
    </row>
    <row r="8121" spans="16:18" x14ac:dyDescent="0.3">
      <c r="P8121" s="35">
        <v>78.73</v>
      </c>
      <c r="Q8121">
        <v>305</v>
      </c>
      <c r="R8121" s="34">
        <f t="shared" si="129"/>
        <v>0.92451326426057179</v>
      </c>
    </row>
    <row r="8122" spans="16:18" x14ac:dyDescent="0.3">
      <c r="P8122" s="35">
        <v>78.78</v>
      </c>
      <c r="Q8122">
        <v>305</v>
      </c>
      <c r="R8122" s="34">
        <f t="shared" si="129"/>
        <v>0.92462712057390439</v>
      </c>
    </row>
    <row r="8123" spans="16:18" x14ac:dyDescent="0.3">
      <c r="P8123" s="35">
        <v>78.81</v>
      </c>
      <c r="Q8123">
        <v>305</v>
      </c>
      <c r="R8123" s="34">
        <f t="shared" si="129"/>
        <v>0.924740976887237</v>
      </c>
    </row>
    <row r="8124" spans="16:18" x14ac:dyDescent="0.3">
      <c r="P8124" s="35">
        <v>78.84</v>
      </c>
      <c r="Q8124">
        <v>305</v>
      </c>
      <c r="R8124" s="34">
        <f t="shared" si="129"/>
        <v>0.9248548332005696</v>
      </c>
    </row>
    <row r="8125" spans="16:18" x14ac:dyDescent="0.3">
      <c r="P8125" s="35">
        <v>78.86</v>
      </c>
      <c r="Q8125">
        <v>305</v>
      </c>
      <c r="R8125" s="34">
        <f t="shared" si="129"/>
        <v>0.92496868951390221</v>
      </c>
    </row>
    <row r="8126" spans="16:18" x14ac:dyDescent="0.3">
      <c r="P8126" s="35">
        <v>78.959999999999994</v>
      </c>
      <c r="Q8126">
        <v>305</v>
      </c>
      <c r="R8126" s="34">
        <f t="shared" si="129"/>
        <v>0.92508254582723481</v>
      </c>
    </row>
    <row r="8127" spans="16:18" x14ac:dyDescent="0.3">
      <c r="P8127" s="35">
        <v>78.989999999999995</v>
      </c>
      <c r="Q8127">
        <v>305</v>
      </c>
      <c r="R8127" s="34">
        <f t="shared" si="129"/>
        <v>0.92519640214056742</v>
      </c>
    </row>
    <row r="8128" spans="16:18" x14ac:dyDescent="0.3">
      <c r="P8128" s="35">
        <v>79.099999999999994</v>
      </c>
      <c r="Q8128">
        <v>305</v>
      </c>
      <c r="R8128" s="34">
        <f t="shared" si="129"/>
        <v>0.92531025845390003</v>
      </c>
    </row>
    <row r="8129" spans="16:18" x14ac:dyDescent="0.3">
      <c r="P8129" s="35">
        <v>79.12</v>
      </c>
      <c r="Q8129">
        <v>305</v>
      </c>
      <c r="R8129" s="34">
        <f t="shared" si="129"/>
        <v>0.92542411476723263</v>
      </c>
    </row>
    <row r="8130" spans="16:18" x14ac:dyDescent="0.3">
      <c r="P8130" s="35">
        <v>79.13</v>
      </c>
      <c r="Q8130">
        <v>305</v>
      </c>
      <c r="R8130" s="34">
        <f t="shared" si="129"/>
        <v>0.92553797108056524</v>
      </c>
    </row>
    <row r="8131" spans="16:18" x14ac:dyDescent="0.3">
      <c r="P8131" s="35">
        <v>79.2</v>
      </c>
      <c r="Q8131">
        <v>305</v>
      </c>
      <c r="R8131" s="34">
        <f t="shared" si="129"/>
        <v>0.92565182739389784</v>
      </c>
    </row>
    <row r="8132" spans="16:18" x14ac:dyDescent="0.3">
      <c r="P8132" s="35">
        <v>79.239999999999995</v>
      </c>
      <c r="Q8132">
        <v>305</v>
      </c>
      <c r="R8132" s="34">
        <f t="shared" ref="R8132:R8195" si="130">R8131+R$2</f>
        <v>0.92576568370723045</v>
      </c>
    </row>
    <row r="8133" spans="16:18" x14ac:dyDescent="0.3">
      <c r="P8133" s="35">
        <v>79.31</v>
      </c>
      <c r="Q8133">
        <v>305</v>
      </c>
      <c r="R8133" s="34">
        <f t="shared" si="130"/>
        <v>0.92587954002056305</v>
      </c>
    </row>
    <row r="8134" spans="16:18" x14ac:dyDescent="0.3">
      <c r="P8134" s="35">
        <v>79.430000000000007</v>
      </c>
      <c r="Q8134">
        <v>305</v>
      </c>
      <c r="R8134" s="34">
        <f t="shared" si="130"/>
        <v>0.92599339633389566</v>
      </c>
    </row>
    <row r="8135" spans="16:18" x14ac:dyDescent="0.3">
      <c r="P8135" s="35">
        <v>79.430000000000007</v>
      </c>
      <c r="Q8135">
        <v>305</v>
      </c>
      <c r="R8135" s="34">
        <f t="shared" si="130"/>
        <v>0.92610725264722826</v>
      </c>
    </row>
    <row r="8136" spans="16:18" x14ac:dyDescent="0.3">
      <c r="P8136" s="35">
        <v>79.5</v>
      </c>
      <c r="Q8136">
        <v>305</v>
      </c>
      <c r="R8136" s="34">
        <f t="shared" si="130"/>
        <v>0.92622110896056087</v>
      </c>
    </row>
    <row r="8137" spans="16:18" x14ac:dyDescent="0.3">
      <c r="P8137" s="35">
        <v>79.56</v>
      </c>
      <c r="Q8137">
        <v>305</v>
      </c>
      <c r="R8137" s="34">
        <f t="shared" si="130"/>
        <v>0.92633496527389347</v>
      </c>
    </row>
    <row r="8138" spans="16:18" x14ac:dyDescent="0.3">
      <c r="P8138" s="35">
        <v>79.59</v>
      </c>
      <c r="Q8138">
        <v>305</v>
      </c>
      <c r="R8138" s="34">
        <f t="shared" si="130"/>
        <v>0.92644882158722608</v>
      </c>
    </row>
    <row r="8139" spans="16:18" x14ac:dyDescent="0.3">
      <c r="P8139" s="35">
        <v>79.599999999999994</v>
      </c>
      <c r="Q8139">
        <v>305</v>
      </c>
      <c r="R8139" s="34">
        <f t="shared" si="130"/>
        <v>0.92656267790055868</v>
      </c>
    </row>
    <row r="8140" spans="16:18" x14ac:dyDescent="0.3">
      <c r="P8140" s="35">
        <v>79.599999999999994</v>
      </c>
      <c r="Q8140">
        <v>305</v>
      </c>
      <c r="R8140" s="34">
        <f t="shared" si="130"/>
        <v>0.92667653421389129</v>
      </c>
    </row>
    <row r="8141" spans="16:18" x14ac:dyDescent="0.3">
      <c r="P8141" s="35">
        <v>79.63</v>
      </c>
      <c r="Q8141">
        <v>305</v>
      </c>
      <c r="R8141" s="34">
        <f t="shared" si="130"/>
        <v>0.9267903905272239</v>
      </c>
    </row>
    <row r="8142" spans="16:18" x14ac:dyDescent="0.3">
      <c r="P8142" s="35">
        <v>79.66</v>
      </c>
      <c r="Q8142">
        <v>305</v>
      </c>
      <c r="R8142" s="34">
        <f t="shared" si="130"/>
        <v>0.9269042468405565</v>
      </c>
    </row>
    <row r="8143" spans="16:18" x14ac:dyDescent="0.3">
      <c r="P8143" s="35">
        <v>79.67</v>
      </c>
      <c r="Q8143">
        <v>305</v>
      </c>
      <c r="R8143" s="34">
        <f t="shared" si="130"/>
        <v>0.92701810315388911</v>
      </c>
    </row>
    <row r="8144" spans="16:18" x14ac:dyDescent="0.3">
      <c r="P8144" s="35">
        <v>79.739999999999995</v>
      </c>
      <c r="Q8144">
        <v>305</v>
      </c>
      <c r="R8144" s="34">
        <f t="shared" si="130"/>
        <v>0.92713195946722171</v>
      </c>
    </row>
    <row r="8145" spans="16:18" x14ac:dyDescent="0.3">
      <c r="P8145" s="35">
        <v>79.77</v>
      </c>
      <c r="Q8145">
        <v>305</v>
      </c>
      <c r="R8145" s="34">
        <f t="shared" si="130"/>
        <v>0.92724581578055432</v>
      </c>
    </row>
    <row r="8146" spans="16:18" x14ac:dyDescent="0.3">
      <c r="P8146" s="35">
        <v>79.81</v>
      </c>
      <c r="Q8146">
        <v>305</v>
      </c>
      <c r="R8146" s="34">
        <f t="shared" si="130"/>
        <v>0.92735967209388692</v>
      </c>
    </row>
    <row r="8147" spans="16:18" x14ac:dyDescent="0.3">
      <c r="P8147" s="35">
        <v>79.81</v>
      </c>
      <c r="Q8147">
        <v>305</v>
      </c>
      <c r="R8147" s="34">
        <f t="shared" si="130"/>
        <v>0.92747352840721953</v>
      </c>
    </row>
    <row r="8148" spans="16:18" x14ac:dyDescent="0.3">
      <c r="P8148" s="35">
        <v>79.81</v>
      </c>
      <c r="Q8148">
        <v>305</v>
      </c>
      <c r="R8148" s="34">
        <f t="shared" si="130"/>
        <v>0.92758738472055213</v>
      </c>
    </row>
    <row r="8149" spans="16:18" x14ac:dyDescent="0.3">
      <c r="P8149" s="35">
        <v>79.819999999999993</v>
      </c>
      <c r="Q8149">
        <v>305</v>
      </c>
      <c r="R8149" s="34">
        <f t="shared" si="130"/>
        <v>0.92770124103388474</v>
      </c>
    </row>
    <row r="8150" spans="16:18" x14ac:dyDescent="0.3">
      <c r="P8150" s="35">
        <v>79.83</v>
      </c>
      <c r="Q8150">
        <v>305</v>
      </c>
      <c r="R8150" s="34">
        <f t="shared" si="130"/>
        <v>0.92781509734721734</v>
      </c>
    </row>
    <row r="8151" spans="16:18" x14ac:dyDescent="0.3">
      <c r="P8151" s="35">
        <v>79.87</v>
      </c>
      <c r="Q8151">
        <v>305</v>
      </c>
      <c r="R8151" s="34">
        <f t="shared" si="130"/>
        <v>0.92792895366054995</v>
      </c>
    </row>
    <row r="8152" spans="16:18" x14ac:dyDescent="0.3">
      <c r="P8152" s="35">
        <v>79.98</v>
      </c>
      <c r="Q8152">
        <v>305</v>
      </c>
      <c r="R8152" s="34">
        <f t="shared" si="130"/>
        <v>0.92804280997388255</v>
      </c>
    </row>
    <row r="8153" spans="16:18" x14ac:dyDescent="0.3">
      <c r="P8153" s="35">
        <v>79.989999999999995</v>
      </c>
      <c r="Q8153">
        <v>305</v>
      </c>
      <c r="R8153" s="34">
        <f t="shared" si="130"/>
        <v>0.92815666628721516</v>
      </c>
    </row>
    <row r="8154" spans="16:18" x14ac:dyDescent="0.3">
      <c r="P8154" s="35">
        <v>80.010000000000005</v>
      </c>
      <c r="Q8154">
        <v>305</v>
      </c>
      <c r="R8154" s="34">
        <f t="shared" si="130"/>
        <v>0.92827052260054777</v>
      </c>
    </row>
    <row r="8155" spans="16:18" x14ac:dyDescent="0.3">
      <c r="P8155" s="35">
        <v>80.06</v>
      </c>
      <c r="Q8155">
        <v>305</v>
      </c>
      <c r="R8155" s="34">
        <f t="shared" si="130"/>
        <v>0.92838437891388037</v>
      </c>
    </row>
    <row r="8156" spans="16:18" x14ac:dyDescent="0.3">
      <c r="P8156" s="35">
        <v>80.14</v>
      </c>
      <c r="Q8156">
        <v>305</v>
      </c>
      <c r="R8156" s="34">
        <f t="shared" si="130"/>
        <v>0.92849823522721298</v>
      </c>
    </row>
    <row r="8157" spans="16:18" x14ac:dyDescent="0.3">
      <c r="P8157" s="35">
        <v>80.19</v>
      </c>
      <c r="Q8157">
        <v>305</v>
      </c>
      <c r="R8157" s="34">
        <f t="shared" si="130"/>
        <v>0.92861209154054558</v>
      </c>
    </row>
    <row r="8158" spans="16:18" x14ac:dyDescent="0.3">
      <c r="P8158" s="35">
        <v>80.260000000000005</v>
      </c>
      <c r="Q8158">
        <v>305</v>
      </c>
      <c r="R8158" s="34">
        <f t="shared" si="130"/>
        <v>0.92872594785387819</v>
      </c>
    </row>
    <row r="8159" spans="16:18" x14ac:dyDescent="0.3">
      <c r="P8159" s="35">
        <v>80.260000000000005</v>
      </c>
      <c r="Q8159">
        <v>305</v>
      </c>
      <c r="R8159" s="34">
        <f t="shared" si="130"/>
        <v>0.92883980416721079</v>
      </c>
    </row>
    <row r="8160" spans="16:18" x14ac:dyDescent="0.3">
      <c r="P8160" s="35">
        <v>80.27</v>
      </c>
      <c r="Q8160">
        <v>305</v>
      </c>
      <c r="R8160" s="34">
        <f t="shared" si="130"/>
        <v>0.9289536604805434</v>
      </c>
    </row>
    <row r="8161" spans="16:18" x14ac:dyDescent="0.3">
      <c r="P8161" s="35">
        <v>80.349999999999994</v>
      </c>
      <c r="Q8161">
        <v>305</v>
      </c>
      <c r="R8161" s="34">
        <f t="shared" si="130"/>
        <v>0.929067516793876</v>
      </c>
    </row>
    <row r="8162" spans="16:18" x14ac:dyDescent="0.3">
      <c r="P8162" s="35">
        <v>80.36</v>
      </c>
      <c r="Q8162">
        <v>305</v>
      </c>
      <c r="R8162" s="34">
        <f t="shared" si="130"/>
        <v>0.92918137310720861</v>
      </c>
    </row>
    <row r="8163" spans="16:18" x14ac:dyDescent="0.3">
      <c r="P8163" s="35">
        <v>80.39</v>
      </c>
      <c r="Q8163">
        <v>305</v>
      </c>
      <c r="R8163" s="34">
        <f t="shared" si="130"/>
        <v>0.92929522942054121</v>
      </c>
    </row>
    <row r="8164" spans="16:18" x14ac:dyDescent="0.3">
      <c r="P8164" s="35">
        <v>80.400000000000006</v>
      </c>
      <c r="Q8164">
        <v>305</v>
      </c>
      <c r="R8164" s="34">
        <f t="shared" si="130"/>
        <v>0.92940908573387382</v>
      </c>
    </row>
    <row r="8165" spans="16:18" x14ac:dyDescent="0.3">
      <c r="P8165" s="35">
        <v>80.489999999999995</v>
      </c>
      <c r="Q8165">
        <v>305</v>
      </c>
      <c r="R8165" s="34">
        <f t="shared" si="130"/>
        <v>0.92952294204720642</v>
      </c>
    </row>
    <row r="8166" spans="16:18" x14ac:dyDescent="0.3">
      <c r="P8166" s="35">
        <v>80.5</v>
      </c>
      <c r="Q8166">
        <v>305</v>
      </c>
      <c r="R8166" s="34">
        <f t="shared" si="130"/>
        <v>0.92963679836053903</v>
      </c>
    </row>
    <row r="8167" spans="16:18" x14ac:dyDescent="0.3">
      <c r="P8167" s="35">
        <v>80.53</v>
      </c>
      <c r="Q8167">
        <v>305</v>
      </c>
      <c r="R8167" s="34">
        <f t="shared" si="130"/>
        <v>0.92975065467387163</v>
      </c>
    </row>
    <row r="8168" spans="16:18" x14ac:dyDescent="0.3">
      <c r="P8168" s="35">
        <v>80.540000000000006</v>
      </c>
      <c r="Q8168">
        <v>305</v>
      </c>
      <c r="R8168" s="34">
        <f t="shared" si="130"/>
        <v>0.92986451098720424</v>
      </c>
    </row>
    <row r="8169" spans="16:18" x14ac:dyDescent="0.3">
      <c r="P8169" s="35">
        <v>80.59</v>
      </c>
      <c r="Q8169">
        <v>305</v>
      </c>
      <c r="R8169" s="34">
        <f t="shared" si="130"/>
        <v>0.92997836730053685</v>
      </c>
    </row>
    <row r="8170" spans="16:18" x14ac:dyDescent="0.3">
      <c r="P8170" s="35">
        <v>80.599999999999994</v>
      </c>
      <c r="Q8170">
        <v>305</v>
      </c>
      <c r="R8170" s="34">
        <f t="shared" si="130"/>
        <v>0.93009222361386945</v>
      </c>
    </row>
    <row r="8171" spans="16:18" x14ac:dyDescent="0.3">
      <c r="P8171" s="35">
        <v>80.650000000000006</v>
      </c>
      <c r="Q8171">
        <v>305</v>
      </c>
      <c r="R8171" s="34">
        <f t="shared" si="130"/>
        <v>0.93020607992720206</v>
      </c>
    </row>
    <row r="8172" spans="16:18" x14ac:dyDescent="0.3">
      <c r="P8172" s="35">
        <v>80.66</v>
      </c>
      <c r="Q8172">
        <v>305</v>
      </c>
      <c r="R8172" s="34">
        <f t="shared" si="130"/>
        <v>0.93031993624053466</v>
      </c>
    </row>
    <row r="8173" spans="16:18" x14ac:dyDescent="0.3">
      <c r="P8173" s="35">
        <v>80.67</v>
      </c>
      <c r="Q8173">
        <v>305</v>
      </c>
      <c r="R8173" s="34">
        <f t="shared" si="130"/>
        <v>0.93043379255386727</v>
      </c>
    </row>
    <row r="8174" spans="16:18" x14ac:dyDescent="0.3">
      <c r="P8174" s="35">
        <v>80.78</v>
      </c>
      <c r="Q8174">
        <v>305</v>
      </c>
      <c r="R8174" s="34">
        <f t="shared" si="130"/>
        <v>0.93054764886719987</v>
      </c>
    </row>
    <row r="8175" spans="16:18" x14ac:dyDescent="0.3">
      <c r="P8175" s="35">
        <v>80.81</v>
      </c>
      <c r="Q8175">
        <v>305</v>
      </c>
      <c r="R8175" s="34">
        <f t="shared" si="130"/>
        <v>0.93066150518053248</v>
      </c>
    </row>
    <row r="8176" spans="16:18" x14ac:dyDescent="0.3">
      <c r="P8176" s="35">
        <v>80.84</v>
      </c>
      <c r="Q8176">
        <v>305</v>
      </c>
      <c r="R8176" s="34">
        <f t="shared" si="130"/>
        <v>0.93077536149386508</v>
      </c>
    </row>
    <row r="8177" spans="16:18" x14ac:dyDescent="0.3">
      <c r="P8177" s="35">
        <v>80.97</v>
      </c>
      <c r="Q8177">
        <v>305</v>
      </c>
      <c r="R8177" s="34">
        <f t="shared" si="130"/>
        <v>0.93088921780719769</v>
      </c>
    </row>
    <row r="8178" spans="16:18" x14ac:dyDescent="0.3">
      <c r="P8178" s="35">
        <v>81.040000000000006</v>
      </c>
      <c r="Q8178">
        <v>305</v>
      </c>
      <c r="R8178" s="34">
        <f t="shared" si="130"/>
        <v>0.93100307412053029</v>
      </c>
    </row>
    <row r="8179" spans="16:18" x14ac:dyDescent="0.3">
      <c r="P8179" s="35">
        <v>81.17</v>
      </c>
      <c r="Q8179">
        <v>305</v>
      </c>
      <c r="R8179" s="34">
        <f t="shared" si="130"/>
        <v>0.9311169304338629</v>
      </c>
    </row>
    <row r="8180" spans="16:18" x14ac:dyDescent="0.3">
      <c r="P8180" s="35">
        <v>81.25</v>
      </c>
      <c r="Q8180">
        <v>305</v>
      </c>
      <c r="R8180" s="34">
        <f t="shared" si="130"/>
        <v>0.9312307867471955</v>
      </c>
    </row>
    <row r="8181" spans="16:18" x14ac:dyDescent="0.3">
      <c r="P8181" s="35">
        <v>81.63</v>
      </c>
      <c r="Q8181">
        <v>305</v>
      </c>
      <c r="R8181" s="34">
        <f t="shared" si="130"/>
        <v>0.93134464306052811</v>
      </c>
    </row>
    <row r="8182" spans="16:18" x14ac:dyDescent="0.3">
      <c r="P8182" s="35">
        <v>81.66</v>
      </c>
      <c r="Q8182">
        <v>305</v>
      </c>
      <c r="R8182" s="34">
        <f t="shared" si="130"/>
        <v>0.93145849937386072</v>
      </c>
    </row>
    <row r="8183" spans="16:18" x14ac:dyDescent="0.3">
      <c r="P8183" s="35">
        <v>81.69</v>
      </c>
      <c r="Q8183">
        <v>305</v>
      </c>
      <c r="R8183" s="34">
        <f t="shared" si="130"/>
        <v>0.93157235568719332</v>
      </c>
    </row>
    <row r="8184" spans="16:18" x14ac:dyDescent="0.3">
      <c r="P8184" s="35">
        <v>81.739999999999995</v>
      </c>
      <c r="Q8184">
        <v>305</v>
      </c>
      <c r="R8184" s="34">
        <f t="shared" si="130"/>
        <v>0.93168621200052593</v>
      </c>
    </row>
    <row r="8185" spans="16:18" x14ac:dyDescent="0.3">
      <c r="P8185" s="35">
        <v>81.77</v>
      </c>
      <c r="Q8185">
        <v>305</v>
      </c>
      <c r="R8185" s="34">
        <f t="shared" si="130"/>
        <v>0.93180006831385853</v>
      </c>
    </row>
    <row r="8186" spans="16:18" x14ac:dyDescent="0.3">
      <c r="P8186" s="35">
        <v>81.96</v>
      </c>
      <c r="Q8186">
        <v>305</v>
      </c>
      <c r="R8186" s="34">
        <f t="shared" si="130"/>
        <v>0.93191392462719114</v>
      </c>
    </row>
    <row r="8187" spans="16:18" x14ac:dyDescent="0.3">
      <c r="P8187" s="35">
        <v>82.02</v>
      </c>
      <c r="Q8187">
        <v>305</v>
      </c>
      <c r="R8187" s="34">
        <f t="shared" si="130"/>
        <v>0.93202778094052374</v>
      </c>
    </row>
    <row r="8188" spans="16:18" x14ac:dyDescent="0.3">
      <c r="P8188" s="35">
        <v>82.03</v>
      </c>
      <c r="Q8188">
        <v>305</v>
      </c>
      <c r="R8188" s="34">
        <f t="shared" si="130"/>
        <v>0.93214163725385635</v>
      </c>
    </row>
    <row r="8189" spans="16:18" x14ac:dyDescent="0.3">
      <c r="P8189" s="35">
        <v>82.08</v>
      </c>
      <c r="Q8189">
        <v>305</v>
      </c>
      <c r="R8189" s="34">
        <f t="shared" si="130"/>
        <v>0.93225549356718895</v>
      </c>
    </row>
    <row r="8190" spans="16:18" x14ac:dyDescent="0.3">
      <c r="P8190" s="35">
        <v>82.1</v>
      </c>
      <c r="Q8190">
        <v>305</v>
      </c>
      <c r="R8190" s="34">
        <f t="shared" si="130"/>
        <v>0.93236934988052156</v>
      </c>
    </row>
    <row r="8191" spans="16:18" x14ac:dyDescent="0.3">
      <c r="P8191" s="35">
        <v>82.22</v>
      </c>
      <c r="Q8191">
        <v>305</v>
      </c>
      <c r="R8191" s="34">
        <f t="shared" si="130"/>
        <v>0.93248320619385416</v>
      </c>
    </row>
    <row r="8192" spans="16:18" x14ac:dyDescent="0.3">
      <c r="P8192" s="35">
        <v>82.25</v>
      </c>
      <c r="Q8192">
        <v>305</v>
      </c>
      <c r="R8192" s="34">
        <f t="shared" si="130"/>
        <v>0.93259706250718677</v>
      </c>
    </row>
    <row r="8193" spans="16:18" x14ac:dyDescent="0.3">
      <c r="P8193" s="35">
        <v>82.26</v>
      </c>
      <c r="Q8193">
        <v>305</v>
      </c>
      <c r="R8193" s="34">
        <f t="shared" si="130"/>
        <v>0.93271091882051937</v>
      </c>
    </row>
    <row r="8194" spans="16:18" x14ac:dyDescent="0.3">
      <c r="P8194" s="35">
        <v>82.36</v>
      </c>
      <c r="Q8194">
        <v>305</v>
      </c>
      <c r="R8194" s="34">
        <f t="shared" si="130"/>
        <v>0.93282477513385198</v>
      </c>
    </row>
    <row r="8195" spans="16:18" x14ac:dyDescent="0.3">
      <c r="P8195" s="35">
        <v>82.37</v>
      </c>
      <c r="Q8195">
        <v>305</v>
      </c>
      <c r="R8195" s="34">
        <f t="shared" si="130"/>
        <v>0.93293863144718459</v>
      </c>
    </row>
    <row r="8196" spans="16:18" x14ac:dyDescent="0.3">
      <c r="P8196" s="35">
        <v>82.37</v>
      </c>
      <c r="Q8196">
        <v>305</v>
      </c>
      <c r="R8196" s="34">
        <f t="shared" ref="R8196:R8259" si="131">R8195+R$2</f>
        <v>0.93305248776051719</v>
      </c>
    </row>
    <row r="8197" spans="16:18" x14ac:dyDescent="0.3">
      <c r="P8197" s="35">
        <v>82.41</v>
      </c>
      <c r="Q8197">
        <v>305</v>
      </c>
      <c r="R8197" s="34">
        <f t="shared" si="131"/>
        <v>0.9331663440738498</v>
      </c>
    </row>
    <row r="8198" spans="16:18" x14ac:dyDescent="0.3">
      <c r="P8198" s="35">
        <v>82.46</v>
      </c>
      <c r="Q8198">
        <v>305</v>
      </c>
      <c r="R8198" s="34">
        <f t="shared" si="131"/>
        <v>0.9332802003871824</v>
      </c>
    </row>
    <row r="8199" spans="16:18" x14ac:dyDescent="0.3">
      <c r="P8199" s="35">
        <v>82.74</v>
      </c>
      <c r="Q8199">
        <v>305</v>
      </c>
      <c r="R8199" s="34">
        <f t="shared" si="131"/>
        <v>0.93339405670051501</v>
      </c>
    </row>
    <row r="8200" spans="16:18" x14ac:dyDescent="0.3">
      <c r="P8200" s="35">
        <v>82.79</v>
      </c>
      <c r="Q8200">
        <v>305</v>
      </c>
      <c r="R8200" s="34">
        <f t="shared" si="131"/>
        <v>0.93350791301384761</v>
      </c>
    </row>
    <row r="8201" spans="16:18" x14ac:dyDescent="0.3">
      <c r="P8201" s="35">
        <v>82.81</v>
      </c>
      <c r="Q8201">
        <v>305</v>
      </c>
      <c r="R8201" s="34">
        <f t="shared" si="131"/>
        <v>0.93362176932718022</v>
      </c>
    </row>
    <row r="8202" spans="16:18" x14ac:dyDescent="0.3">
      <c r="P8202" s="35">
        <v>82.82</v>
      </c>
      <c r="Q8202">
        <v>305</v>
      </c>
      <c r="R8202" s="34">
        <f t="shared" si="131"/>
        <v>0.93373562564051282</v>
      </c>
    </row>
    <row r="8203" spans="16:18" x14ac:dyDescent="0.3">
      <c r="P8203" s="35">
        <v>83</v>
      </c>
      <c r="Q8203">
        <v>305</v>
      </c>
      <c r="R8203" s="34">
        <f t="shared" si="131"/>
        <v>0.93384948195384543</v>
      </c>
    </row>
    <row r="8204" spans="16:18" x14ac:dyDescent="0.3">
      <c r="P8204" s="35">
        <v>83.37</v>
      </c>
      <c r="Q8204">
        <v>305</v>
      </c>
      <c r="R8204" s="34">
        <f t="shared" si="131"/>
        <v>0.93396333826717803</v>
      </c>
    </row>
    <row r="8205" spans="16:18" x14ac:dyDescent="0.3">
      <c r="P8205" s="35">
        <v>83.54</v>
      </c>
      <c r="Q8205">
        <v>305</v>
      </c>
      <c r="R8205" s="34">
        <f t="shared" si="131"/>
        <v>0.93407719458051064</v>
      </c>
    </row>
    <row r="8206" spans="16:18" x14ac:dyDescent="0.3">
      <c r="P8206" s="35">
        <v>83.56</v>
      </c>
      <c r="Q8206">
        <v>305</v>
      </c>
      <c r="R8206" s="34">
        <f t="shared" si="131"/>
        <v>0.93419105089384324</v>
      </c>
    </row>
    <row r="8207" spans="16:18" x14ac:dyDescent="0.3">
      <c r="P8207" s="35">
        <v>83.68</v>
      </c>
      <c r="Q8207">
        <v>305</v>
      </c>
      <c r="R8207" s="34">
        <f t="shared" si="131"/>
        <v>0.93430490720717585</v>
      </c>
    </row>
    <row r="8208" spans="16:18" x14ac:dyDescent="0.3">
      <c r="P8208" s="35">
        <v>83.74</v>
      </c>
      <c r="Q8208">
        <v>305</v>
      </c>
      <c r="R8208" s="34">
        <f t="shared" si="131"/>
        <v>0.93441876352050846</v>
      </c>
    </row>
    <row r="8209" spans="16:18" x14ac:dyDescent="0.3">
      <c r="P8209" s="35">
        <v>83.77</v>
      </c>
      <c r="Q8209">
        <v>305</v>
      </c>
      <c r="R8209" s="34">
        <f t="shared" si="131"/>
        <v>0.93453261983384106</v>
      </c>
    </row>
    <row r="8210" spans="16:18" x14ac:dyDescent="0.3">
      <c r="P8210" s="35">
        <v>83.91</v>
      </c>
      <c r="Q8210">
        <v>305</v>
      </c>
      <c r="R8210" s="34">
        <f t="shared" si="131"/>
        <v>0.93464647614717367</v>
      </c>
    </row>
    <row r="8211" spans="16:18" x14ac:dyDescent="0.3">
      <c r="P8211" s="35">
        <v>83.95</v>
      </c>
      <c r="Q8211">
        <v>305</v>
      </c>
      <c r="R8211" s="34">
        <f t="shared" si="131"/>
        <v>0.93476033246050627</v>
      </c>
    </row>
    <row r="8212" spans="16:18" x14ac:dyDescent="0.3">
      <c r="P8212" s="35">
        <v>83.99</v>
      </c>
      <c r="Q8212">
        <v>305</v>
      </c>
      <c r="R8212" s="34">
        <f t="shared" si="131"/>
        <v>0.93487418877383888</v>
      </c>
    </row>
    <row r="8213" spans="16:18" x14ac:dyDescent="0.3">
      <c r="P8213" s="35">
        <v>84.01</v>
      </c>
      <c r="Q8213">
        <v>305</v>
      </c>
      <c r="R8213" s="34">
        <f t="shared" si="131"/>
        <v>0.93498804508717148</v>
      </c>
    </row>
    <row r="8214" spans="16:18" x14ac:dyDescent="0.3">
      <c r="P8214" s="35">
        <v>84.02</v>
      </c>
      <c r="Q8214">
        <v>305</v>
      </c>
      <c r="R8214" s="34">
        <f t="shared" si="131"/>
        <v>0.93510190140050409</v>
      </c>
    </row>
    <row r="8215" spans="16:18" x14ac:dyDescent="0.3">
      <c r="P8215" s="35">
        <v>84.28</v>
      </c>
      <c r="Q8215">
        <v>305</v>
      </c>
      <c r="R8215" s="34">
        <f t="shared" si="131"/>
        <v>0.93521575771383669</v>
      </c>
    </row>
    <row r="8216" spans="16:18" x14ac:dyDescent="0.3">
      <c r="P8216" s="35">
        <v>84.32</v>
      </c>
      <c r="Q8216">
        <v>305</v>
      </c>
      <c r="R8216" s="34">
        <f t="shared" si="131"/>
        <v>0.9353296140271693</v>
      </c>
    </row>
    <row r="8217" spans="16:18" x14ac:dyDescent="0.3">
      <c r="P8217" s="35">
        <v>84.36</v>
      </c>
      <c r="Q8217">
        <v>305</v>
      </c>
      <c r="R8217" s="34">
        <f t="shared" si="131"/>
        <v>0.9354434703405019</v>
      </c>
    </row>
    <row r="8218" spans="16:18" x14ac:dyDescent="0.3">
      <c r="P8218" s="35">
        <v>84.48</v>
      </c>
      <c r="Q8218">
        <v>305</v>
      </c>
      <c r="R8218" s="34">
        <f t="shared" si="131"/>
        <v>0.93555732665383451</v>
      </c>
    </row>
    <row r="8219" spans="16:18" x14ac:dyDescent="0.3">
      <c r="P8219" s="35">
        <v>84.55</v>
      </c>
      <c r="Q8219">
        <v>305</v>
      </c>
      <c r="R8219" s="34">
        <f t="shared" si="131"/>
        <v>0.93567118296716711</v>
      </c>
    </row>
    <row r="8220" spans="16:18" x14ac:dyDescent="0.3">
      <c r="P8220" s="35">
        <v>84.56</v>
      </c>
      <c r="Q8220">
        <v>305</v>
      </c>
      <c r="R8220" s="34">
        <f t="shared" si="131"/>
        <v>0.93578503928049972</v>
      </c>
    </row>
    <row r="8221" spans="16:18" x14ac:dyDescent="0.3">
      <c r="P8221" s="35">
        <v>84.6</v>
      </c>
      <c r="Q8221">
        <v>305</v>
      </c>
      <c r="R8221" s="34">
        <f t="shared" si="131"/>
        <v>0.93589889559383233</v>
      </c>
    </row>
    <row r="8222" spans="16:18" x14ac:dyDescent="0.3">
      <c r="P8222" s="35">
        <v>84.69</v>
      </c>
      <c r="Q8222">
        <v>305</v>
      </c>
      <c r="R8222" s="34">
        <f t="shared" si="131"/>
        <v>0.93601275190716493</v>
      </c>
    </row>
    <row r="8223" spans="16:18" x14ac:dyDescent="0.3">
      <c r="P8223" s="35">
        <v>84.72</v>
      </c>
      <c r="Q8223">
        <v>305</v>
      </c>
      <c r="R8223" s="34">
        <f t="shared" si="131"/>
        <v>0.93612660822049754</v>
      </c>
    </row>
    <row r="8224" spans="16:18" x14ac:dyDescent="0.3">
      <c r="P8224" s="35">
        <v>84.83</v>
      </c>
      <c r="Q8224">
        <v>305</v>
      </c>
      <c r="R8224" s="34">
        <f t="shared" si="131"/>
        <v>0.93624046453383014</v>
      </c>
    </row>
    <row r="8225" spans="16:18" x14ac:dyDescent="0.3">
      <c r="P8225" s="35">
        <v>84.9</v>
      </c>
      <c r="Q8225">
        <v>305</v>
      </c>
      <c r="R8225" s="34">
        <f t="shared" si="131"/>
        <v>0.93635432084716275</v>
      </c>
    </row>
    <row r="8226" spans="16:18" x14ac:dyDescent="0.3">
      <c r="P8226" s="35">
        <v>85.04</v>
      </c>
      <c r="Q8226">
        <v>305</v>
      </c>
      <c r="R8226" s="34">
        <f t="shared" si="131"/>
        <v>0.93646817716049535</v>
      </c>
    </row>
    <row r="8227" spans="16:18" x14ac:dyDescent="0.3">
      <c r="P8227" s="35">
        <v>85.14</v>
      </c>
      <c r="Q8227">
        <v>305</v>
      </c>
      <c r="R8227" s="34">
        <f t="shared" si="131"/>
        <v>0.93658203347382796</v>
      </c>
    </row>
    <row r="8228" spans="16:18" x14ac:dyDescent="0.3">
      <c r="P8228" s="35">
        <v>85.18</v>
      </c>
      <c r="Q8228">
        <v>305</v>
      </c>
      <c r="R8228" s="34">
        <f t="shared" si="131"/>
        <v>0.93669588978716056</v>
      </c>
    </row>
    <row r="8229" spans="16:18" x14ac:dyDescent="0.3">
      <c r="P8229" s="35">
        <v>85.18</v>
      </c>
      <c r="Q8229">
        <v>305</v>
      </c>
      <c r="R8229" s="34">
        <f t="shared" si="131"/>
        <v>0.93680974610049317</v>
      </c>
    </row>
    <row r="8230" spans="16:18" x14ac:dyDescent="0.3">
      <c r="P8230" s="35">
        <v>85.26</v>
      </c>
      <c r="Q8230">
        <v>305</v>
      </c>
      <c r="R8230" s="34">
        <f t="shared" si="131"/>
        <v>0.93692360241382577</v>
      </c>
    </row>
    <row r="8231" spans="16:18" x14ac:dyDescent="0.3">
      <c r="P8231" s="35">
        <v>85.32</v>
      </c>
      <c r="Q8231">
        <v>305</v>
      </c>
      <c r="R8231" s="34">
        <f t="shared" si="131"/>
        <v>0.93703745872715838</v>
      </c>
    </row>
    <row r="8232" spans="16:18" x14ac:dyDescent="0.3">
      <c r="P8232" s="35">
        <v>85.41</v>
      </c>
      <c r="Q8232">
        <v>305</v>
      </c>
      <c r="R8232" s="34">
        <f t="shared" si="131"/>
        <v>0.93715131504049098</v>
      </c>
    </row>
    <row r="8233" spans="16:18" x14ac:dyDescent="0.3">
      <c r="P8233" s="35">
        <v>85.48</v>
      </c>
      <c r="Q8233">
        <v>305</v>
      </c>
      <c r="R8233" s="34">
        <f t="shared" si="131"/>
        <v>0.93726517135382359</v>
      </c>
    </row>
    <row r="8234" spans="16:18" x14ac:dyDescent="0.3">
      <c r="P8234" s="35">
        <v>85.57</v>
      </c>
      <c r="Q8234">
        <v>305</v>
      </c>
      <c r="R8234" s="34">
        <f t="shared" si="131"/>
        <v>0.93737902766715619</v>
      </c>
    </row>
    <row r="8235" spans="16:18" x14ac:dyDescent="0.3">
      <c r="P8235" s="35">
        <v>85.64</v>
      </c>
      <c r="Q8235">
        <v>305</v>
      </c>
      <c r="R8235" s="34">
        <f t="shared" si="131"/>
        <v>0.9374928839804888</v>
      </c>
    </row>
    <row r="8236" spans="16:18" x14ac:dyDescent="0.3">
      <c r="P8236" s="35">
        <v>85.78</v>
      </c>
      <c r="Q8236">
        <v>305</v>
      </c>
      <c r="R8236" s="34">
        <f t="shared" si="131"/>
        <v>0.93760674029382141</v>
      </c>
    </row>
    <row r="8237" spans="16:18" x14ac:dyDescent="0.3">
      <c r="P8237" s="35">
        <v>85.87</v>
      </c>
      <c r="Q8237">
        <v>305</v>
      </c>
      <c r="R8237" s="34">
        <f t="shared" si="131"/>
        <v>0.93772059660715401</v>
      </c>
    </row>
    <row r="8238" spans="16:18" x14ac:dyDescent="0.3">
      <c r="P8238" s="35">
        <v>85.95</v>
      </c>
      <c r="Q8238">
        <v>305</v>
      </c>
      <c r="R8238" s="34">
        <f t="shared" si="131"/>
        <v>0.93783445292048662</v>
      </c>
    </row>
    <row r="8239" spans="16:18" x14ac:dyDescent="0.3">
      <c r="P8239" s="35">
        <v>86.31</v>
      </c>
      <c r="Q8239">
        <v>305</v>
      </c>
      <c r="R8239" s="34">
        <f t="shared" si="131"/>
        <v>0.93794830923381922</v>
      </c>
    </row>
    <row r="8240" spans="16:18" x14ac:dyDescent="0.3">
      <c r="P8240" s="35">
        <v>86.31</v>
      </c>
      <c r="Q8240">
        <v>305</v>
      </c>
      <c r="R8240" s="34">
        <f t="shared" si="131"/>
        <v>0.93806216554715183</v>
      </c>
    </row>
    <row r="8241" spans="16:18" x14ac:dyDescent="0.3">
      <c r="P8241" s="35">
        <v>86.41</v>
      </c>
      <c r="Q8241">
        <v>305</v>
      </c>
      <c r="R8241" s="34">
        <f t="shared" si="131"/>
        <v>0.93817602186048443</v>
      </c>
    </row>
    <row r="8242" spans="16:18" x14ac:dyDescent="0.3">
      <c r="P8242" s="35">
        <v>86.41</v>
      </c>
      <c r="Q8242">
        <v>305</v>
      </c>
      <c r="R8242" s="34">
        <f t="shared" si="131"/>
        <v>0.93828987817381704</v>
      </c>
    </row>
    <row r="8243" spans="16:18" x14ac:dyDescent="0.3">
      <c r="P8243" s="35">
        <v>86.74</v>
      </c>
      <c r="Q8243">
        <v>305</v>
      </c>
      <c r="R8243" s="34">
        <f t="shared" si="131"/>
        <v>0.93840373448714964</v>
      </c>
    </row>
    <row r="8244" spans="16:18" x14ac:dyDescent="0.3">
      <c r="P8244" s="35">
        <v>86.76</v>
      </c>
      <c r="Q8244">
        <v>305</v>
      </c>
      <c r="R8244" s="34">
        <f t="shared" si="131"/>
        <v>0.93851759080048225</v>
      </c>
    </row>
    <row r="8245" spans="16:18" x14ac:dyDescent="0.3">
      <c r="P8245" s="35">
        <v>86.84</v>
      </c>
      <c r="Q8245">
        <v>305</v>
      </c>
      <c r="R8245" s="34">
        <f t="shared" si="131"/>
        <v>0.93863144711381485</v>
      </c>
    </row>
    <row r="8246" spans="16:18" x14ac:dyDescent="0.3">
      <c r="P8246" s="35">
        <v>86.89</v>
      </c>
      <c r="Q8246">
        <v>305</v>
      </c>
      <c r="R8246" s="34">
        <f t="shared" si="131"/>
        <v>0.93874530342714746</v>
      </c>
    </row>
    <row r="8247" spans="16:18" x14ac:dyDescent="0.3">
      <c r="P8247" s="35">
        <v>86.99</v>
      </c>
      <c r="Q8247">
        <v>305</v>
      </c>
      <c r="R8247" s="34">
        <f t="shared" si="131"/>
        <v>0.93885915974048006</v>
      </c>
    </row>
    <row r="8248" spans="16:18" x14ac:dyDescent="0.3">
      <c r="P8248" s="35">
        <v>87.23</v>
      </c>
      <c r="Q8248">
        <v>305</v>
      </c>
      <c r="R8248" s="34">
        <f t="shared" si="131"/>
        <v>0.93897301605381267</v>
      </c>
    </row>
    <row r="8249" spans="16:18" x14ac:dyDescent="0.3">
      <c r="P8249" s="35">
        <v>87.27</v>
      </c>
      <c r="Q8249">
        <v>305</v>
      </c>
      <c r="R8249" s="34">
        <f t="shared" si="131"/>
        <v>0.93908687236714528</v>
      </c>
    </row>
    <row r="8250" spans="16:18" x14ac:dyDescent="0.3">
      <c r="P8250" s="35">
        <v>87.29</v>
      </c>
      <c r="Q8250">
        <v>305</v>
      </c>
      <c r="R8250" s="34">
        <f t="shared" si="131"/>
        <v>0.93920072868047788</v>
      </c>
    </row>
    <row r="8251" spans="16:18" x14ac:dyDescent="0.3">
      <c r="P8251" s="35">
        <v>87.44</v>
      </c>
      <c r="Q8251">
        <v>305</v>
      </c>
      <c r="R8251" s="34">
        <f t="shared" si="131"/>
        <v>0.93931458499381049</v>
      </c>
    </row>
    <row r="8252" spans="16:18" x14ac:dyDescent="0.3">
      <c r="P8252" s="35">
        <v>87.45</v>
      </c>
      <c r="Q8252">
        <v>305</v>
      </c>
      <c r="R8252" s="34">
        <f t="shared" si="131"/>
        <v>0.93942844130714309</v>
      </c>
    </row>
    <row r="8253" spans="16:18" x14ac:dyDescent="0.3">
      <c r="P8253" s="35">
        <v>87.47</v>
      </c>
      <c r="Q8253">
        <v>305</v>
      </c>
      <c r="R8253" s="34">
        <f t="shared" si="131"/>
        <v>0.9395422976204757</v>
      </c>
    </row>
    <row r="8254" spans="16:18" x14ac:dyDescent="0.3">
      <c r="P8254" s="35">
        <v>87.53</v>
      </c>
      <c r="Q8254">
        <v>305</v>
      </c>
      <c r="R8254" s="34">
        <f t="shared" si="131"/>
        <v>0.9396561539338083</v>
      </c>
    </row>
    <row r="8255" spans="16:18" x14ac:dyDescent="0.3">
      <c r="P8255" s="35">
        <v>87.57</v>
      </c>
      <c r="Q8255">
        <v>305</v>
      </c>
      <c r="R8255" s="34">
        <f t="shared" si="131"/>
        <v>0.93977001024714091</v>
      </c>
    </row>
    <row r="8256" spans="16:18" x14ac:dyDescent="0.3">
      <c r="P8256" s="35">
        <v>87.58</v>
      </c>
      <c r="Q8256">
        <v>305</v>
      </c>
      <c r="R8256" s="34">
        <f t="shared" si="131"/>
        <v>0.93988386656047351</v>
      </c>
    </row>
    <row r="8257" spans="16:18" x14ac:dyDescent="0.3">
      <c r="P8257" s="35">
        <v>87.61</v>
      </c>
      <c r="Q8257">
        <v>305</v>
      </c>
      <c r="R8257" s="34">
        <f t="shared" si="131"/>
        <v>0.93999772287380612</v>
      </c>
    </row>
    <row r="8258" spans="16:18" x14ac:dyDescent="0.3">
      <c r="P8258" s="35">
        <v>87.73</v>
      </c>
      <c r="Q8258">
        <v>305</v>
      </c>
      <c r="R8258" s="34">
        <f t="shared" si="131"/>
        <v>0.94011157918713872</v>
      </c>
    </row>
    <row r="8259" spans="16:18" x14ac:dyDescent="0.3">
      <c r="P8259" s="35">
        <v>87.74</v>
      </c>
      <c r="Q8259">
        <v>305</v>
      </c>
      <c r="R8259" s="34">
        <f t="shared" si="131"/>
        <v>0.94022543550047133</v>
      </c>
    </row>
    <row r="8260" spans="16:18" x14ac:dyDescent="0.3">
      <c r="P8260" s="35">
        <v>87.74</v>
      </c>
      <c r="Q8260">
        <v>305</v>
      </c>
      <c r="R8260" s="34">
        <f t="shared" ref="R8260:R8323" si="132">R8259+R$2</f>
        <v>0.94033929181380393</v>
      </c>
    </row>
    <row r="8261" spans="16:18" x14ac:dyDescent="0.3">
      <c r="P8261" s="35">
        <v>87.76</v>
      </c>
      <c r="Q8261">
        <v>305</v>
      </c>
      <c r="R8261" s="34">
        <f t="shared" si="132"/>
        <v>0.94045314812713654</v>
      </c>
    </row>
    <row r="8262" spans="16:18" x14ac:dyDescent="0.3">
      <c r="P8262" s="35">
        <v>87.77</v>
      </c>
      <c r="Q8262">
        <v>305</v>
      </c>
      <c r="R8262" s="34">
        <f t="shared" si="132"/>
        <v>0.94056700444046915</v>
      </c>
    </row>
    <row r="8263" spans="16:18" x14ac:dyDescent="0.3">
      <c r="P8263" s="35">
        <v>87.85</v>
      </c>
      <c r="Q8263">
        <v>305</v>
      </c>
      <c r="R8263" s="34">
        <f t="shared" si="132"/>
        <v>0.94068086075380175</v>
      </c>
    </row>
    <row r="8264" spans="16:18" x14ac:dyDescent="0.3">
      <c r="P8264" s="35">
        <v>88.01</v>
      </c>
      <c r="Q8264">
        <v>305</v>
      </c>
      <c r="R8264" s="34">
        <f t="shared" si="132"/>
        <v>0.94079471706713436</v>
      </c>
    </row>
    <row r="8265" spans="16:18" x14ac:dyDescent="0.3">
      <c r="P8265" s="35">
        <v>88.26</v>
      </c>
      <c r="Q8265">
        <v>305</v>
      </c>
      <c r="R8265" s="34">
        <f t="shared" si="132"/>
        <v>0.94090857338046696</v>
      </c>
    </row>
    <row r="8266" spans="16:18" x14ac:dyDescent="0.3">
      <c r="P8266" s="35">
        <v>88.27</v>
      </c>
      <c r="Q8266">
        <v>305</v>
      </c>
      <c r="R8266" s="34">
        <f t="shared" si="132"/>
        <v>0.94102242969379957</v>
      </c>
    </row>
    <row r="8267" spans="16:18" x14ac:dyDescent="0.3">
      <c r="P8267" s="35">
        <v>88.34</v>
      </c>
      <c r="Q8267">
        <v>305</v>
      </c>
      <c r="R8267" s="34">
        <f t="shared" si="132"/>
        <v>0.94113628600713217</v>
      </c>
    </row>
    <row r="8268" spans="16:18" x14ac:dyDescent="0.3">
      <c r="P8268" s="35">
        <v>88.4</v>
      </c>
      <c r="Q8268">
        <v>305</v>
      </c>
      <c r="R8268" s="34">
        <f t="shared" si="132"/>
        <v>0.94125014232046478</v>
      </c>
    </row>
    <row r="8269" spans="16:18" x14ac:dyDescent="0.3">
      <c r="P8269" s="35">
        <v>88.48</v>
      </c>
      <c r="Q8269">
        <v>305</v>
      </c>
      <c r="R8269" s="34">
        <f t="shared" si="132"/>
        <v>0.94136399863379738</v>
      </c>
    </row>
    <row r="8270" spans="16:18" x14ac:dyDescent="0.3">
      <c r="P8270" s="35">
        <v>88.58</v>
      </c>
      <c r="Q8270">
        <v>305</v>
      </c>
      <c r="R8270" s="34">
        <f t="shared" si="132"/>
        <v>0.94147785494712999</v>
      </c>
    </row>
    <row r="8271" spans="16:18" x14ac:dyDescent="0.3">
      <c r="P8271" s="35">
        <v>88.59</v>
      </c>
      <c r="Q8271">
        <v>305</v>
      </c>
      <c r="R8271" s="34">
        <f t="shared" si="132"/>
        <v>0.94159171126046259</v>
      </c>
    </row>
    <row r="8272" spans="16:18" x14ac:dyDescent="0.3">
      <c r="P8272" s="35">
        <v>88.71</v>
      </c>
      <c r="Q8272">
        <v>305</v>
      </c>
      <c r="R8272" s="34">
        <f t="shared" si="132"/>
        <v>0.9417055675737952</v>
      </c>
    </row>
    <row r="8273" spans="16:18" x14ac:dyDescent="0.3">
      <c r="P8273" s="35">
        <v>89.07</v>
      </c>
      <c r="Q8273">
        <v>305</v>
      </c>
      <c r="R8273" s="34">
        <f t="shared" si="132"/>
        <v>0.9418194238871278</v>
      </c>
    </row>
    <row r="8274" spans="16:18" x14ac:dyDescent="0.3">
      <c r="P8274" s="35">
        <v>89.07</v>
      </c>
      <c r="Q8274">
        <v>305</v>
      </c>
      <c r="R8274" s="34">
        <f t="shared" si="132"/>
        <v>0.94193328020046041</v>
      </c>
    </row>
    <row r="8275" spans="16:18" x14ac:dyDescent="0.3">
      <c r="P8275" s="35">
        <v>89.12</v>
      </c>
      <c r="Q8275">
        <v>305</v>
      </c>
      <c r="R8275" s="34">
        <f t="shared" si="132"/>
        <v>0.94204713651379302</v>
      </c>
    </row>
    <row r="8276" spans="16:18" x14ac:dyDescent="0.3">
      <c r="P8276" s="35">
        <v>89.17</v>
      </c>
      <c r="Q8276">
        <v>305</v>
      </c>
      <c r="R8276" s="34">
        <f t="shared" si="132"/>
        <v>0.94216099282712562</v>
      </c>
    </row>
    <row r="8277" spans="16:18" x14ac:dyDescent="0.3">
      <c r="P8277" s="35">
        <v>89.21</v>
      </c>
      <c r="Q8277">
        <v>305</v>
      </c>
      <c r="R8277" s="34">
        <f t="shared" si="132"/>
        <v>0.94227484914045823</v>
      </c>
    </row>
    <row r="8278" spans="16:18" x14ac:dyDescent="0.3">
      <c r="P8278" s="35">
        <v>89.38</v>
      </c>
      <c r="Q8278">
        <v>305</v>
      </c>
      <c r="R8278" s="34">
        <f t="shared" si="132"/>
        <v>0.94238870545379083</v>
      </c>
    </row>
    <row r="8279" spans="16:18" x14ac:dyDescent="0.3">
      <c r="P8279" s="35">
        <v>89.39</v>
      </c>
      <c r="Q8279">
        <v>305</v>
      </c>
      <c r="R8279" s="34">
        <f t="shared" si="132"/>
        <v>0.94250256176712344</v>
      </c>
    </row>
    <row r="8280" spans="16:18" x14ac:dyDescent="0.3">
      <c r="P8280" s="35">
        <v>89.75</v>
      </c>
      <c r="Q8280">
        <v>305</v>
      </c>
      <c r="R8280" s="34">
        <f t="shared" si="132"/>
        <v>0.94261641808045604</v>
      </c>
    </row>
    <row r="8281" spans="16:18" x14ac:dyDescent="0.3">
      <c r="P8281" s="35">
        <v>89.79</v>
      </c>
      <c r="Q8281">
        <v>305</v>
      </c>
      <c r="R8281" s="34">
        <f t="shared" si="132"/>
        <v>0.94273027439378865</v>
      </c>
    </row>
    <row r="8282" spans="16:18" x14ac:dyDescent="0.3">
      <c r="P8282" s="35">
        <v>89.89</v>
      </c>
      <c r="Q8282">
        <v>305</v>
      </c>
      <c r="R8282" s="34">
        <f t="shared" si="132"/>
        <v>0.94284413070712125</v>
      </c>
    </row>
    <row r="8283" spans="16:18" x14ac:dyDescent="0.3">
      <c r="P8283" s="35">
        <v>89.9</v>
      </c>
      <c r="Q8283">
        <v>305</v>
      </c>
      <c r="R8283" s="34">
        <f t="shared" si="132"/>
        <v>0.94295798702045386</v>
      </c>
    </row>
    <row r="8284" spans="16:18" x14ac:dyDescent="0.3">
      <c r="P8284" s="35">
        <v>89.94</v>
      </c>
      <c r="Q8284">
        <v>305</v>
      </c>
      <c r="R8284" s="34">
        <f t="shared" si="132"/>
        <v>0.94307184333378646</v>
      </c>
    </row>
    <row r="8285" spans="16:18" x14ac:dyDescent="0.3">
      <c r="P8285" s="35">
        <v>89.99</v>
      </c>
      <c r="Q8285">
        <v>305</v>
      </c>
      <c r="R8285" s="34">
        <f t="shared" si="132"/>
        <v>0.94318569964711907</v>
      </c>
    </row>
    <row r="8286" spans="16:18" x14ac:dyDescent="0.3">
      <c r="P8286" s="35">
        <v>90.02</v>
      </c>
      <c r="Q8286">
        <v>305</v>
      </c>
      <c r="R8286" s="34">
        <f t="shared" si="132"/>
        <v>0.94329955596045167</v>
      </c>
    </row>
    <row r="8287" spans="16:18" x14ac:dyDescent="0.3">
      <c r="P8287" s="35">
        <v>90.07</v>
      </c>
      <c r="Q8287">
        <v>305</v>
      </c>
      <c r="R8287" s="34">
        <f t="shared" si="132"/>
        <v>0.94341341227378428</v>
      </c>
    </row>
    <row r="8288" spans="16:18" x14ac:dyDescent="0.3">
      <c r="P8288" s="35">
        <v>90.09</v>
      </c>
      <c r="Q8288">
        <v>305</v>
      </c>
      <c r="R8288" s="34">
        <f t="shared" si="132"/>
        <v>0.94352726858711689</v>
      </c>
    </row>
    <row r="8289" spans="16:18" x14ac:dyDescent="0.3">
      <c r="P8289" s="35">
        <v>90.1</v>
      </c>
      <c r="Q8289">
        <v>305</v>
      </c>
      <c r="R8289" s="34">
        <f t="shared" si="132"/>
        <v>0.94364112490044949</v>
      </c>
    </row>
    <row r="8290" spans="16:18" x14ac:dyDescent="0.3">
      <c r="P8290" s="35">
        <v>90.24</v>
      </c>
      <c r="Q8290">
        <v>305</v>
      </c>
      <c r="R8290" s="34">
        <f t="shared" si="132"/>
        <v>0.9437549812137821</v>
      </c>
    </row>
    <row r="8291" spans="16:18" x14ac:dyDescent="0.3">
      <c r="P8291" s="35">
        <v>90.33</v>
      </c>
      <c r="Q8291">
        <v>305</v>
      </c>
      <c r="R8291" s="34">
        <f t="shared" si="132"/>
        <v>0.9438688375271147</v>
      </c>
    </row>
    <row r="8292" spans="16:18" x14ac:dyDescent="0.3">
      <c r="P8292" s="35">
        <v>90.4</v>
      </c>
      <c r="Q8292">
        <v>305</v>
      </c>
      <c r="R8292" s="34">
        <f t="shared" si="132"/>
        <v>0.94398269384044731</v>
      </c>
    </row>
    <row r="8293" spans="16:18" x14ac:dyDescent="0.3">
      <c r="P8293" s="35">
        <v>90.49</v>
      </c>
      <c r="Q8293">
        <v>305</v>
      </c>
      <c r="R8293" s="34">
        <f t="shared" si="132"/>
        <v>0.94409655015377991</v>
      </c>
    </row>
    <row r="8294" spans="16:18" x14ac:dyDescent="0.3">
      <c r="P8294" s="35">
        <v>90.54</v>
      </c>
      <c r="Q8294">
        <v>305</v>
      </c>
      <c r="R8294" s="34">
        <f t="shared" si="132"/>
        <v>0.94421040646711252</v>
      </c>
    </row>
    <row r="8295" spans="16:18" x14ac:dyDescent="0.3">
      <c r="P8295" s="35">
        <v>90.57</v>
      </c>
      <c r="Q8295">
        <v>305</v>
      </c>
      <c r="R8295" s="34">
        <f t="shared" si="132"/>
        <v>0.94432426278044512</v>
      </c>
    </row>
    <row r="8296" spans="16:18" x14ac:dyDescent="0.3">
      <c r="P8296" s="35">
        <v>90.63</v>
      </c>
      <c r="Q8296">
        <v>305</v>
      </c>
      <c r="R8296" s="34">
        <f t="shared" si="132"/>
        <v>0.94443811909377773</v>
      </c>
    </row>
    <row r="8297" spans="16:18" x14ac:dyDescent="0.3">
      <c r="P8297" s="35">
        <v>90.71</v>
      </c>
      <c r="Q8297">
        <v>305</v>
      </c>
      <c r="R8297" s="34">
        <f t="shared" si="132"/>
        <v>0.94455197540711033</v>
      </c>
    </row>
    <row r="8298" spans="16:18" x14ac:dyDescent="0.3">
      <c r="P8298" s="35">
        <v>90.79</v>
      </c>
      <c r="Q8298">
        <v>305</v>
      </c>
      <c r="R8298" s="34">
        <f t="shared" si="132"/>
        <v>0.94466583172044294</v>
      </c>
    </row>
    <row r="8299" spans="16:18" x14ac:dyDescent="0.3">
      <c r="P8299" s="35">
        <v>90.88</v>
      </c>
      <c r="Q8299">
        <v>305</v>
      </c>
      <c r="R8299" s="34">
        <f t="shared" si="132"/>
        <v>0.94477968803377554</v>
      </c>
    </row>
    <row r="8300" spans="16:18" x14ac:dyDescent="0.3">
      <c r="P8300" s="35">
        <v>90.89</v>
      </c>
      <c r="Q8300">
        <v>305</v>
      </c>
      <c r="R8300" s="34">
        <f t="shared" si="132"/>
        <v>0.94489354434710815</v>
      </c>
    </row>
    <row r="8301" spans="16:18" x14ac:dyDescent="0.3">
      <c r="P8301" s="35">
        <v>91.13</v>
      </c>
      <c r="Q8301">
        <v>305</v>
      </c>
      <c r="R8301" s="34">
        <f t="shared" si="132"/>
        <v>0.94500740066044076</v>
      </c>
    </row>
    <row r="8302" spans="16:18" x14ac:dyDescent="0.3">
      <c r="P8302" s="35">
        <v>91.2</v>
      </c>
      <c r="Q8302">
        <v>305</v>
      </c>
      <c r="R8302" s="34">
        <f t="shared" si="132"/>
        <v>0.94512125697377336</v>
      </c>
    </row>
    <row r="8303" spans="16:18" x14ac:dyDescent="0.3">
      <c r="P8303" s="35">
        <v>91.23</v>
      </c>
      <c r="Q8303">
        <v>305</v>
      </c>
      <c r="R8303" s="34">
        <f t="shared" si="132"/>
        <v>0.94523511328710597</v>
      </c>
    </row>
    <row r="8304" spans="16:18" x14ac:dyDescent="0.3">
      <c r="P8304" s="35">
        <v>91.25</v>
      </c>
      <c r="Q8304">
        <v>305</v>
      </c>
      <c r="R8304" s="34">
        <f t="shared" si="132"/>
        <v>0.94534896960043857</v>
      </c>
    </row>
    <row r="8305" spans="16:18" x14ac:dyDescent="0.3">
      <c r="P8305" s="35">
        <v>91.33</v>
      </c>
      <c r="Q8305">
        <v>305</v>
      </c>
      <c r="R8305" s="34">
        <f t="shared" si="132"/>
        <v>0.94546282591377118</v>
      </c>
    </row>
    <row r="8306" spans="16:18" x14ac:dyDescent="0.3">
      <c r="P8306" s="35">
        <v>91.53</v>
      </c>
      <c r="Q8306">
        <v>305</v>
      </c>
      <c r="R8306" s="34">
        <f t="shared" si="132"/>
        <v>0.94557668222710378</v>
      </c>
    </row>
    <row r="8307" spans="16:18" x14ac:dyDescent="0.3">
      <c r="P8307" s="35">
        <v>91.62</v>
      </c>
      <c r="Q8307">
        <v>305</v>
      </c>
      <c r="R8307" s="34">
        <f t="shared" si="132"/>
        <v>0.94569053854043639</v>
      </c>
    </row>
    <row r="8308" spans="16:18" x14ac:dyDescent="0.3">
      <c r="P8308" s="35">
        <v>91.63</v>
      </c>
      <c r="Q8308">
        <v>305</v>
      </c>
      <c r="R8308" s="34">
        <f t="shared" si="132"/>
        <v>0.94580439485376899</v>
      </c>
    </row>
    <row r="8309" spans="16:18" x14ac:dyDescent="0.3">
      <c r="P8309" s="35">
        <v>91.77</v>
      </c>
      <c r="Q8309">
        <v>305</v>
      </c>
      <c r="R8309" s="34">
        <f t="shared" si="132"/>
        <v>0.9459182511671016</v>
      </c>
    </row>
    <row r="8310" spans="16:18" x14ac:dyDescent="0.3">
      <c r="P8310" s="35">
        <v>91.82</v>
      </c>
      <c r="Q8310">
        <v>305</v>
      </c>
      <c r="R8310" s="34">
        <f t="shared" si="132"/>
        <v>0.9460321074804342</v>
      </c>
    </row>
    <row r="8311" spans="16:18" x14ac:dyDescent="0.3">
      <c r="P8311" s="35">
        <v>91.97</v>
      </c>
      <c r="Q8311">
        <v>305</v>
      </c>
      <c r="R8311" s="34">
        <f t="shared" si="132"/>
        <v>0.94614596379376681</v>
      </c>
    </row>
    <row r="8312" spans="16:18" x14ac:dyDescent="0.3">
      <c r="P8312" s="35">
        <v>92.3</v>
      </c>
      <c r="Q8312">
        <v>305</v>
      </c>
      <c r="R8312" s="34">
        <f t="shared" si="132"/>
        <v>0.94625982010709941</v>
      </c>
    </row>
    <row r="8313" spans="16:18" x14ac:dyDescent="0.3">
      <c r="P8313" s="35">
        <v>92.49</v>
      </c>
      <c r="Q8313">
        <v>305</v>
      </c>
      <c r="R8313" s="34">
        <f t="shared" si="132"/>
        <v>0.94637367642043202</v>
      </c>
    </row>
    <row r="8314" spans="16:18" x14ac:dyDescent="0.3">
      <c r="P8314" s="35">
        <v>92.85</v>
      </c>
      <c r="Q8314">
        <v>305</v>
      </c>
      <c r="R8314" s="34">
        <f t="shared" si="132"/>
        <v>0.94648753273376462</v>
      </c>
    </row>
    <row r="8315" spans="16:18" x14ac:dyDescent="0.3">
      <c r="P8315" s="35">
        <v>92.85</v>
      </c>
      <c r="Q8315">
        <v>305</v>
      </c>
      <c r="R8315" s="34">
        <f t="shared" si="132"/>
        <v>0.94660138904709723</v>
      </c>
    </row>
    <row r="8316" spans="16:18" x14ac:dyDescent="0.3">
      <c r="P8316" s="35">
        <v>93.23</v>
      </c>
      <c r="Q8316">
        <v>305</v>
      </c>
      <c r="R8316" s="34">
        <f t="shared" si="132"/>
        <v>0.94671524536042984</v>
      </c>
    </row>
    <row r="8317" spans="16:18" x14ac:dyDescent="0.3">
      <c r="P8317" s="35">
        <v>93.44</v>
      </c>
      <c r="Q8317">
        <v>305</v>
      </c>
      <c r="R8317" s="34">
        <f t="shared" si="132"/>
        <v>0.94682910167376244</v>
      </c>
    </row>
    <row r="8318" spans="16:18" x14ac:dyDescent="0.3">
      <c r="P8318" s="35">
        <v>93.49</v>
      </c>
      <c r="Q8318">
        <v>305</v>
      </c>
      <c r="R8318" s="34">
        <f t="shared" si="132"/>
        <v>0.94694295798709505</v>
      </c>
    </row>
    <row r="8319" spans="16:18" x14ac:dyDescent="0.3">
      <c r="P8319" s="35">
        <v>93.59</v>
      </c>
      <c r="Q8319">
        <v>305</v>
      </c>
      <c r="R8319" s="34">
        <f t="shared" si="132"/>
        <v>0.94705681430042765</v>
      </c>
    </row>
    <row r="8320" spans="16:18" x14ac:dyDescent="0.3">
      <c r="P8320" s="35">
        <v>93.65</v>
      </c>
      <c r="Q8320">
        <v>305</v>
      </c>
      <c r="R8320" s="34">
        <f t="shared" si="132"/>
        <v>0.94717067061376026</v>
      </c>
    </row>
    <row r="8321" spans="16:18" x14ac:dyDescent="0.3">
      <c r="P8321" s="35">
        <v>93.68</v>
      </c>
      <c r="Q8321">
        <v>305</v>
      </c>
      <c r="R8321" s="34">
        <f t="shared" si="132"/>
        <v>0.94728452692709286</v>
      </c>
    </row>
    <row r="8322" spans="16:18" x14ac:dyDescent="0.3">
      <c r="P8322" s="35">
        <v>93.76</v>
      </c>
      <c r="Q8322">
        <v>305</v>
      </c>
      <c r="R8322" s="34">
        <f t="shared" si="132"/>
        <v>0.94739838324042547</v>
      </c>
    </row>
    <row r="8323" spans="16:18" x14ac:dyDescent="0.3">
      <c r="P8323" s="35">
        <v>93.83</v>
      </c>
      <c r="Q8323">
        <v>305</v>
      </c>
      <c r="R8323" s="34">
        <f t="shared" si="132"/>
        <v>0.94751223955375807</v>
      </c>
    </row>
    <row r="8324" spans="16:18" x14ac:dyDescent="0.3">
      <c r="P8324" s="35">
        <v>94.03</v>
      </c>
      <c r="Q8324">
        <v>305</v>
      </c>
      <c r="R8324" s="34">
        <f t="shared" ref="R8324:R8387" si="133">R8323+R$2</f>
        <v>0.94762609586709068</v>
      </c>
    </row>
    <row r="8325" spans="16:18" x14ac:dyDescent="0.3">
      <c r="P8325" s="35">
        <v>94.16</v>
      </c>
      <c r="Q8325">
        <v>305</v>
      </c>
      <c r="R8325" s="34">
        <f t="shared" si="133"/>
        <v>0.94773995218042328</v>
      </c>
    </row>
    <row r="8326" spans="16:18" x14ac:dyDescent="0.3">
      <c r="P8326" s="35">
        <v>94.41</v>
      </c>
      <c r="Q8326">
        <v>305</v>
      </c>
      <c r="R8326" s="34">
        <f t="shared" si="133"/>
        <v>0.94785380849375589</v>
      </c>
    </row>
    <row r="8327" spans="16:18" x14ac:dyDescent="0.3">
      <c r="P8327" s="35">
        <v>94.42</v>
      </c>
      <c r="Q8327">
        <v>305</v>
      </c>
      <c r="R8327" s="34">
        <f t="shared" si="133"/>
        <v>0.94796766480708849</v>
      </c>
    </row>
    <row r="8328" spans="16:18" x14ac:dyDescent="0.3">
      <c r="P8328" s="35">
        <v>94.45</v>
      </c>
      <c r="Q8328">
        <v>305</v>
      </c>
      <c r="R8328" s="34">
        <f t="shared" si="133"/>
        <v>0.9480815211204211</v>
      </c>
    </row>
    <row r="8329" spans="16:18" x14ac:dyDescent="0.3">
      <c r="P8329" s="35">
        <v>94.59</v>
      </c>
      <c r="Q8329">
        <v>305</v>
      </c>
      <c r="R8329" s="34">
        <f t="shared" si="133"/>
        <v>0.94819537743375371</v>
      </c>
    </row>
    <row r="8330" spans="16:18" x14ac:dyDescent="0.3">
      <c r="P8330" s="35">
        <v>94.6</v>
      </c>
      <c r="Q8330">
        <v>305</v>
      </c>
      <c r="R8330" s="34">
        <f t="shared" si="133"/>
        <v>0.94830923374708631</v>
      </c>
    </row>
    <row r="8331" spans="16:18" x14ac:dyDescent="0.3">
      <c r="P8331" s="35">
        <v>94.75</v>
      </c>
      <c r="Q8331">
        <v>305</v>
      </c>
      <c r="R8331" s="34">
        <f t="shared" si="133"/>
        <v>0.94842309006041892</v>
      </c>
    </row>
    <row r="8332" spans="16:18" x14ac:dyDescent="0.3">
      <c r="P8332" s="35">
        <v>94.78</v>
      </c>
      <c r="Q8332">
        <v>305</v>
      </c>
      <c r="R8332" s="34">
        <f t="shared" si="133"/>
        <v>0.94853694637375152</v>
      </c>
    </row>
    <row r="8333" spans="16:18" x14ac:dyDescent="0.3">
      <c r="P8333" s="35">
        <v>94.78</v>
      </c>
      <c r="Q8333">
        <v>305</v>
      </c>
      <c r="R8333" s="34">
        <f t="shared" si="133"/>
        <v>0.94865080268708413</v>
      </c>
    </row>
    <row r="8334" spans="16:18" x14ac:dyDescent="0.3">
      <c r="P8334" s="35">
        <v>94.89</v>
      </c>
      <c r="Q8334">
        <v>305</v>
      </c>
      <c r="R8334" s="34">
        <f t="shared" si="133"/>
        <v>0.94876465900041673</v>
      </c>
    </row>
    <row r="8335" spans="16:18" x14ac:dyDescent="0.3">
      <c r="P8335" s="35">
        <v>95.07</v>
      </c>
      <c r="Q8335">
        <v>305</v>
      </c>
      <c r="R8335" s="34">
        <f t="shared" si="133"/>
        <v>0.94887851531374934</v>
      </c>
    </row>
    <row r="8336" spans="16:18" x14ac:dyDescent="0.3">
      <c r="P8336" s="35">
        <v>95.11</v>
      </c>
      <c r="Q8336">
        <v>305</v>
      </c>
      <c r="R8336" s="34">
        <f t="shared" si="133"/>
        <v>0.94899237162708194</v>
      </c>
    </row>
    <row r="8337" spans="16:18" x14ac:dyDescent="0.3">
      <c r="P8337" s="35">
        <v>95.14</v>
      </c>
      <c r="Q8337">
        <v>305</v>
      </c>
      <c r="R8337" s="34">
        <f t="shared" si="133"/>
        <v>0.94910622794041455</v>
      </c>
    </row>
    <row r="8338" spans="16:18" x14ac:dyDescent="0.3">
      <c r="P8338" s="35">
        <v>95.19</v>
      </c>
      <c r="Q8338">
        <v>305</v>
      </c>
      <c r="R8338" s="34">
        <f t="shared" si="133"/>
        <v>0.94922008425374715</v>
      </c>
    </row>
    <row r="8339" spans="16:18" x14ac:dyDescent="0.3">
      <c r="P8339" s="35">
        <v>95.28</v>
      </c>
      <c r="Q8339">
        <v>305</v>
      </c>
      <c r="R8339" s="34">
        <f t="shared" si="133"/>
        <v>0.94933394056707976</v>
      </c>
    </row>
    <row r="8340" spans="16:18" x14ac:dyDescent="0.3">
      <c r="P8340" s="35">
        <v>95.38</v>
      </c>
      <c r="Q8340">
        <v>305</v>
      </c>
      <c r="R8340" s="34">
        <f t="shared" si="133"/>
        <v>0.94944779688041236</v>
      </c>
    </row>
    <row r="8341" spans="16:18" x14ac:dyDescent="0.3">
      <c r="P8341" s="35">
        <v>95.39</v>
      </c>
      <c r="Q8341">
        <v>305</v>
      </c>
      <c r="R8341" s="34">
        <f t="shared" si="133"/>
        <v>0.94956165319374497</v>
      </c>
    </row>
    <row r="8342" spans="16:18" x14ac:dyDescent="0.3">
      <c r="P8342" s="35">
        <v>95.76</v>
      </c>
      <c r="Q8342">
        <v>305</v>
      </c>
      <c r="R8342" s="34">
        <f t="shared" si="133"/>
        <v>0.94967550950707758</v>
      </c>
    </row>
    <row r="8343" spans="16:18" x14ac:dyDescent="0.3">
      <c r="P8343" s="35">
        <v>95.77</v>
      </c>
      <c r="Q8343">
        <v>305</v>
      </c>
      <c r="R8343" s="34">
        <f t="shared" si="133"/>
        <v>0.94978936582041018</v>
      </c>
    </row>
    <row r="8344" spans="16:18" x14ac:dyDescent="0.3">
      <c r="P8344" s="35">
        <v>95.83</v>
      </c>
      <c r="Q8344">
        <v>305</v>
      </c>
      <c r="R8344" s="34">
        <f t="shared" si="133"/>
        <v>0.94990322213374279</v>
      </c>
    </row>
    <row r="8345" spans="16:18" x14ac:dyDescent="0.3">
      <c r="P8345" s="35">
        <v>95.86</v>
      </c>
      <c r="Q8345">
        <v>305</v>
      </c>
      <c r="R8345" s="34">
        <f t="shared" si="133"/>
        <v>0.95001707844707539</v>
      </c>
    </row>
    <row r="8346" spans="16:18" x14ac:dyDescent="0.3">
      <c r="P8346" s="35">
        <v>96.02</v>
      </c>
      <c r="Q8346">
        <v>305</v>
      </c>
      <c r="R8346" s="34">
        <f t="shared" si="133"/>
        <v>0.950130934760408</v>
      </c>
    </row>
    <row r="8347" spans="16:18" x14ac:dyDescent="0.3">
      <c r="P8347" s="35">
        <v>96.03</v>
      </c>
      <c r="Q8347">
        <v>305</v>
      </c>
      <c r="R8347" s="34">
        <f t="shared" si="133"/>
        <v>0.9502447910737406</v>
      </c>
    </row>
    <row r="8348" spans="16:18" x14ac:dyDescent="0.3">
      <c r="P8348" s="35">
        <v>96.23</v>
      </c>
      <c r="Q8348">
        <v>305</v>
      </c>
      <c r="R8348" s="34">
        <f t="shared" si="133"/>
        <v>0.95035864738707321</v>
      </c>
    </row>
    <row r="8349" spans="16:18" x14ac:dyDescent="0.3">
      <c r="P8349" s="35">
        <v>96.34</v>
      </c>
      <c r="Q8349">
        <v>305</v>
      </c>
      <c r="R8349" s="34">
        <f t="shared" si="133"/>
        <v>0.95047250370040581</v>
      </c>
    </row>
    <row r="8350" spans="16:18" x14ac:dyDescent="0.3">
      <c r="P8350" s="35">
        <v>96.45</v>
      </c>
      <c r="Q8350">
        <v>305</v>
      </c>
      <c r="R8350" s="34">
        <f t="shared" si="133"/>
        <v>0.95058636001373842</v>
      </c>
    </row>
    <row r="8351" spans="16:18" x14ac:dyDescent="0.3">
      <c r="P8351" s="35">
        <v>96.56</v>
      </c>
      <c r="Q8351">
        <v>305</v>
      </c>
      <c r="R8351" s="34">
        <f t="shared" si="133"/>
        <v>0.95070021632707102</v>
      </c>
    </row>
    <row r="8352" spans="16:18" x14ac:dyDescent="0.3">
      <c r="P8352" s="35">
        <v>96.88</v>
      </c>
      <c r="Q8352">
        <v>305</v>
      </c>
      <c r="R8352" s="34">
        <f t="shared" si="133"/>
        <v>0.95081407264040363</v>
      </c>
    </row>
    <row r="8353" spans="16:18" x14ac:dyDescent="0.3">
      <c r="P8353" s="35">
        <v>96.88</v>
      </c>
      <c r="Q8353">
        <v>305</v>
      </c>
      <c r="R8353" s="34">
        <f t="shared" si="133"/>
        <v>0.95092792895373623</v>
      </c>
    </row>
    <row r="8354" spans="16:18" x14ac:dyDescent="0.3">
      <c r="P8354" s="35">
        <v>96.94</v>
      </c>
      <c r="Q8354">
        <v>305</v>
      </c>
      <c r="R8354" s="34">
        <f t="shared" si="133"/>
        <v>0.95104178526706884</v>
      </c>
    </row>
    <row r="8355" spans="16:18" x14ac:dyDescent="0.3">
      <c r="P8355" s="35">
        <v>96.98</v>
      </c>
      <c r="Q8355">
        <v>305</v>
      </c>
      <c r="R8355" s="34">
        <f t="shared" si="133"/>
        <v>0.95115564158040145</v>
      </c>
    </row>
    <row r="8356" spans="16:18" x14ac:dyDescent="0.3">
      <c r="P8356" s="35">
        <v>97.18</v>
      </c>
      <c r="Q8356">
        <v>305</v>
      </c>
      <c r="R8356" s="34">
        <f t="shared" si="133"/>
        <v>0.95126949789373405</v>
      </c>
    </row>
    <row r="8357" spans="16:18" x14ac:dyDescent="0.3">
      <c r="P8357" s="35">
        <v>97.22</v>
      </c>
      <c r="Q8357">
        <v>305</v>
      </c>
      <c r="R8357" s="34">
        <f t="shared" si="133"/>
        <v>0.95138335420706666</v>
      </c>
    </row>
    <row r="8358" spans="16:18" x14ac:dyDescent="0.3">
      <c r="P8358" s="35">
        <v>97.22</v>
      </c>
      <c r="Q8358">
        <v>305</v>
      </c>
      <c r="R8358" s="34">
        <f t="shared" si="133"/>
        <v>0.95149721052039926</v>
      </c>
    </row>
    <row r="8359" spans="16:18" x14ac:dyDescent="0.3">
      <c r="P8359" s="35">
        <v>97.36</v>
      </c>
      <c r="Q8359">
        <v>305</v>
      </c>
      <c r="R8359" s="34">
        <f t="shared" si="133"/>
        <v>0.95161106683373187</v>
      </c>
    </row>
    <row r="8360" spans="16:18" x14ac:dyDescent="0.3">
      <c r="P8360" s="35">
        <v>97.39</v>
      </c>
      <c r="Q8360">
        <v>305</v>
      </c>
      <c r="R8360" s="34">
        <f t="shared" si="133"/>
        <v>0.95172492314706447</v>
      </c>
    </row>
    <row r="8361" spans="16:18" x14ac:dyDescent="0.3">
      <c r="P8361" s="35">
        <v>97.39</v>
      </c>
      <c r="Q8361">
        <v>305</v>
      </c>
      <c r="R8361" s="34">
        <f t="shared" si="133"/>
        <v>0.95183877946039708</v>
      </c>
    </row>
    <row r="8362" spans="16:18" x14ac:dyDescent="0.3">
      <c r="P8362" s="35">
        <v>97.4</v>
      </c>
      <c r="Q8362">
        <v>305</v>
      </c>
      <c r="R8362" s="34">
        <f t="shared" si="133"/>
        <v>0.95195263577372968</v>
      </c>
    </row>
    <row r="8363" spans="16:18" x14ac:dyDescent="0.3">
      <c r="P8363" s="35">
        <v>97.4</v>
      </c>
      <c r="Q8363">
        <v>305</v>
      </c>
      <c r="R8363" s="34">
        <f t="shared" si="133"/>
        <v>0.95206649208706229</v>
      </c>
    </row>
    <row r="8364" spans="16:18" x14ac:dyDescent="0.3">
      <c r="P8364" s="35">
        <v>97.49</v>
      </c>
      <c r="Q8364">
        <v>305</v>
      </c>
      <c r="R8364" s="34">
        <f t="shared" si="133"/>
        <v>0.95218034840039489</v>
      </c>
    </row>
    <row r="8365" spans="16:18" x14ac:dyDescent="0.3">
      <c r="P8365" s="35">
        <v>97.76</v>
      </c>
      <c r="Q8365">
        <v>305</v>
      </c>
      <c r="R8365" s="34">
        <f t="shared" si="133"/>
        <v>0.9522942047137275</v>
      </c>
    </row>
    <row r="8366" spans="16:18" x14ac:dyDescent="0.3">
      <c r="P8366" s="35">
        <v>97.93</v>
      </c>
      <c r="Q8366">
        <v>305</v>
      </c>
      <c r="R8366" s="34">
        <f t="shared" si="133"/>
        <v>0.9524080610270601</v>
      </c>
    </row>
    <row r="8367" spans="16:18" x14ac:dyDescent="0.3">
      <c r="P8367" s="35">
        <v>97.97</v>
      </c>
      <c r="Q8367">
        <v>305</v>
      </c>
      <c r="R8367" s="34">
        <f t="shared" si="133"/>
        <v>0.95252191734039271</v>
      </c>
    </row>
    <row r="8368" spans="16:18" x14ac:dyDescent="0.3">
      <c r="P8368" s="35">
        <v>98.05</v>
      </c>
      <c r="Q8368">
        <v>305</v>
      </c>
      <c r="R8368" s="34">
        <f t="shared" si="133"/>
        <v>0.95263577365372532</v>
      </c>
    </row>
    <row r="8369" spans="16:18" x14ac:dyDescent="0.3">
      <c r="P8369" s="35">
        <v>98.11</v>
      </c>
      <c r="Q8369">
        <v>305</v>
      </c>
      <c r="R8369" s="34">
        <f t="shared" si="133"/>
        <v>0.95274962996705792</v>
      </c>
    </row>
    <row r="8370" spans="16:18" x14ac:dyDescent="0.3">
      <c r="P8370" s="35">
        <v>98.32</v>
      </c>
      <c r="Q8370">
        <v>305</v>
      </c>
      <c r="R8370" s="34">
        <f t="shared" si="133"/>
        <v>0.95286348628039053</v>
      </c>
    </row>
    <row r="8371" spans="16:18" x14ac:dyDescent="0.3">
      <c r="P8371" s="35">
        <v>98.52</v>
      </c>
      <c r="Q8371">
        <v>305</v>
      </c>
      <c r="R8371" s="34">
        <f t="shared" si="133"/>
        <v>0.95297734259372313</v>
      </c>
    </row>
    <row r="8372" spans="16:18" x14ac:dyDescent="0.3">
      <c r="P8372" s="35">
        <v>98.69</v>
      </c>
      <c r="Q8372">
        <v>305</v>
      </c>
      <c r="R8372" s="34">
        <f t="shared" si="133"/>
        <v>0.95309119890705574</v>
      </c>
    </row>
    <row r="8373" spans="16:18" x14ac:dyDescent="0.3">
      <c r="P8373" s="35">
        <v>98.71</v>
      </c>
      <c r="Q8373">
        <v>305</v>
      </c>
      <c r="R8373" s="34">
        <f t="shared" si="133"/>
        <v>0.95320505522038834</v>
      </c>
    </row>
    <row r="8374" spans="16:18" x14ac:dyDescent="0.3">
      <c r="P8374" s="35">
        <v>98.72</v>
      </c>
      <c r="Q8374">
        <v>305</v>
      </c>
      <c r="R8374" s="34">
        <f t="shared" si="133"/>
        <v>0.95331891153372095</v>
      </c>
    </row>
    <row r="8375" spans="16:18" x14ac:dyDescent="0.3">
      <c r="P8375" s="35">
        <v>98.91</v>
      </c>
      <c r="Q8375">
        <v>305</v>
      </c>
      <c r="R8375" s="34">
        <f t="shared" si="133"/>
        <v>0.95343276784705355</v>
      </c>
    </row>
    <row r="8376" spans="16:18" x14ac:dyDescent="0.3">
      <c r="P8376" s="35">
        <v>98.99</v>
      </c>
      <c r="Q8376">
        <v>305</v>
      </c>
      <c r="R8376" s="34">
        <f t="shared" si="133"/>
        <v>0.95354662416038616</v>
      </c>
    </row>
    <row r="8377" spans="16:18" x14ac:dyDescent="0.3">
      <c r="P8377" s="35">
        <v>99</v>
      </c>
      <c r="Q8377">
        <v>305</v>
      </c>
      <c r="R8377" s="34">
        <f t="shared" si="133"/>
        <v>0.95366048047371876</v>
      </c>
    </row>
    <row r="8378" spans="16:18" x14ac:dyDescent="0.3">
      <c r="P8378" s="35">
        <v>99.04</v>
      </c>
      <c r="Q8378">
        <v>305</v>
      </c>
      <c r="R8378" s="34">
        <f t="shared" si="133"/>
        <v>0.95377433678705137</v>
      </c>
    </row>
    <row r="8379" spans="16:18" x14ac:dyDescent="0.3">
      <c r="P8379" s="35">
        <v>99.22</v>
      </c>
      <c r="Q8379">
        <v>305</v>
      </c>
      <c r="R8379" s="34">
        <f t="shared" si="133"/>
        <v>0.95388819310038397</v>
      </c>
    </row>
    <row r="8380" spans="16:18" x14ac:dyDescent="0.3">
      <c r="P8380" s="35">
        <v>99.32</v>
      </c>
      <c r="Q8380">
        <v>305</v>
      </c>
      <c r="R8380" s="34">
        <f t="shared" si="133"/>
        <v>0.95400204941371658</v>
      </c>
    </row>
    <row r="8381" spans="16:18" x14ac:dyDescent="0.3">
      <c r="P8381" s="35">
        <v>99.38</v>
      </c>
      <c r="Q8381">
        <v>305</v>
      </c>
      <c r="R8381" s="34">
        <f t="shared" si="133"/>
        <v>0.95411590572704919</v>
      </c>
    </row>
    <row r="8382" spans="16:18" x14ac:dyDescent="0.3">
      <c r="P8382" s="35">
        <v>99.46</v>
      </c>
      <c r="Q8382">
        <v>305</v>
      </c>
      <c r="R8382" s="34">
        <f t="shared" si="133"/>
        <v>0.95422976204038179</v>
      </c>
    </row>
    <row r="8383" spans="16:18" x14ac:dyDescent="0.3">
      <c r="P8383" s="35">
        <v>99.96</v>
      </c>
      <c r="Q8383">
        <v>305</v>
      </c>
      <c r="R8383" s="34">
        <f t="shared" si="133"/>
        <v>0.9543436183537144</v>
      </c>
    </row>
    <row r="8384" spans="16:18" x14ac:dyDescent="0.3">
      <c r="P8384" s="35">
        <v>100</v>
      </c>
      <c r="Q8384">
        <v>305</v>
      </c>
      <c r="R8384" s="34">
        <f t="shared" si="133"/>
        <v>0.954457474667047</v>
      </c>
    </row>
    <row r="8385" spans="16:18" x14ac:dyDescent="0.3">
      <c r="P8385" s="35">
        <v>100.06</v>
      </c>
      <c r="Q8385">
        <v>305</v>
      </c>
      <c r="R8385" s="34">
        <f t="shared" si="133"/>
        <v>0.95457133098037961</v>
      </c>
    </row>
    <row r="8386" spans="16:18" x14ac:dyDescent="0.3">
      <c r="P8386" s="35">
        <v>100.1</v>
      </c>
      <c r="Q8386">
        <v>305</v>
      </c>
      <c r="R8386" s="34">
        <f t="shared" si="133"/>
        <v>0.95468518729371221</v>
      </c>
    </row>
    <row r="8387" spans="16:18" x14ac:dyDescent="0.3">
      <c r="P8387" s="35">
        <v>100.29</v>
      </c>
      <c r="Q8387">
        <v>305</v>
      </c>
      <c r="R8387" s="34">
        <f t="shared" si="133"/>
        <v>0.95479904360704482</v>
      </c>
    </row>
    <row r="8388" spans="16:18" x14ac:dyDescent="0.3">
      <c r="P8388" s="35">
        <v>100.84</v>
      </c>
      <c r="Q8388">
        <v>305</v>
      </c>
      <c r="R8388" s="34">
        <f t="shared" ref="R8388:R8451" si="134">R8387+R$2</f>
        <v>0.95491289992037742</v>
      </c>
    </row>
    <row r="8389" spans="16:18" x14ac:dyDescent="0.3">
      <c r="P8389" s="35">
        <v>100.88</v>
      </c>
      <c r="Q8389">
        <v>305</v>
      </c>
      <c r="R8389" s="34">
        <f t="shared" si="134"/>
        <v>0.95502675623371003</v>
      </c>
    </row>
    <row r="8390" spans="16:18" x14ac:dyDescent="0.3">
      <c r="P8390" s="35">
        <v>100.9</v>
      </c>
      <c r="Q8390">
        <v>305</v>
      </c>
      <c r="R8390" s="34">
        <f t="shared" si="134"/>
        <v>0.95514061254704263</v>
      </c>
    </row>
    <row r="8391" spans="16:18" x14ac:dyDescent="0.3">
      <c r="P8391" s="35">
        <v>101.02</v>
      </c>
      <c r="Q8391">
        <v>305</v>
      </c>
      <c r="R8391" s="34">
        <f t="shared" si="134"/>
        <v>0.95525446886037524</v>
      </c>
    </row>
    <row r="8392" spans="16:18" x14ac:dyDescent="0.3">
      <c r="P8392" s="35">
        <v>101.03</v>
      </c>
      <c r="Q8392">
        <v>305</v>
      </c>
      <c r="R8392" s="34">
        <f t="shared" si="134"/>
        <v>0.95536832517370784</v>
      </c>
    </row>
    <row r="8393" spans="16:18" x14ac:dyDescent="0.3">
      <c r="P8393" s="35">
        <v>101.17</v>
      </c>
      <c r="Q8393">
        <v>305</v>
      </c>
      <c r="R8393" s="34">
        <f t="shared" si="134"/>
        <v>0.95548218148704045</v>
      </c>
    </row>
    <row r="8394" spans="16:18" x14ac:dyDescent="0.3">
      <c r="P8394" s="35">
        <v>101.26</v>
      </c>
      <c r="Q8394">
        <v>305</v>
      </c>
      <c r="R8394" s="34">
        <f t="shared" si="134"/>
        <v>0.95559603780037305</v>
      </c>
    </row>
    <row r="8395" spans="16:18" x14ac:dyDescent="0.3">
      <c r="P8395" s="35">
        <v>101.28</v>
      </c>
      <c r="Q8395">
        <v>305</v>
      </c>
      <c r="R8395" s="34">
        <f t="shared" si="134"/>
        <v>0.95570989411370566</v>
      </c>
    </row>
    <row r="8396" spans="16:18" x14ac:dyDescent="0.3">
      <c r="P8396" s="35">
        <v>101.33</v>
      </c>
      <c r="Q8396">
        <v>305</v>
      </c>
      <c r="R8396" s="34">
        <f t="shared" si="134"/>
        <v>0.95582375042703827</v>
      </c>
    </row>
    <row r="8397" spans="16:18" x14ac:dyDescent="0.3">
      <c r="P8397" s="35">
        <v>101.39</v>
      </c>
      <c r="Q8397">
        <v>305</v>
      </c>
      <c r="R8397" s="34">
        <f t="shared" si="134"/>
        <v>0.95593760674037087</v>
      </c>
    </row>
    <row r="8398" spans="16:18" x14ac:dyDescent="0.3">
      <c r="P8398" s="35">
        <v>101.41</v>
      </c>
      <c r="Q8398">
        <v>305</v>
      </c>
      <c r="R8398" s="34">
        <f t="shared" si="134"/>
        <v>0.95605146305370348</v>
      </c>
    </row>
    <row r="8399" spans="16:18" x14ac:dyDescent="0.3">
      <c r="P8399" s="35">
        <v>101.46</v>
      </c>
      <c r="Q8399">
        <v>305</v>
      </c>
      <c r="R8399" s="34">
        <f t="shared" si="134"/>
        <v>0.95616531936703608</v>
      </c>
    </row>
    <row r="8400" spans="16:18" x14ac:dyDescent="0.3">
      <c r="P8400" s="35">
        <v>101.73</v>
      </c>
      <c r="Q8400">
        <v>305</v>
      </c>
      <c r="R8400" s="34">
        <f t="shared" si="134"/>
        <v>0.95627917568036869</v>
      </c>
    </row>
    <row r="8401" spans="16:18" x14ac:dyDescent="0.3">
      <c r="P8401" s="35">
        <v>101.78</v>
      </c>
      <c r="Q8401">
        <v>305</v>
      </c>
      <c r="R8401" s="34">
        <f t="shared" si="134"/>
        <v>0.95639303199370129</v>
      </c>
    </row>
    <row r="8402" spans="16:18" x14ac:dyDescent="0.3">
      <c r="P8402" s="35">
        <v>101.97</v>
      </c>
      <c r="Q8402">
        <v>305</v>
      </c>
      <c r="R8402" s="34">
        <f t="shared" si="134"/>
        <v>0.9565068883070339</v>
      </c>
    </row>
    <row r="8403" spans="16:18" x14ac:dyDescent="0.3">
      <c r="P8403" s="35">
        <v>102.1</v>
      </c>
      <c r="Q8403">
        <v>305</v>
      </c>
      <c r="R8403" s="34">
        <f t="shared" si="134"/>
        <v>0.9566207446203665</v>
      </c>
    </row>
    <row r="8404" spans="16:18" x14ac:dyDescent="0.3">
      <c r="P8404" s="35">
        <v>102.11</v>
      </c>
      <c r="Q8404">
        <v>305</v>
      </c>
      <c r="R8404" s="34">
        <f t="shared" si="134"/>
        <v>0.95673460093369911</v>
      </c>
    </row>
    <row r="8405" spans="16:18" x14ac:dyDescent="0.3">
      <c r="P8405" s="35">
        <v>102.22</v>
      </c>
      <c r="Q8405">
        <v>305</v>
      </c>
      <c r="R8405" s="34">
        <f t="shared" si="134"/>
        <v>0.95684845724703171</v>
      </c>
    </row>
    <row r="8406" spans="16:18" x14ac:dyDescent="0.3">
      <c r="P8406" s="35">
        <v>102.23</v>
      </c>
      <c r="Q8406">
        <v>305</v>
      </c>
      <c r="R8406" s="34">
        <f t="shared" si="134"/>
        <v>0.95696231356036432</v>
      </c>
    </row>
    <row r="8407" spans="16:18" x14ac:dyDescent="0.3">
      <c r="P8407" s="35">
        <v>102.43</v>
      </c>
      <c r="Q8407">
        <v>305</v>
      </c>
      <c r="R8407" s="34">
        <f t="shared" si="134"/>
        <v>0.95707616987369692</v>
      </c>
    </row>
    <row r="8408" spans="16:18" x14ac:dyDescent="0.3">
      <c r="P8408" s="35">
        <v>102.62</v>
      </c>
      <c r="Q8408">
        <v>305</v>
      </c>
      <c r="R8408" s="34">
        <f t="shared" si="134"/>
        <v>0.95719002618702953</v>
      </c>
    </row>
    <row r="8409" spans="16:18" x14ac:dyDescent="0.3">
      <c r="P8409" s="35">
        <v>102.66</v>
      </c>
      <c r="Q8409">
        <v>305</v>
      </c>
      <c r="R8409" s="34">
        <f t="shared" si="134"/>
        <v>0.95730388250036214</v>
      </c>
    </row>
    <row r="8410" spans="16:18" x14ac:dyDescent="0.3">
      <c r="P8410" s="35">
        <v>103.1</v>
      </c>
      <c r="Q8410">
        <v>305</v>
      </c>
      <c r="R8410" s="34">
        <f t="shared" si="134"/>
        <v>0.95741773881369474</v>
      </c>
    </row>
    <row r="8411" spans="16:18" x14ac:dyDescent="0.3">
      <c r="P8411" s="35">
        <v>103.25</v>
      </c>
      <c r="Q8411">
        <v>305</v>
      </c>
      <c r="R8411" s="34">
        <f t="shared" si="134"/>
        <v>0.95753159512702735</v>
      </c>
    </row>
    <row r="8412" spans="16:18" x14ac:dyDescent="0.3">
      <c r="P8412" s="35">
        <v>103.34</v>
      </c>
      <c r="Q8412">
        <v>305</v>
      </c>
      <c r="R8412" s="34">
        <f t="shared" si="134"/>
        <v>0.95764545144035995</v>
      </c>
    </row>
    <row r="8413" spans="16:18" x14ac:dyDescent="0.3">
      <c r="P8413" s="35">
        <v>103.52</v>
      </c>
      <c r="Q8413">
        <v>305</v>
      </c>
      <c r="R8413" s="34">
        <f t="shared" si="134"/>
        <v>0.95775930775369256</v>
      </c>
    </row>
    <row r="8414" spans="16:18" x14ac:dyDescent="0.3">
      <c r="P8414" s="35">
        <v>103.56</v>
      </c>
      <c r="Q8414">
        <v>305</v>
      </c>
      <c r="R8414" s="34">
        <f t="shared" si="134"/>
        <v>0.95787316406702516</v>
      </c>
    </row>
    <row r="8415" spans="16:18" x14ac:dyDescent="0.3">
      <c r="P8415" s="35">
        <v>103.75</v>
      </c>
      <c r="Q8415">
        <v>305</v>
      </c>
      <c r="R8415" s="34">
        <f t="shared" si="134"/>
        <v>0.95798702038035777</v>
      </c>
    </row>
    <row r="8416" spans="16:18" x14ac:dyDescent="0.3">
      <c r="P8416" s="35">
        <v>103.9</v>
      </c>
      <c r="Q8416">
        <v>305</v>
      </c>
      <c r="R8416" s="34">
        <f t="shared" si="134"/>
        <v>0.95810087669369037</v>
      </c>
    </row>
    <row r="8417" spans="16:18" x14ac:dyDescent="0.3">
      <c r="P8417" s="35">
        <v>103.9</v>
      </c>
      <c r="Q8417">
        <v>305</v>
      </c>
      <c r="R8417" s="34">
        <f t="shared" si="134"/>
        <v>0.95821473300702298</v>
      </c>
    </row>
    <row r="8418" spans="16:18" x14ac:dyDescent="0.3">
      <c r="P8418" s="35">
        <v>103.99</v>
      </c>
      <c r="Q8418">
        <v>305</v>
      </c>
      <c r="R8418" s="34">
        <f t="shared" si="134"/>
        <v>0.95832858932035558</v>
      </c>
    </row>
    <row r="8419" spans="16:18" x14ac:dyDescent="0.3">
      <c r="P8419" s="35">
        <v>104.28</v>
      </c>
      <c r="Q8419">
        <v>305</v>
      </c>
      <c r="R8419" s="34">
        <f t="shared" si="134"/>
        <v>0.95844244563368819</v>
      </c>
    </row>
    <row r="8420" spans="16:18" x14ac:dyDescent="0.3">
      <c r="P8420" s="35">
        <v>104.52</v>
      </c>
      <c r="Q8420">
        <v>305</v>
      </c>
      <c r="R8420" s="34">
        <f t="shared" si="134"/>
        <v>0.95855630194702079</v>
      </c>
    </row>
    <row r="8421" spans="16:18" x14ac:dyDescent="0.3">
      <c r="P8421" s="35">
        <v>104.78</v>
      </c>
      <c r="Q8421">
        <v>305</v>
      </c>
      <c r="R8421" s="34">
        <f t="shared" si="134"/>
        <v>0.9586701582603534</v>
      </c>
    </row>
    <row r="8422" spans="16:18" x14ac:dyDescent="0.3">
      <c r="P8422" s="35">
        <v>104.94</v>
      </c>
      <c r="Q8422">
        <v>305</v>
      </c>
      <c r="R8422" s="34">
        <f t="shared" si="134"/>
        <v>0.95878401457368601</v>
      </c>
    </row>
    <row r="8423" spans="16:18" x14ac:dyDescent="0.3">
      <c r="P8423" s="35">
        <v>105.19</v>
      </c>
      <c r="Q8423">
        <v>305</v>
      </c>
      <c r="R8423" s="34">
        <f t="shared" si="134"/>
        <v>0.95889787088701861</v>
      </c>
    </row>
    <row r="8424" spans="16:18" x14ac:dyDescent="0.3">
      <c r="P8424" s="35">
        <v>105.27</v>
      </c>
      <c r="Q8424">
        <v>305</v>
      </c>
      <c r="R8424" s="34">
        <f t="shared" si="134"/>
        <v>0.95901172720035122</v>
      </c>
    </row>
    <row r="8425" spans="16:18" x14ac:dyDescent="0.3">
      <c r="P8425" s="35">
        <v>105.31</v>
      </c>
      <c r="Q8425">
        <v>305</v>
      </c>
      <c r="R8425" s="34">
        <f t="shared" si="134"/>
        <v>0.95912558351368382</v>
      </c>
    </row>
    <row r="8426" spans="16:18" x14ac:dyDescent="0.3">
      <c r="P8426" s="35">
        <v>105.71</v>
      </c>
      <c r="Q8426">
        <v>305</v>
      </c>
      <c r="R8426" s="34">
        <f t="shared" si="134"/>
        <v>0.95923943982701643</v>
      </c>
    </row>
    <row r="8427" spans="16:18" x14ac:dyDescent="0.3">
      <c r="P8427" s="35">
        <v>105.84</v>
      </c>
      <c r="Q8427">
        <v>305</v>
      </c>
      <c r="R8427" s="34">
        <f t="shared" si="134"/>
        <v>0.95935329614034903</v>
      </c>
    </row>
    <row r="8428" spans="16:18" x14ac:dyDescent="0.3">
      <c r="P8428" s="35">
        <v>105.98</v>
      </c>
      <c r="Q8428">
        <v>305</v>
      </c>
      <c r="R8428" s="34">
        <f t="shared" si="134"/>
        <v>0.95946715245368164</v>
      </c>
    </row>
    <row r="8429" spans="16:18" x14ac:dyDescent="0.3">
      <c r="P8429" s="35">
        <v>106.26</v>
      </c>
      <c r="Q8429">
        <v>305</v>
      </c>
      <c r="R8429" s="34">
        <f t="shared" si="134"/>
        <v>0.95958100876701424</v>
      </c>
    </row>
    <row r="8430" spans="16:18" x14ac:dyDescent="0.3">
      <c r="P8430" s="35">
        <v>106.38</v>
      </c>
      <c r="Q8430">
        <v>305</v>
      </c>
      <c r="R8430" s="34">
        <f t="shared" si="134"/>
        <v>0.95969486508034685</v>
      </c>
    </row>
    <row r="8431" spans="16:18" x14ac:dyDescent="0.3">
      <c r="P8431" s="35">
        <v>106.65</v>
      </c>
      <c r="Q8431">
        <v>305</v>
      </c>
      <c r="R8431" s="34">
        <f t="shared" si="134"/>
        <v>0.95980872139367945</v>
      </c>
    </row>
    <row r="8432" spans="16:18" x14ac:dyDescent="0.3">
      <c r="P8432" s="35">
        <v>107.17</v>
      </c>
      <c r="Q8432">
        <v>305</v>
      </c>
      <c r="R8432" s="34">
        <f t="shared" si="134"/>
        <v>0.95992257770701206</v>
      </c>
    </row>
    <row r="8433" spans="16:18" x14ac:dyDescent="0.3">
      <c r="P8433" s="35">
        <v>107.39</v>
      </c>
      <c r="Q8433">
        <v>305</v>
      </c>
      <c r="R8433" s="34">
        <f t="shared" si="134"/>
        <v>0.96003643402034466</v>
      </c>
    </row>
    <row r="8434" spans="16:18" x14ac:dyDescent="0.3">
      <c r="P8434" s="35">
        <v>107.4</v>
      </c>
      <c r="Q8434">
        <v>305</v>
      </c>
      <c r="R8434" s="34">
        <f t="shared" si="134"/>
        <v>0.96015029033367727</v>
      </c>
    </row>
    <row r="8435" spans="16:18" x14ac:dyDescent="0.3">
      <c r="P8435" s="35">
        <v>107.71</v>
      </c>
      <c r="Q8435">
        <v>305</v>
      </c>
      <c r="R8435" s="34">
        <f t="shared" si="134"/>
        <v>0.96026414664700988</v>
      </c>
    </row>
    <row r="8436" spans="16:18" x14ac:dyDescent="0.3">
      <c r="P8436" s="35">
        <v>107.75</v>
      </c>
      <c r="Q8436">
        <v>305</v>
      </c>
      <c r="R8436" s="34">
        <f t="shared" si="134"/>
        <v>0.96037800296034248</v>
      </c>
    </row>
    <row r="8437" spans="16:18" x14ac:dyDescent="0.3">
      <c r="P8437" s="35">
        <v>107.89</v>
      </c>
      <c r="Q8437">
        <v>305</v>
      </c>
      <c r="R8437" s="34">
        <f t="shared" si="134"/>
        <v>0.96049185927367509</v>
      </c>
    </row>
    <row r="8438" spans="16:18" x14ac:dyDescent="0.3">
      <c r="P8438" s="35">
        <v>108.23</v>
      </c>
      <c r="Q8438">
        <v>305</v>
      </c>
      <c r="R8438" s="34">
        <f t="shared" si="134"/>
        <v>0.96060571558700769</v>
      </c>
    </row>
    <row r="8439" spans="16:18" x14ac:dyDescent="0.3">
      <c r="P8439" s="35">
        <v>108.24</v>
      </c>
      <c r="Q8439">
        <v>305</v>
      </c>
      <c r="R8439" s="34">
        <f t="shared" si="134"/>
        <v>0.9607195719003403</v>
      </c>
    </row>
    <row r="8440" spans="16:18" x14ac:dyDescent="0.3">
      <c r="P8440" s="35">
        <v>108.39</v>
      </c>
      <c r="Q8440">
        <v>305</v>
      </c>
      <c r="R8440" s="34">
        <f t="shared" si="134"/>
        <v>0.9608334282136729</v>
      </c>
    </row>
    <row r="8441" spans="16:18" x14ac:dyDescent="0.3">
      <c r="P8441" s="35">
        <v>108.48</v>
      </c>
      <c r="Q8441">
        <v>305</v>
      </c>
      <c r="R8441" s="34">
        <f t="shared" si="134"/>
        <v>0.96094728452700551</v>
      </c>
    </row>
    <row r="8442" spans="16:18" x14ac:dyDescent="0.3">
      <c r="P8442" s="35">
        <v>108.57</v>
      </c>
      <c r="Q8442">
        <v>305</v>
      </c>
      <c r="R8442" s="34">
        <f t="shared" si="134"/>
        <v>0.96106114084033811</v>
      </c>
    </row>
    <row r="8443" spans="16:18" x14ac:dyDescent="0.3">
      <c r="P8443" s="35">
        <v>108.62</v>
      </c>
      <c r="Q8443">
        <v>305</v>
      </c>
      <c r="R8443" s="34">
        <f t="shared" si="134"/>
        <v>0.96117499715367072</v>
      </c>
    </row>
    <row r="8444" spans="16:18" x14ac:dyDescent="0.3">
      <c r="P8444" s="35">
        <v>108.75</v>
      </c>
      <c r="Q8444">
        <v>305</v>
      </c>
      <c r="R8444" s="34">
        <f t="shared" si="134"/>
        <v>0.96128885346700332</v>
      </c>
    </row>
    <row r="8445" spans="16:18" x14ac:dyDescent="0.3">
      <c r="P8445" s="35">
        <v>108.78</v>
      </c>
      <c r="Q8445">
        <v>305</v>
      </c>
      <c r="R8445" s="34">
        <f t="shared" si="134"/>
        <v>0.96140270978033593</v>
      </c>
    </row>
    <row r="8446" spans="16:18" x14ac:dyDescent="0.3">
      <c r="P8446" s="35">
        <v>108.87</v>
      </c>
      <c r="Q8446">
        <v>305</v>
      </c>
      <c r="R8446" s="34">
        <f t="shared" si="134"/>
        <v>0.96151656609366853</v>
      </c>
    </row>
    <row r="8447" spans="16:18" x14ac:dyDescent="0.3">
      <c r="P8447" s="35">
        <v>109.11</v>
      </c>
      <c r="Q8447">
        <v>305</v>
      </c>
      <c r="R8447" s="34">
        <f t="shared" si="134"/>
        <v>0.96163042240700114</v>
      </c>
    </row>
    <row r="8448" spans="16:18" x14ac:dyDescent="0.3">
      <c r="P8448" s="35">
        <v>109.14</v>
      </c>
      <c r="Q8448">
        <v>305</v>
      </c>
      <c r="R8448" s="34">
        <f t="shared" si="134"/>
        <v>0.96174427872033375</v>
      </c>
    </row>
    <row r="8449" spans="16:18" x14ac:dyDescent="0.3">
      <c r="P8449" s="35">
        <v>109.22</v>
      </c>
      <c r="Q8449">
        <v>305</v>
      </c>
      <c r="R8449" s="34">
        <f t="shared" si="134"/>
        <v>0.96185813503366635</v>
      </c>
    </row>
    <row r="8450" spans="16:18" x14ac:dyDescent="0.3">
      <c r="P8450" s="35">
        <v>109.28</v>
      </c>
      <c r="Q8450">
        <v>305</v>
      </c>
      <c r="R8450" s="34">
        <f t="shared" si="134"/>
        <v>0.96197199134699896</v>
      </c>
    </row>
    <row r="8451" spans="16:18" x14ac:dyDescent="0.3">
      <c r="P8451" s="35">
        <v>109.36</v>
      </c>
      <c r="Q8451">
        <v>305</v>
      </c>
      <c r="R8451" s="34">
        <f t="shared" si="134"/>
        <v>0.96208584766033156</v>
      </c>
    </row>
    <row r="8452" spans="16:18" x14ac:dyDescent="0.3">
      <c r="P8452" s="35">
        <v>109.47</v>
      </c>
      <c r="Q8452">
        <v>305</v>
      </c>
      <c r="R8452" s="34">
        <f t="shared" ref="R8452:R8515" si="135">R8451+R$2</f>
        <v>0.96219970397366417</v>
      </c>
    </row>
    <row r="8453" spans="16:18" x14ac:dyDescent="0.3">
      <c r="P8453" s="35">
        <v>109.72</v>
      </c>
      <c r="Q8453">
        <v>305</v>
      </c>
      <c r="R8453" s="34">
        <f t="shared" si="135"/>
        <v>0.96231356028699677</v>
      </c>
    </row>
    <row r="8454" spans="16:18" x14ac:dyDescent="0.3">
      <c r="P8454" s="35">
        <v>109.85</v>
      </c>
      <c r="Q8454">
        <v>305</v>
      </c>
      <c r="R8454" s="34">
        <f t="shared" si="135"/>
        <v>0.96242741660032938</v>
      </c>
    </row>
    <row r="8455" spans="16:18" x14ac:dyDescent="0.3">
      <c r="P8455" s="35">
        <v>109.91</v>
      </c>
      <c r="Q8455">
        <v>305</v>
      </c>
      <c r="R8455" s="34">
        <f t="shared" si="135"/>
        <v>0.96254127291366198</v>
      </c>
    </row>
    <row r="8456" spans="16:18" x14ac:dyDescent="0.3">
      <c r="P8456" s="35">
        <v>110.01</v>
      </c>
      <c r="Q8456">
        <v>305</v>
      </c>
      <c r="R8456" s="34">
        <f t="shared" si="135"/>
        <v>0.96265512922699459</v>
      </c>
    </row>
    <row r="8457" spans="16:18" x14ac:dyDescent="0.3">
      <c r="P8457" s="35">
        <v>110.11</v>
      </c>
      <c r="Q8457">
        <v>305</v>
      </c>
      <c r="R8457" s="34">
        <f t="shared" si="135"/>
        <v>0.96276898554032719</v>
      </c>
    </row>
    <row r="8458" spans="16:18" x14ac:dyDescent="0.3">
      <c r="P8458" s="35">
        <v>110.52</v>
      </c>
      <c r="Q8458">
        <v>305</v>
      </c>
      <c r="R8458" s="34">
        <f t="shared" si="135"/>
        <v>0.9628828418536598</v>
      </c>
    </row>
    <row r="8459" spans="16:18" x14ac:dyDescent="0.3">
      <c r="P8459" s="35">
        <v>110.55</v>
      </c>
      <c r="Q8459">
        <v>305</v>
      </c>
      <c r="R8459" s="34">
        <f t="shared" si="135"/>
        <v>0.9629966981669924</v>
      </c>
    </row>
    <row r="8460" spans="16:18" x14ac:dyDescent="0.3">
      <c r="P8460" s="35">
        <v>110.88</v>
      </c>
      <c r="Q8460">
        <v>305</v>
      </c>
      <c r="R8460" s="34">
        <f t="shared" si="135"/>
        <v>0.96311055448032501</v>
      </c>
    </row>
    <row r="8461" spans="16:18" x14ac:dyDescent="0.3">
      <c r="P8461" s="35">
        <v>110.9</v>
      </c>
      <c r="Q8461">
        <v>305</v>
      </c>
      <c r="R8461" s="34">
        <f t="shared" si="135"/>
        <v>0.96322441079365761</v>
      </c>
    </row>
    <row r="8462" spans="16:18" x14ac:dyDescent="0.3">
      <c r="P8462" s="35">
        <v>110.96</v>
      </c>
      <c r="Q8462">
        <v>305</v>
      </c>
      <c r="R8462" s="34">
        <f t="shared" si="135"/>
        <v>0.96333826710699022</v>
      </c>
    </row>
    <row r="8463" spans="16:18" x14ac:dyDescent="0.3">
      <c r="P8463" s="35">
        <v>111.11</v>
      </c>
      <c r="Q8463">
        <v>305</v>
      </c>
      <c r="R8463" s="34">
        <f t="shared" si="135"/>
        <v>0.96345212342032283</v>
      </c>
    </row>
    <row r="8464" spans="16:18" x14ac:dyDescent="0.3">
      <c r="P8464" s="35">
        <v>111.12</v>
      </c>
      <c r="Q8464">
        <v>305</v>
      </c>
      <c r="R8464" s="34">
        <f t="shared" si="135"/>
        <v>0.96356597973365543</v>
      </c>
    </row>
    <row r="8465" spans="16:18" x14ac:dyDescent="0.3">
      <c r="P8465" s="35">
        <v>111.61</v>
      </c>
      <c r="Q8465">
        <v>305</v>
      </c>
      <c r="R8465" s="34">
        <f t="shared" si="135"/>
        <v>0.96367983604698804</v>
      </c>
    </row>
    <row r="8466" spans="16:18" x14ac:dyDescent="0.3">
      <c r="P8466" s="35">
        <v>111.76</v>
      </c>
      <c r="Q8466">
        <v>305</v>
      </c>
      <c r="R8466" s="34">
        <f t="shared" si="135"/>
        <v>0.96379369236032064</v>
      </c>
    </row>
    <row r="8467" spans="16:18" x14ac:dyDescent="0.3">
      <c r="P8467" s="35">
        <v>111.81</v>
      </c>
      <c r="Q8467">
        <v>305</v>
      </c>
      <c r="R8467" s="34">
        <f t="shared" si="135"/>
        <v>0.96390754867365325</v>
      </c>
    </row>
    <row r="8468" spans="16:18" x14ac:dyDescent="0.3">
      <c r="P8468" s="35">
        <v>112.04</v>
      </c>
      <c r="Q8468">
        <v>305</v>
      </c>
      <c r="R8468" s="34">
        <f t="shared" si="135"/>
        <v>0.96402140498698585</v>
      </c>
    </row>
    <row r="8469" spans="16:18" x14ac:dyDescent="0.3">
      <c r="P8469" s="35">
        <v>112.11</v>
      </c>
      <c r="Q8469">
        <v>305</v>
      </c>
      <c r="R8469" s="34">
        <f t="shared" si="135"/>
        <v>0.96413526130031846</v>
      </c>
    </row>
    <row r="8470" spans="16:18" x14ac:dyDescent="0.3">
      <c r="P8470" s="35">
        <v>112.14</v>
      </c>
      <c r="Q8470">
        <v>305</v>
      </c>
      <c r="R8470" s="34">
        <f t="shared" si="135"/>
        <v>0.96424911761365106</v>
      </c>
    </row>
    <row r="8471" spans="16:18" x14ac:dyDescent="0.3">
      <c r="P8471" s="35">
        <v>112.26</v>
      </c>
      <c r="Q8471">
        <v>305</v>
      </c>
      <c r="R8471" s="34">
        <f t="shared" si="135"/>
        <v>0.96436297392698367</v>
      </c>
    </row>
    <row r="8472" spans="16:18" x14ac:dyDescent="0.3">
      <c r="P8472" s="35">
        <v>112.34</v>
      </c>
      <c r="Q8472">
        <v>305</v>
      </c>
      <c r="R8472" s="34">
        <f t="shared" si="135"/>
        <v>0.96447683024031627</v>
      </c>
    </row>
    <row r="8473" spans="16:18" x14ac:dyDescent="0.3">
      <c r="P8473" s="35">
        <v>112.38</v>
      </c>
      <c r="Q8473">
        <v>305</v>
      </c>
      <c r="R8473" s="34">
        <f t="shared" si="135"/>
        <v>0.96459068655364888</v>
      </c>
    </row>
    <row r="8474" spans="16:18" x14ac:dyDescent="0.3">
      <c r="P8474" s="35">
        <v>112.38</v>
      </c>
      <c r="Q8474">
        <v>305</v>
      </c>
      <c r="R8474" s="34">
        <f t="shared" si="135"/>
        <v>0.96470454286698148</v>
      </c>
    </row>
    <row r="8475" spans="16:18" x14ac:dyDescent="0.3">
      <c r="P8475" s="35">
        <v>112.65</v>
      </c>
      <c r="Q8475">
        <v>305</v>
      </c>
      <c r="R8475" s="34">
        <f t="shared" si="135"/>
        <v>0.96481839918031409</v>
      </c>
    </row>
    <row r="8476" spans="16:18" x14ac:dyDescent="0.3">
      <c r="P8476" s="35">
        <v>112.65</v>
      </c>
      <c r="Q8476">
        <v>305</v>
      </c>
      <c r="R8476" s="34">
        <f t="shared" si="135"/>
        <v>0.9649322554936467</v>
      </c>
    </row>
    <row r="8477" spans="16:18" x14ac:dyDescent="0.3">
      <c r="P8477" s="35">
        <v>112.7</v>
      </c>
      <c r="Q8477">
        <v>305</v>
      </c>
      <c r="R8477" s="34">
        <f t="shared" si="135"/>
        <v>0.9650461118069793</v>
      </c>
    </row>
    <row r="8478" spans="16:18" x14ac:dyDescent="0.3">
      <c r="P8478" s="35">
        <v>112.75</v>
      </c>
      <c r="Q8478">
        <v>305</v>
      </c>
      <c r="R8478" s="34">
        <f t="shared" si="135"/>
        <v>0.96515996812031191</v>
      </c>
    </row>
    <row r="8479" spans="16:18" x14ac:dyDescent="0.3">
      <c r="P8479" s="35">
        <v>112.83</v>
      </c>
      <c r="Q8479">
        <v>305</v>
      </c>
      <c r="R8479" s="34">
        <f t="shared" si="135"/>
        <v>0.96527382443364451</v>
      </c>
    </row>
    <row r="8480" spans="16:18" x14ac:dyDescent="0.3">
      <c r="P8480" s="35">
        <v>113.01</v>
      </c>
      <c r="Q8480">
        <v>305</v>
      </c>
      <c r="R8480" s="34">
        <f t="shared" si="135"/>
        <v>0.96538768074697712</v>
      </c>
    </row>
    <row r="8481" spans="16:18" x14ac:dyDescent="0.3">
      <c r="P8481" s="35">
        <v>113.1</v>
      </c>
      <c r="Q8481">
        <v>305</v>
      </c>
      <c r="R8481" s="34">
        <f t="shared" si="135"/>
        <v>0.96550153706030972</v>
      </c>
    </row>
    <row r="8482" spans="16:18" x14ac:dyDescent="0.3">
      <c r="P8482" s="35">
        <v>113.12</v>
      </c>
      <c r="Q8482">
        <v>305</v>
      </c>
      <c r="R8482" s="34">
        <f t="shared" si="135"/>
        <v>0.96561539337364233</v>
      </c>
    </row>
    <row r="8483" spans="16:18" x14ac:dyDescent="0.3">
      <c r="P8483" s="35">
        <v>113.17</v>
      </c>
      <c r="Q8483">
        <v>305</v>
      </c>
      <c r="R8483" s="34">
        <f t="shared" si="135"/>
        <v>0.96572924968697493</v>
      </c>
    </row>
    <row r="8484" spans="16:18" x14ac:dyDescent="0.3">
      <c r="P8484" s="35">
        <v>113.3</v>
      </c>
      <c r="Q8484">
        <v>305</v>
      </c>
      <c r="R8484" s="34">
        <f t="shared" si="135"/>
        <v>0.96584310600030754</v>
      </c>
    </row>
    <row r="8485" spans="16:18" x14ac:dyDescent="0.3">
      <c r="P8485" s="35">
        <v>113.37</v>
      </c>
      <c r="Q8485">
        <v>305</v>
      </c>
      <c r="R8485" s="34">
        <f t="shared" si="135"/>
        <v>0.96595696231364014</v>
      </c>
    </row>
    <row r="8486" spans="16:18" x14ac:dyDescent="0.3">
      <c r="P8486" s="35">
        <v>113.59</v>
      </c>
      <c r="Q8486">
        <v>305</v>
      </c>
      <c r="R8486" s="34">
        <f t="shared" si="135"/>
        <v>0.96607081862697275</v>
      </c>
    </row>
    <row r="8487" spans="16:18" x14ac:dyDescent="0.3">
      <c r="P8487" s="35">
        <v>113.6</v>
      </c>
      <c r="Q8487">
        <v>305</v>
      </c>
      <c r="R8487" s="34">
        <f t="shared" si="135"/>
        <v>0.96618467494030535</v>
      </c>
    </row>
    <row r="8488" spans="16:18" x14ac:dyDescent="0.3">
      <c r="P8488" s="35">
        <v>113.63</v>
      </c>
      <c r="Q8488">
        <v>305</v>
      </c>
      <c r="R8488" s="34">
        <f t="shared" si="135"/>
        <v>0.96629853125363796</v>
      </c>
    </row>
    <row r="8489" spans="16:18" x14ac:dyDescent="0.3">
      <c r="P8489" s="35">
        <v>114.01</v>
      </c>
      <c r="Q8489">
        <v>305</v>
      </c>
      <c r="R8489" s="34">
        <f t="shared" si="135"/>
        <v>0.96641238756697057</v>
      </c>
    </row>
    <row r="8490" spans="16:18" x14ac:dyDescent="0.3">
      <c r="P8490" s="35">
        <v>114.1</v>
      </c>
      <c r="Q8490">
        <v>305</v>
      </c>
      <c r="R8490" s="34">
        <f t="shared" si="135"/>
        <v>0.96652624388030317</v>
      </c>
    </row>
    <row r="8491" spans="16:18" x14ac:dyDescent="0.3">
      <c r="P8491" s="35">
        <v>114.15</v>
      </c>
      <c r="Q8491">
        <v>305</v>
      </c>
      <c r="R8491" s="34">
        <f t="shared" si="135"/>
        <v>0.96664010019363578</v>
      </c>
    </row>
    <row r="8492" spans="16:18" x14ac:dyDescent="0.3">
      <c r="P8492" s="35">
        <v>114.25</v>
      </c>
      <c r="Q8492">
        <v>305</v>
      </c>
      <c r="R8492" s="34">
        <f t="shared" si="135"/>
        <v>0.96675395650696838</v>
      </c>
    </row>
    <row r="8493" spans="16:18" x14ac:dyDescent="0.3">
      <c r="P8493" s="35">
        <v>114.53</v>
      </c>
      <c r="Q8493">
        <v>305</v>
      </c>
      <c r="R8493" s="34">
        <f t="shared" si="135"/>
        <v>0.96686781282030099</v>
      </c>
    </row>
    <row r="8494" spans="16:18" x14ac:dyDescent="0.3">
      <c r="P8494" s="35">
        <v>114.57</v>
      </c>
      <c r="Q8494">
        <v>305</v>
      </c>
      <c r="R8494" s="34">
        <f t="shared" si="135"/>
        <v>0.96698166913363359</v>
      </c>
    </row>
    <row r="8495" spans="16:18" x14ac:dyDescent="0.3">
      <c r="P8495" s="35">
        <v>114.88</v>
      </c>
      <c r="Q8495">
        <v>305</v>
      </c>
      <c r="R8495" s="34">
        <f t="shared" si="135"/>
        <v>0.9670955254469662</v>
      </c>
    </row>
    <row r="8496" spans="16:18" x14ac:dyDescent="0.3">
      <c r="P8496" s="35">
        <v>115.15</v>
      </c>
      <c r="Q8496">
        <v>305</v>
      </c>
      <c r="R8496" s="34">
        <f t="shared" si="135"/>
        <v>0.9672093817602988</v>
      </c>
    </row>
    <row r="8497" spans="16:18" x14ac:dyDescent="0.3">
      <c r="P8497" s="35">
        <v>115.16</v>
      </c>
      <c r="Q8497">
        <v>305</v>
      </c>
      <c r="R8497" s="34">
        <f t="shared" si="135"/>
        <v>0.96732323807363141</v>
      </c>
    </row>
    <row r="8498" spans="16:18" x14ac:dyDescent="0.3">
      <c r="P8498" s="35">
        <v>115.97</v>
      </c>
      <c r="Q8498">
        <v>305</v>
      </c>
      <c r="R8498" s="34">
        <f t="shared" si="135"/>
        <v>0.96743709438696401</v>
      </c>
    </row>
    <row r="8499" spans="16:18" x14ac:dyDescent="0.3">
      <c r="P8499" s="35">
        <v>115.98</v>
      </c>
      <c r="Q8499">
        <v>305</v>
      </c>
      <c r="R8499" s="34">
        <f t="shared" si="135"/>
        <v>0.96755095070029662</v>
      </c>
    </row>
    <row r="8500" spans="16:18" x14ac:dyDescent="0.3">
      <c r="P8500" s="35">
        <v>116.03</v>
      </c>
      <c r="Q8500">
        <v>305</v>
      </c>
      <c r="R8500" s="34">
        <f t="shared" si="135"/>
        <v>0.96766480701362922</v>
      </c>
    </row>
    <row r="8501" spans="16:18" x14ac:dyDescent="0.3">
      <c r="P8501" s="35">
        <v>116.1</v>
      </c>
      <c r="Q8501">
        <v>305</v>
      </c>
      <c r="R8501" s="34">
        <f t="shared" si="135"/>
        <v>0.96777866332696183</v>
      </c>
    </row>
    <row r="8502" spans="16:18" x14ac:dyDescent="0.3">
      <c r="P8502" s="35">
        <v>116.19</v>
      </c>
      <c r="Q8502">
        <v>305</v>
      </c>
      <c r="R8502" s="34">
        <f t="shared" si="135"/>
        <v>0.96789251964029444</v>
      </c>
    </row>
    <row r="8503" spans="16:18" x14ac:dyDescent="0.3">
      <c r="P8503" s="35">
        <v>116.26</v>
      </c>
      <c r="Q8503">
        <v>305</v>
      </c>
      <c r="R8503" s="34">
        <f t="shared" si="135"/>
        <v>0.96800637595362704</v>
      </c>
    </row>
    <row r="8504" spans="16:18" x14ac:dyDescent="0.3">
      <c r="P8504" s="35">
        <v>116.47</v>
      </c>
      <c r="Q8504">
        <v>305</v>
      </c>
      <c r="R8504" s="34">
        <f t="shared" si="135"/>
        <v>0.96812023226695965</v>
      </c>
    </row>
    <row r="8505" spans="16:18" x14ac:dyDescent="0.3">
      <c r="P8505" s="35">
        <v>116.54</v>
      </c>
      <c r="Q8505">
        <v>305</v>
      </c>
      <c r="R8505" s="34">
        <f t="shared" si="135"/>
        <v>0.96823408858029225</v>
      </c>
    </row>
    <row r="8506" spans="16:18" x14ac:dyDescent="0.3">
      <c r="P8506" s="35">
        <v>116.55</v>
      </c>
      <c r="Q8506">
        <v>305</v>
      </c>
      <c r="R8506" s="34">
        <f t="shared" si="135"/>
        <v>0.96834794489362486</v>
      </c>
    </row>
    <row r="8507" spans="16:18" x14ac:dyDescent="0.3">
      <c r="P8507" s="35">
        <v>116.6</v>
      </c>
      <c r="Q8507">
        <v>305</v>
      </c>
      <c r="R8507" s="34">
        <f t="shared" si="135"/>
        <v>0.96846180120695746</v>
      </c>
    </row>
    <row r="8508" spans="16:18" x14ac:dyDescent="0.3">
      <c r="P8508" s="35">
        <v>116.87</v>
      </c>
      <c r="Q8508">
        <v>305</v>
      </c>
      <c r="R8508" s="34">
        <f t="shared" si="135"/>
        <v>0.96857565752029007</v>
      </c>
    </row>
    <row r="8509" spans="16:18" x14ac:dyDescent="0.3">
      <c r="P8509" s="35">
        <v>117.2</v>
      </c>
      <c r="Q8509">
        <v>305</v>
      </c>
      <c r="R8509" s="34">
        <f t="shared" si="135"/>
        <v>0.96868951383362267</v>
      </c>
    </row>
    <row r="8510" spans="16:18" x14ac:dyDescent="0.3">
      <c r="P8510" s="35">
        <v>117.22</v>
      </c>
      <c r="Q8510">
        <v>305</v>
      </c>
      <c r="R8510" s="34">
        <f t="shared" si="135"/>
        <v>0.96880337014695528</v>
      </c>
    </row>
    <row r="8511" spans="16:18" x14ac:dyDescent="0.3">
      <c r="P8511" s="35">
        <v>117.43</v>
      </c>
      <c r="Q8511">
        <v>305</v>
      </c>
      <c r="R8511" s="34">
        <f t="shared" si="135"/>
        <v>0.96891722646028788</v>
      </c>
    </row>
    <row r="8512" spans="16:18" x14ac:dyDescent="0.3">
      <c r="P8512" s="35">
        <v>118.03</v>
      </c>
      <c r="Q8512">
        <v>305</v>
      </c>
      <c r="R8512" s="34">
        <f t="shared" si="135"/>
        <v>0.96903108277362049</v>
      </c>
    </row>
    <row r="8513" spans="16:18" x14ac:dyDescent="0.3">
      <c r="P8513" s="35">
        <v>118.3</v>
      </c>
      <c r="Q8513">
        <v>305</v>
      </c>
      <c r="R8513" s="34">
        <f t="shared" si="135"/>
        <v>0.96914493908695309</v>
      </c>
    </row>
    <row r="8514" spans="16:18" x14ac:dyDescent="0.3">
      <c r="P8514" s="35">
        <v>118.51</v>
      </c>
      <c r="Q8514">
        <v>305</v>
      </c>
      <c r="R8514" s="34">
        <f t="shared" si="135"/>
        <v>0.9692587954002857</v>
      </c>
    </row>
    <row r="8515" spans="16:18" x14ac:dyDescent="0.3">
      <c r="P8515" s="35">
        <v>118.67</v>
      </c>
      <c r="Q8515">
        <v>305</v>
      </c>
      <c r="R8515" s="34">
        <f t="shared" si="135"/>
        <v>0.96937265171361831</v>
      </c>
    </row>
    <row r="8516" spans="16:18" x14ac:dyDescent="0.3">
      <c r="P8516" s="35">
        <v>118.97</v>
      </c>
      <c r="Q8516">
        <v>305</v>
      </c>
      <c r="R8516" s="34">
        <f t="shared" ref="R8516:R8579" si="136">R8515+R$2</f>
        <v>0.96948650802695091</v>
      </c>
    </row>
    <row r="8517" spans="16:18" x14ac:dyDescent="0.3">
      <c r="P8517" s="35">
        <v>119.79</v>
      </c>
      <c r="Q8517">
        <v>305</v>
      </c>
      <c r="R8517" s="34">
        <f t="shared" si="136"/>
        <v>0.96960036434028352</v>
      </c>
    </row>
    <row r="8518" spans="16:18" x14ac:dyDescent="0.3">
      <c r="P8518" s="35">
        <v>120.26</v>
      </c>
      <c r="Q8518">
        <v>305</v>
      </c>
      <c r="R8518" s="34">
        <f t="shared" si="136"/>
        <v>0.96971422065361612</v>
      </c>
    </row>
    <row r="8519" spans="16:18" x14ac:dyDescent="0.3">
      <c r="P8519" s="35">
        <v>120.64</v>
      </c>
      <c r="Q8519">
        <v>305</v>
      </c>
      <c r="R8519" s="34">
        <f t="shared" si="136"/>
        <v>0.96982807696694873</v>
      </c>
    </row>
    <row r="8520" spans="16:18" x14ac:dyDescent="0.3">
      <c r="P8520" s="35">
        <v>120.8</v>
      </c>
      <c r="Q8520">
        <v>305</v>
      </c>
      <c r="R8520" s="34">
        <f t="shared" si="136"/>
        <v>0.96994193328028133</v>
      </c>
    </row>
    <row r="8521" spans="16:18" x14ac:dyDescent="0.3">
      <c r="P8521" s="35">
        <v>120.83</v>
      </c>
      <c r="Q8521">
        <v>305</v>
      </c>
      <c r="R8521" s="34">
        <f t="shared" si="136"/>
        <v>0.97005578959361394</v>
      </c>
    </row>
    <row r="8522" spans="16:18" x14ac:dyDescent="0.3">
      <c r="P8522" s="35">
        <v>121.14</v>
      </c>
      <c r="Q8522">
        <v>305</v>
      </c>
      <c r="R8522" s="34">
        <f t="shared" si="136"/>
        <v>0.97016964590694654</v>
      </c>
    </row>
    <row r="8523" spans="16:18" x14ac:dyDescent="0.3">
      <c r="P8523" s="35">
        <v>121.16</v>
      </c>
      <c r="Q8523">
        <v>305</v>
      </c>
      <c r="R8523" s="34">
        <f t="shared" si="136"/>
        <v>0.97028350222027915</v>
      </c>
    </row>
    <row r="8524" spans="16:18" x14ac:dyDescent="0.3">
      <c r="P8524" s="35">
        <v>121.21</v>
      </c>
      <c r="Q8524">
        <v>305</v>
      </c>
      <c r="R8524" s="34">
        <f t="shared" si="136"/>
        <v>0.97039735853361175</v>
      </c>
    </row>
    <row r="8525" spans="16:18" x14ac:dyDescent="0.3">
      <c r="P8525" s="35">
        <v>121.48</v>
      </c>
      <c r="Q8525">
        <v>305</v>
      </c>
      <c r="R8525" s="34">
        <f t="shared" si="136"/>
        <v>0.97051121484694436</v>
      </c>
    </row>
    <row r="8526" spans="16:18" x14ac:dyDescent="0.3">
      <c r="P8526" s="35">
        <v>121.6</v>
      </c>
      <c r="Q8526">
        <v>305</v>
      </c>
      <c r="R8526" s="34">
        <f t="shared" si="136"/>
        <v>0.97062507116027696</v>
      </c>
    </row>
    <row r="8527" spans="16:18" x14ac:dyDescent="0.3">
      <c r="P8527" s="35">
        <v>121.63</v>
      </c>
      <c r="Q8527">
        <v>305</v>
      </c>
      <c r="R8527" s="34">
        <f t="shared" si="136"/>
        <v>0.97073892747360957</v>
      </c>
    </row>
    <row r="8528" spans="16:18" x14ac:dyDescent="0.3">
      <c r="P8528" s="35">
        <v>121.69</v>
      </c>
      <c r="Q8528">
        <v>305</v>
      </c>
      <c r="R8528" s="34">
        <f t="shared" si="136"/>
        <v>0.97085278378694218</v>
      </c>
    </row>
    <row r="8529" spans="16:18" x14ac:dyDescent="0.3">
      <c r="P8529" s="35">
        <v>121.88</v>
      </c>
      <c r="Q8529">
        <v>305</v>
      </c>
      <c r="R8529" s="34">
        <f t="shared" si="136"/>
        <v>0.97096664010027478</v>
      </c>
    </row>
    <row r="8530" spans="16:18" x14ac:dyDescent="0.3">
      <c r="P8530" s="35">
        <v>121.96</v>
      </c>
      <c r="Q8530">
        <v>305</v>
      </c>
      <c r="R8530" s="34">
        <f t="shared" si="136"/>
        <v>0.97108049641360739</v>
      </c>
    </row>
    <row r="8531" spans="16:18" x14ac:dyDescent="0.3">
      <c r="P8531" s="35">
        <v>121.98</v>
      </c>
      <c r="Q8531">
        <v>305</v>
      </c>
      <c r="R8531" s="34">
        <f t="shared" si="136"/>
        <v>0.97119435272693999</v>
      </c>
    </row>
    <row r="8532" spans="16:18" x14ac:dyDescent="0.3">
      <c r="P8532" s="35">
        <v>122.01</v>
      </c>
      <c r="Q8532">
        <v>305</v>
      </c>
      <c r="R8532" s="34">
        <f t="shared" si="136"/>
        <v>0.9713082090402726</v>
      </c>
    </row>
    <row r="8533" spans="16:18" x14ac:dyDescent="0.3">
      <c r="P8533" s="35">
        <v>122.02</v>
      </c>
      <c r="Q8533">
        <v>305</v>
      </c>
      <c r="R8533" s="34">
        <f t="shared" si="136"/>
        <v>0.9714220653536052</v>
      </c>
    </row>
    <row r="8534" spans="16:18" x14ac:dyDescent="0.3">
      <c r="P8534" s="35">
        <v>122.02</v>
      </c>
      <c r="Q8534">
        <v>305</v>
      </c>
      <c r="R8534" s="34">
        <f t="shared" si="136"/>
        <v>0.97153592166693781</v>
      </c>
    </row>
    <row r="8535" spans="16:18" x14ac:dyDescent="0.3">
      <c r="P8535" s="35">
        <v>122.15</v>
      </c>
      <c r="Q8535">
        <v>305</v>
      </c>
      <c r="R8535" s="34">
        <f t="shared" si="136"/>
        <v>0.97164977798027041</v>
      </c>
    </row>
    <row r="8536" spans="16:18" x14ac:dyDescent="0.3">
      <c r="P8536" s="35">
        <v>122.33</v>
      </c>
      <c r="Q8536">
        <v>305</v>
      </c>
      <c r="R8536" s="34">
        <f t="shared" si="136"/>
        <v>0.97176363429360302</v>
      </c>
    </row>
    <row r="8537" spans="16:18" x14ac:dyDescent="0.3">
      <c r="P8537" s="35">
        <v>122.42</v>
      </c>
      <c r="Q8537">
        <v>305</v>
      </c>
      <c r="R8537" s="34">
        <f t="shared" si="136"/>
        <v>0.97187749060693562</v>
      </c>
    </row>
    <row r="8538" spans="16:18" x14ac:dyDescent="0.3">
      <c r="P8538" s="35">
        <v>122.48</v>
      </c>
      <c r="Q8538">
        <v>305</v>
      </c>
      <c r="R8538" s="34">
        <f t="shared" si="136"/>
        <v>0.97199134692026823</v>
      </c>
    </row>
    <row r="8539" spans="16:18" x14ac:dyDescent="0.3">
      <c r="P8539" s="35">
        <v>122.54</v>
      </c>
      <c r="Q8539">
        <v>305</v>
      </c>
      <c r="R8539" s="34">
        <f t="shared" si="136"/>
        <v>0.97210520323360083</v>
      </c>
    </row>
    <row r="8540" spans="16:18" x14ac:dyDescent="0.3">
      <c r="P8540" s="35">
        <v>122.78</v>
      </c>
      <c r="Q8540">
        <v>305</v>
      </c>
      <c r="R8540" s="34">
        <f t="shared" si="136"/>
        <v>0.97221905954693344</v>
      </c>
    </row>
    <row r="8541" spans="16:18" x14ac:dyDescent="0.3">
      <c r="P8541" s="35">
        <v>122.94</v>
      </c>
      <c r="Q8541">
        <v>305</v>
      </c>
      <c r="R8541" s="34">
        <f t="shared" si="136"/>
        <v>0.97233291586026604</v>
      </c>
    </row>
    <row r="8542" spans="16:18" x14ac:dyDescent="0.3">
      <c r="P8542" s="35">
        <v>123.11</v>
      </c>
      <c r="Q8542">
        <v>305</v>
      </c>
      <c r="R8542" s="34">
        <f t="shared" si="136"/>
        <v>0.97244677217359865</v>
      </c>
    </row>
    <row r="8543" spans="16:18" x14ac:dyDescent="0.3">
      <c r="P8543" s="35">
        <v>123.23</v>
      </c>
      <c r="Q8543">
        <v>305</v>
      </c>
      <c r="R8543" s="34">
        <f t="shared" si="136"/>
        <v>0.97256062848693126</v>
      </c>
    </row>
    <row r="8544" spans="16:18" x14ac:dyDescent="0.3">
      <c r="P8544" s="35">
        <v>124.21</v>
      </c>
      <c r="Q8544">
        <v>305</v>
      </c>
      <c r="R8544" s="34">
        <f t="shared" si="136"/>
        <v>0.97267448480026386</v>
      </c>
    </row>
    <row r="8545" spans="16:18" x14ac:dyDescent="0.3">
      <c r="P8545" s="35">
        <v>124.27</v>
      </c>
      <c r="Q8545">
        <v>305</v>
      </c>
      <c r="R8545" s="34">
        <f t="shared" si="136"/>
        <v>0.97278834111359647</v>
      </c>
    </row>
    <row r="8546" spans="16:18" x14ac:dyDescent="0.3">
      <c r="P8546" s="35">
        <v>124.33</v>
      </c>
      <c r="Q8546">
        <v>305</v>
      </c>
      <c r="R8546" s="34">
        <f t="shared" si="136"/>
        <v>0.97290219742692907</v>
      </c>
    </row>
    <row r="8547" spans="16:18" x14ac:dyDescent="0.3">
      <c r="P8547" s="35">
        <v>124.52</v>
      </c>
      <c r="Q8547">
        <v>305</v>
      </c>
      <c r="R8547" s="34">
        <f t="shared" si="136"/>
        <v>0.97301605374026168</v>
      </c>
    </row>
    <row r="8548" spans="16:18" x14ac:dyDescent="0.3">
      <c r="P8548" s="35">
        <v>124.57</v>
      </c>
      <c r="Q8548">
        <v>305</v>
      </c>
      <c r="R8548" s="34">
        <f t="shared" si="136"/>
        <v>0.97312991005359428</v>
      </c>
    </row>
    <row r="8549" spans="16:18" x14ac:dyDescent="0.3">
      <c r="P8549" s="35">
        <v>124.63</v>
      </c>
      <c r="Q8549">
        <v>305</v>
      </c>
      <c r="R8549" s="34">
        <f t="shared" si="136"/>
        <v>0.97324376636692689</v>
      </c>
    </row>
    <row r="8550" spans="16:18" x14ac:dyDescent="0.3">
      <c r="P8550" s="35">
        <v>124.65</v>
      </c>
      <c r="Q8550">
        <v>305</v>
      </c>
      <c r="R8550" s="34">
        <f t="shared" si="136"/>
        <v>0.97335762268025949</v>
      </c>
    </row>
    <row r="8551" spans="16:18" x14ac:dyDescent="0.3">
      <c r="P8551" s="35">
        <v>124.68</v>
      </c>
      <c r="Q8551">
        <v>305</v>
      </c>
      <c r="R8551" s="34">
        <f t="shared" si="136"/>
        <v>0.9734714789935921</v>
      </c>
    </row>
    <row r="8552" spans="16:18" x14ac:dyDescent="0.3">
      <c r="P8552" s="35">
        <v>124.86</v>
      </c>
      <c r="Q8552">
        <v>305</v>
      </c>
      <c r="R8552" s="34">
        <f t="shared" si="136"/>
        <v>0.9735853353069247</v>
      </c>
    </row>
    <row r="8553" spans="16:18" x14ac:dyDescent="0.3">
      <c r="P8553" s="35">
        <v>124.91</v>
      </c>
      <c r="Q8553">
        <v>305</v>
      </c>
      <c r="R8553" s="34">
        <f t="shared" si="136"/>
        <v>0.97369919162025731</v>
      </c>
    </row>
    <row r="8554" spans="16:18" x14ac:dyDescent="0.3">
      <c r="P8554" s="35">
        <v>124.94</v>
      </c>
      <c r="Q8554">
        <v>305</v>
      </c>
      <c r="R8554" s="34">
        <f t="shared" si="136"/>
        <v>0.97381304793358991</v>
      </c>
    </row>
    <row r="8555" spans="16:18" x14ac:dyDescent="0.3">
      <c r="P8555" s="35">
        <v>124.98</v>
      </c>
      <c r="Q8555">
        <v>305</v>
      </c>
      <c r="R8555" s="34">
        <f t="shared" si="136"/>
        <v>0.97392690424692252</v>
      </c>
    </row>
    <row r="8556" spans="16:18" x14ac:dyDescent="0.3">
      <c r="P8556" s="35">
        <v>125.1</v>
      </c>
      <c r="Q8556">
        <v>305</v>
      </c>
      <c r="R8556" s="34">
        <f t="shared" si="136"/>
        <v>0.97404076056025513</v>
      </c>
    </row>
    <row r="8557" spans="16:18" x14ac:dyDescent="0.3">
      <c r="P8557" s="35">
        <v>125.59</v>
      </c>
      <c r="Q8557">
        <v>305</v>
      </c>
      <c r="R8557" s="34">
        <f t="shared" si="136"/>
        <v>0.97415461687358773</v>
      </c>
    </row>
    <row r="8558" spans="16:18" x14ac:dyDescent="0.3">
      <c r="P8558" s="35">
        <v>125.87</v>
      </c>
      <c r="Q8558">
        <v>305</v>
      </c>
      <c r="R8558" s="34">
        <f t="shared" si="136"/>
        <v>0.97426847318692034</v>
      </c>
    </row>
    <row r="8559" spans="16:18" x14ac:dyDescent="0.3">
      <c r="P8559" s="35">
        <v>126.4</v>
      </c>
      <c r="Q8559">
        <v>305</v>
      </c>
      <c r="R8559" s="34">
        <f t="shared" si="136"/>
        <v>0.97438232950025294</v>
      </c>
    </row>
    <row r="8560" spans="16:18" x14ac:dyDescent="0.3">
      <c r="P8560" s="35">
        <v>126.54</v>
      </c>
      <c r="Q8560">
        <v>305</v>
      </c>
      <c r="R8560" s="34">
        <f t="shared" si="136"/>
        <v>0.97449618581358555</v>
      </c>
    </row>
    <row r="8561" spans="16:18" x14ac:dyDescent="0.3">
      <c r="P8561" s="35">
        <v>126.71</v>
      </c>
      <c r="Q8561">
        <v>305</v>
      </c>
      <c r="R8561" s="34">
        <f t="shared" si="136"/>
        <v>0.97461004212691815</v>
      </c>
    </row>
    <row r="8562" spans="16:18" x14ac:dyDescent="0.3">
      <c r="P8562" s="35">
        <v>126.74</v>
      </c>
      <c r="Q8562">
        <v>305</v>
      </c>
      <c r="R8562" s="34">
        <f t="shared" si="136"/>
        <v>0.97472389844025076</v>
      </c>
    </row>
    <row r="8563" spans="16:18" x14ac:dyDescent="0.3">
      <c r="P8563" s="35">
        <v>126.87</v>
      </c>
      <c r="Q8563">
        <v>305</v>
      </c>
      <c r="R8563" s="34">
        <f t="shared" si="136"/>
        <v>0.97483775475358336</v>
      </c>
    </row>
    <row r="8564" spans="16:18" x14ac:dyDescent="0.3">
      <c r="P8564" s="35">
        <v>126.95</v>
      </c>
      <c r="Q8564">
        <v>305</v>
      </c>
      <c r="R8564" s="34">
        <f t="shared" si="136"/>
        <v>0.97495161106691597</v>
      </c>
    </row>
    <row r="8565" spans="16:18" x14ac:dyDescent="0.3">
      <c r="P8565" s="35">
        <v>127.12</v>
      </c>
      <c r="Q8565">
        <v>305</v>
      </c>
      <c r="R8565" s="34">
        <f t="shared" si="136"/>
        <v>0.97506546738024857</v>
      </c>
    </row>
    <row r="8566" spans="16:18" x14ac:dyDescent="0.3">
      <c r="P8566" s="35">
        <v>127.32</v>
      </c>
      <c r="Q8566">
        <v>305</v>
      </c>
      <c r="R8566" s="34">
        <f t="shared" si="136"/>
        <v>0.97517932369358118</v>
      </c>
    </row>
    <row r="8567" spans="16:18" x14ac:dyDescent="0.3">
      <c r="P8567" s="35">
        <v>127.4</v>
      </c>
      <c r="Q8567">
        <v>305</v>
      </c>
      <c r="R8567" s="34">
        <f t="shared" si="136"/>
        <v>0.97529318000691378</v>
      </c>
    </row>
    <row r="8568" spans="16:18" x14ac:dyDescent="0.3">
      <c r="P8568" s="35">
        <v>127.64</v>
      </c>
      <c r="Q8568">
        <v>305</v>
      </c>
      <c r="R8568" s="34">
        <f t="shared" si="136"/>
        <v>0.97540703632024639</v>
      </c>
    </row>
    <row r="8569" spans="16:18" x14ac:dyDescent="0.3">
      <c r="P8569" s="35">
        <v>127.67</v>
      </c>
      <c r="Q8569">
        <v>305</v>
      </c>
      <c r="R8569" s="34">
        <f t="shared" si="136"/>
        <v>0.975520892633579</v>
      </c>
    </row>
    <row r="8570" spans="16:18" x14ac:dyDescent="0.3">
      <c r="P8570" s="35">
        <v>127.81</v>
      </c>
      <c r="Q8570">
        <v>305</v>
      </c>
      <c r="R8570" s="34">
        <f t="shared" si="136"/>
        <v>0.9756347489469116</v>
      </c>
    </row>
    <row r="8571" spans="16:18" x14ac:dyDescent="0.3">
      <c r="P8571" s="35">
        <v>128.33000000000001</v>
      </c>
      <c r="Q8571">
        <v>305</v>
      </c>
      <c r="R8571" s="34">
        <f t="shared" si="136"/>
        <v>0.97574860526024421</v>
      </c>
    </row>
    <row r="8572" spans="16:18" x14ac:dyDescent="0.3">
      <c r="P8572" s="35">
        <v>128.58000000000001</v>
      </c>
      <c r="Q8572">
        <v>305</v>
      </c>
      <c r="R8572" s="34">
        <f t="shared" si="136"/>
        <v>0.97586246157357681</v>
      </c>
    </row>
    <row r="8573" spans="16:18" x14ac:dyDescent="0.3">
      <c r="P8573" s="35">
        <v>128.6</v>
      </c>
      <c r="Q8573">
        <v>305</v>
      </c>
      <c r="R8573" s="34">
        <f t="shared" si="136"/>
        <v>0.97597631788690942</v>
      </c>
    </row>
    <row r="8574" spans="16:18" x14ac:dyDescent="0.3">
      <c r="P8574" s="35">
        <v>128.76</v>
      </c>
      <c r="Q8574">
        <v>305</v>
      </c>
      <c r="R8574" s="34">
        <f t="shared" si="136"/>
        <v>0.97609017420024202</v>
      </c>
    </row>
    <row r="8575" spans="16:18" x14ac:dyDescent="0.3">
      <c r="P8575" s="35">
        <v>128.91</v>
      </c>
      <c r="Q8575">
        <v>305</v>
      </c>
      <c r="R8575" s="34">
        <f t="shared" si="136"/>
        <v>0.97620403051357463</v>
      </c>
    </row>
    <row r="8576" spans="16:18" x14ac:dyDescent="0.3">
      <c r="P8576" s="35">
        <v>129.22</v>
      </c>
      <c r="Q8576">
        <v>305</v>
      </c>
      <c r="R8576" s="34">
        <f t="shared" si="136"/>
        <v>0.97631788682690723</v>
      </c>
    </row>
    <row r="8577" spans="16:18" x14ac:dyDescent="0.3">
      <c r="P8577" s="35">
        <v>129.29</v>
      </c>
      <c r="Q8577">
        <v>305</v>
      </c>
      <c r="R8577" s="34">
        <f t="shared" si="136"/>
        <v>0.97643174314023984</v>
      </c>
    </row>
    <row r="8578" spans="16:18" x14ac:dyDescent="0.3">
      <c r="P8578" s="35">
        <v>129.76</v>
      </c>
      <c r="Q8578">
        <v>305</v>
      </c>
      <c r="R8578" s="34">
        <f t="shared" si="136"/>
        <v>0.97654559945357244</v>
      </c>
    </row>
    <row r="8579" spans="16:18" x14ac:dyDescent="0.3">
      <c r="P8579" s="35">
        <v>129.94</v>
      </c>
      <c r="Q8579">
        <v>305</v>
      </c>
      <c r="R8579" s="34">
        <f t="shared" si="136"/>
        <v>0.97665945576690505</v>
      </c>
    </row>
    <row r="8580" spans="16:18" x14ac:dyDescent="0.3">
      <c r="P8580" s="35">
        <v>130.05000000000001</v>
      </c>
      <c r="Q8580">
        <v>305</v>
      </c>
      <c r="R8580" s="34">
        <f t="shared" ref="R8580:R8643" si="137">R8579+R$2</f>
        <v>0.97677331208023765</v>
      </c>
    </row>
    <row r="8581" spans="16:18" x14ac:dyDescent="0.3">
      <c r="P8581" s="35">
        <v>130.07</v>
      </c>
      <c r="Q8581">
        <v>305</v>
      </c>
      <c r="R8581" s="34">
        <f t="shared" si="137"/>
        <v>0.97688716839357026</v>
      </c>
    </row>
    <row r="8582" spans="16:18" x14ac:dyDescent="0.3">
      <c r="P8582" s="35">
        <v>130.12</v>
      </c>
      <c r="Q8582">
        <v>305</v>
      </c>
      <c r="R8582" s="34">
        <f t="shared" si="137"/>
        <v>0.97700102470690287</v>
      </c>
    </row>
    <row r="8583" spans="16:18" x14ac:dyDescent="0.3">
      <c r="P8583" s="35">
        <v>130.26</v>
      </c>
      <c r="Q8583">
        <v>305</v>
      </c>
      <c r="R8583" s="34">
        <f t="shared" si="137"/>
        <v>0.97711488102023547</v>
      </c>
    </row>
    <row r="8584" spans="16:18" x14ac:dyDescent="0.3">
      <c r="P8584" s="35">
        <v>130.61000000000001</v>
      </c>
      <c r="Q8584">
        <v>305</v>
      </c>
      <c r="R8584" s="34">
        <f t="shared" si="137"/>
        <v>0.97722873733356808</v>
      </c>
    </row>
    <row r="8585" spans="16:18" x14ac:dyDescent="0.3">
      <c r="P8585" s="35">
        <v>130.75</v>
      </c>
      <c r="Q8585">
        <v>305</v>
      </c>
      <c r="R8585" s="34">
        <f t="shared" si="137"/>
        <v>0.97734259364690068</v>
      </c>
    </row>
    <row r="8586" spans="16:18" x14ac:dyDescent="0.3">
      <c r="P8586" s="35">
        <v>131.58000000000001</v>
      </c>
      <c r="Q8586">
        <v>305</v>
      </c>
      <c r="R8586" s="34">
        <f t="shared" si="137"/>
        <v>0.97745644996023329</v>
      </c>
    </row>
    <row r="8587" spans="16:18" x14ac:dyDescent="0.3">
      <c r="P8587" s="35">
        <v>131.71</v>
      </c>
      <c r="Q8587">
        <v>305</v>
      </c>
      <c r="R8587" s="34">
        <f t="shared" si="137"/>
        <v>0.97757030627356589</v>
      </c>
    </row>
    <row r="8588" spans="16:18" x14ac:dyDescent="0.3">
      <c r="P8588" s="35">
        <v>131.78</v>
      </c>
      <c r="Q8588">
        <v>305</v>
      </c>
      <c r="R8588" s="34">
        <f t="shared" si="137"/>
        <v>0.9776841625868985</v>
      </c>
    </row>
    <row r="8589" spans="16:18" x14ac:dyDescent="0.3">
      <c r="P8589" s="35">
        <v>131.87</v>
      </c>
      <c r="Q8589">
        <v>305</v>
      </c>
      <c r="R8589" s="34">
        <f t="shared" si="137"/>
        <v>0.9777980189002311</v>
      </c>
    </row>
    <row r="8590" spans="16:18" x14ac:dyDescent="0.3">
      <c r="P8590" s="35">
        <v>131.88</v>
      </c>
      <c r="Q8590">
        <v>305</v>
      </c>
      <c r="R8590" s="34">
        <f t="shared" si="137"/>
        <v>0.97791187521356371</v>
      </c>
    </row>
    <row r="8591" spans="16:18" x14ac:dyDescent="0.3">
      <c r="P8591" s="35">
        <v>131.96</v>
      </c>
      <c r="Q8591">
        <v>305</v>
      </c>
      <c r="R8591" s="34">
        <f t="shared" si="137"/>
        <v>0.97802573152689631</v>
      </c>
    </row>
    <row r="8592" spans="16:18" x14ac:dyDescent="0.3">
      <c r="P8592" s="35">
        <v>132.43</v>
      </c>
      <c r="Q8592">
        <v>305</v>
      </c>
      <c r="R8592" s="34">
        <f t="shared" si="137"/>
        <v>0.97813958784022892</v>
      </c>
    </row>
    <row r="8593" spans="16:18" x14ac:dyDescent="0.3">
      <c r="P8593" s="35">
        <v>133.1</v>
      </c>
      <c r="Q8593">
        <v>305</v>
      </c>
      <c r="R8593" s="34">
        <f t="shared" si="137"/>
        <v>0.97825344415356152</v>
      </c>
    </row>
    <row r="8594" spans="16:18" x14ac:dyDescent="0.3">
      <c r="P8594" s="35">
        <v>133.29</v>
      </c>
      <c r="Q8594">
        <v>305</v>
      </c>
      <c r="R8594" s="34">
        <f t="shared" si="137"/>
        <v>0.97836730046689413</v>
      </c>
    </row>
    <row r="8595" spans="16:18" x14ac:dyDescent="0.3">
      <c r="P8595" s="35">
        <v>133.32</v>
      </c>
      <c r="Q8595">
        <v>305</v>
      </c>
      <c r="R8595" s="34">
        <f t="shared" si="137"/>
        <v>0.97848115678022674</v>
      </c>
    </row>
    <row r="8596" spans="16:18" x14ac:dyDescent="0.3">
      <c r="P8596" s="35">
        <v>133.66999999999999</v>
      </c>
      <c r="Q8596">
        <v>305</v>
      </c>
      <c r="R8596" s="34">
        <f t="shared" si="137"/>
        <v>0.97859501309355934</v>
      </c>
    </row>
    <row r="8597" spans="16:18" x14ac:dyDescent="0.3">
      <c r="P8597" s="35">
        <v>133.84</v>
      </c>
      <c r="Q8597">
        <v>305</v>
      </c>
      <c r="R8597" s="34">
        <f t="shared" si="137"/>
        <v>0.97870886940689195</v>
      </c>
    </row>
    <row r="8598" spans="16:18" x14ac:dyDescent="0.3">
      <c r="P8598" s="35">
        <v>133.88999999999999</v>
      </c>
      <c r="Q8598">
        <v>305</v>
      </c>
      <c r="R8598" s="34">
        <f t="shared" si="137"/>
        <v>0.97882272572022455</v>
      </c>
    </row>
    <row r="8599" spans="16:18" x14ac:dyDescent="0.3">
      <c r="P8599" s="35">
        <v>134.59</v>
      </c>
      <c r="Q8599">
        <v>305</v>
      </c>
      <c r="R8599" s="34">
        <f t="shared" si="137"/>
        <v>0.97893658203355716</v>
      </c>
    </row>
    <row r="8600" spans="16:18" x14ac:dyDescent="0.3">
      <c r="P8600" s="35">
        <v>135.22999999999999</v>
      </c>
      <c r="Q8600">
        <v>305</v>
      </c>
      <c r="R8600" s="34">
        <f t="shared" si="137"/>
        <v>0.97905043834688976</v>
      </c>
    </row>
    <row r="8601" spans="16:18" x14ac:dyDescent="0.3">
      <c r="P8601" s="35">
        <v>135.38999999999999</v>
      </c>
      <c r="Q8601">
        <v>305</v>
      </c>
      <c r="R8601" s="34">
        <f t="shared" si="137"/>
        <v>0.97916429466022237</v>
      </c>
    </row>
    <row r="8602" spans="16:18" x14ac:dyDescent="0.3">
      <c r="P8602" s="35">
        <v>135.41999999999999</v>
      </c>
      <c r="Q8602">
        <v>305</v>
      </c>
      <c r="R8602" s="34">
        <f t="shared" si="137"/>
        <v>0.97927815097355497</v>
      </c>
    </row>
    <row r="8603" spans="16:18" x14ac:dyDescent="0.3">
      <c r="P8603" s="35">
        <v>135.44999999999999</v>
      </c>
      <c r="Q8603">
        <v>305</v>
      </c>
      <c r="R8603" s="34">
        <f t="shared" si="137"/>
        <v>0.97939200728688758</v>
      </c>
    </row>
    <row r="8604" spans="16:18" x14ac:dyDescent="0.3">
      <c r="P8604" s="35">
        <v>135.51</v>
      </c>
      <c r="Q8604">
        <v>305</v>
      </c>
      <c r="R8604" s="34">
        <f t="shared" si="137"/>
        <v>0.97950586360022018</v>
      </c>
    </row>
    <row r="8605" spans="16:18" x14ac:dyDescent="0.3">
      <c r="P8605" s="35">
        <v>135.58000000000001</v>
      </c>
      <c r="Q8605">
        <v>305</v>
      </c>
      <c r="R8605" s="34">
        <f t="shared" si="137"/>
        <v>0.97961971991355279</v>
      </c>
    </row>
    <row r="8606" spans="16:18" x14ac:dyDescent="0.3">
      <c r="P8606" s="35">
        <v>135.86000000000001</v>
      </c>
      <c r="Q8606">
        <v>305</v>
      </c>
      <c r="R8606" s="34">
        <f t="shared" si="137"/>
        <v>0.97973357622688539</v>
      </c>
    </row>
    <row r="8607" spans="16:18" x14ac:dyDescent="0.3">
      <c r="P8607" s="35">
        <v>136.24</v>
      </c>
      <c r="Q8607">
        <v>305</v>
      </c>
      <c r="R8607" s="34">
        <f t="shared" si="137"/>
        <v>0.979847432540218</v>
      </c>
    </row>
    <row r="8608" spans="16:18" x14ac:dyDescent="0.3">
      <c r="P8608" s="35">
        <v>136.91</v>
      </c>
      <c r="Q8608">
        <v>305</v>
      </c>
      <c r="R8608" s="34">
        <f t="shared" si="137"/>
        <v>0.97996128885355061</v>
      </c>
    </row>
    <row r="8609" spans="16:18" x14ac:dyDescent="0.3">
      <c r="P8609" s="35">
        <v>136.97999999999999</v>
      </c>
      <c r="Q8609">
        <v>305</v>
      </c>
      <c r="R8609" s="34">
        <f t="shared" si="137"/>
        <v>0.98007514516688321</v>
      </c>
    </row>
    <row r="8610" spans="16:18" x14ac:dyDescent="0.3">
      <c r="P8610" s="35">
        <v>137.5</v>
      </c>
      <c r="Q8610">
        <v>305</v>
      </c>
      <c r="R8610" s="34">
        <f t="shared" si="137"/>
        <v>0.98018900148021582</v>
      </c>
    </row>
    <row r="8611" spans="16:18" x14ac:dyDescent="0.3">
      <c r="P8611" s="35">
        <v>137.83000000000001</v>
      </c>
      <c r="Q8611">
        <v>305</v>
      </c>
      <c r="R8611" s="34">
        <f t="shared" si="137"/>
        <v>0.98030285779354842</v>
      </c>
    </row>
    <row r="8612" spans="16:18" x14ac:dyDescent="0.3">
      <c r="P8612" s="35">
        <v>137.84</v>
      </c>
      <c r="Q8612">
        <v>305</v>
      </c>
      <c r="R8612" s="34">
        <f t="shared" si="137"/>
        <v>0.98041671410688103</v>
      </c>
    </row>
    <row r="8613" spans="16:18" x14ac:dyDescent="0.3">
      <c r="P8613" s="35">
        <v>138.56</v>
      </c>
      <c r="Q8613">
        <v>305</v>
      </c>
      <c r="R8613" s="34">
        <f t="shared" si="137"/>
        <v>0.98053057042021363</v>
      </c>
    </row>
    <row r="8614" spans="16:18" x14ac:dyDescent="0.3">
      <c r="P8614" s="35">
        <v>138.94</v>
      </c>
      <c r="Q8614">
        <v>305</v>
      </c>
      <c r="R8614" s="34">
        <f t="shared" si="137"/>
        <v>0.98064442673354624</v>
      </c>
    </row>
    <row r="8615" spans="16:18" x14ac:dyDescent="0.3">
      <c r="P8615" s="35">
        <v>140.16</v>
      </c>
      <c r="Q8615">
        <v>305</v>
      </c>
      <c r="R8615" s="34">
        <f t="shared" si="137"/>
        <v>0.98075828304687884</v>
      </c>
    </row>
    <row r="8616" spans="16:18" x14ac:dyDescent="0.3">
      <c r="P8616" s="35">
        <v>140.24</v>
      </c>
      <c r="Q8616">
        <v>305</v>
      </c>
      <c r="R8616" s="34">
        <f t="shared" si="137"/>
        <v>0.98087213936021145</v>
      </c>
    </row>
    <row r="8617" spans="16:18" x14ac:dyDescent="0.3">
      <c r="P8617" s="35">
        <v>141.66999999999999</v>
      </c>
      <c r="Q8617">
        <v>305</v>
      </c>
      <c r="R8617" s="34">
        <f t="shared" si="137"/>
        <v>0.98098599567354405</v>
      </c>
    </row>
    <row r="8618" spans="16:18" x14ac:dyDescent="0.3">
      <c r="P8618" s="35">
        <v>142.09</v>
      </c>
      <c r="Q8618">
        <v>305</v>
      </c>
      <c r="R8618" s="34">
        <f t="shared" si="137"/>
        <v>0.98109985198687666</v>
      </c>
    </row>
    <row r="8619" spans="16:18" x14ac:dyDescent="0.3">
      <c r="P8619" s="35">
        <v>142.53</v>
      </c>
      <c r="Q8619">
        <v>305</v>
      </c>
      <c r="R8619" s="34">
        <f t="shared" si="137"/>
        <v>0.98121370830020926</v>
      </c>
    </row>
    <row r="8620" spans="16:18" x14ac:dyDescent="0.3">
      <c r="P8620" s="35">
        <v>142.72</v>
      </c>
      <c r="Q8620">
        <v>305</v>
      </c>
      <c r="R8620" s="34">
        <f t="shared" si="137"/>
        <v>0.98132756461354187</v>
      </c>
    </row>
    <row r="8621" spans="16:18" x14ac:dyDescent="0.3">
      <c r="P8621" s="35">
        <v>142.72</v>
      </c>
      <c r="Q8621">
        <v>305</v>
      </c>
      <c r="R8621" s="34">
        <f t="shared" si="137"/>
        <v>0.98144142092687447</v>
      </c>
    </row>
    <row r="8622" spans="16:18" x14ac:dyDescent="0.3">
      <c r="P8622" s="35">
        <v>143.1</v>
      </c>
      <c r="Q8622">
        <v>305</v>
      </c>
      <c r="R8622" s="34">
        <f t="shared" si="137"/>
        <v>0.98155527724020708</v>
      </c>
    </row>
    <row r="8623" spans="16:18" x14ac:dyDescent="0.3">
      <c r="P8623" s="35">
        <v>143.19999999999999</v>
      </c>
      <c r="Q8623">
        <v>305</v>
      </c>
      <c r="R8623" s="34">
        <f t="shared" si="137"/>
        <v>0.98166913355353969</v>
      </c>
    </row>
    <row r="8624" spans="16:18" x14ac:dyDescent="0.3">
      <c r="P8624" s="35">
        <v>143.22999999999999</v>
      </c>
      <c r="Q8624">
        <v>305</v>
      </c>
      <c r="R8624" s="34">
        <f t="shared" si="137"/>
        <v>0.98178298986687229</v>
      </c>
    </row>
    <row r="8625" spans="16:18" x14ac:dyDescent="0.3">
      <c r="P8625" s="35">
        <v>143.47</v>
      </c>
      <c r="Q8625">
        <v>305</v>
      </c>
      <c r="R8625" s="34">
        <f t="shared" si="137"/>
        <v>0.9818968461802049</v>
      </c>
    </row>
    <row r="8626" spans="16:18" x14ac:dyDescent="0.3">
      <c r="P8626" s="35">
        <v>143.63</v>
      </c>
      <c r="Q8626">
        <v>305</v>
      </c>
      <c r="R8626" s="34">
        <f t="shared" si="137"/>
        <v>0.9820107024935375</v>
      </c>
    </row>
    <row r="8627" spans="16:18" x14ac:dyDescent="0.3">
      <c r="P8627" s="35">
        <v>143.63999999999999</v>
      </c>
      <c r="Q8627">
        <v>305</v>
      </c>
      <c r="R8627" s="34">
        <f t="shared" si="137"/>
        <v>0.98212455880687011</v>
      </c>
    </row>
    <row r="8628" spans="16:18" x14ac:dyDescent="0.3">
      <c r="P8628" s="35">
        <v>143.63999999999999</v>
      </c>
      <c r="Q8628">
        <v>305</v>
      </c>
      <c r="R8628" s="34">
        <f t="shared" si="137"/>
        <v>0.98223841512020271</v>
      </c>
    </row>
    <row r="8629" spans="16:18" x14ac:dyDescent="0.3">
      <c r="P8629" s="35">
        <v>143.71</v>
      </c>
      <c r="Q8629">
        <v>305</v>
      </c>
      <c r="R8629" s="34">
        <f t="shared" si="137"/>
        <v>0.98235227143353532</v>
      </c>
    </row>
    <row r="8630" spans="16:18" x14ac:dyDescent="0.3">
      <c r="P8630" s="35">
        <v>144.4</v>
      </c>
      <c r="Q8630">
        <v>305</v>
      </c>
      <c r="R8630" s="34">
        <f t="shared" si="137"/>
        <v>0.98246612774686792</v>
      </c>
    </row>
    <row r="8631" spans="16:18" x14ac:dyDescent="0.3">
      <c r="P8631" s="35">
        <v>144.44999999999999</v>
      </c>
      <c r="Q8631">
        <v>305</v>
      </c>
      <c r="R8631" s="34">
        <f t="shared" si="137"/>
        <v>0.98257998406020053</v>
      </c>
    </row>
    <row r="8632" spans="16:18" x14ac:dyDescent="0.3">
      <c r="P8632" s="35">
        <v>144.63</v>
      </c>
      <c r="Q8632">
        <v>305</v>
      </c>
      <c r="R8632" s="34">
        <f t="shared" si="137"/>
        <v>0.98269384037353313</v>
      </c>
    </row>
    <row r="8633" spans="16:18" x14ac:dyDescent="0.3">
      <c r="P8633" s="35">
        <v>144.91999999999999</v>
      </c>
      <c r="Q8633">
        <v>305</v>
      </c>
      <c r="R8633" s="34">
        <f t="shared" si="137"/>
        <v>0.98280769668686574</v>
      </c>
    </row>
    <row r="8634" spans="16:18" x14ac:dyDescent="0.3">
      <c r="P8634" s="35">
        <v>145</v>
      </c>
      <c r="Q8634">
        <v>305</v>
      </c>
      <c r="R8634" s="34">
        <f t="shared" si="137"/>
        <v>0.98292155300019834</v>
      </c>
    </row>
    <row r="8635" spans="16:18" x14ac:dyDescent="0.3">
      <c r="P8635" s="35">
        <v>145.18</v>
      </c>
      <c r="Q8635">
        <v>305</v>
      </c>
      <c r="R8635" s="34">
        <f t="shared" si="137"/>
        <v>0.98303540931353095</v>
      </c>
    </row>
    <row r="8636" spans="16:18" x14ac:dyDescent="0.3">
      <c r="P8636" s="35">
        <v>145.83000000000001</v>
      </c>
      <c r="Q8636">
        <v>305</v>
      </c>
      <c r="R8636" s="34">
        <f t="shared" si="137"/>
        <v>0.98314926562686356</v>
      </c>
    </row>
    <row r="8637" spans="16:18" x14ac:dyDescent="0.3">
      <c r="P8637" s="35">
        <v>146.18</v>
      </c>
      <c r="Q8637">
        <v>305</v>
      </c>
      <c r="R8637" s="34">
        <f t="shared" si="137"/>
        <v>0.98326312194019616</v>
      </c>
    </row>
    <row r="8638" spans="16:18" x14ac:dyDescent="0.3">
      <c r="P8638" s="35">
        <v>146.41</v>
      </c>
      <c r="Q8638">
        <v>305</v>
      </c>
      <c r="R8638" s="34">
        <f t="shared" si="137"/>
        <v>0.98337697825352877</v>
      </c>
    </row>
    <row r="8639" spans="16:18" x14ac:dyDescent="0.3">
      <c r="P8639" s="35">
        <v>146.44999999999999</v>
      </c>
      <c r="Q8639">
        <v>305</v>
      </c>
      <c r="R8639" s="34">
        <f t="shared" si="137"/>
        <v>0.98349083456686137</v>
      </c>
    </row>
    <row r="8640" spans="16:18" x14ac:dyDescent="0.3">
      <c r="P8640" s="35">
        <v>146.68</v>
      </c>
      <c r="Q8640">
        <v>305</v>
      </c>
      <c r="R8640" s="34">
        <f t="shared" si="137"/>
        <v>0.98360469088019398</v>
      </c>
    </row>
    <row r="8641" spans="16:18" x14ac:dyDescent="0.3">
      <c r="P8641" s="35">
        <v>146.97999999999999</v>
      </c>
      <c r="Q8641">
        <v>305</v>
      </c>
      <c r="R8641" s="34">
        <f t="shared" si="137"/>
        <v>0.98371854719352658</v>
      </c>
    </row>
    <row r="8642" spans="16:18" x14ac:dyDescent="0.3">
      <c r="P8642" s="35">
        <v>147</v>
      </c>
      <c r="Q8642">
        <v>305</v>
      </c>
      <c r="R8642" s="34">
        <f t="shared" si="137"/>
        <v>0.98383240350685919</v>
      </c>
    </row>
    <row r="8643" spans="16:18" x14ac:dyDescent="0.3">
      <c r="P8643" s="35">
        <v>147.25</v>
      </c>
      <c r="Q8643">
        <v>305</v>
      </c>
      <c r="R8643" s="34">
        <f t="shared" si="137"/>
        <v>0.98394625982019179</v>
      </c>
    </row>
    <row r="8644" spans="16:18" x14ac:dyDescent="0.3">
      <c r="P8644" s="35">
        <v>147.78</v>
      </c>
      <c r="Q8644">
        <v>305</v>
      </c>
      <c r="R8644" s="34">
        <f t="shared" ref="R8644:R8707" si="138">R8643+R$2</f>
        <v>0.9840601161335244</v>
      </c>
    </row>
    <row r="8645" spans="16:18" x14ac:dyDescent="0.3">
      <c r="P8645" s="35">
        <v>147.81</v>
      </c>
      <c r="Q8645">
        <v>305</v>
      </c>
      <c r="R8645" s="34">
        <f t="shared" si="138"/>
        <v>0.984173972446857</v>
      </c>
    </row>
    <row r="8646" spans="16:18" x14ac:dyDescent="0.3">
      <c r="P8646" s="35">
        <v>148.05000000000001</v>
      </c>
      <c r="Q8646">
        <v>305</v>
      </c>
      <c r="R8646" s="34">
        <f t="shared" si="138"/>
        <v>0.98428782876018961</v>
      </c>
    </row>
    <row r="8647" spans="16:18" x14ac:dyDescent="0.3">
      <c r="P8647" s="35">
        <v>148.1</v>
      </c>
      <c r="Q8647">
        <v>305</v>
      </c>
      <c r="R8647" s="34">
        <f t="shared" si="138"/>
        <v>0.98440168507352221</v>
      </c>
    </row>
    <row r="8648" spans="16:18" x14ac:dyDescent="0.3">
      <c r="P8648" s="35">
        <v>148.56</v>
      </c>
      <c r="Q8648">
        <v>305</v>
      </c>
      <c r="R8648" s="34">
        <f t="shared" si="138"/>
        <v>0.98451554138685482</v>
      </c>
    </row>
    <row r="8649" spans="16:18" x14ac:dyDescent="0.3">
      <c r="P8649" s="35">
        <v>148.81</v>
      </c>
      <c r="Q8649">
        <v>305</v>
      </c>
      <c r="R8649" s="34">
        <f t="shared" si="138"/>
        <v>0.98462939770018743</v>
      </c>
    </row>
    <row r="8650" spans="16:18" x14ac:dyDescent="0.3">
      <c r="P8650" s="35">
        <v>149.66</v>
      </c>
      <c r="Q8650">
        <v>305</v>
      </c>
      <c r="R8650" s="34">
        <f t="shared" si="138"/>
        <v>0.98474325401352003</v>
      </c>
    </row>
    <row r="8651" spans="16:18" x14ac:dyDescent="0.3">
      <c r="P8651" s="35">
        <v>149.76</v>
      </c>
      <c r="Q8651">
        <v>305</v>
      </c>
      <c r="R8651" s="34">
        <f t="shared" si="138"/>
        <v>0.98485711032685264</v>
      </c>
    </row>
    <row r="8652" spans="16:18" x14ac:dyDescent="0.3">
      <c r="P8652" s="35">
        <v>149.78</v>
      </c>
      <c r="Q8652">
        <v>305</v>
      </c>
      <c r="R8652" s="34">
        <f t="shared" si="138"/>
        <v>0.98497096664018524</v>
      </c>
    </row>
    <row r="8653" spans="16:18" x14ac:dyDescent="0.3">
      <c r="P8653" s="35">
        <v>149.88</v>
      </c>
      <c r="Q8653">
        <v>305</v>
      </c>
      <c r="R8653" s="34">
        <f t="shared" si="138"/>
        <v>0.98508482295351785</v>
      </c>
    </row>
    <row r="8654" spans="16:18" x14ac:dyDescent="0.3">
      <c r="P8654" s="35">
        <v>150.16999999999999</v>
      </c>
      <c r="Q8654">
        <v>305</v>
      </c>
      <c r="R8654" s="34">
        <f t="shared" si="138"/>
        <v>0.98519867926685045</v>
      </c>
    </row>
    <row r="8655" spans="16:18" x14ac:dyDescent="0.3">
      <c r="P8655" s="35">
        <v>150.94</v>
      </c>
      <c r="Q8655">
        <v>305</v>
      </c>
      <c r="R8655" s="34">
        <f t="shared" si="138"/>
        <v>0.98531253558018306</v>
      </c>
    </row>
    <row r="8656" spans="16:18" x14ac:dyDescent="0.3">
      <c r="P8656" s="35">
        <v>150.94999999999999</v>
      </c>
      <c r="Q8656">
        <v>305</v>
      </c>
      <c r="R8656" s="34">
        <f t="shared" si="138"/>
        <v>0.98542639189351566</v>
      </c>
    </row>
    <row r="8657" spans="16:18" x14ac:dyDescent="0.3">
      <c r="P8657" s="35">
        <v>151.47999999999999</v>
      </c>
      <c r="Q8657">
        <v>305</v>
      </c>
      <c r="R8657" s="34">
        <f t="shared" si="138"/>
        <v>0.98554024820684827</v>
      </c>
    </row>
    <row r="8658" spans="16:18" x14ac:dyDescent="0.3">
      <c r="P8658" s="35">
        <v>151.66</v>
      </c>
      <c r="Q8658">
        <v>305</v>
      </c>
      <c r="R8658" s="34">
        <f t="shared" si="138"/>
        <v>0.98565410452018087</v>
      </c>
    </row>
    <row r="8659" spans="16:18" x14ac:dyDescent="0.3">
      <c r="P8659" s="35">
        <v>151.91999999999999</v>
      </c>
      <c r="Q8659">
        <v>305</v>
      </c>
      <c r="R8659" s="34">
        <f t="shared" si="138"/>
        <v>0.98576796083351348</v>
      </c>
    </row>
    <row r="8660" spans="16:18" x14ac:dyDescent="0.3">
      <c r="P8660" s="35">
        <v>152</v>
      </c>
      <c r="Q8660">
        <v>305</v>
      </c>
      <c r="R8660" s="34">
        <f t="shared" si="138"/>
        <v>0.98588181714684608</v>
      </c>
    </row>
    <row r="8661" spans="16:18" x14ac:dyDescent="0.3">
      <c r="P8661" s="35">
        <v>152.35</v>
      </c>
      <c r="Q8661">
        <v>305</v>
      </c>
      <c r="R8661" s="34">
        <f t="shared" si="138"/>
        <v>0.98599567346017869</v>
      </c>
    </row>
    <row r="8662" spans="16:18" x14ac:dyDescent="0.3">
      <c r="P8662" s="35">
        <v>152.65</v>
      </c>
      <c r="Q8662">
        <v>305</v>
      </c>
      <c r="R8662" s="34">
        <f t="shared" si="138"/>
        <v>0.9861095297735113</v>
      </c>
    </row>
    <row r="8663" spans="16:18" x14ac:dyDescent="0.3">
      <c r="P8663" s="35">
        <v>152.80000000000001</v>
      </c>
      <c r="Q8663">
        <v>305</v>
      </c>
      <c r="R8663" s="34">
        <f t="shared" si="138"/>
        <v>0.9862233860868439</v>
      </c>
    </row>
    <row r="8664" spans="16:18" x14ac:dyDescent="0.3">
      <c r="P8664" s="35">
        <v>153.51</v>
      </c>
      <c r="Q8664">
        <v>305</v>
      </c>
      <c r="R8664" s="34">
        <f t="shared" si="138"/>
        <v>0.98633724240017651</v>
      </c>
    </row>
    <row r="8665" spans="16:18" x14ac:dyDescent="0.3">
      <c r="P8665" s="35">
        <v>153.55000000000001</v>
      </c>
      <c r="Q8665">
        <v>305</v>
      </c>
      <c r="R8665" s="34">
        <f t="shared" si="138"/>
        <v>0.98645109871350911</v>
      </c>
    </row>
    <row r="8666" spans="16:18" x14ac:dyDescent="0.3">
      <c r="P8666" s="35">
        <v>153.78</v>
      </c>
      <c r="Q8666">
        <v>305</v>
      </c>
      <c r="R8666" s="34">
        <f t="shared" si="138"/>
        <v>0.98656495502684172</v>
      </c>
    </row>
    <row r="8667" spans="16:18" x14ac:dyDescent="0.3">
      <c r="P8667" s="35">
        <v>153.85</v>
      </c>
      <c r="Q8667">
        <v>305</v>
      </c>
      <c r="R8667" s="34">
        <f t="shared" si="138"/>
        <v>0.98667881134017432</v>
      </c>
    </row>
    <row r="8668" spans="16:18" x14ac:dyDescent="0.3">
      <c r="P8668" s="35">
        <v>156.88</v>
      </c>
      <c r="Q8668">
        <v>305</v>
      </c>
      <c r="R8668" s="34">
        <f t="shared" si="138"/>
        <v>0.98679266765350693</v>
      </c>
    </row>
    <row r="8669" spans="16:18" x14ac:dyDescent="0.3">
      <c r="P8669" s="35">
        <v>157.47999999999999</v>
      </c>
      <c r="Q8669">
        <v>305</v>
      </c>
      <c r="R8669" s="34">
        <f t="shared" si="138"/>
        <v>0.98690652396683953</v>
      </c>
    </row>
    <row r="8670" spans="16:18" x14ac:dyDescent="0.3">
      <c r="P8670" s="35">
        <v>158.52000000000001</v>
      </c>
      <c r="Q8670">
        <v>305</v>
      </c>
      <c r="R8670" s="34">
        <f t="shared" si="138"/>
        <v>0.98702038028017214</v>
      </c>
    </row>
    <row r="8671" spans="16:18" x14ac:dyDescent="0.3">
      <c r="P8671" s="35">
        <v>160.08000000000001</v>
      </c>
      <c r="Q8671">
        <v>305</v>
      </c>
      <c r="R8671" s="34">
        <f t="shared" si="138"/>
        <v>0.98713423659350474</v>
      </c>
    </row>
    <row r="8672" spans="16:18" x14ac:dyDescent="0.3">
      <c r="P8672" s="35">
        <v>160.13999999999999</v>
      </c>
      <c r="Q8672">
        <v>305</v>
      </c>
      <c r="R8672" s="34">
        <f t="shared" si="138"/>
        <v>0.98724809290683735</v>
      </c>
    </row>
    <row r="8673" spans="16:18" x14ac:dyDescent="0.3">
      <c r="P8673" s="35">
        <v>160.18</v>
      </c>
      <c r="Q8673">
        <v>305</v>
      </c>
      <c r="R8673" s="34">
        <f t="shared" si="138"/>
        <v>0.98736194922016995</v>
      </c>
    </row>
    <row r="8674" spans="16:18" x14ac:dyDescent="0.3">
      <c r="P8674" s="35">
        <v>160.41999999999999</v>
      </c>
      <c r="Q8674">
        <v>305</v>
      </c>
      <c r="R8674" s="34">
        <f t="shared" si="138"/>
        <v>0.98747580553350256</v>
      </c>
    </row>
    <row r="8675" spans="16:18" x14ac:dyDescent="0.3">
      <c r="P8675" s="35">
        <v>160.61000000000001</v>
      </c>
      <c r="Q8675">
        <v>305</v>
      </c>
      <c r="R8675" s="34">
        <f t="shared" si="138"/>
        <v>0.98758966184683517</v>
      </c>
    </row>
    <row r="8676" spans="16:18" x14ac:dyDescent="0.3">
      <c r="P8676" s="35">
        <v>160.97</v>
      </c>
      <c r="Q8676">
        <v>305</v>
      </c>
      <c r="R8676" s="34">
        <f t="shared" si="138"/>
        <v>0.98770351816016777</v>
      </c>
    </row>
    <row r="8677" spans="16:18" x14ac:dyDescent="0.3">
      <c r="P8677" s="35">
        <v>161.08000000000001</v>
      </c>
      <c r="Q8677">
        <v>305</v>
      </c>
      <c r="R8677" s="34">
        <f t="shared" si="138"/>
        <v>0.98781737447350038</v>
      </c>
    </row>
    <row r="8678" spans="16:18" x14ac:dyDescent="0.3">
      <c r="P8678" s="35">
        <v>161.22</v>
      </c>
      <c r="Q8678">
        <v>305</v>
      </c>
      <c r="R8678" s="34">
        <f t="shared" si="138"/>
        <v>0.98793123078683298</v>
      </c>
    </row>
    <row r="8679" spans="16:18" x14ac:dyDescent="0.3">
      <c r="P8679" s="35">
        <v>161.76</v>
      </c>
      <c r="Q8679">
        <v>305</v>
      </c>
      <c r="R8679" s="34">
        <f t="shared" si="138"/>
        <v>0.98804508710016559</v>
      </c>
    </row>
    <row r="8680" spans="16:18" x14ac:dyDescent="0.3">
      <c r="P8680" s="35">
        <v>161.91999999999999</v>
      </c>
      <c r="Q8680">
        <v>305</v>
      </c>
      <c r="R8680" s="34">
        <f t="shared" si="138"/>
        <v>0.98815894341349819</v>
      </c>
    </row>
    <row r="8681" spans="16:18" x14ac:dyDescent="0.3">
      <c r="P8681" s="35">
        <v>162.21</v>
      </c>
      <c r="Q8681">
        <v>305</v>
      </c>
      <c r="R8681" s="34">
        <f t="shared" si="138"/>
        <v>0.9882727997268308</v>
      </c>
    </row>
    <row r="8682" spans="16:18" x14ac:dyDescent="0.3">
      <c r="P8682" s="35">
        <v>162.56</v>
      </c>
      <c r="Q8682">
        <v>305</v>
      </c>
      <c r="R8682" s="34">
        <f t="shared" si="138"/>
        <v>0.9883866560401634</v>
      </c>
    </row>
    <row r="8683" spans="16:18" x14ac:dyDescent="0.3">
      <c r="P8683" s="35">
        <v>163.15</v>
      </c>
      <c r="Q8683">
        <v>305</v>
      </c>
      <c r="R8683" s="34">
        <f t="shared" si="138"/>
        <v>0.98850051235349601</v>
      </c>
    </row>
    <row r="8684" spans="16:18" x14ac:dyDescent="0.3">
      <c r="P8684" s="35">
        <v>163.30000000000001</v>
      </c>
      <c r="Q8684">
        <v>305</v>
      </c>
      <c r="R8684" s="34">
        <f t="shared" si="138"/>
        <v>0.98861436866682861</v>
      </c>
    </row>
    <row r="8685" spans="16:18" x14ac:dyDescent="0.3">
      <c r="P8685" s="35">
        <v>163.51</v>
      </c>
      <c r="Q8685">
        <v>305</v>
      </c>
      <c r="R8685" s="34">
        <f t="shared" si="138"/>
        <v>0.98872822498016122</v>
      </c>
    </row>
    <row r="8686" spans="16:18" x14ac:dyDescent="0.3">
      <c r="P8686" s="35">
        <v>163.54</v>
      </c>
      <c r="Q8686">
        <v>305</v>
      </c>
      <c r="R8686" s="34">
        <f t="shared" si="138"/>
        <v>0.98884208129349382</v>
      </c>
    </row>
    <row r="8687" spans="16:18" x14ac:dyDescent="0.3">
      <c r="P8687" s="35">
        <v>165.09</v>
      </c>
      <c r="Q8687">
        <v>305</v>
      </c>
      <c r="R8687" s="34">
        <f t="shared" si="138"/>
        <v>0.98895593760682643</v>
      </c>
    </row>
    <row r="8688" spans="16:18" x14ac:dyDescent="0.3">
      <c r="P8688" s="35">
        <v>165.29</v>
      </c>
      <c r="Q8688">
        <v>305</v>
      </c>
      <c r="R8688" s="34">
        <f t="shared" si="138"/>
        <v>0.98906979392015903</v>
      </c>
    </row>
    <row r="8689" spans="16:18" x14ac:dyDescent="0.3">
      <c r="P8689" s="35">
        <v>166.08</v>
      </c>
      <c r="Q8689">
        <v>305</v>
      </c>
      <c r="R8689" s="34">
        <f t="shared" si="138"/>
        <v>0.98918365023349164</v>
      </c>
    </row>
    <row r="8690" spans="16:18" x14ac:dyDescent="0.3">
      <c r="P8690" s="35">
        <v>166.45</v>
      </c>
      <c r="Q8690">
        <v>305</v>
      </c>
      <c r="R8690" s="34">
        <f t="shared" si="138"/>
        <v>0.98929750654682425</v>
      </c>
    </row>
    <row r="8691" spans="16:18" x14ac:dyDescent="0.3">
      <c r="P8691" s="35">
        <v>166.57</v>
      </c>
      <c r="Q8691">
        <v>305</v>
      </c>
      <c r="R8691" s="34">
        <f t="shared" si="138"/>
        <v>0.98941136286015685</v>
      </c>
    </row>
    <row r="8692" spans="16:18" x14ac:dyDescent="0.3">
      <c r="P8692" s="35">
        <v>166.84</v>
      </c>
      <c r="Q8692">
        <v>305</v>
      </c>
      <c r="R8692" s="34">
        <f t="shared" si="138"/>
        <v>0.98952521917348946</v>
      </c>
    </row>
    <row r="8693" spans="16:18" x14ac:dyDescent="0.3">
      <c r="P8693" s="35">
        <v>168.2</v>
      </c>
      <c r="Q8693">
        <v>305</v>
      </c>
      <c r="R8693" s="34">
        <f t="shared" si="138"/>
        <v>0.98963907548682206</v>
      </c>
    </row>
    <row r="8694" spans="16:18" x14ac:dyDescent="0.3">
      <c r="P8694" s="35">
        <v>168.58</v>
      </c>
      <c r="Q8694">
        <v>305</v>
      </c>
      <c r="R8694" s="34">
        <f t="shared" si="138"/>
        <v>0.98975293180015467</v>
      </c>
    </row>
    <row r="8695" spans="16:18" x14ac:dyDescent="0.3">
      <c r="P8695" s="35">
        <v>169.24</v>
      </c>
      <c r="Q8695">
        <v>305</v>
      </c>
      <c r="R8695" s="34">
        <f t="shared" si="138"/>
        <v>0.98986678811348727</v>
      </c>
    </row>
    <row r="8696" spans="16:18" x14ac:dyDescent="0.3">
      <c r="P8696" s="35">
        <v>171.29</v>
      </c>
      <c r="Q8696">
        <v>305</v>
      </c>
      <c r="R8696" s="34">
        <f t="shared" si="138"/>
        <v>0.98998064442681988</v>
      </c>
    </row>
    <row r="8697" spans="16:18" x14ac:dyDescent="0.3">
      <c r="P8697" s="35">
        <v>172.76</v>
      </c>
      <c r="Q8697">
        <v>305</v>
      </c>
      <c r="R8697" s="34">
        <f t="shared" si="138"/>
        <v>0.99009450074015248</v>
      </c>
    </row>
    <row r="8698" spans="16:18" x14ac:dyDescent="0.3">
      <c r="P8698" s="35">
        <v>174.02</v>
      </c>
      <c r="Q8698">
        <v>305</v>
      </c>
      <c r="R8698" s="34">
        <f t="shared" si="138"/>
        <v>0.99020835705348509</v>
      </c>
    </row>
    <row r="8699" spans="16:18" x14ac:dyDescent="0.3">
      <c r="P8699" s="35">
        <v>174.08</v>
      </c>
      <c r="Q8699">
        <v>305</v>
      </c>
      <c r="R8699" s="34">
        <f t="shared" si="138"/>
        <v>0.99032221336681769</v>
      </c>
    </row>
    <row r="8700" spans="16:18" x14ac:dyDescent="0.3">
      <c r="P8700" s="35">
        <v>175.46</v>
      </c>
      <c r="Q8700">
        <v>305</v>
      </c>
      <c r="R8700" s="34">
        <f t="shared" si="138"/>
        <v>0.9904360696801503</v>
      </c>
    </row>
    <row r="8701" spans="16:18" x14ac:dyDescent="0.3">
      <c r="P8701" s="35">
        <v>175.78</v>
      </c>
      <c r="Q8701">
        <v>305</v>
      </c>
      <c r="R8701" s="34">
        <f t="shared" si="138"/>
        <v>0.9905499259934829</v>
      </c>
    </row>
    <row r="8702" spans="16:18" x14ac:dyDescent="0.3">
      <c r="P8702" s="35">
        <v>176.15</v>
      </c>
      <c r="Q8702">
        <v>305</v>
      </c>
      <c r="R8702" s="34">
        <f t="shared" si="138"/>
        <v>0.99066378230681551</v>
      </c>
    </row>
    <row r="8703" spans="16:18" x14ac:dyDescent="0.3">
      <c r="P8703" s="35">
        <v>176.75</v>
      </c>
      <c r="Q8703">
        <v>305</v>
      </c>
      <c r="R8703" s="34">
        <f t="shared" si="138"/>
        <v>0.99077763862014812</v>
      </c>
    </row>
    <row r="8704" spans="16:18" x14ac:dyDescent="0.3">
      <c r="P8704" s="35">
        <v>177.38</v>
      </c>
      <c r="Q8704">
        <v>305</v>
      </c>
      <c r="R8704" s="34">
        <f t="shared" si="138"/>
        <v>0.99089149493348072</v>
      </c>
    </row>
    <row r="8705" spans="16:18" x14ac:dyDescent="0.3">
      <c r="P8705" s="35">
        <v>177.5</v>
      </c>
      <c r="Q8705">
        <v>305</v>
      </c>
      <c r="R8705" s="34">
        <f t="shared" si="138"/>
        <v>0.99100535124681333</v>
      </c>
    </row>
    <row r="8706" spans="16:18" x14ac:dyDescent="0.3">
      <c r="P8706" s="35">
        <v>177.88</v>
      </c>
      <c r="Q8706">
        <v>305</v>
      </c>
      <c r="R8706" s="34">
        <f t="shared" si="138"/>
        <v>0.99111920756014593</v>
      </c>
    </row>
    <row r="8707" spans="16:18" x14ac:dyDescent="0.3">
      <c r="P8707" s="35">
        <v>178.26</v>
      </c>
      <c r="Q8707">
        <v>305</v>
      </c>
      <c r="R8707" s="34">
        <f t="shared" si="138"/>
        <v>0.99123306387347854</v>
      </c>
    </row>
    <row r="8708" spans="16:18" x14ac:dyDescent="0.3">
      <c r="P8708" s="35">
        <v>179.22</v>
      </c>
      <c r="Q8708">
        <v>305</v>
      </c>
      <c r="R8708" s="34">
        <f t="shared" ref="R8708:R8771" si="139">R8707+R$2</f>
        <v>0.99134692018681114</v>
      </c>
    </row>
    <row r="8709" spans="16:18" x14ac:dyDescent="0.3">
      <c r="P8709" s="35">
        <v>179.24</v>
      </c>
      <c r="Q8709">
        <v>305</v>
      </c>
      <c r="R8709" s="34">
        <f t="shared" si="139"/>
        <v>0.99146077650014375</v>
      </c>
    </row>
    <row r="8710" spans="16:18" x14ac:dyDescent="0.3">
      <c r="P8710" s="35">
        <v>183</v>
      </c>
      <c r="Q8710">
        <v>305</v>
      </c>
      <c r="R8710" s="34">
        <f t="shared" si="139"/>
        <v>0.99157463281347635</v>
      </c>
    </row>
    <row r="8711" spans="16:18" x14ac:dyDescent="0.3">
      <c r="P8711" s="35">
        <v>183.07</v>
      </c>
      <c r="Q8711">
        <v>305</v>
      </c>
      <c r="R8711" s="34">
        <f t="shared" si="139"/>
        <v>0.99168848912680896</v>
      </c>
    </row>
    <row r="8712" spans="16:18" x14ac:dyDescent="0.3">
      <c r="P8712" s="35">
        <v>183.58</v>
      </c>
      <c r="Q8712">
        <v>305</v>
      </c>
      <c r="R8712" s="34">
        <f t="shared" si="139"/>
        <v>0.99180234544014156</v>
      </c>
    </row>
    <row r="8713" spans="16:18" x14ac:dyDescent="0.3">
      <c r="P8713" s="35">
        <v>185.01</v>
      </c>
      <c r="Q8713">
        <v>305</v>
      </c>
      <c r="R8713" s="34">
        <f t="shared" si="139"/>
        <v>0.99191620175347417</v>
      </c>
    </row>
    <row r="8714" spans="16:18" x14ac:dyDescent="0.3">
      <c r="P8714" s="35">
        <v>186.51</v>
      </c>
      <c r="Q8714">
        <v>305</v>
      </c>
      <c r="R8714" s="34">
        <f t="shared" si="139"/>
        <v>0.99203005806680677</v>
      </c>
    </row>
    <row r="8715" spans="16:18" x14ac:dyDescent="0.3">
      <c r="P8715" s="35">
        <v>187.36</v>
      </c>
      <c r="Q8715">
        <v>305</v>
      </c>
      <c r="R8715" s="34">
        <f t="shared" si="139"/>
        <v>0.99214391438013938</v>
      </c>
    </row>
    <row r="8716" spans="16:18" x14ac:dyDescent="0.3">
      <c r="P8716" s="35">
        <v>187.55</v>
      </c>
      <c r="Q8716">
        <v>305</v>
      </c>
      <c r="R8716" s="34">
        <f t="shared" si="139"/>
        <v>0.99225777069347199</v>
      </c>
    </row>
    <row r="8717" spans="16:18" x14ac:dyDescent="0.3">
      <c r="P8717" s="35">
        <v>187.6</v>
      </c>
      <c r="Q8717">
        <v>305</v>
      </c>
      <c r="R8717" s="34">
        <f t="shared" si="139"/>
        <v>0.99237162700680459</v>
      </c>
    </row>
    <row r="8718" spans="16:18" x14ac:dyDescent="0.3">
      <c r="P8718" s="35">
        <v>187.66</v>
      </c>
      <c r="Q8718">
        <v>305</v>
      </c>
      <c r="R8718" s="34">
        <f t="shared" si="139"/>
        <v>0.9924854833201372</v>
      </c>
    </row>
    <row r="8719" spans="16:18" x14ac:dyDescent="0.3">
      <c r="P8719" s="35">
        <v>189.29</v>
      </c>
      <c r="Q8719">
        <v>305</v>
      </c>
      <c r="R8719" s="34">
        <f t="shared" si="139"/>
        <v>0.9925993396334698</v>
      </c>
    </row>
    <row r="8720" spans="16:18" x14ac:dyDescent="0.3">
      <c r="P8720" s="35">
        <v>189.65</v>
      </c>
      <c r="Q8720">
        <v>305</v>
      </c>
      <c r="R8720" s="34">
        <f t="shared" si="139"/>
        <v>0.99271319594680241</v>
      </c>
    </row>
    <row r="8721" spans="16:18" x14ac:dyDescent="0.3">
      <c r="P8721" s="35">
        <v>190.05</v>
      </c>
      <c r="Q8721">
        <v>305</v>
      </c>
      <c r="R8721" s="34">
        <f t="shared" si="139"/>
        <v>0.99282705226013501</v>
      </c>
    </row>
    <row r="8722" spans="16:18" x14ac:dyDescent="0.3">
      <c r="P8722" s="35">
        <v>191.73</v>
      </c>
      <c r="Q8722">
        <v>305</v>
      </c>
      <c r="R8722" s="34">
        <f t="shared" si="139"/>
        <v>0.99294090857346762</v>
      </c>
    </row>
    <row r="8723" spans="16:18" x14ac:dyDescent="0.3">
      <c r="P8723" s="35">
        <v>192.22</v>
      </c>
      <c r="Q8723">
        <v>305</v>
      </c>
      <c r="R8723" s="34">
        <f t="shared" si="139"/>
        <v>0.99305476488680022</v>
      </c>
    </row>
    <row r="8724" spans="16:18" x14ac:dyDescent="0.3">
      <c r="P8724" s="35">
        <v>192.39</v>
      </c>
      <c r="Q8724">
        <v>305</v>
      </c>
      <c r="R8724" s="34">
        <f t="shared" si="139"/>
        <v>0.99316862120013283</v>
      </c>
    </row>
    <row r="8725" spans="16:18" x14ac:dyDescent="0.3">
      <c r="P8725" s="35">
        <v>192.68</v>
      </c>
      <c r="Q8725">
        <v>305</v>
      </c>
      <c r="R8725" s="34">
        <f t="shared" si="139"/>
        <v>0.99328247751346543</v>
      </c>
    </row>
    <row r="8726" spans="16:18" x14ac:dyDescent="0.3">
      <c r="P8726" s="35">
        <v>193</v>
      </c>
      <c r="Q8726">
        <v>305</v>
      </c>
      <c r="R8726" s="34">
        <f t="shared" si="139"/>
        <v>0.99339633382679804</v>
      </c>
    </row>
    <row r="8727" spans="16:18" x14ac:dyDescent="0.3">
      <c r="P8727" s="35">
        <v>193.09</v>
      </c>
      <c r="Q8727">
        <v>305</v>
      </c>
      <c r="R8727" s="34">
        <f t="shared" si="139"/>
        <v>0.99351019014013064</v>
      </c>
    </row>
    <row r="8728" spans="16:18" x14ac:dyDescent="0.3">
      <c r="P8728" s="35">
        <v>193.92</v>
      </c>
      <c r="Q8728">
        <v>305</v>
      </c>
      <c r="R8728" s="34">
        <f t="shared" si="139"/>
        <v>0.99362404645346325</v>
      </c>
    </row>
    <row r="8729" spans="16:18" x14ac:dyDescent="0.3">
      <c r="P8729" s="35">
        <v>193.99</v>
      </c>
      <c r="Q8729">
        <v>305</v>
      </c>
      <c r="R8729" s="34">
        <f t="shared" si="139"/>
        <v>0.99373790276679586</v>
      </c>
    </row>
    <row r="8730" spans="16:18" x14ac:dyDescent="0.3">
      <c r="P8730" s="35">
        <v>195.32</v>
      </c>
      <c r="Q8730">
        <v>305</v>
      </c>
      <c r="R8730" s="34">
        <f t="shared" si="139"/>
        <v>0.99385175908012846</v>
      </c>
    </row>
    <row r="8731" spans="16:18" x14ac:dyDescent="0.3">
      <c r="P8731" s="35">
        <v>196.15</v>
      </c>
      <c r="Q8731">
        <v>305</v>
      </c>
      <c r="R8731" s="34">
        <f t="shared" si="139"/>
        <v>0.99396561539346107</v>
      </c>
    </row>
    <row r="8732" spans="16:18" x14ac:dyDescent="0.3">
      <c r="P8732" s="35">
        <v>196.25</v>
      </c>
      <c r="Q8732">
        <v>305</v>
      </c>
      <c r="R8732" s="34">
        <f t="shared" si="139"/>
        <v>0.99407947170679367</v>
      </c>
    </row>
    <row r="8733" spans="16:18" x14ac:dyDescent="0.3">
      <c r="P8733" s="35">
        <v>199.14</v>
      </c>
      <c r="Q8733">
        <v>305</v>
      </c>
      <c r="R8733" s="34">
        <f t="shared" si="139"/>
        <v>0.99419332802012628</v>
      </c>
    </row>
    <row r="8734" spans="16:18" x14ac:dyDescent="0.3">
      <c r="P8734" s="35">
        <v>200.23</v>
      </c>
      <c r="Q8734">
        <v>305</v>
      </c>
      <c r="R8734" s="34">
        <f t="shared" si="139"/>
        <v>0.99430718433345888</v>
      </c>
    </row>
    <row r="8735" spans="16:18" x14ac:dyDescent="0.3">
      <c r="P8735" s="35">
        <v>200.58</v>
      </c>
      <c r="Q8735">
        <v>305</v>
      </c>
      <c r="R8735" s="34">
        <f t="shared" si="139"/>
        <v>0.99442104064679149</v>
      </c>
    </row>
    <row r="8736" spans="16:18" x14ac:dyDescent="0.3">
      <c r="P8736" s="35">
        <v>200.78</v>
      </c>
      <c r="Q8736">
        <v>305</v>
      </c>
      <c r="R8736" s="34">
        <f t="shared" si="139"/>
        <v>0.99453489696012409</v>
      </c>
    </row>
    <row r="8737" spans="16:18" x14ac:dyDescent="0.3">
      <c r="P8737" s="35">
        <v>200.83</v>
      </c>
      <c r="Q8737">
        <v>305</v>
      </c>
      <c r="R8737" s="34">
        <f t="shared" si="139"/>
        <v>0.9946487532734567</v>
      </c>
    </row>
    <row r="8738" spans="16:18" x14ac:dyDescent="0.3">
      <c r="P8738" s="35">
        <v>200.85</v>
      </c>
      <c r="Q8738">
        <v>305</v>
      </c>
      <c r="R8738" s="34">
        <f t="shared" si="139"/>
        <v>0.9947626095867893</v>
      </c>
    </row>
    <row r="8739" spans="16:18" x14ac:dyDescent="0.3">
      <c r="P8739" s="35">
        <v>201.23</v>
      </c>
      <c r="Q8739">
        <v>305</v>
      </c>
      <c r="R8739" s="34">
        <f t="shared" si="139"/>
        <v>0.99487646590012191</v>
      </c>
    </row>
    <row r="8740" spans="16:18" x14ac:dyDescent="0.3">
      <c r="P8740" s="35">
        <v>203.74</v>
      </c>
      <c r="Q8740">
        <v>305</v>
      </c>
      <c r="R8740" s="34">
        <f t="shared" si="139"/>
        <v>0.99499032221345451</v>
      </c>
    </row>
    <row r="8741" spans="16:18" x14ac:dyDescent="0.3">
      <c r="P8741" s="35">
        <v>205.34</v>
      </c>
      <c r="Q8741">
        <v>305</v>
      </c>
      <c r="R8741" s="34">
        <f t="shared" si="139"/>
        <v>0.99510417852678712</v>
      </c>
    </row>
    <row r="8742" spans="16:18" x14ac:dyDescent="0.3">
      <c r="P8742" s="35">
        <v>208.98</v>
      </c>
      <c r="Q8742">
        <v>305</v>
      </c>
      <c r="R8742" s="34">
        <f t="shared" si="139"/>
        <v>0.99521803484011973</v>
      </c>
    </row>
    <row r="8743" spans="16:18" x14ac:dyDescent="0.3">
      <c r="P8743" s="35">
        <v>209.52</v>
      </c>
      <c r="Q8743">
        <v>305</v>
      </c>
      <c r="R8743" s="34">
        <f t="shared" si="139"/>
        <v>0.99533189115345233</v>
      </c>
    </row>
    <row r="8744" spans="16:18" x14ac:dyDescent="0.3">
      <c r="P8744" s="35">
        <v>211.53</v>
      </c>
      <c r="Q8744">
        <v>305</v>
      </c>
      <c r="R8744" s="34">
        <f t="shared" si="139"/>
        <v>0.99544574746678494</v>
      </c>
    </row>
    <row r="8745" spans="16:18" x14ac:dyDescent="0.3">
      <c r="P8745" s="35">
        <v>211.87</v>
      </c>
      <c r="Q8745">
        <v>305</v>
      </c>
      <c r="R8745" s="34">
        <f t="shared" si="139"/>
        <v>0.99555960378011754</v>
      </c>
    </row>
    <row r="8746" spans="16:18" x14ac:dyDescent="0.3">
      <c r="P8746" s="35">
        <v>218.5</v>
      </c>
      <c r="Q8746">
        <v>305</v>
      </c>
      <c r="R8746" s="34">
        <f t="shared" si="139"/>
        <v>0.99567346009345015</v>
      </c>
    </row>
    <row r="8747" spans="16:18" x14ac:dyDescent="0.3">
      <c r="P8747" s="35">
        <v>219.52</v>
      </c>
      <c r="Q8747">
        <v>305</v>
      </c>
      <c r="R8747" s="34">
        <f t="shared" si="139"/>
        <v>0.99578731640678275</v>
      </c>
    </row>
    <row r="8748" spans="16:18" x14ac:dyDescent="0.3">
      <c r="P8748" s="35">
        <v>220.76</v>
      </c>
      <c r="Q8748">
        <v>305</v>
      </c>
      <c r="R8748" s="34">
        <f t="shared" si="139"/>
        <v>0.99590117272011536</v>
      </c>
    </row>
    <row r="8749" spans="16:18" x14ac:dyDescent="0.3">
      <c r="P8749" s="35">
        <v>226.63</v>
      </c>
      <c r="Q8749">
        <v>305</v>
      </c>
      <c r="R8749" s="34">
        <f t="shared" si="139"/>
        <v>0.99601502903344796</v>
      </c>
    </row>
    <row r="8750" spans="16:18" x14ac:dyDescent="0.3">
      <c r="P8750" s="35">
        <v>227.32</v>
      </c>
      <c r="Q8750">
        <v>305</v>
      </c>
      <c r="R8750" s="34">
        <f t="shared" si="139"/>
        <v>0.99612888534678057</v>
      </c>
    </row>
    <row r="8751" spans="16:18" x14ac:dyDescent="0.3">
      <c r="P8751" s="35">
        <v>227.42</v>
      </c>
      <c r="Q8751">
        <v>305</v>
      </c>
      <c r="R8751" s="34">
        <f t="shared" si="139"/>
        <v>0.99624274166011317</v>
      </c>
    </row>
    <row r="8752" spans="16:18" x14ac:dyDescent="0.3">
      <c r="P8752" s="35">
        <v>227.65</v>
      </c>
      <c r="Q8752">
        <v>305</v>
      </c>
      <c r="R8752" s="34">
        <f t="shared" si="139"/>
        <v>0.99635659797344578</v>
      </c>
    </row>
    <row r="8753" spans="16:18" x14ac:dyDescent="0.3">
      <c r="P8753" s="35">
        <v>228.48</v>
      </c>
      <c r="Q8753">
        <v>305</v>
      </c>
      <c r="R8753" s="34">
        <f t="shared" si="139"/>
        <v>0.99647045428677838</v>
      </c>
    </row>
    <row r="8754" spans="16:18" x14ac:dyDescent="0.3">
      <c r="P8754" s="35">
        <v>229.69</v>
      </c>
      <c r="Q8754">
        <v>305</v>
      </c>
      <c r="R8754" s="34">
        <f t="shared" si="139"/>
        <v>0.99658431060011099</v>
      </c>
    </row>
    <row r="8755" spans="16:18" x14ac:dyDescent="0.3">
      <c r="P8755" s="35">
        <v>229.8</v>
      </c>
      <c r="Q8755">
        <v>305</v>
      </c>
      <c r="R8755" s="34">
        <f t="shared" si="139"/>
        <v>0.9966981669134436</v>
      </c>
    </row>
    <row r="8756" spans="16:18" x14ac:dyDescent="0.3">
      <c r="P8756" s="35">
        <v>233.67</v>
      </c>
      <c r="Q8756">
        <v>305</v>
      </c>
      <c r="R8756" s="34">
        <f t="shared" si="139"/>
        <v>0.9968120232267762</v>
      </c>
    </row>
    <row r="8757" spans="16:18" x14ac:dyDescent="0.3">
      <c r="P8757" s="35">
        <v>236.66</v>
      </c>
      <c r="Q8757">
        <v>305</v>
      </c>
      <c r="R8757" s="34">
        <f t="shared" si="139"/>
        <v>0.99692587954010881</v>
      </c>
    </row>
    <row r="8758" spans="16:18" x14ac:dyDescent="0.3">
      <c r="P8758" s="35">
        <v>239.17</v>
      </c>
      <c r="Q8758">
        <v>305</v>
      </c>
      <c r="R8758" s="34">
        <f t="shared" si="139"/>
        <v>0.99703973585344141</v>
      </c>
    </row>
    <row r="8759" spans="16:18" x14ac:dyDescent="0.3">
      <c r="P8759" s="35">
        <v>240.72</v>
      </c>
      <c r="Q8759">
        <v>305</v>
      </c>
      <c r="R8759" s="34">
        <f t="shared" si="139"/>
        <v>0.99715359216677402</v>
      </c>
    </row>
    <row r="8760" spans="16:18" x14ac:dyDescent="0.3">
      <c r="P8760" s="35">
        <v>241.56</v>
      </c>
      <c r="Q8760">
        <v>305</v>
      </c>
      <c r="R8760" s="34">
        <f t="shared" si="139"/>
        <v>0.99726744848010662</v>
      </c>
    </row>
    <row r="8761" spans="16:18" x14ac:dyDescent="0.3">
      <c r="P8761" s="35">
        <v>249.87</v>
      </c>
      <c r="Q8761">
        <v>305</v>
      </c>
      <c r="R8761" s="34">
        <f t="shared" si="139"/>
        <v>0.99738130479343923</v>
      </c>
    </row>
    <row r="8762" spans="16:18" x14ac:dyDescent="0.3">
      <c r="P8762" s="35">
        <v>253.6</v>
      </c>
      <c r="Q8762">
        <v>305</v>
      </c>
      <c r="R8762" s="34">
        <f t="shared" si="139"/>
        <v>0.99749516110677183</v>
      </c>
    </row>
    <row r="8763" spans="16:18" x14ac:dyDescent="0.3">
      <c r="P8763" s="35">
        <v>254.39</v>
      </c>
      <c r="Q8763">
        <v>305</v>
      </c>
      <c r="R8763" s="34">
        <f t="shared" si="139"/>
        <v>0.99760901742010444</v>
      </c>
    </row>
    <row r="8764" spans="16:18" x14ac:dyDescent="0.3">
      <c r="P8764" s="35">
        <v>255.15</v>
      </c>
      <c r="Q8764">
        <v>305</v>
      </c>
      <c r="R8764" s="34">
        <f t="shared" si="139"/>
        <v>0.99772287373343704</v>
      </c>
    </row>
    <row r="8765" spans="16:18" x14ac:dyDescent="0.3">
      <c r="P8765" s="35">
        <v>260.64</v>
      </c>
      <c r="Q8765">
        <v>305</v>
      </c>
      <c r="R8765" s="34">
        <f t="shared" si="139"/>
        <v>0.99783673004676965</v>
      </c>
    </row>
    <row r="8766" spans="16:18" x14ac:dyDescent="0.3">
      <c r="P8766" s="35">
        <v>261.23</v>
      </c>
      <c r="Q8766">
        <v>305</v>
      </c>
      <c r="R8766" s="34">
        <f t="shared" si="139"/>
        <v>0.99795058636010225</v>
      </c>
    </row>
    <row r="8767" spans="16:18" x14ac:dyDescent="0.3">
      <c r="P8767" s="35">
        <v>261.37</v>
      </c>
      <c r="Q8767">
        <v>305</v>
      </c>
      <c r="R8767" s="34">
        <f t="shared" si="139"/>
        <v>0.99806444267343486</v>
      </c>
    </row>
    <row r="8768" spans="16:18" x14ac:dyDescent="0.3">
      <c r="P8768" s="35">
        <v>262.04000000000002</v>
      </c>
      <c r="Q8768">
        <v>305</v>
      </c>
      <c r="R8768" s="34">
        <f t="shared" si="139"/>
        <v>0.99817829898676746</v>
      </c>
    </row>
    <row r="8769" spans="16:18" x14ac:dyDescent="0.3">
      <c r="P8769" s="35">
        <v>265.76</v>
      </c>
      <c r="Q8769">
        <v>305</v>
      </c>
      <c r="R8769" s="34">
        <f t="shared" si="139"/>
        <v>0.99829215530010007</v>
      </c>
    </row>
    <row r="8770" spans="16:18" x14ac:dyDescent="0.3">
      <c r="P8770" s="35">
        <v>266.45999999999998</v>
      </c>
      <c r="Q8770">
        <v>305</v>
      </c>
      <c r="R8770" s="34">
        <f t="shared" si="139"/>
        <v>0.99840601161343268</v>
      </c>
    </row>
    <row r="8771" spans="16:18" x14ac:dyDescent="0.3">
      <c r="P8771" s="35">
        <v>267.42</v>
      </c>
      <c r="Q8771">
        <v>305</v>
      </c>
      <c r="R8771" s="34">
        <f t="shared" si="139"/>
        <v>0.99851986792676528</v>
      </c>
    </row>
    <row r="8772" spans="16:18" x14ac:dyDescent="0.3">
      <c r="P8772" s="35">
        <v>284.48</v>
      </c>
      <c r="Q8772">
        <v>305</v>
      </c>
      <c r="R8772" s="34">
        <f t="shared" ref="R8772:R8784" si="140">R8771+R$2</f>
        <v>0.99863372424009789</v>
      </c>
    </row>
    <row r="8773" spans="16:18" x14ac:dyDescent="0.3">
      <c r="P8773" s="35">
        <v>285.49</v>
      </c>
      <c r="Q8773">
        <v>305</v>
      </c>
      <c r="R8773" s="34">
        <f t="shared" si="140"/>
        <v>0.99874758055343049</v>
      </c>
    </row>
    <row r="8774" spans="16:18" x14ac:dyDescent="0.3">
      <c r="P8774" s="35">
        <v>289.02</v>
      </c>
      <c r="Q8774">
        <v>305</v>
      </c>
      <c r="R8774" s="34">
        <f t="shared" si="140"/>
        <v>0.9988614368667631</v>
      </c>
    </row>
    <row r="8775" spans="16:18" x14ac:dyDescent="0.3">
      <c r="P8775" s="35">
        <v>307.33</v>
      </c>
      <c r="Q8775">
        <v>305</v>
      </c>
      <c r="R8775" s="34">
        <f t="shared" si="140"/>
        <v>0.9989752931800957</v>
      </c>
    </row>
    <row r="8776" spans="16:18" x14ac:dyDescent="0.3">
      <c r="P8776" s="35">
        <v>313.95999999999998</v>
      </c>
      <c r="Q8776">
        <v>305</v>
      </c>
      <c r="R8776" s="34">
        <f t="shared" si="140"/>
        <v>0.99908914949342831</v>
      </c>
    </row>
    <row r="8777" spans="16:18" x14ac:dyDescent="0.3">
      <c r="P8777" s="35">
        <v>342.26</v>
      </c>
      <c r="Q8777">
        <v>305</v>
      </c>
      <c r="R8777" s="34">
        <f t="shared" si="140"/>
        <v>0.99920300580676091</v>
      </c>
    </row>
    <row r="8778" spans="16:18" x14ac:dyDescent="0.3">
      <c r="P8778" s="35">
        <v>386.39</v>
      </c>
      <c r="Q8778">
        <v>305</v>
      </c>
      <c r="R8778" s="34">
        <f t="shared" si="140"/>
        <v>0.99931686212009352</v>
      </c>
    </row>
    <row r="8779" spans="16:18" x14ac:dyDescent="0.3">
      <c r="P8779" s="35">
        <v>432.72</v>
      </c>
      <c r="Q8779">
        <v>305</v>
      </c>
      <c r="R8779" s="34">
        <f t="shared" si="140"/>
        <v>0.99943071843342612</v>
      </c>
    </row>
    <row r="8780" spans="16:18" x14ac:dyDescent="0.3">
      <c r="P8780" s="35">
        <v>513.45000000000005</v>
      </c>
      <c r="Q8780">
        <v>305</v>
      </c>
      <c r="R8780" s="34">
        <f t="shared" si="140"/>
        <v>0.99954457474675873</v>
      </c>
    </row>
    <row r="8781" spans="16:18" x14ac:dyDescent="0.3">
      <c r="P8781" s="35">
        <v>683.56</v>
      </c>
      <c r="Q8781">
        <v>305</v>
      </c>
      <c r="R8781" s="34">
        <f t="shared" si="140"/>
        <v>0.99965843106009133</v>
      </c>
    </row>
    <row r="8782" spans="16:18" x14ac:dyDescent="0.3">
      <c r="P8782" s="35">
        <v>771.25</v>
      </c>
      <c r="Q8782">
        <v>305</v>
      </c>
      <c r="R8782" s="34">
        <f t="shared" si="140"/>
        <v>0.99977228737342394</v>
      </c>
    </row>
    <row r="8783" spans="16:18" x14ac:dyDescent="0.3">
      <c r="P8783" s="35">
        <v>1137.68</v>
      </c>
      <c r="Q8783">
        <v>305</v>
      </c>
      <c r="R8783" s="34">
        <f t="shared" si="140"/>
        <v>0.99988614368675655</v>
      </c>
    </row>
    <row r="8784" spans="16:18" x14ac:dyDescent="0.3">
      <c r="P8784" s="35">
        <v>2173.15</v>
      </c>
      <c r="Q8784">
        <v>305</v>
      </c>
      <c r="R8784" s="34">
        <f t="shared" si="140"/>
        <v>1.000000000000089</v>
      </c>
    </row>
    <row r="8785" spans="16:18" x14ac:dyDescent="0.3">
      <c r="P8785" s="35">
        <v>2173.15</v>
      </c>
      <c r="Q8785">
        <v>305</v>
      </c>
      <c r="R8785" s="3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691B2-3BF9-47DA-A244-29DDF4DA13E7}">
  <dimension ref="A1:N28"/>
  <sheetViews>
    <sheetView workbookViewId="0">
      <selection activeCell="J3" sqref="J3:N28"/>
    </sheetView>
  </sheetViews>
  <sheetFormatPr defaultRowHeight="14.4" x14ac:dyDescent="0.3"/>
  <sheetData>
    <row r="1" spans="1:14" x14ac:dyDescent="0.3">
      <c r="F1" t="s">
        <v>202</v>
      </c>
      <c r="J1" t="s">
        <v>218</v>
      </c>
      <c r="L1">
        <v>2173.15</v>
      </c>
      <c r="M1">
        <v>57</v>
      </c>
    </row>
    <row r="2" spans="1:14" x14ac:dyDescent="0.3">
      <c r="A2" t="s">
        <v>199</v>
      </c>
      <c r="B2" t="s">
        <v>200</v>
      </c>
      <c r="C2" t="s">
        <v>211</v>
      </c>
      <c r="D2" t="s">
        <v>212</v>
      </c>
      <c r="E2" t="s">
        <v>201</v>
      </c>
      <c r="F2" t="s">
        <v>203</v>
      </c>
      <c r="G2" t="s">
        <v>204</v>
      </c>
    </row>
    <row r="3" spans="1:14" x14ac:dyDescent="0.3">
      <c r="A3">
        <v>0</v>
      </c>
      <c r="B3">
        <v>54.15</v>
      </c>
      <c r="C3">
        <v>34</v>
      </c>
      <c r="D3">
        <v>38</v>
      </c>
      <c r="E3">
        <v>0</v>
      </c>
      <c r="F3" s="3">
        <v>0</v>
      </c>
      <c r="G3" s="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1</v>
      </c>
      <c r="B4">
        <v>33.5</v>
      </c>
      <c r="C4">
        <v>32</v>
      </c>
      <c r="D4">
        <v>38</v>
      </c>
      <c r="E4">
        <v>0</v>
      </c>
      <c r="F4" s="3">
        <v>0</v>
      </c>
      <c r="G4" s="3">
        <v>0</v>
      </c>
      <c r="J4">
        <v>0</v>
      </c>
      <c r="K4" s="20">
        <f>B3/L$1</f>
        <v>2.4917746128891239E-2</v>
      </c>
      <c r="L4" s="20">
        <f>C3/M$1</f>
        <v>0.59649122807017541</v>
      </c>
      <c r="M4" s="20">
        <f>D3/M$1</f>
        <v>0.66666666666666663</v>
      </c>
      <c r="N4">
        <v>0</v>
      </c>
    </row>
    <row r="5" spans="1:14" x14ac:dyDescent="0.3">
      <c r="A5">
        <v>2</v>
      </c>
      <c r="B5">
        <v>31.46</v>
      </c>
      <c r="C5">
        <v>31</v>
      </c>
      <c r="D5">
        <v>35</v>
      </c>
      <c r="E5">
        <v>0</v>
      </c>
      <c r="F5" s="3">
        <v>0</v>
      </c>
      <c r="G5" s="3">
        <v>0</v>
      </c>
      <c r="J5">
        <v>1</v>
      </c>
      <c r="K5" s="20">
        <f t="shared" ref="K5:K28" si="0">B4/L$1</f>
        <v>1.5415410809194027E-2</v>
      </c>
      <c r="L5" s="20">
        <f t="shared" ref="L5:L28" si="1">C4/M$1</f>
        <v>0.56140350877192979</v>
      </c>
      <c r="M5" s="20">
        <f t="shared" ref="M5:M28" si="2">D4/M$1</f>
        <v>0.66666666666666663</v>
      </c>
      <c r="N5">
        <v>0</v>
      </c>
    </row>
    <row r="6" spans="1:14" x14ac:dyDescent="0.3">
      <c r="A6">
        <v>3</v>
      </c>
      <c r="B6">
        <v>31.8</v>
      </c>
      <c r="C6">
        <v>30</v>
      </c>
      <c r="D6">
        <v>33</v>
      </c>
      <c r="E6">
        <v>0</v>
      </c>
      <c r="F6" s="3">
        <v>0</v>
      </c>
      <c r="G6" s="3">
        <v>0</v>
      </c>
      <c r="J6">
        <v>2</v>
      </c>
      <c r="K6" s="20">
        <f t="shared" si="0"/>
        <v>1.4476681315141614E-2</v>
      </c>
      <c r="L6" s="20">
        <f t="shared" si="1"/>
        <v>0.54385964912280704</v>
      </c>
      <c r="M6" s="20">
        <f t="shared" si="2"/>
        <v>0.61403508771929827</v>
      </c>
      <c r="N6">
        <v>0</v>
      </c>
    </row>
    <row r="7" spans="1:14" x14ac:dyDescent="0.3">
      <c r="A7">
        <v>4</v>
      </c>
      <c r="B7">
        <v>34.94</v>
      </c>
      <c r="C7">
        <v>30</v>
      </c>
      <c r="D7">
        <v>32</v>
      </c>
      <c r="E7">
        <v>0</v>
      </c>
      <c r="F7" s="3">
        <v>0</v>
      </c>
      <c r="G7" s="3">
        <v>0</v>
      </c>
      <c r="J7">
        <v>3</v>
      </c>
      <c r="K7" s="20">
        <f t="shared" si="0"/>
        <v>1.4633136230817016E-2</v>
      </c>
      <c r="L7" s="20">
        <f t="shared" si="1"/>
        <v>0.52631578947368418</v>
      </c>
      <c r="M7" s="20">
        <f t="shared" si="2"/>
        <v>0.57894736842105265</v>
      </c>
      <c r="N7">
        <v>0</v>
      </c>
    </row>
    <row r="8" spans="1:14" x14ac:dyDescent="0.3">
      <c r="A8">
        <v>5</v>
      </c>
      <c r="B8">
        <v>30.88</v>
      </c>
      <c r="C8">
        <v>29</v>
      </c>
      <c r="D8">
        <v>32</v>
      </c>
      <c r="E8">
        <v>0</v>
      </c>
      <c r="F8" s="3">
        <v>0</v>
      </c>
      <c r="G8" s="3">
        <v>0</v>
      </c>
      <c r="J8">
        <v>4</v>
      </c>
      <c r="K8" s="20">
        <f t="shared" si="0"/>
        <v>1.6078043393231021E-2</v>
      </c>
      <c r="L8" s="20">
        <f t="shared" si="1"/>
        <v>0.52631578947368418</v>
      </c>
      <c r="M8" s="20">
        <f t="shared" si="2"/>
        <v>0.56140350877192979</v>
      </c>
      <c r="N8">
        <v>0</v>
      </c>
    </row>
    <row r="9" spans="1:14" x14ac:dyDescent="0.3">
      <c r="A9">
        <v>6</v>
      </c>
      <c r="B9">
        <v>41.91</v>
      </c>
      <c r="C9">
        <v>31</v>
      </c>
      <c r="D9">
        <v>32</v>
      </c>
      <c r="E9">
        <v>0</v>
      </c>
      <c r="F9" s="3">
        <v>0</v>
      </c>
      <c r="G9" s="3">
        <v>0</v>
      </c>
      <c r="J9">
        <v>5</v>
      </c>
      <c r="K9" s="20">
        <f t="shared" si="0"/>
        <v>1.4209787635460045E-2</v>
      </c>
      <c r="L9" s="20">
        <f t="shared" si="1"/>
        <v>0.50877192982456143</v>
      </c>
      <c r="M9" s="20">
        <f t="shared" si="2"/>
        <v>0.56140350877192979</v>
      </c>
      <c r="N9">
        <v>0</v>
      </c>
    </row>
    <row r="10" spans="1:14" x14ac:dyDescent="0.3">
      <c r="A10">
        <v>7</v>
      </c>
      <c r="B10">
        <v>53.33</v>
      </c>
      <c r="C10">
        <v>35</v>
      </c>
      <c r="D10">
        <v>36</v>
      </c>
      <c r="E10">
        <v>0</v>
      </c>
      <c r="F10" s="3">
        <v>0</v>
      </c>
      <c r="G10" s="3">
        <v>0</v>
      </c>
      <c r="J10">
        <v>6</v>
      </c>
      <c r="K10" s="20">
        <f t="shared" si="0"/>
        <v>1.9285369164576766E-2</v>
      </c>
      <c r="L10" s="20">
        <f t="shared" si="1"/>
        <v>0.54385964912280704</v>
      </c>
      <c r="M10" s="20">
        <f t="shared" si="2"/>
        <v>0.56140350877192979</v>
      </c>
      <c r="N10">
        <v>0</v>
      </c>
    </row>
    <row r="11" spans="1:14" x14ac:dyDescent="0.3">
      <c r="A11">
        <v>8</v>
      </c>
      <c r="B11">
        <v>44.61</v>
      </c>
      <c r="C11">
        <v>37</v>
      </c>
      <c r="D11">
        <v>41</v>
      </c>
      <c r="E11">
        <v>0</v>
      </c>
      <c r="F11" s="3">
        <v>0</v>
      </c>
      <c r="G11" s="3">
        <v>0</v>
      </c>
      <c r="J11">
        <v>7</v>
      </c>
      <c r="K11" s="20">
        <f t="shared" si="0"/>
        <v>2.4540413685203506E-2</v>
      </c>
      <c r="L11" s="20">
        <f t="shared" si="1"/>
        <v>0.61403508771929827</v>
      </c>
      <c r="M11" s="20">
        <f t="shared" si="2"/>
        <v>0.63157894736842102</v>
      </c>
      <c r="N11">
        <v>0</v>
      </c>
    </row>
    <row r="12" spans="1:14" x14ac:dyDescent="0.3">
      <c r="A12">
        <v>9</v>
      </c>
      <c r="B12">
        <v>48.83</v>
      </c>
      <c r="C12">
        <v>41</v>
      </c>
      <c r="D12">
        <v>45</v>
      </c>
      <c r="E12">
        <v>0</v>
      </c>
      <c r="F12" s="3">
        <v>0</v>
      </c>
      <c r="G12" s="3">
        <v>0</v>
      </c>
      <c r="J12">
        <v>8</v>
      </c>
      <c r="K12" s="20">
        <f t="shared" si="0"/>
        <v>2.0527805259646134E-2</v>
      </c>
      <c r="L12" s="20">
        <f t="shared" si="1"/>
        <v>0.64912280701754388</v>
      </c>
      <c r="M12" s="20">
        <f t="shared" si="2"/>
        <v>0.7192982456140351</v>
      </c>
      <c r="N12">
        <v>0</v>
      </c>
    </row>
    <row r="13" spans="1:14" x14ac:dyDescent="0.3">
      <c r="A13">
        <v>10</v>
      </c>
      <c r="B13">
        <v>39.33</v>
      </c>
      <c r="C13">
        <v>43</v>
      </c>
      <c r="D13">
        <v>46</v>
      </c>
      <c r="E13">
        <v>0</v>
      </c>
      <c r="F13" s="3">
        <v>0</v>
      </c>
      <c r="G13" s="3">
        <v>0</v>
      </c>
      <c r="J13">
        <v>9</v>
      </c>
      <c r="K13" s="20">
        <f t="shared" si="0"/>
        <v>2.2469686860087889E-2</v>
      </c>
      <c r="L13" s="20">
        <f t="shared" si="1"/>
        <v>0.7192982456140351</v>
      </c>
      <c r="M13" s="20">
        <f t="shared" si="2"/>
        <v>0.78947368421052633</v>
      </c>
      <c r="N13">
        <v>0</v>
      </c>
    </row>
    <row r="14" spans="1:14" x14ac:dyDescent="0.3">
      <c r="A14">
        <v>11</v>
      </c>
      <c r="B14">
        <v>59.71</v>
      </c>
      <c r="C14">
        <v>45</v>
      </c>
      <c r="D14">
        <v>47</v>
      </c>
      <c r="E14">
        <v>0</v>
      </c>
      <c r="F14" s="3">
        <v>0</v>
      </c>
      <c r="G14" s="3">
        <v>0</v>
      </c>
      <c r="J14">
        <v>10</v>
      </c>
      <c r="K14" s="20">
        <f t="shared" si="0"/>
        <v>1.8098152451510478E-2</v>
      </c>
      <c r="L14" s="20">
        <f t="shared" si="1"/>
        <v>0.75438596491228072</v>
      </c>
      <c r="M14" s="20">
        <f t="shared" si="2"/>
        <v>0.80701754385964908</v>
      </c>
      <c r="N14">
        <v>0</v>
      </c>
    </row>
    <row r="15" spans="1:14" x14ac:dyDescent="0.3">
      <c r="A15">
        <v>12</v>
      </c>
      <c r="B15">
        <v>109.72</v>
      </c>
      <c r="C15">
        <v>46</v>
      </c>
      <c r="D15">
        <v>49</v>
      </c>
      <c r="E15">
        <v>0</v>
      </c>
      <c r="F15" s="3">
        <v>0.833569</v>
      </c>
      <c r="G15" s="3">
        <v>3.6439678460090399E-2</v>
      </c>
      <c r="J15">
        <v>11</v>
      </c>
      <c r="K15" s="20">
        <f t="shared" si="0"/>
        <v>2.7476244161700757E-2</v>
      </c>
      <c r="L15" s="20">
        <f t="shared" si="1"/>
        <v>0.78947368421052633</v>
      </c>
      <c r="M15" s="20">
        <f t="shared" si="2"/>
        <v>0.82456140350877194</v>
      </c>
      <c r="N15">
        <v>0</v>
      </c>
    </row>
    <row r="16" spans="1:14" x14ac:dyDescent="0.3">
      <c r="A16">
        <v>13</v>
      </c>
      <c r="B16">
        <v>75.17</v>
      </c>
      <c r="C16">
        <v>46</v>
      </c>
      <c r="D16">
        <v>50</v>
      </c>
      <c r="E16">
        <v>0</v>
      </c>
      <c r="F16" s="3">
        <v>0</v>
      </c>
      <c r="G16" s="3">
        <v>0</v>
      </c>
      <c r="J16">
        <v>12</v>
      </c>
      <c r="K16" s="20">
        <f t="shared" si="0"/>
        <v>5.0488921611485632E-2</v>
      </c>
      <c r="L16" s="20">
        <f t="shared" si="1"/>
        <v>0.80701754385964908</v>
      </c>
      <c r="M16" s="20">
        <f t="shared" si="2"/>
        <v>0.85964912280701755</v>
      </c>
      <c r="N16">
        <v>0</v>
      </c>
    </row>
    <row r="17" spans="1:14" x14ac:dyDescent="0.3">
      <c r="A17">
        <v>14</v>
      </c>
      <c r="B17">
        <v>81.96</v>
      </c>
      <c r="C17">
        <v>47</v>
      </c>
      <c r="D17">
        <v>51</v>
      </c>
      <c r="E17">
        <v>0</v>
      </c>
      <c r="F17" s="3">
        <v>0</v>
      </c>
      <c r="G17" s="3">
        <v>0</v>
      </c>
      <c r="J17">
        <v>13</v>
      </c>
      <c r="K17" s="20">
        <f t="shared" si="0"/>
        <v>3.4590341209764626E-2</v>
      </c>
      <c r="L17" s="20">
        <f t="shared" si="1"/>
        <v>0.80701754385964908</v>
      </c>
      <c r="M17" s="20">
        <f t="shared" si="2"/>
        <v>0.8771929824561403</v>
      </c>
      <c r="N17">
        <v>0</v>
      </c>
    </row>
    <row r="18" spans="1:14" x14ac:dyDescent="0.3">
      <c r="A18">
        <v>15</v>
      </c>
      <c r="B18">
        <v>94.78</v>
      </c>
      <c r="C18">
        <v>49</v>
      </c>
      <c r="D18">
        <v>53</v>
      </c>
      <c r="E18">
        <v>0</v>
      </c>
      <c r="F18" s="3">
        <v>0</v>
      </c>
      <c r="G18" s="3">
        <v>0</v>
      </c>
      <c r="J18">
        <v>14</v>
      </c>
      <c r="K18" s="20">
        <f t="shared" si="0"/>
        <v>3.7714837908105737E-2</v>
      </c>
      <c r="L18" s="20">
        <f t="shared" si="1"/>
        <v>0.82456140350877194</v>
      </c>
      <c r="M18" s="20">
        <f t="shared" si="2"/>
        <v>0.89473684210526316</v>
      </c>
      <c r="N18">
        <v>0</v>
      </c>
    </row>
    <row r="19" spans="1:14" x14ac:dyDescent="0.3">
      <c r="A19">
        <v>16</v>
      </c>
      <c r="B19">
        <v>260.64</v>
      </c>
      <c r="C19">
        <v>51</v>
      </c>
      <c r="D19">
        <v>54</v>
      </c>
      <c r="E19">
        <v>0</v>
      </c>
      <c r="F19" s="3">
        <v>1</v>
      </c>
      <c r="G19" s="3">
        <v>1</v>
      </c>
      <c r="J19">
        <v>15</v>
      </c>
      <c r="K19" s="20">
        <f t="shared" si="0"/>
        <v>4.3614108552101787E-2</v>
      </c>
      <c r="L19" s="20">
        <f t="shared" si="1"/>
        <v>0.85964912280701755</v>
      </c>
      <c r="M19" s="20">
        <f t="shared" si="2"/>
        <v>0.92982456140350878</v>
      </c>
      <c r="N19">
        <v>0</v>
      </c>
    </row>
    <row r="20" spans="1:14" x14ac:dyDescent="0.3">
      <c r="A20">
        <v>17</v>
      </c>
      <c r="B20">
        <v>1137.68</v>
      </c>
      <c r="C20">
        <v>53</v>
      </c>
      <c r="D20">
        <v>57</v>
      </c>
      <c r="E20">
        <v>1</v>
      </c>
      <c r="F20" s="3">
        <v>1</v>
      </c>
      <c r="G20" s="3">
        <v>1</v>
      </c>
      <c r="J20">
        <v>16</v>
      </c>
      <c r="K20" s="20">
        <f t="shared" si="0"/>
        <v>0.11993649771069645</v>
      </c>
      <c r="L20" s="20">
        <f t="shared" si="1"/>
        <v>0.89473684210526316</v>
      </c>
      <c r="M20" s="20">
        <f t="shared" si="2"/>
        <v>0.94736842105263153</v>
      </c>
      <c r="N20">
        <v>0</v>
      </c>
    </row>
    <row r="21" spans="1:14" x14ac:dyDescent="0.3">
      <c r="A21">
        <v>18</v>
      </c>
      <c r="B21">
        <v>2173.15</v>
      </c>
      <c r="C21">
        <v>54</v>
      </c>
      <c r="D21">
        <v>57</v>
      </c>
      <c r="E21">
        <v>1</v>
      </c>
      <c r="F21" s="3">
        <v>1</v>
      </c>
      <c r="G21" s="3">
        <v>1</v>
      </c>
      <c r="J21">
        <v>17</v>
      </c>
      <c r="K21" s="20">
        <f t="shared" si="0"/>
        <v>0.52351655431056299</v>
      </c>
      <c r="L21" s="20">
        <f t="shared" si="1"/>
        <v>0.92982456140350878</v>
      </c>
      <c r="M21" s="20">
        <f t="shared" si="2"/>
        <v>1</v>
      </c>
      <c r="N21">
        <v>1</v>
      </c>
    </row>
    <row r="22" spans="1:14" x14ac:dyDescent="0.3">
      <c r="A22">
        <v>19</v>
      </c>
      <c r="B22">
        <v>683.56</v>
      </c>
      <c r="C22">
        <v>53</v>
      </c>
      <c r="D22">
        <v>55</v>
      </c>
      <c r="E22">
        <v>1</v>
      </c>
      <c r="F22" s="3">
        <v>1</v>
      </c>
      <c r="G22" s="3">
        <v>1</v>
      </c>
      <c r="J22">
        <v>18</v>
      </c>
      <c r="K22" s="20">
        <f t="shared" si="0"/>
        <v>1</v>
      </c>
      <c r="L22" s="20">
        <f t="shared" si="1"/>
        <v>0.94736842105263153</v>
      </c>
      <c r="M22" s="20">
        <f t="shared" si="2"/>
        <v>1</v>
      </c>
      <c r="N22">
        <v>1</v>
      </c>
    </row>
    <row r="23" spans="1:14" x14ac:dyDescent="0.3">
      <c r="A23">
        <v>20</v>
      </c>
      <c r="B23">
        <v>307.33</v>
      </c>
      <c r="C23">
        <v>49</v>
      </c>
      <c r="D23">
        <v>53</v>
      </c>
      <c r="E23">
        <v>0</v>
      </c>
      <c r="F23" s="3">
        <v>1</v>
      </c>
      <c r="G23" s="3">
        <v>1</v>
      </c>
      <c r="J23">
        <v>19</v>
      </c>
      <c r="K23" s="20">
        <f t="shared" si="0"/>
        <v>0.31454800635022889</v>
      </c>
      <c r="L23" s="20">
        <f t="shared" si="1"/>
        <v>0.92982456140350878</v>
      </c>
      <c r="M23" s="20">
        <f t="shared" si="2"/>
        <v>0.96491228070175439</v>
      </c>
      <c r="N23">
        <v>1</v>
      </c>
    </row>
    <row r="24" spans="1:14" x14ac:dyDescent="0.3">
      <c r="A24">
        <v>21</v>
      </c>
      <c r="B24">
        <v>200.58</v>
      </c>
      <c r="C24">
        <v>48</v>
      </c>
      <c r="D24">
        <v>51</v>
      </c>
      <c r="E24">
        <v>0</v>
      </c>
      <c r="F24" s="3">
        <v>1</v>
      </c>
      <c r="G24" s="3">
        <v>0.87291445081157004</v>
      </c>
      <c r="J24">
        <v>20</v>
      </c>
      <c r="K24" s="20">
        <f t="shared" si="0"/>
        <v>0.14142143892506268</v>
      </c>
      <c r="L24" s="20">
        <f t="shared" si="1"/>
        <v>0.85964912280701755</v>
      </c>
      <c r="M24" s="20">
        <f t="shared" si="2"/>
        <v>0.92982456140350878</v>
      </c>
      <c r="N24">
        <v>0</v>
      </c>
    </row>
    <row r="25" spans="1:14" x14ac:dyDescent="0.3">
      <c r="A25">
        <v>22</v>
      </c>
      <c r="B25">
        <v>95.77</v>
      </c>
      <c r="C25">
        <v>45</v>
      </c>
      <c r="D25">
        <v>48</v>
      </c>
      <c r="E25">
        <v>0</v>
      </c>
      <c r="F25" s="3">
        <v>0</v>
      </c>
      <c r="G25" s="3">
        <v>0</v>
      </c>
      <c r="J25">
        <v>21</v>
      </c>
      <c r="K25" s="20">
        <f t="shared" si="0"/>
        <v>9.2299197018153367E-2</v>
      </c>
      <c r="L25" s="20">
        <f t="shared" si="1"/>
        <v>0.84210526315789469</v>
      </c>
      <c r="M25" s="20">
        <f t="shared" si="2"/>
        <v>0.89473684210526316</v>
      </c>
      <c r="N25">
        <v>0</v>
      </c>
    </row>
    <row r="26" spans="1:14" x14ac:dyDescent="0.3">
      <c r="A26">
        <v>23</v>
      </c>
      <c r="B26">
        <v>42.65</v>
      </c>
      <c r="C26">
        <v>40</v>
      </c>
      <c r="D26">
        <v>45</v>
      </c>
      <c r="E26">
        <v>0</v>
      </c>
      <c r="F26" s="3">
        <v>0</v>
      </c>
      <c r="G26" s="3">
        <v>0</v>
      </c>
      <c r="J26">
        <v>22</v>
      </c>
      <c r="K26" s="20">
        <f t="shared" si="0"/>
        <v>4.4069668453627218E-2</v>
      </c>
      <c r="L26" s="20">
        <f t="shared" si="1"/>
        <v>0.78947368421052633</v>
      </c>
      <c r="M26" s="20">
        <f t="shared" si="2"/>
        <v>0.84210526315789469</v>
      </c>
      <c r="N26">
        <v>0</v>
      </c>
    </row>
    <row r="27" spans="1:14" x14ac:dyDescent="0.3">
      <c r="A27">
        <v>24</v>
      </c>
      <c r="B27">
        <v>42.65</v>
      </c>
      <c r="C27">
        <v>40</v>
      </c>
      <c r="D27">
        <v>45</v>
      </c>
      <c r="E27">
        <v>0</v>
      </c>
      <c r="F27" s="3">
        <v>0</v>
      </c>
      <c r="G27" s="3">
        <v>0</v>
      </c>
      <c r="J27">
        <v>23</v>
      </c>
      <c r="K27" s="20">
        <f t="shared" si="0"/>
        <v>1.9625888686929112E-2</v>
      </c>
      <c r="L27" s="20">
        <f t="shared" si="1"/>
        <v>0.70175438596491224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1.9625888686929112E-2</v>
      </c>
      <c r="L28" s="20">
        <f t="shared" si="1"/>
        <v>0.70175438596491224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EEF7-6014-4C65-9B29-B60964C90299}">
  <dimension ref="A1:N28"/>
  <sheetViews>
    <sheetView workbookViewId="0">
      <selection activeCell="B20" sqref="B20"/>
    </sheetView>
  </sheetViews>
  <sheetFormatPr defaultRowHeight="14.4" x14ac:dyDescent="0.3"/>
  <sheetData>
    <row r="1" spans="1:14" x14ac:dyDescent="0.3">
      <c r="A1" t="s">
        <v>199</v>
      </c>
      <c r="B1" t="s">
        <v>200</v>
      </c>
      <c r="C1" t="s">
        <v>211</v>
      </c>
      <c r="D1" t="s">
        <v>212</v>
      </c>
      <c r="E1" t="s">
        <v>201</v>
      </c>
      <c r="F1" t="s">
        <v>108</v>
      </c>
      <c r="G1" t="s">
        <v>109</v>
      </c>
      <c r="J1" t="s">
        <v>218</v>
      </c>
      <c r="L1">
        <v>2173.15</v>
      </c>
      <c r="M1">
        <v>57</v>
      </c>
    </row>
    <row r="2" spans="1:14" x14ac:dyDescent="0.3">
      <c r="A2">
        <v>0</v>
      </c>
      <c r="B2">
        <v>35.11</v>
      </c>
      <c r="C2">
        <v>21</v>
      </c>
      <c r="D2">
        <v>38</v>
      </c>
      <c r="E2">
        <v>0</v>
      </c>
      <c r="F2">
        <v>0</v>
      </c>
      <c r="G2">
        <v>0</v>
      </c>
    </row>
    <row r="3" spans="1:14" x14ac:dyDescent="0.3">
      <c r="A3">
        <v>1</v>
      </c>
      <c r="B3">
        <v>55.29</v>
      </c>
      <c r="C3">
        <v>20</v>
      </c>
      <c r="D3">
        <v>38</v>
      </c>
      <c r="E3">
        <v>0</v>
      </c>
      <c r="F3">
        <v>0</v>
      </c>
      <c r="G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2</v>
      </c>
      <c r="B4">
        <v>31.77</v>
      </c>
      <c r="C4">
        <v>19</v>
      </c>
      <c r="D4">
        <v>35</v>
      </c>
      <c r="E4">
        <v>0</v>
      </c>
      <c r="F4">
        <v>0</v>
      </c>
      <c r="G4">
        <v>0</v>
      </c>
      <c r="J4">
        <v>0</v>
      </c>
      <c r="K4" s="20">
        <f>B2/L$1</f>
        <v>1.6156270851068723E-2</v>
      </c>
      <c r="L4" s="20">
        <f>C2/M$1</f>
        <v>0.36842105263157893</v>
      </c>
      <c r="M4" s="20">
        <f>D2/M$1</f>
        <v>0.66666666666666663</v>
      </c>
      <c r="N4">
        <v>0</v>
      </c>
    </row>
    <row r="5" spans="1:14" x14ac:dyDescent="0.3">
      <c r="A5">
        <v>3</v>
      </c>
      <c r="B5">
        <v>30.98</v>
      </c>
      <c r="C5">
        <v>19</v>
      </c>
      <c r="D5">
        <v>33</v>
      </c>
      <c r="E5">
        <v>0</v>
      </c>
      <c r="F5">
        <v>0</v>
      </c>
      <c r="G5">
        <v>0</v>
      </c>
      <c r="J5">
        <v>1</v>
      </c>
      <c r="K5" s="20">
        <f t="shared" ref="K5:K28" si="0">B3/L$1</f>
        <v>2.5442330257920528E-2</v>
      </c>
      <c r="L5" s="20">
        <f t="shared" ref="L5:L28" si="1">C3/M$1</f>
        <v>0.35087719298245612</v>
      </c>
      <c r="M5" s="20">
        <f t="shared" ref="M5:M28" si="2">D3/M$1</f>
        <v>0.66666666666666663</v>
      </c>
      <c r="N5">
        <v>0</v>
      </c>
    </row>
    <row r="6" spans="1:14" x14ac:dyDescent="0.3">
      <c r="A6">
        <v>4</v>
      </c>
      <c r="B6">
        <v>30.26</v>
      </c>
      <c r="C6">
        <v>19</v>
      </c>
      <c r="D6">
        <v>32</v>
      </c>
      <c r="E6">
        <v>0</v>
      </c>
      <c r="F6">
        <v>0</v>
      </c>
      <c r="G6">
        <v>0</v>
      </c>
      <c r="J6">
        <v>2</v>
      </c>
      <c r="K6" s="20">
        <f t="shared" si="0"/>
        <v>1.4619331385316245E-2</v>
      </c>
      <c r="L6" s="20">
        <f t="shared" si="1"/>
        <v>0.33333333333333331</v>
      </c>
      <c r="M6" s="20">
        <f t="shared" si="2"/>
        <v>0.61403508771929827</v>
      </c>
      <c r="N6">
        <v>0</v>
      </c>
    </row>
    <row r="7" spans="1:14" x14ac:dyDescent="0.3">
      <c r="A7">
        <v>5</v>
      </c>
      <c r="B7">
        <v>31.91</v>
      </c>
      <c r="C7">
        <v>18</v>
      </c>
      <c r="D7">
        <v>32</v>
      </c>
      <c r="E7">
        <v>0</v>
      </c>
      <c r="F7">
        <v>0</v>
      </c>
      <c r="G7">
        <v>0</v>
      </c>
      <c r="J7">
        <v>3</v>
      </c>
      <c r="K7" s="20">
        <f t="shared" si="0"/>
        <v>1.4255803787129283E-2</v>
      </c>
      <c r="L7" s="20">
        <f t="shared" si="1"/>
        <v>0.33333333333333331</v>
      </c>
      <c r="M7" s="20">
        <f t="shared" si="2"/>
        <v>0.57894736842105265</v>
      </c>
      <c r="N7">
        <v>0</v>
      </c>
    </row>
    <row r="8" spans="1:14" x14ac:dyDescent="0.3">
      <c r="A8">
        <v>6</v>
      </c>
      <c r="B8">
        <v>28.53</v>
      </c>
      <c r="C8">
        <v>19</v>
      </c>
      <c r="D8">
        <v>32</v>
      </c>
      <c r="E8">
        <v>0</v>
      </c>
      <c r="F8">
        <v>0</v>
      </c>
      <c r="G8">
        <v>0</v>
      </c>
      <c r="J8">
        <v>4</v>
      </c>
      <c r="K8" s="20">
        <f t="shared" si="0"/>
        <v>1.3924487495110783E-2</v>
      </c>
      <c r="L8" s="20">
        <f t="shared" si="1"/>
        <v>0.33333333333333331</v>
      </c>
      <c r="M8" s="20">
        <f t="shared" si="2"/>
        <v>0.56140350877192979</v>
      </c>
      <c r="N8">
        <v>0</v>
      </c>
    </row>
    <row r="9" spans="1:14" x14ac:dyDescent="0.3">
      <c r="A9">
        <v>7</v>
      </c>
      <c r="B9">
        <v>28.1</v>
      </c>
      <c r="C9">
        <v>22</v>
      </c>
      <c r="D9">
        <v>36</v>
      </c>
      <c r="E9">
        <v>0</v>
      </c>
      <c r="F9">
        <v>0</v>
      </c>
      <c r="G9">
        <v>0</v>
      </c>
      <c r="J9">
        <v>5</v>
      </c>
      <c r="K9" s="20">
        <f t="shared" si="0"/>
        <v>1.4683753997653176E-2</v>
      </c>
      <c r="L9" s="20">
        <f t="shared" si="1"/>
        <v>0.31578947368421051</v>
      </c>
      <c r="M9" s="20">
        <f t="shared" si="2"/>
        <v>0.56140350877192979</v>
      </c>
      <c r="N9">
        <v>0</v>
      </c>
    </row>
    <row r="10" spans="1:14" x14ac:dyDescent="0.3">
      <c r="A10">
        <v>8</v>
      </c>
      <c r="B10">
        <v>29.16</v>
      </c>
      <c r="C10">
        <v>23</v>
      </c>
      <c r="D10">
        <v>41</v>
      </c>
      <c r="E10">
        <v>0</v>
      </c>
      <c r="F10">
        <v>0</v>
      </c>
      <c r="G10">
        <v>0</v>
      </c>
      <c r="J10">
        <v>6</v>
      </c>
      <c r="K10" s="20">
        <f t="shared" si="0"/>
        <v>1.3128408071233003E-2</v>
      </c>
      <c r="L10" s="20">
        <f t="shared" si="1"/>
        <v>0.33333333333333331</v>
      </c>
      <c r="M10" s="20">
        <f t="shared" si="2"/>
        <v>0.56140350877192979</v>
      </c>
      <c r="N10">
        <v>0</v>
      </c>
    </row>
    <row r="11" spans="1:14" x14ac:dyDescent="0.3">
      <c r="A11">
        <v>9</v>
      </c>
      <c r="B11">
        <v>26.97</v>
      </c>
      <c r="C11">
        <v>26</v>
      </c>
      <c r="D11">
        <v>45</v>
      </c>
      <c r="E11">
        <v>0</v>
      </c>
      <c r="F11">
        <v>0</v>
      </c>
      <c r="G11">
        <v>0</v>
      </c>
      <c r="J11">
        <v>7</v>
      </c>
      <c r="K11" s="20">
        <f t="shared" si="0"/>
        <v>1.2930538619055288E-2</v>
      </c>
      <c r="L11" s="20">
        <f t="shared" si="1"/>
        <v>0.38596491228070173</v>
      </c>
      <c r="M11" s="20">
        <f t="shared" si="2"/>
        <v>0.63157894736842102</v>
      </c>
      <c r="N11">
        <v>0</v>
      </c>
    </row>
    <row r="12" spans="1:14" x14ac:dyDescent="0.3">
      <c r="A12">
        <v>10</v>
      </c>
      <c r="B12">
        <v>35.85</v>
      </c>
      <c r="C12">
        <v>26</v>
      </c>
      <c r="D12">
        <v>46</v>
      </c>
      <c r="E12">
        <v>0</v>
      </c>
      <c r="F12">
        <v>0</v>
      </c>
      <c r="G12">
        <v>0</v>
      </c>
      <c r="J12">
        <v>8</v>
      </c>
      <c r="K12" s="20">
        <f t="shared" si="0"/>
        <v>1.3418309826749188E-2</v>
      </c>
      <c r="L12" s="20">
        <f t="shared" si="1"/>
        <v>0.40350877192982454</v>
      </c>
      <c r="M12" s="20">
        <f t="shared" si="2"/>
        <v>0.7192982456140351</v>
      </c>
      <c r="N12">
        <v>0</v>
      </c>
    </row>
    <row r="13" spans="1:14" x14ac:dyDescent="0.3">
      <c r="A13">
        <v>11</v>
      </c>
      <c r="B13">
        <v>35.17</v>
      </c>
      <c r="C13">
        <v>25</v>
      </c>
      <c r="D13">
        <v>47</v>
      </c>
      <c r="E13">
        <v>0</v>
      </c>
      <c r="F13">
        <v>0</v>
      </c>
      <c r="G13">
        <v>0</v>
      </c>
      <c r="J13">
        <v>9</v>
      </c>
      <c r="K13" s="20">
        <f t="shared" si="0"/>
        <v>1.2410556105192922E-2</v>
      </c>
      <c r="L13" s="20">
        <f t="shared" si="1"/>
        <v>0.45614035087719296</v>
      </c>
      <c r="M13" s="20">
        <f t="shared" si="2"/>
        <v>0.78947368421052633</v>
      </c>
      <c r="N13">
        <v>0</v>
      </c>
    </row>
    <row r="14" spans="1:14" x14ac:dyDescent="0.3">
      <c r="A14">
        <v>12</v>
      </c>
      <c r="B14">
        <v>38.479999999999997</v>
      </c>
      <c r="C14">
        <v>26</v>
      </c>
      <c r="D14">
        <v>49</v>
      </c>
      <c r="E14">
        <v>0</v>
      </c>
      <c r="F14">
        <v>0</v>
      </c>
      <c r="G14">
        <v>0</v>
      </c>
      <c r="J14">
        <v>10</v>
      </c>
      <c r="K14" s="20">
        <f t="shared" si="0"/>
        <v>1.6496790373421069E-2</v>
      </c>
      <c r="L14" s="20">
        <f t="shared" si="1"/>
        <v>0.45614035087719296</v>
      </c>
      <c r="M14" s="20">
        <f t="shared" si="2"/>
        <v>0.80701754385964908</v>
      </c>
      <c r="N14">
        <v>0</v>
      </c>
    </row>
    <row r="15" spans="1:14" x14ac:dyDescent="0.3">
      <c r="A15">
        <v>13</v>
      </c>
      <c r="B15">
        <v>53.92</v>
      </c>
      <c r="C15">
        <v>27</v>
      </c>
      <c r="D15">
        <v>50</v>
      </c>
      <c r="E15">
        <v>0</v>
      </c>
      <c r="F15">
        <v>0</v>
      </c>
      <c r="G15">
        <v>0</v>
      </c>
      <c r="J15">
        <v>11</v>
      </c>
      <c r="K15" s="20">
        <f t="shared" si="0"/>
        <v>1.6183880542070268E-2</v>
      </c>
      <c r="L15" s="20">
        <f t="shared" si="1"/>
        <v>0.43859649122807015</v>
      </c>
      <c r="M15" s="20">
        <f t="shared" si="2"/>
        <v>0.82456140350877194</v>
      </c>
      <c r="N15">
        <v>0</v>
      </c>
    </row>
    <row r="16" spans="1:14" x14ac:dyDescent="0.3">
      <c r="A16">
        <v>14</v>
      </c>
      <c r="B16">
        <v>59.25</v>
      </c>
      <c r="C16">
        <v>27</v>
      </c>
      <c r="D16">
        <v>51</v>
      </c>
      <c r="E16">
        <v>0</v>
      </c>
      <c r="F16">
        <v>0</v>
      </c>
      <c r="G16">
        <v>0</v>
      </c>
      <c r="J16">
        <v>12</v>
      </c>
      <c r="K16" s="20">
        <f t="shared" si="0"/>
        <v>1.7707015162321971E-2</v>
      </c>
      <c r="L16" s="20">
        <f t="shared" si="1"/>
        <v>0.45614035087719296</v>
      </c>
      <c r="M16" s="20">
        <f t="shared" si="2"/>
        <v>0.85964912280701755</v>
      </c>
      <c r="N16">
        <v>0</v>
      </c>
    </row>
    <row r="17" spans="1:14" x14ac:dyDescent="0.3">
      <c r="A17">
        <v>15</v>
      </c>
      <c r="B17">
        <v>124.63</v>
      </c>
      <c r="C17">
        <v>28</v>
      </c>
      <c r="D17">
        <v>53</v>
      </c>
      <c r="E17">
        <v>0</v>
      </c>
      <c r="F17">
        <v>1</v>
      </c>
      <c r="G17">
        <v>1</v>
      </c>
      <c r="J17">
        <v>13</v>
      </c>
      <c r="K17" s="20">
        <f t="shared" si="0"/>
        <v>2.4811908980051998E-2</v>
      </c>
      <c r="L17" s="20">
        <f t="shared" si="1"/>
        <v>0.47368421052631576</v>
      </c>
      <c r="M17" s="20">
        <f t="shared" si="2"/>
        <v>0.8771929824561403</v>
      </c>
      <c r="N17">
        <v>0</v>
      </c>
    </row>
    <row r="18" spans="1:14" x14ac:dyDescent="0.3">
      <c r="A18">
        <v>16</v>
      </c>
      <c r="B18">
        <v>71.14</v>
      </c>
      <c r="C18">
        <v>29</v>
      </c>
      <c r="D18">
        <v>54</v>
      </c>
      <c r="E18">
        <v>0</v>
      </c>
      <c r="F18">
        <v>0</v>
      </c>
      <c r="G18">
        <v>0</v>
      </c>
      <c r="J18">
        <v>14</v>
      </c>
      <c r="K18" s="20">
        <f t="shared" si="0"/>
        <v>2.7264569864022269E-2</v>
      </c>
      <c r="L18" s="20">
        <f t="shared" si="1"/>
        <v>0.47368421052631576</v>
      </c>
      <c r="M18" s="20">
        <f t="shared" si="2"/>
        <v>0.89473684210526316</v>
      </c>
      <c r="N18">
        <v>0</v>
      </c>
    </row>
    <row r="19" spans="1:14" x14ac:dyDescent="0.3">
      <c r="A19">
        <v>17</v>
      </c>
      <c r="B19">
        <v>432.72</v>
      </c>
      <c r="C19">
        <v>32</v>
      </c>
      <c r="D19">
        <v>57</v>
      </c>
      <c r="E19">
        <v>1</v>
      </c>
      <c r="F19">
        <v>1</v>
      </c>
      <c r="G19">
        <v>1</v>
      </c>
      <c r="J19">
        <v>15</v>
      </c>
      <c r="K19" s="20">
        <f t="shared" si="0"/>
        <v>5.7349929825368698E-2</v>
      </c>
      <c r="L19" s="20">
        <f t="shared" si="1"/>
        <v>0.49122807017543857</v>
      </c>
      <c r="M19" s="20">
        <f t="shared" si="2"/>
        <v>0.92982456140350878</v>
      </c>
      <c r="N19">
        <v>0</v>
      </c>
    </row>
    <row r="20" spans="1:14" x14ac:dyDescent="0.3">
      <c r="A20">
        <v>18</v>
      </c>
      <c r="B20">
        <v>771.25</v>
      </c>
      <c r="C20">
        <v>33</v>
      </c>
      <c r="D20">
        <v>57</v>
      </c>
      <c r="E20">
        <v>1</v>
      </c>
      <c r="F20">
        <v>1</v>
      </c>
      <c r="G20">
        <v>1</v>
      </c>
      <c r="J20">
        <v>16</v>
      </c>
      <c r="K20" s="20">
        <f t="shared" si="0"/>
        <v>3.2735890297494422E-2</v>
      </c>
      <c r="L20" s="20">
        <f t="shared" si="1"/>
        <v>0.50877192982456143</v>
      </c>
      <c r="M20" s="20">
        <f t="shared" si="2"/>
        <v>0.94736842105263153</v>
      </c>
      <c r="N20">
        <v>0</v>
      </c>
    </row>
    <row r="21" spans="1:14" x14ac:dyDescent="0.3">
      <c r="A21">
        <v>19</v>
      </c>
      <c r="B21">
        <v>255.15</v>
      </c>
      <c r="C21">
        <v>33</v>
      </c>
      <c r="D21">
        <v>55</v>
      </c>
      <c r="E21">
        <v>0</v>
      </c>
      <c r="F21">
        <v>1</v>
      </c>
      <c r="G21">
        <v>1</v>
      </c>
      <c r="J21">
        <v>17</v>
      </c>
      <c r="K21" s="20">
        <f t="shared" si="0"/>
        <v>0.1991210915031176</v>
      </c>
      <c r="L21" s="20">
        <f t="shared" si="1"/>
        <v>0.56140350877192979</v>
      </c>
      <c r="M21" s="20">
        <f t="shared" si="2"/>
        <v>1</v>
      </c>
      <c r="N21">
        <v>1</v>
      </c>
    </row>
    <row r="22" spans="1:14" x14ac:dyDescent="0.3">
      <c r="A22">
        <v>20</v>
      </c>
      <c r="B22">
        <v>192.22</v>
      </c>
      <c r="C22">
        <v>32</v>
      </c>
      <c r="D22">
        <v>53</v>
      </c>
      <c r="E22">
        <v>0</v>
      </c>
      <c r="F22">
        <v>1</v>
      </c>
      <c r="G22">
        <v>1</v>
      </c>
      <c r="J22">
        <v>18</v>
      </c>
      <c r="K22" s="20">
        <f t="shared" si="0"/>
        <v>0.3548995697489819</v>
      </c>
      <c r="L22" s="20">
        <f t="shared" si="1"/>
        <v>0.57894736842105265</v>
      </c>
      <c r="M22" s="20">
        <f t="shared" si="2"/>
        <v>1</v>
      </c>
      <c r="N22">
        <v>1</v>
      </c>
    </row>
    <row r="23" spans="1:14" x14ac:dyDescent="0.3">
      <c r="A23">
        <v>21</v>
      </c>
      <c r="B23">
        <v>127.12</v>
      </c>
      <c r="C23">
        <v>31</v>
      </c>
      <c r="D23">
        <v>51</v>
      </c>
      <c r="E23">
        <v>0</v>
      </c>
      <c r="F23">
        <v>1</v>
      </c>
      <c r="G23">
        <v>1</v>
      </c>
      <c r="J23">
        <v>19</v>
      </c>
      <c r="K23" s="20">
        <f t="shared" si="0"/>
        <v>0.11741021098405541</v>
      </c>
      <c r="L23" s="20">
        <f t="shared" si="1"/>
        <v>0.57894736842105265</v>
      </c>
      <c r="M23" s="20">
        <f t="shared" si="2"/>
        <v>0.96491228070175439</v>
      </c>
      <c r="N23">
        <v>0</v>
      </c>
    </row>
    <row r="24" spans="1:14" x14ac:dyDescent="0.3">
      <c r="A24">
        <v>22</v>
      </c>
      <c r="B24">
        <v>60.32</v>
      </c>
      <c r="C24">
        <v>29</v>
      </c>
      <c r="D24">
        <v>48</v>
      </c>
      <c r="E24">
        <v>0</v>
      </c>
      <c r="F24">
        <v>0</v>
      </c>
      <c r="G24">
        <v>0</v>
      </c>
      <c r="J24">
        <v>20</v>
      </c>
      <c r="K24" s="20">
        <f t="shared" si="0"/>
        <v>8.8452246738605245E-2</v>
      </c>
      <c r="L24" s="20">
        <f t="shared" si="1"/>
        <v>0.56140350877192979</v>
      </c>
      <c r="M24" s="20">
        <f t="shared" si="2"/>
        <v>0.92982456140350878</v>
      </c>
      <c r="N24">
        <v>0</v>
      </c>
    </row>
    <row r="25" spans="1:14" x14ac:dyDescent="0.3">
      <c r="A25">
        <v>23</v>
      </c>
      <c r="B25">
        <v>51.44</v>
      </c>
      <c r="C25">
        <v>25</v>
      </c>
      <c r="D25">
        <v>45</v>
      </c>
      <c r="E25">
        <v>0</v>
      </c>
      <c r="F25">
        <v>0</v>
      </c>
      <c r="G25">
        <v>0</v>
      </c>
      <c r="J25">
        <v>21</v>
      </c>
      <c r="K25" s="20">
        <f t="shared" si="0"/>
        <v>5.8495732001932678E-2</v>
      </c>
      <c r="L25" s="20">
        <f t="shared" si="1"/>
        <v>0.54385964912280704</v>
      </c>
      <c r="M25" s="20">
        <f t="shared" si="2"/>
        <v>0.89473684210526316</v>
      </c>
      <c r="N25">
        <v>0</v>
      </c>
    </row>
    <row r="26" spans="1:14" x14ac:dyDescent="0.3">
      <c r="A26">
        <v>24</v>
      </c>
      <c r="B26">
        <v>51.44</v>
      </c>
      <c r="C26">
        <v>25</v>
      </c>
      <c r="D26">
        <v>45</v>
      </c>
      <c r="E26">
        <v>0</v>
      </c>
      <c r="F26">
        <v>0</v>
      </c>
      <c r="G26">
        <v>0</v>
      </c>
      <c r="J26">
        <v>22</v>
      </c>
      <c r="K26" s="20">
        <f t="shared" si="0"/>
        <v>2.7756942686883095E-2</v>
      </c>
      <c r="L26" s="20">
        <f t="shared" si="1"/>
        <v>0.50877192982456143</v>
      </c>
      <c r="M26" s="20">
        <f t="shared" si="2"/>
        <v>0.84210526315789469</v>
      </c>
      <c r="N26">
        <v>0</v>
      </c>
    </row>
    <row r="27" spans="1:14" x14ac:dyDescent="0.3">
      <c r="J27">
        <v>23</v>
      </c>
      <c r="K27" s="20">
        <f t="shared" si="0"/>
        <v>2.3670708418654946E-2</v>
      </c>
      <c r="L27" s="20">
        <f t="shared" si="1"/>
        <v>0.43859649122807015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2.3670708418654946E-2</v>
      </c>
      <c r="L28" s="20">
        <f t="shared" si="1"/>
        <v>0.43859649122807015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D541-8FA1-4A4E-9233-1EE307AD3F42}">
  <dimension ref="A1:M82"/>
  <sheetViews>
    <sheetView workbookViewId="0">
      <selection activeCell="I15" sqref="I15"/>
    </sheetView>
  </sheetViews>
  <sheetFormatPr defaultRowHeight="14.4" x14ac:dyDescent="0.3"/>
  <cols>
    <col min="1" max="1" width="9.33203125" bestFit="1" customWidth="1"/>
  </cols>
  <sheetData>
    <row r="1" spans="1:13" x14ac:dyDescent="0.3">
      <c r="A1" t="s">
        <v>143</v>
      </c>
      <c r="B1" t="s">
        <v>213</v>
      </c>
      <c r="C1" t="s">
        <v>214</v>
      </c>
      <c r="E1" t="s">
        <v>216</v>
      </c>
      <c r="L1" t="s">
        <v>248</v>
      </c>
    </row>
    <row r="2" spans="1:13" x14ac:dyDescent="0.3">
      <c r="A2" s="7">
        <v>2010.5</v>
      </c>
      <c r="B2" s="20">
        <v>4.5</v>
      </c>
      <c r="C2">
        <v>0</v>
      </c>
      <c r="E2" t="s">
        <v>215</v>
      </c>
      <c r="L2" t="s">
        <v>249</v>
      </c>
      <c r="M2" t="s">
        <v>250</v>
      </c>
    </row>
    <row r="3" spans="1:13" x14ac:dyDescent="0.3">
      <c r="A3" s="18">
        <v>2011</v>
      </c>
      <c r="B3" s="20">
        <v>4.5</v>
      </c>
      <c r="C3">
        <v>0</v>
      </c>
      <c r="E3" t="s">
        <v>217</v>
      </c>
      <c r="L3">
        <f xml:space="preserve"> 31 + 28 + 31 + 30 + 31</f>
        <v>151</v>
      </c>
      <c r="M3">
        <f>30 + 31 + 31 + 30 + 31 + 30 +31</f>
        <v>214</v>
      </c>
    </row>
    <row r="4" spans="1:13" x14ac:dyDescent="0.3">
      <c r="A4" s="7">
        <v>2011.5</v>
      </c>
      <c r="B4" s="20">
        <v>3.6</v>
      </c>
      <c r="C4">
        <v>0</v>
      </c>
    </row>
    <row r="5" spans="1:13" x14ac:dyDescent="0.3">
      <c r="A5" s="18">
        <v>2012</v>
      </c>
      <c r="B5" s="20">
        <v>3.6</v>
      </c>
      <c r="C5">
        <v>0</v>
      </c>
    </row>
    <row r="6" spans="1:13" x14ac:dyDescent="0.3">
      <c r="A6" s="7">
        <v>2012.5</v>
      </c>
      <c r="B6" s="20">
        <v>2.9510000000000001</v>
      </c>
      <c r="C6">
        <v>0</v>
      </c>
    </row>
    <row r="7" spans="1:13" x14ac:dyDescent="0.3">
      <c r="A7" s="18">
        <v>2013</v>
      </c>
      <c r="B7" s="20">
        <v>2.9510000000000001</v>
      </c>
      <c r="C7">
        <v>0</v>
      </c>
    </row>
    <row r="8" spans="1:13" x14ac:dyDescent="0.3">
      <c r="A8" s="7">
        <v>2013.5</v>
      </c>
      <c r="B8" s="20">
        <v>2.9510000000000001</v>
      </c>
      <c r="C8">
        <v>0</v>
      </c>
    </row>
    <row r="9" spans="1:13" x14ac:dyDescent="0.3">
      <c r="A9" s="18">
        <v>2014</v>
      </c>
      <c r="B9" s="20">
        <v>2.9510000000000001</v>
      </c>
      <c r="C9">
        <v>0</v>
      </c>
    </row>
    <row r="10" spans="1:13" x14ac:dyDescent="0.3">
      <c r="A10" s="7">
        <v>2014.5</v>
      </c>
      <c r="B10" s="20">
        <v>3.2090000000000001</v>
      </c>
      <c r="C10">
        <v>0</v>
      </c>
    </row>
    <row r="11" spans="1:13" x14ac:dyDescent="0.3">
      <c r="A11" s="18">
        <v>2015</v>
      </c>
      <c r="B11" s="20">
        <v>3.2090000000000001</v>
      </c>
      <c r="C11">
        <v>0</v>
      </c>
    </row>
    <row r="12" spans="1:13" x14ac:dyDescent="0.3">
      <c r="A12" s="7">
        <v>2015.5</v>
      </c>
      <c r="B12" s="20">
        <v>3.4340000000000002</v>
      </c>
      <c r="C12">
        <v>0</v>
      </c>
    </row>
    <row r="13" spans="1:13" x14ac:dyDescent="0.3">
      <c r="A13" s="18">
        <v>2016</v>
      </c>
      <c r="B13" s="20">
        <v>3.4340000000000002</v>
      </c>
      <c r="C13">
        <v>0</v>
      </c>
    </row>
    <row r="14" spans="1:13" x14ac:dyDescent="0.3">
      <c r="A14" s="7">
        <v>2016.5</v>
      </c>
      <c r="B14" s="20">
        <v>3.15</v>
      </c>
      <c r="C14">
        <v>0</v>
      </c>
    </row>
    <row r="15" spans="1:13" x14ac:dyDescent="0.3">
      <c r="A15" s="18">
        <v>2017</v>
      </c>
      <c r="B15" s="20">
        <v>3.15</v>
      </c>
      <c r="C15">
        <v>0</v>
      </c>
    </row>
    <row r="16" spans="1:13" x14ac:dyDescent="0.3">
      <c r="A16" s="7">
        <v>2017.5</v>
      </c>
      <c r="B16" s="20">
        <v>7.0250000000000004</v>
      </c>
      <c r="C16">
        <v>0</v>
      </c>
    </row>
    <row r="17" spans="1:3" x14ac:dyDescent="0.3">
      <c r="A17" s="18">
        <v>2018</v>
      </c>
      <c r="B17" s="20">
        <v>7.0250000000000004</v>
      </c>
      <c r="C17">
        <v>0</v>
      </c>
    </row>
    <row r="18" spans="1:3" x14ac:dyDescent="0.3">
      <c r="A18" s="7">
        <v>2018.5</v>
      </c>
      <c r="B18" s="20">
        <v>11.08</v>
      </c>
      <c r="C18">
        <v>0</v>
      </c>
    </row>
    <row r="19" spans="1:3" x14ac:dyDescent="0.3">
      <c r="A19" s="18">
        <v>2019</v>
      </c>
      <c r="B19" s="20">
        <v>11.08</v>
      </c>
      <c r="C19">
        <v>0</v>
      </c>
    </row>
    <row r="20" spans="1:3" x14ac:dyDescent="0.3">
      <c r="A20" s="7">
        <v>2019.5</v>
      </c>
      <c r="B20" s="20">
        <v>7.03</v>
      </c>
      <c r="C20">
        <v>0</v>
      </c>
    </row>
    <row r="21" spans="1:3" x14ac:dyDescent="0.3">
      <c r="A21" s="18">
        <v>2020</v>
      </c>
      <c r="B21" s="20">
        <v>7.03</v>
      </c>
      <c r="C21">
        <v>0</v>
      </c>
    </row>
    <row r="22" spans="1:3" x14ac:dyDescent="0.3">
      <c r="A22" s="7">
        <v>2020.5</v>
      </c>
      <c r="B22" s="20">
        <v>5.2969999999999997</v>
      </c>
      <c r="C22">
        <v>0</v>
      </c>
    </row>
    <row r="23" spans="1:3" x14ac:dyDescent="0.3">
      <c r="A23" s="18">
        <v>2021</v>
      </c>
      <c r="B23" s="20">
        <v>5.2969999999999997</v>
      </c>
      <c r="C23">
        <v>0</v>
      </c>
    </row>
    <row r="24" spans="1:3" x14ac:dyDescent="0.3">
      <c r="A24" s="7">
        <v>2021.5</v>
      </c>
      <c r="B24" s="20">
        <v>4.6310000000000002</v>
      </c>
      <c r="C24">
        <v>0</v>
      </c>
    </row>
    <row r="25" spans="1:3" x14ac:dyDescent="0.3">
      <c r="A25" s="18">
        <v>2022</v>
      </c>
      <c r="B25" s="20">
        <v>4.6310000000000002</v>
      </c>
      <c r="C25">
        <v>0</v>
      </c>
    </row>
    <row r="26" spans="1:3" x14ac:dyDescent="0.3">
      <c r="A26" s="7">
        <v>2022.5</v>
      </c>
      <c r="B26" s="20">
        <v>3.8</v>
      </c>
      <c r="C26">
        <v>0</v>
      </c>
    </row>
    <row r="27" spans="1:3" x14ac:dyDescent="0.3">
      <c r="A27" s="18">
        <v>2023</v>
      </c>
      <c r="B27" s="20">
        <v>3.8</v>
      </c>
      <c r="C27">
        <v>0</v>
      </c>
    </row>
    <row r="28" spans="1:3" x14ac:dyDescent="0.3">
      <c r="A28" s="7">
        <v>2023.5</v>
      </c>
      <c r="B28" s="20">
        <v>2.0009999999999999</v>
      </c>
      <c r="C28">
        <v>0</v>
      </c>
    </row>
    <row r="29" spans="1:3" x14ac:dyDescent="0.3">
      <c r="A29" s="18">
        <v>2024</v>
      </c>
      <c r="B29" s="20">
        <v>2.0009999999999999</v>
      </c>
      <c r="C29">
        <v>0</v>
      </c>
    </row>
    <row r="30" spans="1:3" x14ac:dyDescent="0.3">
      <c r="A30" s="18">
        <v>2024.5</v>
      </c>
      <c r="B30" s="20">
        <v>3.98</v>
      </c>
      <c r="C30">
        <v>0</v>
      </c>
    </row>
    <row r="31" spans="1:3" x14ac:dyDescent="0.3">
      <c r="A31" s="18">
        <v>2025</v>
      </c>
      <c r="B31" s="20">
        <v>3.98</v>
      </c>
      <c r="C31">
        <v>0</v>
      </c>
    </row>
    <row r="32" spans="1:3" x14ac:dyDescent="0.3">
      <c r="A32" s="18">
        <v>2025.5</v>
      </c>
      <c r="B32" s="20">
        <v>2.6389999999999998</v>
      </c>
      <c r="C32">
        <v>0</v>
      </c>
    </row>
    <row r="33" spans="1:3" x14ac:dyDescent="0.3">
      <c r="A33" s="18">
        <v>2026</v>
      </c>
      <c r="B33" s="20">
        <v>2.6389999999999998</v>
      </c>
      <c r="C33">
        <v>0</v>
      </c>
    </row>
    <row r="34" spans="1:3" x14ac:dyDescent="0.3">
      <c r="A34" s="18">
        <v>2026.5</v>
      </c>
      <c r="B34" s="20">
        <v>2.59</v>
      </c>
      <c r="C34">
        <v>0</v>
      </c>
    </row>
    <row r="35" spans="1:3" x14ac:dyDescent="0.3">
      <c r="A35" s="18">
        <v>2027</v>
      </c>
      <c r="B35" s="20">
        <v>2.59</v>
      </c>
      <c r="C35">
        <v>0</v>
      </c>
    </row>
    <row r="36" spans="1:3" x14ac:dyDescent="0.3">
      <c r="A36" s="18">
        <v>2027.5</v>
      </c>
      <c r="B36" s="20">
        <v>3.58</v>
      </c>
      <c r="C36">
        <v>0</v>
      </c>
    </row>
    <row r="37" spans="1:3" x14ac:dyDescent="0.3">
      <c r="A37" s="18">
        <v>2028</v>
      </c>
      <c r="B37" s="20">
        <v>3.58</v>
      </c>
      <c r="C37">
        <v>0</v>
      </c>
    </row>
    <row r="38" spans="1:3" x14ac:dyDescent="0.3">
      <c r="A38" s="18">
        <v>2028.5</v>
      </c>
      <c r="B38" s="20">
        <f t="shared" ref="B38:B81" si="0">AVERAGE(B$29:B$37)</f>
        <v>3.0643333333333334</v>
      </c>
      <c r="C38">
        <v>1</v>
      </c>
    </row>
    <row r="39" spans="1:3" x14ac:dyDescent="0.3">
      <c r="A39" s="18">
        <v>2029</v>
      </c>
      <c r="B39" s="20">
        <f t="shared" si="0"/>
        <v>3.0643333333333334</v>
      </c>
      <c r="C39">
        <v>1</v>
      </c>
    </row>
    <row r="40" spans="1:3" x14ac:dyDescent="0.3">
      <c r="A40" s="18">
        <v>2029.5</v>
      </c>
      <c r="B40" s="20">
        <f t="shared" si="0"/>
        <v>3.0643333333333334</v>
      </c>
      <c r="C40">
        <v>1</v>
      </c>
    </row>
    <row r="41" spans="1:3" x14ac:dyDescent="0.3">
      <c r="A41" s="18">
        <v>2030</v>
      </c>
      <c r="B41" s="20">
        <f t="shared" si="0"/>
        <v>3.0643333333333334</v>
      </c>
      <c r="C41">
        <v>1</v>
      </c>
    </row>
    <row r="42" spans="1:3" x14ac:dyDescent="0.3">
      <c r="A42" s="18">
        <v>2030.5</v>
      </c>
      <c r="B42" s="20">
        <f t="shared" si="0"/>
        <v>3.0643333333333334</v>
      </c>
      <c r="C42">
        <v>1</v>
      </c>
    </row>
    <row r="43" spans="1:3" x14ac:dyDescent="0.3">
      <c r="A43" s="18">
        <v>2031</v>
      </c>
      <c r="B43" s="20">
        <f t="shared" si="0"/>
        <v>3.0643333333333334</v>
      </c>
      <c r="C43">
        <v>1</v>
      </c>
    </row>
    <row r="44" spans="1:3" x14ac:dyDescent="0.3">
      <c r="A44" s="18">
        <v>2031.5</v>
      </c>
      <c r="B44" s="20">
        <f t="shared" si="0"/>
        <v>3.0643333333333334</v>
      </c>
      <c r="C44">
        <v>1</v>
      </c>
    </row>
    <row r="45" spans="1:3" x14ac:dyDescent="0.3">
      <c r="A45" s="18">
        <v>2032</v>
      </c>
      <c r="B45" s="20">
        <f t="shared" si="0"/>
        <v>3.0643333333333334</v>
      </c>
      <c r="C45">
        <v>1</v>
      </c>
    </row>
    <row r="46" spans="1:3" x14ac:dyDescent="0.3">
      <c r="A46" s="18">
        <v>2032.5</v>
      </c>
      <c r="B46" s="20">
        <f t="shared" si="0"/>
        <v>3.0643333333333334</v>
      </c>
      <c r="C46">
        <v>1</v>
      </c>
    </row>
    <row r="47" spans="1:3" x14ac:dyDescent="0.3">
      <c r="A47" s="18">
        <v>2033</v>
      </c>
      <c r="B47" s="20">
        <f t="shared" si="0"/>
        <v>3.0643333333333334</v>
      </c>
      <c r="C47">
        <v>1</v>
      </c>
    </row>
    <row r="48" spans="1:3" x14ac:dyDescent="0.3">
      <c r="A48" s="18">
        <v>2033.5</v>
      </c>
      <c r="B48" s="20">
        <f t="shared" si="0"/>
        <v>3.0643333333333334</v>
      </c>
      <c r="C48">
        <v>1</v>
      </c>
    </row>
    <row r="49" spans="1:3" x14ac:dyDescent="0.3">
      <c r="A49" s="18">
        <v>2034</v>
      </c>
      <c r="B49" s="20">
        <f t="shared" si="0"/>
        <v>3.0643333333333334</v>
      </c>
      <c r="C49">
        <v>1</v>
      </c>
    </row>
    <row r="50" spans="1:3" x14ac:dyDescent="0.3">
      <c r="A50" s="18">
        <v>2034.5</v>
      </c>
      <c r="B50" s="20">
        <f t="shared" si="0"/>
        <v>3.0643333333333334</v>
      </c>
      <c r="C50">
        <v>1</v>
      </c>
    </row>
    <row r="51" spans="1:3" x14ac:dyDescent="0.3">
      <c r="A51" s="18">
        <v>2035</v>
      </c>
      <c r="B51" s="20">
        <f t="shared" si="0"/>
        <v>3.0643333333333334</v>
      </c>
      <c r="C51">
        <v>1</v>
      </c>
    </row>
    <row r="52" spans="1:3" x14ac:dyDescent="0.3">
      <c r="A52" s="18">
        <v>2035.5</v>
      </c>
      <c r="B52" s="20">
        <f t="shared" si="0"/>
        <v>3.0643333333333334</v>
      </c>
      <c r="C52">
        <v>1</v>
      </c>
    </row>
    <row r="53" spans="1:3" x14ac:dyDescent="0.3">
      <c r="A53" s="18">
        <v>2036</v>
      </c>
      <c r="B53" s="20">
        <f t="shared" si="0"/>
        <v>3.0643333333333334</v>
      </c>
      <c r="C53">
        <v>1</v>
      </c>
    </row>
    <row r="54" spans="1:3" x14ac:dyDescent="0.3">
      <c r="A54" s="18">
        <v>2036.5</v>
      </c>
      <c r="B54" s="20">
        <f t="shared" si="0"/>
        <v>3.0643333333333334</v>
      </c>
      <c r="C54">
        <v>1</v>
      </c>
    </row>
    <row r="55" spans="1:3" x14ac:dyDescent="0.3">
      <c r="A55" s="18">
        <v>2037</v>
      </c>
      <c r="B55" s="20">
        <f t="shared" si="0"/>
        <v>3.0643333333333334</v>
      </c>
      <c r="C55">
        <v>1</v>
      </c>
    </row>
    <row r="56" spans="1:3" x14ac:dyDescent="0.3">
      <c r="A56" s="18">
        <v>2037.5</v>
      </c>
      <c r="B56" s="20">
        <f t="shared" si="0"/>
        <v>3.0643333333333334</v>
      </c>
      <c r="C56">
        <v>1</v>
      </c>
    </row>
    <row r="57" spans="1:3" x14ac:dyDescent="0.3">
      <c r="A57" s="18">
        <v>2038</v>
      </c>
      <c r="B57" s="20">
        <f t="shared" si="0"/>
        <v>3.0643333333333334</v>
      </c>
      <c r="C57">
        <v>1</v>
      </c>
    </row>
    <row r="58" spans="1:3" x14ac:dyDescent="0.3">
      <c r="A58" s="18">
        <v>2038.5</v>
      </c>
      <c r="B58" s="20">
        <f t="shared" si="0"/>
        <v>3.0643333333333334</v>
      </c>
      <c r="C58">
        <v>1</v>
      </c>
    </row>
    <row r="59" spans="1:3" x14ac:dyDescent="0.3">
      <c r="A59" s="18">
        <v>2039</v>
      </c>
      <c r="B59" s="20">
        <f t="shared" si="0"/>
        <v>3.0643333333333334</v>
      </c>
      <c r="C59">
        <v>1</v>
      </c>
    </row>
    <row r="60" spans="1:3" x14ac:dyDescent="0.3">
      <c r="A60" s="18">
        <v>2039.5</v>
      </c>
      <c r="B60" s="20">
        <f t="shared" si="0"/>
        <v>3.0643333333333334</v>
      </c>
      <c r="C60">
        <v>1</v>
      </c>
    </row>
    <row r="61" spans="1:3" x14ac:dyDescent="0.3">
      <c r="A61" s="18">
        <v>2040</v>
      </c>
      <c r="B61" s="20">
        <f t="shared" si="0"/>
        <v>3.0643333333333334</v>
      </c>
      <c r="C61">
        <v>1</v>
      </c>
    </row>
    <row r="62" spans="1:3" x14ac:dyDescent="0.3">
      <c r="A62" s="18">
        <v>2040.5</v>
      </c>
      <c r="B62" s="20">
        <f t="shared" si="0"/>
        <v>3.0643333333333334</v>
      </c>
      <c r="C62">
        <v>1</v>
      </c>
    </row>
    <row r="63" spans="1:3" x14ac:dyDescent="0.3">
      <c r="A63" s="18">
        <v>2041</v>
      </c>
      <c r="B63" s="20">
        <f t="shared" si="0"/>
        <v>3.0643333333333334</v>
      </c>
      <c r="C63">
        <v>1</v>
      </c>
    </row>
    <row r="64" spans="1:3" x14ac:dyDescent="0.3">
      <c r="A64" s="18">
        <v>2041.5</v>
      </c>
      <c r="B64" s="20">
        <f t="shared" si="0"/>
        <v>3.0643333333333334</v>
      </c>
      <c r="C64">
        <v>1</v>
      </c>
    </row>
    <row r="65" spans="1:3" x14ac:dyDescent="0.3">
      <c r="A65" s="18">
        <v>2042</v>
      </c>
      <c r="B65" s="20">
        <f t="shared" si="0"/>
        <v>3.0643333333333334</v>
      </c>
      <c r="C65">
        <v>1</v>
      </c>
    </row>
    <row r="66" spans="1:3" x14ac:dyDescent="0.3">
      <c r="A66" s="18">
        <v>2042.5</v>
      </c>
      <c r="B66" s="20">
        <f t="shared" si="0"/>
        <v>3.0643333333333334</v>
      </c>
      <c r="C66">
        <v>1</v>
      </c>
    </row>
    <row r="67" spans="1:3" x14ac:dyDescent="0.3">
      <c r="A67" s="18">
        <v>2043</v>
      </c>
      <c r="B67" s="20">
        <f t="shared" si="0"/>
        <v>3.0643333333333334</v>
      </c>
      <c r="C67">
        <v>1</v>
      </c>
    </row>
    <row r="68" spans="1:3" x14ac:dyDescent="0.3">
      <c r="A68" s="18">
        <v>2043.5</v>
      </c>
      <c r="B68" s="20">
        <f t="shared" si="0"/>
        <v>3.0643333333333334</v>
      </c>
      <c r="C68">
        <v>1</v>
      </c>
    </row>
    <row r="69" spans="1:3" x14ac:dyDescent="0.3">
      <c r="A69" s="18">
        <v>2044</v>
      </c>
      <c r="B69" s="20">
        <f t="shared" si="0"/>
        <v>3.0643333333333334</v>
      </c>
      <c r="C69">
        <v>1</v>
      </c>
    </row>
    <row r="70" spans="1:3" x14ac:dyDescent="0.3">
      <c r="A70" s="18">
        <v>2044.5</v>
      </c>
      <c r="B70" s="20">
        <f t="shared" si="0"/>
        <v>3.0643333333333334</v>
      </c>
      <c r="C70">
        <v>1</v>
      </c>
    </row>
    <row r="71" spans="1:3" x14ac:dyDescent="0.3">
      <c r="A71" s="18">
        <v>2045</v>
      </c>
      <c r="B71" s="20">
        <f t="shared" si="0"/>
        <v>3.0643333333333334</v>
      </c>
      <c r="C71">
        <v>1</v>
      </c>
    </row>
    <row r="72" spans="1:3" x14ac:dyDescent="0.3">
      <c r="A72" s="18">
        <v>2045.5</v>
      </c>
      <c r="B72" s="20">
        <f t="shared" si="0"/>
        <v>3.0643333333333334</v>
      </c>
      <c r="C72">
        <v>1</v>
      </c>
    </row>
    <row r="73" spans="1:3" x14ac:dyDescent="0.3">
      <c r="A73" s="18">
        <v>2046</v>
      </c>
      <c r="B73" s="20">
        <f t="shared" si="0"/>
        <v>3.0643333333333334</v>
      </c>
      <c r="C73">
        <v>1</v>
      </c>
    </row>
    <row r="74" spans="1:3" x14ac:dyDescent="0.3">
      <c r="A74" s="18">
        <v>2046.5</v>
      </c>
      <c r="B74" s="20">
        <f t="shared" si="0"/>
        <v>3.0643333333333334</v>
      </c>
      <c r="C74">
        <v>1</v>
      </c>
    </row>
    <row r="75" spans="1:3" x14ac:dyDescent="0.3">
      <c r="A75" s="18">
        <v>2047</v>
      </c>
      <c r="B75" s="20">
        <f t="shared" si="0"/>
        <v>3.0643333333333334</v>
      </c>
      <c r="C75">
        <v>1</v>
      </c>
    </row>
    <row r="76" spans="1:3" x14ac:dyDescent="0.3">
      <c r="A76" s="18">
        <v>2047.5</v>
      </c>
      <c r="B76" s="20">
        <f t="shared" si="0"/>
        <v>3.0643333333333334</v>
      </c>
      <c r="C76">
        <v>1</v>
      </c>
    </row>
    <row r="77" spans="1:3" x14ac:dyDescent="0.3">
      <c r="A77" s="18">
        <v>2048</v>
      </c>
      <c r="B77" s="20">
        <f t="shared" si="0"/>
        <v>3.0643333333333334</v>
      </c>
      <c r="C77">
        <v>1</v>
      </c>
    </row>
    <row r="78" spans="1:3" x14ac:dyDescent="0.3">
      <c r="A78" s="18">
        <v>2048.5</v>
      </c>
      <c r="B78" s="20">
        <f t="shared" si="0"/>
        <v>3.0643333333333334</v>
      </c>
      <c r="C78">
        <v>1</v>
      </c>
    </row>
    <row r="79" spans="1:3" x14ac:dyDescent="0.3">
      <c r="A79" s="18">
        <v>2049</v>
      </c>
      <c r="B79" s="20">
        <f t="shared" si="0"/>
        <v>3.0643333333333334</v>
      </c>
      <c r="C79">
        <v>1</v>
      </c>
    </row>
    <row r="80" spans="1:3" x14ac:dyDescent="0.3">
      <c r="A80" s="18">
        <v>2049.5</v>
      </c>
      <c r="B80" s="20">
        <f t="shared" si="0"/>
        <v>3.0643333333333334</v>
      </c>
      <c r="C80">
        <v>1</v>
      </c>
    </row>
    <row r="81" spans="1:3" x14ac:dyDescent="0.3">
      <c r="A81" s="18">
        <v>2050</v>
      </c>
      <c r="B81" s="20">
        <f t="shared" si="0"/>
        <v>3.0643333333333334</v>
      </c>
      <c r="C81">
        <v>1</v>
      </c>
    </row>
    <row r="82" spans="1:3" x14ac:dyDescent="0.3">
      <c r="A82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652-74D1-4B3E-96C5-211693738343}">
  <dimension ref="A1:Z61"/>
  <sheetViews>
    <sheetView zoomScaleNormal="100" workbookViewId="0">
      <pane xSplit="1" topLeftCell="I1" activePane="topRight" state="frozen"/>
      <selection pane="topRight" activeCell="W1" sqref="W1"/>
    </sheetView>
  </sheetViews>
  <sheetFormatPr defaultRowHeight="14.4" x14ac:dyDescent="0.3"/>
  <cols>
    <col min="1" max="1" width="30" bestFit="1" customWidth="1"/>
    <col min="2" max="4" width="14.88671875" bestFit="1" customWidth="1"/>
    <col min="5" max="5" width="14.109375" bestFit="1" customWidth="1"/>
    <col min="6" max="6" width="12.109375" bestFit="1" customWidth="1"/>
    <col min="7" max="7" width="11.21875" bestFit="1" customWidth="1"/>
    <col min="8" max="8" width="14.6640625" bestFit="1" customWidth="1"/>
    <col min="9" max="9" width="14.88671875" bestFit="1" customWidth="1"/>
    <col min="10" max="10" width="13.88671875" bestFit="1" customWidth="1"/>
    <col min="11" max="12" width="14.88671875" bestFit="1" customWidth="1"/>
    <col min="13" max="13" width="13.88671875" customWidth="1"/>
    <col min="14" max="14" width="14.88671875" bestFit="1" customWidth="1"/>
    <col min="15" max="23" width="14.88671875" customWidth="1"/>
  </cols>
  <sheetData>
    <row r="1" spans="1:26" x14ac:dyDescent="0.3">
      <c r="A1" s="1" t="s">
        <v>273</v>
      </c>
      <c r="J1">
        <v>2</v>
      </c>
      <c r="K1">
        <v>3</v>
      </c>
      <c r="M1">
        <v>6</v>
      </c>
      <c r="O1">
        <v>1</v>
      </c>
      <c r="P1">
        <v>5</v>
      </c>
      <c r="T1">
        <v>4</v>
      </c>
      <c r="U1">
        <v>8</v>
      </c>
      <c r="V1">
        <v>9</v>
      </c>
      <c r="W1">
        <v>7</v>
      </c>
    </row>
    <row r="2" spans="1:26" x14ac:dyDescent="0.3">
      <c r="A2" s="1" t="s">
        <v>272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12</v>
      </c>
      <c r="J2" s="26">
        <v>8</v>
      </c>
      <c r="K2" s="26">
        <v>9</v>
      </c>
      <c r="L2">
        <v>10</v>
      </c>
      <c r="M2" s="26">
        <v>11</v>
      </c>
      <c r="N2">
        <v>13</v>
      </c>
      <c r="O2" s="26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Y2" t="s">
        <v>174</v>
      </c>
    </row>
    <row r="3" spans="1:26" x14ac:dyDescent="0.3">
      <c r="A3" s="1" t="s">
        <v>6</v>
      </c>
    </row>
    <row r="4" spans="1:26" x14ac:dyDescent="0.3">
      <c r="A4" t="s">
        <v>20</v>
      </c>
      <c r="B4" s="22" t="s">
        <v>79</v>
      </c>
      <c r="C4" s="22" t="s">
        <v>79</v>
      </c>
      <c r="D4" s="22" t="s">
        <v>85</v>
      </c>
      <c r="E4" s="22" t="s">
        <v>79</v>
      </c>
      <c r="F4" s="22" t="s">
        <v>138</v>
      </c>
      <c r="G4" s="22" t="s">
        <v>85</v>
      </c>
      <c r="H4" s="22" t="s">
        <v>85</v>
      </c>
      <c r="I4" s="22" t="s">
        <v>79</v>
      </c>
      <c r="J4" s="29" t="s">
        <v>79</v>
      </c>
      <c r="K4" s="29" t="s">
        <v>85</v>
      </c>
      <c r="L4" s="30" t="s">
        <v>79</v>
      </c>
      <c r="M4" s="29" t="s">
        <v>85</v>
      </c>
      <c r="N4" s="22" t="s">
        <v>79</v>
      </c>
      <c r="O4" s="28" t="s">
        <v>79</v>
      </c>
      <c r="P4" s="31" t="s">
        <v>85</v>
      </c>
      <c r="Q4" s="22" t="s">
        <v>79</v>
      </c>
      <c r="R4" s="22" t="s">
        <v>138</v>
      </c>
      <c r="S4" s="22" t="s">
        <v>85</v>
      </c>
      <c r="T4" s="22" t="s">
        <v>85</v>
      </c>
      <c r="U4" s="22" t="s">
        <v>79</v>
      </c>
      <c r="V4" s="22" t="s">
        <v>85</v>
      </c>
      <c r="W4" s="22" t="s">
        <v>85</v>
      </c>
      <c r="Y4" t="s">
        <v>175</v>
      </c>
    </row>
    <row r="5" spans="1:26" x14ac:dyDescent="0.3">
      <c r="A5" t="s">
        <v>146</v>
      </c>
      <c r="B5" s="3" t="s">
        <v>102</v>
      </c>
      <c r="C5" s="22" t="s">
        <v>102</v>
      </c>
      <c r="D5" s="22" t="s">
        <v>102</v>
      </c>
      <c r="E5" s="22" t="s">
        <v>102</v>
      </c>
      <c r="F5" s="22" t="s">
        <v>102</v>
      </c>
      <c r="G5" s="22" t="s">
        <v>102</v>
      </c>
      <c r="H5" s="22" t="s">
        <v>102</v>
      </c>
      <c r="I5" t="s">
        <v>102</v>
      </c>
      <c r="J5" s="3" t="s">
        <v>102</v>
      </c>
      <c r="K5" s="3" t="s">
        <v>102</v>
      </c>
      <c r="L5" s="3" t="s">
        <v>78</v>
      </c>
      <c r="M5" s="3" t="s">
        <v>78</v>
      </c>
      <c r="N5" s="22" t="s">
        <v>78</v>
      </c>
      <c r="O5" s="22" t="s">
        <v>197</v>
      </c>
      <c r="P5" s="22" t="s">
        <v>102</v>
      </c>
      <c r="Q5" s="22" t="s">
        <v>78</v>
      </c>
      <c r="R5" s="22" t="s">
        <v>78</v>
      </c>
      <c r="S5" s="22" t="s">
        <v>78</v>
      </c>
      <c r="T5" s="22" t="s">
        <v>78</v>
      </c>
      <c r="U5" s="22" t="s">
        <v>78</v>
      </c>
      <c r="V5" s="22" t="s">
        <v>78</v>
      </c>
      <c r="W5" s="22" t="s">
        <v>78</v>
      </c>
      <c r="Y5" t="s">
        <v>176</v>
      </c>
      <c r="Z5" t="s">
        <v>177</v>
      </c>
    </row>
    <row r="6" spans="1:26" x14ac:dyDescent="0.3">
      <c r="A6" s="33" t="s">
        <v>90</v>
      </c>
      <c r="B6" s="3" t="b">
        <v>0</v>
      </c>
      <c r="C6" s="22" t="b">
        <v>0</v>
      </c>
      <c r="D6" s="22" t="b">
        <v>0</v>
      </c>
      <c r="E6" s="22" t="b">
        <v>0</v>
      </c>
      <c r="F6" s="22" t="b">
        <v>0</v>
      </c>
      <c r="G6" s="22" t="b">
        <v>0</v>
      </c>
      <c r="H6" s="22" t="b">
        <v>0</v>
      </c>
      <c r="I6" t="b">
        <v>0</v>
      </c>
      <c r="J6" s="3" t="b">
        <v>0</v>
      </c>
      <c r="K6" s="3" t="b">
        <v>0</v>
      </c>
      <c r="L6" s="3" t="b">
        <v>0</v>
      </c>
      <c r="M6" s="3" t="b">
        <v>0</v>
      </c>
      <c r="N6" s="22" t="b">
        <v>0</v>
      </c>
      <c r="O6" s="22" t="b">
        <v>0</v>
      </c>
      <c r="P6" s="31" t="b">
        <v>0</v>
      </c>
      <c r="Q6" s="22" t="b">
        <v>0</v>
      </c>
      <c r="R6" s="22" t="b">
        <v>0</v>
      </c>
      <c r="S6" s="22" t="b">
        <v>0</v>
      </c>
      <c r="T6" s="22" t="b">
        <v>0</v>
      </c>
      <c r="U6" s="22" t="b">
        <v>0</v>
      </c>
      <c r="V6" s="22" t="b">
        <v>0</v>
      </c>
      <c r="W6" s="22" t="b">
        <v>0</v>
      </c>
      <c r="Z6" t="s">
        <v>178</v>
      </c>
    </row>
    <row r="7" spans="1:26" x14ac:dyDescent="0.3">
      <c r="A7" t="s">
        <v>147</v>
      </c>
      <c r="B7" s="3">
        <v>26578092.437204901</v>
      </c>
      <c r="C7" s="22">
        <v>26578092.437204901</v>
      </c>
      <c r="D7" s="22">
        <v>26578092.437204901</v>
      </c>
      <c r="E7" s="22">
        <v>64000</v>
      </c>
      <c r="F7" s="22">
        <v>64000</v>
      </c>
      <c r="G7" s="22">
        <v>64000</v>
      </c>
      <c r="H7" s="22">
        <v>26578092.437204901</v>
      </c>
      <c r="I7" s="22">
        <v>26578092.437204901</v>
      </c>
      <c r="J7" s="3">
        <v>26578092.437204901</v>
      </c>
      <c r="K7" s="22">
        <v>26578092.437204901</v>
      </c>
      <c r="L7" s="22">
        <v>26578092.437204901</v>
      </c>
      <c r="M7" s="3">
        <v>26578092.437204901</v>
      </c>
      <c r="N7" s="22">
        <v>26578092.437204901</v>
      </c>
      <c r="O7" s="22">
        <v>26578092.437204901</v>
      </c>
      <c r="P7" s="22">
        <v>26578092.437204901</v>
      </c>
      <c r="Q7" s="22">
        <v>64000</v>
      </c>
      <c r="R7" s="22">
        <v>64000</v>
      </c>
      <c r="S7" s="22">
        <v>64000</v>
      </c>
      <c r="T7" s="36">
        <v>26578092.437204901</v>
      </c>
      <c r="U7" s="3">
        <v>64000</v>
      </c>
      <c r="V7" s="3">
        <v>64000</v>
      </c>
      <c r="W7" s="22">
        <v>26578092.437204901</v>
      </c>
    </row>
    <row r="8" spans="1:26" x14ac:dyDescent="0.3">
      <c r="A8" t="s">
        <v>183</v>
      </c>
      <c r="B8" s="3" t="s">
        <v>184</v>
      </c>
      <c r="C8" s="3" t="s">
        <v>184</v>
      </c>
      <c r="D8" s="3" t="s">
        <v>184</v>
      </c>
      <c r="E8" s="3" t="s">
        <v>184</v>
      </c>
      <c r="F8" s="3" t="s">
        <v>184</v>
      </c>
      <c r="G8" s="3" t="s">
        <v>184</v>
      </c>
      <c r="H8" s="22" t="s">
        <v>185</v>
      </c>
      <c r="I8" s="3" t="s">
        <v>185</v>
      </c>
      <c r="J8" s="3" t="s">
        <v>184</v>
      </c>
      <c r="K8" s="3" t="s">
        <v>184</v>
      </c>
      <c r="L8" s="3" t="s">
        <v>184</v>
      </c>
      <c r="M8" s="3" t="s">
        <v>184</v>
      </c>
      <c r="N8" s="22" t="s">
        <v>184</v>
      </c>
      <c r="O8" s="22" t="s">
        <v>184</v>
      </c>
      <c r="P8" s="31" t="s">
        <v>185</v>
      </c>
      <c r="Q8" s="3" t="s">
        <v>184</v>
      </c>
      <c r="R8" s="3" t="s">
        <v>184</v>
      </c>
      <c r="S8" s="3" t="s">
        <v>184</v>
      </c>
      <c r="T8" s="3" t="s">
        <v>184</v>
      </c>
      <c r="U8" s="3" t="s">
        <v>184</v>
      </c>
      <c r="V8" s="3" t="s">
        <v>184</v>
      </c>
      <c r="W8" s="3" t="s">
        <v>184</v>
      </c>
    </row>
    <row r="9" spans="1:26" x14ac:dyDescent="0.3">
      <c r="A9" t="s">
        <v>219</v>
      </c>
      <c r="B9" s="3"/>
      <c r="C9" s="3"/>
      <c r="D9" s="3"/>
      <c r="E9" s="3"/>
      <c r="F9" s="3"/>
      <c r="G9" s="3"/>
      <c r="H9" s="22"/>
      <c r="I9" s="3"/>
      <c r="J9" s="3"/>
      <c r="K9" s="3"/>
      <c r="L9" s="3"/>
      <c r="M9" s="3"/>
      <c r="N9" s="22"/>
      <c r="O9" s="22"/>
      <c r="P9" s="31"/>
      <c r="Q9" s="3"/>
      <c r="R9" s="3"/>
      <c r="S9" s="3"/>
      <c r="T9" s="22">
        <v>3.0638441517386701</v>
      </c>
      <c r="U9" s="36">
        <v>0</v>
      </c>
      <c r="V9" s="36">
        <v>0</v>
      </c>
      <c r="W9" s="22">
        <v>3.0638441517386701</v>
      </c>
    </row>
    <row r="10" spans="1:26" x14ac:dyDescent="0.3">
      <c r="A10" s="1" t="s">
        <v>148</v>
      </c>
      <c r="B10" s="3"/>
      <c r="C10" s="22"/>
      <c r="D10" s="22"/>
      <c r="E10" s="22"/>
      <c r="F10" s="22"/>
      <c r="G10" s="22"/>
      <c r="Y10" t="s">
        <v>179</v>
      </c>
    </row>
    <row r="11" spans="1:26" x14ac:dyDescent="0.3">
      <c r="A11" t="s">
        <v>149</v>
      </c>
      <c r="B11" s="23">
        <v>697.884027378518</v>
      </c>
      <c r="C11" s="23">
        <v>649.65375644307699</v>
      </c>
      <c r="D11" s="23">
        <v>636.35956844237296</v>
      </c>
      <c r="E11" s="23">
        <v>609.24741029683696</v>
      </c>
      <c r="F11" s="23">
        <v>530.23693424619205</v>
      </c>
      <c r="G11" s="23">
        <v>432.544725325797</v>
      </c>
      <c r="H11" s="23">
        <v>662.56661538108006</v>
      </c>
      <c r="I11" s="23">
        <v>680.01065470740298</v>
      </c>
      <c r="J11" s="23">
        <v>647.02551059914197</v>
      </c>
      <c r="K11" s="23">
        <v>633.44103572541201</v>
      </c>
      <c r="L11" s="23">
        <v>647.02551059914197</v>
      </c>
      <c r="M11" s="23">
        <v>629.82325591411598</v>
      </c>
      <c r="N11" s="23">
        <v>687.26309691838196</v>
      </c>
      <c r="O11" s="23">
        <v>678.87426971018499</v>
      </c>
      <c r="P11" s="32">
        <v>659.31035109280197</v>
      </c>
      <c r="Q11" s="32">
        <v>609.22711199579896</v>
      </c>
      <c r="R11" s="32">
        <v>530.17085242485598</v>
      </c>
      <c r="S11" s="32">
        <v>432.17375775875098</v>
      </c>
      <c r="T11" s="37">
        <v>616.68790878557797</v>
      </c>
      <c r="U11" s="37">
        <v>609.22711199579896</v>
      </c>
      <c r="V11" s="37">
        <v>432.17375775875098</v>
      </c>
      <c r="W11" s="43">
        <v>599.41119164034205</v>
      </c>
      <c r="Z11" t="s">
        <v>180</v>
      </c>
    </row>
    <row r="12" spans="1:26" x14ac:dyDescent="0.3">
      <c r="A12" t="s">
        <v>66</v>
      </c>
      <c r="B12" s="22">
        <v>9.4569277763366699</v>
      </c>
      <c r="C12" s="22">
        <v>1300.0746300220401</v>
      </c>
      <c r="D12" s="22">
        <v>1639.87720012664</v>
      </c>
      <c r="E12" s="22">
        <v>3133.4677019119199</v>
      </c>
      <c r="F12" s="22">
        <v>736.43312096595696</v>
      </c>
      <c r="G12" s="22">
        <v>670.26163721084595</v>
      </c>
      <c r="H12" s="22">
        <v>919.16119694709698</v>
      </c>
      <c r="I12" s="22">
        <v>2427.2889068126601</v>
      </c>
      <c r="J12" s="22">
        <v>4211.1156399250003</v>
      </c>
      <c r="K12" s="22">
        <v>4083.08587312698</v>
      </c>
      <c r="L12" s="22">
        <v>39600.609282016703</v>
      </c>
      <c r="M12" s="22">
        <v>17631.037314891801</v>
      </c>
      <c r="N12" s="22">
        <v>4622.76460695266</v>
      </c>
      <c r="O12" s="22">
        <v>52.848302125930701</v>
      </c>
      <c r="P12" s="31">
        <v>886.68696498870804</v>
      </c>
      <c r="Q12" s="31">
        <v>14401.5432479381</v>
      </c>
      <c r="R12" s="31">
        <v>734.936652898788</v>
      </c>
      <c r="S12" s="31">
        <v>682.29324984550396</v>
      </c>
      <c r="T12" s="32">
        <v>2374.32150483131</v>
      </c>
      <c r="U12" s="44">
        <v>14402.060109853701</v>
      </c>
      <c r="V12" s="44">
        <v>651.56380891799904</v>
      </c>
      <c r="W12" s="43">
        <v>20510.1706309318</v>
      </c>
      <c r="Z12" t="s">
        <v>181</v>
      </c>
    </row>
    <row r="13" spans="1:26" x14ac:dyDescent="0.3">
      <c r="A13" t="s">
        <v>150</v>
      </c>
      <c r="B13" s="22">
        <v>4.3985171364821501E-4</v>
      </c>
      <c r="C13" s="22">
        <v>2.69306410232841E-4</v>
      </c>
      <c r="D13" s="22">
        <v>0</v>
      </c>
      <c r="E13" s="22">
        <v>9.2005095908254001E-4</v>
      </c>
      <c r="F13" s="22">
        <v>1.1316593381965E-4</v>
      </c>
      <c r="G13" s="22">
        <v>2.1868853258422401E-11</v>
      </c>
      <c r="H13" s="22">
        <v>1.7408681950279799E-5</v>
      </c>
      <c r="I13" s="22">
        <v>0</v>
      </c>
      <c r="J13" s="22">
        <v>8.9960924271766899E-4</v>
      </c>
      <c r="K13" s="22">
        <v>6.7749548605001298E-13</v>
      </c>
      <c r="L13" s="23">
        <v>8.7232010834425502</v>
      </c>
      <c r="M13" s="23">
        <v>0</v>
      </c>
      <c r="N13" s="22">
        <v>9.8959975402331999E-4</v>
      </c>
      <c r="O13" s="22">
        <v>8.96071358941519E-4</v>
      </c>
      <c r="P13" s="31">
        <v>3.7206736152714702E-7</v>
      </c>
      <c r="Q13" s="31">
        <v>3.5157763764803499E-3</v>
      </c>
      <c r="R13" s="31">
        <v>1.13180037969244E-4</v>
      </c>
      <c r="S13" s="31">
        <v>2.51838709329082E-11</v>
      </c>
      <c r="T13" s="31">
        <v>1.2758176377813799E-12</v>
      </c>
      <c r="U13" s="40">
        <v>3.5157763764803499E-3</v>
      </c>
      <c r="V13" s="40">
        <v>2.51838709329082E-11</v>
      </c>
      <c r="W13" s="38">
        <v>8.5517246293914404E-13</v>
      </c>
      <c r="Z13" t="s">
        <v>182</v>
      </c>
    </row>
    <row r="14" spans="1:26" x14ac:dyDescent="0.3">
      <c r="A14" t="s">
        <v>151</v>
      </c>
      <c r="B14" s="22">
        <v>0</v>
      </c>
      <c r="C14" s="22">
        <v>0</v>
      </c>
      <c r="D14" s="22">
        <v>0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0</v>
      </c>
      <c r="O14" s="22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40">
        <v>0</v>
      </c>
      <c r="V14" s="40">
        <v>0</v>
      </c>
      <c r="W14" s="31">
        <v>0</v>
      </c>
      <c r="Z14" t="s">
        <v>186</v>
      </c>
    </row>
    <row r="15" spans="1:26" x14ac:dyDescent="0.3">
      <c r="A15" s="1" t="s">
        <v>152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31"/>
      <c r="Q15" s="31"/>
      <c r="R15" s="31"/>
      <c r="S15" s="31"/>
      <c r="T15" s="31"/>
      <c r="U15" s="40"/>
      <c r="V15" s="40"/>
      <c r="W15" s="31"/>
    </row>
    <row r="16" spans="1:26" x14ac:dyDescent="0.3">
      <c r="A16" t="s">
        <v>153</v>
      </c>
      <c r="B16" s="23">
        <v>331.44023745686201</v>
      </c>
      <c r="C16" s="23">
        <v>331.29081741620399</v>
      </c>
      <c r="D16" s="23">
        <v>317.99662941550901</v>
      </c>
      <c r="E16" s="23">
        <v>331.04245855075197</v>
      </c>
      <c r="F16" s="23">
        <v>250.510479148521</v>
      </c>
      <c r="G16" s="23">
        <v>151.41751627727101</v>
      </c>
      <c r="H16" s="23">
        <v>313.85660435563699</v>
      </c>
      <c r="I16" s="23">
        <v>331.30064368195201</v>
      </c>
      <c r="J16" s="23">
        <v>331.24497835393498</v>
      </c>
      <c r="K16" s="23">
        <v>317.660503480204</v>
      </c>
      <c r="L16" s="23">
        <v>331.24497835393498</v>
      </c>
      <c r="M16" s="23">
        <v>331.63212868795</v>
      </c>
      <c r="N16" s="23">
        <v>343.06608870385901</v>
      </c>
      <c r="O16" s="23">
        <v>331.384468922407</v>
      </c>
      <c r="P16" s="32">
        <v>313.50905842858702</v>
      </c>
      <c r="Q16" s="32">
        <v>331.06495318393002</v>
      </c>
      <c r="R16" s="32">
        <v>250.44439732718999</v>
      </c>
      <c r="S16" s="32">
        <v>151.04654871022299</v>
      </c>
      <c r="T16" s="32">
        <v>317.660503480204</v>
      </c>
      <c r="U16" s="44">
        <v>331.06495318393002</v>
      </c>
      <c r="V16" s="44">
        <v>151.04654871022299</v>
      </c>
      <c r="W16" s="32">
        <v>331.63305611792202</v>
      </c>
      <c r="Y16" t="s">
        <v>190</v>
      </c>
    </row>
    <row r="17" spans="1:25" x14ac:dyDescent="0.3">
      <c r="A17" s="21" t="s">
        <v>154</v>
      </c>
      <c r="B17" s="22">
        <v>331.464587111637</v>
      </c>
      <c r="C17" s="22">
        <v>331.464587111637</v>
      </c>
      <c r="D17" s="22">
        <v>317.97127753128899</v>
      </c>
      <c r="E17" s="22">
        <v>331.464587111637</v>
      </c>
      <c r="F17" s="22">
        <v>247.712926974433</v>
      </c>
      <c r="G17" s="22">
        <v>137.636196975807</v>
      </c>
      <c r="H17" s="22">
        <v>313.79475885947801</v>
      </c>
      <c r="I17" s="22">
        <v>331.464587111637</v>
      </c>
      <c r="J17" s="22">
        <v>331.464587111637</v>
      </c>
      <c r="K17" s="22">
        <v>317.63477994612202</v>
      </c>
      <c r="L17" s="22">
        <v>331.464587111637</v>
      </c>
      <c r="M17" s="22">
        <v>319.10475744885002</v>
      </c>
      <c r="N17" s="22">
        <v>331.42500933695999</v>
      </c>
      <c r="O17" s="22">
        <v>331.464587111637</v>
      </c>
      <c r="P17" s="31">
        <v>313.44591357708299</v>
      </c>
      <c r="Q17" s="31">
        <v>331.464587111637</v>
      </c>
      <c r="R17" s="31">
        <v>247.64685019457701</v>
      </c>
      <c r="S17" s="31">
        <v>137.308322409797</v>
      </c>
      <c r="T17" s="38">
        <v>317.634779946121</v>
      </c>
      <c r="U17" s="39">
        <v>331.464587111637</v>
      </c>
      <c r="V17" s="39">
        <v>137.308322409797</v>
      </c>
      <c r="W17" s="38">
        <v>319.10475744885002</v>
      </c>
    </row>
    <row r="18" spans="1:25" x14ac:dyDescent="0.3">
      <c r="A18" s="21" t="s">
        <v>155</v>
      </c>
      <c r="B18" s="22">
        <v>331.342838837768</v>
      </c>
      <c r="C18" s="22">
        <v>330.59573863447901</v>
      </c>
      <c r="D18" s="22">
        <v>318.09803695238003</v>
      </c>
      <c r="E18" s="22">
        <v>329.35394430721402</v>
      </c>
      <c r="F18" s="22">
        <v>261.70068784487302</v>
      </c>
      <c r="G18" s="22">
        <v>206.54279348312801</v>
      </c>
      <c r="H18" s="22">
        <v>314.10398634026598</v>
      </c>
      <c r="I18" s="22">
        <v>330.64486996321602</v>
      </c>
      <c r="J18" s="22">
        <v>330.36654332313299</v>
      </c>
      <c r="K18" s="22">
        <v>317.76339761653099</v>
      </c>
      <c r="L18" s="22">
        <v>330.36654332313299</v>
      </c>
      <c r="M18" s="22">
        <v>381.741613644344</v>
      </c>
      <c r="N18" s="22">
        <v>389.63040617145202</v>
      </c>
      <c r="O18" s="22">
        <v>331.06399616549299</v>
      </c>
      <c r="P18" s="31">
        <v>313.76163783459498</v>
      </c>
      <c r="Q18" s="31">
        <v>329.466417473104</v>
      </c>
      <c r="R18" s="31">
        <v>261.63458585764403</v>
      </c>
      <c r="S18" s="31">
        <v>205.999453911925</v>
      </c>
      <c r="T18" s="31">
        <v>317.76339761653099</v>
      </c>
      <c r="U18" s="40">
        <v>329.466417473104</v>
      </c>
      <c r="V18" s="40">
        <v>205.999453911925</v>
      </c>
      <c r="W18" s="38">
        <v>381.74625079420503</v>
      </c>
      <c r="Y18" t="s">
        <v>191</v>
      </c>
    </row>
    <row r="19" spans="1:25" x14ac:dyDescent="0.3">
      <c r="A19" t="s">
        <v>156</v>
      </c>
      <c r="B19" s="23">
        <v>366.44378992165201</v>
      </c>
      <c r="C19" s="23">
        <v>318.36293902687498</v>
      </c>
      <c r="D19" s="23">
        <v>318.36293902687697</v>
      </c>
      <c r="E19" s="23">
        <v>278.20495174608698</v>
      </c>
      <c r="F19" s="23">
        <v>279.72645509766602</v>
      </c>
      <c r="G19" s="23">
        <v>281.12720904852603</v>
      </c>
      <c r="H19" s="23">
        <v>348.71001102545301</v>
      </c>
      <c r="I19" s="23">
        <v>348.71001102545398</v>
      </c>
      <c r="J19" s="23">
        <v>315.78053224520499</v>
      </c>
      <c r="K19" s="23">
        <v>315.78053224520499</v>
      </c>
      <c r="L19" s="23">
        <v>315.78053224520499</v>
      </c>
      <c r="M19" s="23">
        <v>298.191127226167</v>
      </c>
      <c r="N19" s="22">
        <v>344.19700821451897</v>
      </c>
      <c r="O19" s="22">
        <v>347.48980078777402</v>
      </c>
      <c r="P19" s="31">
        <v>345.80129266420602</v>
      </c>
      <c r="Q19" s="31">
        <v>278.16215881186702</v>
      </c>
      <c r="R19" s="31">
        <v>279.72645509766602</v>
      </c>
      <c r="S19" s="31">
        <v>281.12720904852603</v>
      </c>
      <c r="T19" s="31">
        <v>315.78053224520897</v>
      </c>
      <c r="U19" s="40">
        <v>278.16215881186702</v>
      </c>
      <c r="V19" s="40">
        <v>281.12720904852603</v>
      </c>
      <c r="W19" s="31">
        <v>298.191127226167</v>
      </c>
    </row>
    <row r="20" spans="1:25" x14ac:dyDescent="0.3">
      <c r="A20" s="21" t="s">
        <v>187</v>
      </c>
      <c r="B20" s="23"/>
      <c r="C20" s="23"/>
      <c r="D20" s="23"/>
      <c r="E20" s="23"/>
      <c r="F20" s="23"/>
      <c r="G20" s="23"/>
      <c r="H20" s="23"/>
      <c r="I20" s="23"/>
      <c r="J20" s="27">
        <v>0</v>
      </c>
      <c r="K20" s="27">
        <v>0</v>
      </c>
      <c r="L20" s="23">
        <v>0</v>
      </c>
      <c r="M20" s="27">
        <v>89.450802844688596</v>
      </c>
      <c r="N20" s="22">
        <v>138.664128583436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31">
        <v>0</v>
      </c>
      <c r="U20" s="40">
        <v>0</v>
      </c>
      <c r="V20" s="40">
        <v>0</v>
      </c>
      <c r="W20" s="38">
        <v>89.450802844688596</v>
      </c>
      <c r="Y20" t="s">
        <v>192</v>
      </c>
    </row>
    <row r="21" spans="1:25" x14ac:dyDescent="0.3">
      <c r="A21" s="21" t="s">
        <v>157</v>
      </c>
      <c r="B21" s="22">
        <v>366.44378992165201</v>
      </c>
      <c r="C21" s="22">
        <v>277.99184063021897</v>
      </c>
      <c r="D21" s="22">
        <v>277.99184063021897</v>
      </c>
      <c r="E21" s="22">
        <v>277.99184063021897</v>
      </c>
      <c r="F21" s="22">
        <v>277.99184063021897</v>
      </c>
      <c r="G21" s="22">
        <v>277.99184063021897</v>
      </c>
      <c r="H21" s="22">
        <v>277.99184063021897</v>
      </c>
      <c r="I21" s="22">
        <v>277.99184063021897</v>
      </c>
      <c r="J21" s="22">
        <v>277.99184063021897</v>
      </c>
      <c r="K21" s="22">
        <v>277.99184063021897</v>
      </c>
      <c r="L21" s="22">
        <v>277.99184063021897</v>
      </c>
      <c r="M21" s="23">
        <v>183.22189496082601</v>
      </c>
      <c r="N21" s="23">
        <v>183.22189496082601</v>
      </c>
      <c r="O21" s="23">
        <v>347.48980078777402</v>
      </c>
      <c r="P21" s="32">
        <v>277.99184063021897</v>
      </c>
      <c r="Q21" s="32">
        <v>277.99184063021897</v>
      </c>
      <c r="R21" s="32">
        <v>277.99184063021897</v>
      </c>
      <c r="S21" s="32">
        <v>277.99184063021897</v>
      </c>
      <c r="T21" s="31">
        <v>277.99184063021897</v>
      </c>
      <c r="U21" s="40">
        <v>277.99184063021897</v>
      </c>
      <c r="V21" s="40">
        <v>277.99184063021897</v>
      </c>
      <c r="W21" s="31">
        <v>183.22189496082601</v>
      </c>
    </row>
    <row r="22" spans="1:25" x14ac:dyDescent="0.3">
      <c r="A22" s="21" t="s">
        <v>158</v>
      </c>
      <c r="B22" s="22">
        <v>0</v>
      </c>
      <c r="C22" s="23">
        <v>40.371098396656002</v>
      </c>
      <c r="D22" s="22">
        <v>40.371098396657999</v>
      </c>
      <c r="E22" s="22">
        <v>0.21311111586798201</v>
      </c>
      <c r="F22" s="22">
        <v>1.73461446744706</v>
      </c>
      <c r="G22" s="22">
        <v>3.1353684183071202</v>
      </c>
      <c r="H22" s="23">
        <v>70.718170395233699</v>
      </c>
      <c r="I22" s="22">
        <v>70.718170395235305</v>
      </c>
      <c r="J22" s="23">
        <v>37.7886916149859</v>
      </c>
      <c r="K22" s="23">
        <v>37.788691614986099</v>
      </c>
      <c r="L22" s="23">
        <v>37.7886916149859</v>
      </c>
      <c r="M22" s="23">
        <v>25.5184294206529</v>
      </c>
      <c r="N22" s="22">
        <v>22.310984670256001</v>
      </c>
      <c r="O22" s="28">
        <v>0</v>
      </c>
      <c r="P22" s="31">
        <v>67.809452033986702</v>
      </c>
      <c r="Q22" s="31">
        <v>0.17031818164843701</v>
      </c>
      <c r="R22" s="31">
        <v>1.73461446744707</v>
      </c>
      <c r="S22" s="31">
        <v>3.1353684183071202</v>
      </c>
      <c r="T22" s="32">
        <v>37.788691614989901</v>
      </c>
      <c r="U22" s="44">
        <v>0.17031818164843701</v>
      </c>
      <c r="V22" s="44">
        <v>3.1353684183071202</v>
      </c>
      <c r="W22" s="32">
        <v>25.5184294206529</v>
      </c>
      <c r="Y22" t="s">
        <v>196</v>
      </c>
    </row>
    <row r="23" spans="1:25" x14ac:dyDescent="0.3">
      <c r="A23" s="21" t="s">
        <v>251</v>
      </c>
      <c r="B23" s="22"/>
      <c r="C23" s="23"/>
      <c r="D23" s="22"/>
      <c r="E23" s="22"/>
      <c r="F23" s="22"/>
      <c r="G23" s="22"/>
      <c r="H23" s="23"/>
      <c r="I23" s="22"/>
      <c r="J23" s="23"/>
      <c r="K23" s="23"/>
      <c r="L23" s="23"/>
      <c r="M23" s="23"/>
      <c r="N23" s="22"/>
      <c r="O23" s="31"/>
      <c r="P23" s="31"/>
      <c r="Q23" s="31"/>
      <c r="R23" s="31"/>
      <c r="S23" s="31"/>
      <c r="T23" s="31">
        <v>16.753126939836399</v>
      </c>
      <c r="U23" s="40">
        <v>0</v>
      </c>
      <c r="V23" s="40">
        <v>0</v>
      </c>
      <c r="W23" s="38">
        <v>30.412991703747899</v>
      </c>
    </row>
    <row r="24" spans="1:25" x14ac:dyDescent="0.3">
      <c r="A24" s="21" t="s">
        <v>187</v>
      </c>
      <c r="B24" s="22"/>
      <c r="C24" s="23"/>
      <c r="D24" s="22"/>
      <c r="E24" s="22"/>
      <c r="F24" s="22"/>
      <c r="G24" s="22"/>
      <c r="H24" s="23"/>
      <c r="I24" s="22"/>
      <c r="J24" s="23"/>
      <c r="K24" s="23"/>
      <c r="L24" s="23"/>
      <c r="M24" s="23"/>
      <c r="N24" s="22"/>
      <c r="O24" s="31"/>
      <c r="P24" s="31"/>
      <c r="Q24" s="31"/>
      <c r="R24" s="31"/>
      <c r="S24" s="31"/>
      <c r="T24" s="31">
        <v>7.1257546557813702</v>
      </c>
      <c r="U24" s="40">
        <v>0</v>
      </c>
      <c r="V24" s="40">
        <v>0</v>
      </c>
      <c r="W24" s="31">
        <v>23.137521307693099</v>
      </c>
    </row>
    <row r="25" spans="1:25" x14ac:dyDescent="0.3">
      <c r="A25" s="21" t="s">
        <v>157</v>
      </c>
      <c r="B25" s="22"/>
      <c r="C25" s="23"/>
      <c r="D25" s="22"/>
      <c r="E25" s="22"/>
      <c r="F25" s="22"/>
      <c r="G25" s="22"/>
      <c r="H25" s="23"/>
      <c r="I25" s="22"/>
      <c r="J25" s="23"/>
      <c r="K25" s="23"/>
      <c r="L25" s="23"/>
      <c r="M25" s="23"/>
      <c r="N25" s="22"/>
      <c r="O25" s="31"/>
      <c r="P25" s="31"/>
      <c r="Q25" s="31"/>
      <c r="R25" s="31"/>
      <c r="S25" s="31"/>
      <c r="T25" s="31">
        <v>0</v>
      </c>
      <c r="U25" s="40">
        <v>0</v>
      </c>
      <c r="V25" s="40">
        <v>0</v>
      </c>
      <c r="W25" s="31">
        <v>0</v>
      </c>
    </row>
    <row r="26" spans="1:25" x14ac:dyDescent="0.3">
      <c r="A26" s="21" t="s">
        <v>158</v>
      </c>
      <c r="B26" s="22"/>
      <c r="C26" s="23"/>
      <c r="D26" s="22"/>
      <c r="E26" s="22"/>
      <c r="F26" s="22"/>
      <c r="G26" s="22"/>
      <c r="H26" s="23"/>
      <c r="I26" s="22"/>
      <c r="J26" s="23"/>
      <c r="K26" s="23"/>
      <c r="L26" s="23"/>
      <c r="M26" s="23"/>
      <c r="N26" s="22"/>
      <c r="O26" s="31"/>
      <c r="P26" s="31"/>
      <c r="Q26" s="31"/>
      <c r="R26" s="31"/>
      <c r="S26" s="31"/>
      <c r="T26" s="31">
        <v>9.6273722840551095</v>
      </c>
      <c r="U26" s="40">
        <v>0</v>
      </c>
      <c r="V26" s="40">
        <v>0</v>
      </c>
      <c r="W26" s="31">
        <v>7.2754703960547804</v>
      </c>
    </row>
    <row r="27" spans="1:25" x14ac:dyDescent="0.3">
      <c r="A27" s="1" t="s">
        <v>145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31"/>
      <c r="Q27" s="31"/>
      <c r="R27" s="31"/>
      <c r="S27" s="31"/>
      <c r="T27" s="31"/>
      <c r="U27" s="40"/>
      <c r="V27" s="40"/>
      <c r="W27" s="31"/>
    </row>
    <row r="28" spans="1:25" x14ac:dyDescent="0.3">
      <c r="A28" t="s">
        <v>188</v>
      </c>
      <c r="B28" s="22"/>
      <c r="C28" s="22"/>
      <c r="D28" s="22"/>
      <c r="E28" s="22"/>
      <c r="F28" s="22"/>
      <c r="G28" s="22"/>
      <c r="H28" s="22"/>
      <c r="I28" s="22"/>
      <c r="J28" s="22">
        <v>0</v>
      </c>
      <c r="K28" s="22">
        <v>0</v>
      </c>
      <c r="L28" s="22">
        <v>0</v>
      </c>
      <c r="M28" s="23">
        <v>6.5130000000000097</v>
      </c>
      <c r="N28" s="22">
        <v>13.5389999999999</v>
      </c>
      <c r="O28" s="22">
        <v>0</v>
      </c>
      <c r="P28" s="31">
        <v>0</v>
      </c>
      <c r="Q28" s="31">
        <v>0</v>
      </c>
      <c r="R28" s="31">
        <v>0</v>
      </c>
      <c r="S28" s="31">
        <v>0</v>
      </c>
      <c r="T28" s="31">
        <v>0</v>
      </c>
      <c r="U28" s="40">
        <v>0</v>
      </c>
      <c r="V28" s="40">
        <v>0</v>
      </c>
      <c r="W28" s="31">
        <v>6.5129999999999901</v>
      </c>
    </row>
    <row r="29" spans="1:25" x14ac:dyDescent="0.3">
      <c r="A29" s="21" t="s">
        <v>159</v>
      </c>
      <c r="B29" s="23">
        <v>160</v>
      </c>
      <c r="C29" s="23">
        <v>120</v>
      </c>
      <c r="D29" s="23">
        <v>120</v>
      </c>
      <c r="E29" s="23">
        <v>120</v>
      </c>
      <c r="F29" s="23">
        <v>120</v>
      </c>
      <c r="G29" s="23">
        <v>120</v>
      </c>
      <c r="H29" s="23">
        <v>120</v>
      </c>
      <c r="I29" s="23">
        <v>120</v>
      </c>
      <c r="J29" s="23">
        <v>120</v>
      </c>
      <c r="K29" s="23">
        <v>120</v>
      </c>
      <c r="L29" s="23">
        <v>120</v>
      </c>
      <c r="M29" s="23">
        <v>120</v>
      </c>
      <c r="N29" s="22">
        <v>120</v>
      </c>
      <c r="O29" s="22">
        <v>160</v>
      </c>
      <c r="P29" s="22">
        <v>120</v>
      </c>
      <c r="Q29" s="22">
        <v>120</v>
      </c>
      <c r="R29" s="22">
        <v>120</v>
      </c>
      <c r="S29" s="22">
        <v>120</v>
      </c>
      <c r="T29" s="31">
        <v>120</v>
      </c>
      <c r="U29" s="40">
        <v>120</v>
      </c>
      <c r="V29" s="40">
        <v>120</v>
      </c>
      <c r="W29" s="31">
        <v>120</v>
      </c>
    </row>
    <row r="30" spans="1:25" x14ac:dyDescent="0.3">
      <c r="A30" s="21" t="s">
        <v>160</v>
      </c>
      <c r="B30" s="24">
        <v>0</v>
      </c>
      <c r="C30" s="23">
        <v>19.317999999998101</v>
      </c>
      <c r="D30" s="23">
        <v>19.318000000000001</v>
      </c>
      <c r="E30" s="23">
        <v>19.1075386063049</v>
      </c>
      <c r="F30" s="23">
        <v>122.205999583386</v>
      </c>
      <c r="G30" s="23">
        <v>247.92105228839</v>
      </c>
      <c r="H30" s="23">
        <v>37.899794392882598</v>
      </c>
      <c r="I30" s="23">
        <v>37.899794392882598</v>
      </c>
      <c r="J30" s="23">
        <v>19.317999999998499</v>
      </c>
      <c r="K30" s="23">
        <v>19.317999999999</v>
      </c>
      <c r="L30" s="23">
        <v>19.317999999998499</v>
      </c>
      <c r="M30" s="23">
        <v>11.5709999999999</v>
      </c>
      <c r="N30" s="22">
        <v>10</v>
      </c>
      <c r="O30" s="22">
        <v>0</v>
      </c>
      <c r="P30" s="22">
        <v>37.899794392882498</v>
      </c>
      <c r="Q30" s="22">
        <v>19.2894767679634</v>
      </c>
      <c r="R30" s="22">
        <v>122.205999583386</v>
      </c>
      <c r="S30" s="22">
        <v>247.921052288391</v>
      </c>
      <c r="T30" s="22">
        <v>19.318000000000701</v>
      </c>
      <c r="U30" s="45">
        <v>19.2894767679634</v>
      </c>
      <c r="V30" s="41">
        <v>247.921052288391</v>
      </c>
      <c r="W30" s="31">
        <v>11.571</v>
      </c>
    </row>
    <row r="31" spans="1:25" x14ac:dyDescent="0.3">
      <c r="A31" s="21" t="s">
        <v>189</v>
      </c>
      <c r="B31" s="24"/>
      <c r="C31" s="23"/>
      <c r="D31" s="23"/>
      <c r="E31" s="23"/>
      <c r="F31" s="23"/>
      <c r="G31" s="23"/>
      <c r="H31" s="23"/>
      <c r="I31" s="23"/>
      <c r="J31" s="23">
        <v>0</v>
      </c>
      <c r="K31" s="23">
        <v>0</v>
      </c>
      <c r="L31" s="23">
        <v>0</v>
      </c>
      <c r="M31" s="27">
        <v>22.260649999999998</v>
      </c>
      <c r="N31" s="22">
        <v>35.286649999999902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41">
        <v>0</v>
      </c>
      <c r="V31" s="41">
        <v>0</v>
      </c>
      <c r="W31" s="22">
        <v>22.260649999999998</v>
      </c>
    </row>
    <row r="32" spans="1:25" x14ac:dyDescent="0.3">
      <c r="A32" t="s">
        <v>161</v>
      </c>
      <c r="B32" s="22">
        <v>160</v>
      </c>
      <c r="C32" s="22">
        <v>120</v>
      </c>
      <c r="D32" s="22">
        <v>120</v>
      </c>
      <c r="E32" s="22">
        <v>120</v>
      </c>
      <c r="F32" s="22">
        <v>120</v>
      </c>
      <c r="G32" s="22">
        <v>120</v>
      </c>
      <c r="H32" s="22">
        <v>120</v>
      </c>
      <c r="I32" s="22">
        <v>120</v>
      </c>
      <c r="J32" s="22">
        <v>120</v>
      </c>
      <c r="K32" s="22">
        <v>120</v>
      </c>
      <c r="L32" s="22">
        <v>120</v>
      </c>
      <c r="M32" s="22">
        <v>120</v>
      </c>
      <c r="N32" s="22">
        <v>120</v>
      </c>
      <c r="O32" s="22">
        <v>160</v>
      </c>
      <c r="P32" s="22">
        <v>120</v>
      </c>
      <c r="Q32" s="22">
        <v>120</v>
      </c>
      <c r="R32" s="22">
        <v>120</v>
      </c>
      <c r="S32" s="22">
        <v>120</v>
      </c>
      <c r="T32" s="22">
        <v>120</v>
      </c>
      <c r="U32" s="41">
        <v>120</v>
      </c>
      <c r="V32" s="41">
        <v>120</v>
      </c>
      <c r="W32" s="22">
        <v>120</v>
      </c>
    </row>
    <row r="33" spans="1:23" x14ac:dyDescent="0.3">
      <c r="A33" t="s">
        <v>162</v>
      </c>
      <c r="B33" s="22">
        <v>0</v>
      </c>
      <c r="C33" s="22">
        <v>19.317999999998101</v>
      </c>
      <c r="D33" s="22">
        <v>19.318000000000001</v>
      </c>
      <c r="E33" s="23">
        <v>26.638889483497699</v>
      </c>
      <c r="F33" s="23">
        <v>216.82680843088301</v>
      </c>
      <c r="G33" s="23">
        <v>391.92105228839</v>
      </c>
      <c r="H33" s="22">
        <v>37.899794392882598</v>
      </c>
      <c r="I33" s="22">
        <v>37.899794392882598</v>
      </c>
      <c r="J33" s="28">
        <v>19.317999999998399</v>
      </c>
      <c r="K33" s="28">
        <v>19.317999999999</v>
      </c>
      <c r="L33" s="22">
        <v>19.317999999998399</v>
      </c>
      <c r="M33" s="28">
        <v>11.5709999999999</v>
      </c>
      <c r="N33" s="22">
        <v>10</v>
      </c>
      <c r="O33" s="22">
        <v>0</v>
      </c>
      <c r="P33" s="28">
        <v>37.899794392882498</v>
      </c>
      <c r="Q33" s="28">
        <v>21.289772706054599</v>
      </c>
      <c r="R33" s="28">
        <v>216.82680843088301</v>
      </c>
      <c r="S33" s="28">
        <v>391.92105228839102</v>
      </c>
      <c r="T33" s="22">
        <v>19.318000000000701</v>
      </c>
      <c r="U33" s="45">
        <v>21.289772706054599</v>
      </c>
      <c r="V33" s="41">
        <v>391.92105228839102</v>
      </c>
      <c r="W33" s="22">
        <v>11.571</v>
      </c>
    </row>
    <row r="34" spans="1:23" x14ac:dyDescent="0.3">
      <c r="A34" s="1" t="s">
        <v>163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31"/>
      <c r="U34" s="40"/>
      <c r="V34" s="40"/>
      <c r="W34" s="22"/>
    </row>
    <row r="35" spans="1:23" x14ac:dyDescent="0.3">
      <c r="A35" t="s">
        <v>164</v>
      </c>
      <c r="B35" s="22">
        <v>295.000317319891</v>
      </c>
      <c r="C35" s="22">
        <v>295.000317319891</v>
      </c>
      <c r="D35" s="22">
        <v>295.000317319891</v>
      </c>
      <c r="E35" s="22">
        <v>295.000317319891</v>
      </c>
      <c r="F35" s="22">
        <v>295.000317319891</v>
      </c>
      <c r="G35" s="22">
        <v>295.000317319891</v>
      </c>
      <c r="H35" s="22">
        <v>295.000317319891</v>
      </c>
      <c r="I35" s="22">
        <v>295.000317319891</v>
      </c>
      <c r="J35" s="22">
        <v>295.000317319891</v>
      </c>
      <c r="K35" s="22">
        <v>295.000317319891</v>
      </c>
      <c r="L35" s="22">
        <v>295.000317319891</v>
      </c>
      <c r="M35" s="22">
        <v>295.000317319891</v>
      </c>
      <c r="N35" s="22">
        <v>295.000317319891</v>
      </c>
      <c r="O35" s="22">
        <v>295.000317319891</v>
      </c>
      <c r="P35" s="22">
        <v>295.000317319891</v>
      </c>
      <c r="Q35" s="22">
        <v>295.000317319891</v>
      </c>
      <c r="R35" s="22">
        <v>295.000317319891</v>
      </c>
      <c r="S35" s="22">
        <v>295.000317319891</v>
      </c>
      <c r="T35" s="22">
        <v>295.000317319891</v>
      </c>
      <c r="U35" s="41">
        <v>295.000317319891</v>
      </c>
      <c r="V35" s="41">
        <v>483.82489212517697</v>
      </c>
      <c r="W35" s="31">
        <v>295.01205172744898</v>
      </c>
    </row>
    <row r="36" spans="1:23" x14ac:dyDescent="0.3">
      <c r="A36" t="s">
        <v>165</v>
      </c>
      <c r="B36" s="22">
        <v>0</v>
      </c>
      <c r="C36" s="22">
        <v>0</v>
      </c>
      <c r="D36" s="22">
        <v>0</v>
      </c>
      <c r="E36" s="22">
        <v>0</v>
      </c>
      <c r="F36" s="22">
        <v>0</v>
      </c>
      <c r="G36" s="23">
        <v>188.79867977994701</v>
      </c>
      <c r="H36" s="23">
        <v>0.24840661296942801</v>
      </c>
      <c r="I36" s="22">
        <v>0</v>
      </c>
      <c r="J36" s="22">
        <v>0</v>
      </c>
      <c r="K36" s="22">
        <v>0</v>
      </c>
      <c r="L36" s="22">
        <v>0</v>
      </c>
      <c r="M36" s="28">
        <v>1.2147022941970301E-2</v>
      </c>
      <c r="N36" s="22">
        <v>0</v>
      </c>
      <c r="O36" s="22">
        <v>0</v>
      </c>
      <c r="P36" s="22">
        <v>0.248406612969475</v>
      </c>
      <c r="Q36" s="22">
        <v>0</v>
      </c>
      <c r="R36" s="22">
        <v>0</v>
      </c>
      <c r="S36" s="22">
        <v>188.82457480528501</v>
      </c>
      <c r="T36" s="22">
        <v>0</v>
      </c>
      <c r="U36" s="41">
        <v>0</v>
      </c>
      <c r="V36" s="41">
        <v>188.82457480528501</v>
      </c>
      <c r="W36" s="22">
        <v>1.1734407557354901E-2</v>
      </c>
    </row>
    <row r="37" spans="1:23" x14ac:dyDescent="0.3">
      <c r="A37" t="s">
        <v>166</v>
      </c>
      <c r="B37" s="22">
        <v>295.000317319891</v>
      </c>
      <c r="C37" s="22">
        <v>295.000317319891</v>
      </c>
      <c r="D37" s="22">
        <v>308.68374473584799</v>
      </c>
      <c r="E37" s="22">
        <v>295.000317319891</v>
      </c>
      <c r="F37" s="22">
        <v>448.09020719371603</v>
      </c>
      <c r="G37" s="22">
        <v>791.61530740721696</v>
      </c>
      <c r="H37" s="22">
        <v>316.112270034147</v>
      </c>
      <c r="I37" s="22">
        <v>295.000317319891</v>
      </c>
      <c r="J37" s="22">
        <v>295.000317319891</v>
      </c>
      <c r="K37" s="22">
        <v>308.23727072792798</v>
      </c>
      <c r="L37" s="22">
        <v>295.000317319891</v>
      </c>
      <c r="M37" s="22">
        <v>305.015817616074</v>
      </c>
      <c r="N37" s="22">
        <v>295.01643115561097</v>
      </c>
      <c r="O37" s="22">
        <v>295.000317319891</v>
      </c>
      <c r="P37" s="22">
        <v>315.60675449025399</v>
      </c>
      <c r="Q37" s="22">
        <v>295.000317319891</v>
      </c>
      <c r="R37" s="22">
        <v>448.09020719371603</v>
      </c>
      <c r="S37" s="22">
        <v>791.64120243255502</v>
      </c>
      <c r="T37" s="22">
        <v>295.000317319891</v>
      </c>
      <c r="U37" s="41">
        <v>295.000317319891</v>
      </c>
      <c r="V37" s="41">
        <v>295.000317319891</v>
      </c>
      <c r="W37" s="22">
        <v>295.000317319891</v>
      </c>
    </row>
    <row r="38" spans="1:23" x14ac:dyDescent="0.3">
      <c r="A38" s="21" t="s">
        <v>187</v>
      </c>
      <c r="B38" s="22"/>
      <c r="C38" s="22"/>
      <c r="D38" s="22"/>
      <c r="E38" s="22"/>
      <c r="F38" s="22"/>
      <c r="G38" s="22"/>
      <c r="H38" s="22"/>
      <c r="I38" s="22"/>
      <c r="J38" s="22">
        <v>0</v>
      </c>
      <c r="K38" s="22">
        <v>7.4546250000000105E-2</v>
      </c>
      <c r="L38" s="22">
        <v>0</v>
      </c>
      <c r="M38" s="22">
        <v>0.24193586538461401</v>
      </c>
      <c r="N38" s="22">
        <v>0</v>
      </c>
      <c r="O38" s="22">
        <v>0</v>
      </c>
      <c r="P38" s="22">
        <v>7.4546250000000105E-2</v>
      </c>
      <c r="Q38" s="22">
        <v>0</v>
      </c>
      <c r="R38" s="22">
        <v>4.1295274628879797E-3</v>
      </c>
      <c r="S38" s="22">
        <v>2.8985241059379101E-2</v>
      </c>
      <c r="T38" s="22">
        <v>13.2369534080383</v>
      </c>
      <c r="U38" s="41">
        <v>0</v>
      </c>
      <c r="V38" s="41">
        <v>307.81631030742801</v>
      </c>
      <c r="W38" s="22">
        <v>10.003353273235801</v>
      </c>
    </row>
    <row r="39" spans="1:23" x14ac:dyDescent="0.3">
      <c r="A39" s="21" t="s">
        <v>157</v>
      </c>
      <c r="B39" s="22">
        <v>295.000317319891</v>
      </c>
      <c r="C39" s="22">
        <v>295.000317319891</v>
      </c>
      <c r="D39" s="22">
        <v>297.27766382815599</v>
      </c>
      <c r="E39" s="22">
        <v>295.000317319891</v>
      </c>
      <c r="F39" s="22">
        <v>320.47922078145899</v>
      </c>
      <c r="G39" s="22">
        <v>535.02917344055004</v>
      </c>
      <c r="H39" s="22">
        <v>298.72106477403702</v>
      </c>
      <c r="I39" s="22">
        <v>295.000317319891</v>
      </c>
      <c r="J39" s="22">
        <v>295.000317319891</v>
      </c>
      <c r="K39" s="22">
        <v>297.128810462545</v>
      </c>
      <c r="L39" s="22">
        <v>295.000317319891</v>
      </c>
      <c r="M39" s="22">
        <v>296.43539656607197</v>
      </c>
      <c r="N39" s="22">
        <v>295.00299916168399</v>
      </c>
      <c r="O39" s="22">
        <v>295.000317319891</v>
      </c>
      <c r="P39" s="22">
        <v>298.562385066552</v>
      </c>
      <c r="Q39" s="22">
        <v>295.000317319891</v>
      </c>
      <c r="R39" s="22">
        <v>320.47509125399603</v>
      </c>
      <c r="S39" s="22">
        <v>535.02608322482797</v>
      </c>
      <c r="T39" s="22">
        <v>297.20335671254497</v>
      </c>
      <c r="U39" s="41">
        <v>295.000317319891</v>
      </c>
      <c r="V39" s="41">
        <v>535.05506846588798</v>
      </c>
      <c r="W39" s="22">
        <v>296.67691981607197</v>
      </c>
    </row>
    <row r="40" spans="1:23" x14ac:dyDescent="0.3">
      <c r="A40" s="21" t="s">
        <v>158</v>
      </c>
      <c r="B40" s="22">
        <v>0</v>
      </c>
      <c r="C40" s="22">
        <v>0</v>
      </c>
      <c r="D40" s="22">
        <v>11.406080907692299</v>
      </c>
      <c r="E40" s="22">
        <v>0</v>
      </c>
      <c r="F40" s="23">
        <v>127.61098641225701</v>
      </c>
      <c r="G40" s="22">
        <v>256.58613396666601</v>
      </c>
      <c r="H40" s="22">
        <v>17.391205260109299</v>
      </c>
      <c r="I40" s="22">
        <v>0</v>
      </c>
      <c r="J40" s="22">
        <v>0</v>
      </c>
      <c r="K40" s="22">
        <v>11.033914015382599</v>
      </c>
      <c r="L40" s="22">
        <v>0</v>
      </c>
      <c r="M40" s="22">
        <v>8.3384851846172197</v>
      </c>
      <c r="N40" s="22">
        <v>1.3431993927125701E-2</v>
      </c>
      <c r="O40" s="22">
        <v>0</v>
      </c>
      <c r="P40" s="22">
        <v>16.9698231737021</v>
      </c>
      <c r="Q40" s="22">
        <v>0</v>
      </c>
      <c r="R40" s="22">
        <v>127.61098641225701</v>
      </c>
      <c r="S40" s="22">
        <v>256.58613396666601</v>
      </c>
      <c r="T40" s="22">
        <v>7.4546249999996497E-2</v>
      </c>
      <c r="U40" s="41">
        <v>0</v>
      </c>
      <c r="V40" s="41">
        <v>2.8985241059379101E-2</v>
      </c>
      <c r="W40" s="22">
        <v>0.24193586538461501</v>
      </c>
    </row>
    <row r="41" spans="1:23" x14ac:dyDescent="0.3">
      <c r="A41" t="s">
        <v>167</v>
      </c>
      <c r="B41" s="22">
        <v>0</v>
      </c>
      <c r="C41" s="22">
        <v>0</v>
      </c>
      <c r="D41" s="22">
        <v>0</v>
      </c>
      <c r="E41" s="22">
        <v>0</v>
      </c>
      <c r="F41" s="22">
        <v>0</v>
      </c>
      <c r="G41" s="23">
        <v>110.673766150169</v>
      </c>
      <c r="H41" s="22">
        <v>0.24840661296942801</v>
      </c>
      <c r="I41" s="22">
        <v>0</v>
      </c>
      <c r="J41" s="22">
        <v>0</v>
      </c>
      <c r="K41" s="22">
        <v>0</v>
      </c>
      <c r="L41" s="22">
        <v>0</v>
      </c>
      <c r="M41" s="28">
        <v>1.2147022941970301E-2</v>
      </c>
      <c r="N41" s="22">
        <v>0</v>
      </c>
      <c r="O41" s="22">
        <v>0</v>
      </c>
      <c r="P41" s="22">
        <v>0.248406612969475</v>
      </c>
      <c r="Q41" s="22">
        <v>0</v>
      </c>
      <c r="R41" s="22">
        <v>0</v>
      </c>
      <c r="S41" s="22">
        <v>110.712525756633</v>
      </c>
      <c r="T41" s="22">
        <v>297.128810462545</v>
      </c>
      <c r="U41" s="41">
        <v>295.000317319891</v>
      </c>
      <c r="V41" s="41">
        <v>535.02608322482797</v>
      </c>
      <c r="W41" s="22">
        <v>296.43498395068798</v>
      </c>
    </row>
    <row r="42" spans="1:23" x14ac:dyDescent="0.3">
      <c r="A42" t="s">
        <v>168</v>
      </c>
      <c r="B42" s="22">
        <v>295.04511308241899</v>
      </c>
      <c r="C42" s="22">
        <v>295.41590260856299</v>
      </c>
      <c r="D42" s="22">
        <v>308.68374473584902</v>
      </c>
      <c r="E42" s="22">
        <v>296.299332627843</v>
      </c>
      <c r="F42" s="22">
        <v>419.81106855205098</v>
      </c>
      <c r="G42" s="22">
        <v>608.26854485884803</v>
      </c>
      <c r="H42" s="22">
        <v>316.10567720205302</v>
      </c>
      <c r="I42" s="22">
        <v>295.37940902635</v>
      </c>
      <c r="J42" s="22">
        <v>295.59740687470497</v>
      </c>
      <c r="K42" s="22">
        <v>308.23727072792798</v>
      </c>
      <c r="L42" s="22">
        <v>295.59740687470497</v>
      </c>
      <c r="M42" s="22">
        <v>305.01581761606599</v>
      </c>
      <c r="N42" s="22">
        <v>296.679587391876</v>
      </c>
      <c r="O42" s="22">
        <v>295.23957968766501</v>
      </c>
      <c r="P42" s="22">
        <v>315.60016165816103</v>
      </c>
      <c r="Q42" s="22">
        <v>296.25677745253802</v>
      </c>
      <c r="R42" s="22">
        <v>419.81106855205098</v>
      </c>
      <c r="S42" s="22">
        <v>608.33240551905601</v>
      </c>
      <c r="T42" s="22">
        <v>11.033914015384299</v>
      </c>
      <c r="U42" s="41">
        <v>0</v>
      </c>
      <c r="V42" s="41">
        <v>256.58613396666601</v>
      </c>
      <c r="W42" s="22">
        <v>8.3384851846172303</v>
      </c>
    </row>
    <row r="43" spans="1:23" x14ac:dyDescent="0.3">
      <c r="A43" s="21" t="s">
        <v>187</v>
      </c>
      <c r="B43" s="22"/>
      <c r="C43" s="22"/>
      <c r="D43" s="22"/>
      <c r="E43" s="22"/>
      <c r="F43" s="22"/>
      <c r="G43" s="22"/>
      <c r="H43" s="22"/>
      <c r="I43" s="22"/>
      <c r="J43" s="23">
        <v>2.7764718623481802E-2</v>
      </c>
      <c r="K43" s="23">
        <v>7.4895800607287399E-2</v>
      </c>
      <c r="L43" s="22">
        <v>2.7764718623481802E-2</v>
      </c>
      <c r="M43" s="22">
        <v>9.4308724290674295</v>
      </c>
      <c r="N43" s="22">
        <v>9.2420105496544291</v>
      </c>
      <c r="O43" s="22">
        <v>2.7950089743589701E-2</v>
      </c>
      <c r="P43" s="22">
        <v>7.5486781871036704E-2</v>
      </c>
      <c r="Q43" s="22">
        <v>9.7270674387141508E-3</v>
      </c>
      <c r="R43" s="22">
        <v>4.6068136154709697E-3</v>
      </c>
      <c r="S43" s="22">
        <v>6.8145711638221695E-2</v>
      </c>
      <c r="T43" s="22"/>
      <c r="U43" s="41"/>
      <c r="V43" s="41"/>
      <c r="W43" s="22"/>
    </row>
    <row r="44" spans="1:23" x14ac:dyDescent="0.3">
      <c r="A44" s="21" t="s">
        <v>157</v>
      </c>
      <c r="B44" s="22">
        <v>295.00777272344402</v>
      </c>
      <c r="C44" s="22">
        <v>295.06948359506799</v>
      </c>
      <c r="D44" s="22">
        <v>297.27766382815702</v>
      </c>
      <c r="E44" s="22">
        <v>295.21651373660501</v>
      </c>
      <c r="F44" s="22">
        <v>315.772695458187</v>
      </c>
      <c r="G44" s="22">
        <v>439.392082273413</v>
      </c>
      <c r="H44" s="22">
        <v>298.7199675224</v>
      </c>
      <c r="I44" s="22">
        <v>295.06340993169198</v>
      </c>
      <c r="J44" s="22">
        <v>295.07192681296402</v>
      </c>
      <c r="K44" s="22">
        <v>297.12846091193802</v>
      </c>
      <c r="L44" s="22">
        <v>295.07192681296402</v>
      </c>
      <c r="M44" s="22">
        <v>287.24646000238101</v>
      </c>
      <c r="N44" s="22">
        <v>286.03778936758499</v>
      </c>
      <c r="O44" s="22">
        <v>295.01218790527599</v>
      </c>
      <c r="P44" s="22">
        <v>298.56034728304297</v>
      </c>
      <c r="Q44" s="22">
        <v>295.19970416880102</v>
      </c>
      <c r="R44" s="22">
        <v>315.76808864457098</v>
      </c>
      <c r="S44" s="22">
        <v>439.366873761715</v>
      </c>
      <c r="T44" s="22">
        <v>295.000317319891</v>
      </c>
      <c r="U44" s="41">
        <v>295.000317319891</v>
      </c>
      <c r="V44" s="41">
        <v>405.71284307652502</v>
      </c>
      <c r="W44" s="22">
        <v>295.01205172744898</v>
      </c>
    </row>
    <row r="45" spans="1:23" x14ac:dyDescent="0.3">
      <c r="A45" s="21" t="s">
        <v>158</v>
      </c>
      <c r="B45" s="22">
        <v>3.7340358974359403E-2</v>
      </c>
      <c r="C45" s="23">
        <v>0.34641901349521398</v>
      </c>
      <c r="D45" s="23">
        <v>11.406080907692299</v>
      </c>
      <c r="E45" s="23">
        <v>1.08281889123819</v>
      </c>
      <c r="F45" s="23">
        <v>104.038373093864</v>
      </c>
      <c r="G45" s="22">
        <v>168.87646258543501</v>
      </c>
      <c r="H45" s="22">
        <v>17.3857096796539</v>
      </c>
      <c r="I45" s="22">
        <v>0.315999094657965</v>
      </c>
      <c r="J45" s="23">
        <v>0.49771534311736398</v>
      </c>
      <c r="K45" s="23">
        <v>11.033914015382599</v>
      </c>
      <c r="L45" s="23">
        <v>0.49771534311736398</v>
      </c>
      <c r="M45" s="23">
        <v>8.3384851846171699</v>
      </c>
      <c r="N45" s="22">
        <v>1.3997874746368799</v>
      </c>
      <c r="O45" s="22">
        <v>0.199441692645074</v>
      </c>
      <c r="P45" s="22">
        <v>16.964327593246701</v>
      </c>
      <c r="Q45" s="22">
        <v>1.0473462162976599</v>
      </c>
      <c r="R45" s="22">
        <v>104.038373093864</v>
      </c>
      <c r="S45" s="22">
        <v>168.89738604570201</v>
      </c>
      <c r="T45" s="22">
        <v>0</v>
      </c>
      <c r="U45" s="41">
        <v>0</v>
      </c>
      <c r="V45" s="41">
        <v>110.712525756633</v>
      </c>
      <c r="W45" s="22">
        <v>1.1734407557354901E-2</v>
      </c>
    </row>
    <row r="46" spans="1:23" x14ac:dyDescent="0.3">
      <c r="A46" s="1" t="s">
        <v>169</v>
      </c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>
        <v>295.000317319891</v>
      </c>
      <c r="U46" s="41">
        <v>295.000317319891</v>
      </c>
      <c r="V46" s="41">
        <v>295.000317319891</v>
      </c>
      <c r="W46" s="22">
        <v>295.000317319891</v>
      </c>
    </row>
    <row r="47" spans="1:23" x14ac:dyDescent="0.3">
      <c r="A47" t="s">
        <v>170</v>
      </c>
      <c r="B47" s="22">
        <v>0</v>
      </c>
      <c r="C47" s="22">
        <v>0</v>
      </c>
      <c r="D47" s="22">
        <v>149.99999999999901</v>
      </c>
      <c r="E47" s="22">
        <v>0</v>
      </c>
      <c r="F47" s="22">
        <v>128.182183752193</v>
      </c>
      <c r="G47" s="22">
        <v>146.874011439464</v>
      </c>
      <c r="H47" s="22">
        <v>149.99909976143601</v>
      </c>
      <c r="I47" s="22">
        <v>0</v>
      </c>
      <c r="J47" s="22">
        <v>0</v>
      </c>
      <c r="K47" s="22">
        <v>150.00000000000099</v>
      </c>
      <c r="L47" s="22">
        <v>0</v>
      </c>
      <c r="M47" s="22">
        <v>149.99999999999901</v>
      </c>
      <c r="N47" s="22">
        <v>0.17850165768583101</v>
      </c>
      <c r="O47" s="22">
        <v>0</v>
      </c>
      <c r="P47" s="22">
        <v>149.99909976143499</v>
      </c>
      <c r="Q47" s="22">
        <v>0</v>
      </c>
      <c r="R47" s="22">
        <v>118.474592786435</v>
      </c>
      <c r="S47" s="22">
        <v>145.295276013603</v>
      </c>
      <c r="T47" s="22">
        <v>13.2369534080382</v>
      </c>
      <c r="U47" s="41">
        <v>1.2564601326317599</v>
      </c>
      <c r="V47" s="41">
        <v>202.61956244258701</v>
      </c>
      <c r="W47" s="22">
        <v>10.0033532732357</v>
      </c>
    </row>
    <row r="48" spans="1:23" x14ac:dyDescent="0.3">
      <c r="A48" t="s">
        <v>171</v>
      </c>
      <c r="B48" s="22">
        <v>0</v>
      </c>
      <c r="C48" s="22">
        <v>0</v>
      </c>
      <c r="D48" s="22">
        <v>150.00000000000401</v>
      </c>
      <c r="E48" s="22">
        <v>0</v>
      </c>
      <c r="F48" s="22">
        <v>150.00000000000199</v>
      </c>
      <c r="G48" s="22">
        <v>150.00000000000199</v>
      </c>
      <c r="H48" s="22">
        <v>149.99909976144099</v>
      </c>
      <c r="I48" s="22">
        <v>0</v>
      </c>
      <c r="J48" s="22">
        <v>0</v>
      </c>
      <c r="K48" s="22">
        <v>150.00000000000401</v>
      </c>
      <c r="L48" s="22">
        <v>0</v>
      </c>
      <c r="M48" s="22">
        <v>150.00000000000199</v>
      </c>
      <c r="N48" s="22">
        <v>1.39912761092217</v>
      </c>
      <c r="O48" s="22">
        <v>0</v>
      </c>
      <c r="P48" s="22">
        <v>149.999099761438</v>
      </c>
      <c r="Q48" s="22">
        <v>0</v>
      </c>
      <c r="R48" s="22">
        <v>150.00000000000199</v>
      </c>
      <c r="S48" s="22">
        <v>150.00000000000199</v>
      </c>
      <c r="T48" s="22">
        <v>297.203356712546</v>
      </c>
      <c r="U48" s="41">
        <v>295.20943123623999</v>
      </c>
      <c r="V48" s="41">
        <v>439.43501947335398</v>
      </c>
      <c r="W48" s="22">
        <v>296.67691981606401</v>
      </c>
    </row>
    <row r="49" spans="1:23" x14ac:dyDescent="0.3">
      <c r="A49" t="s">
        <v>172</v>
      </c>
      <c r="B49" s="22">
        <v>0.85205273307684004</v>
      </c>
      <c r="C49" s="22">
        <v>3.5365920176916799</v>
      </c>
      <c r="D49" s="22">
        <v>149.99999999999901</v>
      </c>
      <c r="E49" s="22">
        <v>6.6893613468302</v>
      </c>
      <c r="F49" s="22">
        <v>107.772794592032</v>
      </c>
      <c r="G49" s="22">
        <v>106.777007183226</v>
      </c>
      <c r="H49" s="22">
        <v>149.977517696262</v>
      </c>
      <c r="I49" s="22">
        <v>2.1860572090588901</v>
      </c>
      <c r="J49" s="22">
        <v>7.0509048193495198</v>
      </c>
      <c r="K49" s="22">
        <v>150.00000000000099</v>
      </c>
      <c r="L49" s="22">
        <v>7.0509048193495198</v>
      </c>
      <c r="M49" s="22">
        <v>149.99999999999901</v>
      </c>
      <c r="N49" s="22">
        <v>27.398042115645399</v>
      </c>
      <c r="O49" s="22">
        <v>4.5509696204151702</v>
      </c>
      <c r="P49" s="22">
        <v>149.977517696261</v>
      </c>
      <c r="Q49" s="22">
        <v>7.6216828559801701</v>
      </c>
      <c r="R49" s="22">
        <v>100.219393901804</v>
      </c>
      <c r="S49" s="22">
        <v>105.870230874006</v>
      </c>
      <c r="T49" s="22">
        <v>7.4895800607283999E-2</v>
      </c>
      <c r="U49" s="41">
        <v>9.7270674387141508E-3</v>
      </c>
      <c r="V49" s="41">
        <v>6.8145711638221695E-2</v>
      </c>
      <c r="W49" s="22">
        <v>9.4313132882776092</v>
      </c>
    </row>
    <row r="50" spans="1:23" x14ac:dyDescent="0.3">
      <c r="A50" t="s">
        <v>173</v>
      </c>
      <c r="B50" s="22">
        <v>1.9927268884149201</v>
      </c>
      <c r="C50" s="22">
        <v>8.2309193489321792</v>
      </c>
      <c r="D50" s="22">
        <v>150.00000000000401</v>
      </c>
      <c r="E50" s="22">
        <v>8.7662722674693505</v>
      </c>
      <c r="F50" s="22">
        <v>150</v>
      </c>
      <c r="G50" s="22">
        <v>150.00000000000199</v>
      </c>
      <c r="H50" s="22">
        <v>149.999099761438</v>
      </c>
      <c r="I50" s="22">
        <v>3.4343188852731101</v>
      </c>
      <c r="J50" s="22">
        <v>8.6561938543647905</v>
      </c>
      <c r="K50" s="22">
        <v>150.00000000000401</v>
      </c>
      <c r="L50" s="22">
        <v>8.6561938543647905</v>
      </c>
      <c r="M50" s="22">
        <v>150.00000000000199</v>
      </c>
      <c r="N50" s="22">
        <v>47.748216004691301</v>
      </c>
      <c r="O50" s="22">
        <v>8.6561938543647905</v>
      </c>
      <c r="P50" s="22">
        <v>149.999099761438</v>
      </c>
      <c r="Q50" s="22">
        <v>9.0570240920713907</v>
      </c>
      <c r="R50" s="22">
        <v>150</v>
      </c>
      <c r="S50" s="22">
        <v>150.00000000000199</v>
      </c>
      <c r="T50" s="22">
        <v>297.12846091193802</v>
      </c>
      <c r="U50" s="41">
        <v>295.19970416880102</v>
      </c>
      <c r="V50" s="41">
        <v>439.366873761715</v>
      </c>
      <c r="W50" s="22">
        <v>287.24560652778598</v>
      </c>
    </row>
    <row r="51" spans="1:23" x14ac:dyDescent="0.3">
      <c r="A51" s="1" t="s">
        <v>205</v>
      </c>
      <c r="T51" s="22">
        <v>11.033914015384299</v>
      </c>
      <c r="U51" s="41">
        <v>1.0473462162976599</v>
      </c>
      <c r="V51" s="41">
        <v>168.89738604570201</v>
      </c>
      <c r="W51" s="22">
        <v>8.3384851846172499</v>
      </c>
    </row>
    <row r="52" spans="1:23" x14ac:dyDescent="0.3">
      <c r="A52" t="s">
        <v>206</v>
      </c>
      <c r="K52" s="22">
        <v>0.999999999999998</v>
      </c>
      <c r="U52" s="20"/>
      <c r="V52" s="20"/>
      <c r="W52" s="22"/>
    </row>
    <row r="53" spans="1:23" x14ac:dyDescent="0.3">
      <c r="A53" t="s">
        <v>207</v>
      </c>
      <c r="K53" s="22">
        <v>1</v>
      </c>
      <c r="T53">
        <v>149.99999999999801</v>
      </c>
      <c r="U53" s="20">
        <v>0</v>
      </c>
      <c r="V53" s="20">
        <v>145.295276013603</v>
      </c>
      <c r="W53" s="42">
        <v>150</v>
      </c>
    </row>
    <row r="54" spans="1:23" x14ac:dyDescent="0.3">
      <c r="A54" t="s">
        <v>208</v>
      </c>
      <c r="K54" s="22">
        <v>0.999999999999999</v>
      </c>
      <c r="T54">
        <v>150.000000000005</v>
      </c>
      <c r="U54" s="20">
        <v>0</v>
      </c>
      <c r="V54" s="20">
        <v>150.00000000000199</v>
      </c>
      <c r="W54" s="42">
        <v>150.00000000000099</v>
      </c>
    </row>
    <row r="55" spans="1:23" x14ac:dyDescent="0.3">
      <c r="A55" t="s">
        <v>209</v>
      </c>
      <c r="K55" s="22">
        <v>1</v>
      </c>
      <c r="T55">
        <v>149.99999999999801</v>
      </c>
      <c r="U55" s="20">
        <v>7.6216828559801701</v>
      </c>
      <c r="V55" s="20">
        <v>105.870230874006</v>
      </c>
      <c r="W55" s="42">
        <v>150</v>
      </c>
    </row>
    <row r="56" spans="1:23" x14ac:dyDescent="0.3">
      <c r="T56">
        <v>150.00000000000099</v>
      </c>
      <c r="U56" s="20">
        <v>9.0570240920713907</v>
      </c>
      <c r="V56" s="20">
        <v>150.00000000000199</v>
      </c>
      <c r="W56" s="42">
        <v>150.00000000000099</v>
      </c>
    </row>
    <row r="57" spans="1:23" x14ac:dyDescent="0.3">
      <c r="U57" s="20"/>
      <c r="V57" s="20"/>
      <c r="W57" s="42"/>
    </row>
    <row r="58" spans="1:23" x14ac:dyDescent="0.3">
      <c r="T58">
        <v>0.99999999999993705</v>
      </c>
      <c r="U58" s="20">
        <v>0</v>
      </c>
      <c r="V58" s="20">
        <v>0</v>
      </c>
      <c r="W58" s="42">
        <v>0.999999999999998</v>
      </c>
    </row>
    <row r="59" spans="1:23" x14ac:dyDescent="0.3">
      <c r="T59">
        <v>0.99999999999992295</v>
      </c>
      <c r="U59" s="20">
        <v>0</v>
      </c>
      <c r="V59" s="20">
        <v>0.48339714784036097</v>
      </c>
      <c r="W59" s="42">
        <v>1</v>
      </c>
    </row>
    <row r="60" spans="1:23" x14ac:dyDescent="0.3">
      <c r="T60">
        <v>0.99999999999993805</v>
      </c>
      <c r="U60" s="20">
        <v>0</v>
      </c>
      <c r="V60" s="20">
        <v>0</v>
      </c>
      <c r="W60" s="42">
        <v>0.999999999999998</v>
      </c>
    </row>
    <row r="61" spans="1:23" x14ac:dyDescent="0.3">
      <c r="T61">
        <v>0.99999999999992295</v>
      </c>
      <c r="U61" s="20">
        <v>0</v>
      </c>
      <c r="V61" s="20">
        <v>1.17230054302423E-2</v>
      </c>
      <c r="W61" s="4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E125-D881-471D-93EC-ED644DB42ADA}">
  <dimension ref="A1:AB28"/>
  <sheetViews>
    <sheetView tabSelected="1" workbookViewId="0">
      <selection activeCell="O18" sqref="O18"/>
    </sheetView>
  </sheetViews>
  <sheetFormatPr defaultRowHeight="14.4" x14ac:dyDescent="0.3"/>
  <sheetData>
    <row r="1" spans="1:28" x14ac:dyDescent="0.3">
      <c r="A1" t="s">
        <v>145</v>
      </c>
      <c r="B1" t="s">
        <v>274</v>
      </c>
      <c r="C1" s="48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">
      <c r="A2">
        <v>1</v>
      </c>
      <c r="B2" t="s">
        <v>2</v>
      </c>
      <c r="C2" s="47">
        <v>0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0</v>
      </c>
      <c r="P2" s="47">
        <v>0</v>
      </c>
      <c r="Q2" s="47">
        <v>0</v>
      </c>
      <c r="R2" s="47">
        <v>0</v>
      </c>
      <c r="S2" s="47">
        <v>0</v>
      </c>
      <c r="T2" s="47">
        <v>0</v>
      </c>
      <c r="U2" s="47">
        <v>0</v>
      </c>
      <c r="V2" s="47">
        <v>0</v>
      </c>
      <c r="W2" s="47">
        <v>0</v>
      </c>
      <c r="X2" s="47">
        <v>0</v>
      </c>
      <c r="Y2" s="47">
        <v>0</v>
      </c>
      <c r="Z2" s="47">
        <v>0</v>
      </c>
      <c r="AA2" s="47">
        <v>0</v>
      </c>
      <c r="AB2" s="47">
        <v>0</v>
      </c>
    </row>
    <row r="3" spans="1:28" x14ac:dyDescent="0.3">
      <c r="A3">
        <v>1</v>
      </c>
      <c r="B3" t="s">
        <v>0</v>
      </c>
      <c r="C3" s="47">
        <v>40</v>
      </c>
      <c r="D3" s="47">
        <v>0</v>
      </c>
      <c r="E3" s="47">
        <v>0</v>
      </c>
      <c r="F3" s="47">
        <v>0</v>
      </c>
      <c r="G3" s="47">
        <v>0</v>
      </c>
      <c r="H3" s="47">
        <v>0</v>
      </c>
      <c r="I3" s="47">
        <v>0</v>
      </c>
      <c r="J3" s="47">
        <v>0</v>
      </c>
      <c r="K3" s="47">
        <v>0</v>
      </c>
      <c r="L3" s="47">
        <v>0</v>
      </c>
      <c r="M3" s="47">
        <v>0</v>
      </c>
      <c r="N3" s="47">
        <v>0</v>
      </c>
      <c r="O3" s="47">
        <v>40</v>
      </c>
      <c r="P3" s="47">
        <v>0</v>
      </c>
      <c r="Q3" s="47">
        <v>0</v>
      </c>
      <c r="R3" s="47">
        <v>40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47">
        <v>40</v>
      </c>
      <c r="Z3" s="47">
        <v>0</v>
      </c>
      <c r="AA3" s="47">
        <v>0</v>
      </c>
      <c r="AB3" s="47">
        <v>0</v>
      </c>
    </row>
    <row r="4" spans="1:28" x14ac:dyDescent="0.3">
      <c r="A4">
        <v>1</v>
      </c>
      <c r="B4" t="s">
        <v>1</v>
      </c>
      <c r="C4" s="47">
        <v>0</v>
      </c>
      <c r="D4" s="47">
        <v>0</v>
      </c>
      <c r="E4" s="47">
        <v>0</v>
      </c>
      <c r="F4" s="47">
        <v>0</v>
      </c>
      <c r="G4" s="47">
        <v>0</v>
      </c>
      <c r="H4" s="47">
        <v>0</v>
      </c>
      <c r="I4" s="47">
        <v>0</v>
      </c>
      <c r="J4" s="47">
        <v>0</v>
      </c>
      <c r="K4" s="47">
        <v>0</v>
      </c>
      <c r="L4" s="47">
        <v>0</v>
      </c>
      <c r="M4" s="47">
        <v>0</v>
      </c>
      <c r="N4" s="47">
        <v>0</v>
      </c>
      <c r="O4" s="47">
        <v>0</v>
      </c>
      <c r="P4" s="47">
        <v>0</v>
      </c>
      <c r="Q4" s="47">
        <v>0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</row>
    <row r="5" spans="1:28" x14ac:dyDescent="0.3">
      <c r="A5">
        <v>2</v>
      </c>
      <c r="B5" t="s">
        <v>2</v>
      </c>
      <c r="C5" s="47">
        <v>0</v>
      </c>
      <c r="D5" s="47">
        <v>0</v>
      </c>
      <c r="E5" s="47">
        <v>0</v>
      </c>
      <c r="F5" s="47">
        <v>0</v>
      </c>
      <c r="G5" s="47">
        <v>0</v>
      </c>
      <c r="H5" s="47">
        <v>0</v>
      </c>
      <c r="I5" s="47">
        <v>0</v>
      </c>
      <c r="J5" s="47">
        <v>0</v>
      </c>
      <c r="K5" s="47">
        <v>0</v>
      </c>
      <c r="L5" s="47">
        <v>0</v>
      </c>
      <c r="M5" s="47">
        <v>0</v>
      </c>
      <c r="N5" s="47">
        <v>0</v>
      </c>
      <c r="O5" s="47">
        <v>0</v>
      </c>
      <c r="P5" s="47">
        <v>0</v>
      </c>
      <c r="Q5" s="47">
        <v>0</v>
      </c>
      <c r="R5" s="47">
        <v>0</v>
      </c>
      <c r="S5" s="47">
        <v>0</v>
      </c>
      <c r="T5" s="47">
        <v>0</v>
      </c>
      <c r="U5" s="47">
        <v>0</v>
      </c>
      <c r="V5" s="47">
        <v>0</v>
      </c>
      <c r="W5" s="47">
        <v>0</v>
      </c>
      <c r="X5" s="47">
        <v>0</v>
      </c>
      <c r="Y5" s="47">
        <v>0</v>
      </c>
      <c r="Z5" s="47">
        <v>0</v>
      </c>
      <c r="AA5" s="47">
        <v>0</v>
      </c>
      <c r="AB5" s="47">
        <v>0</v>
      </c>
    </row>
    <row r="6" spans="1:28" x14ac:dyDescent="0.3">
      <c r="A6">
        <v>2</v>
      </c>
      <c r="B6" t="s">
        <v>0</v>
      </c>
      <c r="C6" s="47">
        <v>40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  <c r="K6" s="47">
        <v>0</v>
      </c>
      <c r="L6" s="47">
        <v>0</v>
      </c>
      <c r="M6" s="47">
        <v>0</v>
      </c>
      <c r="N6" s="47">
        <v>0</v>
      </c>
      <c r="O6" s="47">
        <v>40</v>
      </c>
      <c r="P6" s="47">
        <v>0</v>
      </c>
      <c r="Q6" s="47">
        <v>0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40</v>
      </c>
      <c r="Z6" s="47">
        <v>0</v>
      </c>
      <c r="AA6" s="47">
        <v>0</v>
      </c>
      <c r="AB6" s="47">
        <v>0</v>
      </c>
    </row>
    <row r="7" spans="1:28" x14ac:dyDescent="0.3">
      <c r="A7">
        <v>2</v>
      </c>
      <c r="B7" t="s">
        <v>1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7">
        <v>0</v>
      </c>
      <c r="O7" s="47">
        <v>0</v>
      </c>
      <c r="P7" s="47">
        <v>0</v>
      </c>
      <c r="Q7" s="47">
        <v>0</v>
      </c>
      <c r="R7" s="47">
        <v>10.122999999999999</v>
      </c>
      <c r="S7" s="47">
        <v>2.6819999999999999</v>
      </c>
      <c r="T7" s="47">
        <v>0</v>
      </c>
      <c r="U7" s="47">
        <v>2.2989999999999999</v>
      </c>
      <c r="V7" s="47">
        <v>0</v>
      </c>
      <c r="W7" s="47">
        <v>2.214</v>
      </c>
      <c r="X7" s="47">
        <v>0</v>
      </c>
      <c r="Y7" s="47">
        <v>0</v>
      </c>
      <c r="Z7" s="47">
        <v>0</v>
      </c>
      <c r="AA7" s="47">
        <v>0</v>
      </c>
      <c r="AB7" s="47">
        <v>2</v>
      </c>
    </row>
    <row r="8" spans="1:28" x14ac:dyDescent="0.3">
      <c r="A8">
        <v>3</v>
      </c>
      <c r="B8" t="s">
        <v>2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</row>
    <row r="9" spans="1:28" x14ac:dyDescent="0.3">
      <c r="A9">
        <v>3</v>
      </c>
      <c r="B9" t="s">
        <v>0</v>
      </c>
      <c r="C9" s="47">
        <v>40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  <c r="K9" s="47">
        <v>0</v>
      </c>
      <c r="L9" s="47">
        <v>0</v>
      </c>
      <c r="M9" s="47">
        <v>0</v>
      </c>
      <c r="N9" s="47">
        <v>0</v>
      </c>
      <c r="O9" s="47">
        <v>40</v>
      </c>
      <c r="P9" s="47">
        <v>0</v>
      </c>
      <c r="Q9" s="47">
        <v>0</v>
      </c>
      <c r="R9" s="47">
        <v>0</v>
      </c>
      <c r="S9" s="47">
        <v>0</v>
      </c>
      <c r="T9" s="47">
        <v>0</v>
      </c>
      <c r="U9" s="47">
        <v>0</v>
      </c>
      <c r="V9" s="47">
        <v>0</v>
      </c>
      <c r="W9" s="47">
        <v>0</v>
      </c>
      <c r="X9" s="47">
        <v>0</v>
      </c>
      <c r="Y9" s="47">
        <v>40</v>
      </c>
      <c r="Z9" s="47">
        <v>0</v>
      </c>
      <c r="AA9" s="47">
        <v>0</v>
      </c>
      <c r="AB9" s="47">
        <v>0</v>
      </c>
    </row>
    <row r="10" spans="1:28" x14ac:dyDescent="0.3">
      <c r="A10">
        <v>3</v>
      </c>
      <c r="B10" t="s">
        <v>1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10.122999999999999</v>
      </c>
      <c r="S10" s="47">
        <v>2.6819999999999999</v>
      </c>
      <c r="T10" s="47">
        <v>0</v>
      </c>
      <c r="U10" s="47">
        <v>2.2989999999999999</v>
      </c>
      <c r="V10" s="47">
        <v>0</v>
      </c>
      <c r="W10" s="47">
        <v>2.214</v>
      </c>
      <c r="X10" s="47">
        <v>0</v>
      </c>
      <c r="Y10" s="47">
        <v>0</v>
      </c>
      <c r="Z10" s="47">
        <v>0</v>
      </c>
      <c r="AA10" s="47">
        <v>0</v>
      </c>
      <c r="AB10" s="47">
        <v>2</v>
      </c>
    </row>
    <row r="11" spans="1:28" x14ac:dyDescent="0.3">
      <c r="A11">
        <v>4</v>
      </c>
      <c r="B11" t="s">
        <v>2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>
        <v>0</v>
      </c>
      <c r="P11" s="47">
        <v>0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7">
        <v>0</v>
      </c>
      <c r="Z11" s="47">
        <v>0</v>
      </c>
      <c r="AA11" s="47">
        <v>0</v>
      </c>
      <c r="AB11" s="47">
        <v>0</v>
      </c>
    </row>
    <row r="12" spans="1:28" x14ac:dyDescent="0.3">
      <c r="A12">
        <v>4</v>
      </c>
      <c r="B12" t="s">
        <v>0</v>
      </c>
      <c r="C12" s="47">
        <v>40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0</v>
      </c>
      <c r="M12" s="47">
        <v>0</v>
      </c>
      <c r="N12" s="47">
        <v>0</v>
      </c>
      <c r="O12" s="47">
        <v>40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40</v>
      </c>
      <c r="Z12" s="47">
        <v>0</v>
      </c>
      <c r="AA12" s="47">
        <v>0</v>
      </c>
      <c r="AB12" s="47">
        <v>0</v>
      </c>
    </row>
    <row r="13" spans="1:28" x14ac:dyDescent="0.3">
      <c r="A13">
        <v>4</v>
      </c>
      <c r="B13" t="s">
        <v>1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47">
        <v>0</v>
      </c>
      <c r="P13" s="47">
        <v>0</v>
      </c>
      <c r="Q13" s="47">
        <v>0</v>
      </c>
      <c r="R13" s="47">
        <v>10.122999999999999</v>
      </c>
      <c r="S13" s="47">
        <v>2.6819999999999999</v>
      </c>
      <c r="T13" s="47">
        <v>0</v>
      </c>
      <c r="U13" s="47">
        <v>2.2989999999999999</v>
      </c>
      <c r="V13" s="47">
        <v>0</v>
      </c>
      <c r="W13" s="47">
        <v>2.214</v>
      </c>
      <c r="X13" s="47">
        <v>0</v>
      </c>
      <c r="Y13" s="47">
        <v>0</v>
      </c>
      <c r="Z13" s="47">
        <v>0</v>
      </c>
      <c r="AA13" s="47">
        <v>0</v>
      </c>
      <c r="AB13" s="47">
        <v>2</v>
      </c>
    </row>
    <row r="14" spans="1:28" x14ac:dyDescent="0.3">
      <c r="A14">
        <v>5</v>
      </c>
      <c r="B14" t="s">
        <v>2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</row>
    <row r="15" spans="1:28" x14ac:dyDescent="0.3">
      <c r="A15">
        <v>5</v>
      </c>
      <c r="B15" t="s">
        <v>0</v>
      </c>
      <c r="C15" s="47">
        <v>40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47">
        <v>40</v>
      </c>
      <c r="P15" s="47">
        <v>0</v>
      </c>
      <c r="Q15" s="47">
        <v>0</v>
      </c>
      <c r="R15" s="47">
        <v>0</v>
      </c>
      <c r="S15" s="47">
        <v>0</v>
      </c>
      <c r="T15" s="47">
        <v>0</v>
      </c>
      <c r="U15" s="47">
        <v>0</v>
      </c>
      <c r="V15" s="47">
        <v>0</v>
      </c>
      <c r="W15" s="47">
        <v>0</v>
      </c>
      <c r="X15" s="47">
        <v>0</v>
      </c>
      <c r="Y15" s="47">
        <v>40</v>
      </c>
      <c r="Z15" s="47">
        <v>0</v>
      </c>
      <c r="AA15" s="47">
        <v>0</v>
      </c>
      <c r="AB15" s="47">
        <v>0</v>
      </c>
    </row>
    <row r="16" spans="1:28" x14ac:dyDescent="0.3">
      <c r="A16">
        <v>5</v>
      </c>
      <c r="B16" t="s">
        <v>1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13.5884</v>
      </c>
      <c r="S16" s="47">
        <v>2.9933900000000002</v>
      </c>
      <c r="T16" s="47">
        <v>4.31813</v>
      </c>
      <c r="U16" s="47">
        <v>3.55565</v>
      </c>
      <c r="V16" s="47">
        <v>3.6869399999999999</v>
      </c>
      <c r="W16" s="47">
        <v>2.5832700000000002</v>
      </c>
      <c r="X16" s="47">
        <v>4.3803000000000001</v>
      </c>
      <c r="Y16" s="47">
        <v>0</v>
      </c>
      <c r="Z16" s="47">
        <v>0</v>
      </c>
      <c r="AA16" s="47">
        <v>0</v>
      </c>
      <c r="AB16" s="47">
        <v>2.7936999999999999</v>
      </c>
    </row>
    <row r="17" spans="1:28" x14ac:dyDescent="0.3">
      <c r="A17">
        <v>6</v>
      </c>
      <c r="B17" t="s">
        <v>2</v>
      </c>
      <c r="C17" s="47">
        <v>11.7476</v>
      </c>
      <c r="D17" s="47">
        <v>0</v>
      </c>
      <c r="E17" s="47">
        <v>0</v>
      </c>
      <c r="F17" s="47">
        <v>0</v>
      </c>
      <c r="G17" s="47">
        <v>2</v>
      </c>
      <c r="H17" s="47">
        <v>2</v>
      </c>
      <c r="I17" s="47">
        <v>2.5129999999999999</v>
      </c>
      <c r="J17" s="47">
        <v>0</v>
      </c>
      <c r="K17" s="47">
        <v>2</v>
      </c>
      <c r="L17" s="47">
        <v>2</v>
      </c>
      <c r="M17" s="47">
        <v>0</v>
      </c>
      <c r="N17" s="47">
        <v>0</v>
      </c>
      <c r="O17" s="47">
        <v>0</v>
      </c>
      <c r="P17" s="47">
        <v>0</v>
      </c>
      <c r="Q17" s="47">
        <v>0</v>
      </c>
      <c r="R17" s="47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7">
        <v>0</v>
      </c>
      <c r="Y17" s="47">
        <v>0</v>
      </c>
      <c r="Z17" s="47">
        <v>0</v>
      </c>
      <c r="AA17" s="47">
        <v>0</v>
      </c>
      <c r="AB17" s="47">
        <v>0</v>
      </c>
    </row>
    <row r="18" spans="1:28" x14ac:dyDescent="0.3">
      <c r="A18">
        <v>6</v>
      </c>
      <c r="B18" t="s">
        <v>0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0</v>
      </c>
      <c r="M18" s="47">
        <v>0</v>
      </c>
      <c r="N18" s="47">
        <v>0</v>
      </c>
      <c r="O18" s="47">
        <v>40</v>
      </c>
      <c r="P18" s="47">
        <v>0</v>
      </c>
      <c r="Q18" s="47">
        <v>0</v>
      </c>
      <c r="R18" s="47">
        <v>40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40</v>
      </c>
      <c r="Z18" s="47">
        <v>0</v>
      </c>
      <c r="AA18" s="47">
        <v>0</v>
      </c>
      <c r="AB18" s="47">
        <v>0</v>
      </c>
    </row>
    <row r="19" spans="1:28" x14ac:dyDescent="0.3">
      <c r="A19">
        <v>6</v>
      </c>
      <c r="B19" t="s">
        <v>1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2</v>
      </c>
      <c r="N19" s="47">
        <v>2</v>
      </c>
      <c r="O19" s="47">
        <v>0</v>
      </c>
      <c r="P19" s="47">
        <v>3.0259999999999998</v>
      </c>
      <c r="Q19" s="47">
        <v>0</v>
      </c>
      <c r="R19" s="47">
        <v>0</v>
      </c>
      <c r="S19" s="47">
        <v>0</v>
      </c>
      <c r="T19" s="47">
        <v>0</v>
      </c>
      <c r="U19" s="47">
        <v>0</v>
      </c>
      <c r="V19" s="47">
        <v>0</v>
      </c>
      <c r="W19" s="47">
        <v>0</v>
      </c>
      <c r="X19" s="47">
        <v>0</v>
      </c>
      <c r="Y19" s="47">
        <v>0</v>
      </c>
      <c r="Z19" s="47">
        <v>0</v>
      </c>
      <c r="AA19" s="47">
        <v>2</v>
      </c>
      <c r="AB19" s="47">
        <v>2.5449999999999999</v>
      </c>
    </row>
    <row r="20" spans="1:28" x14ac:dyDescent="0.3">
      <c r="A20">
        <v>7</v>
      </c>
      <c r="B20" t="s">
        <v>2</v>
      </c>
      <c r="C20" s="47">
        <v>9.0656499999999998</v>
      </c>
      <c r="D20" s="47">
        <v>0</v>
      </c>
      <c r="E20" s="47">
        <v>2.6819999999999999</v>
      </c>
      <c r="F20" s="47">
        <v>0</v>
      </c>
      <c r="G20" s="47">
        <v>2</v>
      </c>
      <c r="H20" s="47">
        <v>2</v>
      </c>
      <c r="I20" s="47">
        <v>2.5129999999999999</v>
      </c>
      <c r="J20" s="47">
        <v>0</v>
      </c>
      <c r="K20" s="47">
        <v>2</v>
      </c>
      <c r="L20" s="47">
        <v>2</v>
      </c>
      <c r="M20" s="47">
        <v>0</v>
      </c>
      <c r="N20" s="47">
        <v>0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</row>
    <row r="21" spans="1:28" x14ac:dyDescent="0.3">
      <c r="A21">
        <v>7</v>
      </c>
      <c r="B21" t="s">
        <v>0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47">
        <v>40</v>
      </c>
      <c r="P21" s="47">
        <v>0</v>
      </c>
      <c r="Q21" s="47">
        <v>0</v>
      </c>
      <c r="R21" s="47">
        <v>40</v>
      </c>
      <c r="S21" s="47">
        <v>0</v>
      </c>
      <c r="T21" s="47">
        <v>0</v>
      </c>
      <c r="U21" s="47">
        <v>0</v>
      </c>
      <c r="V21" s="47">
        <v>0</v>
      </c>
      <c r="W21" s="47">
        <v>0</v>
      </c>
      <c r="X21" s="47">
        <v>0</v>
      </c>
      <c r="Y21" s="47">
        <v>40</v>
      </c>
      <c r="Z21" s="47">
        <v>0</v>
      </c>
      <c r="AA21" s="47">
        <v>0</v>
      </c>
      <c r="AB21" s="47">
        <v>0</v>
      </c>
    </row>
    <row r="22" spans="1:28" x14ac:dyDescent="0.3">
      <c r="A22">
        <v>7</v>
      </c>
      <c r="B22" t="s">
        <v>1</v>
      </c>
      <c r="C22" s="47">
        <v>0</v>
      </c>
      <c r="D22" s="47">
        <v>0</v>
      </c>
      <c r="E22" s="47">
        <v>0</v>
      </c>
      <c r="F22" s="47">
        <v>0</v>
      </c>
      <c r="G22" s="47">
        <v>0</v>
      </c>
      <c r="H22" s="47">
        <v>0</v>
      </c>
      <c r="I22" s="47">
        <v>0</v>
      </c>
      <c r="J22" s="47">
        <v>0</v>
      </c>
      <c r="K22" s="47">
        <v>0</v>
      </c>
      <c r="L22" s="47">
        <v>0</v>
      </c>
      <c r="M22" s="47">
        <v>2</v>
      </c>
      <c r="N22" s="47">
        <v>2</v>
      </c>
      <c r="O22" s="47">
        <v>0</v>
      </c>
      <c r="P22" s="47">
        <v>3.0259999999999998</v>
      </c>
      <c r="Q22" s="47">
        <v>0</v>
      </c>
      <c r="R22" s="47">
        <v>0</v>
      </c>
      <c r="S22" s="47">
        <v>0</v>
      </c>
      <c r="T22" s="47">
        <v>0</v>
      </c>
      <c r="U22" s="47">
        <v>0</v>
      </c>
      <c r="V22" s="47">
        <v>0</v>
      </c>
      <c r="W22" s="47">
        <v>0</v>
      </c>
      <c r="X22" s="47">
        <v>0</v>
      </c>
      <c r="Y22" s="47">
        <v>0</v>
      </c>
      <c r="Z22" s="47">
        <v>0</v>
      </c>
      <c r="AA22" s="47">
        <v>2</v>
      </c>
      <c r="AB22" s="47">
        <v>2.5449999999999999</v>
      </c>
    </row>
    <row r="23" spans="1:28" x14ac:dyDescent="0.3">
      <c r="A23">
        <v>8</v>
      </c>
      <c r="B23" t="s">
        <v>2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>
        <v>0</v>
      </c>
      <c r="P23" s="47">
        <v>0</v>
      </c>
      <c r="Q23" s="47">
        <v>0</v>
      </c>
      <c r="R23" s="47">
        <v>0</v>
      </c>
      <c r="S23" s="47">
        <v>0</v>
      </c>
      <c r="T23" s="47">
        <v>0</v>
      </c>
      <c r="U23" s="47">
        <v>0</v>
      </c>
      <c r="V23" s="47">
        <v>0</v>
      </c>
      <c r="W23" s="47">
        <v>0</v>
      </c>
      <c r="X23" s="47">
        <v>0</v>
      </c>
      <c r="Y23" s="47">
        <v>0</v>
      </c>
      <c r="Z23" s="47">
        <v>0</v>
      </c>
      <c r="AA23" s="47">
        <v>0</v>
      </c>
      <c r="AB23" s="47">
        <v>0</v>
      </c>
    </row>
    <row r="24" spans="1:28" x14ac:dyDescent="0.3">
      <c r="A24">
        <v>8</v>
      </c>
      <c r="B24" t="s">
        <v>0</v>
      </c>
      <c r="C24" s="47">
        <v>40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47">
        <v>0</v>
      </c>
      <c r="N24" s="47">
        <v>0</v>
      </c>
      <c r="O24" s="47">
        <v>40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40</v>
      </c>
      <c r="Z24" s="47">
        <v>0</v>
      </c>
      <c r="AA24" s="47">
        <v>0</v>
      </c>
      <c r="AB24" s="47">
        <v>0</v>
      </c>
    </row>
    <row r="25" spans="1:28" x14ac:dyDescent="0.3">
      <c r="A25">
        <v>8</v>
      </c>
      <c r="B25" t="s">
        <v>1</v>
      </c>
      <c r="C25" s="47">
        <v>2.0003000000000002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19.2895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47">
        <v>0</v>
      </c>
      <c r="P25" s="47">
        <v>0</v>
      </c>
      <c r="Q25" s="47">
        <v>0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0</v>
      </c>
    </row>
    <row r="26" spans="1:28" x14ac:dyDescent="0.3">
      <c r="A26">
        <v>9</v>
      </c>
      <c r="B26" t="s">
        <v>2</v>
      </c>
      <c r="C26" s="47">
        <v>0</v>
      </c>
      <c r="D26" s="47">
        <v>0</v>
      </c>
      <c r="E26" s="47">
        <v>0</v>
      </c>
      <c r="F26" s="47">
        <v>0</v>
      </c>
      <c r="G26" s="47">
        <v>0</v>
      </c>
      <c r="H26" s="47">
        <v>0</v>
      </c>
      <c r="I26" s="47">
        <v>0</v>
      </c>
      <c r="J26" s="47">
        <v>0</v>
      </c>
      <c r="K26" s="47">
        <v>0</v>
      </c>
      <c r="L26" s="47">
        <v>0</v>
      </c>
      <c r="M26" s="47">
        <v>0</v>
      </c>
      <c r="N26" s="47">
        <v>0</v>
      </c>
      <c r="O26" s="47">
        <v>0</v>
      </c>
      <c r="P26" s="47">
        <v>0</v>
      </c>
      <c r="Q26" s="47">
        <v>0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7">
        <v>0</v>
      </c>
      <c r="Z26" s="47">
        <v>0</v>
      </c>
      <c r="AA26" s="47">
        <v>0</v>
      </c>
      <c r="AB26" s="47">
        <v>0</v>
      </c>
    </row>
    <row r="27" spans="1:28" x14ac:dyDescent="0.3">
      <c r="A27">
        <v>9</v>
      </c>
      <c r="B27" t="s">
        <v>0</v>
      </c>
      <c r="C27" s="47">
        <v>40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47">
        <v>40</v>
      </c>
      <c r="P27" s="47">
        <v>0</v>
      </c>
      <c r="Q27" s="47">
        <v>0</v>
      </c>
      <c r="R27" s="47">
        <v>0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7">
        <v>40</v>
      </c>
      <c r="Z27" s="47">
        <v>0</v>
      </c>
      <c r="AA27" s="47">
        <v>0</v>
      </c>
      <c r="AB27" s="47">
        <v>0</v>
      </c>
    </row>
    <row r="28" spans="1:28" x14ac:dyDescent="0.3">
      <c r="A28">
        <v>9</v>
      </c>
      <c r="B28" t="s">
        <v>1</v>
      </c>
      <c r="C28" s="47">
        <v>24</v>
      </c>
      <c r="D28" s="47">
        <v>24</v>
      </c>
      <c r="E28" s="47">
        <v>24</v>
      </c>
      <c r="F28" s="47">
        <v>24</v>
      </c>
      <c r="G28" s="47">
        <v>24</v>
      </c>
      <c r="H28" s="47">
        <v>24</v>
      </c>
      <c r="I28" s="47">
        <v>24</v>
      </c>
      <c r="J28" s="47">
        <v>24</v>
      </c>
      <c r="K28" s="47">
        <v>24</v>
      </c>
      <c r="L28" s="47">
        <v>24</v>
      </c>
      <c r="M28" s="47">
        <v>24</v>
      </c>
      <c r="N28" s="47">
        <v>24</v>
      </c>
      <c r="O28" s="47">
        <v>24</v>
      </c>
      <c r="P28" s="47">
        <v>24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16.232900000000001</v>
      </c>
      <c r="Y28" s="47">
        <v>24</v>
      </c>
      <c r="Z28" s="47">
        <v>15.6881</v>
      </c>
      <c r="AA28" s="47">
        <v>0</v>
      </c>
      <c r="AB28" s="4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G1" activePane="topRight" state="frozen"/>
      <selection pane="topRight" activeCell="BH17" sqref="BH17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144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zoomScale="120" zoomScaleNormal="120" workbookViewId="0">
      <selection activeCell="B1" sqref="B1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zoomScale="85" zoomScaleNormal="85" workbookViewId="0">
      <selection activeCell="G1" sqref="G1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experimentslist</vt:lpstr>
      <vt:lpstr>NG</vt:lpstr>
      <vt:lpstr>Parameters</vt:lpstr>
      <vt:lpstr>scarcity_Aug1st</vt:lpstr>
      <vt:lpstr>scarcity_Jun18</vt:lpstr>
      <vt:lpstr>isone_fcm</vt:lpstr>
      <vt:lpstr>250901</vt:lpstr>
      <vt:lpstr>investment_decisions</vt:lpstr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2026-02-19T16:20:11Z</dcterms:modified>
</cp:coreProperties>
</file>