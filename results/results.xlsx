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dirkl\Desktop\ongoing_projects\MVS\dev\results\"/>
    </mc:Choice>
  </mc:AlternateContent>
  <xr:revisionPtr revIDLastSave="0" documentId="13_ncr:1_{51193FEC-8BAF-41ED-A48A-DAC001171CBB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Experiments" sheetId="1" r:id="rId1"/>
    <sheet name="250718_investment" sheetId="7" r:id="rId2"/>
    <sheet name="250616_plan" sheetId="6" r:id="rId3"/>
    <sheet name="20250425" sheetId="3" r:id="rId4"/>
    <sheet name="20250424" sheetId="2" r:id="rId5"/>
    <sheet name="20250505_Ops" sheetId="4" r:id="rId6"/>
    <sheet name="250601_ops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33" i="6" l="1"/>
  <c r="BP21" i="6"/>
  <c r="L5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BQ15" i="6"/>
  <c r="BQ11" i="6"/>
  <c r="BQ9" i="6"/>
  <c r="BP11" i="6"/>
  <c r="BP9" i="6"/>
  <c r="BP15" i="6"/>
  <c r="BP7" i="6" l="1"/>
  <c r="BP18" i="6" s="1"/>
  <c r="BQ7" i="6"/>
  <c r="BQ18" i="6" s="1"/>
  <c r="BP39" i="6" s="1"/>
  <c r="BQ21" i="6" l="1"/>
  <c r="BP24" i="6"/>
  <c r="BP27" i="6" s="1"/>
  <c r="BP30" i="6" s="1"/>
  <c r="BP3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tc={3596D6DD-00D5-48B9-98E5-2DE582B601C8}</author>
  </authors>
  <commentList>
    <comment ref="G40" authorId="0" shapeId="0" xr:uid="{3596D6DD-00D5-48B9-98E5-2DE582B601C8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Higher load shed because we cannot use backup generation to load storage anymore.</t>
      </text>
    </comment>
  </commentList>
</comments>
</file>

<file path=xl/sharedStrings.xml><?xml version="1.0" encoding="utf-8"?>
<sst xmlns="http://schemas.openxmlformats.org/spreadsheetml/2006/main" count="650" uniqueCount="141">
  <si>
    <t>Grid</t>
  </si>
  <si>
    <t>Storage</t>
  </si>
  <si>
    <t>Backup</t>
  </si>
  <si>
    <t>No exports</t>
  </si>
  <si>
    <t>Limited backup</t>
  </si>
  <si>
    <t>Limited backup and storage</t>
  </si>
  <si>
    <t>Parameters</t>
  </si>
  <si>
    <t>Experiment #</t>
  </si>
  <si>
    <t>Full participation</t>
  </si>
  <si>
    <t>Results</t>
  </si>
  <si>
    <t>Objective</t>
  </si>
  <si>
    <t>Terminal capacity</t>
  </si>
  <si>
    <t>Unmet demand</t>
  </si>
  <si>
    <t>Max demand</t>
  </si>
  <si>
    <t>Computing time</t>
  </si>
  <si>
    <t>Total investment (MW)</t>
  </si>
  <si>
    <t>Total investment ($)</t>
  </si>
  <si>
    <t>Max optimality gap</t>
  </si>
  <si>
    <t>na</t>
  </si>
  <si>
    <t>Resources</t>
  </si>
  <si>
    <t>Market participation</t>
  </si>
  <si>
    <t>Complementarity violation (%)</t>
  </si>
  <si>
    <t>Total demand (MWh)</t>
  </si>
  <si>
    <t>Total supply (MWh)</t>
  </si>
  <si>
    <t>Load</t>
  </si>
  <si>
    <t>Total supply cost ($)</t>
  </si>
  <si>
    <t>Total demand cost ($)</t>
  </si>
  <si>
    <t>Supply cost ($)</t>
  </si>
  <si>
    <t>Demand revenue ($)</t>
  </si>
  <si>
    <t>Max met demand</t>
  </si>
  <si>
    <t>Max unmet demand</t>
  </si>
  <si>
    <t>Complementarity violation (-)</t>
  </si>
  <si>
    <t>Computing time (s)</t>
  </si>
  <si>
    <t>Market parameters</t>
  </si>
  <si>
    <t>Discount rate</t>
  </si>
  <si>
    <t>Unmet Load</t>
  </si>
  <si>
    <t>Number of peak load days in 2050</t>
  </si>
  <si>
    <t>Probability of contingency on peak load days</t>
  </si>
  <si>
    <t>Consumer value of electricity</t>
  </si>
  <si>
    <t>Load Shedding</t>
  </si>
  <si>
    <t>Allowed</t>
  </si>
  <si>
    <t>Initial state-of-charge (-)</t>
  </si>
  <si>
    <t>Initial state-of-charge</t>
  </si>
  <si>
    <t>Fixed</t>
  </si>
  <si>
    <t>Resources (MW)</t>
  </si>
  <si>
    <t>Max supply (MW)</t>
  </si>
  <si>
    <t>Max demand (MW)</t>
  </si>
  <si>
    <t>Peak shaving</t>
  </si>
  <si>
    <t>Objective (Cost)</t>
  </si>
  <si>
    <t>Year</t>
  </si>
  <si>
    <t>Peak</t>
  </si>
  <si>
    <t>Time Horizon</t>
  </si>
  <si>
    <t>Value of lost load ($/MWh)</t>
  </si>
  <si>
    <t>Running peak load for 2025!</t>
  </si>
  <si>
    <t>Operating cost ($)</t>
  </si>
  <si>
    <t>Maximum battery supply (MWh/yr)</t>
  </si>
  <si>
    <t>Days with storage supply (-)</t>
  </si>
  <si>
    <t>Time Horizon (h)</t>
  </si>
  <si>
    <t>Days with insufficient grid capacity (-)</t>
  </si>
  <si>
    <t>Days with storage demand (-)</t>
  </si>
  <si>
    <t>(perfect foresight)</t>
  </si>
  <si>
    <t>Contingencies</t>
  </si>
  <si>
    <t>Maximum battery supply (cycles/yr)</t>
  </si>
  <si>
    <t>Mean value of lost load in 2025 ($/MWh)</t>
  </si>
  <si>
    <t>Available resources</t>
  </si>
  <si>
    <t>Discount rate (-)</t>
  </si>
  <si>
    <t>Solve time (s)</t>
  </si>
  <si>
    <t>Objective (Surplus in $)</t>
  </si>
  <si>
    <t>Total operating cost -- base case ($)</t>
  </si>
  <si>
    <t>Total operating cost -- contingency ($)</t>
  </si>
  <si>
    <t>Total cost of lost load -- contingency ($)</t>
  </si>
  <si>
    <t>Total cost of lost load -- base case ($)</t>
  </si>
  <si>
    <t>Total depreceated capital cost ($)</t>
  </si>
  <si>
    <t>Terminal capacity (MW)</t>
  </si>
  <si>
    <t>Total investment (M$)</t>
  </si>
  <si>
    <t>Unmet load</t>
  </si>
  <si>
    <t>--- Base case operations</t>
  </si>
  <si>
    <t>--- Contingency operations</t>
  </si>
  <si>
    <t>["b", "g", "s"]</t>
  </si>
  <si>
    <t>peak_shaving</t>
  </si>
  <si>
    <t>Max optimality gap (%)</t>
  </si>
  <si>
    <t>Mean contingency probability (%)</t>
  </si>
  <si>
    <t>Mean base case probability (%)</t>
  </si>
  <si>
    <t>Complementarity violations (-)</t>
  </si>
  <si>
    <t>NaN</t>
  </si>
  <si>
    <t>full</t>
  </si>
  <si>
    <t>updated sum in market constraint</t>
  </si>
  <si>
    <t>corrected capital costs</t>
  </si>
  <si>
    <t>updated backup generation cost</t>
  </si>
  <si>
    <t>no load shedding</t>
  </si>
  <si>
    <t>Load shedding</t>
  </si>
  <si>
    <t>updated cycle analysis</t>
  </si>
  <si>
    <t>daily decomposition, upper bound on ysoc at all time periods</t>
  </si>
  <si>
    <t>Operating periods (-)</t>
  </si>
  <si>
    <t>daily decomposition with corrected T and cycle limit</t>
  </si>
  <si>
    <t>All logs are insample, in practice reoptimize, given investment decisions, may need to allow for load shedding; would of course depend on scenarios</t>
  </si>
  <si>
    <t xml:space="preserve">updated M </t>
  </si>
  <si>
    <t>Avg. yearly storage supply  cycles base case (-)</t>
  </si>
  <si>
    <t>Max. yearly storage supply  cycles base case (-)</t>
  </si>
  <si>
    <t>Avg. yearly storage supply  cycles contingency (-)</t>
  </si>
  <si>
    <t>Max. yearly storage supply  cycles contingency (-)</t>
  </si>
  <si>
    <t>no backup</t>
  </si>
  <si>
    <t>["g", "s"]</t>
  </si>
  <si>
    <t>lower optimality gap</t>
  </si>
  <si>
    <t>no new backup generation</t>
  </si>
  <si>
    <t>shinserver</t>
  </si>
  <si>
    <t>Investments savings</t>
  </si>
  <si>
    <t>Opex savings</t>
  </si>
  <si>
    <t>Base</t>
  </si>
  <si>
    <t>Contingency</t>
  </si>
  <si>
    <t>market</t>
  </si>
  <si>
    <t>new storage</t>
  </si>
  <si>
    <t>peak</t>
  </si>
  <si>
    <t>yes</t>
  </si>
  <si>
    <t>no</t>
  </si>
  <si>
    <t>resource</t>
  </si>
  <si>
    <t>grid</t>
  </si>
  <si>
    <t>storage</t>
  </si>
  <si>
    <t>lowest optimality gap</t>
  </si>
  <si>
    <t>Total</t>
  </si>
  <si>
    <t>Extra savings through market participation</t>
  </si>
  <si>
    <t>w new storage</t>
  </si>
  <si>
    <t>w/o new storage</t>
  </si>
  <si>
    <t>New storage years</t>
  </si>
  <si>
    <t>new storage-years</t>
  </si>
  <si>
    <t>Note: should account for storage lifetime, fine here because lifetime is 20 years</t>
  </si>
  <si>
    <t>Total yearly savings per kWh</t>
  </si>
  <si>
    <t>Total yearly savings per kW</t>
  </si>
  <si>
    <t>Over 20 year lifetime</t>
  </si>
  <si>
    <t>Total cost of storage</t>
  </si>
  <si>
    <t>Total savings through storage</t>
  </si>
  <si>
    <t>Percentage of extra savings from market participation</t>
  </si>
  <si>
    <t>Grid to market value</t>
  </si>
  <si>
    <t>grid_wo_storage</t>
  </si>
  <si>
    <t>grid_w_storage</t>
  </si>
  <si>
    <t>Max resource investments (MW)</t>
  </si>
  <si>
    <t>[40.0, 30.0, 24.0]</t>
  </si>
  <si>
    <t>Mean investment cost of storage ($/MW)</t>
  </si>
  <si>
    <t>no_exports</t>
  </si>
  <si>
    <t>low-cost storage</t>
  </si>
  <si>
    <t>repeat runs with daily storage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</si>
</sst>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3" fillId="0" borderId="0" applyFont="0" applyFill="0" applyBorder="0" applyAlignment="0" applyProtection="0"/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9" fontId="3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3" fontId="0" fillId="0" borderId="0" xfId="1" applyFont="1"/>
    <xf numFmtId="164" fontId="0" fillId="0" borderId="0" xfId="1" applyNumberFormat="1" applyFont="1"/>
    <xf numFmtId="43" fontId="1" fillId="0" borderId="0" xfId="1" applyFont="1"/>
    <xf numFmtId="15" fontId="0" fillId="0" borderId="0" xfId="0" applyNumberFormat="1"/>
    <xf numFmtId="2" fontId="0" fillId="0" borderId="0" xfId="0" applyNumberFormat="1"/>
    <xf numFmtId="164" fontId="1" fillId="0" borderId="0" xfId="1" applyNumberFormat="1" applyFont="1"/>
    <xf numFmtId="0" fontId="2" fillId="0" borderId="0" xfId="0" quotePrefix="1" applyFont="1"/>
    <xf numFmtId="43" fontId="5" fillId="3" borderId="0" xfId="3" applyNumberFormat="1"/>
    <xf numFmtId="43" fontId="4" fillId="2" borderId="0" xfId="2" applyNumberFormat="1"/>
    <xf numFmtId="43" fontId="2" fillId="0" borderId="0" xfId="1" applyFont="1"/>
    <xf numFmtId="43" fontId="3" fillId="0" borderId="0" xfId="1" applyFont="1"/>
    <xf numFmtId="43" fontId="0" fillId="0" borderId="0" xfId="0" applyNumberFormat="1"/>
    <xf numFmtId="43" fontId="1" fillId="0" borderId="0" xfId="0" applyNumberFormat="1" applyFont="1"/>
    <xf numFmtId="9" fontId="1" fillId="0" borderId="0" xfId="4" applyFont="1"/>
    <xf numFmtId="2" fontId="1" fillId="0" borderId="0" xfId="0" applyNumberFormat="1" applyFont="1"/>
    <xf numFmtId="2" fontId="0" fillId="0" borderId="0" xfId="1" applyNumberFormat="1" applyFont="1"/>
    <xf numFmtId="2" fontId="1" fillId="0" borderId="0" xfId="1" applyNumberFormat="1" applyFont="1"/>
  </cellXfs>
  <cellStyles count="5">
    <cellStyle name="Bad" xfId="3" builtinId="27"/>
    <cellStyle name="Comma" xfId="1" builtinId="3"/>
    <cellStyle name="Good" xfId="2" builtinId="26"/>
    <cellStyle name="Normal" xfId="0" builtinId="0"/>
    <cellStyle name="Per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irk Lauinger" id="{ECC6709C-9A20-4DC5-ADE3-5C36CDEEBD3D}" userId="S::lauinger@mit.edu::993c8583-c987-4536-99c5-ab0773775f7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0" dT="2025-05-05T20:36:53.40" personId="{ECC6709C-9A20-4DC5-ADE3-5C36CDEEBD3D}" id="{3596D6DD-00D5-48B9-98E5-2DE582B601C8}">
    <text>Higher load shed because we cannot use backup generation to load storage anymore.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6"/>
  <sheetViews>
    <sheetView workbookViewId="0">
      <selection activeCell="A47" sqref="A47"/>
    </sheetView>
  </sheetViews>
  <sheetFormatPr defaultRowHeight="15" x14ac:dyDescent="0.25"/>
  <cols>
    <col min="1" max="1" width="29.28515625" customWidth="1"/>
    <col min="7" max="8" width="9.28515625" customWidth="1"/>
  </cols>
  <sheetData>
    <row r="1" spans="1:10" x14ac:dyDescent="0.25">
      <c r="A1" s="1" t="s">
        <v>7</v>
      </c>
    </row>
    <row r="2" spans="1:10" x14ac:dyDescent="0.25">
      <c r="A2" s="1" t="s">
        <v>6</v>
      </c>
    </row>
    <row r="3" spans="1:10" x14ac:dyDescent="0.25">
      <c r="A3" s="2" t="s">
        <v>19</v>
      </c>
    </row>
    <row r="4" spans="1:10" x14ac:dyDescent="0.25">
      <c r="A4" t="s">
        <v>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</row>
    <row r="5" spans="1:10" x14ac:dyDescent="0.25">
      <c r="A5" t="s">
        <v>1</v>
      </c>
      <c r="B5">
        <v>0</v>
      </c>
      <c r="C5">
        <v>0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</row>
    <row r="6" spans="1:10" x14ac:dyDescent="0.25">
      <c r="A6" t="s">
        <v>2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0</v>
      </c>
    </row>
    <row r="7" spans="1:10" x14ac:dyDescent="0.25">
      <c r="A7" s="2" t="s">
        <v>20</v>
      </c>
    </row>
    <row r="8" spans="1:10" x14ac:dyDescent="0.25">
      <c r="A8" t="s">
        <v>8</v>
      </c>
      <c r="B8" t="s">
        <v>18</v>
      </c>
      <c r="C8">
        <v>0</v>
      </c>
      <c r="D8">
        <v>1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</row>
    <row r="9" spans="1:10" x14ac:dyDescent="0.25">
      <c r="A9" t="s">
        <v>3</v>
      </c>
      <c r="B9" t="s">
        <v>18</v>
      </c>
      <c r="C9">
        <v>0</v>
      </c>
      <c r="D9">
        <v>0</v>
      </c>
      <c r="E9">
        <v>1</v>
      </c>
      <c r="F9">
        <v>1</v>
      </c>
      <c r="G9">
        <v>1</v>
      </c>
      <c r="H9">
        <v>0</v>
      </c>
      <c r="I9">
        <v>1</v>
      </c>
      <c r="J9">
        <v>1</v>
      </c>
    </row>
    <row r="10" spans="1:10" x14ac:dyDescent="0.25">
      <c r="A10" t="s">
        <v>4</v>
      </c>
      <c r="B10" t="s">
        <v>18</v>
      </c>
      <c r="C10">
        <v>1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5</v>
      </c>
      <c r="B11" t="s">
        <v>18</v>
      </c>
      <c r="C11" t="s">
        <v>18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1</v>
      </c>
    </row>
    <row r="12" spans="1:10" x14ac:dyDescent="0.25">
      <c r="A12" s="1" t="s">
        <v>9</v>
      </c>
      <c r="E12" s="1"/>
      <c r="H12" s="1"/>
    </row>
    <row r="13" spans="1:10" x14ac:dyDescent="0.25">
      <c r="A13" t="s">
        <v>10</v>
      </c>
    </row>
    <row r="14" spans="1:10" x14ac:dyDescent="0.25">
      <c r="A14" t="s">
        <v>14</v>
      </c>
    </row>
    <row r="15" spans="1:10" x14ac:dyDescent="0.25">
      <c r="A15" t="s">
        <v>17</v>
      </c>
    </row>
    <row r="16" spans="1:10" x14ac:dyDescent="0.25">
      <c r="A16" t="s">
        <v>21</v>
      </c>
    </row>
    <row r="17" spans="1:1" x14ac:dyDescent="0.25">
      <c r="A17" s="2" t="s">
        <v>11</v>
      </c>
    </row>
    <row r="18" spans="1:1" x14ac:dyDescent="0.25">
      <c r="A18" t="s">
        <v>2</v>
      </c>
    </row>
    <row r="19" spans="1:1" x14ac:dyDescent="0.25">
      <c r="A19" t="s">
        <v>0</v>
      </c>
    </row>
    <row r="20" spans="1:1" x14ac:dyDescent="0.25">
      <c r="A20" t="s">
        <v>1</v>
      </c>
    </row>
    <row r="21" spans="1:1" x14ac:dyDescent="0.25">
      <c r="A21" t="s">
        <v>13</v>
      </c>
    </row>
    <row r="22" spans="1:1" x14ac:dyDescent="0.25">
      <c r="A22" t="s">
        <v>12</v>
      </c>
    </row>
    <row r="23" spans="1:1" x14ac:dyDescent="0.25">
      <c r="A23" s="2" t="s">
        <v>15</v>
      </c>
    </row>
    <row r="24" spans="1:1" x14ac:dyDescent="0.25">
      <c r="A24" t="s">
        <v>2</v>
      </c>
    </row>
    <row r="25" spans="1:1" x14ac:dyDescent="0.25">
      <c r="A25" t="s">
        <v>0</v>
      </c>
    </row>
    <row r="26" spans="1:1" x14ac:dyDescent="0.25">
      <c r="A26" t="s">
        <v>1</v>
      </c>
    </row>
    <row r="27" spans="1:1" x14ac:dyDescent="0.25">
      <c r="A27" s="2" t="s">
        <v>16</v>
      </c>
    </row>
    <row r="28" spans="1:1" x14ac:dyDescent="0.25">
      <c r="A28" t="s">
        <v>2</v>
      </c>
    </row>
    <row r="29" spans="1:1" x14ac:dyDescent="0.25">
      <c r="A29" t="s">
        <v>0</v>
      </c>
    </row>
    <row r="30" spans="1:1" x14ac:dyDescent="0.25">
      <c r="A30" t="s">
        <v>1</v>
      </c>
    </row>
    <row r="31" spans="1:1" x14ac:dyDescent="0.25">
      <c r="A31" s="2" t="s">
        <v>23</v>
      </c>
    </row>
    <row r="32" spans="1:1" x14ac:dyDescent="0.25">
      <c r="A32" t="s">
        <v>2</v>
      </c>
    </row>
    <row r="33" spans="1:1" x14ac:dyDescent="0.25">
      <c r="A33" t="s">
        <v>0</v>
      </c>
    </row>
    <row r="34" spans="1:1" x14ac:dyDescent="0.25">
      <c r="A34" t="s">
        <v>1</v>
      </c>
    </row>
    <row r="35" spans="1:1" x14ac:dyDescent="0.25">
      <c r="A35" s="2" t="s">
        <v>22</v>
      </c>
    </row>
    <row r="36" spans="1:1" x14ac:dyDescent="0.25">
      <c r="A36" t="s">
        <v>0</v>
      </c>
    </row>
    <row r="37" spans="1:1" x14ac:dyDescent="0.25">
      <c r="A37" t="s">
        <v>24</v>
      </c>
    </row>
    <row r="38" spans="1:1" x14ac:dyDescent="0.25">
      <c r="A38" t="s">
        <v>1</v>
      </c>
    </row>
    <row r="39" spans="1:1" x14ac:dyDescent="0.25">
      <c r="A39" s="2" t="s">
        <v>25</v>
      </c>
    </row>
    <row r="40" spans="1:1" x14ac:dyDescent="0.25">
      <c r="A40" t="s">
        <v>2</v>
      </c>
    </row>
    <row r="41" spans="1:1" x14ac:dyDescent="0.25">
      <c r="A41" t="s">
        <v>0</v>
      </c>
    </row>
    <row r="42" spans="1:1" x14ac:dyDescent="0.25">
      <c r="A42" t="s">
        <v>1</v>
      </c>
    </row>
    <row r="43" spans="1:1" x14ac:dyDescent="0.25">
      <c r="A43" s="2" t="s">
        <v>26</v>
      </c>
    </row>
    <row r="44" spans="1:1" x14ac:dyDescent="0.25">
      <c r="A44" t="s">
        <v>0</v>
      </c>
    </row>
    <row r="45" spans="1:1" x14ac:dyDescent="0.25">
      <c r="A45" t="s">
        <v>24</v>
      </c>
    </row>
    <row r="46" spans="1:1" x14ac:dyDescent="0.25">
      <c r="A46" t="s">
        <v>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170D9-F7C2-442C-BFB6-35612215F0C3}">
  <dimension ref="A1:W30"/>
  <sheetViews>
    <sheetView zoomScale="90" zoomScaleNormal="90" workbookViewId="0">
      <selection activeCell="H31" sqref="H31"/>
    </sheetView>
  </sheetViews>
  <sheetFormatPr defaultRowHeight="15" x14ac:dyDescent="0.25"/>
  <cols>
    <col min="1" max="1" width="11.85546875" bestFit="1" customWidth="1"/>
  </cols>
  <sheetData>
    <row r="1" spans="1:23" x14ac:dyDescent="0.25">
      <c r="A1" t="s">
        <v>110</v>
      </c>
      <c r="B1" t="s">
        <v>85</v>
      </c>
      <c r="C1" t="s">
        <v>85</v>
      </c>
      <c r="D1" t="s">
        <v>112</v>
      </c>
      <c r="E1" t="s">
        <v>112</v>
      </c>
      <c r="F1" t="s">
        <v>85</v>
      </c>
      <c r="G1" t="s">
        <v>85</v>
      </c>
      <c r="H1" t="s">
        <v>112</v>
      </c>
      <c r="I1" t="s">
        <v>112</v>
      </c>
      <c r="T1" t="s">
        <v>49</v>
      </c>
      <c r="U1" t="s">
        <v>133</v>
      </c>
      <c r="V1" t="s">
        <v>134</v>
      </c>
      <c r="W1" t="s">
        <v>117</v>
      </c>
    </row>
    <row r="2" spans="1:23" x14ac:dyDescent="0.25">
      <c r="A2" t="s">
        <v>111</v>
      </c>
      <c r="B2" t="s">
        <v>113</v>
      </c>
      <c r="C2" t="s">
        <v>113</v>
      </c>
      <c r="D2" t="s">
        <v>113</v>
      </c>
      <c r="E2" t="s">
        <v>113</v>
      </c>
      <c r="F2" t="s">
        <v>114</v>
      </c>
      <c r="G2" t="s">
        <v>114</v>
      </c>
      <c r="H2" t="s">
        <v>114</v>
      </c>
      <c r="I2" t="s">
        <v>114</v>
      </c>
      <c r="K2" t="s">
        <v>125</v>
      </c>
      <c r="T2">
        <v>2025</v>
      </c>
      <c r="U2" s="17">
        <v>40</v>
      </c>
      <c r="V2" s="17">
        <v>40</v>
      </c>
      <c r="W2" s="18">
        <v>0</v>
      </c>
    </row>
    <row r="3" spans="1:23" x14ac:dyDescent="0.25">
      <c r="A3" t="s">
        <v>115</v>
      </c>
      <c r="B3" t="s">
        <v>116</v>
      </c>
      <c r="C3" t="s">
        <v>117</v>
      </c>
      <c r="D3" t="s">
        <v>116</v>
      </c>
      <c r="E3" t="s">
        <v>117</v>
      </c>
      <c r="F3" t="s">
        <v>116</v>
      </c>
      <c r="G3" t="s">
        <v>117</v>
      </c>
      <c r="H3" t="s">
        <v>116</v>
      </c>
      <c r="I3" t="s">
        <v>117</v>
      </c>
      <c r="K3" t="s">
        <v>124</v>
      </c>
      <c r="T3">
        <v>2026</v>
      </c>
      <c r="U3" s="7">
        <v>0</v>
      </c>
      <c r="V3" s="7">
        <v>0</v>
      </c>
      <c r="W3" s="18">
        <v>0</v>
      </c>
    </row>
    <row r="4" spans="1:23" x14ac:dyDescent="0.25">
      <c r="A4" t="s">
        <v>49</v>
      </c>
      <c r="L4" t="s">
        <v>119</v>
      </c>
      <c r="T4">
        <v>2027</v>
      </c>
      <c r="U4" s="7">
        <v>0</v>
      </c>
      <c r="V4" s="7">
        <v>0</v>
      </c>
      <c r="W4" s="18">
        <v>0</v>
      </c>
    </row>
    <row r="5" spans="1:23" x14ac:dyDescent="0.25">
      <c r="A5">
        <v>2025</v>
      </c>
      <c r="B5" s="1">
        <v>40</v>
      </c>
      <c r="C5" s="3">
        <v>0</v>
      </c>
      <c r="D5" s="1">
        <v>40</v>
      </c>
      <c r="E5" s="3">
        <v>0</v>
      </c>
      <c r="F5" s="1">
        <v>40</v>
      </c>
      <c r="G5">
        <v>0</v>
      </c>
      <c r="H5" s="1">
        <v>40</v>
      </c>
      <c r="I5">
        <v>0</v>
      </c>
      <c r="K5" s="14">
        <f>C5*(A$30-A5+1)</f>
        <v>0</v>
      </c>
      <c r="L5" s="14">
        <f>SUM(K5:K30)</f>
        <v>180.68099999996281</v>
      </c>
      <c r="T5">
        <v>2028</v>
      </c>
      <c r="U5" s="7">
        <v>0</v>
      </c>
      <c r="V5" s="7">
        <v>0</v>
      </c>
      <c r="W5" s="18">
        <v>0</v>
      </c>
    </row>
    <row r="6" spans="1:23" x14ac:dyDescent="0.25">
      <c r="A6">
        <v>2026</v>
      </c>
      <c r="B6">
        <v>0</v>
      </c>
      <c r="C6" s="3">
        <v>0</v>
      </c>
      <c r="D6">
        <v>0</v>
      </c>
      <c r="E6" s="3">
        <v>0</v>
      </c>
      <c r="F6">
        <v>0</v>
      </c>
      <c r="G6">
        <v>0</v>
      </c>
      <c r="H6">
        <v>0</v>
      </c>
      <c r="I6">
        <v>0</v>
      </c>
      <c r="K6" s="14">
        <f t="shared" ref="K6:K30" si="0">C6*(A$30-A6+1)</f>
        <v>0</v>
      </c>
      <c r="T6">
        <v>2029</v>
      </c>
      <c r="U6" s="7">
        <v>0</v>
      </c>
      <c r="V6" s="7">
        <v>0</v>
      </c>
      <c r="W6" s="18">
        <v>0</v>
      </c>
    </row>
    <row r="7" spans="1:23" x14ac:dyDescent="0.25">
      <c r="A7">
        <v>2027</v>
      </c>
      <c r="B7">
        <v>0</v>
      </c>
      <c r="C7" s="3">
        <v>0</v>
      </c>
      <c r="D7">
        <v>0</v>
      </c>
      <c r="E7" s="3">
        <v>0</v>
      </c>
      <c r="F7">
        <v>0</v>
      </c>
      <c r="G7">
        <v>0</v>
      </c>
      <c r="H7">
        <v>0</v>
      </c>
      <c r="I7">
        <v>0</v>
      </c>
      <c r="K7" s="14">
        <f t="shared" si="0"/>
        <v>0</v>
      </c>
      <c r="T7">
        <v>2030</v>
      </c>
      <c r="U7" s="7">
        <v>0</v>
      </c>
      <c r="V7" s="7">
        <v>0</v>
      </c>
      <c r="W7" s="18">
        <v>0</v>
      </c>
    </row>
    <row r="8" spans="1:23" x14ac:dyDescent="0.25">
      <c r="A8">
        <v>2028</v>
      </c>
      <c r="B8">
        <v>0</v>
      </c>
      <c r="C8" s="3">
        <v>0</v>
      </c>
      <c r="D8">
        <v>0</v>
      </c>
      <c r="E8" s="3">
        <v>0</v>
      </c>
      <c r="F8">
        <v>0</v>
      </c>
      <c r="G8">
        <v>0</v>
      </c>
      <c r="H8">
        <v>0</v>
      </c>
      <c r="I8">
        <v>0</v>
      </c>
      <c r="K8" s="14">
        <f t="shared" si="0"/>
        <v>0</v>
      </c>
      <c r="T8">
        <v>2031</v>
      </c>
      <c r="U8" s="7">
        <v>0</v>
      </c>
      <c r="V8" s="7">
        <v>0</v>
      </c>
      <c r="W8" s="18">
        <v>0</v>
      </c>
    </row>
    <row r="9" spans="1:23" x14ac:dyDescent="0.25">
      <c r="A9">
        <v>2029</v>
      </c>
      <c r="B9">
        <v>0</v>
      </c>
      <c r="C9" s="3">
        <v>0</v>
      </c>
      <c r="D9">
        <v>0</v>
      </c>
      <c r="E9" s="3">
        <v>0</v>
      </c>
      <c r="F9">
        <v>0</v>
      </c>
      <c r="G9">
        <v>0</v>
      </c>
      <c r="H9">
        <v>0</v>
      </c>
      <c r="I9">
        <v>0</v>
      </c>
      <c r="K9" s="14">
        <f t="shared" si="0"/>
        <v>0</v>
      </c>
      <c r="T9">
        <v>2032</v>
      </c>
      <c r="U9" s="7">
        <v>0</v>
      </c>
      <c r="V9" s="7">
        <v>0</v>
      </c>
      <c r="W9" s="18">
        <v>0</v>
      </c>
    </row>
    <row r="10" spans="1:23" x14ac:dyDescent="0.25">
      <c r="A10">
        <v>2030</v>
      </c>
      <c r="B10">
        <v>0</v>
      </c>
      <c r="C10" s="3">
        <v>0</v>
      </c>
      <c r="D10">
        <v>0</v>
      </c>
      <c r="E10" s="3">
        <v>0</v>
      </c>
      <c r="F10">
        <v>0</v>
      </c>
      <c r="G10">
        <v>0</v>
      </c>
      <c r="H10">
        <v>0</v>
      </c>
      <c r="I10">
        <v>0</v>
      </c>
      <c r="K10" s="14">
        <f t="shared" si="0"/>
        <v>0</v>
      </c>
      <c r="T10">
        <v>2033</v>
      </c>
      <c r="U10" s="7">
        <v>0</v>
      </c>
      <c r="V10" s="7">
        <v>0</v>
      </c>
      <c r="W10" s="18">
        <v>0</v>
      </c>
    </row>
    <row r="11" spans="1:23" x14ac:dyDescent="0.25">
      <c r="A11">
        <v>2031</v>
      </c>
      <c r="B11">
        <v>0</v>
      </c>
      <c r="C11" s="3">
        <v>0</v>
      </c>
      <c r="D11">
        <v>0</v>
      </c>
      <c r="E11" s="3">
        <v>0</v>
      </c>
      <c r="F11">
        <v>0</v>
      </c>
      <c r="G11">
        <v>0</v>
      </c>
      <c r="H11">
        <v>0</v>
      </c>
      <c r="I11">
        <v>0</v>
      </c>
      <c r="K11" s="14">
        <f t="shared" si="0"/>
        <v>0</v>
      </c>
      <c r="T11">
        <v>2034</v>
      </c>
      <c r="U11" s="7">
        <v>0</v>
      </c>
      <c r="V11" s="7">
        <v>0</v>
      </c>
      <c r="W11" s="18">
        <v>0</v>
      </c>
    </row>
    <row r="12" spans="1:23" x14ac:dyDescent="0.25">
      <c r="A12">
        <v>2032</v>
      </c>
      <c r="B12">
        <v>0</v>
      </c>
      <c r="C12" s="3">
        <v>0</v>
      </c>
      <c r="D12">
        <v>0</v>
      </c>
      <c r="E12" s="3">
        <v>0</v>
      </c>
      <c r="F12">
        <v>0</v>
      </c>
      <c r="G12">
        <v>0</v>
      </c>
      <c r="H12">
        <v>0</v>
      </c>
      <c r="I12">
        <v>0</v>
      </c>
      <c r="K12" s="14">
        <f t="shared" si="0"/>
        <v>0</v>
      </c>
      <c r="T12">
        <v>2035</v>
      </c>
      <c r="U12" s="7">
        <v>0</v>
      </c>
      <c r="V12" s="7">
        <v>0</v>
      </c>
      <c r="W12" s="18">
        <v>0</v>
      </c>
    </row>
    <row r="13" spans="1:23" x14ac:dyDescent="0.25">
      <c r="A13">
        <v>2033</v>
      </c>
      <c r="B13">
        <v>0</v>
      </c>
      <c r="C13" s="3">
        <v>0</v>
      </c>
      <c r="D13">
        <v>0</v>
      </c>
      <c r="E13" s="3">
        <v>0</v>
      </c>
      <c r="F13">
        <v>0</v>
      </c>
      <c r="G13">
        <v>0</v>
      </c>
      <c r="H13">
        <v>0</v>
      </c>
      <c r="I13">
        <v>0</v>
      </c>
      <c r="K13" s="14">
        <f t="shared" si="0"/>
        <v>0</v>
      </c>
      <c r="T13">
        <v>2036</v>
      </c>
      <c r="U13" s="17">
        <v>40</v>
      </c>
      <c r="V13" s="7">
        <v>0</v>
      </c>
      <c r="W13" s="19">
        <v>2.2079999999918898</v>
      </c>
    </row>
    <row r="14" spans="1:23" x14ac:dyDescent="0.25">
      <c r="A14">
        <v>2034</v>
      </c>
      <c r="B14">
        <v>0</v>
      </c>
      <c r="C14" s="3">
        <v>0</v>
      </c>
      <c r="D14">
        <v>0</v>
      </c>
      <c r="E14" s="3">
        <v>0</v>
      </c>
      <c r="F14">
        <v>0</v>
      </c>
      <c r="G14">
        <v>0</v>
      </c>
      <c r="H14">
        <v>0</v>
      </c>
      <c r="I14">
        <v>0</v>
      </c>
      <c r="K14" s="14">
        <f t="shared" si="0"/>
        <v>0</v>
      </c>
      <c r="T14">
        <v>2037</v>
      </c>
      <c r="U14" s="7">
        <v>0</v>
      </c>
      <c r="V14" s="17">
        <v>40</v>
      </c>
      <c r="W14" s="18">
        <v>0</v>
      </c>
    </row>
    <row r="15" spans="1:23" x14ac:dyDescent="0.25">
      <c r="A15">
        <v>2035</v>
      </c>
      <c r="B15">
        <v>0</v>
      </c>
      <c r="C15" s="3">
        <v>0</v>
      </c>
      <c r="D15">
        <v>0</v>
      </c>
      <c r="E15" s="3">
        <v>0</v>
      </c>
      <c r="F15">
        <v>0</v>
      </c>
      <c r="G15">
        <v>0</v>
      </c>
      <c r="H15">
        <v>0</v>
      </c>
      <c r="I15">
        <v>0</v>
      </c>
      <c r="K15" s="14">
        <f t="shared" si="0"/>
        <v>0</v>
      </c>
      <c r="T15">
        <v>2038</v>
      </c>
      <c r="U15" s="17">
        <v>40</v>
      </c>
      <c r="V15" s="7">
        <v>0</v>
      </c>
      <c r="W15" s="18">
        <v>0</v>
      </c>
    </row>
    <row r="16" spans="1:23" x14ac:dyDescent="0.25">
      <c r="A16">
        <v>2036</v>
      </c>
      <c r="B16">
        <v>0</v>
      </c>
      <c r="C16" s="5">
        <v>2.2079999999918898</v>
      </c>
      <c r="D16">
        <v>0</v>
      </c>
      <c r="E16" s="5">
        <v>2.20799999999999</v>
      </c>
      <c r="F16" s="1">
        <v>40</v>
      </c>
      <c r="G16">
        <v>0</v>
      </c>
      <c r="H16" s="1">
        <v>40</v>
      </c>
      <c r="I16">
        <v>0</v>
      </c>
      <c r="K16" s="14">
        <f t="shared" si="0"/>
        <v>33.119999999878345</v>
      </c>
      <c r="T16">
        <v>2039</v>
      </c>
      <c r="U16" s="7">
        <v>0</v>
      </c>
      <c r="V16" s="7">
        <v>0</v>
      </c>
      <c r="W16" s="18">
        <v>0</v>
      </c>
    </row>
    <row r="17" spans="1:23" x14ac:dyDescent="0.25">
      <c r="A17">
        <v>2037</v>
      </c>
      <c r="B17" s="1">
        <v>40</v>
      </c>
      <c r="C17" s="3">
        <v>0</v>
      </c>
      <c r="D17" s="1">
        <v>40</v>
      </c>
      <c r="E17" s="3">
        <v>0</v>
      </c>
      <c r="F17">
        <v>0</v>
      </c>
      <c r="G17">
        <v>0</v>
      </c>
      <c r="H17">
        <v>0</v>
      </c>
      <c r="I17">
        <v>0</v>
      </c>
      <c r="K17" s="14">
        <f t="shared" si="0"/>
        <v>0</v>
      </c>
      <c r="T17">
        <v>2040</v>
      </c>
      <c r="U17" s="7">
        <v>0</v>
      </c>
      <c r="V17" s="7">
        <v>0</v>
      </c>
      <c r="W17" s="19">
        <v>7.9150000000074998</v>
      </c>
    </row>
    <row r="18" spans="1:23" x14ac:dyDescent="0.25">
      <c r="A18">
        <v>2038</v>
      </c>
      <c r="B18">
        <v>0</v>
      </c>
      <c r="C18" s="3">
        <v>0</v>
      </c>
      <c r="D18">
        <v>0</v>
      </c>
      <c r="E18" s="3">
        <v>0</v>
      </c>
      <c r="F18" s="1">
        <v>40</v>
      </c>
      <c r="G18">
        <v>0</v>
      </c>
      <c r="H18" s="1">
        <v>40</v>
      </c>
      <c r="I18">
        <v>0</v>
      </c>
      <c r="K18" s="14">
        <f t="shared" si="0"/>
        <v>0</v>
      </c>
      <c r="T18">
        <v>2041</v>
      </c>
      <c r="U18" s="7">
        <v>0</v>
      </c>
      <c r="V18" s="7">
        <v>0</v>
      </c>
      <c r="W18" s="19">
        <v>2.6819999999999302</v>
      </c>
    </row>
    <row r="19" spans="1:23" x14ac:dyDescent="0.25">
      <c r="A19">
        <v>2039</v>
      </c>
      <c r="B19">
        <v>0</v>
      </c>
      <c r="C19" s="3">
        <v>0</v>
      </c>
      <c r="D19">
        <v>0</v>
      </c>
      <c r="E19" s="3">
        <v>0</v>
      </c>
      <c r="F19">
        <v>0</v>
      </c>
      <c r="G19">
        <v>0</v>
      </c>
      <c r="H19">
        <v>0</v>
      </c>
      <c r="I19">
        <v>0</v>
      </c>
      <c r="K19" s="14">
        <f t="shared" si="0"/>
        <v>0</v>
      </c>
      <c r="T19">
        <v>2042</v>
      </c>
      <c r="U19" s="7">
        <v>0</v>
      </c>
      <c r="V19" s="7">
        <v>0</v>
      </c>
      <c r="W19" s="18">
        <v>0</v>
      </c>
    </row>
    <row r="20" spans="1:23" x14ac:dyDescent="0.25">
      <c r="A20">
        <v>2040</v>
      </c>
      <c r="B20">
        <v>0</v>
      </c>
      <c r="C20" s="5">
        <v>7.9150000000074998</v>
      </c>
      <c r="D20">
        <v>0</v>
      </c>
      <c r="E20" s="5">
        <v>7.91499999999954</v>
      </c>
      <c r="F20">
        <v>0</v>
      </c>
      <c r="G20">
        <v>0</v>
      </c>
      <c r="H20">
        <v>0</v>
      </c>
      <c r="I20">
        <v>0</v>
      </c>
      <c r="K20" s="14">
        <f t="shared" si="0"/>
        <v>87.065000000082492</v>
      </c>
      <c r="T20">
        <v>2043</v>
      </c>
      <c r="U20" s="7">
        <v>0</v>
      </c>
      <c r="V20" s="7">
        <v>0</v>
      </c>
      <c r="W20" s="19">
        <v>2.2990000000009898</v>
      </c>
    </row>
    <row r="21" spans="1:23" x14ac:dyDescent="0.25">
      <c r="A21">
        <v>2041</v>
      </c>
      <c r="B21">
        <v>0</v>
      </c>
      <c r="C21" s="5">
        <v>2.6819999999999302</v>
      </c>
      <c r="D21">
        <v>0</v>
      </c>
      <c r="E21" s="5">
        <v>2.6819999999995301</v>
      </c>
      <c r="F21">
        <v>0</v>
      </c>
      <c r="G21">
        <v>0</v>
      </c>
      <c r="H21">
        <v>0</v>
      </c>
      <c r="I21">
        <v>0</v>
      </c>
      <c r="K21" s="14">
        <f t="shared" si="0"/>
        <v>26.819999999999304</v>
      </c>
      <c r="T21">
        <v>2044</v>
      </c>
      <c r="U21" s="7">
        <v>0</v>
      </c>
      <c r="V21" s="7">
        <v>0</v>
      </c>
      <c r="W21" s="18">
        <v>0</v>
      </c>
    </row>
    <row r="22" spans="1:23" x14ac:dyDescent="0.25">
      <c r="A22">
        <v>2042</v>
      </c>
      <c r="B22">
        <v>0</v>
      </c>
      <c r="C22" s="3">
        <v>0</v>
      </c>
      <c r="D22">
        <v>0</v>
      </c>
      <c r="E22" s="3">
        <v>0</v>
      </c>
      <c r="F22">
        <v>0</v>
      </c>
      <c r="G22">
        <v>0</v>
      </c>
      <c r="H22">
        <v>0</v>
      </c>
      <c r="I22">
        <v>0</v>
      </c>
      <c r="K22" s="14">
        <f t="shared" si="0"/>
        <v>0</v>
      </c>
      <c r="T22">
        <v>2045</v>
      </c>
      <c r="U22" s="7">
        <v>0</v>
      </c>
      <c r="V22" s="7">
        <v>0</v>
      </c>
      <c r="W22" s="19">
        <v>2.2139999999991198</v>
      </c>
    </row>
    <row r="23" spans="1:23" x14ac:dyDescent="0.25">
      <c r="A23">
        <v>2043</v>
      </c>
      <c r="B23">
        <v>0</v>
      </c>
      <c r="C23" s="5">
        <v>2.2990000000009898</v>
      </c>
      <c r="D23">
        <v>0</v>
      </c>
      <c r="E23" s="5">
        <v>2.29900000000077</v>
      </c>
      <c r="F23">
        <v>0</v>
      </c>
      <c r="G23">
        <v>0</v>
      </c>
      <c r="H23">
        <v>0</v>
      </c>
      <c r="I23">
        <v>0</v>
      </c>
      <c r="K23" s="14">
        <f t="shared" si="0"/>
        <v>18.392000000007918</v>
      </c>
      <c r="T23">
        <v>2046</v>
      </c>
      <c r="U23" s="7">
        <v>0</v>
      </c>
      <c r="V23" s="7">
        <v>0</v>
      </c>
      <c r="W23" s="18">
        <v>0</v>
      </c>
    </row>
    <row r="24" spans="1:23" x14ac:dyDescent="0.25">
      <c r="A24">
        <v>2044</v>
      </c>
      <c r="B24">
        <v>0</v>
      </c>
      <c r="C24" s="3">
        <v>0</v>
      </c>
      <c r="D24">
        <v>0</v>
      </c>
      <c r="E24" s="3">
        <v>0</v>
      </c>
      <c r="F24">
        <v>0</v>
      </c>
      <c r="G24">
        <v>0</v>
      </c>
      <c r="H24">
        <v>0</v>
      </c>
      <c r="I24">
        <v>0</v>
      </c>
      <c r="K24" s="14">
        <f t="shared" si="0"/>
        <v>0</v>
      </c>
      <c r="T24">
        <v>2047</v>
      </c>
      <c r="U24" s="17">
        <v>40</v>
      </c>
      <c r="V24" s="17">
        <v>40</v>
      </c>
      <c r="W24" s="18">
        <v>0</v>
      </c>
    </row>
    <row r="25" spans="1:23" x14ac:dyDescent="0.25">
      <c r="A25">
        <v>2045</v>
      </c>
      <c r="B25">
        <v>0</v>
      </c>
      <c r="C25" s="5">
        <v>2.2139999999991198</v>
      </c>
      <c r="D25">
        <v>0</v>
      </c>
      <c r="E25" s="5">
        <v>2.21399999999996</v>
      </c>
      <c r="F25">
        <v>0</v>
      </c>
      <c r="G25">
        <v>0</v>
      </c>
      <c r="H25">
        <v>0</v>
      </c>
      <c r="I25">
        <v>0</v>
      </c>
      <c r="K25" s="14">
        <f t="shared" si="0"/>
        <v>13.28399999999472</v>
      </c>
      <c r="T25">
        <v>2048</v>
      </c>
      <c r="U25" s="7">
        <v>0</v>
      </c>
      <c r="V25" s="7">
        <v>0</v>
      </c>
      <c r="W25" s="18">
        <v>0</v>
      </c>
    </row>
    <row r="26" spans="1:23" x14ac:dyDescent="0.25">
      <c r="A26">
        <v>2046</v>
      </c>
      <c r="B26">
        <v>0</v>
      </c>
      <c r="C26" s="3">
        <v>0</v>
      </c>
      <c r="D26">
        <v>0</v>
      </c>
      <c r="E26" s="3">
        <v>0</v>
      </c>
      <c r="F26">
        <v>0</v>
      </c>
      <c r="G26">
        <v>0</v>
      </c>
      <c r="H26">
        <v>0</v>
      </c>
      <c r="I26">
        <v>0</v>
      </c>
      <c r="K26" s="14">
        <f t="shared" si="0"/>
        <v>0</v>
      </c>
      <c r="T26">
        <v>2049</v>
      </c>
      <c r="U26" s="7">
        <v>0</v>
      </c>
      <c r="V26" s="7">
        <v>0</v>
      </c>
      <c r="W26" s="18">
        <v>0</v>
      </c>
    </row>
    <row r="27" spans="1:23" x14ac:dyDescent="0.25">
      <c r="A27">
        <v>2047</v>
      </c>
      <c r="B27" s="1">
        <v>40</v>
      </c>
      <c r="C27" s="3">
        <v>0</v>
      </c>
      <c r="D27" s="1">
        <v>40</v>
      </c>
      <c r="E27" s="3">
        <v>0</v>
      </c>
      <c r="F27" s="1">
        <v>40</v>
      </c>
      <c r="G27">
        <v>0</v>
      </c>
      <c r="H27" s="1">
        <v>40</v>
      </c>
      <c r="I27">
        <v>0</v>
      </c>
      <c r="K27" s="14">
        <f t="shared" si="0"/>
        <v>0</v>
      </c>
      <c r="T27">
        <v>2050</v>
      </c>
      <c r="U27" s="7">
        <v>0</v>
      </c>
      <c r="V27" s="7">
        <v>0</v>
      </c>
      <c r="W27" s="18">
        <v>2</v>
      </c>
    </row>
    <row r="28" spans="1:23" x14ac:dyDescent="0.25">
      <c r="A28">
        <v>2048</v>
      </c>
      <c r="B28">
        <v>0</v>
      </c>
      <c r="C28" s="3">
        <v>0</v>
      </c>
      <c r="D28">
        <v>0</v>
      </c>
      <c r="E28" s="3">
        <v>0</v>
      </c>
      <c r="F28">
        <v>0</v>
      </c>
      <c r="G28">
        <v>0</v>
      </c>
      <c r="H28">
        <v>0</v>
      </c>
      <c r="I28">
        <v>0</v>
      </c>
      <c r="K28" s="14">
        <f t="shared" si="0"/>
        <v>0</v>
      </c>
    </row>
    <row r="29" spans="1:23" x14ac:dyDescent="0.25">
      <c r="A29">
        <v>2049</v>
      </c>
      <c r="B29">
        <v>0</v>
      </c>
      <c r="C29" s="3">
        <v>0</v>
      </c>
      <c r="D29">
        <v>0</v>
      </c>
      <c r="E29" s="3">
        <v>0</v>
      </c>
      <c r="F29">
        <v>0</v>
      </c>
      <c r="G29">
        <v>0</v>
      </c>
      <c r="H29">
        <v>0</v>
      </c>
      <c r="I29">
        <v>0</v>
      </c>
      <c r="K29" s="14">
        <f t="shared" si="0"/>
        <v>0</v>
      </c>
    </row>
    <row r="30" spans="1:23" x14ac:dyDescent="0.25">
      <c r="A30">
        <v>2050</v>
      </c>
      <c r="B30">
        <v>0</v>
      </c>
      <c r="C30" s="3">
        <v>2</v>
      </c>
      <c r="D30">
        <v>0</v>
      </c>
      <c r="E30" s="3">
        <v>2</v>
      </c>
      <c r="F30">
        <v>0</v>
      </c>
      <c r="G30">
        <v>0</v>
      </c>
      <c r="H30">
        <v>0</v>
      </c>
      <c r="I30">
        <v>0</v>
      </c>
      <c r="K30" s="14">
        <f t="shared" si="0"/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77188-4C54-4D05-A0BB-AB8E292CE16E}">
  <dimension ref="A1:BQ96"/>
  <sheetViews>
    <sheetView tabSelected="1" workbookViewId="0">
      <pane xSplit="1" topLeftCell="BE1" activePane="topRight" state="frozen"/>
      <selection pane="topRight" activeCell="BN15" sqref="BN15"/>
    </sheetView>
  </sheetViews>
  <sheetFormatPr defaultRowHeight="15" x14ac:dyDescent="0.25"/>
  <cols>
    <col min="1" max="1" width="45" customWidth="1"/>
    <col min="2" max="13" width="18" bestFit="1" customWidth="1"/>
    <col min="14" max="16" width="19" bestFit="1" customWidth="1"/>
    <col min="17" max="56" width="18" bestFit="1" customWidth="1"/>
    <col min="57" max="57" width="19.5703125" customWidth="1"/>
    <col min="58" max="58" width="18.28515625" customWidth="1"/>
    <col min="59" max="60" width="17.7109375" bestFit="1" customWidth="1"/>
    <col min="61" max="66" width="17.7109375" customWidth="1"/>
    <col min="68" max="68" width="17.28515625" bestFit="1" customWidth="1"/>
    <col min="69" max="69" width="14.85546875" bestFit="1" customWidth="1"/>
  </cols>
  <sheetData>
    <row r="1" spans="1:69" x14ac:dyDescent="0.25">
      <c r="A1" t="s">
        <v>95</v>
      </c>
      <c r="BL1" t="s">
        <v>140</v>
      </c>
    </row>
    <row r="2" spans="1:69" x14ac:dyDescent="0.25">
      <c r="A2" s="1" t="s">
        <v>7</v>
      </c>
      <c r="G2">
        <v>250617</v>
      </c>
      <c r="J2">
        <v>250618</v>
      </c>
      <c r="M2">
        <v>250623</v>
      </c>
      <c r="V2">
        <v>250624</v>
      </c>
      <c r="AD2">
        <v>250625</v>
      </c>
      <c r="AF2">
        <v>250707</v>
      </c>
      <c r="AJ2">
        <v>250708</v>
      </c>
      <c r="AR2">
        <v>250713</v>
      </c>
      <c r="AU2">
        <v>250714</v>
      </c>
      <c r="AY2" t="s">
        <v>105</v>
      </c>
      <c r="BA2">
        <v>250715</v>
      </c>
      <c r="BE2">
        <v>250721</v>
      </c>
      <c r="BI2">
        <v>250807</v>
      </c>
      <c r="BK2">
        <v>250808</v>
      </c>
    </row>
    <row r="3" spans="1:69" x14ac:dyDescent="0.25">
      <c r="A3" s="1" t="s">
        <v>6</v>
      </c>
      <c r="I3" t="s">
        <v>86</v>
      </c>
      <c r="J3" t="s">
        <v>87</v>
      </c>
      <c r="M3" t="s">
        <v>88</v>
      </c>
      <c r="Q3" t="s">
        <v>89</v>
      </c>
      <c r="AA3" t="s">
        <v>91</v>
      </c>
      <c r="AD3" t="s">
        <v>92</v>
      </c>
      <c r="AF3" t="s">
        <v>94</v>
      </c>
      <c r="AJ3" t="s">
        <v>96</v>
      </c>
      <c r="AR3" t="s">
        <v>101</v>
      </c>
      <c r="AU3" t="s">
        <v>103</v>
      </c>
      <c r="AY3" t="s">
        <v>104</v>
      </c>
      <c r="BA3" t="s">
        <v>103</v>
      </c>
      <c r="BE3" t="s">
        <v>118</v>
      </c>
      <c r="BI3" t="s">
        <v>139</v>
      </c>
    </row>
    <row r="4" spans="1:69" x14ac:dyDescent="0.25">
      <c r="A4" t="s">
        <v>62</v>
      </c>
      <c r="B4" s="3">
        <v>150</v>
      </c>
      <c r="C4" s="3">
        <v>0</v>
      </c>
      <c r="D4" s="3">
        <v>366</v>
      </c>
      <c r="E4" s="3">
        <v>150</v>
      </c>
      <c r="F4" s="3">
        <v>366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150</v>
      </c>
      <c r="X4" s="3">
        <v>366</v>
      </c>
      <c r="Y4" s="3">
        <v>0</v>
      </c>
      <c r="Z4" s="3">
        <v>150</v>
      </c>
      <c r="AA4" s="3">
        <v>0</v>
      </c>
      <c r="AB4" s="3">
        <v>150</v>
      </c>
      <c r="AC4" s="3">
        <v>366</v>
      </c>
      <c r="AD4" s="3">
        <v>0</v>
      </c>
      <c r="AE4" s="3">
        <v>150</v>
      </c>
      <c r="AF4" s="3">
        <v>150</v>
      </c>
      <c r="AG4" s="3">
        <v>0</v>
      </c>
      <c r="AH4" s="3">
        <v>365</v>
      </c>
      <c r="AI4" s="3">
        <v>150</v>
      </c>
      <c r="AJ4" s="3">
        <v>150</v>
      </c>
      <c r="AK4" s="3">
        <v>150</v>
      </c>
      <c r="AL4" s="3">
        <v>150</v>
      </c>
      <c r="AM4" s="3">
        <v>150</v>
      </c>
      <c r="AN4" s="3">
        <v>150</v>
      </c>
      <c r="AO4" s="3">
        <v>150</v>
      </c>
      <c r="AP4" s="3">
        <v>150</v>
      </c>
      <c r="AQ4" s="3">
        <v>150</v>
      </c>
      <c r="AR4" s="3">
        <v>150</v>
      </c>
      <c r="AS4" s="3">
        <v>150</v>
      </c>
      <c r="AT4" s="3">
        <v>150</v>
      </c>
      <c r="AU4" s="3">
        <v>150</v>
      </c>
      <c r="AV4" s="3">
        <v>150</v>
      </c>
      <c r="AW4" s="3">
        <v>150</v>
      </c>
      <c r="AX4" s="3">
        <v>150</v>
      </c>
      <c r="AY4" s="3">
        <v>150</v>
      </c>
      <c r="AZ4" s="3">
        <v>150</v>
      </c>
      <c r="BA4" s="3">
        <v>150</v>
      </c>
      <c r="BB4" s="3">
        <v>150</v>
      </c>
      <c r="BC4" s="3">
        <v>150</v>
      </c>
      <c r="BD4" s="3">
        <v>150</v>
      </c>
      <c r="BE4" s="3">
        <v>150</v>
      </c>
      <c r="BF4" s="3">
        <v>150</v>
      </c>
      <c r="BG4" s="3">
        <v>150</v>
      </c>
      <c r="BH4" s="3">
        <v>150</v>
      </c>
      <c r="BI4" s="3">
        <v>150</v>
      </c>
      <c r="BJ4" s="3">
        <v>150</v>
      </c>
      <c r="BK4" s="3">
        <v>150</v>
      </c>
      <c r="BL4" s="3">
        <v>150</v>
      </c>
      <c r="BM4" s="3">
        <v>150</v>
      </c>
      <c r="BN4" s="3">
        <v>150</v>
      </c>
      <c r="BP4" t="s">
        <v>107</v>
      </c>
    </row>
    <row r="5" spans="1:69" x14ac:dyDescent="0.25">
      <c r="A5" t="s">
        <v>63</v>
      </c>
      <c r="B5" s="3">
        <v>2500</v>
      </c>
      <c r="C5" s="3">
        <v>2500</v>
      </c>
      <c r="D5" s="3">
        <v>2500</v>
      </c>
      <c r="E5" s="3">
        <v>2500</v>
      </c>
      <c r="F5" s="3">
        <v>2500</v>
      </c>
      <c r="G5" s="3">
        <v>2500</v>
      </c>
      <c r="H5" s="3">
        <v>2500</v>
      </c>
      <c r="I5" s="3">
        <v>2500</v>
      </c>
      <c r="J5" s="3">
        <v>2500</v>
      </c>
      <c r="K5" s="3">
        <v>10000</v>
      </c>
      <c r="L5" s="3">
        <v>10000</v>
      </c>
      <c r="M5" s="3">
        <v>10000</v>
      </c>
      <c r="N5" s="3">
        <v>20000</v>
      </c>
      <c r="O5" s="3">
        <v>50000</v>
      </c>
      <c r="P5" s="3">
        <v>100000</v>
      </c>
      <c r="Q5" s="3">
        <v>10000</v>
      </c>
      <c r="R5" s="3">
        <v>10000</v>
      </c>
      <c r="S5" s="3">
        <v>10000</v>
      </c>
      <c r="T5" s="3">
        <v>10000</v>
      </c>
      <c r="U5" s="3">
        <v>10000</v>
      </c>
      <c r="V5" s="3">
        <v>10000</v>
      </c>
      <c r="W5" s="3">
        <v>10000</v>
      </c>
      <c r="X5" s="3">
        <v>10000</v>
      </c>
      <c r="Y5" s="3">
        <v>10000</v>
      </c>
      <c r="Z5" s="3">
        <v>10000</v>
      </c>
      <c r="AA5" s="3">
        <v>10000</v>
      </c>
      <c r="AB5" s="3">
        <v>10000</v>
      </c>
      <c r="AC5" s="3">
        <v>10000</v>
      </c>
      <c r="AD5" s="3">
        <v>10000</v>
      </c>
      <c r="AE5" s="3">
        <v>10000</v>
      </c>
      <c r="AF5" s="3">
        <v>10000</v>
      </c>
      <c r="AG5" s="3">
        <v>10000</v>
      </c>
      <c r="AH5" s="3">
        <v>10000</v>
      </c>
      <c r="AI5" s="3">
        <v>10000</v>
      </c>
      <c r="AJ5" s="3">
        <v>10000</v>
      </c>
      <c r="AK5" s="3">
        <v>10000</v>
      </c>
      <c r="AL5" s="3">
        <v>10000</v>
      </c>
      <c r="AM5" s="3">
        <v>10000</v>
      </c>
      <c r="AN5" s="3">
        <v>10000</v>
      </c>
      <c r="AO5" s="3">
        <v>10000</v>
      </c>
      <c r="AP5" s="3">
        <v>10000</v>
      </c>
      <c r="AQ5" s="3">
        <v>10000</v>
      </c>
      <c r="AR5" s="3">
        <v>10000</v>
      </c>
      <c r="AS5" s="3">
        <v>10000</v>
      </c>
      <c r="AT5" s="3">
        <v>10000</v>
      </c>
      <c r="AU5" s="3">
        <v>10000</v>
      </c>
      <c r="AV5" s="3">
        <v>10000</v>
      </c>
      <c r="AW5" s="3">
        <v>10000</v>
      </c>
      <c r="AX5" s="3">
        <v>10000</v>
      </c>
      <c r="AY5" s="3">
        <v>10000</v>
      </c>
      <c r="AZ5" s="3">
        <v>10000</v>
      </c>
      <c r="BA5" s="3">
        <v>10000</v>
      </c>
      <c r="BB5" s="3">
        <v>10000</v>
      </c>
      <c r="BC5" s="3">
        <v>10000</v>
      </c>
      <c r="BD5" s="3">
        <v>10000</v>
      </c>
      <c r="BE5" s="3">
        <v>10000</v>
      </c>
      <c r="BF5" s="3">
        <v>10000</v>
      </c>
      <c r="BG5" s="3">
        <v>10000</v>
      </c>
      <c r="BH5" s="3">
        <v>10000</v>
      </c>
      <c r="BI5" s="3">
        <v>0</v>
      </c>
      <c r="BJ5" s="3">
        <v>0</v>
      </c>
      <c r="BK5" s="3">
        <v>0</v>
      </c>
      <c r="BL5" s="3">
        <v>0</v>
      </c>
      <c r="BM5" s="3">
        <v>0</v>
      </c>
      <c r="BN5" s="3">
        <v>0</v>
      </c>
      <c r="BP5" t="s">
        <v>121</v>
      </c>
      <c r="BQ5" t="s">
        <v>122</v>
      </c>
    </row>
    <row r="6" spans="1:69" x14ac:dyDescent="0.25">
      <c r="A6" t="s">
        <v>90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 t="b">
        <v>0</v>
      </c>
      <c r="V6" s="3" t="b">
        <v>1</v>
      </c>
      <c r="W6" s="3" t="b">
        <v>1</v>
      </c>
      <c r="X6" s="3" t="b">
        <v>1</v>
      </c>
      <c r="Y6" s="3" t="b">
        <v>1</v>
      </c>
      <c r="Z6" s="3" t="b">
        <v>1</v>
      </c>
      <c r="AA6" s="3" t="b">
        <v>0</v>
      </c>
      <c r="AB6" s="3" t="b">
        <v>0</v>
      </c>
      <c r="AC6" s="3" t="b">
        <v>0</v>
      </c>
      <c r="AD6" s="3" t="b">
        <v>0</v>
      </c>
      <c r="AE6" s="3" t="b">
        <v>0</v>
      </c>
      <c r="AF6" s="3" t="b">
        <v>0</v>
      </c>
      <c r="AG6" s="3" t="b">
        <v>0</v>
      </c>
      <c r="AH6" s="3" t="b">
        <v>0</v>
      </c>
      <c r="AI6" s="3" t="b">
        <v>0</v>
      </c>
      <c r="AJ6" s="3" t="b">
        <v>0</v>
      </c>
      <c r="AK6" s="3" t="b">
        <v>0</v>
      </c>
      <c r="AL6" s="3" t="b">
        <v>0</v>
      </c>
      <c r="AM6" s="3" t="b">
        <v>0</v>
      </c>
      <c r="AN6" s="3" t="b">
        <v>0</v>
      </c>
      <c r="AO6" s="3" t="b">
        <v>0</v>
      </c>
      <c r="AP6" s="3" t="b">
        <v>0</v>
      </c>
      <c r="AQ6" s="3" t="b">
        <v>0</v>
      </c>
      <c r="AR6" s="3" t="b">
        <v>0</v>
      </c>
      <c r="AS6" s="3" t="b">
        <v>0</v>
      </c>
      <c r="AT6" s="3" t="b">
        <v>0</v>
      </c>
      <c r="AU6" s="3" t="b">
        <v>0</v>
      </c>
      <c r="AV6" s="3" t="b">
        <v>0</v>
      </c>
      <c r="AW6" s="3" t="b">
        <v>0</v>
      </c>
      <c r="AX6" s="3" t="b">
        <v>0</v>
      </c>
      <c r="AY6" s="3" t="b">
        <v>0</v>
      </c>
      <c r="AZ6" s="3" t="b">
        <v>0</v>
      </c>
      <c r="BA6" s="3" t="b">
        <v>0</v>
      </c>
      <c r="BB6" s="3" t="b">
        <v>0</v>
      </c>
      <c r="BC6" s="3" t="b">
        <v>0</v>
      </c>
      <c r="BD6" s="3" t="b">
        <v>0</v>
      </c>
      <c r="BE6" s="3" t="b">
        <v>0</v>
      </c>
      <c r="BF6" s="3" t="b">
        <v>0</v>
      </c>
      <c r="BG6" s="3" t="b">
        <v>0</v>
      </c>
      <c r="BH6" s="3" t="b">
        <v>0</v>
      </c>
      <c r="BI6" s="3" t="b">
        <v>0</v>
      </c>
      <c r="BJ6" s="3" t="b">
        <v>0</v>
      </c>
      <c r="BK6" s="3" t="b">
        <v>0</v>
      </c>
      <c r="BL6" s="3" t="b">
        <v>0</v>
      </c>
      <c r="BM6" s="3" t="b">
        <v>0</v>
      </c>
      <c r="BN6" s="3" t="b">
        <v>0</v>
      </c>
      <c r="BP6" t="s">
        <v>119</v>
      </c>
    </row>
    <row r="7" spans="1:69" x14ac:dyDescent="0.25">
      <c r="A7" t="s">
        <v>57</v>
      </c>
      <c r="B7" s="3">
        <v>8783</v>
      </c>
      <c r="C7" s="3">
        <v>8783</v>
      </c>
      <c r="D7" s="3">
        <v>8783</v>
      </c>
      <c r="E7" s="3">
        <v>8783</v>
      </c>
      <c r="F7" s="3">
        <v>8783</v>
      </c>
      <c r="G7" s="3">
        <v>8783</v>
      </c>
      <c r="H7" s="3">
        <v>8783</v>
      </c>
      <c r="I7" s="3">
        <v>8783</v>
      </c>
      <c r="J7" s="3">
        <v>8783</v>
      </c>
      <c r="K7" s="3">
        <v>8783</v>
      </c>
      <c r="L7" s="3">
        <v>8783</v>
      </c>
      <c r="M7" s="3">
        <v>8783</v>
      </c>
      <c r="N7" s="3">
        <v>8783</v>
      </c>
      <c r="O7" s="3">
        <v>8783</v>
      </c>
      <c r="P7" s="3">
        <v>8783</v>
      </c>
      <c r="Q7" s="3">
        <v>8783</v>
      </c>
      <c r="R7" s="3">
        <v>8783</v>
      </c>
      <c r="S7" s="3">
        <v>8783</v>
      </c>
      <c r="T7" s="3">
        <v>8783</v>
      </c>
      <c r="U7" s="3">
        <v>8783</v>
      </c>
      <c r="V7" s="3">
        <v>8783</v>
      </c>
      <c r="W7" s="3">
        <v>8783</v>
      </c>
      <c r="X7" s="3">
        <v>8783</v>
      </c>
      <c r="Y7" s="3">
        <v>8783</v>
      </c>
      <c r="Z7" s="3">
        <v>8783</v>
      </c>
      <c r="AA7" s="3">
        <v>8783</v>
      </c>
      <c r="AB7" s="3">
        <v>8783</v>
      </c>
      <c r="AC7" s="3">
        <v>8783</v>
      </c>
      <c r="AD7" s="3">
        <v>24</v>
      </c>
      <c r="AE7" s="3">
        <v>24</v>
      </c>
      <c r="AF7" s="3">
        <v>24</v>
      </c>
      <c r="AG7" s="3">
        <v>24</v>
      </c>
      <c r="AH7" s="3">
        <v>24</v>
      </c>
      <c r="AI7" s="3">
        <v>24</v>
      </c>
      <c r="AJ7" s="3">
        <v>24</v>
      </c>
      <c r="AK7" s="3">
        <v>24</v>
      </c>
      <c r="AL7" s="3">
        <v>24</v>
      </c>
      <c r="AM7" s="3">
        <v>24</v>
      </c>
      <c r="AN7" s="3">
        <v>24</v>
      </c>
      <c r="AO7" s="3">
        <v>24</v>
      </c>
      <c r="AP7" s="3">
        <v>24</v>
      </c>
      <c r="AQ7" s="3">
        <v>24</v>
      </c>
      <c r="AR7" s="3">
        <v>24</v>
      </c>
      <c r="AS7" s="3">
        <v>24</v>
      </c>
      <c r="AT7" s="3">
        <v>24</v>
      </c>
      <c r="AU7" s="3">
        <v>24</v>
      </c>
      <c r="AV7" s="3">
        <v>24</v>
      </c>
      <c r="AW7" s="3">
        <v>24</v>
      </c>
      <c r="AX7" s="3">
        <v>24</v>
      </c>
      <c r="AY7" s="3">
        <v>24</v>
      </c>
      <c r="AZ7" s="3">
        <v>24</v>
      </c>
      <c r="BA7" s="3">
        <v>24</v>
      </c>
      <c r="BB7" s="3">
        <v>24</v>
      </c>
      <c r="BC7" s="3">
        <v>24</v>
      </c>
      <c r="BD7" s="3">
        <v>24</v>
      </c>
      <c r="BE7" s="3">
        <v>24</v>
      </c>
      <c r="BF7" s="3">
        <v>24</v>
      </c>
      <c r="BG7" s="3">
        <v>24</v>
      </c>
      <c r="BH7" s="3">
        <v>24</v>
      </c>
      <c r="BI7" s="3">
        <v>8783</v>
      </c>
      <c r="BJ7" s="3">
        <v>8783</v>
      </c>
      <c r="BK7" s="3">
        <v>8783</v>
      </c>
      <c r="BL7" s="3">
        <v>24</v>
      </c>
      <c r="BM7" s="3">
        <v>24</v>
      </c>
      <c r="BN7" s="3">
        <v>24</v>
      </c>
      <c r="BP7" s="3">
        <f>BG10*BP9/100+BG9*BP11/100</f>
        <v>13532045.806827499</v>
      </c>
      <c r="BQ7" s="3">
        <f>BH10*BQ9/100+BH9*BQ11/100</f>
        <v>4543046.5541842831</v>
      </c>
    </row>
    <row r="8" spans="1:69" x14ac:dyDescent="0.25">
      <c r="A8" t="s">
        <v>93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>
        <v>365</v>
      </c>
      <c r="AE8" s="3">
        <v>365</v>
      </c>
      <c r="AF8" s="5">
        <v>73</v>
      </c>
      <c r="AG8" s="5">
        <v>73</v>
      </c>
      <c r="AH8" s="5">
        <v>73</v>
      </c>
      <c r="AI8" s="5">
        <v>31</v>
      </c>
      <c r="AJ8" s="5">
        <v>8</v>
      </c>
      <c r="AK8" s="5">
        <v>16</v>
      </c>
      <c r="AL8" s="5">
        <v>31</v>
      </c>
      <c r="AM8" s="5">
        <v>61</v>
      </c>
      <c r="AN8" s="5">
        <v>92</v>
      </c>
      <c r="AO8" s="5">
        <v>122</v>
      </c>
      <c r="AP8" s="5">
        <v>183</v>
      </c>
      <c r="AQ8" s="5">
        <v>365</v>
      </c>
      <c r="AR8" s="3">
        <v>183</v>
      </c>
      <c r="AS8" s="3">
        <v>183</v>
      </c>
      <c r="AT8" s="3">
        <v>365</v>
      </c>
      <c r="AU8" s="3">
        <v>183</v>
      </c>
      <c r="AV8" s="3">
        <v>183</v>
      </c>
      <c r="AW8" s="3">
        <v>365</v>
      </c>
      <c r="AX8" s="3">
        <v>365</v>
      </c>
      <c r="AY8" s="3">
        <v>183</v>
      </c>
      <c r="AZ8" s="3">
        <v>365</v>
      </c>
      <c r="BA8" s="3">
        <v>365</v>
      </c>
      <c r="BB8" s="3">
        <v>365</v>
      </c>
      <c r="BC8" s="3">
        <v>365</v>
      </c>
      <c r="BD8" s="3">
        <v>365</v>
      </c>
      <c r="BE8" s="3">
        <v>365</v>
      </c>
      <c r="BF8" s="3">
        <v>365</v>
      </c>
      <c r="BG8" s="3">
        <v>365</v>
      </c>
      <c r="BH8" s="3">
        <v>365</v>
      </c>
      <c r="BI8" s="3">
        <v>1</v>
      </c>
      <c r="BJ8" s="3">
        <v>1</v>
      </c>
      <c r="BK8" s="3">
        <v>1</v>
      </c>
      <c r="BL8" s="3">
        <v>365</v>
      </c>
      <c r="BM8" s="3">
        <v>365</v>
      </c>
      <c r="BN8" s="3">
        <v>365</v>
      </c>
      <c r="BP8" t="s">
        <v>108</v>
      </c>
    </row>
    <row r="9" spans="1:69" x14ac:dyDescent="0.25">
      <c r="A9" t="s">
        <v>81</v>
      </c>
      <c r="B9" s="3">
        <v>0.2</v>
      </c>
      <c r="C9" s="3">
        <v>0.2</v>
      </c>
      <c r="D9" s="3">
        <v>0.2</v>
      </c>
      <c r="E9" s="3">
        <v>20</v>
      </c>
      <c r="F9" s="3">
        <v>20</v>
      </c>
      <c r="G9" s="3">
        <v>20</v>
      </c>
      <c r="H9" s="3">
        <v>20</v>
      </c>
      <c r="I9" s="3">
        <v>20</v>
      </c>
      <c r="J9" s="3">
        <v>20</v>
      </c>
      <c r="K9" s="3">
        <v>20</v>
      </c>
      <c r="L9" s="3">
        <v>50</v>
      </c>
      <c r="M9" s="3">
        <v>50</v>
      </c>
      <c r="N9" s="3">
        <v>50</v>
      </c>
      <c r="O9" s="3">
        <v>50</v>
      </c>
      <c r="P9" s="3">
        <v>50</v>
      </c>
      <c r="Q9" s="3">
        <v>50</v>
      </c>
      <c r="R9" s="3">
        <v>50</v>
      </c>
      <c r="S9" s="3">
        <v>50</v>
      </c>
      <c r="T9" s="3">
        <v>10</v>
      </c>
      <c r="U9" s="3">
        <v>20</v>
      </c>
      <c r="V9" s="3">
        <v>20</v>
      </c>
      <c r="W9" s="3">
        <v>20</v>
      </c>
      <c r="X9" s="3">
        <v>20</v>
      </c>
      <c r="Y9" s="3">
        <v>20</v>
      </c>
      <c r="Z9" s="3">
        <v>20</v>
      </c>
      <c r="AA9" s="3">
        <v>20</v>
      </c>
      <c r="AB9" s="3">
        <v>20</v>
      </c>
      <c r="AC9" s="3">
        <v>20</v>
      </c>
      <c r="AD9" s="3">
        <v>20.000000000003102</v>
      </c>
      <c r="AE9" s="3">
        <v>20.000000000003102</v>
      </c>
      <c r="AF9" s="3">
        <v>19.9999999999993</v>
      </c>
      <c r="AG9" s="3">
        <v>19.9999999999993</v>
      </c>
      <c r="AH9" s="3">
        <v>19.9999999999993</v>
      </c>
      <c r="AI9" s="3">
        <v>19.999999999999901</v>
      </c>
      <c r="AJ9" s="3">
        <v>20</v>
      </c>
      <c r="AK9" s="3">
        <v>20.000000000000099</v>
      </c>
      <c r="AL9" s="3">
        <v>19.999999999999901</v>
      </c>
      <c r="AM9" s="3">
        <v>19.9999999999994</v>
      </c>
      <c r="AN9" s="3">
        <v>19.999999999999201</v>
      </c>
      <c r="AO9" s="3">
        <v>20.000000000000199</v>
      </c>
      <c r="AP9" s="3">
        <v>20.000000000001599</v>
      </c>
      <c r="AQ9" s="3">
        <v>20.000000000003102</v>
      </c>
      <c r="AR9" s="3">
        <v>20.000000000001599</v>
      </c>
      <c r="AS9" s="3">
        <v>20.000000000001599</v>
      </c>
      <c r="AT9" s="3">
        <v>20.000000000003102</v>
      </c>
      <c r="AU9" s="3">
        <v>20.000000000001599</v>
      </c>
      <c r="AV9" s="3">
        <v>20.000000000001599</v>
      </c>
      <c r="AW9" s="3">
        <v>20.000000000003102</v>
      </c>
      <c r="AX9" s="3">
        <v>20.000000000003102</v>
      </c>
      <c r="AY9" s="3">
        <v>20.000000000001599</v>
      </c>
      <c r="AZ9" s="3">
        <v>20.000000000003102</v>
      </c>
      <c r="BA9" s="3">
        <v>20.000000000003102</v>
      </c>
      <c r="BB9" s="3">
        <v>20.000000000003102</v>
      </c>
      <c r="BC9" s="3">
        <v>20.000000000003102</v>
      </c>
      <c r="BD9" s="3">
        <v>20.000000000003102</v>
      </c>
      <c r="BE9" s="3">
        <v>20.000000000003102</v>
      </c>
      <c r="BF9" s="3">
        <v>20.000000000003102</v>
      </c>
      <c r="BG9" s="3">
        <v>20.000000000003102</v>
      </c>
      <c r="BH9" s="3">
        <v>20.000000000003102</v>
      </c>
      <c r="BI9" s="3">
        <v>20</v>
      </c>
      <c r="BJ9" s="3">
        <v>20</v>
      </c>
      <c r="BK9" s="3">
        <v>20</v>
      </c>
      <c r="BL9" s="3">
        <v>20.000000000003102</v>
      </c>
      <c r="BM9" s="3">
        <v>20.000000000003102</v>
      </c>
      <c r="BN9" s="3">
        <v>20.000000000003102</v>
      </c>
      <c r="BP9" s="14">
        <f>BG25-BH25</f>
        <v>13732381.696135998</v>
      </c>
      <c r="BQ9" s="14">
        <f>BF25-BE25</f>
        <v>4567672.5717809796</v>
      </c>
    </row>
    <row r="10" spans="1:69" x14ac:dyDescent="0.25">
      <c r="A10" t="s">
        <v>82</v>
      </c>
      <c r="B10" s="3">
        <v>1</v>
      </c>
      <c r="C10" s="3">
        <v>1</v>
      </c>
      <c r="D10" s="3">
        <v>1</v>
      </c>
      <c r="E10" s="3">
        <v>100</v>
      </c>
      <c r="F10" s="3">
        <v>100</v>
      </c>
      <c r="G10" s="3">
        <v>80</v>
      </c>
      <c r="H10" s="3">
        <v>80</v>
      </c>
      <c r="I10" s="3">
        <v>80</v>
      </c>
      <c r="J10" s="3">
        <v>80</v>
      </c>
      <c r="K10" s="3">
        <v>80</v>
      </c>
      <c r="L10" s="3">
        <v>50</v>
      </c>
      <c r="M10" s="3">
        <v>50</v>
      </c>
      <c r="N10" s="3">
        <v>50</v>
      </c>
      <c r="O10" s="3">
        <v>50</v>
      </c>
      <c r="P10" s="3">
        <v>50</v>
      </c>
      <c r="Q10" s="3">
        <v>50</v>
      </c>
      <c r="R10" s="3">
        <v>50</v>
      </c>
      <c r="S10" s="3">
        <v>50</v>
      </c>
      <c r="T10" s="3">
        <v>89.999999999999901</v>
      </c>
      <c r="U10" s="3">
        <v>80</v>
      </c>
      <c r="V10" s="3">
        <v>80</v>
      </c>
      <c r="W10" s="3">
        <v>80</v>
      </c>
      <c r="X10" s="3">
        <v>80</v>
      </c>
      <c r="Y10" s="3">
        <v>80</v>
      </c>
      <c r="Z10" s="3">
        <v>80</v>
      </c>
      <c r="AA10" s="3">
        <v>80</v>
      </c>
      <c r="AB10" s="3">
        <v>80</v>
      </c>
      <c r="AC10" s="3">
        <v>80</v>
      </c>
      <c r="AD10" s="3">
        <v>80.000000000012406</v>
      </c>
      <c r="AE10" s="3">
        <v>80.000000000012406</v>
      </c>
      <c r="AF10" s="3">
        <v>79.9999999999972</v>
      </c>
      <c r="AG10" s="3">
        <v>79.9999999999972</v>
      </c>
      <c r="AH10" s="3">
        <v>79.9999999999972</v>
      </c>
      <c r="AI10" s="3">
        <v>79.999999999999602</v>
      </c>
      <c r="AJ10" s="3">
        <v>80.000000000000099</v>
      </c>
      <c r="AK10" s="3">
        <v>80.000000000000597</v>
      </c>
      <c r="AL10" s="3">
        <v>79.999999999999602</v>
      </c>
      <c r="AM10" s="3">
        <v>79.999999999997598</v>
      </c>
      <c r="AN10" s="3">
        <v>79.999999999996803</v>
      </c>
      <c r="AO10" s="3">
        <v>80.000000000000895</v>
      </c>
      <c r="AP10" s="3">
        <v>80.000000000006594</v>
      </c>
      <c r="AQ10" s="3">
        <v>80.000000000012406</v>
      </c>
      <c r="AR10" s="3">
        <v>80.000000000006594</v>
      </c>
      <c r="AS10" s="3">
        <v>80.000000000006594</v>
      </c>
      <c r="AT10" s="3">
        <v>80.000000000012406</v>
      </c>
      <c r="AU10" s="3">
        <v>80.000000000006594</v>
      </c>
      <c r="AV10" s="3">
        <v>80.000000000006594</v>
      </c>
      <c r="AW10" s="3">
        <v>80.000000000012406</v>
      </c>
      <c r="AX10" s="3">
        <v>80.000000000012406</v>
      </c>
      <c r="AY10" s="3">
        <v>80.000000000006594</v>
      </c>
      <c r="AZ10" s="3">
        <v>80.000000000012406</v>
      </c>
      <c r="BA10" s="3">
        <v>80.000000000012406</v>
      </c>
      <c r="BB10" s="3">
        <v>80.000000000012406</v>
      </c>
      <c r="BC10" s="3">
        <v>80.000000000012406</v>
      </c>
      <c r="BD10" s="3">
        <v>80.000000000012406</v>
      </c>
      <c r="BE10" s="3">
        <v>80.000000000012406</v>
      </c>
      <c r="BF10" s="3">
        <v>80.000000000012406</v>
      </c>
      <c r="BG10" s="3">
        <v>80.000000000012406</v>
      </c>
      <c r="BH10" s="3">
        <v>80.000000000012406</v>
      </c>
      <c r="BI10" s="3">
        <v>20</v>
      </c>
      <c r="BJ10" s="3">
        <v>20</v>
      </c>
      <c r="BK10" s="3">
        <v>20</v>
      </c>
      <c r="BL10" s="3">
        <v>80.000000000012406</v>
      </c>
      <c r="BM10" s="3">
        <v>80.000000000012406</v>
      </c>
      <c r="BN10" s="3">
        <v>80.000000000012406</v>
      </c>
      <c r="BP10" t="s">
        <v>109</v>
      </c>
    </row>
    <row r="11" spans="1:69" x14ac:dyDescent="0.25">
      <c r="A11" t="s">
        <v>64</v>
      </c>
      <c r="B11" s="3" t="s">
        <v>78</v>
      </c>
      <c r="C11" s="3" t="s">
        <v>78</v>
      </c>
      <c r="D11" s="3" t="s">
        <v>78</v>
      </c>
      <c r="E11" s="3" t="s">
        <v>78</v>
      </c>
      <c r="F11" s="3" t="s">
        <v>78</v>
      </c>
      <c r="G11" s="3" t="s">
        <v>78</v>
      </c>
      <c r="H11" s="3" t="s">
        <v>78</v>
      </c>
      <c r="I11" s="3" t="s">
        <v>78</v>
      </c>
      <c r="J11" s="3" t="s">
        <v>78</v>
      </c>
      <c r="K11" s="3" t="s">
        <v>78</v>
      </c>
      <c r="L11" s="3" t="s">
        <v>78</v>
      </c>
      <c r="M11" s="3" t="s">
        <v>78</v>
      </c>
      <c r="N11" s="3" t="s">
        <v>78</v>
      </c>
      <c r="O11" s="3" t="s">
        <v>78</v>
      </c>
      <c r="P11" s="3" t="s">
        <v>78</v>
      </c>
      <c r="Q11" s="3" t="s">
        <v>78</v>
      </c>
      <c r="R11" s="3" t="s">
        <v>78</v>
      </c>
      <c r="S11" s="3" t="s">
        <v>78</v>
      </c>
      <c r="T11" s="3" t="s">
        <v>78</v>
      </c>
      <c r="U11" s="3" t="s">
        <v>78</v>
      </c>
      <c r="V11" s="3" t="s">
        <v>78</v>
      </c>
      <c r="W11" s="3" t="s">
        <v>78</v>
      </c>
      <c r="X11" s="3" t="s">
        <v>78</v>
      </c>
      <c r="Y11" s="3" t="s">
        <v>78</v>
      </c>
      <c r="Z11" s="3" t="s">
        <v>78</v>
      </c>
      <c r="AA11" s="3" t="s">
        <v>78</v>
      </c>
      <c r="AB11" s="3" t="s">
        <v>78</v>
      </c>
      <c r="AC11" s="3" t="s">
        <v>78</v>
      </c>
      <c r="AD11" s="3" t="s">
        <v>78</v>
      </c>
      <c r="AE11" s="3" t="s">
        <v>78</v>
      </c>
      <c r="AF11" s="3" t="s">
        <v>78</v>
      </c>
      <c r="AG11" s="3" t="s">
        <v>78</v>
      </c>
      <c r="AH11" s="3" t="s">
        <v>78</v>
      </c>
      <c r="AI11" s="3" t="s">
        <v>78</v>
      </c>
      <c r="AJ11" s="3" t="s">
        <v>78</v>
      </c>
      <c r="AK11" s="3" t="s">
        <v>78</v>
      </c>
      <c r="AL11" s="3" t="s">
        <v>78</v>
      </c>
      <c r="AM11" s="3" t="s">
        <v>78</v>
      </c>
      <c r="AN11" s="3" t="s">
        <v>78</v>
      </c>
      <c r="AO11" s="3" t="s">
        <v>78</v>
      </c>
      <c r="AP11" s="3" t="s">
        <v>78</v>
      </c>
      <c r="AQ11" s="3" t="s">
        <v>78</v>
      </c>
      <c r="AR11" s="3" t="s">
        <v>102</v>
      </c>
      <c r="AS11" s="3" t="s">
        <v>102</v>
      </c>
      <c r="AT11" s="3" t="s">
        <v>102</v>
      </c>
      <c r="AU11" s="3" t="s">
        <v>102</v>
      </c>
      <c r="AV11" s="3" t="s">
        <v>102</v>
      </c>
      <c r="AW11" s="3" t="s">
        <v>102</v>
      </c>
      <c r="AX11" s="3" t="s">
        <v>102</v>
      </c>
      <c r="AY11" s="3" t="s">
        <v>78</v>
      </c>
      <c r="AZ11" s="3" t="s">
        <v>78</v>
      </c>
      <c r="BA11" s="3" t="s">
        <v>102</v>
      </c>
      <c r="BB11" s="3" t="s">
        <v>102</v>
      </c>
      <c r="BC11" s="3" t="s">
        <v>102</v>
      </c>
      <c r="BD11" s="3" t="s">
        <v>102</v>
      </c>
      <c r="BE11" s="3" t="s">
        <v>102</v>
      </c>
      <c r="BF11" s="3" t="s">
        <v>102</v>
      </c>
      <c r="BG11" s="3" t="s">
        <v>102</v>
      </c>
      <c r="BH11" s="3" t="s">
        <v>102</v>
      </c>
      <c r="BI11" s="3" t="s">
        <v>102</v>
      </c>
      <c r="BJ11" s="3" t="s">
        <v>102</v>
      </c>
      <c r="BK11" s="3" t="s">
        <v>102</v>
      </c>
      <c r="BL11" s="3" t="s">
        <v>102</v>
      </c>
      <c r="BM11" s="3" t="s">
        <v>102</v>
      </c>
      <c r="BN11" s="3" t="s">
        <v>102</v>
      </c>
      <c r="BP11" s="14">
        <f>BG26-BH26</f>
        <v>12730702.249583006</v>
      </c>
      <c r="BQ11" s="14">
        <f>BF26-BE26</f>
        <v>4444542.4837939739</v>
      </c>
    </row>
    <row r="12" spans="1:69" x14ac:dyDescent="0.25">
      <c r="A12" t="s">
        <v>135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 t="s">
        <v>136</v>
      </c>
      <c r="BJ12" s="3" t="s">
        <v>136</v>
      </c>
      <c r="BK12" s="3" t="s">
        <v>136</v>
      </c>
      <c r="BL12" s="3" t="s">
        <v>136</v>
      </c>
      <c r="BM12" s="3" t="s">
        <v>136</v>
      </c>
      <c r="BN12" s="3" t="s">
        <v>136</v>
      </c>
      <c r="BP12" s="14"/>
      <c r="BQ12" s="14"/>
    </row>
    <row r="13" spans="1:69" x14ac:dyDescent="0.25">
      <c r="A13" t="s">
        <v>137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>
        <v>1000</v>
      </c>
      <c r="BJ13" s="3">
        <v>1000</v>
      </c>
      <c r="BK13" s="3">
        <v>1000</v>
      </c>
      <c r="BL13" s="3">
        <v>1000</v>
      </c>
      <c r="BM13" s="3">
        <v>1000</v>
      </c>
      <c r="BN13" s="3">
        <v>1000</v>
      </c>
      <c r="BP13" s="14"/>
      <c r="BQ13" s="14"/>
    </row>
    <row r="14" spans="1:69" x14ac:dyDescent="0.25">
      <c r="A14" t="s">
        <v>20</v>
      </c>
      <c r="B14" s="3" t="s">
        <v>79</v>
      </c>
      <c r="C14" s="3" t="s">
        <v>79</v>
      </c>
      <c r="D14" s="3" t="s">
        <v>79</v>
      </c>
      <c r="E14" s="3" t="s">
        <v>85</v>
      </c>
      <c r="F14" s="3" t="s">
        <v>85</v>
      </c>
      <c r="G14" s="3" t="s">
        <v>85</v>
      </c>
      <c r="H14" s="3" t="s">
        <v>79</v>
      </c>
      <c r="I14" s="3" t="s">
        <v>79</v>
      </c>
      <c r="J14" s="3" t="s">
        <v>85</v>
      </c>
      <c r="K14" s="3" t="s">
        <v>85</v>
      </c>
      <c r="L14" s="3" t="s">
        <v>85</v>
      </c>
      <c r="M14" s="3" t="s">
        <v>85</v>
      </c>
      <c r="N14" s="3" t="s">
        <v>85</v>
      </c>
      <c r="O14" s="3" t="s">
        <v>85</v>
      </c>
      <c r="P14" s="3" t="s">
        <v>85</v>
      </c>
      <c r="Q14" s="3" t="s">
        <v>85</v>
      </c>
      <c r="R14" s="3" t="s">
        <v>85</v>
      </c>
      <c r="S14" s="3" t="s">
        <v>85</v>
      </c>
      <c r="T14" s="3" t="s">
        <v>85</v>
      </c>
      <c r="U14" s="3" t="s">
        <v>85</v>
      </c>
      <c r="V14" s="3" t="s">
        <v>85</v>
      </c>
      <c r="W14" s="3" t="s">
        <v>85</v>
      </c>
      <c r="X14" s="3" t="s">
        <v>85</v>
      </c>
      <c r="Y14" s="3" t="s">
        <v>79</v>
      </c>
      <c r="Z14" s="3" t="s">
        <v>79</v>
      </c>
      <c r="AA14" s="3" t="s">
        <v>85</v>
      </c>
      <c r="AB14" s="3" t="s">
        <v>85</v>
      </c>
      <c r="AC14" s="3" t="s">
        <v>85</v>
      </c>
      <c r="AD14" s="3" t="s">
        <v>85</v>
      </c>
      <c r="AE14" s="3" t="s">
        <v>85</v>
      </c>
      <c r="AF14" s="3" t="s">
        <v>85</v>
      </c>
      <c r="AG14" s="3" t="s">
        <v>85</v>
      </c>
      <c r="AH14" s="3" t="s">
        <v>85</v>
      </c>
      <c r="AI14" s="3" t="s">
        <v>85</v>
      </c>
      <c r="AJ14" s="3" t="s">
        <v>79</v>
      </c>
      <c r="AK14" s="3" t="s">
        <v>79</v>
      </c>
      <c r="AL14" s="3" t="s">
        <v>79</v>
      </c>
      <c r="AM14" s="3" t="s">
        <v>79</v>
      </c>
      <c r="AN14" s="3" t="s">
        <v>79</v>
      </c>
      <c r="AO14" s="3" t="s">
        <v>79</v>
      </c>
      <c r="AP14" s="3" t="s">
        <v>79</v>
      </c>
      <c r="AQ14" s="3" t="s">
        <v>79</v>
      </c>
      <c r="AR14" s="3" t="s">
        <v>85</v>
      </c>
      <c r="AS14" s="3" t="s">
        <v>79</v>
      </c>
      <c r="AT14" s="3" t="s">
        <v>85</v>
      </c>
      <c r="AU14" s="3" t="s">
        <v>85</v>
      </c>
      <c r="AV14" s="3" t="s">
        <v>79</v>
      </c>
      <c r="AW14" s="3" t="s">
        <v>85</v>
      </c>
      <c r="AX14" s="3" t="s">
        <v>79</v>
      </c>
      <c r="AY14" s="3" t="s">
        <v>85</v>
      </c>
      <c r="AZ14" s="3" t="s">
        <v>85</v>
      </c>
      <c r="BA14" s="3" t="s">
        <v>85</v>
      </c>
      <c r="BB14" s="3" t="s">
        <v>79</v>
      </c>
      <c r="BC14" s="3" t="s">
        <v>85</v>
      </c>
      <c r="BD14" s="3" t="s">
        <v>79</v>
      </c>
      <c r="BE14" s="3" t="s">
        <v>85</v>
      </c>
      <c r="BF14" s="3" t="s">
        <v>79</v>
      </c>
      <c r="BG14" s="3" t="s">
        <v>79</v>
      </c>
      <c r="BH14" s="3" t="s">
        <v>85</v>
      </c>
      <c r="BI14" s="3" t="s">
        <v>85</v>
      </c>
      <c r="BJ14" s="3" t="s">
        <v>138</v>
      </c>
      <c r="BK14" s="3" t="s">
        <v>79</v>
      </c>
      <c r="BL14" s="3" t="s">
        <v>85</v>
      </c>
      <c r="BM14" s="3" t="s">
        <v>138</v>
      </c>
      <c r="BN14" s="3" t="s">
        <v>79</v>
      </c>
      <c r="BP14" t="s">
        <v>106</v>
      </c>
    </row>
    <row r="15" spans="1:69" x14ac:dyDescent="0.25">
      <c r="A15" t="s">
        <v>65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3">
        <v>0</v>
      </c>
      <c r="AN15" s="3">
        <v>0</v>
      </c>
      <c r="AO15" s="3">
        <v>0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  <c r="AW15" s="3">
        <v>0</v>
      </c>
      <c r="AX15" s="3">
        <v>0</v>
      </c>
      <c r="AY15" s="3">
        <v>0</v>
      </c>
      <c r="AZ15" s="3">
        <v>0</v>
      </c>
      <c r="BA15" s="3">
        <v>0</v>
      </c>
      <c r="BB15" s="3">
        <v>0</v>
      </c>
      <c r="BC15" s="3">
        <v>0</v>
      </c>
      <c r="BD15" s="3">
        <v>0</v>
      </c>
      <c r="BE15" s="3">
        <v>0</v>
      </c>
      <c r="BF15" s="3">
        <v>0</v>
      </c>
      <c r="BG15" s="3">
        <v>0</v>
      </c>
      <c r="BH15" s="3">
        <v>0</v>
      </c>
      <c r="BI15" s="3">
        <v>0</v>
      </c>
      <c r="BJ15" s="3">
        <v>0</v>
      </c>
      <c r="BK15" s="3">
        <v>0</v>
      </c>
      <c r="BL15" s="3">
        <v>0</v>
      </c>
      <c r="BM15" s="3">
        <v>0</v>
      </c>
      <c r="BN15" s="3">
        <v>0</v>
      </c>
      <c r="BP15" s="14">
        <f>BF29-BG29</f>
        <v>38523714.222420037</v>
      </c>
      <c r="BQ15" s="14">
        <f>BF29-BE29</f>
        <v>0</v>
      </c>
    </row>
    <row r="16" spans="1:69" x14ac:dyDescent="0.25">
      <c r="A16" s="1" t="s">
        <v>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</row>
    <row r="17" spans="1:69" x14ac:dyDescent="0.25">
      <c r="A17" t="s">
        <v>67</v>
      </c>
      <c r="B17" s="3">
        <v>19914533339.040901</v>
      </c>
      <c r="C17" s="3">
        <v>19809841481.080101</v>
      </c>
      <c r="D17" s="3">
        <v>19914698719.838902</v>
      </c>
      <c r="E17" s="3">
        <v>21802857320.342499</v>
      </c>
      <c r="F17" s="3">
        <v>21810624237.791698</v>
      </c>
      <c r="G17" s="3">
        <v>17975494486.410198</v>
      </c>
      <c r="H17" s="3">
        <v>16426865420.537399</v>
      </c>
      <c r="I17" s="3">
        <v>17974426085.787498</v>
      </c>
      <c r="J17" s="3">
        <v>18593036278.072899</v>
      </c>
      <c r="K17" s="3">
        <v>76224539327.009293</v>
      </c>
      <c r="L17" s="3">
        <v>76217736292.399704</v>
      </c>
      <c r="M17" s="3">
        <v>76165214305.257706</v>
      </c>
      <c r="N17" s="3">
        <v>153032254731.38199</v>
      </c>
      <c r="O17" s="3">
        <v>383571698888.06702</v>
      </c>
      <c r="P17" s="3">
        <v>767724129880.96497</v>
      </c>
      <c r="Q17" s="3">
        <v>76124934482.425995</v>
      </c>
      <c r="R17" s="3">
        <v>76173580853.066895</v>
      </c>
      <c r="S17" s="3">
        <v>76173580853.066895</v>
      </c>
      <c r="T17" s="3">
        <v>76164262211.796997</v>
      </c>
      <c r="U17" s="3">
        <v>76172224499.505005</v>
      </c>
      <c r="V17" s="3">
        <v>76221904746.816803</v>
      </c>
      <c r="W17" s="3">
        <v>76279751670.357697</v>
      </c>
      <c r="X17" s="3">
        <v>76272374589.318405</v>
      </c>
      <c r="Y17" s="3">
        <v>76227703228.492203</v>
      </c>
      <c r="Z17" s="3">
        <v>53815076863.977097</v>
      </c>
      <c r="AA17" s="5">
        <v>76172224499.505005</v>
      </c>
      <c r="AB17" s="5">
        <v>76190255242.415695</v>
      </c>
      <c r="AC17" s="5">
        <v>76219795510.2565</v>
      </c>
      <c r="AD17" s="5">
        <v>76009855468.741898</v>
      </c>
      <c r="AE17" s="5">
        <v>76010832135.069199</v>
      </c>
      <c r="AF17" s="5">
        <v>76703210009.574402</v>
      </c>
      <c r="AG17" s="5">
        <v>76685878734.335007</v>
      </c>
      <c r="AH17" s="5">
        <v>76734526981.604401</v>
      </c>
      <c r="AI17" s="5">
        <v>75466664528.569199</v>
      </c>
      <c r="AJ17" s="5">
        <v>80348048910.696899</v>
      </c>
      <c r="AK17" s="5">
        <v>77792956759.908997</v>
      </c>
      <c r="AL17" s="5">
        <v>75489803133.828903</v>
      </c>
      <c r="AM17" s="5">
        <v>75911219997.949707</v>
      </c>
      <c r="AN17" s="5">
        <v>76144326710.2052</v>
      </c>
      <c r="AO17" s="5">
        <v>76148220420.443405</v>
      </c>
      <c r="AP17" s="5">
        <v>75773314787.084</v>
      </c>
      <c r="AQ17" s="5">
        <v>75978820499.906204</v>
      </c>
      <c r="AR17" s="5">
        <v>75782031705.381897</v>
      </c>
      <c r="AS17" s="5">
        <v>75735074506.153198</v>
      </c>
      <c r="AT17" s="5">
        <v>75995963340.847595</v>
      </c>
      <c r="AU17" s="5">
        <v>75806177393.352905</v>
      </c>
      <c r="AV17" s="5">
        <v>75790646421.535095</v>
      </c>
      <c r="AW17" s="5">
        <v>76054556803.439194</v>
      </c>
      <c r="AX17" s="5">
        <v>76036916539.554596</v>
      </c>
      <c r="AY17" s="5">
        <v>75805109783.920593</v>
      </c>
      <c r="AZ17" s="5">
        <v>76059504933.349899</v>
      </c>
      <c r="BA17" s="5">
        <v>76056090504.707596</v>
      </c>
      <c r="BB17" s="5">
        <v>76042535168.811905</v>
      </c>
      <c r="BC17" s="5">
        <v>76008537277.977295</v>
      </c>
      <c r="BD17" s="5">
        <v>76003994231.423096</v>
      </c>
      <c r="BE17" s="5">
        <v>76008537277.977295</v>
      </c>
      <c r="BF17" s="5">
        <v>76003994231.423096</v>
      </c>
      <c r="BG17" s="5">
        <v>76042668766.540298</v>
      </c>
      <c r="BH17" s="5">
        <v>76056200812.347504</v>
      </c>
      <c r="BI17" s="5">
        <v>-381345407.33642799</v>
      </c>
      <c r="BJ17" s="5">
        <v>-502069865.02486098</v>
      </c>
      <c r="BK17" s="5">
        <v>-606622189.14133501</v>
      </c>
      <c r="BL17" s="5">
        <v>-423622435.56663299</v>
      </c>
      <c r="BM17" s="5">
        <v>-525293340.18129599</v>
      </c>
      <c r="BN17" s="5">
        <v>-607684781.88519204</v>
      </c>
      <c r="BP17" s="14" t="s">
        <v>120</v>
      </c>
    </row>
    <row r="18" spans="1:69" x14ac:dyDescent="0.25">
      <c r="A18" t="s">
        <v>66</v>
      </c>
      <c r="B18" s="3">
        <v>15341.212288856501</v>
      </c>
      <c r="C18" s="3">
        <v>700.15005302429199</v>
      </c>
      <c r="D18" s="3">
        <v>30195.948692083301</v>
      </c>
      <c r="E18" s="3">
        <v>6552.0655179023697</v>
      </c>
      <c r="F18" s="3">
        <v>9986.4023299217206</v>
      </c>
      <c r="G18" s="3">
        <v>355.74099993705698</v>
      </c>
      <c r="H18" s="3">
        <v>2013.36700010299</v>
      </c>
      <c r="I18" s="3">
        <v>639.23342490196205</v>
      </c>
      <c r="J18" s="3">
        <v>900.37050890922501</v>
      </c>
      <c r="K18" s="3">
        <v>273.27420210838301</v>
      </c>
      <c r="L18" s="3">
        <v>896.81816506385803</v>
      </c>
      <c r="M18" s="3">
        <v>900.37372994422901</v>
      </c>
      <c r="N18" s="3">
        <v>131.198789834976</v>
      </c>
      <c r="O18" s="3">
        <v>113.707083940505</v>
      </c>
      <c r="P18" s="3">
        <v>106.06011509895301</v>
      </c>
      <c r="Q18" s="3">
        <v>153.08726406097401</v>
      </c>
      <c r="R18" s="3">
        <v>632.70238184928803</v>
      </c>
      <c r="S18" s="3">
        <v>918.17074990272499</v>
      </c>
      <c r="T18" s="3">
        <v>868.10124802589405</v>
      </c>
      <c r="U18" s="3">
        <v>252.44026494026099</v>
      </c>
      <c r="V18" s="3">
        <v>629.23786497115998</v>
      </c>
      <c r="W18" s="3">
        <v>4156.1715669631903</v>
      </c>
      <c r="X18" s="3">
        <v>12264.8970048427</v>
      </c>
      <c r="Y18" s="3">
        <v>3198.97225499153</v>
      </c>
      <c r="Z18" s="3">
        <v>28835.2907481193</v>
      </c>
      <c r="AA18" s="5">
        <v>214.88944911956699</v>
      </c>
      <c r="AB18" s="5">
        <v>7721.0674748420697</v>
      </c>
      <c r="AC18" s="5">
        <v>698.39465379714898</v>
      </c>
      <c r="AD18" s="5">
        <v>1511.50255513191</v>
      </c>
      <c r="AE18" s="5">
        <v>7202.4497830867704</v>
      </c>
      <c r="AF18" s="5">
        <v>274.04798603057799</v>
      </c>
      <c r="AG18" s="5">
        <v>51.221930027008</v>
      </c>
      <c r="AH18" s="5">
        <v>358.34765005111598</v>
      </c>
      <c r="AI18" s="5">
        <v>82.082669973373399</v>
      </c>
      <c r="AJ18" s="5">
        <v>33.474738836288402</v>
      </c>
      <c r="AK18" s="5">
        <v>91.536086797714205</v>
      </c>
      <c r="AL18" s="5">
        <v>609.251305103302</v>
      </c>
      <c r="AM18" s="5">
        <v>1369.1989958286199</v>
      </c>
      <c r="AN18" s="5">
        <v>3760.6898629665302</v>
      </c>
      <c r="AO18" s="5">
        <v>4332.8456928730002</v>
      </c>
      <c r="AP18" s="5">
        <v>13099.7239570617</v>
      </c>
      <c r="AQ18" s="5">
        <v>41532.982882022799</v>
      </c>
      <c r="AR18" s="5">
        <v>176.44134807586599</v>
      </c>
      <c r="AS18" s="5">
        <v>119.42701101303101</v>
      </c>
      <c r="AT18" s="5">
        <v>390.318123102188</v>
      </c>
      <c r="AU18" s="5">
        <v>254.60152578353799</v>
      </c>
      <c r="AV18" s="5">
        <v>264.71024703979401</v>
      </c>
      <c r="AW18" s="5">
        <v>2050.3553199767998</v>
      </c>
      <c r="AX18" s="5">
        <v>718.28705191612198</v>
      </c>
      <c r="AY18" s="5">
        <v>2271.0799810886301</v>
      </c>
      <c r="AZ18" s="5">
        <v>5864.1845259666397</v>
      </c>
      <c r="BA18" s="5">
        <v>3874.6648027896799</v>
      </c>
      <c r="BB18" s="5">
        <v>2720.983689785</v>
      </c>
      <c r="BC18" s="3">
        <v>32.641910791397002</v>
      </c>
      <c r="BD18" s="3">
        <v>25.8672258853912</v>
      </c>
      <c r="BE18" s="3">
        <v>13.968295097351</v>
      </c>
      <c r="BF18" s="3">
        <v>9.6783800125121999</v>
      </c>
      <c r="BG18" s="3">
        <v>1302.3335788249899</v>
      </c>
      <c r="BH18" s="3">
        <v>2997.5191881656601</v>
      </c>
      <c r="BI18" s="3">
        <v>652.71997976303101</v>
      </c>
      <c r="BJ18" s="3">
        <v>428.86366796493502</v>
      </c>
      <c r="BK18" s="13">
        <v>11910.0523951053</v>
      </c>
      <c r="BL18" s="3">
        <v>784.941906929016</v>
      </c>
      <c r="BM18" s="3">
        <v>469.51246690750099</v>
      </c>
      <c r="BN18" s="3">
        <v>3738.2014219760799</v>
      </c>
      <c r="BP18" s="14">
        <f>BP7</f>
        <v>13532045.806827499</v>
      </c>
      <c r="BQ18" s="14">
        <f>BQ7</f>
        <v>4543046.5541842831</v>
      </c>
    </row>
    <row r="19" spans="1:69" x14ac:dyDescent="0.25">
      <c r="A19" t="s">
        <v>80</v>
      </c>
      <c r="B19" s="3">
        <v>5.0159819466078998E-3</v>
      </c>
      <c r="C19" s="3">
        <v>9.8979050308841496E-3</v>
      </c>
      <c r="D19" s="3">
        <v>5.7506383446094596E-3</v>
      </c>
      <c r="E19" s="3">
        <v>5.1153643556451998E-3</v>
      </c>
      <c r="F19" s="3">
        <v>6.7193071307100902E-3</v>
      </c>
      <c r="G19" s="3">
        <v>7.0103128127448901E-4</v>
      </c>
      <c r="H19" s="3">
        <v>3.0872638561538399E-3</v>
      </c>
      <c r="I19" s="3">
        <v>7.9187216723792002E-4</v>
      </c>
      <c r="J19" s="3">
        <v>0.46124892082726399</v>
      </c>
      <c r="K19" s="3">
        <v>8.9406250560400302E-2</v>
      </c>
      <c r="L19" s="3">
        <v>5.36780805316764E-2</v>
      </c>
      <c r="M19" s="3">
        <v>0.13957344871392799</v>
      </c>
      <c r="N19" s="3">
        <v>7.2096942926495294E-2</v>
      </c>
      <c r="O19" s="3">
        <v>3.6623316735996697E-2</v>
      </c>
      <c r="P19" s="3">
        <v>3.6270064287868303E-2</v>
      </c>
      <c r="Q19" s="3">
        <v>0.17372019824815901</v>
      </c>
      <c r="R19" s="3">
        <v>8.7765403753448906E-2</v>
      </c>
      <c r="S19" s="3">
        <v>8.7664105567513195E-2</v>
      </c>
      <c r="T19" s="3">
        <v>9.1096398205322393E-2</v>
      </c>
      <c r="U19" s="3">
        <v>9.0839974476340596E-2</v>
      </c>
      <c r="V19" s="3">
        <v>9.0134151442800597E-2</v>
      </c>
      <c r="W19" s="3">
        <v>5.15270011449772E-2</v>
      </c>
      <c r="X19" s="3">
        <v>6.9087570613454705E-2</v>
      </c>
      <c r="Y19" s="3">
        <v>7.9086900279371902E-2</v>
      </c>
      <c r="Z19" s="3">
        <v>41.816229661111997</v>
      </c>
      <c r="AA19" s="5">
        <v>9.0839974476340596E-2</v>
      </c>
      <c r="AB19" s="5">
        <v>9.7156968396968094E-2</v>
      </c>
      <c r="AC19" s="5">
        <v>9.9384278111478597E-2</v>
      </c>
      <c r="AD19" s="5">
        <v>8.6299951014144199E-2</v>
      </c>
      <c r="AE19" s="5">
        <v>0.111294348732161</v>
      </c>
      <c r="AF19" s="5">
        <v>9.4278487706546302E-2</v>
      </c>
      <c r="AG19" s="5">
        <v>9.9899615685289295E-2</v>
      </c>
      <c r="AH19" s="5">
        <v>5.2792080663985198E-2</v>
      </c>
      <c r="AI19" s="5">
        <v>8.5320634778948398E-2</v>
      </c>
      <c r="AJ19" s="5">
        <v>6.2993654033391203E-2</v>
      </c>
      <c r="AK19" s="5">
        <v>9.8230637327631695E-2</v>
      </c>
      <c r="AL19" s="5">
        <v>7.2780797586374193E-2</v>
      </c>
      <c r="AM19" s="5">
        <v>9.1965468685320698E-2</v>
      </c>
      <c r="AN19" s="5">
        <v>9.1867765788054501E-2</v>
      </c>
      <c r="AO19" s="5">
        <v>9.9240102473112699E-2</v>
      </c>
      <c r="AP19" s="5">
        <v>9.7016347395388794E-2</v>
      </c>
      <c r="AQ19" s="5">
        <v>0.172875483053822</v>
      </c>
      <c r="AR19" s="5">
        <v>5.1328254728459602E-2</v>
      </c>
      <c r="AS19" s="5">
        <v>9.7308277561418896E-2</v>
      </c>
      <c r="AT19" s="5">
        <v>9.8112912386183096E-2</v>
      </c>
      <c r="AU19" s="5">
        <v>5.7470911815349201E-3</v>
      </c>
      <c r="AV19" s="5">
        <v>4.0122701148495301E-3</v>
      </c>
      <c r="AW19" s="5">
        <v>7.3808074722430004E-3</v>
      </c>
      <c r="AX19" s="5">
        <v>9.8871127009175202E-3</v>
      </c>
      <c r="AY19" s="5">
        <v>9.7384256526910195E-3</v>
      </c>
      <c r="AZ19" s="3">
        <v>1.35094521307029E-3</v>
      </c>
      <c r="BA19" s="3">
        <v>4.8822517031525502E-4</v>
      </c>
      <c r="BB19" s="3">
        <v>2.8201050966829999E-4</v>
      </c>
      <c r="BC19" s="3">
        <v>0</v>
      </c>
      <c r="BD19" s="3">
        <v>4.0387927972019303E-6</v>
      </c>
      <c r="BE19" s="3">
        <v>0</v>
      </c>
      <c r="BF19" s="3">
        <v>3.2218444283797901E-6</v>
      </c>
      <c r="BG19" s="3">
        <v>2.8486122333844401E-5</v>
      </c>
      <c r="BH19" s="3">
        <v>2.1089876990466498E-5</v>
      </c>
      <c r="BI19" s="3">
        <v>9.2686456088939404E-12</v>
      </c>
      <c r="BJ19" s="3">
        <v>9.0225550635375701E-13</v>
      </c>
      <c r="BK19" s="3">
        <v>9.0427404752907003E-4</v>
      </c>
      <c r="BL19" s="3">
        <v>1.2211326181060301E-4</v>
      </c>
      <c r="BM19" s="3">
        <v>9.7508422984112792E-6</v>
      </c>
      <c r="BN19" s="3">
        <v>8.1318162268899895E-4</v>
      </c>
      <c r="BP19" s="3"/>
    </row>
    <row r="20" spans="1:69" x14ac:dyDescent="0.25">
      <c r="A20" t="s">
        <v>83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3">
        <v>0</v>
      </c>
      <c r="AN20" s="3">
        <v>0</v>
      </c>
      <c r="AO20" s="3">
        <v>0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3">
        <v>0</v>
      </c>
      <c r="AV20" s="3">
        <v>0</v>
      </c>
      <c r="AW20" s="3">
        <v>0</v>
      </c>
      <c r="AX20" s="3">
        <v>0</v>
      </c>
      <c r="AY20" s="3">
        <v>0</v>
      </c>
      <c r="AZ20" s="3">
        <v>0</v>
      </c>
      <c r="BA20" s="3">
        <v>0</v>
      </c>
      <c r="BB20" s="3">
        <v>0</v>
      </c>
      <c r="BC20" s="3">
        <v>0</v>
      </c>
      <c r="BD20" s="3">
        <v>0</v>
      </c>
      <c r="BE20" s="3">
        <v>0</v>
      </c>
      <c r="BF20" s="3">
        <v>0</v>
      </c>
      <c r="BG20" s="3">
        <v>0</v>
      </c>
      <c r="BH20" s="3">
        <v>0</v>
      </c>
      <c r="BI20" s="3">
        <v>0</v>
      </c>
      <c r="BJ20" s="3">
        <v>0</v>
      </c>
      <c r="BK20" s="3">
        <v>0</v>
      </c>
      <c r="BL20" s="3">
        <v>0</v>
      </c>
      <c r="BM20" s="3">
        <v>0</v>
      </c>
      <c r="BN20" s="3">
        <v>0</v>
      </c>
      <c r="BP20" s="3" t="s">
        <v>123</v>
      </c>
      <c r="BQ20" t="s">
        <v>132</v>
      </c>
    </row>
    <row r="21" spans="1:69" x14ac:dyDescent="0.25">
      <c r="A21" t="s">
        <v>97</v>
      </c>
      <c r="B21" s="3">
        <v>60.420364466636798</v>
      </c>
      <c r="C21" s="3" t="s">
        <v>84</v>
      </c>
      <c r="D21" s="3">
        <v>60.453825953486898</v>
      </c>
      <c r="E21" s="3">
        <v>136.32216282309801</v>
      </c>
      <c r="F21" s="3">
        <v>249.106177578238</v>
      </c>
      <c r="G21" s="3" t="s">
        <v>84</v>
      </c>
      <c r="H21" s="3" t="s">
        <v>84</v>
      </c>
      <c r="I21" s="3" t="s">
        <v>84</v>
      </c>
      <c r="J21" s="3" t="s">
        <v>84</v>
      </c>
      <c r="K21" s="3" t="s">
        <v>84</v>
      </c>
      <c r="L21" s="3" t="s">
        <v>84</v>
      </c>
      <c r="M21" s="3" t="s">
        <v>84</v>
      </c>
      <c r="N21" s="3" t="s">
        <v>84</v>
      </c>
      <c r="O21" s="3" t="s">
        <v>84</v>
      </c>
      <c r="P21" s="3" t="s">
        <v>84</v>
      </c>
      <c r="Q21" s="3" t="s">
        <v>84</v>
      </c>
      <c r="R21" s="3" t="s">
        <v>84</v>
      </c>
      <c r="S21" s="3" t="s">
        <v>84</v>
      </c>
      <c r="T21" s="3" t="s">
        <v>84</v>
      </c>
      <c r="U21" s="3" t="s">
        <v>84</v>
      </c>
      <c r="V21" s="3" t="s">
        <v>84</v>
      </c>
      <c r="W21" s="3" t="s">
        <v>84</v>
      </c>
      <c r="X21" s="3" t="s">
        <v>84</v>
      </c>
      <c r="Y21" s="3" t="s">
        <v>84</v>
      </c>
      <c r="Z21" s="3" t="s">
        <v>84</v>
      </c>
      <c r="AA21" s="3">
        <v>0</v>
      </c>
      <c r="AB21" s="3">
        <v>149.99999999999699</v>
      </c>
      <c r="AC21" s="3">
        <v>366.00000000000301</v>
      </c>
      <c r="AD21" s="3">
        <v>0</v>
      </c>
      <c r="AE21" s="3">
        <v>109.615384615382</v>
      </c>
      <c r="AF21" s="3">
        <v>86.538461538461306</v>
      </c>
      <c r="AG21" s="3">
        <v>0</v>
      </c>
      <c r="AH21" s="3">
        <v>294.807692307693</v>
      </c>
      <c r="AI21" s="3">
        <v>109.615384615384</v>
      </c>
      <c r="AJ21" s="3">
        <v>0.48793109975197602</v>
      </c>
      <c r="AK21" s="3">
        <v>0</v>
      </c>
      <c r="AL21" s="3">
        <v>0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3">
        <v>150.00000000000099</v>
      </c>
      <c r="AS21" s="3">
        <v>0</v>
      </c>
      <c r="AT21" s="3">
        <v>86.5384615384597</v>
      </c>
      <c r="AU21" s="3">
        <v>150</v>
      </c>
      <c r="AV21" s="3">
        <v>0</v>
      </c>
      <c r="AW21" s="3">
        <v>149.99999999999901</v>
      </c>
      <c r="AX21" s="3">
        <v>0</v>
      </c>
      <c r="AY21" s="3">
        <v>150.00000000000099</v>
      </c>
      <c r="AZ21" s="3">
        <v>149.99999999999801</v>
      </c>
      <c r="BA21" s="3">
        <v>149.99999999999801</v>
      </c>
      <c r="BB21" s="3">
        <v>0</v>
      </c>
      <c r="BC21" s="3">
        <v>86.5384615384597</v>
      </c>
      <c r="BD21" s="3">
        <v>0</v>
      </c>
      <c r="BE21" s="3">
        <v>86.5384615384597</v>
      </c>
      <c r="BF21" s="3">
        <v>0</v>
      </c>
      <c r="BG21" s="3">
        <v>0</v>
      </c>
      <c r="BH21" s="3">
        <v>149.99999999999699</v>
      </c>
      <c r="BI21" s="3">
        <v>130.23878659692099</v>
      </c>
      <c r="BJ21" s="3">
        <v>79.360228286980799</v>
      </c>
      <c r="BK21" s="3">
        <v>0</v>
      </c>
      <c r="BL21" s="3">
        <v>136.309150960653</v>
      </c>
      <c r="BM21" s="3">
        <v>115.391295741608</v>
      </c>
      <c r="BN21" s="3">
        <v>0</v>
      </c>
      <c r="BP21" s="14">
        <f>'250718_investment'!L5</f>
        <v>180.68099999996281</v>
      </c>
      <c r="BQ21" s="3">
        <f>BP15/(BP18-BQ18)</f>
        <v>4.2856510652275484</v>
      </c>
    </row>
    <row r="22" spans="1:69" x14ac:dyDescent="0.25">
      <c r="A22" t="s">
        <v>98</v>
      </c>
      <c r="B22" s="3">
        <v>117.511996639882</v>
      </c>
      <c r="C22" s="3" t="s">
        <v>84</v>
      </c>
      <c r="D22" s="3">
        <v>121.52741218059001</v>
      </c>
      <c r="E22" s="3">
        <v>150.00000000000301</v>
      </c>
      <c r="F22" s="3">
        <v>366.000000000017</v>
      </c>
      <c r="G22" s="3" t="s">
        <v>84</v>
      </c>
      <c r="H22" s="3" t="s">
        <v>84</v>
      </c>
      <c r="I22" s="3" t="s">
        <v>84</v>
      </c>
      <c r="J22" s="3" t="s">
        <v>84</v>
      </c>
      <c r="K22" s="3" t="s">
        <v>84</v>
      </c>
      <c r="L22" s="3" t="s">
        <v>84</v>
      </c>
      <c r="M22" s="3" t="s">
        <v>84</v>
      </c>
      <c r="N22" s="3" t="s">
        <v>84</v>
      </c>
      <c r="O22" s="3" t="s">
        <v>84</v>
      </c>
      <c r="P22" s="3" t="s">
        <v>84</v>
      </c>
      <c r="Q22" s="3" t="s">
        <v>84</v>
      </c>
      <c r="R22" s="3" t="s">
        <v>84</v>
      </c>
      <c r="S22" s="3" t="s">
        <v>84</v>
      </c>
      <c r="T22" s="3" t="s">
        <v>84</v>
      </c>
      <c r="U22" s="3" t="s">
        <v>84</v>
      </c>
      <c r="V22" s="3" t="s">
        <v>84</v>
      </c>
      <c r="W22" s="3" t="s">
        <v>84</v>
      </c>
      <c r="X22" s="3" t="s">
        <v>84</v>
      </c>
      <c r="Y22" s="3" t="s">
        <v>84</v>
      </c>
      <c r="Z22" s="3" t="s">
        <v>84</v>
      </c>
      <c r="AA22" s="3">
        <v>0</v>
      </c>
      <c r="AB22" s="3">
        <v>149.99999999999901</v>
      </c>
      <c r="AC22" s="3">
        <v>366.00000000001199</v>
      </c>
      <c r="AD22" s="3">
        <v>0</v>
      </c>
      <c r="AE22" s="3">
        <v>149.99999999999901</v>
      </c>
      <c r="AF22" s="3">
        <v>149.99999999999901</v>
      </c>
      <c r="AG22" s="3">
        <v>0</v>
      </c>
      <c r="AH22" s="3">
        <v>365.00000000000603</v>
      </c>
      <c r="AI22" s="3">
        <v>150</v>
      </c>
      <c r="AJ22" s="3">
        <v>6.0224303966438102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150.00000000000199</v>
      </c>
      <c r="AS22" s="3">
        <v>0</v>
      </c>
      <c r="AT22" s="3">
        <v>149.99999999999599</v>
      </c>
      <c r="AU22" s="3">
        <v>150.00000000000199</v>
      </c>
      <c r="AV22" s="3">
        <v>0</v>
      </c>
      <c r="AW22" s="3">
        <v>150.000000000005</v>
      </c>
      <c r="AX22" s="3">
        <v>0</v>
      </c>
      <c r="AY22" s="3">
        <v>150.00000000000199</v>
      </c>
      <c r="AZ22" s="3">
        <v>150.00000000000199</v>
      </c>
      <c r="BA22" s="3">
        <v>150.00000000000401</v>
      </c>
      <c r="BB22" s="3">
        <v>0</v>
      </c>
      <c r="BC22" s="3">
        <v>149.99999999999599</v>
      </c>
      <c r="BD22" s="3">
        <v>0</v>
      </c>
      <c r="BE22" s="3">
        <v>149.99999999999599</v>
      </c>
      <c r="BF22" s="3">
        <v>0</v>
      </c>
      <c r="BG22" s="3">
        <v>0</v>
      </c>
      <c r="BH22" s="3">
        <v>150.000000000005</v>
      </c>
      <c r="BI22" s="3">
        <v>150.00000000000199</v>
      </c>
      <c r="BJ22" s="3">
        <v>150.00000000000099</v>
      </c>
      <c r="BK22" s="3">
        <v>0</v>
      </c>
      <c r="BL22" s="3">
        <v>150.00000000000199</v>
      </c>
      <c r="BM22" s="3">
        <v>150.00000000000099</v>
      </c>
      <c r="BN22" s="3">
        <v>0</v>
      </c>
    </row>
    <row r="23" spans="1:69" x14ac:dyDescent="0.25">
      <c r="A23" t="s">
        <v>99</v>
      </c>
      <c r="B23" s="3">
        <v>75.955726389845793</v>
      </c>
      <c r="C23" s="3" t="s">
        <v>84</v>
      </c>
      <c r="D23" s="3">
        <v>77.744130515221698</v>
      </c>
      <c r="E23" s="3">
        <v>127.609476445046</v>
      </c>
      <c r="F23" s="3">
        <v>212.36105235593601</v>
      </c>
      <c r="G23" s="3" t="s">
        <v>84</v>
      </c>
      <c r="H23" s="3" t="s">
        <v>84</v>
      </c>
      <c r="I23" s="3" t="s">
        <v>84</v>
      </c>
      <c r="J23" s="3" t="s">
        <v>84</v>
      </c>
      <c r="K23" s="3" t="s">
        <v>84</v>
      </c>
      <c r="L23" s="3" t="s">
        <v>84</v>
      </c>
      <c r="M23" s="3" t="s">
        <v>84</v>
      </c>
      <c r="N23" s="3" t="s">
        <v>84</v>
      </c>
      <c r="O23" s="3" t="s">
        <v>84</v>
      </c>
      <c r="P23" s="3" t="s">
        <v>84</v>
      </c>
      <c r="Q23" s="3" t="s">
        <v>84</v>
      </c>
      <c r="R23" s="3" t="s">
        <v>84</v>
      </c>
      <c r="S23" s="3" t="s">
        <v>84</v>
      </c>
      <c r="T23" s="3" t="s">
        <v>84</v>
      </c>
      <c r="U23" s="3" t="s">
        <v>84</v>
      </c>
      <c r="V23" s="3" t="s">
        <v>84</v>
      </c>
      <c r="W23" s="3" t="s">
        <v>84</v>
      </c>
      <c r="X23" s="3" t="s">
        <v>84</v>
      </c>
      <c r="Y23" s="3" t="s">
        <v>84</v>
      </c>
      <c r="Z23" s="3" t="s">
        <v>84</v>
      </c>
      <c r="AA23" s="3">
        <v>0</v>
      </c>
      <c r="AB23" s="3">
        <v>149.99999999999699</v>
      </c>
      <c r="AC23" s="3">
        <v>366.00000000000301</v>
      </c>
      <c r="AD23" s="3">
        <v>0</v>
      </c>
      <c r="AE23" s="3">
        <v>109.615384615382</v>
      </c>
      <c r="AF23" s="3">
        <v>86.538461538461306</v>
      </c>
      <c r="AG23" s="3">
        <v>0</v>
      </c>
      <c r="AH23" s="3">
        <v>293.509213550651</v>
      </c>
      <c r="AI23" s="3">
        <v>109.615384615384</v>
      </c>
      <c r="AJ23" s="3">
        <v>15.436822181531699</v>
      </c>
      <c r="AK23" s="3">
        <v>10.3403818266356</v>
      </c>
      <c r="AL23" s="3">
        <v>4.64137485285893</v>
      </c>
      <c r="AM23" s="3">
        <v>17.138369690872</v>
      </c>
      <c r="AN23" s="3">
        <v>7.4963002476406704</v>
      </c>
      <c r="AO23" s="3">
        <v>11.216330059432501</v>
      </c>
      <c r="AP23" s="3">
        <v>9.8119212302309293</v>
      </c>
      <c r="AQ23" s="3">
        <v>3.8172441275996301E-3</v>
      </c>
      <c r="AR23" s="3">
        <v>150.00000000000099</v>
      </c>
      <c r="AS23" s="3">
        <v>1.9073996655494E-3</v>
      </c>
      <c r="AT23" s="3">
        <v>86.5384615384597</v>
      </c>
      <c r="AU23" s="3">
        <v>150</v>
      </c>
      <c r="AV23" s="3">
        <v>3.69933259123076</v>
      </c>
      <c r="AW23" s="3">
        <v>149.99999999999901</v>
      </c>
      <c r="AX23" s="3">
        <v>3.2362526863760599</v>
      </c>
      <c r="AY23" s="3">
        <v>150.00000000000099</v>
      </c>
      <c r="AZ23" s="3">
        <v>149.99999999999801</v>
      </c>
      <c r="BA23" s="3">
        <v>149.99999999999801</v>
      </c>
      <c r="BB23" s="3">
        <v>3.4608016950840002</v>
      </c>
      <c r="BC23" s="3">
        <v>86.5384615384597</v>
      </c>
      <c r="BD23" s="3">
        <v>0.845569723151255</v>
      </c>
      <c r="BE23" s="3">
        <v>86.5384615384597</v>
      </c>
      <c r="BF23" s="3">
        <v>0.845569723151255</v>
      </c>
      <c r="BG23" s="3">
        <v>3.51403103384777</v>
      </c>
      <c r="BH23" s="3">
        <v>149.99999999999699</v>
      </c>
      <c r="BI23" s="3">
        <v>98.091933629672994</v>
      </c>
      <c r="BJ23" s="3">
        <v>68.578081151739397</v>
      </c>
      <c r="BK23" s="3">
        <v>3.2919992086239298</v>
      </c>
      <c r="BL23" s="3">
        <v>100.173950233754</v>
      </c>
      <c r="BM23" s="3">
        <v>95.019791232856306</v>
      </c>
      <c r="BN23" s="3">
        <v>6.2946653740599796</v>
      </c>
      <c r="BP23" t="s">
        <v>127</v>
      </c>
    </row>
    <row r="24" spans="1:69" x14ac:dyDescent="0.25">
      <c r="A24" t="s">
        <v>100</v>
      </c>
      <c r="B24" s="3">
        <v>149.99999999999699</v>
      </c>
      <c r="C24" s="3" t="s">
        <v>84</v>
      </c>
      <c r="D24" s="3">
        <v>152.83528225048701</v>
      </c>
      <c r="E24" s="3">
        <v>150</v>
      </c>
      <c r="F24" s="3">
        <v>366.00000000001398</v>
      </c>
      <c r="G24" s="3" t="s">
        <v>84</v>
      </c>
      <c r="H24" s="3" t="s">
        <v>84</v>
      </c>
      <c r="I24" s="3" t="s">
        <v>84</v>
      </c>
      <c r="J24" s="3" t="s">
        <v>84</v>
      </c>
      <c r="K24" s="3" t="s">
        <v>84</v>
      </c>
      <c r="L24" s="3" t="s">
        <v>84</v>
      </c>
      <c r="M24" s="3" t="s">
        <v>84</v>
      </c>
      <c r="N24" s="3" t="s">
        <v>84</v>
      </c>
      <c r="O24" s="3" t="s">
        <v>84</v>
      </c>
      <c r="P24" s="3" t="s">
        <v>84</v>
      </c>
      <c r="Q24" s="3" t="s">
        <v>84</v>
      </c>
      <c r="R24" s="3" t="s">
        <v>84</v>
      </c>
      <c r="S24" s="3" t="s">
        <v>84</v>
      </c>
      <c r="T24" s="3" t="s">
        <v>84</v>
      </c>
      <c r="U24" s="3" t="s">
        <v>84</v>
      </c>
      <c r="V24" s="3" t="s">
        <v>84</v>
      </c>
      <c r="W24" s="3" t="s">
        <v>84</v>
      </c>
      <c r="X24" s="3" t="s">
        <v>84</v>
      </c>
      <c r="Y24" s="3" t="s">
        <v>84</v>
      </c>
      <c r="Z24" s="3" t="s">
        <v>84</v>
      </c>
      <c r="AA24" s="3">
        <v>0</v>
      </c>
      <c r="AB24" s="3">
        <v>149.99999999999901</v>
      </c>
      <c r="AC24" s="3">
        <v>366.00000000001199</v>
      </c>
      <c r="AD24" s="3">
        <v>0</v>
      </c>
      <c r="AE24" s="3">
        <v>149.99999999999901</v>
      </c>
      <c r="AF24" s="3">
        <v>150</v>
      </c>
      <c r="AG24" s="3">
        <v>0</v>
      </c>
      <c r="AH24" s="3">
        <v>365.00000000000603</v>
      </c>
      <c r="AI24" s="3">
        <v>150</v>
      </c>
      <c r="AJ24" s="3">
        <v>49.066885964912203</v>
      </c>
      <c r="AK24" s="3">
        <v>23.3202108064011</v>
      </c>
      <c r="AL24" s="3">
        <v>21.4589170203731</v>
      </c>
      <c r="AM24" s="3">
        <v>45.325050155681502</v>
      </c>
      <c r="AN24" s="3">
        <v>27.8075629489603</v>
      </c>
      <c r="AO24" s="3">
        <v>28.0804315784784</v>
      </c>
      <c r="AP24" s="3">
        <v>26.134002474785699</v>
      </c>
      <c r="AQ24" s="3">
        <v>9.9248347317590593E-2</v>
      </c>
      <c r="AR24" s="3">
        <v>150.00000000000199</v>
      </c>
      <c r="AS24" s="3">
        <v>4.9592391304284597E-2</v>
      </c>
      <c r="AT24" s="3">
        <v>149.99999999999599</v>
      </c>
      <c r="AU24" s="3">
        <v>150.00000000000199</v>
      </c>
      <c r="AV24" s="3">
        <v>8.4255329488747801</v>
      </c>
      <c r="AW24" s="3">
        <v>150.000000000005</v>
      </c>
      <c r="AX24" s="3">
        <v>7.7939723320161498</v>
      </c>
      <c r="AY24" s="3">
        <v>150.00000000000199</v>
      </c>
      <c r="AZ24" s="3">
        <v>150.00000000000199</v>
      </c>
      <c r="BA24" s="3">
        <v>150.00000000000401</v>
      </c>
      <c r="BB24" s="3">
        <v>7.6368224929282302</v>
      </c>
      <c r="BC24" s="3">
        <v>149.99999999999599</v>
      </c>
      <c r="BD24" s="3">
        <v>1.97756483600307</v>
      </c>
      <c r="BE24" s="3">
        <v>149.99999999999599</v>
      </c>
      <c r="BF24" s="3">
        <v>1.97756483600307</v>
      </c>
      <c r="BG24" s="3">
        <v>7.6368224929280597</v>
      </c>
      <c r="BH24" s="3">
        <v>150.00000000000401</v>
      </c>
      <c r="BI24" s="3">
        <v>150.00000000000199</v>
      </c>
      <c r="BJ24" s="3">
        <v>150.00000000000099</v>
      </c>
      <c r="BK24" s="3">
        <v>7.0472548814924503</v>
      </c>
      <c r="BL24" s="3">
        <v>150.00000000000199</v>
      </c>
      <c r="BM24" s="3">
        <v>150.00000000000099</v>
      </c>
      <c r="BN24" s="3">
        <v>8.7448226815953607</v>
      </c>
      <c r="BP24" s="5">
        <f>(BP18-BQ18)/BP21/1000</f>
        <v>49.750661401282187</v>
      </c>
    </row>
    <row r="25" spans="1:69" x14ac:dyDescent="0.25">
      <c r="A25" t="s">
        <v>68</v>
      </c>
      <c r="B25" s="3">
        <v>2276815636.0092702</v>
      </c>
      <c r="C25" s="3">
        <v>2256215991.8481898</v>
      </c>
      <c r="D25" s="3">
        <v>2277144130.8397799</v>
      </c>
      <c r="E25" s="3">
        <v>695164386.753407</v>
      </c>
      <c r="F25" s="3">
        <v>688058509.35971904</v>
      </c>
      <c r="G25" s="3">
        <v>781249111.00424302</v>
      </c>
      <c r="H25" s="3">
        <v>2254809792.5641699</v>
      </c>
      <c r="I25" s="3">
        <v>782559226.24499905</v>
      </c>
      <c r="J25" s="3">
        <v>330621930.02920002</v>
      </c>
      <c r="K25" s="3">
        <v>331006591.66265798</v>
      </c>
      <c r="L25" s="3">
        <v>330994041.82959598</v>
      </c>
      <c r="M25" s="3">
        <v>330994041.82959598</v>
      </c>
      <c r="N25" s="3">
        <v>330994041.82959598</v>
      </c>
      <c r="O25" s="3">
        <v>330994041.82959598</v>
      </c>
      <c r="P25" s="3">
        <v>330994041.82959598</v>
      </c>
      <c r="Q25" s="3">
        <v>329990111.97349298</v>
      </c>
      <c r="R25" s="3">
        <v>329962306.48000401</v>
      </c>
      <c r="S25" s="3">
        <v>329962306.48000401</v>
      </c>
      <c r="T25" s="3">
        <v>327936407.60196102</v>
      </c>
      <c r="U25" s="3">
        <v>329802700.98608899</v>
      </c>
      <c r="V25" s="3">
        <v>330611517.45265698</v>
      </c>
      <c r="W25" s="3">
        <v>322874126.04612899</v>
      </c>
      <c r="X25" s="3">
        <v>316523181.08404899</v>
      </c>
      <c r="Y25" s="3">
        <v>331771021.28870797</v>
      </c>
      <c r="Z25" s="3">
        <v>260665530.39608899</v>
      </c>
      <c r="AA25" s="3">
        <v>329802700.98608899</v>
      </c>
      <c r="AB25" s="3">
        <v>311781514.42136002</v>
      </c>
      <c r="AC25" s="3">
        <v>294068403.80888098</v>
      </c>
      <c r="AD25" s="3">
        <v>328055343.473961</v>
      </c>
      <c r="AE25" s="3">
        <v>321781422.91922402</v>
      </c>
      <c r="AF25" s="3">
        <v>342347551.07335502</v>
      </c>
      <c r="AG25" s="3">
        <v>346789114.358648</v>
      </c>
      <c r="AH25" s="3">
        <v>338250676.99282497</v>
      </c>
      <c r="AI25" s="3">
        <v>341095916.39237797</v>
      </c>
      <c r="AJ25" s="3">
        <v>445384864.54277402</v>
      </c>
      <c r="AK25" s="3">
        <v>431447564.16910702</v>
      </c>
      <c r="AL25" s="3">
        <v>351808996.53383201</v>
      </c>
      <c r="AM25" s="3">
        <v>333523585.99850601</v>
      </c>
      <c r="AN25" s="3">
        <v>380189251.57179201</v>
      </c>
      <c r="AO25" s="3">
        <v>326831944.91225201</v>
      </c>
      <c r="AP25" s="3">
        <v>341287726.17254299</v>
      </c>
      <c r="AQ25" s="3">
        <v>331464587.11156601</v>
      </c>
      <c r="AR25" s="3">
        <v>321195123.62479901</v>
      </c>
      <c r="AS25" s="3">
        <v>341287726.17254299</v>
      </c>
      <c r="AT25" s="3">
        <v>326896914.53985</v>
      </c>
      <c r="AU25" s="3">
        <v>325908952.656555</v>
      </c>
      <c r="AV25" s="3">
        <v>341287726.17254299</v>
      </c>
      <c r="AW25" s="3">
        <v>317355520.34808803</v>
      </c>
      <c r="AX25" s="3">
        <v>331464587.11163098</v>
      </c>
      <c r="AY25" s="3">
        <v>325141274.67285299</v>
      </c>
      <c r="AZ25" s="3">
        <v>317366318.5079</v>
      </c>
      <c r="BA25" s="3">
        <v>317710687.31554198</v>
      </c>
      <c r="BB25" s="3">
        <v>331464587.11163098</v>
      </c>
      <c r="BC25" s="3">
        <v>326896914.53985</v>
      </c>
      <c r="BD25" s="3">
        <v>331464587.11163098</v>
      </c>
      <c r="BE25" s="3">
        <v>326896914.53985</v>
      </c>
      <c r="BF25" s="3">
        <v>331464587.11163098</v>
      </c>
      <c r="BG25" s="3">
        <v>331464587.11163098</v>
      </c>
      <c r="BH25" s="3">
        <v>317732205.41549498</v>
      </c>
      <c r="BI25" s="3">
        <v>91031503.832326993</v>
      </c>
      <c r="BJ25" s="3">
        <v>222505239.304602</v>
      </c>
      <c r="BK25" s="3">
        <v>331027758.79087698</v>
      </c>
      <c r="BL25" s="3">
        <v>132416238.484796</v>
      </c>
      <c r="BM25" s="3">
        <v>245536194.188411</v>
      </c>
      <c r="BN25" s="3">
        <v>331464587.11163098</v>
      </c>
    </row>
    <row r="26" spans="1:69" x14ac:dyDescent="0.25">
      <c r="A26" t="s">
        <v>69</v>
      </c>
      <c r="B26" s="3">
        <v>2314736549.2487898</v>
      </c>
      <c r="C26" s="3">
        <v>2281123150.7440901</v>
      </c>
      <c r="D26" s="3">
        <v>2313654764.43961</v>
      </c>
      <c r="E26" s="3">
        <v>1558489537.16799</v>
      </c>
      <c r="F26" s="3">
        <v>1546565315.5455699</v>
      </c>
      <c r="G26" s="3">
        <v>1552886671.3623099</v>
      </c>
      <c r="H26" s="3">
        <v>2280278499.1943102</v>
      </c>
      <c r="I26" s="3">
        <v>1552464869.32584</v>
      </c>
      <c r="J26" s="3">
        <v>358593463.57974303</v>
      </c>
      <c r="K26" s="3">
        <v>359443995.13158298</v>
      </c>
      <c r="L26" s="3">
        <v>330184107.53514099</v>
      </c>
      <c r="M26" s="3">
        <v>330791618.59320599</v>
      </c>
      <c r="N26" s="3">
        <v>330795394.83175099</v>
      </c>
      <c r="O26" s="3">
        <v>330894906.50536197</v>
      </c>
      <c r="P26" s="3">
        <v>330818140.491925</v>
      </c>
      <c r="Q26" s="3">
        <v>370935323.57837898</v>
      </c>
      <c r="R26" s="3">
        <v>331270901.09938103</v>
      </c>
      <c r="S26" s="3">
        <v>331270901.09938103</v>
      </c>
      <c r="T26" s="3">
        <v>502522863.426009</v>
      </c>
      <c r="U26" s="3">
        <v>331373976.621975</v>
      </c>
      <c r="V26" s="3">
        <v>404450931.45313901</v>
      </c>
      <c r="W26" s="3">
        <v>344280244.53454697</v>
      </c>
      <c r="X26" s="3">
        <v>320055008.37155902</v>
      </c>
      <c r="Y26" s="3">
        <v>344343230.45489401</v>
      </c>
      <c r="Z26" s="3">
        <v>162304542.981278</v>
      </c>
      <c r="AA26" s="3">
        <v>331373976.621975</v>
      </c>
      <c r="AB26" s="3">
        <v>314094436.03966099</v>
      </c>
      <c r="AC26" s="3">
        <v>294404965.476376</v>
      </c>
      <c r="AD26" s="3">
        <v>502640836.17179698</v>
      </c>
      <c r="AE26" s="3">
        <v>332518319.14445502</v>
      </c>
      <c r="AF26" s="3">
        <v>362832966.49123698</v>
      </c>
      <c r="AG26" s="3">
        <v>348605505.75335002</v>
      </c>
      <c r="AH26" s="3">
        <v>363484144.10867101</v>
      </c>
      <c r="AI26" s="3">
        <v>362229658.04327297</v>
      </c>
      <c r="AJ26" s="3">
        <v>536021286.85959601</v>
      </c>
      <c r="AK26" s="3">
        <v>460586779.718243</v>
      </c>
      <c r="AL26" s="3">
        <v>355012188.52074897</v>
      </c>
      <c r="AM26" s="3">
        <v>350361321.09619802</v>
      </c>
      <c r="AN26" s="3">
        <v>379594776.64917201</v>
      </c>
      <c r="AO26" s="3">
        <v>329099395.46098399</v>
      </c>
      <c r="AP26" s="3">
        <v>341869994.67594999</v>
      </c>
      <c r="AQ26" s="3">
        <v>331470220.01673001</v>
      </c>
      <c r="AR26" s="3">
        <v>321368757.37180197</v>
      </c>
      <c r="AS26" s="3">
        <v>341287804.88261598</v>
      </c>
      <c r="AT26" s="3">
        <v>326897074.889341</v>
      </c>
      <c r="AU26" s="3">
        <v>326054995.69194901</v>
      </c>
      <c r="AV26" s="3">
        <v>339864580.35255897</v>
      </c>
      <c r="AW26" s="3">
        <v>317483522.54990101</v>
      </c>
      <c r="AX26" s="3">
        <v>330594342.69532299</v>
      </c>
      <c r="AY26" s="3">
        <v>325265666.21797502</v>
      </c>
      <c r="AZ26" s="3">
        <v>317494578.07677799</v>
      </c>
      <c r="BA26" s="3">
        <v>317835911.64261001</v>
      </c>
      <c r="BB26" s="3">
        <v>330596991.93365598</v>
      </c>
      <c r="BC26" s="3">
        <v>326897758.52137703</v>
      </c>
      <c r="BD26" s="3">
        <v>331342301.005171</v>
      </c>
      <c r="BE26" s="3">
        <v>326897758.52137703</v>
      </c>
      <c r="BF26" s="3">
        <v>331342301.005171</v>
      </c>
      <c r="BG26" s="3">
        <v>330588196.53068</v>
      </c>
      <c r="BH26" s="3">
        <v>317857494.28109699</v>
      </c>
      <c r="BI26" s="3">
        <v>156332897.10822099</v>
      </c>
      <c r="BJ26" s="3">
        <v>234060243.661291</v>
      </c>
      <c r="BK26" s="3">
        <v>324129883.19314897</v>
      </c>
      <c r="BL26" s="3">
        <v>203091040.53803399</v>
      </c>
      <c r="BM26" s="3">
        <v>259924674.949826</v>
      </c>
      <c r="BN26" s="3">
        <v>329263368.95488399</v>
      </c>
      <c r="BP26" t="s">
        <v>126</v>
      </c>
    </row>
    <row r="27" spans="1:69" x14ac:dyDescent="0.25">
      <c r="A27" t="s">
        <v>71</v>
      </c>
      <c r="B27" s="3">
        <v>16882345.0438595</v>
      </c>
      <c r="C27" s="3">
        <v>41060829.7149124</v>
      </c>
      <c r="D27" s="3">
        <v>15874476.1923769</v>
      </c>
      <c r="E27" s="3">
        <v>2344171.40350876</v>
      </c>
      <c r="F27" s="3">
        <v>2520216.1403508801</v>
      </c>
      <c r="G27" s="3">
        <v>4910932.8070173999</v>
      </c>
      <c r="H27" s="3">
        <v>52885090.855262503</v>
      </c>
      <c r="I27" s="3">
        <v>4910932.8070171699</v>
      </c>
      <c r="J27" s="3">
        <v>8056899.64912281</v>
      </c>
      <c r="K27" s="3">
        <v>4.1389114358025803E-8</v>
      </c>
      <c r="L27" s="3">
        <v>3.7125857943465202E-8</v>
      </c>
      <c r="M27" s="3">
        <v>3.14415160573844E-8</v>
      </c>
      <c r="N27" s="3">
        <v>6.28830321147688E-8</v>
      </c>
      <c r="O27" s="3">
        <v>1.5720758028692201E-7</v>
      </c>
      <c r="P27" s="3">
        <v>3.1441516057384401E-7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3.14415160573844E-8</v>
      </c>
      <c r="W27" s="3">
        <v>3.14415160573844E-8</v>
      </c>
      <c r="X27" s="3">
        <v>3.1157298963080301E-8</v>
      </c>
      <c r="Y27" s="3">
        <v>1.9575452370190701E-8</v>
      </c>
      <c r="Z27" s="3">
        <v>16985244411.447201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3">
        <v>0</v>
      </c>
      <c r="AN27" s="3">
        <v>0</v>
      </c>
      <c r="AO27" s="3">
        <v>0</v>
      </c>
      <c r="AP27" s="3">
        <v>0</v>
      </c>
      <c r="AQ27" s="3">
        <v>0</v>
      </c>
      <c r="AR27" s="3">
        <v>0</v>
      </c>
      <c r="AS27" s="3">
        <v>0</v>
      </c>
      <c r="AT27" s="3">
        <v>0</v>
      </c>
      <c r="AU27" s="3">
        <v>0</v>
      </c>
      <c r="AV27" s="3">
        <v>0</v>
      </c>
      <c r="AW27" s="3">
        <v>0</v>
      </c>
      <c r="AX27" s="3">
        <v>0</v>
      </c>
      <c r="AY27" s="3">
        <v>0</v>
      </c>
      <c r="AZ27" s="3">
        <v>0</v>
      </c>
      <c r="BA27" s="3">
        <v>0</v>
      </c>
      <c r="BB27" s="3">
        <v>0</v>
      </c>
      <c r="BC27" s="3">
        <v>0</v>
      </c>
      <c r="BD27" s="3">
        <v>0</v>
      </c>
      <c r="BE27" s="3">
        <v>0</v>
      </c>
      <c r="BF27" s="3">
        <v>0</v>
      </c>
      <c r="BG27" s="3">
        <v>0</v>
      </c>
      <c r="BH27" s="3">
        <v>0</v>
      </c>
      <c r="BI27" s="3">
        <v>0</v>
      </c>
      <c r="BJ27" s="3">
        <v>0</v>
      </c>
      <c r="BK27" s="3">
        <v>0</v>
      </c>
      <c r="BL27" s="3">
        <v>0</v>
      </c>
      <c r="BM27" s="3">
        <v>0</v>
      </c>
      <c r="BN27" s="3">
        <v>0</v>
      </c>
      <c r="BP27" s="15">
        <f>BP24/8</f>
        <v>6.2188326751602734</v>
      </c>
    </row>
    <row r="28" spans="1:69" x14ac:dyDescent="0.25">
      <c r="A28" t="s">
        <v>70</v>
      </c>
      <c r="B28" s="3">
        <v>53005356.477268197</v>
      </c>
      <c r="C28" s="3">
        <v>143139719.29824501</v>
      </c>
      <c r="D28" s="3">
        <v>62065398.029189803</v>
      </c>
      <c r="E28" s="3">
        <v>50075728.700554296</v>
      </c>
      <c r="F28" s="3">
        <v>66086422.465755902</v>
      </c>
      <c r="G28" s="3">
        <v>292109571.36183399</v>
      </c>
      <c r="H28" s="3">
        <v>150615745.52630201</v>
      </c>
      <c r="I28" s="3">
        <v>296474483.20394403</v>
      </c>
      <c r="J28" s="3">
        <v>546027524.90788198</v>
      </c>
      <c r="K28" s="3">
        <v>449542641.58762902</v>
      </c>
      <c r="L28" s="3">
        <v>67318308.771929905</v>
      </c>
      <c r="M28" s="3">
        <v>46014033.429824598</v>
      </c>
      <c r="N28" s="3">
        <v>92028066.859649196</v>
      </c>
      <c r="O28" s="3">
        <v>139576972.017544</v>
      </c>
      <c r="P28" s="3">
        <v>332914698.42105299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261717013.51757899</v>
      </c>
      <c r="W28" s="3">
        <v>221174537.903456</v>
      </c>
      <c r="X28" s="3">
        <v>50141214.087810501</v>
      </c>
      <c r="Y28" s="3">
        <v>78993762.5350862</v>
      </c>
      <c r="Z28" s="3">
        <v>46062139636.980499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3">
        <v>0</v>
      </c>
      <c r="AN28" s="3">
        <v>0</v>
      </c>
      <c r="AO28" s="3">
        <v>0</v>
      </c>
      <c r="AP28" s="3">
        <v>0</v>
      </c>
      <c r="AQ28" s="3">
        <v>0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3">
        <v>0</v>
      </c>
      <c r="AX28" s="3">
        <v>0</v>
      </c>
      <c r="AY28" s="3">
        <v>0</v>
      </c>
      <c r="AZ28" s="3">
        <v>0</v>
      </c>
      <c r="BA28" s="3">
        <v>0</v>
      </c>
      <c r="BB28" s="3">
        <v>0</v>
      </c>
      <c r="BC28" s="3">
        <v>0</v>
      </c>
      <c r="BD28" s="3">
        <v>0</v>
      </c>
      <c r="BE28" s="3">
        <v>0</v>
      </c>
      <c r="BF28" s="3">
        <v>0</v>
      </c>
      <c r="BG28" s="3">
        <v>0</v>
      </c>
      <c r="BH28" s="3">
        <v>0</v>
      </c>
      <c r="BI28" s="3">
        <v>0</v>
      </c>
      <c r="BJ28" s="3">
        <v>0</v>
      </c>
      <c r="BK28" s="3">
        <v>0</v>
      </c>
      <c r="BL28" s="3">
        <v>0</v>
      </c>
      <c r="BM28" s="3">
        <v>0</v>
      </c>
      <c r="BN28" s="3">
        <v>0</v>
      </c>
    </row>
    <row r="29" spans="1:69" x14ac:dyDescent="0.25">
      <c r="A29" t="s">
        <v>72</v>
      </c>
      <c r="B29" s="3">
        <v>375804542.65472698</v>
      </c>
      <c r="C29" s="3">
        <v>465613367.24283397</v>
      </c>
      <c r="D29" s="3">
        <v>374722884.53010398</v>
      </c>
      <c r="E29" s="3">
        <v>235505312.222462</v>
      </c>
      <c r="F29" s="3">
        <v>233850933.002204</v>
      </c>
      <c r="G29" s="3">
        <v>241231766.574619</v>
      </c>
      <c r="H29" s="3">
        <v>455453360.36141002</v>
      </c>
      <c r="I29" s="3">
        <v>240463453.04391801</v>
      </c>
      <c r="J29" s="3">
        <v>169749997.06638101</v>
      </c>
      <c r="K29" s="3">
        <v>207472218.63668799</v>
      </c>
      <c r="L29" s="3">
        <v>276629624.84891802</v>
      </c>
      <c r="M29" s="3">
        <v>339499994.13276303</v>
      </c>
      <c r="N29" s="3">
        <v>308064809.49084097</v>
      </c>
      <c r="O29" s="3">
        <v>320638883.34761</v>
      </c>
      <c r="P29" s="3">
        <v>364648141.84630102</v>
      </c>
      <c r="Q29" s="3">
        <v>383216946.11499298</v>
      </c>
      <c r="R29" s="3">
        <v>354416689.46027398</v>
      </c>
      <c r="S29" s="3">
        <v>354416689.46027398</v>
      </c>
      <c r="T29" s="3">
        <v>348956881.34175003</v>
      </c>
      <c r="U29" s="3">
        <v>356272690.69953698</v>
      </c>
      <c r="V29" s="3">
        <v>238986596.544714</v>
      </c>
      <c r="W29" s="3">
        <v>207472218.63668799</v>
      </c>
      <c r="X29" s="3">
        <v>258981767.64016399</v>
      </c>
      <c r="Y29" s="3">
        <v>280826702.19711101</v>
      </c>
      <c r="Z29" s="3">
        <v>1920492.86937599</v>
      </c>
      <c r="AA29" s="3">
        <v>356272690.69953698</v>
      </c>
      <c r="AB29" s="3">
        <v>356114805.157166</v>
      </c>
      <c r="AC29" s="3">
        <v>344682919.91881299</v>
      </c>
      <c r="AD29" s="3">
        <v>327254592.40371102</v>
      </c>
      <c r="AE29" s="3">
        <v>365321565.92585099</v>
      </c>
      <c r="AF29" s="3">
        <v>334774858.02310598</v>
      </c>
      <c r="AG29" s="3">
        <v>351398374.78187197</v>
      </c>
      <c r="AH29" s="3">
        <v>306605149.73399103</v>
      </c>
      <c r="AI29" s="3">
        <v>342803520.57327098</v>
      </c>
      <c r="AJ29" s="3">
        <v>307544149.06881702</v>
      </c>
      <c r="AK29" s="3">
        <v>349626177.43916398</v>
      </c>
      <c r="AL29" s="3">
        <v>312537945.10486901</v>
      </c>
      <c r="AM29" s="3">
        <v>325381984.30439699</v>
      </c>
      <c r="AN29" s="3">
        <v>327316252.01008898</v>
      </c>
      <c r="AO29" s="3">
        <v>345787031.06114799</v>
      </c>
      <c r="AP29" s="3">
        <v>345152533.742212</v>
      </c>
      <c r="AQ29" s="3">
        <v>389796289.55983901</v>
      </c>
      <c r="AR29" s="3">
        <v>356609944.94310701</v>
      </c>
      <c r="AS29" s="3">
        <v>383509252.631455</v>
      </c>
      <c r="AT29" s="3">
        <v>377222215.70306998</v>
      </c>
      <c r="AU29" s="3">
        <v>327755946.08269399</v>
      </c>
      <c r="AV29" s="3">
        <v>328221982.155626</v>
      </c>
      <c r="AW29" s="3">
        <v>328144578.93234497</v>
      </c>
      <c r="AX29" s="3">
        <v>331875425.37673599</v>
      </c>
      <c r="AY29" s="3">
        <v>329595563.79689097</v>
      </c>
      <c r="AZ29" s="3">
        <v>323185599.387169</v>
      </c>
      <c r="BA29" s="3">
        <v>326256266.27174997</v>
      </c>
      <c r="BB29" s="3">
        <v>326256266.271761</v>
      </c>
      <c r="BC29" s="3">
        <v>364648141.84630102</v>
      </c>
      <c r="BD29" s="3">
        <v>364648141.84630102</v>
      </c>
      <c r="BE29" s="3">
        <v>364648141.84630102</v>
      </c>
      <c r="BF29" s="3">
        <v>364648141.84630102</v>
      </c>
      <c r="BG29" s="3">
        <v>326124427.62388098</v>
      </c>
      <c r="BH29" s="3">
        <v>326124427.623869</v>
      </c>
      <c r="BI29" s="3">
        <v>277253624.84891802</v>
      </c>
      <c r="BJ29" s="3">
        <v>277253624.84891802</v>
      </c>
      <c r="BK29" s="3">
        <v>276974005.47001302</v>
      </c>
      <c r="BL29" s="3">
        <v>277071236.67118299</v>
      </c>
      <c r="BM29" s="3">
        <v>276879449.84059697</v>
      </c>
      <c r="BN29" s="3">
        <v>276660438.404908</v>
      </c>
      <c r="BP29" t="s">
        <v>128</v>
      </c>
    </row>
    <row r="30" spans="1:69" x14ac:dyDescent="0.25">
      <c r="A30" s="2" t="s">
        <v>73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P30" s="15">
        <f>BP27*20</f>
        <v>124.37665350320546</v>
      </c>
    </row>
    <row r="31" spans="1:69" x14ac:dyDescent="0.25">
      <c r="A31" t="s">
        <v>2</v>
      </c>
      <c r="B31" s="3">
        <v>53.3439298245614</v>
      </c>
      <c r="C31" s="3">
        <v>84.317824561403498</v>
      </c>
      <c r="D31" s="3">
        <v>53.3439298245614</v>
      </c>
      <c r="E31" s="3">
        <v>53.3439298245614</v>
      </c>
      <c r="F31" s="3">
        <v>54.917894736842101</v>
      </c>
      <c r="G31" s="3">
        <v>84.317824561403498</v>
      </c>
      <c r="H31" s="3">
        <v>84.317824561403498</v>
      </c>
      <c r="I31" s="3">
        <v>84.317824561403498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58.083999999991399</v>
      </c>
      <c r="R31" s="3">
        <v>19.954999999999899</v>
      </c>
      <c r="S31" s="3">
        <v>19.954999999999899</v>
      </c>
      <c r="T31" s="3">
        <v>59.317999999996601</v>
      </c>
      <c r="U31" s="3">
        <v>18.084</v>
      </c>
      <c r="V31" s="3">
        <v>30</v>
      </c>
      <c r="W31" s="3">
        <v>0</v>
      </c>
      <c r="X31" s="3">
        <v>0</v>
      </c>
      <c r="Y31" s="3">
        <v>8</v>
      </c>
      <c r="Z31" s="3">
        <v>0</v>
      </c>
      <c r="AA31" s="3">
        <v>18.084</v>
      </c>
      <c r="AB31" s="3">
        <v>0</v>
      </c>
      <c r="AC31" s="3">
        <v>0</v>
      </c>
      <c r="AD31" s="3">
        <v>58.083999999980797</v>
      </c>
      <c r="AE31" s="3">
        <v>0</v>
      </c>
      <c r="AF31" s="3">
        <v>0</v>
      </c>
      <c r="AG31" s="3">
        <v>14.6424561403508</v>
      </c>
      <c r="AH31" s="3">
        <v>4.0982456140350996</v>
      </c>
      <c r="AI31" s="3">
        <v>2.8052631578947498</v>
      </c>
      <c r="AJ31" s="3">
        <v>15.006105263157799</v>
      </c>
      <c r="AK31" s="3">
        <v>3.5230751438585299</v>
      </c>
      <c r="AL31" s="3">
        <v>14.642456140350401</v>
      </c>
      <c r="AM31" s="3">
        <v>14.6424561403508</v>
      </c>
      <c r="AN31" s="3">
        <v>16.3632280701752</v>
      </c>
      <c r="AO31" s="3">
        <v>0</v>
      </c>
      <c r="AP31" s="3">
        <v>20.552210526021199</v>
      </c>
      <c r="AQ31" s="3">
        <v>0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>
        <v>0</v>
      </c>
      <c r="AY31" s="3">
        <v>0</v>
      </c>
      <c r="AZ31" s="3">
        <v>0</v>
      </c>
      <c r="BA31" s="3">
        <v>0</v>
      </c>
      <c r="BB31" s="3">
        <v>0</v>
      </c>
      <c r="BC31" s="3">
        <v>0</v>
      </c>
      <c r="BD31" s="3">
        <v>0</v>
      </c>
      <c r="BE31" s="3">
        <v>0</v>
      </c>
      <c r="BF31" s="3">
        <v>0</v>
      </c>
      <c r="BG31" s="3">
        <v>0</v>
      </c>
      <c r="BH31" s="3">
        <v>0</v>
      </c>
      <c r="BI31" s="3">
        <v>0</v>
      </c>
      <c r="BJ31" s="3">
        <v>0</v>
      </c>
      <c r="BK31" s="3">
        <v>0</v>
      </c>
      <c r="BL31" s="3">
        <v>0</v>
      </c>
      <c r="BM31" s="3">
        <v>0</v>
      </c>
      <c r="BN31" s="3">
        <v>0</v>
      </c>
    </row>
    <row r="32" spans="1:69" x14ac:dyDescent="0.25">
      <c r="A32" t="s">
        <v>0</v>
      </c>
      <c r="B32" s="10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80</v>
      </c>
      <c r="K32" s="3">
        <v>120</v>
      </c>
      <c r="L32" s="3">
        <v>120</v>
      </c>
      <c r="M32" s="3">
        <v>120</v>
      </c>
      <c r="N32" s="3">
        <v>120</v>
      </c>
      <c r="O32" s="3">
        <v>160</v>
      </c>
      <c r="P32" s="3">
        <v>160</v>
      </c>
      <c r="Q32" s="3">
        <v>80</v>
      </c>
      <c r="R32" s="3">
        <v>120</v>
      </c>
      <c r="S32" s="3">
        <v>120</v>
      </c>
      <c r="T32" s="3">
        <v>80</v>
      </c>
      <c r="U32" s="3">
        <v>120</v>
      </c>
      <c r="V32" s="3">
        <v>80</v>
      </c>
      <c r="W32" s="3">
        <v>120</v>
      </c>
      <c r="X32" s="3">
        <v>120</v>
      </c>
      <c r="Y32" s="3">
        <v>120</v>
      </c>
      <c r="Z32" s="3">
        <v>0</v>
      </c>
      <c r="AA32" s="3">
        <v>120</v>
      </c>
      <c r="AB32" s="3">
        <v>120</v>
      </c>
      <c r="AC32" s="3">
        <v>120</v>
      </c>
      <c r="AD32" s="3">
        <v>80</v>
      </c>
      <c r="AE32" s="3">
        <v>160</v>
      </c>
      <c r="AF32" s="3">
        <v>160</v>
      </c>
      <c r="AG32" s="3">
        <v>120</v>
      </c>
      <c r="AH32" s="3">
        <v>120</v>
      </c>
      <c r="AI32" s="3">
        <v>120</v>
      </c>
      <c r="AJ32" s="3">
        <v>120</v>
      </c>
      <c r="AK32" s="3">
        <v>160</v>
      </c>
      <c r="AL32" s="3">
        <v>120</v>
      </c>
      <c r="AM32" s="3">
        <v>120</v>
      </c>
      <c r="AN32" s="3">
        <v>120</v>
      </c>
      <c r="AO32" s="3">
        <v>160</v>
      </c>
      <c r="AP32" s="3">
        <v>120</v>
      </c>
      <c r="AQ32" s="13">
        <v>160</v>
      </c>
      <c r="AR32" s="5">
        <v>120.000000000014</v>
      </c>
      <c r="AS32" s="5">
        <v>160</v>
      </c>
      <c r="AT32" s="5">
        <v>160</v>
      </c>
      <c r="AU32" s="5">
        <v>120</v>
      </c>
      <c r="AV32" s="5">
        <v>120</v>
      </c>
      <c r="AW32" s="5">
        <v>120</v>
      </c>
      <c r="AX32" s="5">
        <v>120</v>
      </c>
      <c r="AY32" s="5">
        <v>160</v>
      </c>
      <c r="AZ32" s="5">
        <v>120</v>
      </c>
      <c r="BA32" s="5">
        <v>120</v>
      </c>
      <c r="BB32" s="5">
        <v>120</v>
      </c>
      <c r="BC32" s="3">
        <v>160</v>
      </c>
      <c r="BD32" s="3">
        <v>160</v>
      </c>
      <c r="BE32" s="3">
        <v>160</v>
      </c>
      <c r="BF32" s="3">
        <v>160</v>
      </c>
      <c r="BG32" s="5">
        <v>120</v>
      </c>
      <c r="BH32" s="3">
        <v>120</v>
      </c>
      <c r="BI32" s="3">
        <v>120</v>
      </c>
      <c r="BJ32" s="3">
        <v>120</v>
      </c>
      <c r="BK32" s="3">
        <v>120</v>
      </c>
      <c r="BL32" s="3">
        <v>120</v>
      </c>
      <c r="BM32" s="3">
        <v>120</v>
      </c>
      <c r="BN32" s="3">
        <v>120</v>
      </c>
      <c r="BP32" t="s">
        <v>129</v>
      </c>
    </row>
    <row r="33" spans="1:68" x14ac:dyDescent="0.25">
      <c r="A33" t="s">
        <v>1</v>
      </c>
      <c r="B33" s="3">
        <v>32.769017543859597</v>
      </c>
      <c r="C33" s="3">
        <v>0</v>
      </c>
      <c r="D33" s="3">
        <v>32.694666666666599</v>
      </c>
      <c r="E33" s="3">
        <v>34.4154385964912</v>
      </c>
      <c r="F33" s="3">
        <v>33.104912280701697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7.7593684210526401</v>
      </c>
      <c r="Y33" s="3">
        <v>0</v>
      </c>
      <c r="Z33" s="3">
        <v>2</v>
      </c>
      <c r="AA33" s="3">
        <v>0</v>
      </c>
      <c r="AB33" s="3">
        <v>18.083999999993299</v>
      </c>
      <c r="AC33" s="3">
        <v>19.87</v>
      </c>
      <c r="AD33" s="3">
        <v>0</v>
      </c>
      <c r="AE33" s="3">
        <v>17.317999999999898</v>
      </c>
      <c r="AF33" s="3">
        <v>0</v>
      </c>
      <c r="AG33" s="3">
        <v>0</v>
      </c>
      <c r="AH33" s="3">
        <v>10.5442105263157</v>
      </c>
      <c r="AI33" s="3">
        <v>11.8371929824561</v>
      </c>
      <c r="AJ33" s="3">
        <v>0</v>
      </c>
      <c r="AK33" s="3">
        <v>0</v>
      </c>
      <c r="AL33" s="3">
        <v>0</v>
      </c>
      <c r="AM33" s="3">
        <v>0</v>
      </c>
      <c r="AN33" s="3">
        <v>0</v>
      </c>
      <c r="AO33" s="3">
        <v>0</v>
      </c>
      <c r="AP33" s="3">
        <v>0</v>
      </c>
      <c r="AQ33" s="3">
        <v>0</v>
      </c>
      <c r="AR33" s="5">
        <v>18.0839999999857</v>
      </c>
      <c r="AS33" s="3">
        <v>0</v>
      </c>
      <c r="AT33" s="3">
        <v>0</v>
      </c>
      <c r="AU33" s="5">
        <v>18.083999999990301</v>
      </c>
      <c r="AV33" s="5">
        <v>18.9284912280689</v>
      </c>
      <c r="AW33" s="5">
        <v>19.103999999993601</v>
      </c>
      <c r="AX33" s="5">
        <v>18.928491228068498</v>
      </c>
      <c r="AY33" s="5">
        <v>17.87</v>
      </c>
      <c r="AZ33" s="5">
        <v>19.103999999999001</v>
      </c>
      <c r="BA33" s="5">
        <v>19.317999999990899</v>
      </c>
      <c r="BB33" s="5">
        <v>19.317999999999302</v>
      </c>
      <c r="BC33" s="3">
        <v>0</v>
      </c>
      <c r="BD33" s="3">
        <v>0</v>
      </c>
      <c r="BE33" s="3">
        <v>0</v>
      </c>
      <c r="BF33" s="3">
        <v>0</v>
      </c>
      <c r="BG33" s="5">
        <v>19.317999999999699</v>
      </c>
      <c r="BH33" s="3">
        <v>19.317999999999401</v>
      </c>
      <c r="BI33" s="3">
        <v>480</v>
      </c>
      <c r="BJ33" s="3">
        <v>480</v>
      </c>
      <c r="BK33" s="3">
        <v>200.380621095148</v>
      </c>
      <c r="BL33" s="3">
        <v>297.61182226493798</v>
      </c>
      <c r="BM33" s="3">
        <v>141.45337170994901</v>
      </c>
      <c r="BN33" s="3">
        <v>20.423198173646899</v>
      </c>
      <c r="BP33" s="14">
        <f>BG41</f>
        <v>49494802.774962798</v>
      </c>
    </row>
    <row r="34" spans="1:68" x14ac:dyDescent="0.25">
      <c r="A34" s="2" t="s">
        <v>15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5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</row>
    <row r="35" spans="1:68" x14ac:dyDescent="0.25">
      <c r="A35" t="s">
        <v>2</v>
      </c>
      <c r="B35" s="3">
        <v>73.744847937405396</v>
      </c>
      <c r="C35" s="3">
        <v>128.32412368421001</v>
      </c>
      <c r="D35" s="3">
        <v>74.336303590696502</v>
      </c>
      <c r="E35" s="3">
        <v>53.3439298245614</v>
      </c>
      <c r="F35" s="3">
        <v>54.917894736842101</v>
      </c>
      <c r="G35" s="3">
        <v>84.317824561403498</v>
      </c>
      <c r="H35" s="3">
        <v>129.55468508771901</v>
      </c>
      <c r="I35" s="3">
        <v>84.317824561403498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58.083999999991399</v>
      </c>
      <c r="R35" s="3">
        <v>21.954999999999899</v>
      </c>
      <c r="S35" s="3">
        <v>21.954999999999899</v>
      </c>
      <c r="T35" s="5">
        <v>80.513649999996602</v>
      </c>
      <c r="U35" s="5">
        <v>25.149650000000001</v>
      </c>
      <c r="V35" s="5">
        <v>37.852141228067602</v>
      </c>
      <c r="W35" s="5">
        <v>0</v>
      </c>
      <c r="X35" s="5">
        <v>0</v>
      </c>
      <c r="Y35" s="5">
        <v>10</v>
      </c>
      <c r="Z35" s="5">
        <v>0</v>
      </c>
      <c r="AA35" s="5">
        <v>25.149650000000001</v>
      </c>
      <c r="AB35" s="5">
        <v>9.0656499999999802</v>
      </c>
      <c r="AC35" s="5">
        <v>0</v>
      </c>
      <c r="AD35" s="5">
        <v>82.3446499999785</v>
      </c>
      <c r="AE35" s="5">
        <v>13.2806499999999</v>
      </c>
      <c r="AF35" s="3">
        <v>14.2146149122807</v>
      </c>
      <c r="AG35" s="3">
        <v>20.642456140350799</v>
      </c>
      <c r="AH35" s="5">
        <v>17.692860526315702</v>
      </c>
      <c r="AI35" s="5">
        <v>15.6928605263157</v>
      </c>
      <c r="AJ35" s="5">
        <v>33.963702631578897</v>
      </c>
      <c r="AK35" s="5">
        <v>23.737690056139201</v>
      </c>
      <c r="AL35" s="5">
        <v>14.642456140350401</v>
      </c>
      <c r="AM35" s="5">
        <v>31.2654421403508</v>
      </c>
      <c r="AN35" s="5">
        <v>16.3632280701752</v>
      </c>
      <c r="AO35" s="5">
        <v>0</v>
      </c>
      <c r="AP35" s="5">
        <v>20.552210526021899</v>
      </c>
      <c r="AQ35" s="3">
        <v>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>
        <v>0</v>
      </c>
      <c r="AZ35" s="3">
        <v>0</v>
      </c>
      <c r="BA35" s="3">
        <v>0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0</v>
      </c>
      <c r="BI35" s="3">
        <v>0</v>
      </c>
      <c r="BJ35" s="3">
        <v>0</v>
      </c>
      <c r="BK35" s="3">
        <v>0</v>
      </c>
      <c r="BL35" s="3">
        <v>0</v>
      </c>
      <c r="BM35" s="3">
        <v>0</v>
      </c>
      <c r="BN35" s="3">
        <v>0</v>
      </c>
      <c r="BP35" t="s">
        <v>130</v>
      </c>
    </row>
    <row r="36" spans="1:68" x14ac:dyDescent="0.25">
      <c r="A36" t="s">
        <v>0</v>
      </c>
      <c r="B36" s="10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80</v>
      </c>
      <c r="K36" s="3">
        <v>120</v>
      </c>
      <c r="L36" s="3">
        <v>120</v>
      </c>
      <c r="M36" s="3">
        <v>120</v>
      </c>
      <c r="N36" s="3">
        <v>120</v>
      </c>
      <c r="O36" s="3">
        <v>160</v>
      </c>
      <c r="P36" s="3">
        <v>160</v>
      </c>
      <c r="Q36" s="3">
        <v>80</v>
      </c>
      <c r="R36" s="3">
        <v>120</v>
      </c>
      <c r="S36" s="3">
        <v>120</v>
      </c>
      <c r="T36" s="5">
        <v>80</v>
      </c>
      <c r="U36" s="5">
        <v>120</v>
      </c>
      <c r="V36" s="5">
        <v>80</v>
      </c>
      <c r="W36" s="5">
        <v>120</v>
      </c>
      <c r="X36" s="5">
        <v>120</v>
      </c>
      <c r="Y36" s="5">
        <v>120</v>
      </c>
      <c r="Z36" s="5">
        <v>0</v>
      </c>
      <c r="AA36" s="5">
        <v>120</v>
      </c>
      <c r="AB36" s="5">
        <v>120</v>
      </c>
      <c r="AC36" s="5">
        <v>120</v>
      </c>
      <c r="AD36" s="5">
        <v>80</v>
      </c>
      <c r="AE36" s="5">
        <v>160</v>
      </c>
      <c r="AF36" s="3">
        <v>160</v>
      </c>
      <c r="AG36" s="3">
        <v>120</v>
      </c>
      <c r="AH36" s="5">
        <v>120</v>
      </c>
      <c r="AI36" s="5">
        <v>120</v>
      </c>
      <c r="AJ36" s="5">
        <v>120</v>
      </c>
      <c r="AK36" s="5">
        <v>160</v>
      </c>
      <c r="AL36" s="5">
        <v>120</v>
      </c>
      <c r="AM36" s="5">
        <v>120</v>
      </c>
      <c r="AN36" s="5">
        <v>120</v>
      </c>
      <c r="AO36" s="5">
        <v>160</v>
      </c>
      <c r="AP36" s="5">
        <v>120</v>
      </c>
      <c r="AQ36" s="5">
        <v>160</v>
      </c>
      <c r="AR36" s="5">
        <v>120.000000000014</v>
      </c>
      <c r="AS36" s="5">
        <v>160</v>
      </c>
      <c r="AT36" s="5">
        <v>160</v>
      </c>
      <c r="AU36" s="5">
        <v>120</v>
      </c>
      <c r="AV36" s="5">
        <v>120</v>
      </c>
      <c r="AW36" s="5">
        <v>120</v>
      </c>
      <c r="AX36" s="5">
        <v>120</v>
      </c>
      <c r="AY36" s="5">
        <v>160</v>
      </c>
      <c r="AZ36" s="5">
        <v>120</v>
      </c>
      <c r="BA36" s="5">
        <v>120</v>
      </c>
      <c r="BB36" s="5">
        <v>120</v>
      </c>
      <c r="BC36" s="3">
        <v>160</v>
      </c>
      <c r="BD36" s="3">
        <v>160</v>
      </c>
      <c r="BE36" s="3">
        <v>160</v>
      </c>
      <c r="BF36" s="3">
        <v>160</v>
      </c>
      <c r="BG36" s="3">
        <v>120</v>
      </c>
      <c r="BH36" s="3">
        <v>120</v>
      </c>
      <c r="BI36" s="3">
        <v>120</v>
      </c>
      <c r="BJ36" s="3">
        <v>120</v>
      </c>
      <c r="BK36" s="3">
        <v>120</v>
      </c>
      <c r="BL36" s="3">
        <v>120</v>
      </c>
      <c r="BM36" s="3">
        <v>120</v>
      </c>
      <c r="BN36" s="3">
        <v>120</v>
      </c>
      <c r="BP36" s="14">
        <f>BP15+BP7</f>
        <v>52055760.029247537</v>
      </c>
    </row>
    <row r="37" spans="1:68" x14ac:dyDescent="0.25">
      <c r="A37" t="s">
        <v>1</v>
      </c>
      <c r="B37" s="3">
        <v>52.207959957331397</v>
      </c>
      <c r="C37" s="3">
        <v>0</v>
      </c>
      <c r="D37" s="3">
        <v>52.213951928716703</v>
      </c>
      <c r="E37" s="3">
        <v>34.4154385964912</v>
      </c>
      <c r="F37" s="3">
        <v>33.104912280701697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5">
        <v>0</v>
      </c>
      <c r="U37" s="5">
        <v>0</v>
      </c>
      <c r="V37" s="5">
        <v>0</v>
      </c>
      <c r="W37" s="5">
        <v>0</v>
      </c>
      <c r="X37" s="5">
        <v>7.7593684206214801</v>
      </c>
      <c r="Y37" s="5">
        <v>0</v>
      </c>
      <c r="Z37" s="5">
        <v>2</v>
      </c>
      <c r="AA37" s="5">
        <v>0</v>
      </c>
      <c r="AB37" s="5">
        <v>18.083999999993299</v>
      </c>
      <c r="AC37" s="5">
        <v>19.87</v>
      </c>
      <c r="AD37" s="5">
        <v>0</v>
      </c>
      <c r="AE37" s="5">
        <v>17.317999999999898</v>
      </c>
      <c r="AF37" s="3">
        <v>0</v>
      </c>
      <c r="AG37" s="3">
        <v>0</v>
      </c>
      <c r="AH37" s="5">
        <v>10.5442105263157</v>
      </c>
      <c r="AI37" s="5">
        <v>11.8371929824561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 s="5">
        <v>0</v>
      </c>
      <c r="AP37" s="3">
        <v>0</v>
      </c>
      <c r="AQ37" s="3">
        <v>0</v>
      </c>
      <c r="AR37" s="5">
        <v>18.0839999999857</v>
      </c>
      <c r="AS37" s="3">
        <v>0</v>
      </c>
      <c r="AT37" s="3">
        <v>0</v>
      </c>
      <c r="AU37" s="5">
        <v>18.083999999987899</v>
      </c>
      <c r="AV37" s="5">
        <v>18.928491228067099</v>
      </c>
      <c r="AW37" s="5">
        <v>19.103999999993601</v>
      </c>
      <c r="AX37" s="5">
        <v>18.928491228068498</v>
      </c>
      <c r="AY37" s="5">
        <v>17.87</v>
      </c>
      <c r="AZ37" s="5">
        <v>19.103999999999001</v>
      </c>
      <c r="BA37" s="5">
        <v>19.317999999995699</v>
      </c>
      <c r="BB37" s="5">
        <v>19.3179999999989</v>
      </c>
      <c r="BC37" s="3">
        <v>0</v>
      </c>
      <c r="BD37" s="3">
        <v>0</v>
      </c>
      <c r="BE37" s="3">
        <v>0</v>
      </c>
      <c r="BF37" s="3">
        <v>0</v>
      </c>
      <c r="BG37" s="3">
        <v>19.317999999999799</v>
      </c>
      <c r="BH37" s="3">
        <v>19.317999999999401</v>
      </c>
      <c r="BI37" s="3">
        <v>624</v>
      </c>
      <c r="BJ37" s="3">
        <v>624</v>
      </c>
      <c r="BK37" s="3">
        <v>344.380621095148</v>
      </c>
      <c r="BL37" s="3">
        <v>441.61182226493798</v>
      </c>
      <c r="BM37" s="3">
        <v>249.824991678424</v>
      </c>
      <c r="BN37" s="3">
        <v>30.8135559896226</v>
      </c>
    </row>
    <row r="38" spans="1:68" x14ac:dyDescent="0.25">
      <c r="A38" s="2" t="s">
        <v>74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P38" t="s">
        <v>131</v>
      </c>
    </row>
    <row r="39" spans="1:68" x14ac:dyDescent="0.25">
      <c r="A39" t="s">
        <v>2</v>
      </c>
      <c r="B39" s="3">
        <v>257202585.734635</v>
      </c>
      <c r="C39" s="3">
        <v>465613367.24283397</v>
      </c>
      <c r="D39" s="3">
        <v>256538397.61669999</v>
      </c>
      <c r="E39" s="3">
        <v>158079603.55687699</v>
      </c>
      <c r="F39" s="3">
        <v>158108334.629866</v>
      </c>
      <c r="G39" s="3">
        <v>241231766.574619</v>
      </c>
      <c r="H39" s="3">
        <v>455453360.36141002</v>
      </c>
      <c r="I39" s="3">
        <v>240463453.04391801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87726210.480921701</v>
      </c>
      <c r="R39" s="3">
        <v>52638916.897818103</v>
      </c>
      <c r="S39" s="3">
        <v>52638916.897818103</v>
      </c>
      <c r="T39" s="3">
        <v>235790216.63082799</v>
      </c>
      <c r="U39" s="3">
        <v>60781955.0654651</v>
      </c>
      <c r="V39" s="3">
        <v>56662525.621563897</v>
      </c>
      <c r="W39" s="13">
        <v>0</v>
      </c>
      <c r="X39" s="13">
        <v>0</v>
      </c>
      <c r="Y39" s="13">
        <v>16771151.204962101</v>
      </c>
      <c r="Z39" s="13">
        <v>0</v>
      </c>
      <c r="AA39" s="13">
        <v>60781955.0654651</v>
      </c>
      <c r="AB39" s="13">
        <v>37083265.102747403</v>
      </c>
      <c r="AC39" s="13">
        <v>0</v>
      </c>
      <c r="AD39" s="13">
        <v>214087927.69279</v>
      </c>
      <c r="AE39" s="13">
        <v>54324826.6463852</v>
      </c>
      <c r="AF39" s="3">
        <v>58145233.174187496</v>
      </c>
      <c r="AG39" s="3">
        <v>43333565.291031599</v>
      </c>
      <c r="AH39" s="3">
        <v>64601085.816029102</v>
      </c>
      <c r="AI39" s="3">
        <v>64192033.347615398</v>
      </c>
      <c r="AJ39" s="3">
        <v>125220078.145666</v>
      </c>
      <c r="AK39" s="3">
        <v>85570626.447014704</v>
      </c>
      <c r="AL39" s="3">
        <v>29621283.3275664</v>
      </c>
      <c r="AM39" s="3">
        <v>80187544.097401798</v>
      </c>
      <c r="AN39" s="3">
        <v>31825516.376017202</v>
      </c>
      <c r="AO39" s="3">
        <v>0</v>
      </c>
      <c r="AP39" s="3">
        <v>43374761.1797553</v>
      </c>
      <c r="AQ39" s="3">
        <v>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>
        <v>0</v>
      </c>
      <c r="AZ39" s="3">
        <v>0</v>
      </c>
      <c r="BA39" s="3">
        <v>0</v>
      </c>
      <c r="BB39" s="3">
        <v>0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>
        <v>0</v>
      </c>
      <c r="BI39" s="3">
        <v>0</v>
      </c>
      <c r="BJ39" s="3">
        <v>0</v>
      </c>
      <c r="BK39" s="3">
        <v>0</v>
      </c>
      <c r="BL39" s="3">
        <v>0</v>
      </c>
      <c r="BM39" s="3">
        <v>0</v>
      </c>
      <c r="BN39" s="3">
        <v>0</v>
      </c>
      <c r="BP39" s="16">
        <f>(BP18-BQ18)/BP33</f>
        <v>0.18161501306537883</v>
      </c>
    </row>
    <row r="40" spans="1:68" x14ac:dyDescent="0.25">
      <c r="A40" t="s">
        <v>0</v>
      </c>
      <c r="B40" s="10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169749997.06638101</v>
      </c>
      <c r="K40" s="3">
        <v>207472218.63668799</v>
      </c>
      <c r="L40" s="3">
        <v>276629624.84891802</v>
      </c>
      <c r="M40" s="3">
        <v>339499994.13276303</v>
      </c>
      <c r="N40" s="3">
        <v>308064809.49084097</v>
      </c>
      <c r="O40" s="3">
        <v>320638883.34761</v>
      </c>
      <c r="P40" s="3">
        <v>364648141.84630102</v>
      </c>
      <c r="Q40" s="3">
        <v>295490735.63407201</v>
      </c>
      <c r="R40" s="3">
        <v>301777772.56245601</v>
      </c>
      <c r="S40" s="3">
        <v>301777772.56245601</v>
      </c>
      <c r="T40" s="3">
        <v>113166664.710921</v>
      </c>
      <c r="U40" s="3">
        <v>295490735.63407201</v>
      </c>
      <c r="V40" s="3">
        <v>182324070.92315</v>
      </c>
      <c r="W40" s="13">
        <v>207472218.63668799</v>
      </c>
      <c r="X40" s="13">
        <v>251481477.13538</v>
      </c>
      <c r="Y40" s="13">
        <v>264055550.992149</v>
      </c>
      <c r="Z40" s="13">
        <v>0</v>
      </c>
      <c r="AA40" s="13">
        <v>295490735.63407201</v>
      </c>
      <c r="AB40" s="13">
        <v>289203698.70568699</v>
      </c>
      <c r="AC40" s="13">
        <v>282916661.77730298</v>
      </c>
      <c r="AD40" s="13">
        <v>113166664.710921</v>
      </c>
      <c r="AE40" s="13">
        <v>295490735.63407201</v>
      </c>
      <c r="AF40" s="3">
        <v>276629624.84891802</v>
      </c>
      <c r="AG40" s="3">
        <v>308064809.49084097</v>
      </c>
      <c r="AH40" s="3">
        <v>232620366.35022601</v>
      </c>
      <c r="AI40" s="3">
        <v>270342587.92053401</v>
      </c>
      <c r="AJ40" s="3">
        <v>182324070.92315</v>
      </c>
      <c r="AK40" s="3">
        <v>264055550.992149</v>
      </c>
      <c r="AL40" s="3">
        <v>282916661.77730298</v>
      </c>
      <c r="AM40" s="3">
        <v>245194440.20699599</v>
      </c>
      <c r="AN40" s="3">
        <v>295490735.63407201</v>
      </c>
      <c r="AO40" s="3">
        <v>345787031.06114799</v>
      </c>
      <c r="AP40" s="3">
        <v>301777772.56245601</v>
      </c>
      <c r="AQ40" s="3">
        <v>389796289.55983901</v>
      </c>
      <c r="AR40" s="3">
        <v>276629624.84891999</v>
      </c>
      <c r="AS40" s="3">
        <v>383509252.631455</v>
      </c>
      <c r="AT40" s="3">
        <v>377222215.70306998</v>
      </c>
      <c r="AU40" s="3">
        <v>276629624.84891802</v>
      </c>
      <c r="AV40" s="3">
        <v>276629624.84891802</v>
      </c>
      <c r="AW40" s="3">
        <v>276629624.84891802</v>
      </c>
      <c r="AX40" s="3">
        <v>276629624.84891802</v>
      </c>
      <c r="AY40" s="3">
        <v>282916661.77730298</v>
      </c>
      <c r="AZ40" s="3">
        <v>276629624.84891802</v>
      </c>
      <c r="BA40" s="13">
        <v>276629624.84891802</v>
      </c>
      <c r="BB40" s="3">
        <v>276629624.84891802</v>
      </c>
      <c r="BC40" s="3">
        <v>364648141.84630102</v>
      </c>
      <c r="BD40" s="3">
        <v>364648141.84630102</v>
      </c>
      <c r="BE40" s="3">
        <v>364648141.84630102</v>
      </c>
      <c r="BF40" s="3">
        <v>364648141.84630102</v>
      </c>
      <c r="BG40" s="3">
        <v>276629624.84891802</v>
      </c>
      <c r="BH40" s="3">
        <v>276629624.84891802</v>
      </c>
      <c r="BI40" s="3">
        <v>276629624.84891802</v>
      </c>
      <c r="BJ40" s="3">
        <v>276629624.84891802</v>
      </c>
      <c r="BK40" s="3">
        <v>276629624.84891802</v>
      </c>
      <c r="BL40" s="3">
        <v>276629624.84891802</v>
      </c>
      <c r="BM40" s="3">
        <v>276629624.84891802</v>
      </c>
      <c r="BN40" s="3">
        <v>276629624.84891802</v>
      </c>
    </row>
    <row r="41" spans="1:68" x14ac:dyDescent="0.25">
      <c r="A41" t="s">
        <v>1</v>
      </c>
      <c r="B41" s="3">
        <v>118601956.920092</v>
      </c>
      <c r="C41" s="3">
        <v>0</v>
      </c>
      <c r="D41" s="3">
        <v>118184486.913404</v>
      </c>
      <c r="E41" s="3">
        <v>77425708.665584803</v>
      </c>
      <c r="F41" s="13">
        <v>75742598.372338593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13">
        <v>0</v>
      </c>
      <c r="X41" s="13">
        <v>7500290.5047842097</v>
      </c>
      <c r="Y41" s="13">
        <v>0</v>
      </c>
      <c r="Z41" s="13">
        <v>1920492.86937599</v>
      </c>
      <c r="AA41" s="13">
        <v>0</v>
      </c>
      <c r="AB41" s="13">
        <v>29827841.348731399</v>
      </c>
      <c r="AC41" s="13">
        <v>61766258.141509898</v>
      </c>
      <c r="AD41" s="13">
        <v>0</v>
      </c>
      <c r="AE41" s="13">
        <v>15506003.6453945</v>
      </c>
      <c r="AF41" s="3">
        <v>0</v>
      </c>
      <c r="AG41" s="3">
        <v>0</v>
      </c>
      <c r="AH41" s="3">
        <v>9383697.5677356105</v>
      </c>
      <c r="AI41" s="3">
        <v>8268899.3051215401</v>
      </c>
      <c r="AJ41" s="3">
        <v>0</v>
      </c>
      <c r="AK41" s="3">
        <v>0</v>
      </c>
      <c r="AL41" s="3">
        <v>0</v>
      </c>
      <c r="AM41" s="3">
        <v>0</v>
      </c>
      <c r="AN41" s="3">
        <v>0</v>
      </c>
      <c r="AO41" s="3">
        <v>0</v>
      </c>
      <c r="AP41" s="3">
        <v>0</v>
      </c>
      <c r="AQ41" s="3">
        <v>0</v>
      </c>
      <c r="AR41" s="3">
        <v>79980320.094186097</v>
      </c>
      <c r="AS41" s="3">
        <v>0</v>
      </c>
      <c r="AT41" s="3">
        <v>0</v>
      </c>
      <c r="AU41" s="3">
        <v>51126321.233776003</v>
      </c>
      <c r="AV41" s="3">
        <v>51592357.306707896</v>
      </c>
      <c r="AW41" s="3">
        <v>51514954.083426997</v>
      </c>
      <c r="AX41" s="3">
        <v>55245800.527817801</v>
      </c>
      <c r="AY41" s="3">
        <v>46678902.019588701</v>
      </c>
      <c r="AZ41" s="3">
        <v>46555974.538251102</v>
      </c>
      <c r="BA41" s="3">
        <v>49626641.422832303</v>
      </c>
      <c r="BB41" s="3">
        <v>49626641.4228433</v>
      </c>
      <c r="BC41" s="3">
        <v>0</v>
      </c>
      <c r="BD41" s="3">
        <v>0</v>
      </c>
      <c r="BE41" s="3">
        <v>0</v>
      </c>
      <c r="BF41" s="3">
        <v>0</v>
      </c>
      <c r="BG41" s="3">
        <v>49494802.774962798</v>
      </c>
      <c r="BH41" s="3">
        <v>49494802.774951302</v>
      </c>
      <c r="BI41" s="3">
        <v>624000</v>
      </c>
      <c r="BJ41" s="3">
        <v>624000</v>
      </c>
      <c r="BK41" s="3">
        <v>344380.62109514797</v>
      </c>
      <c r="BL41" s="3">
        <v>441611.82226493797</v>
      </c>
      <c r="BM41" s="3">
        <v>249824.991678424</v>
      </c>
      <c r="BN41" s="3">
        <v>30813.5559896226</v>
      </c>
    </row>
    <row r="42" spans="1:68" x14ac:dyDescent="0.25">
      <c r="A42" s="9" t="s">
        <v>76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</row>
    <row r="43" spans="1:68" x14ac:dyDescent="0.25">
      <c r="A43" s="2" t="s">
        <v>45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</row>
    <row r="44" spans="1:68" x14ac:dyDescent="0.25">
      <c r="A44" t="s">
        <v>2</v>
      </c>
      <c r="B44" s="3">
        <v>53.3439298245614</v>
      </c>
      <c r="C44" s="3">
        <v>84.317824561403498</v>
      </c>
      <c r="D44" s="3">
        <v>54.168491228070103</v>
      </c>
      <c r="E44" s="3">
        <v>53.3439298245614</v>
      </c>
      <c r="F44" s="3">
        <v>54.917894736842101</v>
      </c>
      <c r="G44" s="3">
        <v>84.317824561403498</v>
      </c>
      <c r="H44" s="3">
        <v>84.317824561403498</v>
      </c>
      <c r="I44" s="3">
        <v>84.317824561403498</v>
      </c>
      <c r="J44" s="3">
        <v>12.92135</v>
      </c>
      <c r="K44" s="3">
        <v>12.92135</v>
      </c>
      <c r="L44" s="3">
        <v>12.92135</v>
      </c>
      <c r="M44" s="3">
        <v>12.92135</v>
      </c>
      <c r="N44" s="3">
        <v>12.92135</v>
      </c>
      <c r="O44" s="3">
        <v>12.92135</v>
      </c>
      <c r="P44" s="3">
        <v>12.92135</v>
      </c>
      <c r="Q44" s="3">
        <v>58.083999999991399</v>
      </c>
      <c r="R44" s="3">
        <v>26.876349999999899</v>
      </c>
      <c r="S44" s="3">
        <v>26.876349999999899</v>
      </c>
      <c r="T44" s="3">
        <v>75.150649999998507</v>
      </c>
      <c r="U44" s="3">
        <v>28.02535</v>
      </c>
      <c r="V44" s="3">
        <v>30</v>
      </c>
      <c r="W44" s="3">
        <v>12.92135</v>
      </c>
      <c r="X44" s="3">
        <v>12.92135</v>
      </c>
      <c r="Y44" s="3">
        <v>0</v>
      </c>
      <c r="Z44" s="3">
        <v>12.921350000002301</v>
      </c>
      <c r="AA44" s="3">
        <v>28.02535</v>
      </c>
      <c r="AB44" s="3">
        <v>21.986999999999899</v>
      </c>
      <c r="AC44" s="3">
        <v>12.92135</v>
      </c>
      <c r="AD44" s="3">
        <v>65.7263499999939</v>
      </c>
      <c r="AE44" s="3">
        <v>26.201999999999899</v>
      </c>
      <c r="AF44" s="3">
        <v>0</v>
      </c>
      <c r="AG44" s="3">
        <v>0</v>
      </c>
      <c r="AH44" s="3">
        <v>0</v>
      </c>
      <c r="AI44" s="3">
        <v>28.614210526315802</v>
      </c>
      <c r="AJ44" s="3">
        <v>0</v>
      </c>
      <c r="AK44" s="3">
        <v>0</v>
      </c>
      <c r="AL44" s="3">
        <v>0</v>
      </c>
      <c r="AM44" s="3">
        <v>0</v>
      </c>
      <c r="AN44" s="3">
        <v>0</v>
      </c>
      <c r="AO44" s="3">
        <v>0</v>
      </c>
      <c r="AP44" s="3">
        <v>0</v>
      </c>
      <c r="AQ44" s="3">
        <v>0</v>
      </c>
      <c r="AR44" s="3">
        <v>0</v>
      </c>
      <c r="AS44" s="3">
        <v>0</v>
      </c>
      <c r="AT44" s="3">
        <v>0</v>
      </c>
      <c r="AU44" s="3">
        <v>0</v>
      </c>
      <c r="AV44" s="3">
        <v>0</v>
      </c>
      <c r="AW44" s="3">
        <v>0</v>
      </c>
      <c r="AX44" s="3">
        <v>0</v>
      </c>
      <c r="AY44" s="3">
        <v>12.92135</v>
      </c>
      <c r="AZ44" s="3">
        <v>12.92135</v>
      </c>
      <c r="BA44" s="3">
        <v>0</v>
      </c>
      <c r="BB44" s="3">
        <v>0</v>
      </c>
      <c r="BC44" s="3">
        <v>0</v>
      </c>
      <c r="BD44" s="3">
        <v>0</v>
      </c>
      <c r="BE44" s="3">
        <v>0</v>
      </c>
      <c r="BF44" s="3">
        <v>0</v>
      </c>
      <c r="BG44" s="3">
        <v>0</v>
      </c>
      <c r="BH44" s="3">
        <v>0</v>
      </c>
      <c r="BI44" s="3">
        <v>0</v>
      </c>
      <c r="BJ44" s="3">
        <v>0</v>
      </c>
      <c r="BK44" s="3">
        <v>0</v>
      </c>
      <c r="BL44" s="3">
        <v>0</v>
      </c>
      <c r="BM44" s="3">
        <v>0</v>
      </c>
      <c r="BN44" s="3">
        <v>0</v>
      </c>
    </row>
    <row r="45" spans="1:68" x14ac:dyDescent="0.25">
      <c r="A45" t="s">
        <v>0</v>
      </c>
      <c r="B45" s="10">
        <v>38</v>
      </c>
      <c r="C45" s="3">
        <v>38</v>
      </c>
      <c r="D45" s="3">
        <v>38</v>
      </c>
      <c r="E45" s="3">
        <v>74</v>
      </c>
      <c r="F45" s="12">
        <v>74</v>
      </c>
      <c r="G45" s="3">
        <v>74</v>
      </c>
      <c r="H45" s="3">
        <v>38</v>
      </c>
      <c r="I45" s="3">
        <v>74</v>
      </c>
      <c r="J45" s="3">
        <v>95.019999999999897</v>
      </c>
      <c r="K45" s="3">
        <v>98.084000000000003</v>
      </c>
      <c r="L45" s="3">
        <v>98.084000000000003</v>
      </c>
      <c r="M45" s="3">
        <v>98.084000000000003</v>
      </c>
      <c r="N45" s="3">
        <v>98.084000000000003</v>
      </c>
      <c r="O45" s="3">
        <v>98.084000000000003</v>
      </c>
      <c r="P45" s="3">
        <v>98.084000000000003</v>
      </c>
      <c r="Q45" s="3">
        <v>95.02</v>
      </c>
      <c r="R45" s="3">
        <v>98.084000000000003</v>
      </c>
      <c r="S45" s="3">
        <v>98.084000000000003</v>
      </c>
      <c r="T45" s="3">
        <v>80</v>
      </c>
      <c r="U45" s="3">
        <v>98.084000000000003</v>
      </c>
      <c r="V45" s="3">
        <v>95.02</v>
      </c>
      <c r="W45" s="3">
        <v>98.084000000000003</v>
      </c>
      <c r="X45" s="3">
        <v>98.084000000000003</v>
      </c>
      <c r="Y45" s="3">
        <v>98.084000000000003</v>
      </c>
      <c r="Z45" s="3">
        <v>74</v>
      </c>
      <c r="AA45" s="3">
        <v>98.084000000000003</v>
      </c>
      <c r="AB45" s="3">
        <v>98.084000000000003</v>
      </c>
      <c r="AC45" s="3">
        <v>109.350140350877</v>
      </c>
      <c r="AD45" s="3">
        <v>80</v>
      </c>
      <c r="AE45" s="3">
        <v>106.79814035087701</v>
      </c>
      <c r="AF45" s="3">
        <v>94.642456140350802</v>
      </c>
      <c r="AG45" s="3">
        <v>94.642456140350802</v>
      </c>
      <c r="AH45" s="3">
        <v>100.02435087719201</v>
      </c>
      <c r="AI45" s="3">
        <v>94.642456140350802</v>
      </c>
      <c r="AJ45" s="3">
        <v>92.921684210526294</v>
      </c>
      <c r="AK45" s="3">
        <v>94.642456140350802</v>
      </c>
      <c r="AL45" s="3">
        <v>94.642456140350802</v>
      </c>
      <c r="AM45" s="3">
        <v>94.642456140350802</v>
      </c>
      <c r="AN45" s="3">
        <v>96.363228069863297</v>
      </c>
      <c r="AO45" s="3">
        <v>98.084000000000003</v>
      </c>
      <c r="AP45" s="3">
        <v>98.084000000000003</v>
      </c>
      <c r="AQ45" s="3">
        <v>98.083999999999406</v>
      </c>
      <c r="AR45" s="3">
        <v>104.122596491213</v>
      </c>
      <c r="AS45" s="3">
        <v>98.084000000000003</v>
      </c>
      <c r="AT45" s="3">
        <v>98.084000000000003</v>
      </c>
      <c r="AU45" s="3">
        <v>104.122596491218</v>
      </c>
      <c r="AV45" s="3">
        <v>98.084000000000003</v>
      </c>
      <c r="AW45" s="3">
        <v>108.58414035087</v>
      </c>
      <c r="AX45" s="3">
        <v>98.084000000000003</v>
      </c>
      <c r="AY45" s="3">
        <v>103.908596491228</v>
      </c>
      <c r="AZ45" s="3">
        <v>108.584140350876</v>
      </c>
      <c r="BA45" s="3">
        <v>108.798140350868</v>
      </c>
      <c r="BB45" s="3">
        <v>98.084000000000003</v>
      </c>
      <c r="BC45" s="3">
        <v>98.084000000000003</v>
      </c>
      <c r="BD45" s="3">
        <v>98.084000000000003</v>
      </c>
      <c r="BE45" s="3">
        <v>98.084000000000003</v>
      </c>
      <c r="BF45" s="3">
        <v>98.084000000000003</v>
      </c>
      <c r="BG45" s="3">
        <v>98.084000000000003</v>
      </c>
      <c r="BH45" s="3">
        <v>108.798140350876</v>
      </c>
      <c r="BI45" s="3">
        <v>120</v>
      </c>
      <c r="BJ45" s="3">
        <v>120</v>
      </c>
      <c r="BK45" s="3">
        <v>120</v>
      </c>
      <c r="BL45" s="3">
        <v>120</v>
      </c>
      <c r="BM45" s="3">
        <v>120</v>
      </c>
      <c r="BN45" s="3">
        <v>98.084000000000003</v>
      </c>
    </row>
    <row r="46" spans="1:68" x14ac:dyDescent="0.25">
      <c r="A46" t="s">
        <v>1</v>
      </c>
      <c r="B46" s="3">
        <v>32.769017543859597</v>
      </c>
      <c r="C46" s="3">
        <v>0</v>
      </c>
      <c r="D46" s="3">
        <v>34.694666666666599</v>
      </c>
      <c r="E46" s="3">
        <v>34.4154385964912</v>
      </c>
      <c r="F46" s="3">
        <v>33.104912280701697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6</v>
      </c>
      <c r="X46" s="3">
        <v>7.7593684210526401</v>
      </c>
      <c r="Y46" s="3">
        <v>0</v>
      </c>
      <c r="Z46" s="3">
        <v>6</v>
      </c>
      <c r="AA46" s="3">
        <v>0</v>
      </c>
      <c r="AB46" s="3">
        <v>18.083999999993299</v>
      </c>
      <c r="AC46" s="3">
        <v>19.87</v>
      </c>
      <c r="AD46" s="3">
        <v>0</v>
      </c>
      <c r="AE46" s="3">
        <v>17.318000000000001</v>
      </c>
      <c r="AF46" s="3">
        <v>6</v>
      </c>
      <c r="AG46" s="3">
        <v>0</v>
      </c>
      <c r="AH46" s="3">
        <v>10.5442105263157</v>
      </c>
      <c r="AI46" s="3">
        <v>11.8371929824561</v>
      </c>
      <c r="AJ46" s="3">
        <v>3.6707368421052702</v>
      </c>
      <c r="AK46" s="3">
        <v>0</v>
      </c>
      <c r="AL46" s="3">
        <v>0</v>
      </c>
      <c r="AM46" s="3">
        <v>0</v>
      </c>
      <c r="AN46" s="3">
        <v>0</v>
      </c>
      <c r="AO46" s="3">
        <v>0</v>
      </c>
      <c r="AP46" s="3">
        <v>0</v>
      </c>
      <c r="AQ46" s="3">
        <v>0</v>
      </c>
      <c r="AR46" s="3">
        <v>24.083999999980801</v>
      </c>
      <c r="AS46" s="3">
        <v>0</v>
      </c>
      <c r="AT46" s="3">
        <v>6</v>
      </c>
      <c r="AU46" s="3">
        <v>18.083999999990301</v>
      </c>
      <c r="AV46" s="3">
        <v>0</v>
      </c>
      <c r="AW46" s="3">
        <v>19.103999999993601</v>
      </c>
      <c r="AX46" s="3">
        <v>0</v>
      </c>
      <c r="AY46" s="3">
        <v>17.87</v>
      </c>
      <c r="AZ46" s="3">
        <v>19.103999999999001</v>
      </c>
      <c r="BA46" s="3">
        <v>19.317999999990899</v>
      </c>
      <c r="BB46" s="3">
        <v>0</v>
      </c>
      <c r="BC46" s="3">
        <v>6</v>
      </c>
      <c r="BD46" s="3">
        <v>0</v>
      </c>
      <c r="BE46" s="3">
        <v>6</v>
      </c>
      <c r="BF46" s="3">
        <v>0</v>
      </c>
      <c r="BG46" s="3">
        <v>0</v>
      </c>
      <c r="BH46" s="3">
        <v>19.317999999999401</v>
      </c>
      <c r="BI46" s="3">
        <v>216.36322807017501</v>
      </c>
      <c r="BJ46" s="3">
        <v>98.084000000000003</v>
      </c>
      <c r="BK46" s="3">
        <v>0</v>
      </c>
      <c r="BL46" s="3">
        <v>216.36322807017501</v>
      </c>
      <c r="BM46" s="3">
        <v>98.084000000000003</v>
      </c>
      <c r="BN46" s="3">
        <v>0</v>
      </c>
    </row>
    <row r="47" spans="1:68" x14ac:dyDescent="0.25">
      <c r="A47" t="s">
        <v>75</v>
      </c>
      <c r="B47" s="3">
        <v>13.0106842105263</v>
      </c>
      <c r="C47" s="3">
        <v>19.725350877193002</v>
      </c>
      <c r="D47" s="3">
        <v>12.68270432582</v>
      </c>
      <c r="E47" s="3">
        <v>12.026631578947301</v>
      </c>
      <c r="F47" s="3">
        <v>12.721192982456101</v>
      </c>
      <c r="G47" s="3">
        <v>15.366</v>
      </c>
      <c r="H47" s="3">
        <v>22.4947894736842</v>
      </c>
      <c r="I47" s="3">
        <v>15.366</v>
      </c>
      <c r="J47" s="3">
        <v>18.084</v>
      </c>
      <c r="K47" s="3">
        <v>1.4210854715202001E-14</v>
      </c>
      <c r="L47" s="3">
        <v>1.4210854715202001E-14</v>
      </c>
      <c r="M47" s="3">
        <v>7.1054273576010003E-15</v>
      </c>
      <c r="N47" s="3">
        <v>7.1054273576010003E-15</v>
      </c>
      <c r="O47" s="3">
        <v>7.1054273576010003E-15</v>
      </c>
      <c r="P47" s="3">
        <v>7.1054273576010003E-15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7.1054273576010003E-15</v>
      </c>
      <c r="W47" s="3">
        <v>7.1054273576010003E-15</v>
      </c>
      <c r="X47" s="3">
        <v>7.1054273576010003E-15</v>
      </c>
      <c r="Y47" s="3">
        <v>7.1054273576010003E-15</v>
      </c>
      <c r="Z47" s="3">
        <v>98.084000000000003</v>
      </c>
      <c r="AA47" s="3">
        <v>0</v>
      </c>
      <c r="AB47" s="3">
        <v>0</v>
      </c>
      <c r="AC47" s="3">
        <v>0</v>
      </c>
      <c r="AD47" s="3">
        <v>0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0</v>
      </c>
      <c r="AL47" s="3">
        <v>0</v>
      </c>
      <c r="AM47" s="3">
        <v>0</v>
      </c>
      <c r="AN47" s="3">
        <v>0</v>
      </c>
      <c r="AO47" s="3">
        <v>0</v>
      </c>
      <c r="AP47" s="3">
        <v>0</v>
      </c>
      <c r="AQ47" s="3">
        <v>0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0</v>
      </c>
      <c r="AX47" s="3">
        <v>0</v>
      </c>
      <c r="AY47" s="3">
        <v>0</v>
      </c>
      <c r="AZ47" s="3">
        <v>0</v>
      </c>
      <c r="BA47" s="3">
        <v>0</v>
      </c>
      <c r="BB47" s="3">
        <v>0</v>
      </c>
      <c r="BC47" s="3">
        <v>0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  <c r="BI47" s="3">
        <v>0</v>
      </c>
      <c r="BJ47" s="3">
        <v>0</v>
      </c>
      <c r="BK47" s="3">
        <v>0</v>
      </c>
      <c r="BL47" s="3">
        <v>0</v>
      </c>
      <c r="BM47" s="3">
        <v>0</v>
      </c>
      <c r="BN47" s="3">
        <v>0</v>
      </c>
    </row>
    <row r="48" spans="1:68" x14ac:dyDescent="0.25">
      <c r="A48" s="2" t="s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1:66" x14ac:dyDescent="0.25">
      <c r="A49" t="s">
        <v>0</v>
      </c>
      <c r="B49" s="10">
        <v>32.533356835617603</v>
      </c>
      <c r="C49" s="3">
        <v>34.577473684210503</v>
      </c>
      <c r="D49" s="3">
        <v>31.9702956741795</v>
      </c>
      <c r="E49" s="3">
        <v>38</v>
      </c>
      <c r="F49" s="3">
        <v>38</v>
      </c>
      <c r="G49" s="3">
        <v>30.0063157894736</v>
      </c>
      <c r="H49" s="3">
        <v>33.555754385964903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24.474877192972698</v>
      </c>
      <c r="R49" s="3">
        <v>0</v>
      </c>
      <c r="S49" s="3">
        <v>0</v>
      </c>
      <c r="T49" s="3">
        <v>42.482579824558499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6.0729649122806801</v>
      </c>
      <c r="AC49" s="3">
        <v>0</v>
      </c>
      <c r="AD49" s="3">
        <v>36.150209649115602</v>
      </c>
      <c r="AE49" s="3">
        <v>8.8093684210525893</v>
      </c>
      <c r="AF49" s="3">
        <v>0</v>
      </c>
      <c r="AG49" s="3">
        <v>0</v>
      </c>
      <c r="AH49" s="3">
        <v>0</v>
      </c>
      <c r="AI49" s="3">
        <v>5.7028070175438703</v>
      </c>
      <c r="AJ49" s="3">
        <v>0</v>
      </c>
      <c r="AK49" s="3">
        <v>0</v>
      </c>
      <c r="AL49" s="3">
        <v>0</v>
      </c>
      <c r="AM49" s="3">
        <v>0</v>
      </c>
      <c r="AN49" s="3">
        <v>0</v>
      </c>
      <c r="AO49" s="3">
        <v>0</v>
      </c>
      <c r="AP49" s="3">
        <v>0</v>
      </c>
      <c r="AQ49" s="3">
        <v>0</v>
      </c>
      <c r="AR49" s="3">
        <v>5.6894561403317097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>
        <v>0</v>
      </c>
      <c r="AZ49" s="3">
        <v>0</v>
      </c>
      <c r="BA49" s="3">
        <v>0</v>
      </c>
      <c r="BB49" s="3">
        <v>0</v>
      </c>
      <c r="BC49" s="3">
        <v>0</v>
      </c>
      <c r="BD49" s="3">
        <v>0</v>
      </c>
      <c r="BE49" s="3">
        <v>0</v>
      </c>
      <c r="BF49" s="3">
        <v>0</v>
      </c>
      <c r="BG49" s="3">
        <v>0</v>
      </c>
      <c r="BH49" s="3">
        <v>0</v>
      </c>
      <c r="BI49" s="3">
        <v>120</v>
      </c>
      <c r="BJ49" s="3">
        <v>0</v>
      </c>
      <c r="BK49" s="3">
        <v>0</v>
      </c>
      <c r="BL49" s="3">
        <v>120</v>
      </c>
      <c r="BM49" s="3">
        <v>0</v>
      </c>
      <c r="BN49" s="3">
        <v>0</v>
      </c>
    </row>
    <row r="50" spans="1:66" x14ac:dyDescent="0.25">
      <c r="A50" t="s">
        <v>24</v>
      </c>
      <c r="B50" s="3">
        <v>95.02</v>
      </c>
      <c r="C50" s="3">
        <v>95.02</v>
      </c>
      <c r="D50" s="3">
        <v>95.02</v>
      </c>
      <c r="E50" s="3">
        <v>95.02</v>
      </c>
      <c r="F50" s="12">
        <v>95.02</v>
      </c>
      <c r="G50" s="3">
        <v>95.02</v>
      </c>
      <c r="H50" s="3">
        <v>95.02</v>
      </c>
      <c r="I50" s="3">
        <v>95.02</v>
      </c>
      <c r="J50" s="3">
        <v>95.02</v>
      </c>
      <c r="K50" s="3">
        <v>98.084000000000003</v>
      </c>
      <c r="L50" s="3">
        <v>98.084000000000003</v>
      </c>
      <c r="M50" s="3">
        <v>98.084000000000003</v>
      </c>
      <c r="N50" s="3">
        <v>98.084000000000003</v>
      </c>
      <c r="O50" s="3">
        <v>98.084000000000003</v>
      </c>
      <c r="P50" s="3">
        <v>98.084000000000003</v>
      </c>
      <c r="Q50" s="3">
        <v>98.084000000000003</v>
      </c>
      <c r="R50" s="3">
        <v>98.084000000000003</v>
      </c>
      <c r="S50" s="3">
        <v>98.084000000000003</v>
      </c>
      <c r="T50" s="3">
        <v>98.084000000000003</v>
      </c>
      <c r="U50" s="3">
        <v>98.084000000000003</v>
      </c>
      <c r="V50" s="3">
        <v>98.084000000000003</v>
      </c>
      <c r="W50" s="3">
        <v>98.084000000000003</v>
      </c>
      <c r="X50" s="3">
        <v>98.084000000000003</v>
      </c>
      <c r="Y50" s="3">
        <v>98.084000000000003</v>
      </c>
      <c r="Z50" s="3">
        <v>80.653000000000006</v>
      </c>
      <c r="AA50" s="3">
        <v>98.084000000000003</v>
      </c>
      <c r="AB50" s="3">
        <v>98.084000000000003</v>
      </c>
      <c r="AC50" s="3">
        <v>98.084000000000003</v>
      </c>
      <c r="AD50" s="3">
        <v>98.084000000000003</v>
      </c>
      <c r="AE50" s="3">
        <v>98.084000000000003</v>
      </c>
      <c r="AF50" s="3">
        <v>94.642456140350802</v>
      </c>
      <c r="AG50" s="3">
        <v>94.642456140350802</v>
      </c>
      <c r="AH50" s="3">
        <v>94.642456140350802</v>
      </c>
      <c r="AI50" s="3">
        <v>94.642456140350802</v>
      </c>
      <c r="AJ50" s="3">
        <v>92.921684210526294</v>
      </c>
      <c r="AK50" s="3">
        <v>94.642456140350802</v>
      </c>
      <c r="AL50" s="3">
        <v>94.642456140350802</v>
      </c>
      <c r="AM50" s="3">
        <v>94.642456140350802</v>
      </c>
      <c r="AN50" s="3">
        <v>96.363228070175396</v>
      </c>
      <c r="AO50" s="3">
        <v>98.084000000000003</v>
      </c>
      <c r="AP50" s="3">
        <v>98.084000000000003</v>
      </c>
      <c r="AQ50" s="3">
        <v>98.084000000000003</v>
      </c>
      <c r="AR50" s="3">
        <v>98.084000000000003</v>
      </c>
      <c r="AS50" s="3">
        <v>98.084000000000003</v>
      </c>
      <c r="AT50" s="3">
        <v>98.084000000000003</v>
      </c>
      <c r="AU50" s="3">
        <v>98.084000000000003</v>
      </c>
      <c r="AV50" s="3">
        <v>98.084000000000003</v>
      </c>
      <c r="AW50" s="3">
        <v>98.084000000000003</v>
      </c>
      <c r="AX50" s="3">
        <v>98.084000000000003</v>
      </c>
      <c r="AY50" s="3">
        <v>98.084000000000003</v>
      </c>
      <c r="AZ50" s="3">
        <v>98.084000000000003</v>
      </c>
      <c r="BA50" s="3">
        <v>98.084000000000003</v>
      </c>
      <c r="BB50" s="3">
        <v>98.084000000000003</v>
      </c>
      <c r="BC50" s="3">
        <v>98.084000000000003</v>
      </c>
      <c r="BD50" s="3">
        <v>98.084000000000003</v>
      </c>
      <c r="BE50" s="3">
        <v>98.084000000000003</v>
      </c>
      <c r="BF50" s="3">
        <v>98.084000000000003</v>
      </c>
      <c r="BG50" s="3">
        <v>98.084000000000003</v>
      </c>
      <c r="BH50" s="3">
        <v>98.084000000000003</v>
      </c>
      <c r="BI50" s="3">
        <v>98.084000000000003</v>
      </c>
      <c r="BJ50" s="3">
        <v>98.084000000000003</v>
      </c>
      <c r="BK50" s="3">
        <v>98.084000000000003</v>
      </c>
      <c r="BL50" s="3">
        <v>98.084000000000003</v>
      </c>
      <c r="BM50" s="3">
        <v>98.084000000000003</v>
      </c>
      <c r="BN50" s="3">
        <v>98.084000000000003</v>
      </c>
    </row>
    <row r="51" spans="1:66" x14ac:dyDescent="0.25">
      <c r="A51" t="s">
        <v>1</v>
      </c>
      <c r="B51" s="3">
        <v>32.694666666666599</v>
      </c>
      <c r="C51" s="3">
        <v>0</v>
      </c>
      <c r="D51" s="3">
        <v>32.694666666666599</v>
      </c>
      <c r="E51" s="3">
        <v>34.4154385964912</v>
      </c>
      <c r="F51" s="3">
        <v>33.104912280701697</v>
      </c>
      <c r="G51" s="3">
        <v>6</v>
      </c>
      <c r="H51" s="3">
        <v>0</v>
      </c>
      <c r="I51" s="3">
        <v>6</v>
      </c>
      <c r="J51" s="3">
        <v>6</v>
      </c>
      <c r="K51" s="3">
        <v>6</v>
      </c>
      <c r="L51" s="3">
        <v>6</v>
      </c>
      <c r="M51" s="3">
        <v>6</v>
      </c>
      <c r="N51" s="3">
        <v>6</v>
      </c>
      <c r="O51" s="3">
        <v>6</v>
      </c>
      <c r="P51" s="3">
        <v>6</v>
      </c>
      <c r="Q51" s="3">
        <v>6</v>
      </c>
      <c r="R51" s="3">
        <v>6</v>
      </c>
      <c r="S51" s="3">
        <v>6</v>
      </c>
      <c r="T51" s="3">
        <v>6</v>
      </c>
      <c r="U51" s="3">
        <v>6</v>
      </c>
      <c r="V51" s="3">
        <v>6</v>
      </c>
      <c r="W51" s="3">
        <v>6</v>
      </c>
      <c r="X51" s="3">
        <v>7.7593684210526401</v>
      </c>
      <c r="Y51" s="3">
        <v>6</v>
      </c>
      <c r="Z51" s="3">
        <v>6</v>
      </c>
      <c r="AA51" s="3">
        <v>6</v>
      </c>
      <c r="AB51" s="3">
        <v>18.083999999993299</v>
      </c>
      <c r="AC51" s="3">
        <v>19.87</v>
      </c>
      <c r="AD51" s="3">
        <v>0</v>
      </c>
      <c r="AE51" s="3">
        <v>17.318000000000001</v>
      </c>
      <c r="AF51" s="3">
        <v>6</v>
      </c>
      <c r="AG51" s="3">
        <v>0</v>
      </c>
      <c r="AH51" s="3">
        <v>10.544210526316</v>
      </c>
      <c r="AI51" s="3">
        <v>11.8371929824561</v>
      </c>
      <c r="AJ51" s="3">
        <v>6</v>
      </c>
      <c r="AK51" s="3">
        <v>0</v>
      </c>
      <c r="AL51" s="3">
        <v>0</v>
      </c>
      <c r="AM51" s="3">
        <v>0</v>
      </c>
      <c r="AN51" s="3">
        <v>0</v>
      </c>
      <c r="AO51" s="3">
        <v>0</v>
      </c>
      <c r="AP51" s="3">
        <v>0</v>
      </c>
      <c r="AQ51" s="3">
        <v>0</v>
      </c>
      <c r="AR51" s="3">
        <v>24.083999999980801</v>
      </c>
      <c r="AS51" s="3">
        <v>0</v>
      </c>
      <c r="AT51" s="3">
        <v>6</v>
      </c>
      <c r="AU51" s="3">
        <v>18.083999999990301</v>
      </c>
      <c r="AV51" s="3">
        <v>0</v>
      </c>
      <c r="AW51" s="3">
        <v>19.103999999993601</v>
      </c>
      <c r="AX51" s="3">
        <v>0</v>
      </c>
      <c r="AY51" s="3">
        <v>17.87</v>
      </c>
      <c r="AZ51" s="3">
        <v>19.1039999999991</v>
      </c>
      <c r="BA51" s="3">
        <v>19.317999999990899</v>
      </c>
      <c r="BB51" s="3">
        <v>0</v>
      </c>
      <c r="BC51" s="3">
        <v>6</v>
      </c>
      <c r="BD51" s="3">
        <v>0</v>
      </c>
      <c r="BE51" s="3">
        <v>6</v>
      </c>
      <c r="BF51" s="3">
        <v>0</v>
      </c>
      <c r="BG51" s="3">
        <v>0</v>
      </c>
      <c r="BH51" s="3">
        <v>19.317999999999401</v>
      </c>
      <c r="BI51" s="3">
        <v>103.547894736842</v>
      </c>
      <c r="BJ51" s="3">
        <v>102.10268421052599</v>
      </c>
      <c r="BK51" s="3">
        <v>99.212263157894796</v>
      </c>
      <c r="BL51" s="3">
        <v>102.10268421052599</v>
      </c>
      <c r="BM51" s="3">
        <v>102.10268421052599</v>
      </c>
      <c r="BN51" s="3">
        <v>0</v>
      </c>
    </row>
    <row r="52" spans="1:66" x14ac:dyDescent="0.25">
      <c r="A52" s="2" t="s">
        <v>23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</row>
    <row r="53" spans="1:66" x14ac:dyDescent="0.25">
      <c r="A53" t="s">
        <v>2</v>
      </c>
      <c r="B53" s="3">
        <v>7403403.0786220701</v>
      </c>
      <c r="C53" s="3">
        <v>7335264.4874104904</v>
      </c>
      <c r="D53" s="3">
        <v>7404304.3690989399</v>
      </c>
      <c r="E53" s="3">
        <v>1509732.8352443599</v>
      </c>
      <c r="F53" s="3">
        <v>1510482.5054732601</v>
      </c>
      <c r="G53" s="3">
        <v>1741284.06034232</v>
      </c>
      <c r="H53" s="3">
        <v>7330402.46816481</v>
      </c>
      <c r="I53" s="3">
        <v>1736743.8276142499</v>
      </c>
      <c r="J53" s="3">
        <v>2095.8063421052598</v>
      </c>
      <c r="K53" s="3">
        <v>1993.33316666666</v>
      </c>
      <c r="L53" s="3">
        <v>1938.2025000000001</v>
      </c>
      <c r="M53" s="3">
        <v>1938.2025000000001</v>
      </c>
      <c r="N53" s="3">
        <v>1938.2025000000001</v>
      </c>
      <c r="O53" s="3">
        <v>1938.2025000000001</v>
      </c>
      <c r="P53" s="3">
        <v>1938.2025000000001</v>
      </c>
      <c r="Q53" s="3">
        <v>9299.9844999957495</v>
      </c>
      <c r="R53" s="3">
        <v>4511.9024999999901</v>
      </c>
      <c r="S53" s="3">
        <v>4511.9024999999901</v>
      </c>
      <c r="T53" s="3">
        <v>20203.975131574</v>
      </c>
      <c r="U53" s="3">
        <v>4910.0439999999999</v>
      </c>
      <c r="V53" s="3">
        <v>7836.3034122801901</v>
      </c>
      <c r="W53" s="3">
        <v>1938.2025000000001</v>
      </c>
      <c r="X53" s="3">
        <v>1938.2025000000001</v>
      </c>
      <c r="Y53" s="3">
        <v>0</v>
      </c>
      <c r="Z53" s="3">
        <v>26412.406416667302</v>
      </c>
      <c r="AA53" s="3">
        <v>4910.0439999999999</v>
      </c>
      <c r="AB53" s="3">
        <v>3751.33249999996</v>
      </c>
      <c r="AC53" s="3">
        <v>1938.2025000000001</v>
      </c>
      <c r="AD53" s="3">
        <v>19142.874631574101</v>
      </c>
      <c r="AE53" s="3">
        <v>4594.3324999999804</v>
      </c>
      <c r="AF53" s="3">
        <v>0</v>
      </c>
      <c r="AG53" s="3">
        <v>0</v>
      </c>
      <c r="AH53" s="3">
        <v>0</v>
      </c>
      <c r="AI53" s="3">
        <v>17932.478041171398</v>
      </c>
      <c r="AJ53" s="3">
        <v>0</v>
      </c>
      <c r="AK53" s="3">
        <v>0</v>
      </c>
      <c r="AL53" s="3">
        <v>0</v>
      </c>
      <c r="AM53" s="3">
        <v>0</v>
      </c>
      <c r="AN53" s="3">
        <v>0</v>
      </c>
      <c r="AO53" s="3">
        <v>0</v>
      </c>
      <c r="AP53" s="3">
        <v>0</v>
      </c>
      <c r="AQ53" s="3">
        <v>0</v>
      </c>
      <c r="AR53" s="3">
        <v>0</v>
      </c>
      <c r="AS53" s="3">
        <v>0</v>
      </c>
      <c r="AT53" s="3">
        <v>0</v>
      </c>
      <c r="AU53" s="3">
        <v>0</v>
      </c>
      <c r="AV53" s="3">
        <v>0</v>
      </c>
      <c r="AW53" s="3">
        <v>0</v>
      </c>
      <c r="AX53" s="3">
        <v>0</v>
      </c>
      <c r="AY53" s="5">
        <v>3479.2323565573802</v>
      </c>
      <c r="AZ53" s="5">
        <v>1938.2025000000001</v>
      </c>
      <c r="BA53" s="3">
        <v>0</v>
      </c>
      <c r="BB53" s="3">
        <v>0</v>
      </c>
      <c r="BC53" s="3">
        <v>0</v>
      </c>
      <c r="BD53" s="3">
        <v>0</v>
      </c>
      <c r="BE53" s="3">
        <v>0</v>
      </c>
      <c r="BF53" s="3">
        <v>0</v>
      </c>
      <c r="BG53" s="3">
        <v>0</v>
      </c>
      <c r="BH53" s="3">
        <v>0</v>
      </c>
      <c r="BI53" s="3">
        <v>0</v>
      </c>
      <c r="BJ53" s="3">
        <v>0</v>
      </c>
      <c r="BK53" s="3">
        <v>0</v>
      </c>
      <c r="BL53" s="3">
        <v>0</v>
      </c>
      <c r="BM53" s="3">
        <v>0</v>
      </c>
      <c r="BN53" s="3">
        <v>0</v>
      </c>
    </row>
    <row r="54" spans="1:66" x14ac:dyDescent="0.25">
      <c r="A54" t="s">
        <v>0</v>
      </c>
      <c r="B54" s="3">
        <v>337164.63573730801</v>
      </c>
      <c r="C54" s="3">
        <v>336761.958438578</v>
      </c>
      <c r="D54" s="3">
        <v>336872.86486429803</v>
      </c>
      <c r="E54" s="3">
        <v>6278182.9098127401</v>
      </c>
      <c r="F54" s="12">
        <v>6336354.5687585501</v>
      </c>
      <c r="G54" s="3">
        <v>5943980.3882502103</v>
      </c>
      <c r="H54" s="3">
        <v>335961.87677191099</v>
      </c>
      <c r="I54" s="3">
        <v>5947935.8225923199</v>
      </c>
      <c r="J54" s="3">
        <v>7681325.4571270896</v>
      </c>
      <c r="K54" s="3">
        <v>7684650.6901621604</v>
      </c>
      <c r="L54" s="3">
        <v>7684705.8208288299</v>
      </c>
      <c r="M54" s="3">
        <v>7684705.8208288299</v>
      </c>
      <c r="N54" s="3">
        <v>7684705.8208288299</v>
      </c>
      <c r="O54" s="3">
        <v>7684705.8208288299</v>
      </c>
      <c r="P54" s="3">
        <v>7684705.8208288299</v>
      </c>
      <c r="Q54" s="3">
        <v>7677538.35377621</v>
      </c>
      <c r="R54" s="3">
        <v>7682132.1208288204</v>
      </c>
      <c r="S54" s="3">
        <v>7682132.1208288204</v>
      </c>
      <c r="T54" s="3">
        <v>7667881.3627358396</v>
      </c>
      <c r="U54" s="3">
        <v>7681733.9793288196</v>
      </c>
      <c r="V54" s="3">
        <v>7678807.7199165598</v>
      </c>
      <c r="W54" s="3">
        <v>7701954.5164809404</v>
      </c>
      <c r="X54" s="3">
        <v>7742856.9584058197</v>
      </c>
      <c r="Y54" s="3">
        <v>7686644.0233288202</v>
      </c>
      <c r="Z54" s="3">
        <v>5964037.8031871403</v>
      </c>
      <c r="AA54" s="3">
        <v>7681733.9793288196</v>
      </c>
      <c r="AB54" s="3">
        <v>7723147.0301441904</v>
      </c>
      <c r="AC54" s="3">
        <v>7834183.0799589399</v>
      </c>
      <c r="AD54" s="3">
        <v>7651860.8748363797</v>
      </c>
      <c r="AE54" s="3">
        <v>7696561.1029538801</v>
      </c>
      <c r="AF54" s="3">
        <v>7756474.2545233704</v>
      </c>
      <c r="AG54" s="3">
        <v>7738442.9501755601</v>
      </c>
      <c r="AH54" s="3">
        <v>7801298.3489856403</v>
      </c>
      <c r="AI54" s="3">
        <v>7623012.1342303902</v>
      </c>
      <c r="AJ54" s="3">
        <v>8112012.18704974</v>
      </c>
      <c r="AK54" s="3">
        <v>7857985.8344626203</v>
      </c>
      <c r="AL54" s="3">
        <v>7615479.0713864798</v>
      </c>
      <c r="AM54" s="3">
        <v>7657349.3115268704</v>
      </c>
      <c r="AN54" s="3">
        <v>7685171.3318801597</v>
      </c>
      <c r="AO54" s="3">
        <v>7682129.2886530804</v>
      </c>
      <c r="AP54" s="3">
        <v>7645987.1500695003</v>
      </c>
      <c r="AQ54" s="3">
        <v>7670008.2503163796</v>
      </c>
      <c r="AR54" s="3">
        <v>7718560.1127042398</v>
      </c>
      <c r="AS54" s="3">
        <v>7645987.1500695003</v>
      </c>
      <c r="AT54" s="3">
        <v>7688039.5546650495</v>
      </c>
      <c r="AU54" s="3">
        <v>7701385.7281562602</v>
      </c>
      <c r="AV54" s="3">
        <v>7645987.1500695003</v>
      </c>
      <c r="AW54" s="3">
        <v>7725720.7734476104</v>
      </c>
      <c r="AX54" s="3">
        <v>7670008.2503171796</v>
      </c>
      <c r="AY54" s="3">
        <v>7695137.8891912401</v>
      </c>
      <c r="AZ54" s="3">
        <v>7720674.3747738795</v>
      </c>
      <c r="BA54" s="3">
        <v>7724323.5477085998</v>
      </c>
      <c r="BB54" s="3">
        <v>7670008.2503171796</v>
      </c>
      <c r="BC54" s="3">
        <v>7688039.5546650495</v>
      </c>
      <c r="BD54" s="3">
        <v>7670008.2503171796</v>
      </c>
      <c r="BE54" s="3">
        <v>7688039.5546650495</v>
      </c>
      <c r="BF54" s="3">
        <v>7670008.2503171796</v>
      </c>
      <c r="BG54" s="3">
        <v>7670008.2503171796</v>
      </c>
      <c r="BH54" s="3">
        <v>7724238.60023019</v>
      </c>
      <c r="BI54" s="3">
        <v>14242404.9120172</v>
      </c>
      <c r="BJ54" s="3">
        <v>8348098.97574641</v>
      </c>
      <c r="BK54" s="3">
        <v>7737357.5964027597</v>
      </c>
      <c r="BL54" s="3">
        <v>14018677.077594901</v>
      </c>
      <c r="BM54" s="3">
        <v>8303305.3775849203</v>
      </c>
      <c r="BN54" s="3">
        <v>7670008.2503171796</v>
      </c>
    </row>
    <row r="55" spans="1:66" x14ac:dyDescent="0.25">
      <c r="A55" t="s">
        <v>1</v>
      </c>
      <c r="B55" s="11">
        <v>324696.16976015997</v>
      </c>
      <c r="C55" s="3">
        <v>0</v>
      </c>
      <c r="D55" s="3">
        <v>327715.63633730198</v>
      </c>
      <c r="E55" s="3">
        <v>559330.96795197902</v>
      </c>
      <c r="F55" s="3">
        <v>881256.44645368401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99359.999999997905</v>
      </c>
      <c r="X55" s="3">
        <v>324749.497688164</v>
      </c>
      <c r="Y55" s="3">
        <v>0</v>
      </c>
      <c r="Z55" s="3">
        <v>13771.3531754377</v>
      </c>
      <c r="AA55" s="3">
        <v>0</v>
      </c>
      <c r="AB55" s="3">
        <v>225883.31279995001</v>
      </c>
      <c r="AC55" s="3">
        <v>827994.48000002</v>
      </c>
      <c r="AD55" s="3">
        <v>0</v>
      </c>
      <c r="AE55" s="3">
        <v>170972.06399999399</v>
      </c>
      <c r="AF55" s="3">
        <v>99359.999999999898</v>
      </c>
      <c r="AG55" s="3">
        <v>0</v>
      </c>
      <c r="AH55" s="3">
        <v>346359.43719299103</v>
      </c>
      <c r="AI55" s="3">
        <v>137867.519999999</v>
      </c>
      <c r="AJ55" s="3">
        <v>560.22297149122903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398831.03999970399</v>
      </c>
      <c r="AS55" s="3">
        <v>0</v>
      </c>
      <c r="AT55" s="3">
        <v>99359.999999997701</v>
      </c>
      <c r="AU55" s="3">
        <v>305269.24799992499</v>
      </c>
      <c r="AV55" s="3">
        <v>0</v>
      </c>
      <c r="AW55" s="3">
        <v>306999.21599986602</v>
      </c>
      <c r="AX55" s="3">
        <v>0</v>
      </c>
      <c r="AY55" s="3">
        <v>290013.07200001698</v>
      </c>
      <c r="AZ55" s="3">
        <v>289871.75999992999</v>
      </c>
      <c r="BA55" s="5">
        <v>299299.91999988299</v>
      </c>
      <c r="BB55" s="5">
        <v>0</v>
      </c>
      <c r="BC55" s="3">
        <v>99359.999999997701</v>
      </c>
      <c r="BD55" s="3">
        <v>0</v>
      </c>
      <c r="BE55" s="3">
        <v>99359.999999997701</v>
      </c>
      <c r="BF55" s="3">
        <v>0</v>
      </c>
      <c r="BG55" s="3">
        <v>0</v>
      </c>
      <c r="BH55" s="3">
        <v>298831.823999941</v>
      </c>
      <c r="BI55" s="3">
        <v>7109528.0036944197</v>
      </c>
      <c r="BJ55" s="3">
        <v>3649204.89405635</v>
      </c>
      <c r="BK55" s="3">
        <v>0</v>
      </c>
      <c r="BL55" s="3">
        <v>6912967.7710731504</v>
      </c>
      <c r="BM55" s="3">
        <v>3489731.0450522099</v>
      </c>
      <c r="BN55" s="3">
        <v>0</v>
      </c>
    </row>
    <row r="56" spans="1:66" x14ac:dyDescent="0.25">
      <c r="A56" t="s">
        <v>35</v>
      </c>
      <c r="B56" s="3">
        <v>6752.93801754385</v>
      </c>
      <c r="C56" s="3">
        <v>16424.331885964901</v>
      </c>
      <c r="D56" s="3">
        <v>6349.7904769507604</v>
      </c>
      <c r="E56" s="3">
        <v>937.66856140350899</v>
      </c>
      <c r="F56" s="3">
        <v>1008.08645614035</v>
      </c>
      <c r="G56" s="3">
        <v>1964.3731228069501</v>
      </c>
      <c r="H56" s="3">
        <v>21154.036342104999</v>
      </c>
      <c r="I56" s="3">
        <v>1964.37312280688</v>
      </c>
      <c r="J56" s="3">
        <v>3222.7598596491198</v>
      </c>
      <c r="K56" s="3">
        <v>4.1389114358025804E-12</v>
      </c>
      <c r="L56" s="3">
        <v>3.7125857943465202E-12</v>
      </c>
      <c r="M56" s="3">
        <v>3.1441516057384401E-12</v>
      </c>
      <c r="N56" s="3">
        <v>3.1441516057384401E-12</v>
      </c>
      <c r="O56" s="3">
        <v>3.1441516057384401E-12</v>
      </c>
      <c r="P56" s="3">
        <v>3.1441516057384401E-12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3.1441516057384401E-12</v>
      </c>
      <c r="W56" s="3">
        <v>3.1441516057384401E-12</v>
      </c>
      <c r="X56" s="3">
        <v>3.11572989630803E-12</v>
      </c>
      <c r="Y56" s="3">
        <v>1.95754523701907E-12</v>
      </c>
      <c r="Z56" s="3">
        <v>1698524.44114494</v>
      </c>
      <c r="AA56" s="3">
        <v>0</v>
      </c>
      <c r="AB56" s="3">
        <v>0</v>
      </c>
      <c r="AC56" s="3">
        <v>0</v>
      </c>
      <c r="AD56" s="3">
        <v>0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3">
        <v>0</v>
      </c>
      <c r="AN56" s="3">
        <v>0</v>
      </c>
      <c r="AO56" s="3">
        <v>0</v>
      </c>
      <c r="AP56" s="3">
        <v>0</v>
      </c>
      <c r="AQ56" s="3">
        <v>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  <c r="AY56" s="3">
        <v>0</v>
      </c>
      <c r="AZ56" s="3">
        <v>0</v>
      </c>
      <c r="BA56" s="3">
        <v>0</v>
      </c>
      <c r="BB56" s="3">
        <v>0</v>
      </c>
      <c r="BC56" s="3">
        <v>0</v>
      </c>
      <c r="BD56" s="3">
        <v>0</v>
      </c>
      <c r="BE56" s="3">
        <v>0</v>
      </c>
      <c r="BF56" s="3">
        <v>0</v>
      </c>
      <c r="BG56" s="3">
        <v>0</v>
      </c>
      <c r="BH56" s="3">
        <v>0</v>
      </c>
      <c r="BI56" s="3">
        <v>0</v>
      </c>
      <c r="BJ56" s="3">
        <v>0</v>
      </c>
      <c r="BK56" s="3">
        <v>0</v>
      </c>
      <c r="BL56" s="3">
        <v>0</v>
      </c>
      <c r="BM56" s="3">
        <v>0</v>
      </c>
      <c r="BN56" s="3">
        <v>0</v>
      </c>
    </row>
    <row r="57" spans="1:66" x14ac:dyDescent="0.25">
      <c r="A57" s="2" t="s">
        <v>22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</row>
    <row r="58" spans="1:66" x14ac:dyDescent="0.25">
      <c r="A58" t="s">
        <v>0</v>
      </c>
      <c r="B58" s="3">
        <v>2535.1691318804301</v>
      </c>
      <c r="C58" s="3">
        <v>2589.3631017543798</v>
      </c>
      <c r="D58" s="3">
        <v>2193.5850658356599</v>
      </c>
      <c r="E58" s="3">
        <v>1487.7023433096799</v>
      </c>
      <c r="F58" s="3">
        <v>2058.1905548631398</v>
      </c>
      <c r="G58" s="3">
        <v>584.79838596491197</v>
      </c>
      <c r="H58" s="3">
        <v>1656.9666456140301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194.31494736827901</v>
      </c>
      <c r="R58" s="3">
        <v>0</v>
      </c>
      <c r="S58" s="3">
        <v>0</v>
      </c>
      <c r="T58" s="3">
        <v>1441.3145385963601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44.891245614034702</v>
      </c>
      <c r="AC58" s="3">
        <v>0</v>
      </c>
      <c r="AD58" s="3">
        <v>995.49915087643501</v>
      </c>
      <c r="AE58" s="3">
        <v>120.118701754385</v>
      </c>
      <c r="AF58" s="3">
        <v>0</v>
      </c>
      <c r="AG58" s="3">
        <v>0</v>
      </c>
      <c r="AH58" s="3">
        <v>0</v>
      </c>
      <c r="AI58" s="3">
        <v>446.10436332767398</v>
      </c>
      <c r="AJ58" s="3">
        <v>0</v>
      </c>
      <c r="AK58" s="3">
        <v>0</v>
      </c>
      <c r="AL58" s="3">
        <v>0</v>
      </c>
      <c r="AM58" s="3">
        <v>0</v>
      </c>
      <c r="AN58" s="3">
        <v>0</v>
      </c>
      <c r="AO58" s="3">
        <v>0</v>
      </c>
      <c r="AP58" s="3">
        <v>0</v>
      </c>
      <c r="AQ58" s="3">
        <v>0</v>
      </c>
      <c r="AR58" s="3">
        <v>195.30698254971401</v>
      </c>
      <c r="AS58" s="3">
        <v>0</v>
      </c>
      <c r="AT58" s="3">
        <v>0</v>
      </c>
      <c r="AU58" s="3">
        <v>0</v>
      </c>
      <c r="AV58" s="3">
        <v>0</v>
      </c>
      <c r="AW58" s="3">
        <v>0</v>
      </c>
      <c r="AX58" s="3">
        <v>0</v>
      </c>
      <c r="AY58" s="3">
        <v>0</v>
      </c>
      <c r="AZ58" s="3">
        <v>0</v>
      </c>
      <c r="BA58" s="3">
        <v>0</v>
      </c>
      <c r="BB58" s="3">
        <v>0</v>
      </c>
      <c r="BC58" s="3">
        <v>0</v>
      </c>
      <c r="BD58" s="3">
        <v>0</v>
      </c>
      <c r="BE58" s="3">
        <v>0</v>
      </c>
      <c r="BF58" s="3">
        <v>0</v>
      </c>
      <c r="BG58" s="3">
        <v>0</v>
      </c>
      <c r="BH58" s="3">
        <v>0</v>
      </c>
      <c r="BI58" s="3">
        <v>5266345.5987945404</v>
      </c>
      <c r="BJ58" s="3">
        <v>0</v>
      </c>
      <c r="BK58" s="3">
        <v>0</v>
      </c>
      <c r="BL58" s="3">
        <v>5094141.5947218696</v>
      </c>
      <c r="BM58" s="3">
        <v>0</v>
      </c>
      <c r="BN58" s="3">
        <v>0</v>
      </c>
    </row>
    <row r="59" spans="1:66" x14ac:dyDescent="0.25">
      <c r="A59" t="s">
        <v>24</v>
      </c>
      <c r="B59" s="3">
        <v>7679108.4766157903</v>
      </c>
      <c r="C59" s="3">
        <v>7669437.0827471996</v>
      </c>
      <c r="D59" s="3">
        <v>7679511.6241560802</v>
      </c>
      <c r="E59" s="3">
        <v>7684923.7460718304</v>
      </c>
      <c r="F59" s="3">
        <v>7684853.3281770796</v>
      </c>
      <c r="G59" s="3">
        <v>7683897.04151031</v>
      </c>
      <c r="H59" s="3">
        <v>7664707.3782909596</v>
      </c>
      <c r="I59" s="3">
        <v>7683897.04151031</v>
      </c>
      <c r="J59" s="3">
        <v>7682638.6547735296</v>
      </c>
      <c r="K59" s="3">
        <v>7685861.4146331698</v>
      </c>
      <c r="L59" s="3">
        <v>7685861.4146331698</v>
      </c>
      <c r="M59" s="3">
        <v>7685861.4146331698</v>
      </c>
      <c r="N59" s="3">
        <v>7685861.4146331698</v>
      </c>
      <c r="O59" s="3">
        <v>7685861.4146331698</v>
      </c>
      <c r="P59" s="3">
        <v>7685861.4146331698</v>
      </c>
      <c r="Q59" s="3">
        <v>7685861.4146331698</v>
      </c>
      <c r="R59" s="3">
        <v>7685861.4146331698</v>
      </c>
      <c r="S59" s="3">
        <v>7685861.4146331698</v>
      </c>
      <c r="T59" s="3">
        <v>7685861.4146331698</v>
      </c>
      <c r="U59" s="3">
        <v>7685861.4146331698</v>
      </c>
      <c r="V59" s="3">
        <v>7685861.4146331698</v>
      </c>
      <c r="W59" s="3">
        <v>7685861.4146331698</v>
      </c>
      <c r="X59" s="3">
        <v>7685861.4146331698</v>
      </c>
      <c r="Y59" s="3">
        <v>7685861.4146331698</v>
      </c>
      <c r="Z59" s="3">
        <v>5987336.9734887797</v>
      </c>
      <c r="AA59" s="3">
        <v>7685861.4146331698</v>
      </c>
      <c r="AB59" s="3">
        <v>7685861.4146331698</v>
      </c>
      <c r="AC59" s="3">
        <v>7685861.4146331698</v>
      </c>
      <c r="AD59" s="3">
        <v>7670008.2503171796</v>
      </c>
      <c r="AE59" s="3">
        <v>7670008.2503171796</v>
      </c>
      <c r="AF59" s="3">
        <v>7738442.9501755601</v>
      </c>
      <c r="AG59" s="3">
        <v>7738442.9501755601</v>
      </c>
      <c r="AH59" s="3">
        <v>7738442.9501755601</v>
      </c>
      <c r="AI59" s="3">
        <v>7615479.0713864798</v>
      </c>
      <c r="AJ59" s="3">
        <v>8111910.5208772197</v>
      </c>
      <c r="AK59" s="3">
        <v>7857985.8344626203</v>
      </c>
      <c r="AL59" s="3">
        <v>7615479.0713864798</v>
      </c>
      <c r="AM59" s="3">
        <v>7657349.3115268704</v>
      </c>
      <c r="AN59" s="3">
        <v>7685171.3318804</v>
      </c>
      <c r="AO59" s="3">
        <v>7682129.2886527795</v>
      </c>
      <c r="AP59" s="3">
        <v>7645987.1500695003</v>
      </c>
      <c r="AQ59" s="3">
        <v>7670008.2503171796</v>
      </c>
      <c r="AR59" s="3">
        <v>7645987.1500695003</v>
      </c>
      <c r="AS59" s="3">
        <v>7645987.1500695003</v>
      </c>
      <c r="AT59" s="3">
        <v>7670008.2503171796</v>
      </c>
      <c r="AU59" s="3">
        <v>7645987.1500695003</v>
      </c>
      <c r="AV59" s="3">
        <v>7645987.1500695003</v>
      </c>
      <c r="AW59" s="3">
        <v>7670008.2503171796</v>
      </c>
      <c r="AX59" s="3">
        <v>7670008.2503171796</v>
      </c>
      <c r="AY59" s="3">
        <v>7645987.1500695003</v>
      </c>
      <c r="AZ59" s="3">
        <v>7670008.2503171796</v>
      </c>
      <c r="BA59" s="3">
        <v>7670008.2503171796</v>
      </c>
      <c r="BB59" s="3">
        <v>7670008.2503171796</v>
      </c>
      <c r="BC59" s="3">
        <v>7670008.2503171796</v>
      </c>
      <c r="BD59" s="3">
        <v>7670008.2503171796</v>
      </c>
      <c r="BE59" s="3">
        <v>7670008.2503171796</v>
      </c>
      <c r="BF59" s="3">
        <v>7670008.2503171796</v>
      </c>
      <c r="BG59" s="3">
        <v>7670008.2503171796</v>
      </c>
      <c r="BH59" s="3">
        <v>7670008.2503171796</v>
      </c>
      <c r="BI59" s="3">
        <v>7685861.4146331698</v>
      </c>
      <c r="BJ59" s="3">
        <v>7685861.4146331698</v>
      </c>
      <c r="BK59" s="3">
        <v>7685861.4146331698</v>
      </c>
      <c r="BL59" s="3">
        <v>7670008.2503171796</v>
      </c>
      <c r="BM59" s="3">
        <v>7670008.2503171796</v>
      </c>
      <c r="BN59" s="3">
        <v>7670008.2503171796</v>
      </c>
    </row>
    <row r="60" spans="1:66" x14ac:dyDescent="0.25">
      <c r="A60" t="s">
        <v>1</v>
      </c>
      <c r="B60" s="11">
        <v>383620.23837449402</v>
      </c>
      <c r="C60" s="3">
        <v>0</v>
      </c>
      <c r="D60" s="3">
        <v>387187.66107901599</v>
      </c>
      <c r="E60" s="3">
        <v>660835.264593623</v>
      </c>
      <c r="F60" s="3">
        <v>1041182.00195373</v>
      </c>
      <c r="G60" s="3">
        <v>782.60869565217297</v>
      </c>
      <c r="H60" s="3">
        <v>0</v>
      </c>
      <c r="I60" s="3">
        <v>782.60869565217297</v>
      </c>
      <c r="J60" s="3">
        <v>782.60869565217297</v>
      </c>
      <c r="K60" s="3">
        <v>782.60869565217297</v>
      </c>
      <c r="L60" s="3">
        <v>782.60869565217297</v>
      </c>
      <c r="M60" s="3">
        <v>782.60869565217297</v>
      </c>
      <c r="N60" s="3">
        <v>782.60869565217297</v>
      </c>
      <c r="O60" s="3">
        <v>782.60869565217297</v>
      </c>
      <c r="P60" s="3">
        <v>782.60869565217297</v>
      </c>
      <c r="Q60" s="3">
        <v>782.60869565217297</v>
      </c>
      <c r="R60" s="3">
        <v>782.60869565217297</v>
      </c>
      <c r="S60" s="3">
        <v>782.60869565217297</v>
      </c>
      <c r="T60" s="3">
        <v>782.60869565217297</v>
      </c>
      <c r="U60" s="3">
        <v>782.60869565217297</v>
      </c>
      <c r="V60" s="3">
        <v>782.60869565217297</v>
      </c>
      <c r="W60" s="3">
        <v>117391.304347823</v>
      </c>
      <c r="X60" s="3">
        <v>383683.243960477</v>
      </c>
      <c r="Y60" s="3">
        <v>782.60869565217297</v>
      </c>
      <c r="Z60" s="3">
        <v>16884.589290453299</v>
      </c>
      <c r="AA60" s="3">
        <v>782.60869565217297</v>
      </c>
      <c r="AB60" s="3">
        <v>266875.36956515198</v>
      </c>
      <c r="AC60" s="3">
        <v>978254.34782616596</v>
      </c>
      <c r="AD60" s="3">
        <v>0</v>
      </c>
      <c r="AE60" s="3">
        <v>201999.13043478501</v>
      </c>
      <c r="AF60" s="3">
        <v>117391.30434782599</v>
      </c>
      <c r="AG60" s="3">
        <v>0</v>
      </c>
      <c r="AH60" s="3">
        <v>409214.83600306098</v>
      </c>
      <c r="AI60" s="3">
        <v>162886.956521741</v>
      </c>
      <c r="AJ60" s="3">
        <v>661.88914401137595</v>
      </c>
      <c r="AK60" s="3">
        <v>0</v>
      </c>
      <c r="AL60" s="3">
        <v>0</v>
      </c>
      <c r="AM60" s="3">
        <v>0</v>
      </c>
      <c r="AN60" s="3">
        <v>0</v>
      </c>
      <c r="AO60" s="3">
        <v>0</v>
      </c>
      <c r="AP60" s="3">
        <v>0</v>
      </c>
      <c r="AQ60" s="3">
        <v>0</v>
      </c>
      <c r="AR60" s="3">
        <v>471208.69565183698</v>
      </c>
      <c r="AS60" s="3">
        <v>0</v>
      </c>
      <c r="AT60" s="3">
        <v>117391.304347824</v>
      </c>
      <c r="AU60" s="3">
        <v>360667.82608691702</v>
      </c>
      <c r="AV60" s="3">
        <v>0</v>
      </c>
      <c r="AW60" s="3">
        <v>362711.73913027602</v>
      </c>
      <c r="AX60" s="3">
        <v>0</v>
      </c>
      <c r="AY60" s="3">
        <v>342643.04347831698</v>
      </c>
      <c r="AZ60" s="3">
        <v>342476.08695644501</v>
      </c>
      <c r="BA60" s="3">
        <v>353615.21739113302</v>
      </c>
      <c r="BB60" s="3">
        <v>0</v>
      </c>
      <c r="BC60" s="3">
        <v>117391.304347824</v>
      </c>
      <c r="BD60" s="3">
        <v>0</v>
      </c>
      <c r="BE60" s="3">
        <v>117391.304347824</v>
      </c>
      <c r="BF60" s="3">
        <v>0</v>
      </c>
      <c r="BG60" s="3">
        <v>0</v>
      </c>
      <c r="BH60" s="3">
        <v>353062.173912998</v>
      </c>
      <c r="BI60" s="3">
        <v>8399725.9022852294</v>
      </c>
      <c r="BJ60" s="3">
        <v>4311442.4551709602</v>
      </c>
      <c r="BK60" s="3">
        <v>51496.181769622497</v>
      </c>
      <c r="BL60" s="3">
        <v>8167495.0036304398</v>
      </c>
      <c r="BM60" s="3">
        <v>4123028.1723211999</v>
      </c>
      <c r="BN60" s="3">
        <v>0</v>
      </c>
    </row>
    <row r="61" spans="1:66" x14ac:dyDescent="0.25">
      <c r="A61" s="2" t="s">
        <v>27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</row>
    <row r="62" spans="1:66" x14ac:dyDescent="0.25">
      <c r="A62" t="s">
        <v>2</v>
      </c>
      <c r="B62" s="3">
        <v>2260249288.6444201</v>
      </c>
      <c r="C62" s="3">
        <v>2239446665.75877</v>
      </c>
      <c r="D62" s="3">
        <v>2260524451.4497299</v>
      </c>
      <c r="E62" s="3">
        <v>460919462.39662403</v>
      </c>
      <c r="F62" s="3">
        <v>461148335.73813999</v>
      </c>
      <c r="G62" s="3">
        <v>531611748.93757701</v>
      </c>
      <c r="H62" s="3">
        <v>2237962297.6343999</v>
      </c>
      <c r="I62" s="3">
        <v>530225621.81672299</v>
      </c>
      <c r="J62" s="3">
        <v>639846.93843812495</v>
      </c>
      <c r="K62" s="3">
        <v>608562.01184010797</v>
      </c>
      <c r="L62" s="3">
        <v>591730.69132540701</v>
      </c>
      <c r="M62" s="3">
        <v>591730.69132540701</v>
      </c>
      <c r="N62" s="3">
        <v>591730.69132540701</v>
      </c>
      <c r="O62" s="3">
        <v>591730.69132540701</v>
      </c>
      <c r="P62" s="3">
        <v>591730.69132540701</v>
      </c>
      <c r="Q62" s="3">
        <v>2839273.1190358298</v>
      </c>
      <c r="R62" s="3">
        <v>1377477.9392338099</v>
      </c>
      <c r="S62" s="3">
        <v>1377477.9392338099</v>
      </c>
      <c r="T62" s="3">
        <v>6168247.2146886503</v>
      </c>
      <c r="U62" s="3">
        <v>1499030.01908116</v>
      </c>
      <c r="V62" s="3">
        <v>2392413.1950011398</v>
      </c>
      <c r="W62" s="3">
        <v>591730.69132540701</v>
      </c>
      <c r="X62" s="3">
        <v>591730.69132540701</v>
      </c>
      <c r="Y62" s="3">
        <v>0</v>
      </c>
      <c r="Z62" s="3">
        <v>8063673.1757917404</v>
      </c>
      <c r="AA62" s="3">
        <v>1499030.01908116</v>
      </c>
      <c r="AB62" s="3">
        <v>1145276.9117862701</v>
      </c>
      <c r="AC62" s="3">
        <v>591730.69132540701</v>
      </c>
      <c r="AD62" s="3">
        <v>5844294.6181820296</v>
      </c>
      <c r="AE62" s="3">
        <v>1402643.7105533399</v>
      </c>
      <c r="AF62" s="3">
        <v>0</v>
      </c>
      <c r="AG62" s="3">
        <v>0</v>
      </c>
      <c r="AH62" s="3">
        <v>0</v>
      </c>
      <c r="AI62" s="3">
        <v>5474762.1203048099</v>
      </c>
      <c r="AJ62" s="3">
        <v>0</v>
      </c>
      <c r="AK62" s="3">
        <v>0</v>
      </c>
      <c r="AL62" s="3">
        <v>0</v>
      </c>
      <c r="AM62" s="3">
        <v>0</v>
      </c>
      <c r="AN62" s="3">
        <v>0</v>
      </c>
      <c r="AO62" s="3">
        <v>0</v>
      </c>
      <c r="AP62" s="3">
        <v>0</v>
      </c>
      <c r="AQ62" s="3">
        <v>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3">
        <v>0</v>
      </c>
      <c r="AX62" s="3">
        <v>0</v>
      </c>
      <c r="AY62" s="3">
        <v>1062205.09344478</v>
      </c>
      <c r="AZ62" s="3">
        <v>591730.69132540701</v>
      </c>
      <c r="BA62" s="3">
        <v>0</v>
      </c>
      <c r="BB62" s="3">
        <v>0</v>
      </c>
      <c r="BC62" s="3">
        <v>0</v>
      </c>
      <c r="BD62" s="3">
        <v>0</v>
      </c>
      <c r="BE62" s="3">
        <v>0</v>
      </c>
      <c r="BF62" s="3">
        <v>0</v>
      </c>
      <c r="BG62" s="3">
        <v>0</v>
      </c>
      <c r="BH62" s="3">
        <v>0</v>
      </c>
      <c r="BI62" s="3">
        <v>0</v>
      </c>
      <c r="BJ62" s="3">
        <v>0</v>
      </c>
      <c r="BK62" s="3">
        <v>0</v>
      </c>
      <c r="BL62" s="3">
        <v>0</v>
      </c>
      <c r="BM62" s="3">
        <v>0</v>
      </c>
      <c r="BN62" s="3">
        <v>0</v>
      </c>
    </row>
    <row r="63" spans="1:66" x14ac:dyDescent="0.25">
      <c r="A63" t="s">
        <v>0</v>
      </c>
      <c r="B63" s="3">
        <v>18371882.370204199</v>
      </c>
      <c r="C63" s="3">
        <v>18146873.031422999</v>
      </c>
      <c r="D63" s="3">
        <v>18289531.5125539</v>
      </c>
      <c r="E63" s="3">
        <v>234763710.57674</v>
      </c>
      <c r="F63" s="3">
        <v>227413103.07681701</v>
      </c>
      <c r="G63" s="3">
        <v>249860024.891193</v>
      </c>
      <c r="H63" s="3">
        <v>17521742.9570923</v>
      </c>
      <c r="I63" s="3">
        <v>252333604.42830101</v>
      </c>
      <c r="J63" s="3">
        <v>329982083.09076297</v>
      </c>
      <c r="K63" s="3">
        <v>330398029.65081698</v>
      </c>
      <c r="L63" s="3">
        <v>330402311.13827002</v>
      </c>
      <c r="M63" s="3">
        <v>330402311.13827002</v>
      </c>
      <c r="N63" s="3">
        <v>330402311.13827002</v>
      </c>
      <c r="O63" s="3">
        <v>330402311.13827002</v>
      </c>
      <c r="P63" s="3">
        <v>330402311.13827002</v>
      </c>
      <c r="Q63" s="3">
        <v>327219838.05708098</v>
      </c>
      <c r="R63" s="3">
        <v>328584828.54076999</v>
      </c>
      <c r="S63" s="3">
        <v>328584828.54076999</v>
      </c>
      <c r="T63" s="3">
        <v>322334999.496795</v>
      </c>
      <c r="U63" s="3">
        <v>328303670.96700698</v>
      </c>
      <c r="V63" s="3">
        <v>328219104.25765502</v>
      </c>
      <c r="W63" s="3">
        <v>322282395.35480398</v>
      </c>
      <c r="X63" s="3">
        <v>315931450.39272302</v>
      </c>
      <c r="Y63" s="3">
        <v>331771021.28870797</v>
      </c>
      <c r="Z63" s="3">
        <v>252601857.22029799</v>
      </c>
      <c r="AA63" s="3">
        <v>328303670.96700698</v>
      </c>
      <c r="AB63" s="3">
        <v>310651371.83779597</v>
      </c>
      <c r="AC63" s="3">
        <v>293476673.11755598</v>
      </c>
      <c r="AD63" s="3">
        <v>322569681.484052</v>
      </c>
      <c r="AE63" s="3">
        <v>320418933.44793701</v>
      </c>
      <c r="AF63" s="3">
        <v>342347551.07335502</v>
      </c>
      <c r="AG63" s="3">
        <v>346789114.358648</v>
      </c>
      <c r="AH63" s="3">
        <v>338250676.99282497</v>
      </c>
      <c r="AI63" s="3">
        <v>335761213.19798303</v>
      </c>
      <c r="AJ63" s="3">
        <v>445384864.54277402</v>
      </c>
      <c r="AK63" s="3">
        <v>431447564.16910702</v>
      </c>
      <c r="AL63" s="3">
        <v>351808996.53383201</v>
      </c>
      <c r="AM63" s="3">
        <v>333523585.99850601</v>
      </c>
      <c r="AN63" s="3">
        <v>380189251.57179201</v>
      </c>
      <c r="AO63" s="3">
        <v>326831944.91225201</v>
      </c>
      <c r="AP63" s="3">
        <v>341287726.17254299</v>
      </c>
      <c r="AQ63" s="3">
        <v>331464587.11156601</v>
      </c>
      <c r="AR63" s="3">
        <v>321206562.43709701</v>
      </c>
      <c r="AS63" s="3">
        <v>341287726.17254299</v>
      </c>
      <c r="AT63" s="3">
        <v>326896914.53985</v>
      </c>
      <c r="AU63" s="3">
        <v>325908952.656555</v>
      </c>
      <c r="AV63" s="3">
        <v>341287726.17254299</v>
      </c>
      <c r="AW63" s="3">
        <v>317355520.34808803</v>
      </c>
      <c r="AX63" s="3">
        <v>331464587.11163098</v>
      </c>
      <c r="AY63" s="3">
        <v>324079069.57940698</v>
      </c>
      <c r="AZ63" s="3">
        <v>316774587.81657398</v>
      </c>
      <c r="BA63" s="3">
        <v>317710687.31554198</v>
      </c>
      <c r="BB63" s="3">
        <v>331464587.11163098</v>
      </c>
      <c r="BC63" s="3">
        <v>326896914.53985</v>
      </c>
      <c r="BD63" s="3">
        <v>331464587.11163098</v>
      </c>
      <c r="BE63" s="3">
        <v>326896914.53985</v>
      </c>
      <c r="BF63" s="3">
        <v>331464587.11163098</v>
      </c>
      <c r="BG63" s="3">
        <v>331464587.11163098</v>
      </c>
      <c r="BH63" s="3">
        <v>317732205.41549498</v>
      </c>
      <c r="BI63" s="3">
        <v>436171842.51725698</v>
      </c>
      <c r="BJ63" s="3">
        <v>222505239.304602</v>
      </c>
      <c r="BK63" s="3">
        <v>331027758.79087698</v>
      </c>
      <c r="BL63" s="3">
        <v>452712446.33587801</v>
      </c>
      <c r="BM63" s="3">
        <v>245536194.188411</v>
      </c>
      <c r="BN63" s="3">
        <v>331464587.11163098</v>
      </c>
    </row>
    <row r="64" spans="1:66" x14ac:dyDescent="0.25">
      <c r="A64" t="s">
        <v>1</v>
      </c>
      <c r="B64" s="3">
        <v>0</v>
      </c>
      <c r="C64" s="3">
        <v>0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0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>
        <v>0</v>
      </c>
      <c r="AZ64" s="3">
        <v>0</v>
      </c>
      <c r="BA64" s="3">
        <v>0</v>
      </c>
      <c r="BB64" s="3">
        <v>0</v>
      </c>
      <c r="BC64" s="3">
        <v>0</v>
      </c>
      <c r="BD64" s="3">
        <v>0</v>
      </c>
      <c r="BE64" s="3">
        <v>0</v>
      </c>
      <c r="BF64" s="3">
        <v>0</v>
      </c>
      <c r="BG64" s="3">
        <v>0</v>
      </c>
      <c r="BH64" s="3">
        <v>0</v>
      </c>
      <c r="BI64" s="3">
        <v>0</v>
      </c>
      <c r="BJ64" s="3">
        <v>0</v>
      </c>
      <c r="BK64" s="3">
        <v>0</v>
      </c>
      <c r="BL64" s="3">
        <v>0</v>
      </c>
      <c r="BM64" s="3">
        <v>0</v>
      </c>
      <c r="BN64" s="3">
        <v>0</v>
      </c>
    </row>
    <row r="65" spans="1:66" x14ac:dyDescent="0.25">
      <c r="A65" s="2" t="s">
        <v>28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</row>
    <row r="66" spans="1:66" x14ac:dyDescent="0.25">
      <c r="A66" t="s">
        <v>0</v>
      </c>
      <c r="B66" s="3">
        <v>1805535.0043492101</v>
      </c>
      <c r="C66" s="3">
        <v>1377546.9412949099</v>
      </c>
      <c r="D66" s="3">
        <v>1669852.12173551</v>
      </c>
      <c r="E66" s="3">
        <v>518786.21999804798</v>
      </c>
      <c r="F66" s="3">
        <v>502929.45532035403</v>
      </c>
      <c r="G66" s="3">
        <v>222662.824504385</v>
      </c>
      <c r="H66" s="3">
        <v>674248.02661492105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68999.202625197096</v>
      </c>
      <c r="R66" s="3">
        <v>0</v>
      </c>
      <c r="S66" s="3">
        <v>0</v>
      </c>
      <c r="T66" s="3">
        <v>566839.10952401999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15134.328222105099</v>
      </c>
      <c r="AC66" s="3">
        <v>0</v>
      </c>
      <c r="AD66" s="3">
        <v>358632.62827266002</v>
      </c>
      <c r="AE66" s="3">
        <v>40154.239265964701</v>
      </c>
      <c r="AF66" s="3">
        <v>0</v>
      </c>
      <c r="AG66" s="3">
        <v>0</v>
      </c>
      <c r="AH66" s="3">
        <v>0</v>
      </c>
      <c r="AI66" s="3">
        <v>140058.92591035599</v>
      </c>
      <c r="AJ66" s="3">
        <v>0</v>
      </c>
      <c r="AK66" s="3">
        <v>0</v>
      </c>
      <c r="AL66" s="3">
        <v>0</v>
      </c>
      <c r="AM66" s="3">
        <v>0</v>
      </c>
      <c r="AN66" s="3">
        <v>0</v>
      </c>
      <c r="AO66" s="3">
        <v>0</v>
      </c>
      <c r="AP66" s="3">
        <v>0</v>
      </c>
      <c r="AQ66" s="3">
        <v>0</v>
      </c>
      <c r="AR66" s="3">
        <v>11438.8122982648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>
        <v>0</v>
      </c>
      <c r="AY66" s="3">
        <v>0</v>
      </c>
      <c r="AZ66" s="3">
        <v>0</v>
      </c>
      <c r="BA66" s="3">
        <v>0</v>
      </c>
      <c r="BB66" s="3">
        <v>0</v>
      </c>
      <c r="BC66" s="3">
        <v>0</v>
      </c>
      <c r="BD66" s="3">
        <v>0</v>
      </c>
      <c r="BE66" s="3">
        <v>0</v>
      </c>
      <c r="BF66" s="3">
        <v>0</v>
      </c>
      <c r="BG66" s="3">
        <v>0</v>
      </c>
      <c r="BH66" s="3">
        <v>0</v>
      </c>
      <c r="BI66" s="3">
        <v>345140338.68491501</v>
      </c>
      <c r="BJ66" s="3">
        <v>0</v>
      </c>
      <c r="BK66" s="3">
        <v>0</v>
      </c>
      <c r="BL66" s="3">
        <v>320296207.85106802</v>
      </c>
      <c r="BM66" s="3">
        <v>0</v>
      </c>
      <c r="BN66" s="3">
        <v>0</v>
      </c>
    </row>
    <row r="67" spans="1:66" x14ac:dyDescent="0.25">
      <c r="A67" t="s">
        <v>24</v>
      </c>
      <c r="B67" s="3">
        <v>19197771191.536098</v>
      </c>
      <c r="C67" s="3">
        <v>19173592706.863701</v>
      </c>
      <c r="D67" s="3">
        <v>19198779060.3866</v>
      </c>
      <c r="E67" s="3">
        <v>19212309365.176102</v>
      </c>
      <c r="F67" s="3">
        <v>19212133320.439201</v>
      </c>
      <c r="G67" s="3">
        <v>19209742603.772499</v>
      </c>
      <c r="H67" s="3">
        <v>19161768445.724098</v>
      </c>
      <c r="I67" s="3">
        <v>19209742603.772499</v>
      </c>
      <c r="J67" s="3">
        <v>19206596636.9305</v>
      </c>
      <c r="K67" s="3">
        <v>76858614146.318405</v>
      </c>
      <c r="L67" s="3">
        <v>76858614146.318405</v>
      </c>
      <c r="M67" s="3">
        <v>76858614146.318405</v>
      </c>
      <c r="N67" s="3">
        <v>153717228292.63599</v>
      </c>
      <c r="O67" s="3">
        <v>384293070731.54797</v>
      </c>
      <c r="P67" s="3">
        <v>768586141463.09595</v>
      </c>
      <c r="Q67" s="3">
        <v>76858614146.318405</v>
      </c>
      <c r="R67" s="3">
        <v>76858614146.318405</v>
      </c>
      <c r="S67" s="3">
        <v>76858614146.318405</v>
      </c>
      <c r="T67" s="3">
        <v>76858614146.318405</v>
      </c>
      <c r="U67" s="3">
        <v>76858614146.318405</v>
      </c>
      <c r="V67" s="3">
        <v>76858614146.318405</v>
      </c>
      <c r="W67" s="3">
        <v>76858614146.318405</v>
      </c>
      <c r="X67" s="3">
        <v>76858614146.318405</v>
      </c>
      <c r="Y67" s="3">
        <v>76858614146.318405</v>
      </c>
      <c r="Z67" s="3">
        <v>59873369734.866302</v>
      </c>
      <c r="AA67" s="3">
        <v>76858614146.318405</v>
      </c>
      <c r="AB67" s="3">
        <v>76858614146.318405</v>
      </c>
      <c r="AC67" s="3">
        <v>76858614146.318405</v>
      </c>
      <c r="AD67" s="3">
        <v>76700082503.154099</v>
      </c>
      <c r="AE67" s="3">
        <v>76700082503.154099</v>
      </c>
      <c r="AF67" s="3">
        <v>77384429501.756805</v>
      </c>
      <c r="AG67" s="3">
        <v>77384429501.756805</v>
      </c>
      <c r="AH67" s="3">
        <v>77384429501.756805</v>
      </c>
      <c r="AI67" s="3">
        <v>76154790713.864807</v>
      </c>
      <c r="AJ67" s="3">
        <v>81119105208.772095</v>
      </c>
      <c r="AK67" s="3">
        <v>78579858344.627502</v>
      </c>
      <c r="AL67" s="3">
        <v>76154790713.864807</v>
      </c>
      <c r="AM67" s="3">
        <v>76573493115.274597</v>
      </c>
      <c r="AN67" s="3">
        <v>76851713318.801193</v>
      </c>
      <c r="AO67" s="3">
        <v>76821292886.530594</v>
      </c>
      <c r="AP67" s="3">
        <v>76459871500.705399</v>
      </c>
      <c r="AQ67" s="3">
        <v>76700082503.154099</v>
      </c>
      <c r="AR67" s="3">
        <v>76459871500.705399</v>
      </c>
      <c r="AS67" s="3">
        <v>76459871500.705399</v>
      </c>
      <c r="AT67" s="3">
        <v>76700082503.154099</v>
      </c>
      <c r="AU67" s="3">
        <v>76459871500.705399</v>
      </c>
      <c r="AV67" s="3">
        <v>76459871500.705399</v>
      </c>
      <c r="AW67" s="3">
        <v>76700082503.154099</v>
      </c>
      <c r="AX67" s="3">
        <v>76700082503.154099</v>
      </c>
      <c r="AY67" s="3">
        <v>76459871500.705399</v>
      </c>
      <c r="AZ67" s="3">
        <v>76700082503.154099</v>
      </c>
      <c r="BA67" s="3">
        <v>76700082503.154099</v>
      </c>
      <c r="BB67" s="3">
        <v>76700082503.154099</v>
      </c>
      <c r="BC67" s="3">
        <v>76700082503.154099</v>
      </c>
      <c r="BD67" s="3">
        <v>76700082503.154099</v>
      </c>
      <c r="BE67" s="3">
        <v>76700082503.154099</v>
      </c>
      <c r="BF67" s="3">
        <v>76700082503.154099</v>
      </c>
      <c r="BG67" s="3">
        <v>76700082503.154099</v>
      </c>
      <c r="BH67" s="3">
        <v>76700082503.154099</v>
      </c>
      <c r="BI67" s="3">
        <v>0</v>
      </c>
      <c r="BJ67" s="3">
        <v>0</v>
      </c>
      <c r="BK67" s="3">
        <v>0</v>
      </c>
      <c r="BL67" s="3">
        <v>0</v>
      </c>
      <c r="BM67" s="3">
        <v>0</v>
      </c>
      <c r="BN67" s="3">
        <v>0</v>
      </c>
    </row>
    <row r="68" spans="1:66" x14ac:dyDescent="0.25">
      <c r="A68" t="s">
        <v>1</v>
      </c>
      <c r="B68" s="3">
        <v>0</v>
      </c>
      <c r="C68" s="3">
        <v>0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3">
        <v>0</v>
      </c>
      <c r="AD68" s="3">
        <v>0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v>0</v>
      </c>
      <c r="AN68" s="3">
        <v>0</v>
      </c>
      <c r="AO68" s="3">
        <v>0</v>
      </c>
      <c r="AP68" s="3">
        <v>0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0</v>
      </c>
      <c r="AX68" s="3">
        <v>0</v>
      </c>
      <c r="AY68" s="3">
        <v>0</v>
      </c>
      <c r="AZ68" s="3">
        <v>0</v>
      </c>
      <c r="BA68" s="3">
        <v>0</v>
      </c>
      <c r="BB68" s="3">
        <v>0</v>
      </c>
      <c r="BC68" s="3">
        <v>0</v>
      </c>
      <c r="BD68" s="3">
        <v>0</v>
      </c>
      <c r="BE68" s="3">
        <v>0</v>
      </c>
      <c r="BF68" s="3">
        <v>0</v>
      </c>
      <c r="BG68" s="3">
        <v>0</v>
      </c>
      <c r="BH68" s="3">
        <v>0</v>
      </c>
      <c r="BI68" s="3">
        <v>0</v>
      </c>
      <c r="BJ68" s="3">
        <v>0</v>
      </c>
      <c r="BK68" s="3">
        <v>0</v>
      </c>
      <c r="BL68" s="3">
        <v>0</v>
      </c>
      <c r="BM68" s="3">
        <v>0</v>
      </c>
      <c r="BN68" s="3">
        <v>0</v>
      </c>
    </row>
    <row r="69" spans="1:66" x14ac:dyDescent="0.25">
      <c r="A69" s="9" t="s">
        <v>77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</row>
    <row r="70" spans="1:66" x14ac:dyDescent="0.25">
      <c r="A70" s="2" t="s">
        <v>45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</row>
    <row r="71" spans="1:66" x14ac:dyDescent="0.25">
      <c r="A71" t="s">
        <v>2</v>
      </c>
      <c r="B71" s="3">
        <v>53.3439298245614</v>
      </c>
      <c r="C71" s="3">
        <v>84.317824561403498</v>
      </c>
      <c r="D71" s="3">
        <v>54.168491228070103</v>
      </c>
      <c r="E71" s="3">
        <v>53.3439298245614</v>
      </c>
      <c r="F71" s="3">
        <v>54.917894736842101</v>
      </c>
      <c r="G71" s="3">
        <v>84.317824561403498</v>
      </c>
      <c r="H71" s="3">
        <v>84.317824561403498</v>
      </c>
      <c r="I71" s="3">
        <v>84.317824561403498</v>
      </c>
      <c r="J71" s="3">
        <v>12.9213500000059</v>
      </c>
      <c r="K71" s="3">
        <v>12.921350000011</v>
      </c>
      <c r="L71" s="3">
        <v>12.92135</v>
      </c>
      <c r="M71" s="3">
        <v>12.92135</v>
      </c>
      <c r="N71" s="3">
        <v>12.92135</v>
      </c>
      <c r="O71" s="3">
        <v>12.92135</v>
      </c>
      <c r="P71" s="3">
        <v>12.92135</v>
      </c>
      <c r="Q71" s="3">
        <v>58.083999999997602</v>
      </c>
      <c r="R71" s="3">
        <v>26.876349999999899</v>
      </c>
      <c r="S71" s="3">
        <v>26.876349999999899</v>
      </c>
      <c r="T71" s="3">
        <v>75.150649999998507</v>
      </c>
      <c r="U71" s="3">
        <v>28.02535</v>
      </c>
      <c r="V71" s="3">
        <v>30</v>
      </c>
      <c r="W71" s="3">
        <v>12.9213500000086</v>
      </c>
      <c r="X71" s="3">
        <v>12.92135</v>
      </c>
      <c r="Y71" s="3">
        <v>14.92135</v>
      </c>
      <c r="Z71" s="3">
        <v>12.9213500000025</v>
      </c>
      <c r="AA71" s="3">
        <v>28.02535</v>
      </c>
      <c r="AB71" s="3">
        <v>21.986999999999998</v>
      </c>
      <c r="AC71" s="3">
        <v>12.92135</v>
      </c>
      <c r="AD71" s="3">
        <v>65.7263499999939</v>
      </c>
      <c r="AE71" s="3">
        <v>26.201999999999899</v>
      </c>
      <c r="AF71" s="3">
        <v>27.135964912280699</v>
      </c>
      <c r="AG71" s="3">
        <v>14.6424561403508</v>
      </c>
      <c r="AH71" s="3">
        <v>28.614210526315699</v>
      </c>
      <c r="AI71" s="3">
        <v>28.614210526315802</v>
      </c>
      <c r="AJ71" s="3">
        <v>46.885052631578901</v>
      </c>
      <c r="AK71" s="3">
        <v>33.135964912280699</v>
      </c>
      <c r="AL71" s="3">
        <v>14.6424561403505</v>
      </c>
      <c r="AM71" s="3">
        <v>29.544335999999898</v>
      </c>
      <c r="AN71" s="3">
        <v>16.363228070175399</v>
      </c>
      <c r="AO71" s="3">
        <v>12.921350000001601</v>
      </c>
      <c r="AP71" s="3">
        <v>18.552210526315701</v>
      </c>
      <c r="AQ71" s="3">
        <v>4.3828070175438896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>
        <v>12.92135</v>
      </c>
      <c r="AZ71" s="3">
        <v>12.92135</v>
      </c>
      <c r="BA71" s="3">
        <v>0</v>
      </c>
      <c r="BB71" s="3">
        <v>0</v>
      </c>
      <c r="BC71" s="3">
        <v>0</v>
      </c>
      <c r="BD71" s="3">
        <v>0</v>
      </c>
      <c r="BE71" s="3">
        <v>0</v>
      </c>
      <c r="BF71" s="3">
        <v>0</v>
      </c>
      <c r="BG71" s="3">
        <v>0</v>
      </c>
      <c r="BH71" s="3">
        <v>0</v>
      </c>
      <c r="BI71" s="3">
        <v>0</v>
      </c>
      <c r="BJ71" s="3">
        <v>0</v>
      </c>
      <c r="BK71" s="3">
        <v>0</v>
      </c>
      <c r="BL71" s="3">
        <v>0</v>
      </c>
      <c r="BM71" s="3">
        <v>0</v>
      </c>
      <c r="BN71" s="3">
        <v>0</v>
      </c>
    </row>
    <row r="72" spans="1:66" x14ac:dyDescent="0.25">
      <c r="A72" t="s">
        <v>0</v>
      </c>
      <c r="B72" s="11">
        <v>36</v>
      </c>
      <c r="C72" s="3">
        <v>36</v>
      </c>
      <c r="D72" s="3">
        <v>36</v>
      </c>
      <c r="E72" s="3">
        <v>36</v>
      </c>
      <c r="F72" s="3">
        <v>36</v>
      </c>
      <c r="G72" s="3">
        <v>36</v>
      </c>
      <c r="H72" s="3">
        <v>36</v>
      </c>
      <c r="I72" s="3">
        <v>36</v>
      </c>
      <c r="J72" s="3">
        <v>78</v>
      </c>
      <c r="K72" s="3">
        <v>80</v>
      </c>
      <c r="L72" s="3">
        <v>80</v>
      </c>
      <c r="M72" s="3">
        <v>95.02</v>
      </c>
      <c r="N72" s="3">
        <v>95.02</v>
      </c>
      <c r="O72" s="3">
        <v>98.084000000000003</v>
      </c>
      <c r="P72" s="3">
        <v>98.084000000000003</v>
      </c>
      <c r="Q72" s="3">
        <v>80.653000000000006</v>
      </c>
      <c r="R72" s="3">
        <v>95.02</v>
      </c>
      <c r="S72" s="3">
        <v>95.02</v>
      </c>
      <c r="T72" s="3">
        <v>40</v>
      </c>
      <c r="U72" s="3">
        <v>95.02</v>
      </c>
      <c r="V72" s="3">
        <v>78</v>
      </c>
      <c r="W72" s="3">
        <v>80</v>
      </c>
      <c r="X72" s="3">
        <v>80</v>
      </c>
      <c r="Y72" s="3">
        <v>95.02</v>
      </c>
      <c r="Z72" s="3">
        <v>36</v>
      </c>
      <c r="AA72" s="3">
        <v>95.02</v>
      </c>
      <c r="AB72" s="3">
        <v>95.02</v>
      </c>
      <c r="AC72" s="3">
        <v>83.578175438596404</v>
      </c>
      <c r="AD72" s="3">
        <v>40</v>
      </c>
      <c r="AE72" s="3">
        <v>106.79814035087701</v>
      </c>
      <c r="AF72" s="3">
        <v>94.642456140350802</v>
      </c>
      <c r="AG72" s="3">
        <v>91.685964912280696</v>
      </c>
      <c r="AH72" s="3">
        <v>91.685964912280696</v>
      </c>
      <c r="AI72" s="3">
        <v>91.685964912280696</v>
      </c>
      <c r="AJ72" s="3">
        <v>80</v>
      </c>
      <c r="AK72" s="3">
        <v>94.642456140350802</v>
      </c>
      <c r="AL72" s="3">
        <v>80</v>
      </c>
      <c r="AM72" s="3">
        <v>80</v>
      </c>
      <c r="AN72" s="3">
        <v>80</v>
      </c>
      <c r="AO72" s="3">
        <v>98.084000000000003</v>
      </c>
      <c r="AP72" s="3">
        <v>95.02</v>
      </c>
      <c r="AQ72" s="3">
        <v>98.083999999995996</v>
      </c>
      <c r="AR72" s="3">
        <v>80.000000000015802</v>
      </c>
      <c r="AS72" s="3">
        <v>98.084000000000003</v>
      </c>
      <c r="AT72" s="3">
        <v>98.084000000000003</v>
      </c>
      <c r="AU72" s="3">
        <v>80</v>
      </c>
      <c r="AV72" s="3">
        <v>79.7713684210526</v>
      </c>
      <c r="AW72" s="3">
        <v>80</v>
      </c>
      <c r="AX72" s="3">
        <v>79.155508771931395</v>
      </c>
      <c r="AY72" s="3">
        <v>103.908596491228</v>
      </c>
      <c r="AZ72" s="3">
        <v>80</v>
      </c>
      <c r="BA72" s="3">
        <v>80</v>
      </c>
      <c r="BB72" s="3">
        <v>80</v>
      </c>
      <c r="BC72" s="3">
        <v>98.084000000000003</v>
      </c>
      <c r="BD72" s="3">
        <v>98.084000000000003</v>
      </c>
      <c r="BE72" s="3">
        <v>98.084000000000003</v>
      </c>
      <c r="BF72" s="3">
        <v>98.084000000000003</v>
      </c>
      <c r="BG72" s="3">
        <v>80</v>
      </c>
      <c r="BH72" s="3">
        <v>80</v>
      </c>
      <c r="BI72" s="3">
        <v>80</v>
      </c>
      <c r="BJ72" s="3">
        <v>80</v>
      </c>
      <c r="BK72" s="3">
        <v>65.810415091664197</v>
      </c>
      <c r="BL72" s="3">
        <v>80</v>
      </c>
      <c r="BM72" s="3">
        <v>80</v>
      </c>
      <c r="BN72" s="3">
        <v>77.976804403882795</v>
      </c>
    </row>
    <row r="73" spans="1:66" x14ac:dyDescent="0.25">
      <c r="A73" t="s">
        <v>1</v>
      </c>
      <c r="B73" s="3">
        <v>32.769017543859597</v>
      </c>
      <c r="C73" s="3">
        <v>0</v>
      </c>
      <c r="D73" s="3">
        <v>34.694666666666599</v>
      </c>
      <c r="E73" s="3">
        <v>34.4154385964912</v>
      </c>
      <c r="F73" s="3">
        <v>33.104912280701697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6</v>
      </c>
      <c r="X73" s="3">
        <v>7.7593684210526401</v>
      </c>
      <c r="Y73" s="3">
        <v>0</v>
      </c>
      <c r="Z73" s="3">
        <v>6</v>
      </c>
      <c r="AA73" s="3">
        <v>0</v>
      </c>
      <c r="AB73" s="3">
        <v>18.083999999993299</v>
      </c>
      <c r="AC73" s="3">
        <v>19.87</v>
      </c>
      <c r="AD73" s="3">
        <v>0</v>
      </c>
      <c r="AE73" s="3">
        <v>17.318000000000001</v>
      </c>
      <c r="AF73" s="3">
        <v>6</v>
      </c>
      <c r="AG73" s="3">
        <v>0</v>
      </c>
      <c r="AH73" s="3">
        <v>10.5442105263157</v>
      </c>
      <c r="AI73" s="3">
        <v>11.8371929824561</v>
      </c>
      <c r="AJ73" s="3">
        <v>6</v>
      </c>
      <c r="AK73" s="3">
        <v>6</v>
      </c>
      <c r="AL73" s="3">
        <v>6</v>
      </c>
      <c r="AM73" s="3">
        <v>6</v>
      </c>
      <c r="AN73" s="3">
        <v>6</v>
      </c>
      <c r="AO73" s="3">
        <v>6</v>
      </c>
      <c r="AP73" s="3">
        <v>6</v>
      </c>
      <c r="AQ73" s="3">
        <v>4.3828070175448</v>
      </c>
      <c r="AR73" s="3">
        <v>24.083999999980801</v>
      </c>
      <c r="AS73" s="3">
        <v>1.0979999999986001</v>
      </c>
      <c r="AT73" s="3">
        <v>6</v>
      </c>
      <c r="AU73" s="3">
        <v>18.083999999990301</v>
      </c>
      <c r="AV73" s="3">
        <v>18.9284912280689</v>
      </c>
      <c r="AW73" s="3">
        <v>19.103999999993601</v>
      </c>
      <c r="AX73" s="3">
        <v>18.928491228068498</v>
      </c>
      <c r="AY73" s="3">
        <v>17.87</v>
      </c>
      <c r="AZ73" s="3">
        <v>19.103999999999001</v>
      </c>
      <c r="BA73" s="3">
        <v>19.317999999990899</v>
      </c>
      <c r="BB73" s="3">
        <v>18.9284912280702</v>
      </c>
      <c r="BC73" s="3">
        <v>6</v>
      </c>
      <c r="BD73" s="3">
        <v>6</v>
      </c>
      <c r="BE73" s="3">
        <v>6</v>
      </c>
      <c r="BF73" s="3">
        <v>6</v>
      </c>
      <c r="BG73" s="3">
        <v>18.928491228070101</v>
      </c>
      <c r="BH73" s="3">
        <v>19.317999999999401</v>
      </c>
      <c r="BI73" s="3">
        <v>176.36322807017601</v>
      </c>
      <c r="BJ73" s="3">
        <v>98.084000000000003</v>
      </c>
      <c r="BK73" s="3">
        <v>32.485621477995601</v>
      </c>
      <c r="BL73" s="3">
        <v>172.921684210526</v>
      </c>
      <c r="BM73" s="3">
        <v>94.105543859649103</v>
      </c>
      <c r="BN73" s="3">
        <v>20.2601351596863</v>
      </c>
    </row>
    <row r="74" spans="1:66" x14ac:dyDescent="0.25">
      <c r="A74" t="s">
        <v>75</v>
      </c>
      <c r="B74" s="3">
        <v>26.4866431643824</v>
      </c>
      <c r="C74" s="3">
        <v>34.1799122807017</v>
      </c>
      <c r="D74" s="3">
        <v>26.349473684210501</v>
      </c>
      <c r="E74" s="3">
        <v>23.117388576681101</v>
      </c>
      <c r="F74" s="3">
        <v>24.891352674537298</v>
      </c>
      <c r="G74" s="3">
        <v>34.685052631578898</v>
      </c>
      <c r="H74" s="3">
        <v>33.602350877192897</v>
      </c>
      <c r="I74" s="3">
        <v>34.685052631578898</v>
      </c>
      <c r="J74" s="3">
        <v>58.084000000000003</v>
      </c>
      <c r="K74" s="3">
        <v>30.007649999998101</v>
      </c>
      <c r="L74" s="3">
        <v>18.084</v>
      </c>
      <c r="M74" s="3">
        <v>18.084</v>
      </c>
      <c r="N74" s="3">
        <v>18.084</v>
      </c>
      <c r="O74" s="3">
        <v>16.744</v>
      </c>
      <c r="P74" s="3">
        <v>15.87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28.084</v>
      </c>
      <c r="W74" s="3">
        <v>24.007649999999899</v>
      </c>
      <c r="X74" s="3">
        <v>15.1039999972038</v>
      </c>
      <c r="Y74" s="3">
        <v>17.280649999999699</v>
      </c>
      <c r="Z74" s="3">
        <v>98.084000000000003</v>
      </c>
      <c r="AA74" s="3">
        <v>0</v>
      </c>
      <c r="AB74" s="3">
        <v>0</v>
      </c>
      <c r="AC74" s="3">
        <v>0</v>
      </c>
      <c r="AD74" s="3">
        <v>0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>
        <v>0</v>
      </c>
      <c r="AZ74" s="3">
        <v>0</v>
      </c>
      <c r="BA74" s="3">
        <v>0</v>
      </c>
      <c r="BB74" s="3">
        <v>0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>
        <v>0</v>
      </c>
      <c r="BI74" s="3">
        <v>0</v>
      </c>
      <c r="BJ74" s="3">
        <v>0</v>
      </c>
      <c r="BK74" s="3">
        <v>0</v>
      </c>
      <c r="BL74" s="3">
        <v>0</v>
      </c>
      <c r="BM74" s="3">
        <v>0</v>
      </c>
      <c r="BN74" s="3">
        <v>0</v>
      </c>
    </row>
    <row r="75" spans="1:66" x14ac:dyDescent="0.25">
      <c r="A75" s="2" t="s">
        <v>46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</row>
    <row r="76" spans="1:66" x14ac:dyDescent="0.25">
      <c r="A76" t="s">
        <v>0</v>
      </c>
      <c r="B76" s="3">
        <v>31.918315789471698</v>
      </c>
      <c r="C76" s="3">
        <v>34.577473684210503</v>
      </c>
      <c r="D76" s="3">
        <v>31.9702956741802</v>
      </c>
      <c r="E76" s="3">
        <v>23.7619649122806</v>
      </c>
      <c r="F76" s="3">
        <v>20.737122807017499</v>
      </c>
      <c r="G76" s="3">
        <v>30.0063157894736</v>
      </c>
      <c r="H76" s="3">
        <v>33.555754385964903</v>
      </c>
      <c r="I76" s="3">
        <v>0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24.474877192971501</v>
      </c>
      <c r="R76" s="3">
        <v>0</v>
      </c>
      <c r="S76" s="3">
        <v>0</v>
      </c>
      <c r="T76" s="3">
        <v>38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6.0729649122806801</v>
      </c>
      <c r="AC76" s="3">
        <v>0</v>
      </c>
      <c r="AD76" s="3">
        <v>36.150209649112703</v>
      </c>
      <c r="AE76" s="3">
        <v>8.8093684210525893</v>
      </c>
      <c r="AF76" s="3">
        <v>0</v>
      </c>
      <c r="AG76" s="3">
        <v>0</v>
      </c>
      <c r="AH76" s="3">
        <v>0</v>
      </c>
      <c r="AI76" s="3">
        <v>5.7028070175438703</v>
      </c>
      <c r="AJ76" s="3">
        <v>0</v>
      </c>
      <c r="AK76" s="3">
        <v>0</v>
      </c>
      <c r="AL76" s="3">
        <v>0</v>
      </c>
      <c r="AM76" s="3">
        <v>0</v>
      </c>
      <c r="AN76" s="3">
        <v>0</v>
      </c>
      <c r="AO76" s="3">
        <v>0</v>
      </c>
      <c r="AP76" s="3">
        <v>0</v>
      </c>
      <c r="AQ76" s="3">
        <v>0</v>
      </c>
      <c r="AR76" s="3">
        <v>5.6894561403317097</v>
      </c>
      <c r="AS76" s="3">
        <v>0</v>
      </c>
      <c r="AT76" s="3">
        <v>0</v>
      </c>
      <c r="AU76" s="3">
        <v>0</v>
      </c>
      <c r="AV76" s="3">
        <v>0</v>
      </c>
      <c r="AW76" s="3">
        <v>0</v>
      </c>
      <c r="AX76" s="3">
        <v>0</v>
      </c>
      <c r="AY76" s="3">
        <v>0</v>
      </c>
      <c r="AZ76" s="3">
        <v>0</v>
      </c>
      <c r="BA76" s="3">
        <v>0</v>
      </c>
      <c r="BB76" s="3">
        <v>0</v>
      </c>
      <c r="BC76" s="3">
        <v>0</v>
      </c>
      <c r="BD76" s="3">
        <v>0</v>
      </c>
      <c r="BE76" s="3">
        <v>0</v>
      </c>
      <c r="BF76" s="3">
        <v>0</v>
      </c>
      <c r="BG76" s="3">
        <v>0</v>
      </c>
      <c r="BH76" s="3">
        <v>0</v>
      </c>
      <c r="BI76" s="3">
        <v>80</v>
      </c>
      <c r="BJ76" s="3">
        <v>0</v>
      </c>
      <c r="BK76" s="3">
        <v>0</v>
      </c>
      <c r="BL76" s="3">
        <v>80</v>
      </c>
      <c r="BM76" s="3">
        <v>0</v>
      </c>
      <c r="BN76" s="3">
        <v>0</v>
      </c>
    </row>
    <row r="77" spans="1:66" x14ac:dyDescent="0.25">
      <c r="A77" t="s">
        <v>24</v>
      </c>
      <c r="B77" s="3">
        <v>86.112947368421004</v>
      </c>
      <c r="C77" s="3">
        <v>84.317824561403498</v>
      </c>
      <c r="D77" s="3">
        <v>86.863157894736801</v>
      </c>
      <c r="E77" s="3">
        <v>87.759368421052599</v>
      </c>
      <c r="F77" s="3">
        <v>88.022807017543798</v>
      </c>
      <c r="G77" s="3">
        <v>84.317824561403498</v>
      </c>
      <c r="H77" s="3">
        <v>84.317824561403498</v>
      </c>
      <c r="I77" s="3">
        <v>84.317824561403498</v>
      </c>
      <c r="J77" s="3">
        <v>86.207999999999998</v>
      </c>
      <c r="K77" s="3">
        <v>86.207999999999998</v>
      </c>
      <c r="L77" s="3">
        <v>86.207999999999998</v>
      </c>
      <c r="M77" s="3">
        <v>95.02</v>
      </c>
      <c r="N77" s="3">
        <v>95.02</v>
      </c>
      <c r="O77" s="3">
        <v>98.084000000000003</v>
      </c>
      <c r="P77" s="3">
        <v>98.084000000000003</v>
      </c>
      <c r="Q77" s="3">
        <v>98.084000000000003</v>
      </c>
      <c r="R77" s="3">
        <v>98.084000000000003</v>
      </c>
      <c r="S77" s="3">
        <v>98.084000000000003</v>
      </c>
      <c r="T77" s="3">
        <v>98.084000000000003</v>
      </c>
      <c r="U77" s="3">
        <v>98.084000000000003</v>
      </c>
      <c r="V77" s="3">
        <v>86.207999999999998</v>
      </c>
      <c r="W77" s="3">
        <v>86.207999999999998</v>
      </c>
      <c r="X77" s="3">
        <v>87.759368421052599</v>
      </c>
      <c r="Y77" s="3">
        <v>95.02</v>
      </c>
      <c r="Z77" s="3">
        <v>54.9213500000048</v>
      </c>
      <c r="AA77" s="3">
        <v>98.084000000000003</v>
      </c>
      <c r="AB77" s="3">
        <v>98.084000000000003</v>
      </c>
      <c r="AC77" s="3">
        <v>98.084000000000003</v>
      </c>
      <c r="AD77" s="3">
        <v>98.084000000000003</v>
      </c>
      <c r="AE77" s="3">
        <v>98.084000000000003</v>
      </c>
      <c r="AF77" s="3">
        <v>94.642456140350802</v>
      </c>
      <c r="AG77" s="3">
        <v>94.642456140350802</v>
      </c>
      <c r="AH77" s="3">
        <v>94.642456140350802</v>
      </c>
      <c r="AI77" s="3">
        <v>94.642456140350802</v>
      </c>
      <c r="AJ77" s="3">
        <v>92.921684210526294</v>
      </c>
      <c r="AK77" s="3">
        <v>94.642456140350802</v>
      </c>
      <c r="AL77" s="3">
        <v>94.642456140350802</v>
      </c>
      <c r="AM77" s="3">
        <v>94.642456140350802</v>
      </c>
      <c r="AN77" s="3">
        <v>96.363228070175396</v>
      </c>
      <c r="AO77" s="3">
        <v>98.084000000000003</v>
      </c>
      <c r="AP77" s="3">
        <v>98.084000000000003</v>
      </c>
      <c r="AQ77" s="3">
        <v>98.084000000000003</v>
      </c>
      <c r="AR77" s="3">
        <v>98.084000000000003</v>
      </c>
      <c r="AS77" s="3">
        <v>98.084000000000003</v>
      </c>
      <c r="AT77" s="3">
        <v>98.084000000000003</v>
      </c>
      <c r="AU77" s="3">
        <v>98.084000000000003</v>
      </c>
      <c r="AV77" s="3">
        <v>98.084000000000003</v>
      </c>
      <c r="AW77" s="3">
        <v>98.084000000000003</v>
      </c>
      <c r="AX77" s="3">
        <v>98.084000000000003</v>
      </c>
      <c r="AY77" s="3">
        <v>98.084000000000003</v>
      </c>
      <c r="AZ77" s="3">
        <v>98.084000000000003</v>
      </c>
      <c r="BA77" s="3">
        <v>98.084000000000003</v>
      </c>
      <c r="BB77" s="3">
        <v>98.084000000000003</v>
      </c>
      <c r="BC77" s="3">
        <v>98.084000000000003</v>
      </c>
      <c r="BD77" s="3">
        <v>98.084000000000003</v>
      </c>
      <c r="BE77" s="3">
        <v>98.084000000000003</v>
      </c>
      <c r="BF77" s="3">
        <v>98.084000000000003</v>
      </c>
      <c r="BG77" s="3">
        <v>98.084000000000003</v>
      </c>
      <c r="BH77" s="3">
        <v>98.084000000000003</v>
      </c>
      <c r="BI77" s="3">
        <v>98.084000000000003</v>
      </c>
      <c r="BJ77" s="3">
        <v>98.084000000000003</v>
      </c>
      <c r="BK77" s="3">
        <v>98.084000000000003</v>
      </c>
      <c r="BL77" s="3">
        <v>98.084000000000003</v>
      </c>
      <c r="BM77" s="3">
        <v>98.084000000000003</v>
      </c>
      <c r="BN77" s="3">
        <v>98.084000000000003</v>
      </c>
    </row>
    <row r="78" spans="1:66" x14ac:dyDescent="0.25">
      <c r="A78" t="s">
        <v>1</v>
      </c>
      <c r="B78" s="3">
        <v>32.769017543859597</v>
      </c>
      <c r="C78" s="3">
        <v>0</v>
      </c>
      <c r="D78" s="3">
        <v>32.694666666666599</v>
      </c>
      <c r="E78" s="3">
        <v>34.4154385964912</v>
      </c>
      <c r="F78" s="3">
        <v>32.547859649122799</v>
      </c>
      <c r="G78" s="3">
        <v>6</v>
      </c>
      <c r="H78" s="3">
        <v>0</v>
      </c>
      <c r="I78" s="3">
        <v>6</v>
      </c>
      <c r="J78" s="3">
        <v>6</v>
      </c>
      <c r="K78" s="3">
        <v>6</v>
      </c>
      <c r="L78" s="3">
        <v>6</v>
      </c>
      <c r="M78" s="3">
        <v>6</v>
      </c>
      <c r="N78" s="3">
        <v>6</v>
      </c>
      <c r="O78" s="3">
        <v>6</v>
      </c>
      <c r="P78" s="3">
        <v>6</v>
      </c>
      <c r="Q78" s="3">
        <v>6</v>
      </c>
      <c r="R78" s="3">
        <v>6</v>
      </c>
      <c r="S78" s="3">
        <v>6</v>
      </c>
      <c r="T78" s="3">
        <v>6</v>
      </c>
      <c r="U78" s="3">
        <v>6</v>
      </c>
      <c r="V78" s="3">
        <v>6</v>
      </c>
      <c r="W78" s="3">
        <v>6</v>
      </c>
      <c r="X78" s="3">
        <v>7.7593684210526401</v>
      </c>
      <c r="Y78" s="3">
        <v>6</v>
      </c>
      <c r="Z78" s="3">
        <v>6</v>
      </c>
      <c r="AA78" s="3">
        <v>6</v>
      </c>
      <c r="AB78" s="3">
        <v>18.083999999993299</v>
      </c>
      <c r="AC78" s="3">
        <v>19.87</v>
      </c>
      <c r="AD78" s="3">
        <v>0</v>
      </c>
      <c r="AE78" s="3">
        <v>17.318000000000001</v>
      </c>
      <c r="AF78" s="3">
        <v>6</v>
      </c>
      <c r="AG78" s="3">
        <v>0</v>
      </c>
      <c r="AH78" s="3">
        <v>10.5442105263157</v>
      </c>
      <c r="AI78" s="3">
        <v>11.8371929824561</v>
      </c>
      <c r="AJ78" s="3">
        <v>6</v>
      </c>
      <c r="AK78" s="3">
        <v>6</v>
      </c>
      <c r="AL78" s="3">
        <v>6</v>
      </c>
      <c r="AM78" s="3">
        <v>6</v>
      </c>
      <c r="AN78" s="3">
        <v>6</v>
      </c>
      <c r="AO78" s="3">
        <v>6</v>
      </c>
      <c r="AP78" s="3">
        <v>6</v>
      </c>
      <c r="AQ78" s="3">
        <v>2.98677113388483</v>
      </c>
      <c r="AR78" s="3">
        <v>24.083999999980801</v>
      </c>
      <c r="AS78" s="3">
        <v>1.07775020725311</v>
      </c>
      <c r="AT78" s="3">
        <v>6</v>
      </c>
      <c r="AU78" s="3">
        <v>18.083999999990301</v>
      </c>
      <c r="AV78" s="3">
        <v>18.9284912280689</v>
      </c>
      <c r="AW78" s="3">
        <v>19.103999999993601</v>
      </c>
      <c r="AX78" s="3">
        <v>18.928491228068498</v>
      </c>
      <c r="AY78" s="3">
        <v>17.87</v>
      </c>
      <c r="AZ78" s="3">
        <v>19.103999999999001</v>
      </c>
      <c r="BA78" s="3">
        <v>19.317999999990899</v>
      </c>
      <c r="BB78" s="3">
        <v>19.317999999999302</v>
      </c>
      <c r="BC78" s="3">
        <v>6</v>
      </c>
      <c r="BD78" s="3">
        <v>6</v>
      </c>
      <c r="BE78" s="3">
        <v>6</v>
      </c>
      <c r="BF78" s="3">
        <v>6</v>
      </c>
      <c r="BG78" s="3">
        <v>19.317999999999699</v>
      </c>
      <c r="BH78" s="3">
        <v>19.317999999999401</v>
      </c>
      <c r="BI78" s="3">
        <v>66.556350877193594</v>
      </c>
      <c r="BJ78" s="3">
        <v>62.102684210526299</v>
      </c>
      <c r="BK78" s="3">
        <v>43.440380003944497</v>
      </c>
      <c r="BL78" s="3">
        <v>66.556350877193196</v>
      </c>
      <c r="BM78" s="3">
        <v>62.102684210526299</v>
      </c>
      <c r="BN78" s="3">
        <v>33.417737113869002</v>
      </c>
    </row>
    <row r="79" spans="1:66" x14ac:dyDescent="0.25">
      <c r="A79" s="2" t="s">
        <v>23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</row>
    <row r="80" spans="1:66" x14ac:dyDescent="0.25">
      <c r="A80" t="s">
        <v>2</v>
      </c>
      <c r="B80" s="3">
        <v>7551914.9355758801</v>
      </c>
      <c r="C80" s="3">
        <v>7441851.4173080102</v>
      </c>
      <c r="D80" s="3">
        <v>7548317.40107805</v>
      </c>
      <c r="E80" s="3">
        <v>4709370.5991895003</v>
      </c>
      <c r="F80" s="3">
        <v>4695316.8599934299</v>
      </c>
      <c r="G80" s="3">
        <v>4690467.1677328302</v>
      </c>
      <c r="H80" s="3">
        <v>7438674.0150634302</v>
      </c>
      <c r="I80" s="3">
        <v>4687607.1544554103</v>
      </c>
      <c r="J80" s="3">
        <v>161205.78516666399</v>
      </c>
      <c r="K80" s="3">
        <v>127240.23469737</v>
      </c>
      <c r="L80" s="3">
        <v>2271.6272543858399</v>
      </c>
      <c r="M80" s="3">
        <v>3655.7006833333298</v>
      </c>
      <c r="N80" s="3">
        <v>3672.1242096491201</v>
      </c>
      <c r="O80" s="3">
        <v>3163.6046385964901</v>
      </c>
      <c r="P80" s="3">
        <v>3147.1811122806998</v>
      </c>
      <c r="Q80" s="3">
        <v>169282.024271809</v>
      </c>
      <c r="R80" s="3">
        <v>10135.2488333333</v>
      </c>
      <c r="S80" s="3">
        <v>10135.2488333333</v>
      </c>
      <c r="T80" s="3">
        <v>701317.29067674396</v>
      </c>
      <c r="U80" s="3">
        <v>11637.4284385964</v>
      </c>
      <c r="V80" s="3">
        <v>304889.459424456</v>
      </c>
      <c r="W80" s="3">
        <v>83292.406516670002</v>
      </c>
      <c r="X80" s="3">
        <v>18546.3380008772</v>
      </c>
      <c r="Y80" s="3">
        <v>56077.524044736499</v>
      </c>
      <c r="Z80" s="3">
        <v>129573.199616677</v>
      </c>
      <c r="AA80" s="3">
        <v>11637.4284385964</v>
      </c>
      <c r="AB80" s="3">
        <v>11753.176635087601</v>
      </c>
      <c r="AC80" s="3">
        <v>3295.8037982456199</v>
      </c>
      <c r="AD80" s="3">
        <v>700270.28601730801</v>
      </c>
      <c r="AE80" s="3">
        <v>45792.229685784703</v>
      </c>
      <c r="AF80" s="3">
        <v>79429.331952780296</v>
      </c>
      <c r="AG80" s="3">
        <v>7587.0842982456097</v>
      </c>
      <c r="AH80" s="3">
        <v>97550.908488644694</v>
      </c>
      <c r="AI80" s="3">
        <v>96589.410716585699</v>
      </c>
      <c r="AJ80" s="3">
        <v>358180.011412911</v>
      </c>
      <c r="AK80" s="3">
        <v>114435.099597758</v>
      </c>
      <c r="AL80" s="3">
        <v>13017.5249940064</v>
      </c>
      <c r="AM80" s="3">
        <v>66480.374027198093</v>
      </c>
      <c r="AN80" s="3">
        <v>14009.789790531901</v>
      </c>
      <c r="AO80" s="3">
        <v>10904.490845226101</v>
      </c>
      <c r="AP80" s="3">
        <v>12102.8770382291</v>
      </c>
      <c r="AQ80" s="3">
        <v>35.0624561403515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3489.6831977998299</v>
      </c>
      <c r="AZ80" s="3">
        <v>1947.2908157894699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0</v>
      </c>
      <c r="BI80" s="3">
        <v>0</v>
      </c>
      <c r="BJ80" s="3">
        <v>0</v>
      </c>
      <c r="BK80" s="3">
        <v>0</v>
      </c>
      <c r="BL80" s="3">
        <v>0</v>
      </c>
      <c r="BM80" s="3">
        <v>0</v>
      </c>
      <c r="BN80" s="3">
        <v>0</v>
      </c>
    </row>
    <row r="81" spans="1:66" x14ac:dyDescent="0.25">
      <c r="A81" t="s">
        <v>0</v>
      </c>
      <c r="B81" s="3">
        <v>189951.98703510599</v>
      </c>
      <c r="C81" s="3">
        <v>189757.69019297301</v>
      </c>
      <c r="D81" s="3">
        <v>189951.03815598899</v>
      </c>
      <c r="E81" s="3">
        <v>3049066.5912629198</v>
      </c>
      <c r="F81" s="3">
        <v>3092471.8310868102</v>
      </c>
      <c r="G81" s="3">
        <v>2879761.3036968498</v>
      </c>
      <c r="H81" s="3">
        <v>188598.06800528901</v>
      </c>
      <c r="I81" s="3">
        <v>2880290.5538512398</v>
      </c>
      <c r="J81" s="3">
        <v>7307027.2281987704</v>
      </c>
      <c r="K81" s="3">
        <v>7514449.5244724201</v>
      </c>
      <c r="L81" s="3">
        <v>7677640.5651971698</v>
      </c>
      <c r="M81" s="3">
        <v>7678386.9193024999</v>
      </c>
      <c r="N81" s="3">
        <v>7678370.4957761904</v>
      </c>
      <c r="O81" s="3">
        <v>7680688.8792498698</v>
      </c>
      <c r="P81" s="3">
        <v>7680167.6952323196</v>
      </c>
      <c r="Q81" s="3">
        <v>7517556.31400433</v>
      </c>
      <c r="R81" s="3">
        <v>7676508.7744954899</v>
      </c>
      <c r="S81" s="3">
        <v>7676508.7744954899</v>
      </c>
      <c r="T81" s="3">
        <v>6986753.9513499904</v>
      </c>
      <c r="U81" s="3">
        <v>7675006.5948902201</v>
      </c>
      <c r="V81" s="3">
        <v>7355582.8625523997</v>
      </c>
      <c r="W81" s="3">
        <v>7598482.8586737802</v>
      </c>
      <c r="X81" s="3">
        <v>7721234.7014960796</v>
      </c>
      <c r="Y81" s="3">
        <v>7622667.1230305498</v>
      </c>
      <c r="Z81" s="3">
        <v>2962920.4938157098</v>
      </c>
      <c r="AA81" s="3">
        <v>7675006.5948902201</v>
      </c>
      <c r="AB81" s="3">
        <v>7715145.1860090699</v>
      </c>
      <c r="AC81" s="3">
        <v>7832825.4786606897</v>
      </c>
      <c r="AD81" s="3">
        <v>6970733.4634505101</v>
      </c>
      <c r="AE81" s="3">
        <v>7655363.2057680301</v>
      </c>
      <c r="AF81" s="3">
        <v>7677044.9225705899</v>
      </c>
      <c r="AG81" s="3">
        <v>7730855.8658773201</v>
      </c>
      <c r="AH81" s="3">
        <v>7703476.8872049497</v>
      </c>
      <c r="AI81" s="3">
        <v>7544355.2015550602</v>
      </c>
      <c r="AJ81" s="3">
        <v>7756946.9525807202</v>
      </c>
      <c r="AK81" s="3">
        <v>7745705.2748055002</v>
      </c>
      <c r="AL81" s="3">
        <v>7603428.6313284496</v>
      </c>
      <c r="AM81" s="3">
        <v>7594439.9180144696</v>
      </c>
      <c r="AN81" s="3">
        <v>7672723.4842454204</v>
      </c>
      <c r="AO81" s="3">
        <v>7673561.85184603</v>
      </c>
      <c r="AP81" s="3">
        <v>7635928.7020027703</v>
      </c>
      <c r="AQ81" s="3">
        <v>7669973.9832275799</v>
      </c>
      <c r="AR81" s="3">
        <v>7718560.1127040498</v>
      </c>
      <c r="AS81" s="3">
        <v>7645987.5474986099</v>
      </c>
      <c r="AT81" s="3">
        <v>7688039.5546650495</v>
      </c>
      <c r="AU81" s="3">
        <v>7701385.7281561298</v>
      </c>
      <c r="AV81" s="3">
        <v>7647772.8690141803</v>
      </c>
      <c r="AW81" s="3">
        <v>7725720.7734477501</v>
      </c>
      <c r="AX81" s="3">
        <v>7671740.7152322195</v>
      </c>
      <c r="AY81" s="3">
        <v>7695127.43834987</v>
      </c>
      <c r="AZ81" s="3">
        <v>7720665.2864581002</v>
      </c>
      <c r="BA81" s="3">
        <v>7724323.5477082897</v>
      </c>
      <c r="BB81" s="3">
        <v>7671613.4336484103</v>
      </c>
      <c r="BC81" s="3">
        <v>7688039.5546650495</v>
      </c>
      <c r="BD81" s="3">
        <v>7670184.4346952504</v>
      </c>
      <c r="BE81" s="3">
        <v>7688039.5546650495</v>
      </c>
      <c r="BF81" s="3">
        <v>7670184.4346952504</v>
      </c>
      <c r="BG81" s="3">
        <v>7671643.96688262</v>
      </c>
      <c r="BH81" s="3">
        <v>7724238.6002300996</v>
      </c>
      <c r="BI81" s="3">
        <v>11663698.2053065</v>
      </c>
      <c r="BJ81" s="3">
        <v>8227029.5159309097</v>
      </c>
      <c r="BK81" s="3">
        <v>7710700.2683432698</v>
      </c>
      <c r="BL81" s="3">
        <v>11442406.393465901</v>
      </c>
      <c r="BM81" s="3">
        <v>8174998.0465153297</v>
      </c>
      <c r="BN81" s="3">
        <v>7675385.5236858204</v>
      </c>
    </row>
    <row r="82" spans="1:66" x14ac:dyDescent="0.25">
      <c r="A82" t="s">
        <v>1</v>
      </c>
      <c r="B82" s="3">
        <v>411819.21304413403</v>
      </c>
      <c r="C82" s="3">
        <v>0</v>
      </c>
      <c r="D82" s="3">
        <v>412166.738262809</v>
      </c>
      <c r="E82" s="3">
        <v>507733.34651742602</v>
      </c>
      <c r="F82" s="3">
        <v>704228.27824355895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99359.999999996697</v>
      </c>
      <c r="X82" s="3">
        <v>324749.49768816098</v>
      </c>
      <c r="Y82" s="3">
        <v>0</v>
      </c>
      <c r="Z82" s="3">
        <v>70409.784421051794</v>
      </c>
      <c r="AA82" s="3">
        <v>0</v>
      </c>
      <c r="AB82" s="3">
        <v>225883.31279994699</v>
      </c>
      <c r="AC82" s="3">
        <v>827994.48000002</v>
      </c>
      <c r="AD82" s="3">
        <v>0</v>
      </c>
      <c r="AE82" s="3">
        <v>170972.063999993</v>
      </c>
      <c r="AF82" s="3">
        <v>99359.999999999796</v>
      </c>
      <c r="AG82" s="3">
        <v>0</v>
      </c>
      <c r="AH82" s="3">
        <v>344868.57582330698</v>
      </c>
      <c r="AI82" s="3">
        <v>137867.519999999</v>
      </c>
      <c r="AJ82" s="3">
        <v>17723.941755947399</v>
      </c>
      <c r="AK82" s="3">
        <v>11872.4127980699</v>
      </c>
      <c r="AL82" s="3">
        <v>5329.0409510585096</v>
      </c>
      <c r="AM82" s="3">
        <v>19677.590544271501</v>
      </c>
      <c r="AN82" s="3">
        <v>8606.9520923311102</v>
      </c>
      <c r="AO82" s="3">
        <v>12878.141521038</v>
      </c>
      <c r="AP82" s="3">
        <v>11265.655479702</v>
      </c>
      <c r="AQ82" s="3">
        <v>4.3828070175448</v>
      </c>
      <c r="AR82" s="3">
        <v>398831.03999970399</v>
      </c>
      <c r="AS82" s="3">
        <v>2.1899999999972</v>
      </c>
      <c r="AT82" s="3">
        <v>99359.999999997701</v>
      </c>
      <c r="AU82" s="3">
        <v>305269.24799992499</v>
      </c>
      <c r="AV82" s="3">
        <v>9840.0554352409108</v>
      </c>
      <c r="AW82" s="3">
        <v>306999.21599986602</v>
      </c>
      <c r="AX82" s="3">
        <v>9546.6035438602194</v>
      </c>
      <c r="AY82" s="3">
        <v>290013.07200001599</v>
      </c>
      <c r="AZ82" s="3">
        <v>289871.75999993098</v>
      </c>
      <c r="BA82" s="5">
        <v>299299.919999882</v>
      </c>
      <c r="BB82" s="3">
        <v>8845.22898245529</v>
      </c>
      <c r="BC82" s="3">
        <v>99359.999999997701</v>
      </c>
      <c r="BD82" s="3">
        <v>970.84933333334595</v>
      </c>
      <c r="BE82" s="3">
        <v>99359.999999997701</v>
      </c>
      <c r="BF82" s="3">
        <v>970.84933333334595</v>
      </c>
      <c r="BG82" s="3">
        <v>9013.4798245611</v>
      </c>
      <c r="BH82" s="3">
        <v>298831.82399994001</v>
      </c>
      <c r="BI82" s="3">
        <v>4702616.4429896995</v>
      </c>
      <c r="BJ82" s="3">
        <v>2982061.72486516</v>
      </c>
      <c r="BK82" s="3">
        <v>132489.805127036</v>
      </c>
      <c r="BL82" s="3">
        <v>4504377.0382893896</v>
      </c>
      <c r="BM82" s="3">
        <v>2782704.18947108</v>
      </c>
      <c r="BN82" s="3">
        <v>29631.016788748901</v>
      </c>
    </row>
    <row r="83" spans="1:66" x14ac:dyDescent="0.25">
      <c r="A83" t="s">
        <v>35</v>
      </c>
      <c r="B83" s="3">
        <v>21202.142590907199</v>
      </c>
      <c r="C83" s="3">
        <v>57255.887719298596</v>
      </c>
      <c r="D83" s="3">
        <v>24826.1592116758</v>
      </c>
      <c r="E83" s="3">
        <v>20030.2914802216</v>
      </c>
      <c r="F83" s="3">
        <v>26434.568986302202</v>
      </c>
      <c r="G83" s="3">
        <v>116843.828544738</v>
      </c>
      <c r="H83" s="3">
        <v>60246.298210522204</v>
      </c>
      <c r="I83" s="3">
        <v>118589.79328158101</v>
      </c>
      <c r="J83" s="3">
        <v>218411.00996315401</v>
      </c>
      <c r="K83" s="3">
        <v>44954.264158763101</v>
      </c>
      <c r="L83" s="3">
        <v>6731.8308771929796</v>
      </c>
      <c r="M83" s="3">
        <v>4601.4033429824503</v>
      </c>
      <c r="N83" s="3">
        <v>4601.4033429824503</v>
      </c>
      <c r="O83" s="3">
        <v>2791.5394403508699</v>
      </c>
      <c r="P83" s="3">
        <v>3329.1469842105198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26171.701351757802</v>
      </c>
      <c r="W83" s="3">
        <v>22117.4537903454</v>
      </c>
      <c r="X83" s="3">
        <v>5014.1214087810504</v>
      </c>
      <c r="Y83" s="3">
        <v>7899.3762535086098</v>
      </c>
      <c r="Z83" s="3">
        <v>4606213.96369908</v>
      </c>
      <c r="AA83" s="3">
        <v>0</v>
      </c>
      <c r="AB83" s="3">
        <v>0</v>
      </c>
      <c r="AC83" s="3">
        <v>0</v>
      </c>
      <c r="AD83" s="3">
        <v>0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 s="3">
        <v>0</v>
      </c>
      <c r="BF83" s="3">
        <v>0</v>
      </c>
      <c r="BG83" s="3">
        <v>0</v>
      </c>
      <c r="BH83" s="3">
        <v>0</v>
      </c>
      <c r="BI83" s="3">
        <v>0</v>
      </c>
      <c r="BJ83" s="3">
        <v>0</v>
      </c>
      <c r="BK83" s="3">
        <v>0</v>
      </c>
      <c r="BL83" s="3">
        <v>0</v>
      </c>
      <c r="BM83" s="3">
        <v>0</v>
      </c>
      <c r="BN83" s="3">
        <v>0</v>
      </c>
    </row>
    <row r="84" spans="1:66" x14ac:dyDescent="0.25">
      <c r="A84" s="2" t="s">
        <v>22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</row>
    <row r="85" spans="1:66" x14ac:dyDescent="0.25">
      <c r="A85" t="s">
        <v>0</v>
      </c>
      <c r="B85" s="3">
        <v>2472.9729662621198</v>
      </c>
      <c r="C85" s="3">
        <v>3003.5805877192902</v>
      </c>
      <c r="D85" s="3">
        <v>2435.4392505638398</v>
      </c>
      <c r="E85" s="3">
        <v>465.42218602278001</v>
      </c>
      <c r="F85" s="3">
        <v>562.38473322931497</v>
      </c>
      <c r="G85" s="3">
        <v>584.79838596491197</v>
      </c>
      <c r="H85" s="3">
        <v>1656.9666456140101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194.31494736824601</v>
      </c>
      <c r="R85" s="3">
        <v>0</v>
      </c>
      <c r="S85" s="3">
        <v>0</v>
      </c>
      <c r="T85" s="3">
        <v>1427.21869824544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44.891245614034801</v>
      </c>
      <c r="AC85" s="3">
        <v>0</v>
      </c>
      <c r="AD85" s="3">
        <v>995.49915087635304</v>
      </c>
      <c r="AE85" s="3">
        <v>120.118701754385</v>
      </c>
      <c r="AF85" s="3">
        <v>0</v>
      </c>
      <c r="AG85" s="3">
        <v>0</v>
      </c>
      <c r="AH85" s="3">
        <v>0</v>
      </c>
      <c r="AI85" s="3">
        <v>446.10436332767398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195.30698254971401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 s="3">
        <v>0</v>
      </c>
      <c r="BF85" s="3">
        <v>0</v>
      </c>
      <c r="BG85" s="3">
        <v>0</v>
      </c>
      <c r="BH85" s="3">
        <v>0</v>
      </c>
      <c r="BI85" s="3">
        <v>3124431.9163325899</v>
      </c>
      <c r="BJ85" s="3">
        <v>0</v>
      </c>
      <c r="BK85" s="3">
        <v>0</v>
      </c>
      <c r="BL85" s="3">
        <v>2954968.6617214298</v>
      </c>
      <c r="BM85" s="3">
        <v>0</v>
      </c>
      <c r="BN85" s="3">
        <v>0</v>
      </c>
    </row>
    <row r="86" spans="1:66" x14ac:dyDescent="0.25">
      <c r="A86" t="s">
        <v>24</v>
      </c>
      <c r="B86" s="3">
        <v>7664659.2720423704</v>
      </c>
      <c r="C86" s="3">
        <v>7628605.5269133803</v>
      </c>
      <c r="D86" s="3">
        <v>7661035.2554214699</v>
      </c>
      <c r="E86" s="3">
        <v>7665831.1231528902</v>
      </c>
      <c r="F86" s="3">
        <v>7659426.8456469998</v>
      </c>
      <c r="G86" s="3">
        <v>7569017.5860898104</v>
      </c>
      <c r="H86" s="3">
        <v>7625615.1164232604</v>
      </c>
      <c r="I86" s="3">
        <v>7567271.6213527499</v>
      </c>
      <c r="J86" s="3">
        <v>7467450.4046713598</v>
      </c>
      <c r="K86" s="3">
        <v>7640907.1504754797</v>
      </c>
      <c r="L86" s="3">
        <v>7679129.5837559802</v>
      </c>
      <c r="M86" s="3">
        <v>7681260.0112901898</v>
      </c>
      <c r="N86" s="3">
        <v>7681260.0112901898</v>
      </c>
      <c r="O86" s="3">
        <v>7683069.8751928201</v>
      </c>
      <c r="P86" s="3">
        <v>7682532.2676489502</v>
      </c>
      <c r="Q86" s="3">
        <v>7685861.4146331698</v>
      </c>
      <c r="R86" s="3">
        <v>7685861.4146331698</v>
      </c>
      <c r="S86" s="3">
        <v>7685861.4146331698</v>
      </c>
      <c r="T86" s="3">
        <v>7685861.4146331698</v>
      </c>
      <c r="U86" s="3">
        <v>7685861.4146331698</v>
      </c>
      <c r="V86" s="3">
        <v>7659689.7132813698</v>
      </c>
      <c r="W86" s="3">
        <v>7663743.9608433601</v>
      </c>
      <c r="X86" s="3">
        <v>7680847.2932246402</v>
      </c>
      <c r="Y86" s="3">
        <v>7677962.0383798797</v>
      </c>
      <c r="Z86" s="3">
        <v>3079647.45093212</v>
      </c>
      <c r="AA86" s="3">
        <v>7685861.4146331698</v>
      </c>
      <c r="AB86" s="3">
        <v>7685861.4146331698</v>
      </c>
      <c r="AC86" s="3">
        <v>7685861.4146331698</v>
      </c>
      <c r="AD86" s="3">
        <v>7670008.2503171796</v>
      </c>
      <c r="AE86" s="3">
        <v>7670008.2503171796</v>
      </c>
      <c r="AF86" s="3">
        <v>7738442.9501755601</v>
      </c>
      <c r="AG86" s="3">
        <v>7738442.9501755601</v>
      </c>
      <c r="AH86" s="3">
        <v>7738442.9501755601</v>
      </c>
      <c r="AI86" s="3">
        <v>7615479.0713864798</v>
      </c>
      <c r="AJ86" s="3">
        <v>8111910.5208772197</v>
      </c>
      <c r="AK86" s="3">
        <v>7857985.8344626203</v>
      </c>
      <c r="AL86" s="3">
        <v>7615479.0713864798</v>
      </c>
      <c r="AM86" s="3">
        <v>7657349.3115268704</v>
      </c>
      <c r="AN86" s="3">
        <v>7685171.3318804</v>
      </c>
      <c r="AO86" s="3">
        <v>7682129.2886527795</v>
      </c>
      <c r="AP86" s="3">
        <v>7645987.1500695003</v>
      </c>
      <c r="AQ86" s="3">
        <v>7670008.2503171796</v>
      </c>
      <c r="AR86" s="3">
        <v>7645987.1500695003</v>
      </c>
      <c r="AS86" s="3">
        <v>7645987.1500695003</v>
      </c>
      <c r="AT86" s="3">
        <v>7670008.2503171796</v>
      </c>
      <c r="AU86" s="3">
        <v>7645987.1500695003</v>
      </c>
      <c r="AV86" s="3">
        <v>7645987.1500695003</v>
      </c>
      <c r="AW86" s="3">
        <v>7670008.2503171796</v>
      </c>
      <c r="AX86" s="3">
        <v>7670008.2503171796</v>
      </c>
      <c r="AY86" s="3">
        <v>7645987.1500695003</v>
      </c>
      <c r="AZ86" s="3">
        <v>7670008.2503171796</v>
      </c>
      <c r="BA86" s="3">
        <v>7670008.2503171796</v>
      </c>
      <c r="BB86" s="3">
        <v>7670008.2503171796</v>
      </c>
      <c r="BC86" s="3">
        <v>7670008.2503171796</v>
      </c>
      <c r="BD86" s="3">
        <v>7670008.2503171796</v>
      </c>
      <c r="BE86" s="3">
        <v>7670008.2503171796</v>
      </c>
      <c r="BF86" s="3">
        <v>7670008.2503171796</v>
      </c>
      <c r="BG86" s="3">
        <v>7670008.2503171796</v>
      </c>
      <c r="BH86" s="3">
        <v>7670008.2503171796</v>
      </c>
      <c r="BI86" s="3">
        <v>7685861.4146331698</v>
      </c>
      <c r="BJ86" s="3">
        <v>7685861.4146331698</v>
      </c>
      <c r="BK86" s="3">
        <v>7685861.4146331698</v>
      </c>
      <c r="BL86" s="3">
        <v>7670008.2503171796</v>
      </c>
      <c r="BM86" s="3">
        <v>7670008.2503171796</v>
      </c>
      <c r="BN86" s="3">
        <v>7670008.2503171796</v>
      </c>
    </row>
    <row r="87" spans="1:66" x14ac:dyDescent="0.25">
      <c r="A87" t="s">
        <v>1</v>
      </c>
      <c r="B87" s="3">
        <v>486553.890647683</v>
      </c>
      <c r="C87" s="3">
        <v>0</v>
      </c>
      <c r="D87" s="3">
        <v>486964.48282476899</v>
      </c>
      <c r="E87" s="3">
        <v>599873.99163205398</v>
      </c>
      <c r="F87" s="3">
        <v>832027.73894551501</v>
      </c>
      <c r="G87" s="3">
        <v>626.08695652173901</v>
      </c>
      <c r="H87" s="3">
        <v>0</v>
      </c>
      <c r="I87" s="3">
        <v>626.08695652173901</v>
      </c>
      <c r="J87" s="3">
        <v>782.60869565217297</v>
      </c>
      <c r="K87" s="3">
        <v>782.60869565217297</v>
      </c>
      <c r="L87" s="3">
        <v>782.60869565217297</v>
      </c>
      <c r="M87" s="3">
        <v>782.60869565217297</v>
      </c>
      <c r="N87" s="3">
        <v>782.60869565217297</v>
      </c>
      <c r="O87" s="3">
        <v>782.60869565217297</v>
      </c>
      <c r="P87" s="3">
        <v>782.60869565217297</v>
      </c>
      <c r="Q87" s="3">
        <v>782.60869565217297</v>
      </c>
      <c r="R87" s="3">
        <v>782.60869565217297</v>
      </c>
      <c r="S87" s="3">
        <v>782.60869565217297</v>
      </c>
      <c r="T87" s="3">
        <v>782.60869565217297</v>
      </c>
      <c r="U87" s="3">
        <v>782.60869565217297</v>
      </c>
      <c r="V87" s="3">
        <v>782.60869565217297</v>
      </c>
      <c r="W87" s="3">
        <v>117391.304347823</v>
      </c>
      <c r="X87" s="3">
        <v>383683.24396047101</v>
      </c>
      <c r="Y87" s="3">
        <v>782.60869565217297</v>
      </c>
      <c r="Z87" s="3">
        <v>83256.0269210353</v>
      </c>
      <c r="AA87" s="3">
        <v>782.60869565217297</v>
      </c>
      <c r="AB87" s="3">
        <v>266875.36956515198</v>
      </c>
      <c r="AC87" s="3">
        <v>978254.34782616305</v>
      </c>
      <c r="AD87" s="3">
        <v>0</v>
      </c>
      <c r="AE87" s="3">
        <v>201999.13043478399</v>
      </c>
      <c r="AF87" s="3">
        <v>117391.30434782599</v>
      </c>
      <c r="AG87" s="3">
        <v>0</v>
      </c>
      <c r="AH87" s="3">
        <v>407453.42134133697</v>
      </c>
      <c r="AI87" s="3">
        <v>162886.95652174001</v>
      </c>
      <c r="AJ87" s="3">
        <v>20940.3848723386</v>
      </c>
      <c r="AK87" s="3">
        <v>14026.9527387502</v>
      </c>
      <c r="AL87" s="3">
        <v>6296.1258873564102</v>
      </c>
      <c r="AM87" s="3">
        <v>23248.571058922</v>
      </c>
      <c r="AN87" s="3">
        <v>10168.8942489734</v>
      </c>
      <c r="AO87" s="3">
        <v>15215.1955588822</v>
      </c>
      <c r="AP87" s="3">
        <v>13310.084451444</v>
      </c>
      <c r="AQ87" s="3">
        <v>5.1781746426569004</v>
      </c>
      <c r="AR87" s="3">
        <v>471208.69565184298</v>
      </c>
      <c r="AS87" s="3">
        <v>2.5874291115096399</v>
      </c>
      <c r="AT87" s="3">
        <v>117391.304347824</v>
      </c>
      <c r="AU87" s="3">
        <v>360667.82608691801</v>
      </c>
      <c r="AV87" s="3">
        <v>11625.7743800105</v>
      </c>
      <c r="AW87" s="3">
        <v>362711.739130278</v>
      </c>
      <c r="AX87" s="3">
        <v>11279.0684591919</v>
      </c>
      <c r="AY87" s="3">
        <v>342643.04347832</v>
      </c>
      <c r="AZ87" s="3">
        <v>342476.08695644798</v>
      </c>
      <c r="BA87" s="3">
        <v>353615.21739113599</v>
      </c>
      <c r="BB87" s="3">
        <v>10450.412313864799</v>
      </c>
      <c r="BC87" s="3">
        <v>117391.304347824</v>
      </c>
      <c r="BD87" s="3">
        <v>1147.0337114051799</v>
      </c>
      <c r="BE87" s="3">
        <v>117391.304347824</v>
      </c>
      <c r="BF87" s="3">
        <v>1147.0337114051799</v>
      </c>
      <c r="BG87" s="3">
        <v>10649.196390076901</v>
      </c>
      <c r="BH87" s="3">
        <v>353062.17391299497</v>
      </c>
      <c r="BI87" s="3">
        <v>5556021.3173316903</v>
      </c>
      <c r="BJ87" s="3">
        <v>3523229.82616458</v>
      </c>
      <c r="BK87" s="3">
        <v>157328.658836071</v>
      </c>
      <c r="BL87" s="3">
        <v>5321806.5197182</v>
      </c>
      <c r="BM87" s="3">
        <v>3287693.9856702201</v>
      </c>
      <c r="BN87" s="3">
        <v>35008.290156839299</v>
      </c>
    </row>
    <row r="88" spans="1:66" x14ac:dyDescent="0.25">
      <c r="A88" s="2" t="s">
        <v>27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</row>
    <row r="89" spans="1:66" x14ac:dyDescent="0.25">
      <c r="A89" t="s">
        <v>2</v>
      </c>
      <c r="B89" s="3">
        <v>2305589764.5666699</v>
      </c>
      <c r="C89" s="3">
        <v>2271987516.2199101</v>
      </c>
      <c r="D89" s="3">
        <v>2304491441.9846501</v>
      </c>
      <c r="E89" s="3">
        <v>1437764691.9583001</v>
      </c>
      <c r="F89" s="3">
        <v>1433474103.7413399</v>
      </c>
      <c r="G89" s="3">
        <v>1431993499.0292101</v>
      </c>
      <c r="H89" s="3">
        <v>2271017459.4651499</v>
      </c>
      <c r="I89" s="3">
        <v>1431120340.7116201</v>
      </c>
      <c r="J89" s="3">
        <v>49215915.624048501</v>
      </c>
      <c r="K89" s="3">
        <v>38846277.435859099</v>
      </c>
      <c r="L89" s="3">
        <v>693524.83327793004</v>
      </c>
      <c r="M89" s="3">
        <v>1116080.6430843</v>
      </c>
      <c r="N89" s="3">
        <v>1121094.72421403</v>
      </c>
      <c r="O89" s="3">
        <v>965844.36346406897</v>
      </c>
      <c r="P89" s="3">
        <v>960830.28233434097</v>
      </c>
      <c r="Q89" s="3">
        <v>51681580.872651801</v>
      </c>
      <c r="R89" s="3">
        <v>3094278.2288761698</v>
      </c>
      <c r="S89" s="3">
        <v>3094278.2288761698</v>
      </c>
      <c r="T89" s="3">
        <v>214111252.69451299</v>
      </c>
      <c r="U89" s="3">
        <v>3552891.7000265201</v>
      </c>
      <c r="V89" s="3">
        <v>93082353.677220806</v>
      </c>
      <c r="W89" s="3">
        <v>25429062.9024923</v>
      </c>
      <c r="X89" s="3">
        <v>5662172.7641016003</v>
      </c>
      <c r="Y89" s="3">
        <v>17120394.8353227</v>
      </c>
      <c r="Z89" s="3">
        <v>39558528.578106299</v>
      </c>
      <c r="AA89" s="3">
        <v>3552891.7000265201</v>
      </c>
      <c r="AB89" s="3">
        <v>3588229.4732103799</v>
      </c>
      <c r="AC89" s="3">
        <v>1006204.59420972</v>
      </c>
      <c r="AD89" s="3">
        <v>213791603.53970399</v>
      </c>
      <c r="AE89" s="3">
        <v>13980307.903483201</v>
      </c>
      <c r="AF89" s="3">
        <v>24249671.284570999</v>
      </c>
      <c r="AG89" s="3">
        <v>2316326.9250478302</v>
      </c>
      <c r="AH89" s="3">
        <v>29782164.9282814</v>
      </c>
      <c r="AI89" s="3">
        <v>29488620.914501499</v>
      </c>
      <c r="AJ89" s="3">
        <v>109351889.58444899</v>
      </c>
      <c r="AK89" s="3">
        <v>34936886.417633399</v>
      </c>
      <c r="AL89" s="3">
        <v>3974233.3755369699</v>
      </c>
      <c r="AM89" s="3">
        <v>20296371.345453098</v>
      </c>
      <c r="AN89" s="3">
        <v>4277170.5216947598</v>
      </c>
      <c r="AO89" s="3">
        <v>3329126.81022608</v>
      </c>
      <c r="AP89" s="3">
        <v>3694992.5494666998</v>
      </c>
      <c r="AQ89" s="3">
        <v>10704.522056646199</v>
      </c>
      <c r="AR89" s="3">
        <v>0</v>
      </c>
      <c r="AS89" s="3">
        <v>0</v>
      </c>
      <c r="AT89" s="3">
        <v>0</v>
      </c>
      <c r="AU89" s="3">
        <v>0</v>
      </c>
      <c r="AV89" s="3">
        <v>0</v>
      </c>
      <c r="AW89" s="3">
        <v>0</v>
      </c>
      <c r="AX89" s="3">
        <v>0</v>
      </c>
      <c r="AY89" s="3">
        <v>1065395.7216238901</v>
      </c>
      <c r="AZ89" s="3">
        <v>594505.34226362896</v>
      </c>
      <c r="BA89" s="3">
        <v>0</v>
      </c>
      <c r="BB89" s="3">
        <v>0</v>
      </c>
      <c r="BC89" s="3">
        <v>0</v>
      </c>
      <c r="BD89" s="3">
        <v>0</v>
      </c>
      <c r="BE89" s="3">
        <v>0</v>
      </c>
      <c r="BF89" s="3">
        <v>0</v>
      </c>
      <c r="BG89" s="3">
        <v>0</v>
      </c>
      <c r="BH89" s="3">
        <v>0</v>
      </c>
      <c r="BI89" s="3">
        <v>0</v>
      </c>
      <c r="BJ89" s="3">
        <v>0</v>
      </c>
      <c r="BK89" s="3">
        <v>0</v>
      </c>
      <c r="BL89" s="3">
        <v>0</v>
      </c>
      <c r="BM89" s="3">
        <v>0</v>
      </c>
      <c r="BN89" s="3">
        <v>0</v>
      </c>
    </row>
    <row r="90" spans="1:66" x14ac:dyDescent="0.25">
      <c r="A90" t="s">
        <v>0</v>
      </c>
      <c r="B90" s="3">
        <v>11084614.929826399</v>
      </c>
      <c r="C90" s="3">
        <v>10906171.4334148</v>
      </c>
      <c r="D90" s="3">
        <v>11086811.791450201</v>
      </c>
      <c r="E90" s="3">
        <v>120960970.15776899</v>
      </c>
      <c r="F90" s="3">
        <v>113312298.149334</v>
      </c>
      <c r="G90" s="3">
        <v>121115835.15784</v>
      </c>
      <c r="H90" s="3">
        <v>9935287.7570965104</v>
      </c>
      <c r="I90" s="3">
        <v>121344528.61445101</v>
      </c>
      <c r="J90" s="3">
        <v>309377547.95568901</v>
      </c>
      <c r="K90" s="3">
        <v>320597717.69572097</v>
      </c>
      <c r="L90" s="3">
        <v>329490582.70186299</v>
      </c>
      <c r="M90" s="3">
        <v>329675537.950122</v>
      </c>
      <c r="N90" s="3">
        <v>329674300.10753798</v>
      </c>
      <c r="O90" s="3">
        <v>329929062.14189899</v>
      </c>
      <c r="P90" s="3">
        <v>329857310.20959097</v>
      </c>
      <c r="Q90" s="3">
        <v>319322741.90834802</v>
      </c>
      <c r="R90" s="3">
        <v>328176622.87050301</v>
      </c>
      <c r="S90" s="3">
        <v>328176622.87050301</v>
      </c>
      <c r="T90" s="3">
        <v>288973625.39870203</v>
      </c>
      <c r="U90" s="3">
        <v>327821084.92194599</v>
      </c>
      <c r="V90" s="3">
        <v>311368577.775922</v>
      </c>
      <c r="W90" s="3">
        <v>318851181.63205397</v>
      </c>
      <c r="X90" s="3">
        <v>314392835.60745698</v>
      </c>
      <c r="Y90" s="3">
        <v>327222835.619569</v>
      </c>
      <c r="Z90" s="3">
        <v>122746014.403165</v>
      </c>
      <c r="AA90" s="3">
        <v>327821084.92194599</v>
      </c>
      <c r="AB90" s="3">
        <v>310521340.89467198</v>
      </c>
      <c r="AC90" s="3">
        <v>293398760.88216501</v>
      </c>
      <c r="AD90" s="3">
        <v>289207865.26038402</v>
      </c>
      <c r="AE90" s="3">
        <v>318578165.48023999</v>
      </c>
      <c r="AF90" s="3">
        <v>338583295.20666301</v>
      </c>
      <c r="AG90" s="3">
        <v>346289178.82830203</v>
      </c>
      <c r="AH90" s="3">
        <v>333701979.18038899</v>
      </c>
      <c r="AI90" s="3">
        <v>332881096.054681</v>
      </c>
      <c r="AJ90" s="3">
        <v>426669397.27514702</v>
      </c>
      <c r="AK90" s="3">
        <v>425649893.30061001</v>
      </c>
      <c r="AL90" s="3">
        <v>351037955.14521199</v>
      </c>
      <c r="AM90" s="3">
        <v>330064949.75074601</v>
      </c>
      <c r="AN90" s="3">
        <v>375317606.127478</v>
      </c>
      <c r="AO90" s="3">
        <v>325770268.65075803</v>
      </c>
      <c r="AP90" s="3">
        <v>338175002.12648302</v>
      </c>
      <c r="AQ90" s="3">
        <v>331459515.49467301</v>
      </c>
      <c r="AR90" s="3">
        <v>321380196.18409997</v>
      </c>
      <c r="AS90" s="3">
        <v>341287804.88261598</v>
      </c>
      <c r="AT90" s="3">
        <v>326897074.889341</v>
      </c>
      <c r="AU90" s="3">
        <v>326054995.69194901</v>
      </c>
      <c r="AV90" s="3">
        <v>339864580.35255897</v>
      </c>
      <c r="AW90" s="3">
        <v>317483522.54990101</v>
      </c>
      <c r="AX90" s="3">
        <v>330594342.69532299</v>
      </c>
      <c r="AY90" s="3">
        <v>324200270.49634999</v>
      </c>
      <c r="AZ90" s="3">
        <v>316900072.73451501</v>
      </c>
      <c r="BA90" s="3">
        <v>317835911.64261001</v>
      </c>
      <c r="BB90" s="3">
        <v>330596991.93365598</v>
      </c>
      <c r="BC90" s="3">
        <v>326897758.52137703</v>
      </c>
      <c r="BD90" s="3">
        <v>331342301.005171</v>
      </c>
      <c r="BE90" s="3">
        <v>326897758.52137703</v>
      </c>
      <c r="BF90" s="3">
        <v>331342301.005171</v>
      </c>
      <c r="BG90" s="3">
        <v>330588196.53068</v>
      </c>
      <c r="BH90" s="3">
        <v>317857494.28109699</v>
      </c>
      <c r="BI90" s="3">
        <v>369738733.10140699</v>
      </c>
      <c r="BJ90" s="3">
        <v>234060243.661291</v>
      </c>
      <c r="BK90" s="3">
        <v>324129883.19314897</v>
      </c>
      <c r="BL90" s="3">
        <v>387158870.48873401</v>
      </c>
      <c r="BM90" s="3">
        <v>259924674.949826</v>
      </c>
      <c r="BN90" s="3">
        <v>329263368.95488399</v>
      </c>
    </row>
    <row r="91" spans="1:66" x14ac:dyDescent="0.25">
      <c r="A91" t="s">
        <v>1</v>
      </c>
      <c r="B91" s="3">
        <v>0</v>
      </c>
      <c r="C91" s="3">
        <v>0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 s="3">
        <v>0</v>
      </c>
      <c r="BF91" s="3">
        <v>0</v>
      </c>
      <c r="BG91" s="3">
        <v>0</v>
      </c>
      <c r="BH91" s="3">
        <v>0</v>
      </c>
      <c r="BI91" s="3">
        <v>0</v>
      </c>
      <c r="BJ91" s="3">
        <v>0</v>
      </c>
      <c r="BK91" s="3">
        <v>0</v>
      </c>
      <c r="BL91" s="3">
        <v>0</v>
      </c>
      <c r="BM91" s="3">
        <v>0</v>
      </c>
      <c r="BN91" s="3">
        <v>0</v>
      </c>
    </row>
    <row r="92" spans="1:66" x14ac:dyDescent="0.25">
      <c r="A92" s="2" t="s">
        <v>28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</row>
    <row r="93" spans="1:66" x14ac:dyDescent="0.25">
      <c r="A93" t="s">
        <v>0</v>
      </c>
      <c r="B93" s="3">
        <v>1937830.24850617</v>
      </c>
      <c r="C93" s="3">
        <v>1770536.9079175801</v>
      </c>
      <c r="D93" s="3">
        <v>1923489.33599052</v>
      </c>
      <c r="E93" s="3">
        <v>236124.94824217999</v>
      </c>
      <c r="F93" s="3">
        <v>221086.345003836</v>
      </c>
      <c r="G93" s="3">
        <v>222662.824504385</v>
      </c>
      <c r="H93" s="3">
        <v>674248.02661490894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68999.202625181701</v>
      </c>
      <c r="R93" s="3">
        <v>0</v>
      </c>
      <c r="S93" s="3">
        <v>0</v>
      </c>
      <c r="T93" s="3">
        <v>562014.66720550996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15134.328222105099</v>
      </c>
      <c r="AC93" s="3">
        <v>0</v>
      </c>
      <c r="AD93" s="3">
        <v>358632.62827261799</v>
      </c>
      <c r="AE93" s="3">
        <v>40154.239265964701</v>
      </c>
      <c r="AF93" s="3">
        <v>0</v>
      </c>
      <c r="AG93" s="3">
        <v>0</v>
      </c>
      <c r="AH93" s="3">
        <v>0</v>
      </c>
      <c r="AI93" s="3">
        <v>140058.92591035599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11438.8122982648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 s="3">
        <v>0</v>
      </c>
      <c r="BF93" s="3">
        <v>0</v>
      </c>
      <c r="BG93" s="3">
        <v>0</v>
      </c>
      <c r="BH93" s="3">
        <v>0</v>
      </c>
      <c r="BI93" s="3">
        <v>213405835.99316001</v>
      </c>
      <c r="BJ93" s="3">
        <v>0</v>
      </c>
      <c r="BK93" s="3">
        <v>0</v>
      </c>
      <c r="BL93" s="3">
        <v>184067829.950708</v>
      </c>
      <c r="BM93" s="3">
        <v>0</v>
      </c>
      <c r="BN93" s="3">
        <v>0</v>
      </c>
    </row>
    <row r="94" spans="1:66" x14ac:dyDescent="0.25">
      <c r="A94" t="s">
        <v>24</v>
      </c>
      <c r="B94" s="3">
        <v>19161648180.101898</v>
      </c>
      <c r="C94" s="3">
        <v>19071513817.2785</v>
      </c>
      <c r="D94" s="3">
        <v>19152588138.550098</v>
      </c>
      <c r="E94" s="3">
        <v>19164577807.8797</v>
      </c>
      <c r="F94" s="3">
        <v>19148567114.1133</v>
      </c>
      <c r="G94" s="3">
        <v>18922543965.2178</v>
      </c>
      <c r="H94" s="3">
        <v>19064037791.0508</v>
      </c>
      <c r="I94" s="3">
        <v>18918179053.377602</v>
      </c>
      <c r="J94" s="3">
        <v>18668626011.671001</v>
      </c>
      <c r="K94" s="3">
        <v>76409071504.731094</v>
      </c>
      <c r="L94" s="3">
        <v>76791295837.546799</v>
      </c>
      <c r="M94" s="3">
        <v>76812600112.888901</v>
      </c>
      <c r="N94" s="3">
        <v>153625200225.77701</v>
      </c>
      <c r="O94" s="3">
        <v>384153493759.52899</v>
      </c>
      <c r="P94" s="3">
        <v>768253226764.672</v>
      </c>
      <c r="Q94" s="3">
        <v>76858614146.318405</v>
      </c>
      <c r="R94" s="3">
        <v>76858614146.318405</v>
      </c>
      <c r="S94" s="3">
        <v>76858614146.318405</v>
      </c>
      <c r="T94" s="3">
        <v>76858614146.318405</v>
      </c>
      <c r="U94" s="3">
        <v>76858614146.318405</v>
      </c>
      <c r="V94" s="3">
        <v>76596897132.794098</v>
      </c>
      <c r="W94" s="3">
        <v>76637439608.415298</v>
      </c>
      <c r="X94" s="3">
        <v>76808472932.230804</v>
      </c>
      <c r="Y94" s="3">
        <v>76779620383.783096</v>
      </c>
      <c r="Z94" s="3">
        <v>30796474509.321899</v>
      </c>
      <c r="AA94" s="3">
        <v>76858614146.318405</v>
      </c>
      <c r="AB94" s="3">
        <v>76858614146.318405</v>
      </c>
      <c r="AC94" s="3">
        <v>76858614146.318405</v>
      </c>
      <c r="AD94" s="3">
        <v>76700082503.154099</v>
      </c>
      <c r="AE94" s="3">
        <v>76700082503.154099</v>
      </c>
      <c r="AF94" s="3">
        <v>77384429501.756805</v>
      </c>
      <c r="AG94" s="3">
        <v>77384429501.756805</v>
      </c>
      <c r="AH94" s="3">
        <v>77384429501.756805</v>
      </c>
      <c r="AI94" s="3">
        <v>76154790713.864807</v>
      </c>
      <c r="AJ94" s="3">
        <v>81119105208.772095</v>
      </c>
      <c r="AK94" s="3">
        <v>78579858344.627502</v>
      </c>
      <c r="AL94" s="3">
        <v>76154790713.864807</v>
      </c>
      <c r="AM94" s="3">
        <v>76573493115.274597</v>
      </c>
      <c r="AN94" s="3">
        <v>76851713318.801193</v>
      </c>
      <c r="AO94" s="3">
        <v>76821292886.530594</v>
      </c>
      <c r="AP94" s="3">
        <v>76459871500.705399</v>
      </c>
      <c r="AQ94" s="3">
        <v>76700082503.154099</v>
      </c>
      <c r="AR94" s="3">
        <v>76459871500.705399</v>
      </c>
      <c r="AS94" s="3">
        <v>76459871500.705399</v>
      </c>
      <c r="AT94" s="3">
        <v>76700082503.154099</v>
      </c>
      <c r="AU94" s="3">
        <v>76459871500.705399</v>
      </c>
      <c r="AV94" s="3">
        <v>76459871500.705399</v>
      </c>
      <c r="AW94" s="3">
        <v>76700082503.154099</v>
      </c>
      <c r="AX94" s="3">
        <v>76700082503.154099</v>
      </c>
      <c r="AY94" s="3">
        <v>76459871500.705399</v>
      </c>
      <c r="AZ94" s="3">
        <v>76700082503.154099</v>
      </c>
      <c r="BA94" s="3">
        <v>76700082503.154099</v>
      </c>
      <c r="BB94" s="3">
        <v>76700082503.154099</v>
      </c>
      <c r="BC94" s="3">
        <v>76700082503.154099</v>
      </c>
      <c r="BD94" s="3">
        <v>76700082503.154099</v>
      </c>
      <c r="BE94" s="3">
        <v>76700082503.154099</v>
      </c>
      <c r="BF94" s="3">
        <v>76700082503.154099</v>
      </c>
      <c r="BG94" s="3">
        <v>76700082503.154099</v>
      </c>
      <c r="BH94" s="3">
        <v>76700082503.154099</v>
      </c>
      <c r="BI94" s="3">
        <v>0</v>
      </c>
      <c r="BJ94" s="3">
        <v>0</v>
      </c>
      <c r="BK94" s="3">
        <v>0</v>
      </c>
      <c r="BL94" s="3">
        <v>0</v>
      </c>
      <c r="BM94" s="3">
        <v>0</v>
      </c>
      <c r="BN94" s="3">
        <v>0</v>
      </c>
    </row>
    <row r="95" spans="1:66" x14ac:dyDescent="0.25">
      <c r="A95" t="s">
        <v>1</v>
      </c>
      <c r="B95" s="3">
        <v>0</v>
      </c>
      <c r="C95" s="3">
        <v>0</v>
      </c>
      <c r="D95" s="3">
        <v>0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 s="3">
        <v>0</v>
      </c>
      <c r="BF95" s="3">
        <v>0</v>
      </c>
      <c r="BG95" s="3">
        <v>0</v>
      </c>
      <c r="BH95" s="3">
        <v>0</v>
      </c>
      <c r="BI95" s="3">
        <v>0</v>
      </c>
      <c r="BJ95" s="3">
        <v>0</v>
      </c>
      <c r="BK95" s="3">
        <v>0</v>
      </c>
      <c r="BL95" s="3">
        <v>0</v>
      </c>
      <c r="BM95" s="3">
        <v>0</v>
      </c>
      <c r="BN95" s="3">
        <v>0</v>
      </c>
    </row>
    <row r="96" spans="1:66" x14ac:dyDescent="0.25">
      <c r="V96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D46BB-A2D1-4791-8AAC-69869F785713}">
  <dimension ref="A1:M52"/>
  <sheetViews>
    <sheetView topLeftCell="A15" zoomScale="90" zoomScaleNormal="90" workbookViewId="0">
      <selection activeCell="A22" sqref="A22:A52"/>
    </sheetView>
  </sheetViews>
  <sheetFormatPr defaultRowHeight="15" x14ac:dyDescent="0.25"/>
  <cols>
    <col min="1" max="1" width="32" customWidth="1"/>
    <col min="4" max="5" width="18.42578125" bestFit="1" customWidth="1"/>
    <col min="7" max="8" width="9.28515625" customWidth="1"/>
    <col min="11" max="13" width="19.7109375" bestFit="1" customWidth="1"/>
  </cols>
  <sheetData>
    <row r="1" spans="1:13" x14ac:dyDescent="0.25">
      <c r="A1" s="1" t="s">
        <v>7</v>
      </c>
    </row>
    <row r="2" spans="1:13" x14ac:dyDescent="0.25">
      <c r="A2" s="1" t="s">
        <v>6</v>
      </c>
    </row>
    <row r="3" spans="1:13" x14ac:dyDescent="0.25">
      <c r="A3" s="2" t="s">
        <v>33</v>
      </c>
    </row>
    <row r="4" spans="1:13" x14ac:dyDescent="0.25">
      <c r="A4" t="s">
        <v>34</v>
      </c>
      <c r="D4">
        <v>0</v>
      </c>
      <c r="E4">
        <v>0</v>
      </c>
      <c r="K4">
        <v>0</v>
      </c>
      <c r="L4">
        <v>0</v>
      </c>
      <c r="M4">
        <v>0</v>
      </c>
    </row>
    <row r="5" spans="1:13" x14ac:dyDescent="0.25">
      <c r="A5" t="s">
        <v>38</v>
      </c>
      <c r="K5" s="4">
        <v>10000</v>
      </c>
      <c r="L5" s="4">
        <v>10000</v>
      </c>
      <c r="M5" s="4">
        <v>10000</v>
      </c>
    </row>
    <row r="6" spans="1:13" x14ac:dyDescent="0.25">
      <c r="A6" t="s">
        <v>36</v>
      </c>
      <c r="K6">
        <v>40</v>
      </c>
      <c r="L6">
        <v>40</v>
      </c>
      <c r="M6">
        <v>40</v>
      </c>
    </row>
    <row r="7" spans="1:13" x14ac:dyDescent="0.25">
      <c r="A7" t="s">
        <v>37</v>
      </c>
      <c r="K7">
        <v>0.2</v>
      </c>
      <c r="L7">
        <v>0.2</v>
      </c>
      <c r="M7">
        <v>0.2</v>
      </c>
    </row>
    <row r="8" spans="1:13" x14ac:dyDescent="0.25">
      <c r="A8" s="2" t="s">
        <v>19</v>
      </c>
    </row>
    <row r="9" spans="1:13" x14ac:dyDescent="0.25">
      <c r="A9" t="s">
        <v>0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</row>
    <row r="10" spans="1:13" x14ac:dyDescent="0.25">
      <c r="A10" t="s">
        <v>1</v>
      </c>
      <c r="B10">
        <v>0</v>
      </c>
      <c r="C10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</row>
    <row r="11" spans="1:13" x14ac:dyDescent="0.25">
      <c r="A11" t="s">
        <v>2</v>
      </c>
      <c r="B11">
        <v>0</v>
      </c>
      <c r="C11">
        <v>1</v>
      </c>
      <c r="D11">
        <v>1</v>
      </c>
      <c r="E11">
        <v>1</v>
      </c>
      <c r="F11">
        <v>1</v>
      </c>
      <c r="G11">
        <v>1</v>
      </c>
      <c r="H11">
        <v>0</v>
      </c>
      <c r="I11">
        <v>0</v>
      </c>
      <c r="J11">
        <v>0</v>
      </c>
      <c r="K11">
        <v>1</v>
      </c>
      <c r="L11">
        <v>1</v>
      </c>
      <c r="M11">
        <v>1</v>
      </c>
    </row>
    <row r="12" spans="1:13" x14ac:dyDescent="0.25">
      <c r="A12" s="2" t="s">
        <v>20</v>
      </c>
    </row>
    <row r="13" spans="1:13" x14ac:dyDescent="0.25">
      <c r="A13" t="s">
        <v>8</v>
      </c>
      <c r="B13" t="s">
        <v>18</v>
      </c>
      <c r="C13">
        <v>0</v>
      </c>
      <c r="D13">
        <v>1</v>
      </c>
      <c r="E13">
        <v>0</v>
      </c>
      <c r="F13">
        <v>0</v>
      </c>
      <c r="G13">
        <v>0</v>
      </c>
      <c r="H13">
        <v>1</v>
      </c>
      <c r="I13">
        <v>0</v>
      </c>
      <c r="J13">
        <v>0</v>
      </c>
      <c r="K13">
        <v>1</v>
      </c>
      <c r="L13">
        <v>0</v>
      </c>
      <c r="M13">
        <v>0</v>
      </c>
    </row>
    <row r="14" spans="1:13" x14ac:dyDescent="0.25">
      <c r="A14" t="s">
        <v>3</v>
      </c>
      <c r="B14" t="s">
        <v>18</v>
      </c>
      <c r="C14">
        <v>0</v>
      </c>
      <c r="D14">
        <v>0</v>
      </c>
      <c r="E14">
        <v>1</v>
      </c>
      <c r="F14">
        <v>1</v>
      </c>
      <c r="G14">
        <v>1</v>
      </c>
      <c r="H14">
        <v>0</v>
      </c>
      <c r="I14">
        <v>1</v>
      </c>
      <c r="J14">
        <v>1</v>
      </c>
      <c r="K14">
        <v>0</v>
      </c>
      <c r="L14">
        <v>1</v>
      </c>
      <c r="M14">
        <v>0</v>
      </c>
    </row>
    <row r="15" spans="1:13" x14ac:dyDescent="0.25">
      <c r="A15" t="s">
        <v>4</v>
      </c>
      <c r="B15" t="s">
        <v>18</v>
      </c>
      <c r="C15">
        <v>1</v>
      </c>
      <c r="D15">
        <v>0</v>
      </c>
      <c r="E15">
        <v>0</v>
      </c>
      <c r="F15">
        <v>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</row>
    <row r="16" spans="1:13" x14ac:dyDescent="0.25">
      <c r="A16" t="s">
        <v>5</v>
      </c>
      <c r="B16" t="s">
        <v>18</v>
      </c>
      <c r="C16" t="s">
        <v>18</v>
      </c>
      <c r="D16">
        <v>0</v>
      </c>
      <c r="E16">
        <v>0</v>
      </c>
      <c r="F16">
        <v>0</v>
      </c>
      <c r="G16">
        <v>1</v>
      </c>
      <c r="H16">
        <v>0</v>
      </c>
      <c r="I16">
        <v>0</v>
      </c>
      <c r="J16">
        <v>1</v>
      </c>
      <c r="K16">
        <v>0</v>
      </c>
      <c r="L16">
        <v>0</v>
      </c>
      <c r="M16">
        <v>1</v>
      </c>
    </row>
    <row r="17" spans="1:13" x14ac:dyDescent="0.25">
      <c r="A17" s="1" t="s">
        <v>9</v>
      </c>
      <c r="E17" s="3"/>
      <c r="H17" s="1"/>
    </row>
    <row r="18" spans="1:13" x14ac:dyDescent="0.25">
      <c r="A18" t="s">
        <v>10</v>
      </c>
      <c r="D18" s="4">
        <v>-1816246557.4803801</v>
      </c>
      <c r="E18" s="4">
        <v>-1816151942.22171</v>
      </c>
      <c r="K18" s="3">
        <v>-13464876360.058001</v>
      </c>
      <c r="L18" s="3">
        <v>-13464792750.8997</v>
      </c>
      <c r="M18" s="3">
        <v>-13456893997.0168</v>
      </c>
    </row>
    <row r="19" spans="1:13" x14ac:dyDescent="0.25">
      <c r="A19" t="s">
        <v>32</v>
      </c>
      <c r="D19" s="4">
        <v>3.3900001049041699</v>
      </c>
      <c r="E19" s="4">
        <v>3.0910000801086399</v>
      </c>
      <c r="K19" s="3">
        <v>7.2590000629425004</v>
      </c>
      <c r="L19" s="3">
        <v>8.6590001583099294</v>
      </c>
      <c r="M19" s="3">
        <v>34.491999864578197</v>
      </c>
    </row>
    <row r="20" spans="1:13" x14ac:dyDescent="0.25">
      <c r="A20" t="s">
        <v>17</v>
      </c>
      <c r="D20" s="4">
        <v>0</v>
      </c>
      <c r="E20" s="4">
        <v>9.8172251951082401E-5</v>
      </c>
      <c r="K20" s="3">
        <v>2.4509630770603201E-5</v>
      </c>
      <c r="L20" s="3">
        <v>1.94134036118058E-5</v>
      </c>
      <c r="M20" s="3">
        <v>8.0815127926575099E-5</v>
      </c>
    </row>
    <row r="21" spans="1:13" x14ac:dyDescent="0.25">
      <c r="A21" t="s">
        <v>31</v>
      </c>
      <c r="D21" s="4">
        <v>0</v>
      </c>
      <c r="E21" s="4">
        <v>0</v>
      </c>
      <c r="K21" s="3">
        <v>0</v>
      </c>
      <c r="L21" s="3">
        <v>0</v>
      </c>
      <c r="M21" s="3">
        <v>0</v>
      </c>
    </row>
    <row r="22" spans="1:13" x14ac:dyDescent="0.25">
      <c r="A22" s="2" t="s">
        <v>11</v>
      </c>
      <c r="D22" s="4"/>
      <c r="E22" s="4"/>
      <c r="K22" s="3"/>
      <c r="L22" s="3"/>
      <c r="M22" s="3"/>
    </row>
    <row r="23" spans="1:13" x14ac:dyDescent="0.25">
      <c r="A23" t="s">
        <v>2</v>
      </c>
      <c r="D23" s="4">
        <v>0</v>
      </c>
      <c r="E23" s="4">
        <v>0</v>
      </c>
      <c r="K23" s="3">
        <v>0</v>
      </c>
      <c r="L23" s="3">
        <v>0</v>
      </c>
      <c r="M23" s="3">
        <v>0</v>
      </c>
    </row>
    <row r="24" spans="1:13" x14ac:dyDescent="0.25">
      <c r="A24" t="s">
        <v>0</v>
      </c>
      <c r="D24" s="4">
        <v>120</v>
      </c>
      <c r="E24" s="4">
        <v>120</v>
      </c>
      <c r="K24" s="3">
        <v>120</v>
      </c>
      <c r="L24" s="3">
        <v>120</v>
      </c>
      <c r="M24" s="3">
        <v>120</v>
      </c>
    </row>
    <row r="25" spans="1:13" x14ac:dyDescent="0.25">
      <c r="A25" t="s">
        <v>1</v>
      </c>
      <c r="D25" s="4">
        <v>0</v>
      </c>
      <c r="E25" s="4">
        <v>0</v>
      </c>
      <c r="K25" s="3">
        <v>15.427141887889199</v>
      </c>
      <c r="L25" s="3">
        <v>15.4271418878891</v>
      </c>
      <c r="M25" s="3">
        <v>15.427141887890601</v>
      </c>
    </row>
    <row r="26" spans="1:13" x14ac:dyDescent="0.25">
      <c r="A26" t="s">
        <v>29</v>
      </c>
      <c r="D26" s="4">
        <v>98.084000000000003</v>
      </c>
      <c r="E26" s="4">
        <v>98.084000000000003</v>
      </c>
      <c r="K26" s="3">
        <v>98.084000000000003</v>
      </c>
      <c r="L26" s="3">
        <v>98.084000000000003</v>
      </c>
      <c r="M26" s="3">
        <v>98.084000000000003</v>
      </c>
    </row>
    <row r="27" spans="1:13" x14ac:dyDescent="0.25">
      <c r="A27" t="s">
        <v>30</v>
      </c>
      <c r="D27" s="4">
        <v>18.084</v>
      </c>
      <c r="E27" s="4">
        <v>18.084</v>
      </c>
      <c r="K27" s="3">
        <v>2.6568581121100401</v>
      </c>
      <c r="L27" s="3">
        <v>2.6568581121102</v>
      </c>
      <c r="M27" s="3">
        <v>2.65685811210931</v>
      </c>
    </row>
    <row r="28" spans="1:13" x14ac:dyDescent="0.25">
      <c r="A28" s="2" t="s">
        <v>15</v>
      </c>
      <c r="D28" s="4"/>
      <c r="E28" s="4"/>
      <c r="K28" s="3"/>
      <c r="L28" s="3"/>
      <c r="M28" s="3"/>
    </row>
    <row r="29" spans="1:13" x14ac:dyDescent="0.25">
      <c r="A29" t="s">
        <v>2</v>
      </c>
      <c r="D29" s="4">
        <v>0</v>
      </c>
      <c r="E29" s="4">
        <v>0</v>
      </c>
      <c r="K29" s="3">
        <v>0</v>
      </c>
      <c r="L29" s="3">
        <v>0</v>
      </c>
      <c r="M29" s="3">
        <v>0</v>
      </c>
    </row>
    <row r="30" spans="1:13" x14ac:dyDescent="0.25">
      <c r="A30" t="s">
        <v>0</v>
      </c>
      <c r="D30" s="4">
        <v>120</v>
      </c>
      <c r="E30" s="4">
        <v>120</v>
      </c>
      <c r="K30" s="3">
        <v>120</v>
      </c>
      <c r="L30" s="3">
        <v>120</v>
      </c>
      <c r="M30" s="3">
        <v>120</v>
      </c>
    </row>
    <row r="31" spans="1:13" x14ac:dyDescent="0.25">
      <c r="A31" t="s">
        <v>1</v>
      </c>
      <c r="D31" s="4">
        <v>0</v>
      </c>
      <c r="E31" s="4">
        <v>0</v>
      </c>
      <c r="K31" s="3">
        <v>15.427141887889199</v>
      </c>
      <c r="L31" s="3">
        <v>15.4271418878891</v>
      </c>
      <c r="M31" s="3">
        <v>15.427141887890601</v>
      </c>
    </row>
    <row r="32" spans="1:13" x14ac:dyDescent="0.25">
      <c r="A32" s="2" t="s">
        <v>16</v>
      </c>
      <c r="D32" s="4"/>
      <c r="E32" s="4"/>
      <c r="K32" s="3"/>
      <c r="L32" s="3"/>
      <c r="M32" s="3"/>
    </row>
    <row r="33" spans="1:13" x14ac:dyDescent="0.25">
      <c r="A33" t="s">
        <v>2</v>
      </c>
      <c r="D33" s="4">
        <v>0</v>
      </c>
      <c r="E33" s="4">
        <v>0</v>
      </c>
      <c r="K33" s="3">
        <v>0</v>
      </c>
      <c r="L33" s="3">
        <v>0</v>
      </c>
      <c r="M33" s="3">
        <v>0</v>
      </c>
    </row>
    <row r="34" spans="1:13" x14ac:dyDescent="0.25">
      <c r="A34" t="s">
        <v>0</v>
      </c>
      <c r="D34" s="4">
        <v>174732082.43857899</v>
      </c>
      <c r="E34" s="4">
        <v>168491650.922916</v>
      </c>
      <c r="K34" s="3">
        <v>243376829.110879</v>
      </c>
      <c r="L34" s="3">
        <v>243376829.110879</v>
      </c>
      <c r="M34" s="3">
        <v>249617260.626542</v>
      </c>
    </row>
    <row r="35" spans="1:13" x14ac:dyDescent="0.25">
      <c r="A35" t="s">
        <v>1</v>
      </c>
      <c r="D35" s="4">
        <v>0</v>
      </c>
      <c r="E35" s="4">
        <v>0</v>
      </c>
      <c r="K35" s="3">
        <v>30455887.5617279</v>
      </c>
      <c r="L35" s="3">
        <v>30544228.586333599</v>
      </c>
      <c r="M35" s="3">
        <v>30544228.586336799</v>
      </c>
    </row>
    <row r="36" spans="1:13" x14ac:dyDescent="0.25">
      <c r="A36" s="2" t="s">
        <v>23</v>
      </c>
      <c r="D36" s="4"/>
      <c r="E36" s="4"/>
      <c r="K36" s="3"/>
      <c r="L36" s="3"/>
      <c r="M36" s="3"/>
    </row>
    <row r="37" spans="1:13" x14ac:dyDescent="0.25">
      <c r="A37" t="s">
        <v>2</v>
      </c>
      <c r="D37" s="4">
        <v>5567.7598935788701</v>
      </c>
      <c r="E37" s="4">
        <v>5567.7598935788701</v>
      </c>
      <c r="K37" s="3">
        <v>4826.3183783554796</v>
      </c>
      <c r="L37" s="3">
        <v>4826.3183783554896</v>
      </c>
      <c r="M37" s="3">
        <v>3421.3094646414202</v>
      </c>
    </row>
    <row r="38" spans="1:13" x14ac:dyDescent="0.25">
      <c r="A38" t="s">
        <v>0</v>
      </c>
      <c r="D38" s="4">
        <v>978304.363808266</v>
      </c>
      <c r="E38" s="4">
        <v>808132.80189079896</v>
      </c>
      <c r="K38" s="3">
        <v>2051061.57238617</v>
      </c>
      <c r="L38" s="3">
        <v>1386880.28540422</v>
      </c>
      <c r="M38" s="3">
        <v>1772151.2791056901</v>
      </c>
    </row>
    <row r="39" spans="1:13" x14ac:dyDescent="0.25">
      <c r="A39" t="s">
        <v>1</v>
      </c>
      <c r="D39" s="4">
        <v>9311.3535690200606</v>
      </c>
      <c r="E39" s="4">
        <v>9311.3535690200606</v>
      </c>
      <c r="K39" s="3">
        <v>57042.475334709103</v>
      </c>
      <c r="L39" s="3">
        <v>57044.315022773</v>
      </c>
      <c r="M39" s="3">
        <v>7524.5956312832805</v>
      </c>
    </row>
    <row r="40" spans="1:13" x14ac:dyDescent="0.25">
      <c r="A40" s="2" t="s">
        <v>22</v>
      </c>
      <c r="D40" s="4"/>
      <c r="E40" s="4"/>
      <c r="K40" s="3"/>
      <c r="L40" s="3"/>
      <c r="M40" s="3"/>
    </row>
    <row r="41" spans="1:13" x14ac:dyDescent="0.25">
      <c r="A41" t="s">
        <v>0</v>
      </c>
      <c r="D41" s="4">
        <v>167570.938196884</v>
      </c>
      <c r="E41" s="4">
        <v>0</v>
      </c>
      <c r="K41" s="3">
        <v>664182.13855842699</v>
      </c>
      <c r="L41" s="3">
        <v>0</v>
      </c>
      <c r="M41" s="3">
        <v>392888.13096246601</v>
      </c>
    </row>
    <row r="42" spans="1:13" x14ac:dyDescent="0.25">
      <c r="A42" t="s">
        <v>24</v>
      </c>
      <c r="D42" s="4">
        <v>814611.41245651699</v>
      </c>
      <c r="E42" s="4">
        <v>812010.78873593605</v>
      </c>
      <c r="K42" s="3">
        <v>1381353.9986481899</v>
      </c>
      <c r="L42" s="3">
        <v>1381354.5163682399</v>
      </c>
      <c r="M42" s="3">
        <v>1381318.93552733</v>
      </c>
    </row>
    <row r="43" spans="1:13" x14ac:dyDescent="0.25">
      <c r="A43" t="s">
        <v>35</v>
      </c>
      <c r="D43" s="4">
        <v>9497.9028860672006</v>
      </c>
      <c r="E43" s="4">
        <v>12098.5266066486</v>
      </c>
      <c r="K43" s="3">
        <v>2487.6785658501699</v>
      </c>
      <c r="L43" s="3">
        <v>2487.16084580499</v>
      </c>
      <c r="M43" s="3">
        <v>2522.7416867100901</v>
      </c>
    </row>
    <row r="44" spans="1:13" x14ac:dyDescent="0.25">
      <c r="A44" t="s">
        <v>1</v>
      </c>
      <c r="D44" s="4">
        <v>11001.1266174622</v>
      </c>
      <c r="E44" s="4">
        <v>11001.1266174622</v>
      </c>
      <c r="K44" s="3">
        <v>67394.228892614701</v>
      </c>
      <c r="L44" s="3">
        <v>67396.402437113706</v>
      </c>
      <c r="M44" s="3">
        <v>8890.1177118186097</v>
      </c>
    </row>
    <row r="45" spans="1:13" x14ac:dyDescent="0.25">
      <c r="A45" s="2" t="s">
        <v>27</v>
      </c>
      <c r="D45" s="4"/>
      <c r="E45" s="4"/>
      <c r="K45" s="3"/>
      <c r="L45" s="3"/>
      <c r="M45" s="3"/>
    </row>
    <row r="46" spans="1:13" x14ac:dyDescent="0.25">
      <c r="A46" t="s">
        <v>2</v>
      </c>
      <c r="D46" s="4">
        <v>1699829.82219933</v>
      </c>
      <c r="E46" s="4">
        <v>1699829.82219933</v>
      </c>
      <c r="K46" s="3">
        <v>1473468.6961660599</v>
      </c>
      <c r="L46" s="3">
        <v>1473468.6961660599</v>
      </c>
      <c r="M46" s="3">
        <v>1044521.3102090301</v>
      </c>
    </row>
    <row r="47" spans="1:13" x14ac:dyDescent="0.25">
      <c r="A47" t="s">
        <v>0</v>
      </c>
      <c r="D47" s="4">
        <v>52575087.091096699</v>
      </c>
      <c r="E47" s="4">
        <v>43683548.873010099</v>
      </c>
      <c r="K47" s="3">
        <v>107871853.336619</v>
      </c>
      <c r="L47" s="3">
        <v>73357886.389309898</v>
      </c>
      <c r="M47" s="3">
        <v>96512651.699123099</v>
      </c>
    </row>
    <row r="48" spans="1:13" x14ac:dyDescent="0.25">
      <c r="A48" t="s">
        <v>1</v>
      </c>
      <c r="D48" s="4">
        <v>0</v>
      </c>
      <c r="E48" s="4">
        <v>0</v>
      </c>
      <c r="K48" s="3">
        <v>0</v>
      </c>
      <c r="L48" s="3">
        <v>0</v>
      </c>
      <c r="M48" s="3">
        <v>0</v>
      </c>
    </row>
    <row r="49" spans="1:13" x14ac:dyDescent="0.25">
      <c r="A49" s="2" t="s">
        <v>28</v>
      </c>
      <c r="D49" s="4"/>
      <c r="E49" s="4"/>
      <c r="K49" s="3"/>
      <c r="L49" s="3"/>
      <c r="M49" s="3"/>
    </row>
    <row r="50" spans="1:13" x14ac:dyDescent="0.25">
      <c r="A50" t="s">
        <v>0</v>
      </c>
      <c r="D50" s="4">
        <v>8725025.6909637991</v>
      </c>
      <c r="E50" s="4">
        <v>0</v>
      </c>
      <c r="K50" s="3">
        <v>34514412.281520903</v>
      </c>
      <c r="L50" s="3">
        <v>0</v>
      </c>
      <c r="M50" s="3">
        <v>21423303.9657369</v>
      </c>
    </row>
    <row r="51" spans="1:13" x14ac:dyDescent="0.25">
      <c r="A51" t="s">
        <v>24</v>
      </c>
      <c r="D51" s="4">
        <v>2036528531.1412899</v>
      </c>
      <c r="E51" s="4">
        <v>2030026971.8398399</v>
      </c>
      <c r="K51" s="3">
        <v>13813539986.481899</v>
      </c>
      <c r="L51" s="3">
        <v>13813545163.6824</v>
      </c>
      <c r="M51" s="3">
        <v>13813189355.2733</v>
      </c>
    </row>
    <row r="52" spans="1:13" x14ac:dyDescent="0.25">
      <c r="A52" t="s">
        <v>1</v>
      </c>
      <c r="D52" s="4">
        <v>0</v>
      </c>
      <c r="E52" s="4">
        <v>0</v>
      </c>
      <c r="K52" s="3">
        <v>0</v>
      </c>
      <c r="L52" s="3">
        <v>0</v>
      </c>
      <c r="M52" s="3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7E227-4F2F-4766-80E7-4A0C11DC1BA8}">
  <dimension ref="A1:J48"/>
  <sheetViews>
    <sheetView zoomScale="90" zoomScaleNormal="90" workbookViewId="0">
      <selection activeCell="A5" sqref="A5"/>
    </sheetView>
  </sheetViews>
  <sheetFormatPr defaultRowHeight="15" x14ac:dyDescent="0.25"/>
  <cols>
    <col min="1" max="1" width="29.28515625" customWidth="1"/>
    <col min="4" max="4" width="16.7109375" bestFit="1" customWidth="1"/>
    <col min="5" max="5" width="16.85546875" bestFit="1" customWidth="1"/>
    <col min="7" max="8" width="9.28515625" customWidth="1"/>
  </cols>
  <sheetData>
    <row r="1" spans="1:10" x14ac:dyDescent="0.25">
      <c r="A1" s="1" t="s">
        <v>7</v>
      </c>
    </row>
    <row r="2" spans="1:10" x14ac:dyDescent="0.25">
      <c r="A2" s="1" t="s">
        <v>6</v>
      </c>
    </row>
    <row r="3" spans="1:10" x14ac:dyDescent="0.25">
      <c r="A3" s="2" t="s">
        <v>33</v>
      </c>
    </row>
    <row r="4" spans="1:10" x14ac:dyDescent="0.25">
      <c r="A4" t="s">
        <v>34</v>
      </c>
      <c r="D4">
        <v>6.8500000000000005E-2</v>
      </c>
      <c r="E4">
        <v>6.8500000000000005E-2</v>
      </c>
    </row>
    <row r="5" spans="1:10" x14ac:dyDescent="0.25">
      <c r="A5" s="2" t="s">
        <v>19</v>
      </c>
    </row>
    <row r="6" spans="1:10" x14ac:dyDescent="0.25">
      <c r="A6" t="s">
        <v>0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 x14ac:dyDescent="0.25">
      <c r="A7" t="s">
        <v>1</v>
      </c>
      <c r="B7">
        <v>0</v>
      </c>
      <c r="C7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</row>
    <row r="8" spans="1:10" x14ac:dyDescent="0.25">
      <c r="A8" t="s">
        <v>2</v>
      </c>
      <c r="B8">
        <v>0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</row>
    <row r="9" spans="1:10" x14ac:dyDescent="0.25">
      <c r="A9" s="2" t="s">
        <v>20</v>
      </c>
    </row>
    <row r="10" spans="1:10" x14ac:dyDescent="0.25">
      <c r="A10" t="s">
        <v>8</v>
      </c>
      <c r="B10" t="s">
        <v>18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</row>
    <row r="11" spans="1:10" x14ac:dyDescent="0.25">
      <c r="A11" t="s">
        <v>3</v>
      </c>
      <c r="B11" t="s">
        <v>18</v>
      </c>
      <c r="C11">
        <v>0</v>
      </c>
      <c r="D11">
        <v>0</v>
      </c>
      <c r="E11">
        <v>1</v>
      </c>
      <c r="F11">
        <v>1</v>
      </c>
      <c r="G11">
        <v>1</v>
      </c>
      <c r="H11">
        <v>0</v>
      </c>
      <c r="I11">
        <v>1</v>
      </c>
      <c r="J11">
        <v>1</v>
      </c>
    </row>
    <row r="12" spans="1:10" x14ac:dyDescent="0.25">
      <c r="A12" t="s">
        <v>4</v>
      </c>
      <c r="B12" t="s">
        <v>18</v>
      </c>
      <c r="C12">
        <v>1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5</v>
      </c>
      <c r="B13" t="s">
        <v>18</v>
      </c>
      <c r="C13" t="s">
        <v>18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1</v>
      </c>
    </row>
    <row r="14" spans="1:10" x14ac:dyDescent="0.25">
      <c r="A14" s="1" t="s">
        <v>9</v>
      </c>
      <c r="E14" s="3"/>
      <c r="H14" s="1"/>
    </row>
    <row r="15" spans="1:10" x14ac:dyDescent="0.25">
      <c r="A15" t="s">
        <v>10</v>
      </c>
      <c r="D15" s="3">
        <v>-566684168.67891097</v>
      </c>
      <c r="E15" s="3">
        <v>-566684168.67891097</v>
      </c>
    </row>
    <row r="16" spans="1:10" x14ac:dyDescent="0.25">
      <c r="A16" t="s">
        <v>32</v>
      </c>
      <c r="D16" s="3">
        <v>6.1319999694824201</v>
      </c>
      <c r="E16" s="3">
        <v>2.5789999961853001</v>
      </c>
    </row>
    <row r="17" spans="1:5" x14ac:dyDescent="0.25">
      <c r="A17" t="s">
        <v>17</v>
      </c>
      <c r="D17" s="3">
        <v>0</v>
      </c>
      <c r="E17" s="3">
        <v>9.2925621330612702E-5</v>
      </c>
    </row>
    <row r="18" spans="1:5" x14ac:dyDescent="0.25">
      <c r="A18" t="s">
        <v>31</v>
      </c>
      <c r="D18" s="3">
        <v>0</v>
      </c>
      <c r="E18" s="3">
        <v>0</v>
      </c>
    </row>
    <row r="19" spans="1:5" x14ac:dyDescent="0.25">
      <c r="A19" s="2" t="s">
        <v>11</v>
      </c>
      <c r="D19" s="3"/>
      <c r="E19" s="3"/>
    </row>
    <row r="20" spans="1:5" x14ac:dyDescent="0.25">
      <c r="A20" t="s">
        <v>2</v>
      </c>
      <c r="D20" s="3">
        <v>0</v>
      </c>
      <c r="E20" s="3">
        <v>0</v>
      </c>
    </row>
    <row r="21" spans="1:5" x14ac:dyDescent="0.25">
      <c r="A21" t="s">
        <v>0</v>
      </c>
      <c r="D21" s="3">
        <v>80</v>
      </c>
      <c r="E21" s="3">
        <v>80</v>
      </c>
    </row>
    <row r="22" spans="1:5" x14ac:dyDescent="0.25">
      <c r="A22" t="s">
        <v>1</v>
      </c>
      <c r="D22" s="3">
        <v>0</v>
      </c>
      <c r="E22" s="3">
        <v>0</v>
      </c>
    </row>
    <row r="23" spans="1:5" x14ac:dyDescent="0.25">
      <c r="A23" t="s">
        <v>29</v>
      </c>
      <c r="D23" s="3">
        <v>80</v>
      </c>
      <c r="E23" s="3">
        <v>80</v>
      </c>
    </row>
    <row r="24" spans="1:5" x14ac:dyDescent="0.25">
      <c r="A24" t="s">
        <v>30</v>
      </c>
      <c r="D24" s="3">
        <v>58.084000000000003</v>
      </c>
      <c r="E24" s="3">
        <v>58.084000000000003</v>
      </c>
    </row>
    <row r="25" spans="1:5" x14ac:dyDescent="0.25">
      <c r="A25" s="2" t="s">
        <v>15</v>
      </c>
      <c r="D25" s="3"/>
      <c r="E25" s="3"/>
    </row>
    <row r="26" spans="1:5" x14ac:dyDescent="0.25">
      <c r="A26" t="s">
        <v>2</v>
      </c>
      <c r="D26" s="3">
        <v>0</v>
      </c>
      <c r="E26" s="3">
        <v>0</v>
      </c>
    </row>
    <row r="27" spans="1:5" x14ac:dyDescent="0.25">
      <c r="A27" t="s">
        <v>0</v>
      </c>
      <c r="D27" s="3">
        <v>80</v>
      </c>
      <c r="E27" s="3">
        <v>80</v>
      </c>
    </row>
    <row r="28" spans="1:5" x14ac:dyDescent="0.25">
      <c r="A28" t="s">
        <v>1</v>
      </c>
      <c r="D28" s="3">
        <v>0</v>
      </c>
      <c r="E28" s="3">
        <v>0</v>
      </c>
    </row>
    <row r="29" spans="1:5" x14ac:dyDescent="0.25">
      <c r="A29" s="2" t="s">
        <v>16</v>
      </c>
      <c r="D29" s="3"/>
      <c r="E29" s="3"/>
    </row>
    <row r="30" spans="1:5" x14ac:dyDescent="0.25">
      <c r="A30" t="s">
        <v>2</v>
      </c>
      <c r="D30" s="3">
        <v>0</v>
      </c>
      <c r="E30" s="3">
        <v>0</v>
      </c>
    </row>
    <row r="31" spans="1:5" x14ac:dyDescent="0.25">
      <c r="A31" t="s">
        <v>0</v>
      </c>
      <c r="D31" s="3">
        <v>93383545.771093696</v>
      </c>
      <c r="E31" s="3">
        <v>93383545.771093696</v>
      </c>
    </row>
    <row r="32" spans="1:5" x14ac:dyDescent="0.25">
      <c r="A32" t="s">
        <v>1</v>
      </c>
      <c r="D32" s="3">
        <v>0</v>
      </c>
      <c r="E32" s="3">
        <v>0</v>
      </c>
    </row>
    <row r="33" spans="1:5" x14ac:dyDescent="0.25">
      <c r="A33" s="2" t="s">
        <v>23</v>
      </c>
      <c r="D33" s="3"/>
      <c r="E33" s="3"/>
    </row>
    <row r="34" spans="1:5" x14ac:dyDescent="0.25">
      <c r="A34" t="s">
        <v>2</v>
      </c>
      <c r="D34" s="3">
        <v>10839.670693578801</v>
      </c>
      <c r="E34" s="3">
        <v>10839.670693578801</v>
      </c>
    </row>
    <row r="35" spans="1:5" x14ac:dyDescent="0.25">
      <c r="A35" t="s">
        <v>0</v>
      </c>
      <c r="D35" s="3">
        <v>820924.35254566895</v>
      </c>
      <c r="E35" s="3">
        <v>755352.36146108399</v>
      </c>
    </row>
    <row r="36" spans="1:5" x14ac:dyDescent="0.25">
      <c r="A36" t="s">
        <v>1</v>
      </c>
      <c r="D36" s="3">
        <v>8697.9159292100703</v>
      </c>
      <c r="E36" s="3">
        <v>8697.9159292100794</v>
      </c>
    </row>
    <row r="37" spans="1:5" x14ac:dyDescent="0.25">
      <c r="A37" s="2" t="s">
        <v>22</v>
      </c>
      <c r="D37" s="3"/>
      <c r="E37" s="3"/>
    </row>
    <row r="38" spans="1:5" x14ac:dyDescent="0.25">
      <c r="A38" t="s">
        <v>0</v>
      </c>
      <c r="D38" s="3">
        <v>65571.991084584399</v>
      </c>
      <c r="E38" s="3">
        <v>0</v>
      </c>
    </row>
    <row r="39" spans="1:5" x14ac:dyDescent="0.25">
      <c r="A39" t="s">
        <v>24</v>
      </c>
      <c r="D39" s="3">
        <v>764613.58238300995</v>
      </c>
      <c r="E39" s="3">
        <v>764613.58238300995</v>
      </c>
    </row>
    <row r="40" spans="1:5" x14ac:dyDescent="0.25">
      <c r="A40" t="s">
        <v>1</v>
      </c>
      <c r="D40" s="3">
        <v>10276.3657008625</v>
      </c>
      <c r="E40" s="3">
        <v>10276.3657008625</v>
      </c>
    </row>
    <row r="41" spans="1:5" x14ac:dyDescent="0.25">
      <c r="A41" s="2" t="s">
        <v>27</v>
      </c>
      <c r="D41" s="3"/>
      <c r="E41" s="3"/>
    </row>
    <row r="42" spans="1:5" x14ac:dyDescent="0.25">
      <c r="A42" t="s">
        <v>2</v>
      </c>
      <c r="D42" s="3">
        <v>1636903.5360916599</v>
      </c>
      <c r="E42" s="3">
        <v>1636903.5360916599</v>
      </c>
    </row>
    <row r="43" spans="1:5" x14ac:dyDescent="0.25">
      <c r="A43" t="s">
        <v>0</v>
      </c>
      <c r="D43" s="3">
        <v>15934518.027864</v>
      </c>
      <c r="E43" s="3">
        <v>14194345.611482101</v>
      </c>
    </row>
    <row r="44" spans="1:5" x14ac:dyDescent="0.25">
      <c r="A44" t="s">
        <v>1</v>
      </c>
      <c r="D44" s="3">
        <v>0</v>
      </c>
      <c r="E44" s="3">
        <v>0</v>
      </c>
    </row>
    <row r="45" spans="1:5" x14ac:dyDescent="0.25">
      <c r="A45" s="2" t="s">
        <v>28</v>
      </c>
      <c r="D45" s="3"/>
      <c r="E45" s="3"/>
    </row>
    <row r="46" spans="1:5" x14ac:dyDescent="0.25">
      <c r="A46" t="s">
        <v>0</v>
      </c>
      <c r="D46" s="3">
        <v>1740172.41638191</v>
      </c>
      <c r="E46" s="3">
        <v>0</v>
      </c>
    </row>
    <row r="47" spans="1:5" x14ac:dyDescent="0.25">
      <c r="A47" t="s">
        <v>24</v>
      </c>
      <c r="D47" s="3">
        <v>675898963.597579</v>
      </c>
      <c r="E47" s="3">
        <v>675898963.597579</v>
      </c>
    </row>
    <row r="48" spans="1:5" x14ac:dyDescent="0.25">
      <c r="A48" t="s">
        <v>1</v>
      </c>
      <c r="D48" s="3">
        <v>0</v>
      </c>
      <c r="E48" s="3">
        <v>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E5EF9-418E-4572-AF84-E6DEF6E71829}">
  <dimension ref="A1:M49"/>
  <sheetViews>
    <sheetView topLeftCell="A20" zoomScale="120" zoomScaleNormal="120" workbookViewId="0">
      <selection sqref="A1:A48"/>
    </sheetView>
  </sheetViews>
  <sheetFormatPr defaultRowHeight="15" x14ac:dyDescent="0.25"/>
  <cols>
    <col min="1" max="1" width="32" customWidth="1"/>
    <col min="2" max="3" width="15.28515625" bestFit="1" customWidth="1"/>
    <col min="4" max="5" width="18.42578125" bestFit="1" customWidth="1"/>
    <col min="6" max="7" width="15.28515625" bestFit="1" customWidth="1"/>
    <col min="8" max="8" width="16.42578125" bestFit="1" customWidth="1"/>
    <col min="9" max="9" width="14.28515625" bestFit="1" customWidth="1"/>
    <col min="10" max="10" width="15.28515625" bestFit="1" customWidth="1"/>
    <col min="11" max="13" width="19.7109375" bestFit="1" customWidth="1"/>
  </cols>
  <sheetData>
    <row r="1" spans="1:10" x14ac:dyDescent="0.25">
      <c r="A1" s="1" t="s">
        <v>7</v>
      </c>
      <c r="H1" s="6">
        <v>45810</v>
      </c>
    </row>
    <row r="2" spans="1:10" x14ac:dyDescent="0.25">
      <c r="A2" s="1" t="s">
        <v>6</v>
      </c>
    </row>
    <row r="3" spans="1:10" x14ac:dyDescent="0.25">
      <c r="A3" t="s">
        <v>52</v>
      </c>
      <c r="E3" t="s">
        <v>53</v>
      </c>
      <c r="H3" s="4">
        <v>2500</v>
      </c>
      <c r="I3" s="4">
        <v>2500</v>
      </c>
      <c r="J3" s="4">
        <v>10000</v>
      </c>
    </row>
    <row r="4" spans="1:10" x14ac:dyDescent="0.25">
      <c r="A4" t="s">
        <v>51</v>
      </c>
      <c r="H4" t="s">
        <v>49</v>
      </c>
      <c r="I4" t="s">
        <v>50</v>
      </c>
      <c r="J4" t="s">
        <v>50</v>
      </c>
    </row>
    <row r="5" spans="1:10" x14ac:dyDescent="0.25">
      <c r="A5" s="2" t="s">
        <v>44</v>
      </c>
      <c r="C5" s="3"/>
    </row>
    <row r="6" spans="1:10" x14ac:dyDescent="0.25">
      <c r="A6" t="s">
        <v>2</v>
      </c>
      <c r="B6" s="3">
        <v>12.92135</v>
      </c>
      <c r="C6" s="3">
        <v>12.92135</v>
      </c>
      <c r="D6" s="3">
        <v>12.92135</v>
      </c>
      <c r="E6" s="3">
        <v>12.92135</v>
      </c>
      <c r="F6" s="3">
        <v>12.92135</v>
      </c>
      <c r="G6" s="3">
        <v>12.92135</v>
      </c>
      <c r="H6" s="3">
        <v>12.920999999999999</v>
      </c>
      <c r="I6" s="3">
        <v>12.920999999999999</v>
      </c>
      <c r="J6">
        <v>12.920999999999999</v>
      </c>
    </row>
    <row r="7" spans="1:10" x14ac:dyDescent="0.25">
      <c r="A7" t="s">
        <v>0</v>
      </c>
      <c r="B7" s="3">
        <v>74</v>
      </c>
      <c r="C7" s="3">
        <v>74</v>
      </c>
      <c r="D7" s="3">
        <v>74</v>
      </c>
      <c r="E7" s="3">
        <v>36</v>
      </c>
      <c r="F7" s="3">
        <v>36</v>
      </c>
      <c r="G7" s="3">
        <v>36</v>
      </c>
      <c r="H7" s="3">
        <v>36</v>
      </c>
      <c r="I7" s="3">
        <v>36</v>
      </c>
      <c r="J7" s="7">
        <v>36</v>
      </c>
    </row>
    <row r="8" spans="1:10" x14ac:dyDescent="0.25">
      <c r="A8" t="s">
        <v>1</v>
      </c>
      <c r="B8" s="3">
        <v>6</v>
      </c>
      <c r="C8" s="3">
        <v>6</v>
      </c>
      <c r="D8" s="3">
        <v>6</v>
      </c>
      <c r="E8" s="3">
        <v>6</v>
      </c>
      <c r="F8" s="3">
        <v>6</v>
      </c>
      <c r="G8" s="3">
        <v>6</v>
      </c>
      <c r="H8" s="3">
        <v>6</v>
      </c>
      <c r="I8" s="3">
        <v>6</v>
      </c>
      <c r="J8" s="7">
        <v>6</v>
      </c>
    </row>
    <row r="9" spans="1:10" x14ac:dyDescent="0.25">
      <c r="A9" s="2" t="s">
        <v>20</v>
      </c>
      <c r="B9" s="3"/>
      <c r="C9" s="3"/>
      <c r="D9" s="3"/>
      <c r="E9" s="3"/>
      <c r="F9" s="3"/>
      <c r="G9" s="3"/>
      <c r="H9" s="3"/>
      <c r="I9" s="3"/>
    </row>
    <row r="10" spans="1:10" x14ac:dyDescent="0.25">
      <c r="A10" t="s">
        <v>8</v>
      </c>
      <c r="B10" s="3">
        <v>1</v>
      </c>
      <c r="C10" s="3">
        <v>0</v>
      </c>
      <c r="D10" s="3">
        <v>0</v>
      </c>
      <c r="E10" s="3">
        <v>1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</row>
    <row r="11" spans="1:10" x14ac:dyDescent="0.25">
      <c r="A11" t="s">
        <v>3</v>
      </c>
      <c r="B11" s="3">
        <v>0</v>
      </c>
      <c r="C11" s="3">
        <v>1</v>
      </c>
      <c r="D11" s="3">
        <v>0</v>
      </c>
      <c r="E11" s="3">
        <v>0</v>
      </c>
      <c r="F11" s="3">
        <v>1</v>
      </c>
      <c r="G11" s="3">
        <v>0</v>
      </c>
      <c r="H11" s="3">
        <v>1</v>
      </c>
      <c r="I11" s="3">
        <v>1</v>
      </c>
      <c r="J11" s="3">
        <v>1</v>
      </c>
    </row>
    <row r="12" spans="1:10" x14ac:dyDescent="0.25">
      <c r="A12" t="s">
        <v>4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</row>
    <row r="13" spans="1:10" x14ac:dyDescent="0.25">
      <c r="A13" t="s">
        <v>47</v>
      </c>
      <c r="B13" s="3">
        <v>0</v>
      </c>
      <c r="C13" s="3">
        <v>0</v>
      </c>
      <c r="D13" s="3">
        <v>1</v>
      </c>
      <c r="E13" s="3">
        <v>0</v>
      </c>
      <c r="F13" s="3">
        <v>0</v>
      </c>
      <c r="G13" s="3">
        <v>1</v>
      </c>
      <c r="H13" s="3">
        <v>0</v>
      </c>
      <c r="I13" s="3">
        <v>0</v>
      </c>
      <c r="J13" s="3">
        <v>0</v>
      </c>
    </row>
    <row r="14" spans="1:10" x14ac:dyDescent="0.25">
      <c r="A14" s="2" t="s">
        <v>39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25">
      <c r="A15" t="s">
        <v>40</v>
      </c>
      <c r="B15" s="3">
        <v>1</v>
      </c>
      <c r="C15" s="3">
        <v>1</v>
      </c>
      <c r="D15" s="3">
        <v>1</v>
      </c>
      <c r="E15" s="3">
        <v>1</v>
      </c>
      <c r="F15" s="3">
        <v>1</v>
      </c>
      <c r="G15" s="3">
        <v>1</v>
      </c>
      <c r="H15" s="3">
        <v>1</v>
      </c>
      <c r="I15" s="3">
        <v>1</v>
      </c>
      <c r="J15" s="3">
        <v>1</v>
      </c>
    </row>
    <row r="16" spans="1:10" x14ac:dyDescent="0.25">
      <c r="A16" s="2" t="s">
        <v>42</v>
      </c>
      <c r="B16" s="3"/>
      <c r="C16" s="3"/>
      <c r="D16" s="3"/>
      <c r="E16" s="3"/>
      <c r="F16" s="3"/>
      <c r="G16" s="3"/>
      <c r="H16" s="3"/>
      <c r="I16" s="3"/>
      <c r="J16" s="3"/>
    </row>
    <row r="17" spans="1:13" x14ac:dyDescent="0.25">
      <c r="A17" t="s">
        <v>43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</row>
    <row r="18" spans="1:13" x14ac:dyDescent="0.25">
      <c r="A18" s="1" t="s">
        <v>9</v>
      </c>
      <c r="B18" s="3"/>
      <c r="C18" s="3"/>
      <c r="D18" s="3"/>
      <c r="E18" s="3"/>
      <c r="F18" s="3"/>
      <c r="G18" s="3"/>
      <c r="H18" s="5"/>
      <c r="I18" s="3"/>
      <c r="J18" s="3"/>
    </row>
    <row r="19" spans="1:13" x14ac:dyDescent="0.25">
      <c r="A19" t="s">
        <v>48</v>
      </c>
      <c r="B19" s="3">
        <v>-11748713.5580501</v>
      </c>
      <c r="C19" s="3">
        <v>-11748713.5580501</v>
      </c>
      <c r="D19" s="3">
        <v>-11747043.401719</v>
      </c>
      <c r="E19" s="3">
        <v>-11124177.386580201</v>
      </c>
      <c r="F19" s="3">
        <v>-11124177.386580201</v>
      </c>
      <c r="G19" s="3">
        <v>-10722897.898614399</v>
      </c>
      <c r="H19" s="3">
        <v>-503511503.88285297</v>
      </c>
      <c r="I19" s="3">
        <v>-2573028.8945680601</v>
      </c>
      <c r="J19" s="3">
        <v>-10626251.394568</v>
      </c>
      <c r="K19" s="3"/>
      <c r="L19" s="3"/>
      <c r="M19" s="3"/>
    </row>
    <row r="20" spans="1:13" x14ac:dyDescent="0.25">
      <c r="A20" t="s">
        <v>32</v>
      </c>
      <c r="B20" s="3">
        <v>4.9998760223388602E-3</v>
      </c>
      <c r="C20" s="3">
        <v>7.0002079010009696E-3</v>
      </c>
      <c r="D20" s="3">
        <v>5.0001144409179601E-3</v>
      </c>
      <c r="E20" s="3">
        <v>3.9999485015869097E-3</v>
      </c>
      <c r="F20" s="3">
        <v>0</v>
      </c>
      <c r="G20" s="3">
        <v>2.6999950408935498E-2</v>
      </c>
      <c r="H20" s="3">
        <v>0.53500008583068803</v>
      </c>
      <c r="I20" s="3">
        <v>7.9998970031738195E-3</v>
      </c>
      <c r="J20" s="3">
        <v>2.000093460083E-3</v>
      </c>
      <c r="K20" s="3"/>
      <c r="L20" s="3"/>
      <c r="M20" s="3"/>
    </row>
    <row r="21" spans="1:13" x14ac:dyDescent="0.25">
      <c r="A21" t="s">
        <v>17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1.7370725403173299E-16</v>
      </c>
      <c r="H21" s="3">
        <v>0</v>
      </c>
      <c r="I21" s="3">
        <v>0</v>
      </c>
      <c r="J21" s="3">
        <v>0</v>
      </c>
      <c r="K21" s="3"/>
      <c r="L21" s="3"/>
      <c r="M21" s="3"/>
    </row>
    <row r="22" spans="1:13" x14ac:dyDescent="0.25">
      <c r="A22" t="s">
        <v>31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/>
      <c r="L22" s="3"/>
      <c r="M22" s="3"/>
    </row>
    <row r="23" spans="1:13" x14ac:dyDescent="0.25">
      <c r="A23" t="s">
        <v>41</v>
      </c>
      <c r="B23" s="3">
        <v>0.27173913043478198</v>
      </c>
      <c r="C23" s="3">
        <v>0.27173913043478198</v>
      </c>
      <c r="D23" s="3">
        <v>0</v>
      </c>
      <c r="E23" s="3">
        <v>0</v>
      </c>
      <c r="F23" s="3">
        <v>0</v>
      </c>
      <c r="G23" s="3">
        <v>0</v>
      </c>
      <c r="H23" s="3">
        <v>0.27173913043478198</v>
      </c>
      <c r="I23" s="3">
        <v>0</v>
      </c>
      <c r="J23" s="3">
        <v>0</v>
      </c>
      <c r="K23" s="3"/>
      <c r="L23" s="3"/>
      <c r="M23" s="3"/>
    </row>
    <row r="24" spans="1:13" x14ac:dyDescent="0.25">
      <c r="A24" s="2" t="s">
        <v>45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t="s">
        <v>2</v>
      </c>
      <c r="B25" s="3">
        <v>0</v>
      </c>
      <c r="C25" s="3">
        <v>0</v>
      </c>
      <c r="D25" s="3">
        <v>0</v>
      </c>
      <c r="E25" s="3">
        <v>12.92135</v>
      </c>
      <c r="F25" s="3">
        <v>12.92135</v>
      </c>
      <c r="G25" s="3">
        <v>12.92135</v>
      </c>
      <c r="H25" s="3">
        <v>12.920999999999999</v>
      </c>
      <c r="I25" s="3">
        <v>12.920999999999999</v>
      </c>
      <c r="J25" s="3">
        <v>12.920999999999999</v>
      </c>
      <c r="K25" s="3"/>
      <c r="L25" s="3"/>
      <c r="M25" s="3"/>
    </row>
    <row r="26" spans="1:13" x14ac:dyDescent="0.25">
      <c r="A26" t="s">
        <v>0</v>
      </c>
      <c r="B26" s="3">
        <v>74</v>
      </c>
      <c r="C26" s="3">
        <v>59.025551892380903</v>
      </c>
      <c r="D26" s="3">
        <v>62.454999999999998</v>
      </c>
      <c r="E26" s="3">
        <v>36</v>
      </c>
      <c r="F26" s="3">
        <v>36</v>
      </c>
      <c r="G26" s="3">
        <v>36</v>
      </c>
      <c r="H26" s="3">
        <v>36</v>
      </c>
      <c r="I26" s="3">
        <v>36</v>
      </c>
      <c r="J26" s="3">
        <v>36</v>
      </c>
      <c r="K26" s="3"/>
      <c r="L26" s="3"/>
      <c r="M26" s="3"/>
    </row>
    <row r="27" spans="1:13" x14ac:dyDescent="0.25">
      <c r="A27" t="s">
        <v>1</v>
      </c>
      <c r="B27" s="3">
        <v>6</v>
      </c>
      <c r="C27" s="3">
        <v>6</v>
      </c>
      <c r="D27" s="3">
        <v>0</v>
      </c>
      <c r="E27" s="3">
        <v>6</v>
      </c>
      <c r="F27" s="3">
        <v>6</v>
      </c>
      <c r="G27" s="3">
        <v>2.3815138030285001</v>
      </c>
      <c r="H27" s="3">
        <v>6</v>
      </c>
      <c r="I27" s="3">
        <v>6</v>
      </c>
      <c r="J27" s="3">
        <v>6</v>
      </c>
      <c r="K27" s="3"/>
      <c r="L27" s="3"/>
      <c r="M27" s="3"/>
    </row>
    <row r="28" spans="1:13" x14ac:dyDescent="0.25">
      <c r="A28" s="2" t="s">
        <v>46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13" x14ac:dyDescent="0.25">
      <c r="A29" t="s">
        <v>0</v>
      </c>
      <c r="B29" s="3">
        <v>38.363688734486203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/>
      <c r="L29" s="3"/>
      <c r="M29" s="3"/>
    </row>
    <row r="30" spans="1:13" x14ac:dyDescent="0.25">
      <c r="A30" t="s">
        <v>24</v>
      </c>
      <c r="B30" s="3">
        <v>62.454999999999998</v>
      </c>
      <c r="C30" s="3">
        <v>62.454999999999998</v>
      </c>
      <c r="D30" s="3">
        <v>62.454999999999998</v>
      </c>
      <c r="E30" s="3">
        <v>54.921349999999997</v>
      </c>
      <c r="F30" s="3">
        <v>54.921349999999997</v>
      </c>
      <c r="G30" s="3">
        <v>51.302863803028501</v>
      </c>
      <c r="H30" s="3">
        <v>54.920999999999999</v>
      </c>
      <c r="I30" s="3">
        <v>54.920999999999999</v>
      </c>
      <c r="J30" s="3">
        <v>54.920999999999999</v>
      </c>
      <c r="K30" s="3"/>
      <c r="L30" s="3"/>
      <c r="M30" s="3"/>
    </row>
    <row r="31" spans="1:13" x14ac:dyDescent="0.25">
      <c r="A31" t="s">
        <v>1</v>
      </c>
      <c r="B31" s="3">
        <v>6</v>
      </c>
      <c r="C31" s="3">
        <v>6</v>
      </c>
      <c r="D31" s="3">
        <v>0</v>
      </c>
      <c r="E31" s="3">
        <v>6</v>
      </c>
      <c r="F31" s="3">
        <v>6</v>
      </c>
      <c r="G31" s="3">
        <v>0.93789926080202601</v>
      </c>
      <c r="H31" s="3">
        <v>6</v>
      </c>
      <c r="I31" s="3">
        <v>6</v>
      </c>
      <c r="J31" s="3">
        <v>6</v>
      </c>
      <c r="K31" s="3"/>
      <c r="L31" s="3"/>
      <c r="M31" s="3"/>
    </row>
    <row r="32" spans="1:13" x14ac:dyDescent="0.25">
      <c r="A32" s="2" t="s">
        <v>23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13" x14ac:dyDescent="0.25">
      <c r="A33" t="s">
        <v>2</v>
      </c>
      <c r="B33" s="3">
        <v>0</v>
      </c>
      <c r="C33" s="3">
        <v>0</v>
      </c>
      <c r="D33" s="3">
        <v>0</v>
      </c>
      <c r="E33" s="3">
        <v>269.15315180360801</v>
      </c>
      <c r="F33" s="3">
        <v>269.15315180360801</v>
      </c>
      <c r="G33" s="3">
        <v>219.96891611468601</v>
      </c>
      <c r="H33" s="3">
        <v>3098.5730090737102</v>
      </c>
      <c r="I33" s="3">
        <v>216.39643667296701</v>
      </c>
      <c r="J33" s="3">
        <v>216.39643667296701</v>
      </c>
      <c r="K33" s="3"/>
      <c r="L33" s="3"/>
      <c r="M33" s="3"/>
    </row>
    <row r="34" spans="1:13" x14ac:dyDescent="0.25">
      <c r="A34" t="s">
        <v>0</v>
      </c>
      <c r="B34" s="3">
        <v>1448.3702360141299</v>
      </c>
      <c r="C34" s="3">
        <v>1190.09916106232</v>
      </c>
      <c r="D34" s="3">
        <v>1181.1636480188399</v>
      </c>
      <c r="E34" s="3">
        <v>864</v>
      </c>
      <c r="F34" s="3">
        <v>864</v>
      </c>
      <c r="G34" s="3">
        <v>864</v>
      </c>
      <c r="H34" s="3">
        <v>204910.501150094</v>
      </c>
      <c r="I34" s="3">
        <v>864</v>
      </c>
      <c r="J34" s="3">
        <v>864</v>
      </c>
      <c r="K34" s="3"/>
      <c r="L34" s="3"/>
      <c r="M34" s="3"/>
    </row>
    <row r="35" spans="1:13" x14ac:dyDescent="0.25">
      <c r="A35" t="s">
        <v>1</v>
      </c>
      <c r="B35" s="3">
        <v>49.238399999999999</v>
      </c>
      <c r="C35" s="3">
        <v>49.238399999999999</v>
      </c>
      <c r="D35" s="3">
        <v>0</v>
      </c>
      <c r="E35" s="3">
        <v>44.011050890132303</v>
      </c>
      <c r="F35" s="3">
        <v>44.011050890132303</v>
      </c>
      <c r="G35" s="3">
        <v>2.3815138030285001</v>
      </c>
      <c r="H35" s="3">
        <v>16205.8221999999</v>
      </c>
      <c r="I35" s="3">
        <v>36.552999999999997</v>
      </c>
      <c r="J35" s="3">
        <v>36.552999999999997</v>
      </c>
      <c r="K35" s="3"/>
      <c r="L35" s="3"/>
      <c r="M35" s="3"/>
    </row>
    <row r="36" spans="1:13" x14ac:dyDescent="0.25">
      <c r="A36" s="2" t="s">
        <v>22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25">
      <c r="A37" t="s">
        <v>0</v>
      </c>
      <c r="B37" s="3">
        <v>258.27107495181002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/>
      <c r="L37" s="3"/>
      <c r="M37" s="3"/>
    </row>
    <row r="38" spans="1:13" x14ac:dyDescent="0.25">
      <c r="A38" t="s">
        <v>24</v>
      </c>
      <c r="B38" s="3">
        <v>1181.1636480188399</v>
      </c>
      <c r="C38" s="3">
        <v>1181.1636480188399</v>
      </c>
      <c r="D38" s="3">
        <v>1181.1636480188399</v>
      </c>
      <c r="E38" s="3">
        <v>1125.1662692224099</v>
      </c>
      <c r="F38" s="3">
        <v>1125.1662692224099</v>
      </c>
      <c r="G38" s="3">
        <v>1083.5367321353001</v>
      </c>
      <c r="H38" s="3">
        <v>205068.13099999999</v>
      </c>
      <c r="I38" s="3">
        <v>1073.7629999999999</v>
      </c>
      <c r="J38" s="3">
        <v>1073.7629999999999</v>
      </c>
      <c r="K38" s="3"/>
      <c r="L38" s="3"/>
      <c r="M38" s="3"/>
    </row>
    <row r="39" spans="1:13" x14ac:dyDescent="0.25">
      <c r="A39" t="s">
        <v>1</v>
      </c>
      <c r="B39" s="3">
        <v>58.173913043478201</v>
      </c>
      <c r="C39" s="3">
        <v>58.173913043478201</v>
      </c>
      <c r="D39" s="3">
        <v>0</v>
      </c>
      <c r="E39" s="3">
        <v>51.997933471328302</v>
      </c>
      <c r="F39" s="3">
        <v>51.997933471328302</v>
      </c>
      <c r="G39" s="3">
        <v>2.8136977824060798</v>
      </c>
      <c r="H39" s="3">
        <v>19146.765359168199</v>
      </c>
      <c r="I39" s="3">
        <v>43.186436672967801</v>
      </c>
      <c r="J39" s="3">
        <v>43.186436672967801</v>
      </c>
      <c r="K39" s="3"/>
      <c r="L39" s="3"/>
      <c r="M39" s="3"/>
    </row>
    <row r="40" spans="1:13" x14ac:dyDescent="0.25">
      <c r="A40" t="s">
        <v>35</v>
      </c>
      <c r="B40" s="3">
        <v>0</v>
      </c>
      <c r="C40" s="3">
        <v>0</v>
      </c>
      <c r="D40" s="3">
        <v>0</v>
      </c>
      <c r="E40" s="3">
        <v>55.997378796433999</v>
      </c>
      <c r="F40" s="3">
        <v>55.997378796433999</v>
      </c>
      <c r="G40" s="3">
        <v>97.626915883537805</v>
      </c>
      <c r="H40" s="3">
        <v>8.8689999999999998</v>
      </c>
      <c r="I40" s="3">
        <v>4.2370000000000001</v>
      </c>
      <c r="J40" s="3">
        <v>4.2370000000000001</v>
      </c>
      <c r="K40" s="3"/>
      <c r="L40" s="3"/>
      <c r="M40" s="3"/>
    </row>
    <row r="41" spans="1:13" x14ac:dyDescent="0.25">
      <c r="A41" s="2" t="s">
        <v>27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spans="1:13" x14ac:dyDescent="0.25">
      <c r="A42" t="s">
        <v>2</v>
      </c>
      <c r="B42" s="3">
        <v>0</v>
      </c>
      <c r="C42" s="3">
        <v>0</v>
      </c>
      <c r="D42" s="3">
        <v>0</v>
      </c>
      <c r="E42" s="3">
        <v>82172.105643843504</v>
      </c>
      <c r="F42" s="3">
        <v>82172.105643843504</v>
      </c>
      <c r="G42" s="3">
        <v>67156.222738668395</v>
      </c>
      <c r="H42" s="3">
        <v>945990.291923285</v>
      </c>
      <c r="I42" s="3">
        <v>66065.549431934996</v>
      </c>
      <c r="J42" s="3">
        <v>66065.549431934996</v>
      </c>
      <c r="K42" s="3"/>
      <c r="L42" s="3"/>
      <c r="M42" s="3"/>
    </row>
    <row r="43" spans="1:13" x14ac:dyDescent="0.25">
      <c r="A43" t="s">
        <v>0</v>
      </c>
      <c r="B43" s="3">
        <v>78665.906333971507</v>
      </c>
      <c r="C43" s="3">
        <v>62922.922138276503</v>
      </c>
      <c r="D43" s="3">
        <v>64593.078469406901</v>
      </c>
      <c r="E43" s="3">
        <v>45313.2</v>
      </c>
      <c r="F43" s="3">
        <v>45313.2</v>
      </c>
      <c r="G43" s="3">
        <v>45313.2</v>
      </c>
      <c r="H43" s="3">
        <v>8212833.3252236303</v>
      </c>
      <c r="I43" s="3">
        <v>45313.055999999997</v>
      </c>
      <c r="J43" s="3">
        <v>45313.055999999997</v>
      </c>
      <c r="K43" s="3"/>
      <c r="L43" s="3"/>
      <c r="M43" s="3"/>
    </row>
    <row r="44" spans="1:13" x14ac:dyDescent="0.25">
      <c r="A44" t="s">
        <v>1</v>
      </c>
      <c r="B44" s="3">
        <v>0</v>
      </c>
      <c r="C44" s="3">
        <v>0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</row>
    <row r="45" spans="1:13" x14ac:dyDescent="0.25">
      <c r="A45" s="2" t="s">
        <v>28</v>
      </c>
      <c r="B45" s="3"/>
      <c r="C45" s="3"/>
      <c r="D45" s="3"/>
      <c r="E45" s="3"/>
      <c r="F45" s="3"/>
      <c r="G45" s="3"/>
      <c r="H45" s="3"/>
      <c r="I45" s="3"/>
      <c r="J45" s="3"/>
    </row>
    <row r="46" spans="1:13" x14ac:dyDescent="0.25">
      <c r="A46" t="s">
        <v>0</v>
      </c>
      <c r="B46" s="3">
        <v>15742.984195695</v>
      </c>
      <c r="C46" s="3">
        <v>0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</row>
    <row r="47" spans="1:13" x14ac:dyDescent="0.25">
      <c r="A47" t="s">
        <v>24</v>
      </c>
      <c r="B47" s="3">
        <v>11811636.4801884</v>
      </c>
      <c r="C47" s="3">
        <v>11811636.4801884</v>
      </c>
      <c r="D47" s="3">
        <v>11811636.4801884</v>
      </c>
      <c r="E47" s="3">
        <v>11251662.6922241</v>
      </c>
      <c r="F47" s="3">
        <v>11251662.6922241</v>
      </c>
      <c r="G47" s="3">
        <v>10835367.321353</v>
      </c>
      <c r="H47" s="3">
        <v>512670327.5</v>
      </c>
      <c r="I47" s="3">
        <v>2684407.5</v>
      </c>
      <c r="J47" s="3">
        <v>10737630</v>
      </c>
    </row>
    <row r="48" spans="1:13" x14ac:dyDescent="0.25">
      <c r="A48" t="s">
        <v>1</v>
      </c>
      <c r="B48" s="3">
        <v>0</v>
      </c>
      <c r="C48" s="3">
        <v>0</v>
      </c>
      <c r="D48" s="3">
        <v>0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</row>
    <row r="49" spans="4:4" x14ac:dyDescent="0.25">
      <c r="D49" s="3"/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0EF5-9E64-45A3-AF76-8FD0E53934FE}">
  <dimension ref="A1:G53"/>
  <sheetViews>
    <sheetView topLeftCell="A13" zoomScale="85" zoomScaleNormal="85" workbookViewId="0">
      <selection sqref="A1:A53"/>
    </sheetView>
  </sheetViews>
  <sheetFormatPr defaultRowHeight="15" x14ac:dyDescent="0.25"/>
  <cols>
    <col min="1" max="1" width="36.5703125" bestFit="1" customWidth="1"/>
    <col min="2" max="2" width="13.140625" customWidth="1"/>
    <col min="3" max="3" width="14" bestFit="1" customWidth="1"/>
    <col min="4" max="5" width="16" bestFit="1" customWidth="1"/>
    <col min="6" max="6" width="13.85546875" customWidth="1"/>
  </cols>
  <sheetData>
    <row r="1" spans="1:6" x14ac:dyDescent="0.25">
      <c r="A1" s="1" t="s">
        <v>7</v>
      </c>
      <c r="B1" t="s">
        <v>61</v>
      </c>
    </row>
    <row r="2" spans="1:6" x14ac:dyDescent="0.25">
      <c r="A2" s="1" t="s">
        <v>6</v>
      </c>
    </row>
    <row r="3" spans="1:6" x14ac:dyDescent="0.25">
      <c r="A3" t="s">
        <v>55</v>
      </c>
      <c r="E3" s="4">
        <v>6624</v>
      </c>
    </row>
    <row r="4" spans="1:6" x14ac:dyDescent="0.25">
      <c r="A4" t="s">
        <v>52</v>
      </c>
      <c r="B4" s="4">
        <v>10000</v>
      </c>
      <c r="C4" s="4">
        <v>2500</v>
      </c>
      <c r="D4" s="4">
        <v>2500</v>
      </c>
      <c r="E4" s="4">
        <v>2500</v>
      </c>
      <c r="F4" s="4">
        <v>2500</v>
      </c>
    </row>
    <row r="5" spans="1:6" x14ac:dyDescent="0.25">
      <c r="A5" t="s">
        <v>57</v>
      </c>
      <c r="B5" s="4">
        <v>24</v>
      </c>
      <c r="C5" s="4">
        <v>24</v>
      </c>
      <c r="D5" s="4">
        <v>8783</v>
      </c>
      <c r="E5" s="4">
        <v>8783</v>
      </c>
      <c r="F5" s="4">
        <v>8783</v>
      </c>
    </row>
    <row r="6" spans="1:6" x14ac:dyDescent="0.25">
      <c r="A6" t="s">
        <v>58</v>
      </c>
      <c r="B6" s="4"/>
      <c r="C6" s="4"/>
      <c r="D6" s="4">
        <v>66</v>
      </c>
      <c r="E6" s="4">
        <v>66</v>
      </c>
      <c r="F6" s="8">
        <v>66</v>
      </c>
    </row>
    <row r="7" spans="1:6" x14ac:dyDescent="0.25">
      <c r="A7" s="2" t="s">
        <v>44</v>
      </c>
      <c r="B7" s="4"/>
      <c r="C7" s="4"/>
      <c r="D7" s="4"/>
      <c r="E7" s="4"/>
      <c r="F7" s="4"/>
    </row>
    <row r="8" spans="1:6" x14ac:dyDescent="0.25">
      <c r="A8" t="s">
        <v>2</v>
      </c>
      <c r="B8" s="4">
        <v>12.920999999999999</v>
      </c>
      <c r="C8" s="4">
        <v>12.920999999999999</v>
      </c>
      <c r="D8" s="4">
        <v>12.920999999999999</v>
      </c>
      <c r="E8" s="4">
        <v>12.920999999999999</v>
      </c>
      <c r="F8" s="4">
        <v>12.920999999999999</v>
      </c>
    </row>
    <row r="9" spans="1:6" x14ac:dyDescent="0.25">
      <c r="A9" t="s">
        <v>0</v>
      </c>
      <c r="B9" s="4">
        <v>36</v>
      </c>
      <c r="C9" s="4">
        <v>36</v>
      </c>
      <c r="D9" s="4">
        <v>36</v>
      </c>
      <c r="E9" s="4">
        <v>36</v>
      </c>
      <c r="F9" s="4">
        <v>36</v>
      </c>
    </row>
    <row r="10" spans="1:6" x14ac:dyDescent="0.25">
      <c r="A10" t="s">
        <v>1</v>
      </c>
      <c r="B10" s="4">
        <v>6</v>
      </c>
      <c r="C10" s="4">
        <v>6</v>
      </c>
      <c r="D10" s="4">
        <v>6</v>
      </c>
      <c r="E10" s="4">
        <v>6</v>
      </c>
      <c r="F10" s="4">
        <v>6</v>
      </c>
    </row>
    <row r="11" spans="1:6" x14ac:dyDescent="0.25">
      <c r="A11" s="2" t="s">
        <v>20</v>
      </c>
      <c r="B11" s="4"/>
      <c r="C11" s="4"/>
      <c r="D11" s="4"/>
      <c r="E11" s="4"/>
      <c r="F11" s="4"/>
    </row>
    <row r="12" spans="1:6" x14ac:dyDescent="0.25">
      <c r="A12" t="s">
        <v>8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</row>
    <row r="13" spans="1:6" x14ac:dyDescent="0.25">
      <c r="A13" t="s">
        <v>3</v>
      </c>
      <c r="B13" s="4">
        <v>1</v>
      </c>
      <c r="C13" s="4">
        <v>1</v>
      </c>
      <c r="D13" s="4">
        <v>1</v>
      </c>
      <c r="E13" s="4">
        <v>1</v>
      </c>
      <c r="F13" s="4">
        <v>0</v>
      </c>
    </row>
    <row r="14" spans="1:6" x14ac:dyDescent="0.25">
      <c r="A14" t="s">
        <v>4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</row>
    <row r="15" spans="1:6" x14ac:dyDescent="0.25">
      <c r="A15" t="s">
        <v>47</v>
      </c>
      <c r="B15" s="4">
        <v>0</v>
      </c>
      <c r="C15" s="4">
        <v>0</v>
      </c>
      <c r="D15" s="4">
        <v>0</v>
      </c>
      <c r="E15" s="4">
        <v>0</v>
      </c>
      <c r="F15" s="4">
        <v>1</v>
      </c>
    </row>
    <row r="16" spans="1:6" x14ac:dyDescent="0.25">
      <c r="A16" s="2" t="s">
        <v>39</v>
      </c>
      <c r="B16" s="4"/>
      <c r="C16" s="4"/>
      <c r="D16" s="4"/>
      <c r="E16" s="4"/>
      <c r="F16" s="4"/>
    </row>
    <row r="17" spans="1:7" x14ac:dyDescent="0.25">
      <c r="A17" t="s">
        <v>40</v>
      </c>
      <c r="B17" s="4">
        <v>1</v>
      </c>
      <c r="C17" s="4">
        <v>1</v>
      </c>
      <c r="D17" s="4">
        <v>1</v>
      </c>
      <c r="E17" s="4">
        <v>1</v>
      </c>
      <c r="F17" s="4">
        <v>1</v>
      </c>
    </row>
    <row r="18" spans="1:7" x14ac:dyDescent="0.25">
      <c r="A18" s="2" t="s">
        <v>42</v>
      </c>
      <c r="B18" s="4"/>
      <c r="C18" s="4"/>
      <c r="D18" s="4"/>
      <c r="E18" s="4"/>
      <c r="F18" s="4"/>
    </row>
    <row r="19" spans="1:7" x14ac:dyDescent="0.25">
      <c r="A19" t="s">
        <v>43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</row>
    <row r="20" spans="1:7" x14ac:dyDescent="0.25">
      <c r="A20" s="1" t="s">
        <v>9</v>
      </c>
      <c r="B20" s="4"/>
      <c r="C20" s="4"/>
      <c r="D20" s="4"/>
      <c r="E20" s="4"/>
      <c r="F20" s="4"/>
    </row>
    <row r="21" spans="1:7" x14ac:dyDescent="0.25">
      <c r="A21" t="s">
        <v>48</v>
      </c>
      <c r="B21" s="4">
        <v>-10626251.394568</v>
      </c>
      <c r="C21" s="4">
        <v>-2573028.8945680601</v>
      </c>
      <c r="D21" s="4">
        <v>-503511503.88285297</v>
      </c>
      <c r="E21" s="4">
        <v>-503428701.306997</v>
      </c>
      <c r="F21" s="4">
        <v>-503145897.59350002</v>
      </c>
    </row>
    <row r="22" spans="1:7" x14ac:dyDescent="0.25">
      <c r="A22" t="s">
        <v>54</v>
      </c>
      <c r="B22" s="4">
        <v>153748.605431934</v>
      </c>
      <c r="C22" s="4">
        <v>121971.105431934</v>
      </c>
      <c r="D22" s="8">
        <v>9180996.1171469297</v>
      </c>
      <c r="E22" s="8">
        <v>9263798.6930023599</v>
      </c>
      <c r="F22" s="8">
        <v>9546602.4064993802</v>
      </c>
    </row>
    <row r="23" spans="1:7" x14ac:dyDescent="0.25">
      <c r="A23" t="s">
        <v>32</v>
      </c>
      <c r="B23" s="4">
        <v>4.0001869201660104E-3</v>
      </c>
      <c r="C23" s="4">
        <v>0</v>
      </c>
      <c r="D23" s="4">
        <v>0.480999946594238</v>
      </c>
      <c r="E23" s="4">
        <v>0.56500005722045898</v>
      </c>
      <c r="F23" s="4">
        <v>0.26200008392333901</v>
      </c>
    </row>
    <row r="24" spans="1:7" x14ac:dyDescent="0.25">
      <c r="A24" t="s">
        <v>17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</row>
    <row r="25" spans="1:7" x14ac:dyDescent="0.25">
      <c r="A25" t="s">
        <v>31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</row>
    <row r="26" spans="1:7" x14ac:dyDescent="0.25">
      <c r="A26" t="s">
        <v>41</v>
      </c>
      <c r="B26" s="4">
        <v>0</v>
      </c>
      <c r="C26" s="4">
        <v>0</v>
      </c>
      <c r="D26" s="4">
        <v>0.27173913043478198</v>
      </c>
      <c r="E26" s="4">
        <v>0.89913043478260801</v>
      </c>
      <c r="F26" s="4">
        <v>0</v>
      </c>
    </row>
    <row r="27" spans="1:7" x14ac:dyDescent="0.25">
      <c r="A27" t="s">
        <v>56</v>
      </c>
      <c r="D27" s="1">
        <v>366</v>
      </c>
      <c r="E27" s="1">
        <v>301</v>
      </c>
      <c r="F27" s="8">
        <v>66</v>
      </c>
    </row>
    <row r="28" spans="1:7" x14ac:dyDescent="0.25">
      <c r="A28" t="s">
        <v>59</v>
      </c>
      <c r="D28" s="1">
        <v>366</v>
      </c>
      <c r="E28" s="1">
        <v>306</v>
      </c>
      <c r="F28" s="8">
        <v>76</v>
      </c>
      <c r="G28" t="s">
        <v>60</v>
      </c>
    </row>
    <row r="29" spans="1:7" x14ac:dyDescent="0.25">
      <c r="A29" s="2" t="s">
        <v>45</v>
      </c>
      <c r="B29" s="4"/>
      <c r="C29" s="4"/>
      <c r="D29" s="4"/>
      <c r="E29" s="4"/>
      <c r="F29" s="4"/>
    </row>
    <row r="30" spans="1:7" x14ac:dyDescent="0.25">
      <c r="A30" t="s">
        <v>2</v>
      </c>
      <c r="B30" s="4">
        <v>12.920999999999999</v>
      </c>
      <c r="C30" s="4">
        <v>12.920999999999999</v>
      </c>
      <c r="D30" s="4">
        <v>12.920999999999999</v>
      </c>
      <c r="E30" s="4">
        <v>12.920999999999999</v>
      </c>
      <c r="F30" s="4">
        <v>12.920999999999999</v>
      </c>
    </row>
    <row r="31" spans="1:7" x14ac:dyDescent="0.25">
      <c r="A31" t="s">
        <v>0</v>
      </c>
      <c r="B31" s="4">
        <v>36</v>
      </c>
      <c r="C31" s="4">
        <v>36</v>
      </c>
      <c r="D31" s="4">
        <v>36</v>
      </c>
      <c r="E31" s="4">
        <v>36</v>
      </c>
      <c r="F31" s="4">
        <v>36</v>
      </c>
    </row>
    <row r="32" spans="1:7" x14ac:dyDescent="0.25">
      <c r="A32" t="s">
        <v>1</v>
      </c>
      <c r="B32" s="4">
        <v>6</v>
      </c>
      <c r="C32" s="4">
        <v>6</v>
      </c>
      <c r="D32" s="4">
        <v>6</v>
      </c>
      <c r="E32" s="4">
        <v>6</v>
      </c>
      <c r="F32" s="4">
        <v>6</v>
      </c>
    </row>
    <row r="33" spans="1:6" x14ac:dyDescent="0.25">
      <c r="A33" s="2" t="s">
        <v>46</v>
      </c>
      <c r="B33" s="4"/>
      <c r="C33" s="4"/>
      <c r="D33" s="4"/>
      <c r="E33" s="4"/>
      <c r="F33" s="4"/>
    </row>
    <row r="34" spans="1:6" x14ac:dyDescent="0.25">
      <c r="A34" t="s">
        <v>0</v>
      </c>
      <c r="B34" s="4">
        <v>0</v>
      </c>
      <c r="C34" s="4">
        <v>0</v>
      </c>
      <c r="D34" s="4">
        <v>0</v>
      </c>
      <c r="E34" s="4">
        <v>0</v>
      </c>
      <c r="F34" s="4">
        <v>0</v>
      </c>
    </row>
    <row r="35" spans="1:6" x14ac:dyDescent="0.25">
      <c r="A35" t="s">
        <v>24</v>
      </c>
      <c r="B35" s="4">
        <v>54.920999999999999</v>
      </c>
      <c r="C35" s="4">
        <v>54.920999999999999</v>
      </c>
      <c r="D35" s="4">
        <v>54.920999999999999</v>
      </c>
      <c r="E35" s="4">
        <v>54.920999999999999</v>
      </c>
      <c r="F35" s="4">
        <v>54.920999999999999</v>
      </c>
    </row>
    <row r="36" spans="1:6" x14ac:dyDescent="0.25">
      <c r="A36" t="s">
        <v>1</v>
      </c>
      <c r="B36" s="4">
        <v>6</v>
      </c>
      <c r="C36" s="4">
        <v>6</v>
      </c>
      <c r="D36" s="4">
        <v>6</v>
      </c>
      <c r="E36" s="4">
        <v>6</v>
      </c>
      <c r="F36" s="4">
        <v>6</v>
      </c>
    </row>
    <row r="37" spans="1:6" x14ac:dyDescent="0.25">
      <c r="A37" s="2" t="s">
        <v>23</v>
      </c>
      <c r="B37" s="4"/>
      <c r="C37" s="4"/>
      <c r="D37" s="4"/>
      <c r="E37" s="4"/>
      <c r="F37" s="4"/>
    </row>
    <row r="38" spans="1:6" x14ac:dyDescent="0.25">
      <c r="A38" t="s">
        <v>2</v>
      </c>
      <c r="B38" s="4">
        <v>216.39643667296701</v>
      </c>
      <c r="C38" s="4">
        <v>216.39643667296701</v>
      </c>
      <c r="D38" s="4">
        <v>3098.5730090737102</v>
      </c>
      <c r="E38" s="4">
        <v>3098.5730090737102</v>
      </c>
      <c r="F38" s="4">
        <v>3000.0191999999902</v>
      </c>
    </row>
    <row r="39" spans="1:6" x14ac:dyDescent="0.25">
      <c r="A39" t="s">
        <v>0</v>
      </c>
      <c r="B39" s="4">
        <v>864</v>
      </c>
      <c r="C39" s="4">
        <v>864</v>
      </c>
      <c r="D39" s="4">
        <v>204910.501150094</v>
      </c>
      <c r="E39" s="4">
        <v>203171.64494744799</v>
      </c>
      <c r="F39" s="4">
        <v>202367.83931946999</v>
      </c>
    </row>
    <row r="40" spans="1:6" x14ac:dyDescent="0.25">
      <c r="A40" t="s">
        <v>1</v>
      </c>
      <c r="B40" s="4">
        <v>36.552999999999997</v>
      </c>
      <c r="C40" s="4">
        <v>36.552999999999997</v>
      </c>
      <c r="D40" s="8">
        <v>16205.8221999999</v>
      </c>
      <c r="E40" s="8">
        <v>6623.99999999989</v>
      </c>
      <c r="F40" s="8">
        <v>1685.0463999999899</v>
      </c>
    </row>
    <row r="41" spans="1:6" x14ac:dyDescent="0.25">
      <c r="A41" s="2" t="s">
        <v>22</v>
      </c>
      <c r="B41" s="4"/>
      <c r="C41" s="4"/>
      <c r="D41" s="4"/>
      <c r="E41" s="4"/>
      <c r="F41" s="4"/>
    </row>
    <row r="42" spans="1:6" x14ac:dyDescent="0.25">
      <c r="A42" t="s">
        <v>0</v>
      </c>
      <c r="B42" s="4">
        <v>0</v>
      </c>
      <c r="C42" s="4">
        <v>0</v>
      </c>
      <c r="D42" s="4">
        <v>0</v>
      </c>
      <c r="E42" s="4">
        <v>0</v>
      </c>
      <c r="F42" s="4">
        <v>0</v>
      </c>
    </row>
    <row r="43" spans="1:6" x14ac:dyDescent="0.25">
      <c r="A43" t="s">
        <v>24</v>
      </c>
      <c r="B43" s="4">
        <v>1073.7629999999999</v>
      </c>
      <c r="C43" s="4">
        <v>1073.7629999999999</v>
      </c>
      <c r="D43" s="4">
        <v>205068.13099999999</v>
      </c>
      <c r="E43" s="4">
        <v>205068.13099999999</v>
      </c>
      <c r="F43" s="4">
        <v>205050.0656</v>
      </c>
    </row>
    <row r="44" spans="1:6" x14ac:dyDescent="0.25">
      <c r="A44" t="s">
        <v>1</v>
      </c>
      <c r="B44" s="4">
        <v>43.186436672967801</v>
      </c>
      <c r="C44" s="4">
        <v>43.186436672967801</v>
      </c>
      <c r="D44" s="4">
        <v>19146.765359168199</v>
      </c>
      <c r="E44" s="4">
        <v>7826.0869565215899</v>
      </c>
      <c r="F44" s="4">
        <v>2002.83931947069</v>
      </c>
    </row>
    <row r="45" spans="1:6" x14ac:dyDescent="0.25">
      <c r="A45" t="s">
        <v>35</v>
      </c>
      <c r="B45" s="4">
        <v>4.2370000000000001</v>
      </c>
      <c r="C45" s="4">
        <v>4.2370000000000001</v>
      </c>
      <c r="D45" s="4">
        <v>8.8689999999999998</v>
      </c>
      <c r="E45" s="4">
        <v>8.8689999999999998</v>
      </c>
      <c r="F45" s="4">
        <v>26.9344</v>
      </c>
    </row>
    <row r="46" spans="1:6" x14ac:dyDescent="0.25">
      <c r="A46" s="2" t="s">
        <v>27</v>
      </c>
      <c r="B46" s="4"/>
      <c r="C46" s="4"/>
      <c r="D46" s="4"/>
      <c r="E46" s="4"/>
      <c r="F46" s="4"/>
    </row>
    <row r="47" spans="1:6" x14ac:dyDescent="0.25">
      <c r="A47" t="s">
        <v>2</v>
      </c>
      <c r="B47" s="4">
        <v>66065.549431934996</v>
      </c>
      <c r="C47" s="4">
        <v>66065.549431934996</v>
      </c>
      <c r="D47" s="4">
        <v>945990.291923285</v>
      </c>
      <c r="E47" s="4">
        <v>945990.291923285</v>
      </c>
      <c r="F47" s="4">
        <v>915901.94275649404</v>
      </c>
    </row>
    <row r="48" spans="1:6" x14ac:dyDescent="0.25">
      <c r="A48" t="s">
        <v>0</v>
      </c>
      <c r="B48" s="4">
        <v>45313.055999999997</v>
      </c>
      <c r="C48" s="4">
        <v>45313.055999999997</v>
      </c>
      <c r="D48" s="4">
        <v>8212833.3252236303</v>
      </c>
      <c r="E48" s="4">
        <v>8295635.9010790698</v>
      </c>
      <c r="F48" s="4">
        <v>8563364.4637428895</v>
      </c>
    </row>
    <row r="49" spans="1:6" x14ac:dyDescent="0.25">
      <c r="A49" t="s">
        <v>1</v>
      </c>
      <c r="B49" s="4">
        <v>0</v>
      </c>
      <c r="C49" s="4">
        <v>0</v>
      </c>
      <c r="D49" s="4">
        <v>0</v>
      </c>
      <c r="E49" s="4">
        <v>0</v>
      </c>
      <c r="F49" s="4">
        <v>0</v>
      </c>
    </row>
    <row r="50" spans="1:6" x14ac:dyDescent="0.25">
      <c r="A50" s="2" t="s">
        <v>28</v>
      </c>
      <c r="B50" s="4"/>
      <c r="C50" s="4"/>
      <c r="D50" s="4"/>
      <c r="E50" s="4"/>
      <c r="F50" s="4"/>
    </row>
    <row r="51" spans="1:6" x14ac:dyDescent="0.25">
      <c r="A51" t="s">
        <v>0</v>
      </c>
      <c r="B51" s="4">
        <v>0</v>
      </c>
      <c r="C51" s="4">
        <v>0</v>
      </c>
      <c r="D51" s="4">
        <v>0</v>
      </c>
      <c r="E51" s="4">
        <v>0</v>
      </c>
      <c r="F51" s="4">
        <v>0</v>
      </c>
    </row>
    <row r="52" spans="1:6" x14ac:dyDescent="0.25">
      <c r="A52" t="s">
        <v>24</v>
      </c>
      <c r="B52" s="4">
        <v>10737630</v>
      </c>
      <c r="C52" s="4">
        <v>2684407.5</v>
      </c>
      <c r="D52" s="4">
        <v>512670327.5</v>
      </c>
      <c r="E52" s="4">
        <v>512670327.5</v>
      </c>
      <c r="F52" s="4">
        <v>512625164</v>
      </c>
    </row>
    <row r="53" spans="1:6" x14ac:dyDescent="0.25">
      <c r="A53" t="s">
        <v>1</v>
      </c>
      <c r="B53" s="4">
        <v>0</v>
      </c>
      <c r="C53" s="4">
        <v>0</v>
      </c>
      <c r="D53" s="4">
        <v>0</v>
      </c>
      <c r="E53" s="4">
        <v>0</v>
      </c>
      <c r="F53" s="4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Experiments</vt:lpstr>
      <vt:lpstr>250718_investment</vt:lpstr>
      <vt:lpstr>250616_plan</vt:lpstr>
      <vt:lpstr>20250425</vt:lpstr>
      <vt:lpstr>20250424</vt:lpstr>
      <vt:lpstr>20250505_Ops</vt:lpstr>
      <vt:lpstr>250601_ops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 Lauinger</dc:creator>
  <cp:lastModifiedBy>Dirk Lauinger</cp:lastModifiedBy>
  <dcterms:created xsi:type="dcterms:W3CDTF">2015-06-05T18:17:20Z</dcterms:created>
  <dcterms:modified xsi:type="dcterms:W3CDTF">2025-08-08T22:11:56Z</dcterms:modified>
</cp:coreProperties>
</file>