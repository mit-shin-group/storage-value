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D34D5E0B-C4EE-4324-9D94-BF41EB6AA663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250901" sheetId="9" r:id="rId1"/>
    <sheet name="Experiments" sheetId="1" r:id="rId2"/>
    <sheet name="250718_investment" sheetId="7" r:id="rId3"/>
    <sheet name="250616_plan" sheetId="6" r:id="rId4"/>
    <sheet name="20250425" sheetId="3" r:id="rId5"/>
    <sheet name="20250424" sheetId="2" r:id="rId6"/>
    <sheet name="20250505_Ops" sheetId="4" r:id="rId7"/>
    <sheet name="250601_ops" sheetId="5" r:id="rId8"/>
    <sheet name="Parameter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3" i="6" l="1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<sst xmlns="http://schemas.openxmlformats.org/spreadsheetml/2006/main" count="746" uniqueCount="193">
  <si>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</si>
  <si>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</si>
  <si>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</si>
  <si>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</si>
  <si>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</si>
  <si>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</si>
  <si>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</si>
  <si>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</si>
  <si>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</si>
  <si>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</si>
  <si>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</si>
  <si>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</si>
  <si>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</si>
  <si>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</si>
  <si>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</si>
  <si>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</si>
  <si>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</si>
  <si>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</si>
  <si>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</si>
  <si>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</si>
  <si>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</si>
  <si>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</si>
  <si>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</si>
  <si>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</si>
  <si>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</si>
  <si>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</si>
  <si>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</si>
  <si>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</si>
  <si>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</si>
  <si>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</si>
  <si>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</si>
  <si>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</si>
  <si>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</si>
  <si>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</si>
  <si>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</si>
  <si>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</si>
  <si>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</si>
  <si>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</si>
  <si>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</si>
  <si>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</si>
  <si>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</si>
  <si>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</si>
  <si>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</si>
  <si>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</si>
  <si>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</si>
  <si>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</si>
  <si>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</si>
  <si>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</si>
  <si>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</si>
  <si>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</si>
  <si>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</si>
  <si>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</si>
  <si>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</si>
  <si>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</si>
  <si>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</si>
  <si>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</si>
  <si>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</si>
  <si>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</si>
  <si>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</si>
  <si>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</si>
  <si>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</si>
  <si>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</si>
  <si>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</si>
  <si>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</si>
  <si>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</si>
  <si>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</si>
  <si>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</si>
  <si>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</si>
  <si>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</si>
  <si>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</si>
  <si>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</si>
  <si>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</si>
  <si>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</si>
  <si>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</si>
  <si>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</si>
  <si>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</si>
  <si>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</si>
  <si>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</si>
  <si>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</si>
  <si>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</si>
  <si>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</si>
  <si>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</si>
  <si>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</si>
  <si>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</si>
  <si>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</si>
  <si>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</si>
  <si>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</si>
  <si>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</si>
  <si>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</si>
  <si>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</si>
  <si>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</si>
  <si>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</si>
  <si>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</si>
  <si>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</si>
  <si>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</si>
  <si>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</si>
  <si>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</si>
  <si>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</si>
  <si>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</si>
  <si>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</si>
  <si>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</si>
  <si>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</si>
  <si>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</si>
  <si>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</si>
  <si>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</si>
  <si>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</si>
  <si>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</si>
  <si>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</si>
  <si>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</si>
  <si>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</si>
  <si>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</si>
  <si>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</si>
  <si>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</si>
  <si>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</si>
  <si>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</si>
  <si>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</si>
  <si>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</si>
  <si>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</si>
  <si>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</si>
  <si>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</si>
  <si>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</si>
  <si>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</si>
  <si>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</si>
  <si>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</si>
  <si>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</si>
  <si>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</si>
  <si>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</si>
  <si>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</si>
  <si>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</si>
  <si>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</si>
  <si>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</si>
  <si>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</si>
  <si>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</si>
  <si>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</si>
  <si>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</si>
  <si>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</si>
  <si>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</si>
  <si>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</si>
  <si>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</si>
  <si>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</si>
  <si>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</si>
  <si>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</si>
  <si>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cost_batt</t>
  </si>
  <si>
    <t>capa_batt</t>
  </si>
  <si>
    <t>capa_grid</t>
  </si>
  <si>
    <t>year</t>
  </si>
  <si>
    <t>Market</t>
  </si>
  <si>
    <t>Experiment</t>
  </si>
  <si>
    <t>Available investments</t>
  </si>
  <si>
    <t>Mean storage investment cost</t>
  </si>
  <si>
    <t>Solution quality</t>
  </si>
  <si>
    <t>Total cost (M$)</t>
  </si>
  <si>
    <t>Maximum MIP gap (%)</t>
  </si>
  <si>
    <t>Complementarity violations (#)</t>
  </si>
  <si>
    <t>Costs (M$)</t>
  </si>
  <si>
    <t>Total operating</t>
  </si>
  <si>
    <t>- base case</t>
  </si>
  <si>
    <t>- contingency</t>
  </si>
  <si>
    <t>Total capital</t>
  </si>
  <si>
    <t>- grid</t>
  </si>
  <si>
    <t>- storage</t>
  </si>
  <si>
    <t>Investment decisions (MW)</t>
  </si>
  <si>
    <t>Terminal capacity (grid)</t>
  </si>
  <si>
    <t>Terminal capacity (storage)</t>
  </si>
  <si>
    <t>Total investment (grid)</t>
  </si>
  <si>
    <t>Total investment (storage)</t>
  </si>
  <si>
    <t>Operating decisions (GWh/yr)</t>
  </si>
  <si>
    <t>Total demand (load)</t>
  </si>
  <si>
    <t>Total demand (grid, base case)</t>
  </si>
  <si>
    <t>Total supply (base case)</t>
  </si>
  <si>
    <t>Total demand (grid, contingency)</t>
  </si>
  <si>
    <t>Total supply (contingency)</t>
  </si>
  <si>
    <t>Discharge cycles (#)</t>
  </si>
  <si>
    <t>Average (base case)</t>
  </si>
  <si>
    <t>Maximum (base case)</t>
  </si>
  <si>
    <t>Average (contingency)</t>
  </si>
  <si>
    <t>Maximum (contingency)</t>
  </si>
  <si>
    <t>Rerun 1 with peak shaving</t>
  </si>
  <si>
    <t>Observation</t>
  </si>
  <si>
    <t>operating costs</t>
  </si>
  <si>
    <t>higher in contingency under market participation</t>
  </si>
  <si>
    <t>lower in contingency under peak shaving</t>
  </si>
  <si>
    <t>Additional experiments</t>
  </si>
  <si>
    <t>backup operation</t>
  </si>
  <si>
    <t>backup operation and planning</t>
  </si>
  <si>
    <t>perfect foresight (J = 1); left out because limited novelty</t>
  </si>
  <si>
    <t>Cycle limit</t>
  </si>
  <si>
    <t>yearly</t>
  </si>
  <si>
    <t>daily</t>
  </si>
  <si>
    <t>one cycle per day (running) -- results as expected: with only half a cycle per day, it takes a bigger battery.</t>
  </si>
  <si>
    <t>- backup</t>
  </si>
  <si>
    <t>Terminal capacity (backup)</t>
  </si>
  <si>
    <t>Total investment (backup)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</si>
</sst>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  <xf numFmtId="0" fontId="0" fillId="0" borderId="0" xfId="0" quotePrefix="1"/>
    <xf numFmtId="166" fontId="0" fillId="0" borderId="0" xfId="1" applyNumberFormat="1" applyFont="1"/>
    <xf numFmtId="166" fontId="1" fillId="0" borderId="0" xfId="1" applyNumberFormat="1" applyFont="1"/>
    <xf numFmtId="166" fontId="3" fillId="0" borderId="0" xfId="1" applyNumberFormat="1" applyFont="1"/>
    <xf numFmtId="0" fontId="0" fillId="0" borderId="0" xfId="0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652-74D1-4B3E-96C5-211693738343}">
  <dimension ref="A1:P44"/>
  <sheetViews>
    <sheetView tabSelected="1" workbookViewId="0">
      <selection activeCell="O19" sqref="O19"/>
    </sheetView>
  </sheetViews>
  <sheetFormatPr defaultRowHeight="14.4" x14ac:dyDescent="0.3"/>
  <cols>
    <col min="1" max="1" width="30" bestFit="1" customWidth="1"/>
    <col min="2" max="4" width="14.88671875" bestFit="1" customWidth="1"/>
    <col min="5" max="5" width="14.109375" bestFit="1" customWidth="1"/>
    <col min="6" max="6" width="12.109375" bestFit="1" customWidth="1"/>
    <col min="7" max="7" width="11.21875" bestFit="1" customWidth="1"/>
    <col min="8" max="8" width="14.6640625" bestFit="1" customWidth="1"/>
    <col min="9" max="9" width="14.88671875" bestFit="1" customWidth="1"/>
    <col min="10" max="10" width="13.88671875" bestFit="1" customWidth="1"/>
    <col min="11" max="12" width="14.88671875" bestFit="1" customWidth="1"/>
    <col min="13" max="13" width="13.88671875" customWidth="1"/>
  </cols>
  <sheetData>
    <row r="1" spans="1:16" x14ac:dyDescent="0.3">
      <c r="A1" s="1" t="s">
        <v>147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12</v>
      </c>
      <c r="J1">
        <v>8</v>
      </c>
      <c r="K1">
        <v>9</v>
      </c>
      <c r="L1">
        <v>10</v>
      </c>
      <c r="M1">
        <v>11</v>
      </c>
      <c r="O1" t="s">
        <v>177</v>
      </c>
    </row>
    <row r="2" spans="1:16" x14ac:dyDescent="0.3">
      <c r="A2" s="1" t="s">
        <v>6</v>
      </c>
    </row>
    <row r="3" spans="1:16" x14ac:dyDescent="0.3">
      <c r="A3" t="s">
        <v>20</v>
      </c>
      <c r="B3" s="22" t="s">
        <v>79</v>
      </c>
      <c r="C3" s="22" t="s">
        <v>79</v>
      </c>
      <c r="D3" s="22" t="s">
        <v>85</v>
      </c>
      <c r="E3" s="22" t="s">
        <v>79</v>
      </c>
      <c r="F3" s="22" t="s">
        <v>138</v>
      </c>
      <c r="G3" s="22" t="s">
        <v>85</v>
      </c>
      <c r="H3" s="22" t="s">
        <v>85</v>
      </c>
      <c r="I3" s="22" t="s">
        <v>79</v>
      </c>
      <c r="J3" s="3" t="s">
        <v>79</v>
      </c>
      <c r="K3" s="3" t="s">
        <v>85</v>
      </c>
      <c r="L3" s="3" t="s">
        <v>79</v>
      </c>
      <c r="M3" s="3" t="s">
        <v>85</v>
      </c>
      <c r="O3" t="s">
        <v>178</v>
      </c>
    </row>
    <row r="4" spans="1:16" x14ac:dyDescent="0.3">
      <c r="A4" t="s">
        <v>148</v>
      </c>
      <c r="B4" s="3" t="s">
        <v>102</v>
      </c>
      <c r="C4" s="22" t="s">
        <v>102</v>
      </c>
      <c r="D4" s="22" t="s">
        <v>102</v>
      </c>
      <c r="E4" s="22" t="s">
        <v>102</v>
      </c>
      <c r="F4" s="22" t="s">
        <v>102</v>
      </c>
      <c r="G4" s="22" t="s">
        <v>102</v>
      </c>
      <c r="H4" s="22" t="s">
        <v>102</v>
      </c>
      <c r="I4" t="s">
        <v>102</v>
      </c>
      <c r="J4" s="3" t="s">
        <v>78</v>
      </c>
      <c r="K4" s="3" t="s">
        <v>78</v>
      </c>
      <c r="L4" s="3" t="s">
        <v>78</v>
      </c>
      <c r="M4" s="3" t="s">
        <v>78</v>
      </c>
      <c r="O4" t="s">
        <v>179</v>
      </c>
      <c r="P4" t="s">
        <v>180</v>
      </c>
    </row>
    <row r="5" spans="1:16" x14ac:dyDescent="0.3">
      <c r="A5" t="s">
        <v>90</v>
      </c>
      <c r="B5" s="3" t="b">
        <v>0</v>
      </c>
      <c r="C5" s="22" t="b">
        <v>0</v>
      </c>
      <c r="D5" s="22" t="b">
        <v>0</v>
      </c>
      <c r="E5" s="22" t="b">
        <v>0</v>
      </c>
      <c r="F5" s="22" t="b">
        <v>0</v>
      </c>
      <c r="G5" s="22" t="b">
        <v>0</v>
      </c>
      <c r="H5" s="22" t="b">
        <v>0</v>
      </c>
      <c r="I5" t="b">
        <v>0</v>
      </c>
      <c r="J5" s="3" t="b">
        <v>0</v>
      </c>
      <c r="K5" s="3" t="b">
        <v>0</v>
      </c>
      <c r="L5" s="3" t="b">
        <v>0</v>
      </c>
      <c r="M5" s="3" t="b">
        <v>0</v>
      </c>
      <c r="P5" t="s">
        <v>181</v>
      </c>
    </row>
    <row r="6" spans="1:16" x14ac:dyDescent="0.3">
      <c r="A6" t="s">
        <v>149</v>
      </c>
      <c r="B6" s="3">
        <v>26578092.437204901</v>
      </c>
      <c r="C6" s="22">
        <v>26578092.437204901</v>
      </c>
      <c r="D6" s="22">
        <v>26578092.437204901</v>
      </c>
      <c r="E6" s="22">
        <v>64000</v>
      </c>
      <c r="F6" s="22">
        <v>64000</v>
      </c>
      <c r="G6" s="22">
        <v>64000</v>
      </c>
      <c r="H6" s="22">
        <v>26578092.437204901</v>
      </c>
      <c r="I6" s="22">
        <v>26578092.437204901</v>
      </c>
      <c r="J6" s="3">
        <v>26578092.437204901</v>
      </c>
      <c r="K6" s="22">
        <v>26578092.437204901</v>
      </c>
      <c r="L6" s="22">
        <v>26578092.437204901</v>
      </c>
      <c r="M6" s="3">
        <v>26578092.437204901</v>
      </c>
    </row>
    <row r="7" spans="1:16" x14ac:dyDescent="0.3">
      <c r="A7" t="s">
        <v>186</v>
      </c>
      <c r="B7" s="3" t="s">
        <v>187</v>
      </c>
      <c r="C7" s="3" t="s">
        <v>187</v>
      </c>
      <c r="D7" s="3" t="s">
        <v>187</v>
      </c>
      <c r="E7" s="3" t="s">
        <v>187</v>
      </c>
      <c r="F7" s="3" t="s">
        <v>187</v>
      </c>
      <c r="G7" s="3" t="s">
        <v>187</v>
      </c>
      <c r="H7" s="22" t="s">
        <v>188</v>
      </c>
      <c r="I7" s="3" t="s">
        <v>188</v>
      </c>
      <c r="J7" s="3" t="s">
        <v>187</v>
      </c>
      <c r="K7" s="3" t="s">
        <v>187</v>
      </c>
      <c r="L7" s="3" t="s">
        <v>187</v>
      </c>
      <c r="M7" s="3" t="s">
        <v>187</v>
      </c>
    </row>
    <row r="8" spans="1:16" x14ac:dyDescent="0.3">
      <c r="A8" s="1" t="s">
        <v>150</v>
      </c>
      <c r="B8" s="3"/>
      <c r="C8" s="22"/>
      <c r="D8" s="22"/>
      <c r="E8" s="22"/>
      <c r="F8" s="22"/>
      <c r="G8" s="22"/>
      <c r="O8" t="s">
        <v>182</v>
      </c>
    </row>
    <row r="9" spans="1:16" x14ac:dyDescent="0.3">
      <c r="A9" t="s">
        <v>151</v>
      </c>
      <c r="B9" s="23">
        <v>697.884027378518</v>
      </c>
      <c r="C9" s="23">
        <v>649.65375644307699</v>
      </c>
      <c r="D9" s="23">
        <v>636.35956844237296</v>
      </c>
      <c r="E9" s="23">
        <v>609.24741029683696</v>
      </c>
      <c r="F9" s="23">
        <v>530.23693424619205</v>
      </c>
      <c r="G9" s="23">
        <v>432.544725325797</v>
      </c>
      <c r="H9" s="23">
        <v>662.56661538108006</v>
      </c>
      <c r="I9" s="23">
        <v>680.01065470740298</v>
      </c>
      <c r="J9" s="23">
        <v>647.02551059914197</v>
      </c>
      <c r="K9" s="23">
        <v>633.44103572541201</v>
      </c>
      <c r="L9" s="23">
        <v>723.18131467821695</v>
      </c>
      <c r="M9" s="23">
        <v>629.82325591411598</v>
      </c>
      <c r="P9" t="s">
        <v>183</v>
      </c>
    </row>
    <row r="10" spans="1:16" x14ac:dyDescent="0.3">
      <c r="A10" t="s">
        <v>66</v>
      </c>
      <c r="B10" s="22">
        <v>9.4569277763366699</v>
      </c>
      <c r="C10" s="22">
        <v>1300.0746300220401</v>
      </c>
      <c r="D10" s="22">
        <v>1639.87720012664</v>
      </c>
      <c r="E10" s="22">
        <v>3133.4677019119199</v>
      </c>
      <c r="F10" s="22">
        <v>736.43312096595696</v>
      </c>
      <c r="G10" s="22">
        <v>670.26163721084595</v>
      </c>
      <c r="H10" s="22">
        <v>919.16119694709698</v>
      </c>
      <c r="I10" s="22">
        <v>2427.2889068126601</v>
      </c>
      <c r="J10" s="22">
        <v>4211.1156399250003</v>
      </c>
      <c r="K10" s="22">
        <v>4083.08587312698</v>
      </c>
      <c r="L10" s="22">
        <v>14400.3762300014</v>
      </c>
      <c r="M10" s="22">
        <v>14405.7700920104</v>
      </c>
      <c r="P10" t="s">
        <v>184</v>
      </c>
    </row>
    <row r="11" spans="1:16" x14ac:dyDescent="0.3">
      <c r="A11" t="s">
        <v>152</v>
      </c>
      <c r="B11" s="22">
        <v>4.3985171364821501E-4</v>
      </c>
      <c r="C11" s="22">
        <v>2.69306410232841E-4</v>
      </c>
      <c r="D11" s="22">
        <v>0</v>
      </c>
      <c r="E11" s="22">
        <v>9.2005095908254001E-4</v>
      </c>
      <c r="F11" s="22">
        <v>1.1316593381965E-4</v>
      </c>
      <c r="G11" s="22">
        <v>2.1868853258422401E-11</v>
      </c>
      <c r="H11" s="22">
        <v>1.7408681950279799E-5</v>
      </c>
      <c r="I11" s="22">
        <v>0</v>
      </c>
      <c r="J11" s="22">
        <v>8.9960924271766899E-4</v>
      </c>
      <c r="K11" s="22">
        <v>6.7749548605001298E-13</v>
      </c>
      <c r="L11" s="23">
        <v>19.0670647901275</v>
      </c>
      <c r="M11" s="23">
        <v>2.8452750103519602</v>
      </c>
      <c r="P11" t="s">
        <v>185</v>
      </c>
    </row>
    <row r="12" spans="1:16" x14ac:dyDescent="0.3">
      <c r="A12" t="s">
        <v>153</v>
      </c>
      <c r="B12" s="22">
        <v>0</v>
      </c>
      <c r="C12" s="22">
        <v>0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</v>
      </c>
      <c r="P12" t="s">
        <v>189</v>
      </c>
    </row>
    <row r="13" spans="1:16" x14ac:dyDescent="0.3">
      <c r="A13" s="1" t="s">
        <v>154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spans="1:16" x14ac:dyDescent="0.3">
      <c r="A14" t="s">
        <v>155</v>
      </c>
      <c r="B14" s="23">
        <v>331.44023745686201</v>
      </c>
      <c r="C14" s="23">
        <v>331.29081741620399</v>
      </c>
      <c r="D14" s="23">
        <v>317.99662941550901</v>
      </c>
      <c r="E14" s="23">
        <v>331.04245855075197</v>
      </c>
      <c r="F14" s="23">
        <v>250.510479148521</v>
      </c>
      <c r="G14" s="23">
        <v>151.41751627727101</v>
      </c>
      <c r="H14" s="23">
        <v>313.85660435563699</v>
      </c>
      <c r="I14" s="23">
        <v>331.30064368195201</v>
      </c>
      <c r="J14" s="23">
        <v>331.24497835393498</v>
      </c>
      <c r="K14" s="23">
        <v>317.660503480204</v>
      </c>
      <c r="L14" s="23">
        <v>331.46553924472403</v>
      </c>
      <c r="M14" s="23">
        <v>331.63212868795</v>
      </c>
    </row>
    <row r="15" spans="1:16" x14ac:dyDescent="0.3">
      <c r="A15" s="21" t="s">
        <v>156</v>
      </c>
      <c r="B15" s="22">
        <v>331.464587111637</v>
      </c>
      <c r="C15" s="22">
        <v>331.464587111637</v>
      </c>
      <c r="D15" s="22">
        <v>317.97127753128899</v>
      </c>
      <c r="E15" s="22">
        <v>331.464587111637</v>
      </c>
      <c r="F15" s="22">
        <v>247.712926974433</v>
      </c>
      <c r="G15" s="22">
        <v>137.636196975807</v>
      </c>
      <c r="H15" s="22">
        <v>313.79475885947801</v>
      </c>
      <c r="I15" s="22">
        <v>331.464587111637</v>
      </c>
      <c r="J15" s="22">
        <v>331.464587111637</v>
      </c>
      <c r="K15" s="22">
        <v>317.63477994612202</v>
      </c>
      <c r="L15" s="22">
        <v>331.464587111637</v>
      </c>
      <c r="M15" s="22">
        <v>319.10475744885002</v>
      </c>
    </row>
    <row r="16" spans="1:16" x14ac:dyDescent="0.3">
      <c r="A16" s="21" t="s">
        <v>157</v>
      </c>
      <c r="B16" s="22">
        <v>331.342838837768</v>
      </c>
      <c r="C16" s="22">
        <v>330.59573863447901</v>
      </c>
      <c r="D16" s="22">
        <v>318.09803695238003</v>
      </c>
      <c r="E16" s="22">
        <v>329.35394430721402</v>
      </c>
      <c r="F16" s="22">
        <v>261.70068784487302</v>
      </c>
      <c r="G16" s="22">
        <v>206.54279348312801</v>
      </c>
      <c r="H16" s="22">
        <v>314.10398634026598</v>
      </c>
      <c r="I16" s="22">
        <v>330.64486996321602</v>
      </c>
      <c r="J16" s="22">
        <v>330.36654332313299</v>
      </c>
      <c r="K16" s="22">
        <v>317.76339761653099</v>
      </c>
      <c r="L16" s="22">
        <v>331.46934777707997</v>
      </c>
      <c r="M16" s="22">
        <v>381.741613644344</v>
      </c>
    </row>
    <row r="17" spans="1:13" x14ac:dyDescent="0.3">
      <c r="A17" t="s">
        <v>158</v>
      </c>
      <c r="B17" s="23">
        <v>366.44378992165201</v>
      </c>
      <c r="C17" s="23">
        <v>318.36293902687498</v>
      </c>
      <c r="D17" s="23">
        <v>318.36293902687697</v>
      </c>
      <c r="E17" s="23">
        <v>278.20495174608698</v>
      </c>
      <c r="F17" s="23">
        <v>279.72645509766602</v>
      </c>
      <c r="G17" s="23">
        <v>281.12720904852603</v>
      </c>
      <c r="H17" s="23">
        <v>348.71001102545301</v>
      </c>
      <c r="I17" s="23">
        <v>348.71001102545398</v>
      </c>
      <c r="J17" s="23">
        <v>315.78053224520499</v>
      </c>
      <c r="K17" s="23">
        <v>315.78053224520499</v>
      </c>
      <c r="L17" s="23">
        <v>391.71577543349002</v>
      </c>
      <c r="M17" s="23">
        <v>298.191127226167</v>
      </c>
    </row>
    <row r="18" spans="1:13" x14ac:dyDescent="0.3">
      <c r="A18" s="21" t="s">
        <v>190</v>
      </c>
      <c r="B18" s="23"/>
      <c r="C18" s="23"/>
      <c r="D18" s="23"/>
      <c r="E18" s="23"/>
      <c r="F18" s="23"/>
      <c r="G18" s="23"/>
      <c r="H18" s="23"/>
      <c r="I18" s="23"/>
      <c r="J18" s="23">
        <v>0</v>
      </c>
      <c r="K18" s="23">
        <v>0</v>
      </c>
      <c r="L18" s="23"/>
      <c r="M18" s="23">
        <v>89.450802844688596</v>
      </c>
    </row>
    <row r="19" spans="1:13" x14ac:dyDescent="0.3">
      <c r="A19" s="21" t="s">
        <v>159</v>
      </c>
      <c r="B19" s="22">
        <v>366.44378992165201</v>
      </c>
      <c r="C19" s="22">
        <v>277.99184063021897</v>
      </c>
      <c r="D19" s="22">
        <v>277.99184063021897</v>
      </c>
      <c r="E19" s="22">
        <v>277.99184063021897</v>
      </c>
      <c r="F19" s="22">
        <v>277.99184063021897</v>
      </c>
      <c r="G19" s="22">
        <v>277.99184063021897</v>
      </c>
      <c r="H19" s="22">
        <v>277.99184063021897</v>
      </c>
      <c r="I19" s="22">
        <v>277.99184063021897</v>
      </c>
      <c r="J19" s="22">
        <v>277.99184063021897</v>
      </c>
      <c r="K19" s="22">
        <v>277.99184063021897</v>
      </c>
      <c r="L19" s="22">
        <v>391.71577543349002</v>
      </c>
      <c r="M19" s="22">
        <v>183.22189496082601</v>
      </c>
    </row>
    <row r="20" spans="1:13" x14ac:dyDescent="0.3">
      <c r="A20" s="21" t="s">
        <v>160</v>
      </c>
      <c r="B20" s="22">
        <v>0</v>
      </c>
      <c r="C20" s="23">
        <v>40.371098396656002</v>
      </c>
      <c r="D20" s="22">
        <v>40.371098396657999</v>
      </c>
      <c r="E20" s="22">
        <v>0.21311111586798201</v>
      </c>
      <c r="F20" s="22">
        <v>1.73461446744706</v>
      </c>
      <c r="G20" s="22">
        <v>3.1353684183071202</v>
      </c>
      <c r="H20" s="23">
        <v>70.718170395233699</v>
      </c>
      <c r="I20" s="22">
        <v>70.718170395235305</v>
      </c>
      <c r="J20" s="23">
        <v>37.7886916149859</v>
      </c>
      <c r="K20" s="23">
        <v>37.788691614986099</v>
      </c>
      <c r="L20" s="23">
        <v>0</v>
      </c>
      <c r="M20" s="23">
        <v>25.5184294206529</v>
      </c>
    </row>
    <row r="21" spans="1:13" x14ac:dyDescent="0.3">
      <c r="A21" s="1" t="s">
        <v>161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</row>
    <row r="22" spans="1:13" x14ac:dyDescent="0.3">
      <c r="A22" s="25" t="s">
        <v>191</v>
      </c>
      <c r="B22" s="22"/>
      <c r="C22" s="22"/>
      <c r="D22" s="22"/>
      <c r="E22" s="22"/>
      <c r="F22" s="22"/>
      <c r="G22" s="22"/>
      <c r="H22" s="22"/>
      <c r="I22" s="22"/>
      <c r="J22" s="22">
        <v>0</v>
      </c>
      <c r="K22" s="22">
        <v>0</v>
      </c>
      <c r="L22" s="22"/>
      <c r="M22" s="23">
        <v>6.5130000000000097</v>
      </c>
    </row>
    <row r="23" spans="1:13" x14ac:dyDescent="0.3">
      <c r="A23" s="21" t="s">
        <v>162</v>
      </c>
      <c r="B23" s="23">
        <v>160</v>
      </c>
      <c r="C23" s="23">
        <v>120</v>
      </c>
      <c r="D23" s="23">
        <v>120</v>
      </c>
      <c r="E23" s="23">
        <v>120</v>
      </c>
      <c r="F23" s="23">
        <v>120</v>
      </c>
      <c r="G23" s="23">
        <v>120</v>
      </c>
      <c r="H23" s="23">
        <v>120</v>
      </c>
      <c r="I23" s="23">
        <v>120</v>
      </c>
      <c r="J23" s="23">
        <v>120</v>
      </c>
      <c r="K23" s="23">
        <v>120</v>
      </c>
      <c r="L23" s="23">
        <v>160</v>
      </c>
      <c r="M23" s="23">
        <v>120</v>
      </c>
    </row>
    <row r="24" spans="1:13" x14ac:dyDescent="0.3">
      <c r="A24" s="21" t="s">
        <v>163</v>
      </c>
      <c r="B24" s="24">
        <v>0</v>
      </c>
      <c r="C24" s="23">
        <v>19.317999999998101</v>
      </c>
      <c r="D24" s="23">
        <v>19.318000000000001</v>
      </c>
      <c r="E24" s="23">
        <v>19.1075386063049</v>
      </c>
      <c r="F24" s="23">
        <v>122.205999583386</v>
      </c>
      <c r="G24" s="23">
        <v>247.92105228839</v>
      </c>
      <c r="H24" s="23">
        <v>37.899794392882598</v>
      </c>
      <c r="I24" s="23">
        <v>37.899794392882598</v>
      </c>
      <c r="J24" s="23">
        <v>19.317999999998499</v>
      </c>
      <c r="K24" s="23">
        <v>19.317999999999</v>
      </c>
      <c r="L24" s="23">
        <v>0</v>
      </c>
      <c r="M24" s="23">
        <v>11.5709999999999</v>
      </c>
    </row>
    <row r="25" spans="1:13" x14ac:dyDescent="0.3">
      <c r="A25" s="21" t="s">
        <v>192</v>
      </c>
      <c r="B25" s="24"/>
      <c r="C25" s="23"/>
      <c r="D25" s="23"/>
      <c r="E25" s="23"/>
      <c r="F25" s="23"/>
      <c r="G25" s="23"/>
      <c r="H25" s="23"/>
      <c r="I25" s="23"/>
      <c r="J25" s="23">
        <v>0</v>
      </c>
      <c r="K25" s="23">
        <v>0</v>
      </c>
      <c r="L25" s="23"/>
      <c r="M25" s="23">
        <v>22.260649999999998</v>
      </c>
    </row>
    <row r="26" spans="1:13" x14ac:dyDescent="0.3">
      <c r="A26" t="s">
        <v>164</v>
      </c>
      <c r="B26" s="22">
        <v>160</v>
      </c>
      <c r="C26" s="22">
        <v>120</v>
      </c>
      <c r="D26" s="22">
        <v>120</v>
      </c>
      <c r="E26" s="22">
        <v>120</v>
      </c>
      <c r="F26" s="22">
        <v>120</v>
      </c>
      <c r="G26" s="22">
        <v>120</v>
      </c>
      <c r="H26" s="22">
        <v>120</v>
      </c>
      <c r="I26" s="22">
        <v>120</v>
      </c>
      <c r="J26" s="22">
        <v>120</v>
      </c>
      <c r="K26" s="22">
        <v>120</v>
      </c>
      <c r="L26" s="22">
        <v>160</v>
      </c>
      <c r="M26" s="22">
        <v>120</v>
      </c>
    </row>
    <row r="27" spans="1:13" x14ac:dyDescent="0.3">
      <c r="A27" t="s">
        <v>165</v>
      </c>
      <c r="B27" s="22">
        <v>0</v>
      </c>
      <c r="C27" s="22">
        <v>19.317999999998101</v>
      </c>
      <c r="D27" s="22">
        <v>19.318000000000001</v>
      </c>
      <c r="E27" s="23">
        <v>26.638889483497699</v>
      </c>
      <c r="F27" s="23">
        <v>216.82680843088301</v>
      </c>
      <c r="G27" s="23">
        <v>391.92105228839</v>
      </c>
      <c r="H27" s="22">
        <v>37.899794392882598</v>
      </c>
      <c r="I27" s="22">
        <v>37.899794392882598</v>
      </c>
      <c r="J27" s="22">
        <v>19.317999999998399</v>
      </c>
      <c r="K27" s="22">
        <v>19.317999999999</v>
      </c>
      <c r="L27" s="22">
        <v>0</v>
      </c>
      <c r="M27" s="22">
        <v>11.5709999999999</v>
      </c>
    </row>
    <row r="28" spans="1:13" x14ac:dyDescent="0.3">
      <c r="A28" s="1" t="s">
        <v>166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</row>
    <row r="29" spans="1:13" x14ac:dyDescent="0.3">
      <c r="A29" t="s">
        <v>167</v>
      </c>
      <c r="B29" s="22">
        <v>295.000317319891</v>
      </c>
      <c r="C29" s="22">
        <v>295.000317319891</v>
      </c>
      <c r="D29" s="22">
        <v>295.000317319891</v>
      </c>
      <c r="E29" s="22">
        <v>295.000317319891</v>
      </c>
      <c r="F29" s="22">
        <v>295.000317319891</v>
      </c>
      <c r="G29" s="22">
        <v>295.000317319891</v>
      </c>
      <c r="H29" s="22">
        <v>295.000317319891</v>
      </c>
      <c r="I29" s="22">
        <v>295.000317319891</v>
      </c>
      <c r="J29" s="22">
        <v>295.000317319891</v>
      </c>
      <c r="K29" s="22">
        <v>295.000317319891</v>
      </c>
      <c r="L29" s="22">
        <v>295.000317319891</v>
      </c>
      <c r="M29" s="22">
        <v>295.000317319891</v>
      </c>
    </row>
    <row r="30" spans="1:13" x14ac:dyDescent="0.3">
      <c r="A30" t="s">
        <v>168</v>
      </c>
      <c r="B30" s="22">
        <v>0</v>
      </c>
      <c r="C30" s="22">
        <v>0</v>
      </c>
      <c r="D30" s="22">
        <v>0</v>
      </c>
      <c r="E30" s="22">
        <v>0</v>
      </c>
      <c r="F30" s="22">
        <v>0</v>
      </c>
      <c r="G30" s="23">
        <v>188.79867977994701</v>
      </c>
      <c r="H30" s="23">
        <v>0.24840661296942801</v>
      </c>
      <c r="I30" s="22">
        <v>0</v>
      </c>
      <c r="J30" s="22">
        <v>0</v>
      </c>
      <c r="K30" s="22">
        <v>0</v>
      </c>
      <c r="L30" s="22">
        <v>0</v>
      </c>
      <c r="M30" s="22">
        <v>1.2147022941970301E-2</v>
      </c>
    </row>
    <row r="31" spans="1:13" x14ac:dyDescent="0.3">
      <c r="A31" t="s">
        <v>169</v>
      </c>
      <c r="B31" s="22">
        <v>295.000317319891</v>
      </c>
      <c r="C31" s="22">
        <v>295.000317319891</v>
      </c>
      <c r="D31" s="22">
        <v>308.68374473584799</v>
      </c>
      <c r="E31" s="22">
        <v>295.000317319891</v>
      </c>
      <c r="F31" s="22">
        <v>448.09020719371603</v>
      </c>
      <c r="G31" s="22">
        <v>791.61530740721696</v>
      </c>
      <c r="H31" s="22">
        <v>316.112270034147</v>
      </c>
      <c r="I31" s="22">
        <v>295.000317319891</v>
      </c>
      <c r="J31" s="22">
        <v>295.000317319891</v>
      </c>
      <c r="K31" s="22">
        <v>308.23727072792798</v>
      </c>
      <c r="L31" s="22">
        <v>295.000317319891</v>
      </c>
      <c r="M31" s="22">
        <v>305.015817616074</v>
      </c>
    </row>
    <row r="32" spans="1:13" x14ac:dyDescent="0.3">
      <c r="A32" s="21" t="s">
        <v>190</v>
      </c>
      <c r="B32" s="22"/>
      <c r="C32" s="22"/>
      <c r="D32" s="22"/>
      <c r="E32" s="22"/>
      <c r="F32" s="22"/>
      <c r="G32" s="22"/>
      <c r="H32" s="22"/>
      <c r="I32" s="22"/>
      <c r="J32" s="22">
        <v>0</v>
      </c>
      <c r="K32" s="22">
        <v>7.4546250000000105E-2</v>
      </c>
      <c r="L32" s="22"/>
      <c r="M32" s="22">
        <v>0.24193586538461401</v>
      </c>
    </row>
    <row r="33" spans="1:13" x14ac:dyDescent="0.3">
      <c r="A33" s="21" t="s">
        <v>159</v>
      </c>
      <c r="B33" s="22">
        <v>295.000317319891</v>
      </c>
      <c r="C33" s="22">
        <v>295.000317319891</v>
      </c>
      <c r="D33" s="22">
        <v>297.27766382815599</v>
      </c>
      <c r="E33" s="22">
        <v>295.000317319891</v>
      </c>
      <c r="F33" s="22">
        <v>320.47922078145899</v>
      </c>
      <c r="G33" s="22">
        <v>535.02917344055004</v>
      </c>
      <c r="H33" s="22">
        <v>298.72106477403702</v>
      </c>
      <c r="I33" s="22">
        <v>295.000317319891</v>
      </c>
      <c r="J33" s="22">
        <v>295.000317319891</v>
      </c>
      <c r="K33" s="22">
        <v>297.128810462545</v>
      </c>
      <c r="L33" s="22">
        <v>295.000317319891</v>
      </c>
      <c r="M33" s="22">
        <v>296.43539656607197</v>
      </c>
    </row>
    <row r="34" spans="1:13" x14ac:dyDescent="0.3">
      <c r="A34" s="21" t="s">
        <v>160</v>
      </c>
      <c r="B34" s="22">
        <v>0</v>
      </c>
      <c r="C34" s="22">
        <v>0</v>
      </c>
      <c r="D34" s="22">
        <v>11.406080907692299</v>
      </c>
      <c r="E34" s="22">
        <v>0</v>
      </c>
      <c r="F34" s="23">
        <v>127.61098641225701</v>
      </c>
      <c r="G34" s="22">
        <v>256.58613396666601</v>
      </c>
      <c r="H34" s="22">
        <v>17.391205260109299</v>
      </c>
      <c r="I34" s="22">
        <v>0</v>
      </c>
      <c r="J34" s="22">
        <v>0</v>
      </c>
      <c r="K34" s="22">
        <v>11.033914015382599</v>
      </c>
      <c r="L34" s="22">
        <v>0</v>
      </c>
      <c r="M34" s="22">
        <v>8.3384851846172197</v>
      </c>
    </row>
    <row r="35" spans="1:13" x14ac:dyDescent="0.3">
      <c r="A35" t="s">
        <v>170</v>
      </c>
      <c r="B35" s="22">
        <v>0</v>
      </c>
      <c r="C35" s="22">
        <v>0</v>
      </c>
      <c r="D35" s="22">
        <v>0</v>
      </c>
      <c r="E35" s="22">
        <v>0</v>
      </c>
      <c r="F35" s="22">
        <v>0</v>
      </c>
      <c r="G35" s="23">
        <v>110.673766150169</v>
      </c>
      <c r="H35" s="22">
        <v>0.24840661296942801</v>
      </c>
      <c r="I35" s="22">
        <v>0</v>
      </c>
      <c r="J35" s="22">
        <v>0</v>
      </c>
      <c r="K35" s="22">
        <v>0</v>
      </c>
      <c r="L35" s="22">
        <v>0</v>
      </c>
      <c r="M35" s="22">
        <v>1.2147022941970301E-2</v>
      </c>
    </row>
    <row r="36" spans="1:13" x14ac:dyDescent="0.3">
      <c r="A36" t="s">
        <v>171</v>
      </c>
      <c r="B36" s="22">
        <v>295.04511308241899</v>
      </c>
      <c r="C36" s="22">
        <v>295.41590260856299</v>
      </c>
      <c r="D36" s="22">
        <v>308.68374473584902</v>
      </c>
      <c r="E36" s="22">
        <v>296.299332627843</v>
      </c>
      <c r="F36" s="22">
        <v>419.81106855205098</v>
      </c>
      <c r="G36" s="22">
        <v>608.26854485884803</v>
      </c>
      <c r="H36" s="22">
        <v>316.10567720205302</v>
      </c>
      <c r="I36" s="22">
        <v>295.37940902635</v>
      </c>
      <c r="J36" s="22">
        <v>295.59740687470497</v>
      </c>
      <c r="K36" s="22">
        <v>308.23727072792798</v>
      </c>
      <c r="L36" s="22">
        <v>294.99951661476302</v>
      </c>
      <c r="M36" s="22">
        <v>305.01581761606599</v>
      </c>
    </row>
    <row r="37" spans="1:13" x14ac:dyDescent="0.3">
      <c r="A37" s="21" t="s">
        <v>190</v>
      </c>
      <c r="B37" s="22"/>
      <c r="C37" s="22"/>
      <c r="D37" s="22"/>
      <c r="E37" s="22"/>
      <c r="F37" s="22"/>
      <c r="G37" s="22"/>
      <c r="H37" s="22"/>
      <c r="I37" s="22"/>
      <c r="J37" s="23">
        <v>2.7764718623481802E-2</v>
      </c>
      <c r="K37" s="23">
        <v>7.4895800607287399E-2</v>
      </c>
      <c r="L37" s="22"/>
      <c r="M37" s="22">
        <v>9.4308724290674295</v>
      </c>
    </row>
    <row r="38" spans="1:13" x14ac:dyDescent="0.3">
      <c r="A38" s="21" t="s">
        <v>159</v>
      </c>
      <c r="B38" s="22">
        <v>295.00777272344402</v>
      </c>
      <c r="C38" s="22">
        <v>295.06948359506799</v>
      </c>
      <c r="D38" s="22">
        <v>297.27766382815702</v>
      </c>
      <c r="E38" s="22">
        <v>295.21651373660501</v>
      </c>
      <c r="F38" s="22">
        <v>315.772695458187</v>
      </c>
      <c r="G38" s="22">
        <v>439.392082273413</v>
      </c>
      <c r="H38" s="22">
        <v>298.7199675224</v>
      </c>
      <c r="I38" s="22">
        <v>295.06340993169198</v>
      </c>
      <c r="J38" s="22">
        <v>295.07192681296402</v>
      </c>
      <c r="K38" s="22">
        <v>297.12846091193802</v>
      </c>
      <c r="L38" s="22">
        <v>294.99951661476302</v>
      </c>
      <c r="M38" s="22">
        <v>287.24646000238101</v>
      </c>
    </row>
    <row r="39" spans="1:13" x14ac:dyDescent="0.3">
      <c r="A39" s="21" t="s">
        <v>160</v>
      </c>
      <c r="B39" s="22">
        <v>3.7340358974359403E-2</v>
      </c>
      <c r="C39" s="23">
        <v>0.34641901349521398</v>
      </c>
      <c r="D39" s="23">
        <v>11.406080907692299</v>
      </c>
      <c r="E39" s="23">
        <v>1.08281889123819</v>
      </c>
      <c r="F39" s="23">
        <v>104.038373093864</v>
      </c>
      <c r="G39" s="22">
        <v>168.87646258543501</v>
      </c>
      <c r="H39" s="22">
        <v>17.3857096796539</v>
      </c>
      <c r="I39" s="22">
        <v>0.315999094657965</v>
      </c>
      <c r="J39" s="23">
        <v>0.49771534311736398</v>
      </c>
      <c r="K39" s="23">
        <v>11.033914015382599</v>
      </c>
      <c r="L39" s="23">
        <v>0</v>
      </c>
      <c r="M39" s="23">
        <v>8.3384851846171699</v>
      </c>
    </row>
    <row r="40" spans="1:13" x14ac:dyDescent="0.3">
      <c r="A40" s="1" t="s">
        <v>172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</row>
    <row r="41" spans="1:13" x14ac:dyDescent="0.3">
      <c r="A41" t="s">
        <v>173</v>
      </c>
      <c r="B41" s="22">
        <v>0</v>
      </c>
      <c r="C41" s="22">
        <v>0</v>
      </c>
      <c r="D41" s="22">
        <v>149.99999999999901</v>
      </c>
      <c r="E41" s="22">
        <v>0</v>
      </c>
      <c r="F41" s="22">
        <v>128.182183752193</v>
      </c>
      <c r="G41" s="22">
        <v>146.874011439464</v>
      </c>
      <c r="H41" s="22">
        <v>149.99909976143601</v>
      </c>
      <c r="I41" s="22">
        <v>0</v>
      </c>
      <c r="J41" s="22">
        <v>0</v>
      </c>
      <c r="K41" s="22">
        <v>150.00000000000099</v>
      </c>
      <c r="L41" s="22">
        <v>0</v>
      </c>
      <c r="M41" s="22">
        <v>149.99999999999901</v>
      </c>
    </row>
    <row r="42" spans="1:13" x14ac:dyDescent="0.3">
      <c r="A42" t="s">
        <v>174</v>
      </c>
      <c r="B42" s="22">
        <v>0</v>
      </c>
      <c r="C42" s="22">
        <v>0</v>
      </c>
      <c r="D42" s="22">
        <v>150.00000000000401</v>
      </c>
      <c r="E42" s="22">
        <v>0</v>
      </c>
      <c r="F42" s="22">
        <v>150.00000000000199</v>
      </c>
      <c r="G42" s="22">
        <v>150.00000000000199</v>
      </c>
      <c r="H42" s="22">
        <v>149.99909976144099</v>
      </c>
      <c r="I42" s="22">
        <v>0</v>
      </c>
      <c r="J42" s="22">
        <v>0</v>
      </c>
      <c r="K42" s="22">
        <v>150.00000000000401</v>
      </c>
      <c r="L42" s="22">
        <v>0</v>
      </c>
      <c r="M42" s="22">
        <v>150.00000000000199</v>
      </c>
    </row>
    <row r="43" spans="1:13" x14ac:dyDescent="0.3">
      <c r="A43" t="s">
        <v>175</v>
      </c>
      <c r="B43" s="22">
        <v>0.85205273307684004</v>
      </c>
      <c r="C43" s="22">
        <v>3.5365920176916799</v>
      </c>
      <c r="D43" s="22">
        <v>149.99999999999901</v>
      </c>
      <c r="E43" s="22">
        <v>6.6893613468302</v>
      </c>
      <c r="F43" s="22">
        <v>107.772794592032</v>
      </c>
      <c r="G43" s="22">
        <v>106.777007183226</v>
      </c>
      <c r="H43" s="22">
        <v>149.977517696262</v>
      </c>
      <c r="I43" s="22">
        <v>2.1860572090588901</v>
      </c>
      <c r="J43" s="22">
        <v>7.0509048193495198</v>
      </c>
      <c r="K43" s="22">
        <v>150.00000000000099</v>
      </c>
      <c r="L43" s="22">
        <v>0</v>
      </c>
      <c r="M43" s="22">
        <v>149.99999999999901</v>
      </c>
    </row>
    <row r="44" spans="1:13" x14ac:dyDescent="0.3">
      <c r="A44" t="s">
        <v>176</v>
      </c>
      <c r="B44" s="22">
        <v>1.9927268884149201</v>
      </c>
      <c r="C44" s="22">
        <v>8.2309193489321792</v>
      </c>
      <c r="D44" s="22">
        <v>150.00000000000401</v>
      </c>
      <c r="E44" s="22">
        <v>8.7662722674693505</v>
      </c>
      <c r="F44" s="22">
        <v>150</v>
      </c>
      <c r="G44" s="22">
        <v>150.00000000000199</v>
      </c>
      <c r="H44" s="22">
        <v>149.999099761438</v>
      </c>
      <c r="I44" s="22">
        <v>3.4343188852731101</v>
      </c>
      <c r="J44" s="22">
        <v>8.6561938543647905</v>
      </c>
      <c r="K44" s="22">
        <v>150.00000000000401</v>
      </c>
      <c r="L44" s="22">
        <v>0</v>
      </c>
      <c r="M44" s="22">
        <v>150.00000000000199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G1" activePane="topRight" state="frozen"/>
      <selection pane="topRight" activeCell="BH17" sqref="BH17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146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E28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145</v>
      </c>
      <c r="B1" t="s">
        <v>142</v>
      </c>
      <c r="C1" t="s">
        <v>141</v>
      </c>
      <c r="D1" t="s">
        <v>143</v>
      </c>
      <c r="E1" t="s">
        <v>144</v>
      </c>
    </row>
    <row r="2" spans="1:5" x14ac:dyDescent="0.3">
      <c r="A2">
        <v>2024.5</v>
      </c>
      <c r="B2" s="20">
        <v>6.5066104107999996</v>
      </c>
      <c r="C2" s="20">
        <v>4.1066976456736901</v>
      </c>
      <c r="D2">
        <v>6</v>
      </c>
      <c r="E2">
        <v>74</v>
      </c>
    </row>
    <row r="3" spans="1:5" x14ac:dyDescent="0.3">
      <c r="A3">
        <v>2025.5</v>
      </c>
      <c r="B3" s="20">
        <v>6.2431028240799904</v>
      </c>
      <c r="C3" s="20">
        <v>3.9487477362246999</v>
      </c>
      <c r="D3">
        <v>6</v>
      </c>
      <c r="E3">
        <v>74</v>
      </c>
    </row>
    <row r="4" spans="1:5" x14ac:dyDescent="0.3">
      <c r="A4">
        <v>2026.5</v>
      </c>
      <c r="B4" s="20">
        <v>6.1012141235200001</v>
      </c>
      <c r="C4" s="20">
        <v>3.7907978267757101</v>
      </c>
      <c r="D4">
        <v>6</v>
      </c>
      <c r="E4">
        <v>74</v>
      </c>
    </row>
    <row r="5" spans="1:5" x14ac:dyDescent="0.3">
      <c r="A5">
        <v>2027.5</v>
      </c>
      <c r="B5" s="20">
        <v>5.9390556086400004</v>
      </c>
      <c r="C5" s="20">
        <v>3.6328479173267301</v>
      </c>
      <c r="D5">
        <v>6</v>
      </c>
      <c r="E5">
        <v>74</v>
      </c>
    </row>
    <row r="6" spans="1:5" x14ac:dyDescent="0.3">
      <c r="A6">
        <v>2028.5</v>
      </c>
      <c r="B6" s="20">
        <v>5.7971669080800003</v>
      </c>
      <c r="C6" s="20">
        <v>3.4748980078777398</v>
      </c>
      <c r="D6">
        <v>6</v>
      </c>
      <c r="E6">
        <v>74</v>
      </c>
    </row>
    <row r="7" spans="1:5" x14ac:dyDescent="0.3">
      <c r="A7">
        <v>2029.5</v>
      </c>
      <c r="B7" s="20">
        <v>5.6552782075200003</v>
      </c>
      <c r="C7" s="20">
        <v>3.31694809842875</v>
      </c>
      <c r="D7">
        <v>6</v>
      </c>
      <c r="E7">
        <v>74</v>
      </c>
    </row>
    <row r="8" spans="1:5" x14ac:dyDescent="0.3">
      <c r="A8">
        <v>2030.5</v>
      </c>
      <c r="B8" s="20">
        <v>5.5133895069600003</v>
      </c>
      <c r="C8" s="20">
        <v>3.1589981889797598</v>
      </c>
      <c r="D8">
        <v>6</v>
      </c>
      <c r="E8">
        <v>74</v>
      </c>
    </row>
    <row r="9" spans="1:5" x14ac:dyDescent="0.3">
      <c r="A9">
        <v>2031.5</v>
      </c>
      <c r="B9" s="20">
        <v>5.1029257660799896</v>
      </c>
      <c r="C9" s="20">
        <v>3.00104827953077</v>
      </c>
      <c r="D9">
        <v>6</v>
      </c>
      <c r="E9">
        <v>74</v>
      </c>
    </row>
    <row r="10" spans="1:5" x14ac:dyDescent="0.3">
      <c r="A10">
        <v>2032.5</v>
      </c>
      <c r="B10" s="20">
        <v>4.6884080623679996</v>
      </c>
      <c r="C10" s="20">
        <v>2.8430983700817798</v>
      </c>
      <c r="D10">
        <v>6</v>
      </c>
      <c r="E10">
        <v>74</v>
      </c>
    </row>
    <row r="11" spans="1:5" x14ac:dyDescent="0.3">
      <c r="A11">
        <v>2033.5</v>
      </c>
      <c r="B11" s="20">
        <v>4.3073355523160002</v>
      </c>
      <c r="C11" s="20">
        <v>2.6851484606328002</v>
      </c>
      <c r="D11">
        <v>6</v>
      </c>
      <c r="E11">
        <v>74</v>
      </c>
    </row>
    <row r="12" spans="1:5" x14ac:dyDescent="0.3">
      <c r="A12">
        <v>2034.5</v>
      </c>
      <c r="B12" s="20">
        <v>3.9404519123199999</v>
      </c>
      <c r="C12" s="20">
        <v>2.52719855118381</v>
      </c>
      <c r="D12">
        <v>6</v>
      </c>
      <c r="E12">
        <v>74</v>
      </c>
    </row>
    <row r="13" spans="1:5" x14ac:dyDescent="0.3">
      <c r="A13">
        <v>2035.5</v>
      </c>
      <c r="B13" s="20">
        <v>3.6333642247200002</v>
      </c>
      <c r="C13" s="20">
        <v>2.3692486417348202</v>
      </c>
      <c r="D13">
        <v>6</v>
      </c>
      <c r="E13">
        <v>74</v>
      </c>
    </row>
    <row r="14" spans="1:5" x14ac:dyDescent="0.3">
      <c r="A14">
        <v>2036.5</v>
      </c>
      <c r="B14" s="20">
        <v>3.3201955927839899</v>
      </c>
      <c r="C14" s="20">
        <v>2.21129873228583</v>
      </c>
      <c r="D14">
        <v>6</v>
      </c>
      <c r="E14">
        <v>38</v>
      </c>
    </row>
    <row r="15" spans="1:5" x14ac:dyDescent="0.3">
      <c r="A15">
        <v>2037.5</v>
      </c>
      <c r="B15" s="20">
        <v>3.0303372473920001</v>
      </c>
      <c r="C15" s="20">
        <v>2.0533488228368402</v>
      </c>
      <c r="D15">
        <v>6</v>
      </c>
      <c r="E15">
        <v>38</v>
      </c>
    </row>
    <row r="16" spans="1:5" x14ac:dyDescent="0.3">
      <c r="A16">
        <v>2038.5</v>
      </c>
      <c r="B16" s="20">
        <v>2.748586827744</v>
      </c>
      <c r="C16" s="20">
        <v>1.8953989133878499</v>
      </c>
      <c r="D16">
        <v>6</v>
      </c>
      <c r="E16">
        <v>38</v>
      </c>
    </row>
    <row r="17" spans="1:5" x14ac:dyDescent="0.3">
      <c r="A17">
        <v>2039.5</v>
      </c>
      <c r="B17" s="20">
        <v>2.4637959359199999</v>
      </c>
      <c r="C17" s="20">
        <v>1.7374490039388699</v>
      </c>
      <c r="D17">
        <v>0</v>
      </c>
      <c r="E17">
        <v>38</v>
      </c>
    </row>
    <row r="18" spans="1:5" x14ac:dyDescent="0.3">
      <c r="A18">
        <v>2040.5</v>
      </c>
      <c r="B18" s="20">
        <v>2.1992748584799999</v>
      </c>
      <c r="C18" s="20">
        <v>1.5794990944898799</v>
      </c>
      <c r="D18">
        <v>0</v>
      </c>
      <c r="E18">
        <v>38</v>
      </c>
    </row>
    <row r="19" spans="1:5" x14ac:dyDescent="0.3">
      <c r="A19">
        <v>2041.5</v>
      </c>
      <c r="B19" s="20">
        <v>1.9428617067839999</v>
      </c>
      <c r="C19" s="20">
        <v>1.4215491850408899</v>
      </c>
      <c r="D19">
        <v>0</v>
      </c>
      <c r="E19">
        <v>38</v>
      </c>
    </row>
    <row r="20" spans="1:5" x14ac:dyDescent="0.3">
      <c r="A20">
        <v>2042.5</v>
      </c>
      <c r="B20" s="20">
        <v>1.6945564808319999</v>
      </c>
      <c r="C20" s="20">
        <v>1.2635992755919001</v>
      </c>
      <c r="D20">
        <v>0</v>
      </c>
      <c r="E20">
        <v>38</v>
      </c>
    </row>
    <row r="21" spans="1:5" x14ac:dyDescent="0.3">
      <c r="A21">
        <v>2043.5</v>
      </c>
      <c r="B21" s="20">
        <v>1.447264745584</v>
      </c>
      <c r="C21" s="20">
        <v>1.1056493661429101</v>
      </c>
      <c r="D21">
        <v>0</v>
      </c>
      <c r="E21">
        <v>38</v>
      </c>
    </row>
    <row r="22" spans="1:5" x14ac:dyDescent="0.3">
      <c r="A22">
        <v>2044.5</v>
      </c>
      <c r="B22" s="20">
        <v>1.2161888618400001</v>
      </c>
      <c r="C22" s="20">
        <v>0.94769945669392897</v>
      </c>
      <c r="D22">
        <v>0</v>
      </c>
      <c r="E22">
        <v>38</v>
      </c>
    </row>
    <row r="23" spans="1:5" x14ac:dyDescent="0.3">
      <c r="A23">
        <v>2045.5</v>
      </c>
      <c r="B23" s="20">
        <v>0.99322090383999995</v>
      </c>
      <c r="C23" s="20">
        <v>0.78974954724494095</v>
      </c>
      <c r="D23">
        <v>0</v>
      </c>
      <c r="E23">
        <v>38</v>
      </c>
    </row>
    <row r="24" spans="1:5" x14ac:dyDescent="0.3">
      <c r="A24">
        <v>2046.5</v>
      </c>
      <c r="B24" s="20">
        <v>0.77430690870399999</v>
      </c>
      <c r="C24" s="20">
        <v>0.63179963779595205</v>
      </c>
      <c r="D24">
        <v>0</v>
      </c>
      <c r="E24">
        <v>0</v>
      </c>
    </row>
    <row r="25" spans="1:5" x14ac:dyDescent="0.3">
      <c r="A25">
        <v>2047.5</v>
      </c>
      <c r="B25" s="20">
        <v>0.56856829291199995</v>
      </c>
      <c r="C25" s="20">
        <v>0.47384972834696398</v>
      </c>
      <c r="D25">
        <v>0</v>
      </c>
      <c r="E25">
        <v>0</v>
      </c>
    </row>
    <row r="26" spans="1:5" x14ac:dyDescent="0.3">
      <c r="A26">
        <v>2048.5</v>
      </c>
      <c r="B26" s="20">
        <v>0.37093760285599903</v>
      </c>
      <c r="C26" s="20">
        <v>0.31589981889797603</v>
      </c>
      <c r="D26">
        <v>0</v>
      </c>
      <c r="E26">
        <v>0</v>
      </c>
    </row>
    <row r="27" spans="1:5" x14ac:dyDescent="0.3">
      <c r="A27">
        <v>2049.5</v>
      </c>
      <c r="B27" s="20">
        <v>0.18040134784</v>
      </c>
      <c r="C27" s="20">
        <v>0.15794990944898801</v>
      </c>
      <c r="D27">
        <v>0</v>
      </c>
      <c r="E27">
        <v>0</v>
      </c>
    </row>
    <row r="28" spans="1:5" x14ac:dyDescent="0.3">
      <c r="A28">
        <v>2050.5</v>
      </c>
      <c r="B28" s="20">
        <v>0.18040134784</v>
      </c>
      <c r="C28" s="20">
        <v>0.15794990944898801</v>
      </c>
      <c r="D28">
        <v>0</v>
      </c>
      <c r="E2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250901</vt:lpstr>
      <vt:lpstr>Experiments</vt:lpstr>
      <vt:lpstr>250718_investment</vt:lpstr>
      <vt:lpstr>250616_plan</vt:lpstr>
      <vt:lpstr>20250425</vt:lpstr>
      <vt:lpstr>20250424</vt:lpstr>
      <vt:lpstr>20250505_Ops</vt:lpstr>
      <vt:lpstr>250601_ops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2025-09-03T20:49:27Z</dcterms:modified>
</cp:coreProperties>
</file>