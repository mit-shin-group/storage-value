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74988F05-330E-4EF1-AD51-30D28C308C9B}" xr6:coauthVersionLast="47" xr6:coauthVersionMax="47" xr10:uidLastSave="{00000000-0000-0000-0000-000000000000}"/>
  <bookViews>
    <workbookView xWindow="-28920" yWindow="-9030" windowWidth="29040" windowHeight="15720" activeTab="2" xr2:uid="{00000000-000D-0000-FFFF-FFFF00000000}"/>
  </bookViews>
  <sheets>
    <sheet name="Experiments" sheetId="1" r:id="rId1"/>
    <sheet name="250718_investment" sheetId="7" r:id="rId2"/>
    <sheet name="250616_plan" sheetId="6" r:id="rId3"/>
    <sheet name="20250425" sheetId="3" r:id="rId4"/>
    <sheet name="20250424" sheetId="2" r:id="rId5"/>
    <sheet name="20250505_Ops" sheetId="4" r:id="rId6"/>
    <sheet name="250601_op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3" i="6" l="1"/>
  <c r="BN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O15" i="6"/>
  <c r="BO11" i="6"/>
  <c r="BO9" i="6"/>
  <c r="BN11" i="6"/>
  <c r="BN9" i="6"/>
  <c r="BN15" i="6"/>
  <c r="BN7" i="6" l="1"/>
  <c r="BN18" i="6" s="1"/>
  <c r="BO7" i="6"/>
  <c r="BO18" i="6" s="1"/>
  <c r="BN39" i="6" s="1"/>
  <c r="BO21" i="6" l="1"/>
  <c r="BN24" i="6"/>
  <c r="BN27" i="6" s="1"/>
  <c r="BN30" i="6" s="1"/>
  <c r="BN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<sst xmlns="http://schemas.openxmlformats.org/spreadsheetml/2006/main" count="637" uniqueCount="140">
  <si>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</si>
  <si>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</si>
  <si>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</si>
  <si>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</si>
  <si>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</si>
  <si>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</si>
  <si>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</si>
  <si>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</si>
  <si>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</si>
  <si>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</si>
  <si>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</si>
  <si>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</si>
  <si>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</si>
  <si>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</si>
  <si>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</si>
  <si>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</si>
  <si>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</si>
  <si>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</si>
  <si>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</si>
  <si>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</si>
  <si>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</si>
  <si>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</si>
  <si>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</si>
  <si>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</si>
  <si>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</si>
  <si>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</si>
  <si>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</si>
  <si>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</si>
  <si>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</si>
  <si>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</si>
  <si>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</si>
  <si>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</si>
  <si>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</si>
  <si>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</si>
  <si>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</si>
  <si>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</si>
  <si>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</si>
  <si>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</si>
  <si>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</si>
  <si>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</si>
  <si>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</si>
  <si>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</si>
  <si>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</si>
  <si>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</si>
  <si>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</si>
  <si>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</si>
  <si>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</si>
  <si>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</si>
  <si>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</si>
  <si>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</si>
  <si>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</si>
  <si>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</si>
  <si>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</si>
  <si>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</si>
  <si>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</si>
  <si>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</si>
  <si>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</si>
  <si>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</si>
  <si>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</si>
  <si>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</si>
  <si>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</si>
  <si>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</si>
  <si>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</si>
  <si>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</si>
  <si>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</si>
  <si>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</si>
  <si>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</si>
  <si>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</si>
  <si>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</si>
  <si>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</si>
  <si>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</si>
  <si>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</si>
  <si>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</si>
  <si>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</si>
  <si>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</si>
  <si>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</si>
  <si>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</si>
  <si>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</si>
  <si>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</si>
  <si>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</si>
  <si>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</si>
  <si>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</si>
  <si>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</si>
  <si>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</si>
  <si>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</si>
  <si>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</si>
  <si>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</si>
  <si>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</si>
  <si>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</si>
  <si>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</si>
  <si>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</si>
  <si>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</si>
  <si>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</si>
  <si>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</si>
  <si>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</si>
  <si>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</si>
  <si>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</si>
  <si>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</si>
  <si>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</si>
  <si>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</si>
  <si>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</si>
  <si>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</si>
  <si>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</si>
  <si>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</si>
  <si>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</si>
  <si>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</si>
  <si>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</si>
  <si>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</si>
  <si>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</si>
  <si>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</si>
  <si>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</si>
  <si>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</si>
  <si>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</si>
  <si>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</si>
  <si>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</si>
  <si>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</si>
  <si>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</si>
  <si>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</si>
  <si>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</si>
  <si>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</si>
  <si>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</si>
  <si>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</si>
  <si>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</si>
  <si>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</si>
  <si>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</si>
  <si>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</si>
  <si>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</si>
  <si>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</si>
  <si>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</si>
  <si>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</si>
  <si>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</si>
  <si>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</si>
  <si>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</si>
  <si>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</si>
  <si>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</si>
  <si>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free storage</t>
  </si>
  <si>
    <t>Max resource investments (MW)</t>
  </si>
  <si>
    <t>[40.0, 30.0, 24.0]</t>
  </si>
  <si>
    <t>Mean investment cost of storage ($/MW)</t>
  </si>
  <si>
    <t>no_exports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</si>
</sst>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5" x14ac:dyDescent="0.25"/>
  <cols>
    <col min="1" max="1" width="29.28515625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19</v>
      </c>
    </row>
    <row r="4" spans="1:10" x14ac:dyDescent="0.25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25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25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25">
      <c r="A7" s="2" t="s">
        <v>20</v>
      </c>
    </row>
    <row r="8" spans="1:10" x14ac:dyDescent="0.25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25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25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25">
      <c r="A12" s="1" t="s">
        <v>9</v>
      </c>
      <c r="E12" s="1"/>
      <c r="H12" s="1"/>
    </row>
    <row r="13" spans="1:10" x14ac:dyDescent="0.25">
      <c r="A13" t="s">
        <v>10</v>
      </c>
    </row>
    <row r="14" spans="1:10" x14ac:dyDescent="0.25">
      <c r="A14" t="s">
        <v>14</v>
      </c>
    </row>
    <row r="15" spans="1:10" x14ac:dyDescent="0.25">
      <c r="A15" t="s">
        <v>17</v>
      </c>
    </row>
    <row r="16" spans="1:10" x14ac:dyDescent="0.25">
      <c r="A16" t="s">
        <v>21</v>
      </c>
    </row>
    <row r="17" spans="1:1" x14ac:dyDescent="0.25">
      <c r="A17" s="2" t="s">
        <v>11</v>
      </c>
    </row>
    <row r="18" spans="1:1" x14ac:dyDescent="0.25">
      <c r="A18" t="s">
        <v>2</v>
      </c>
    </row>
    <row r="19" spans="1:1" x14ac:dyDescent="0.25">
      <c r="A19" t="s">
        <v>0</v>
      </c>
    </row>
    <row r="20" spans="1:1" x14ac:dyDescent="0.25">
      <c r="A20" t="s">
        <v>1</v>
      </c>
    </row>
    <row r="21" spans="1:1" x14ac:dyDescent="0.25">
      <c r="A21" t="s">
        <v>13</v>
      </c>
    </row>
    <row r="22" spans="1:1" x14ac:dyDescent="0.25">
      <c r="A22" t="s">
        <v>12</v>
      </c>
    </row>
    <row r="23" spans="1:1" x14ac:dyDescent="0.25">
      <c r="A23" s="2" t="s">
        <v>15</v>
      </c>
    </row>
    <row r="24" spans="1:1" x14ac:dyDescent="0.25">
      <c r="A24" t="s">
        <v>2</v>
      </c>
    </row>
    <row r="25" spans="1:1" x14ac:dyDescent="0.25">
      <c r="A25" t="s">
        <v>0</v>
      </c>
    </row>
    <row r="26" spans="1:1" x14ac:dyDescent="0.25">
      <c r="A26" t="s">
        <v>1</v>
      </c>
    </row>
    <row r="27" spans="1:1" x14ac:dyDescent="0.25">
      <c r="A27" s="2" t="s">
        <v>16</v>
      </c>
    </row>
    <row r="28" spans="1:1" x14ac:dyDescent="0.25">
      <c r="A28" t="s">
        <v>2</v>
      </c>
    </row>
    <row r="29" spans="1:1" x14ac:dyDescent="0.25">
      <c r="A29" t="s">
        <v>0</v>
      </c>
    </row>
    <row r="30" spans="1:1" x14ac:dyDescent="0.25">
      <c r="A30" t="s">
        <v>1</v>
      </c>
    </row>
    <row r="31" spans="1:1" x14ac:dyDescent="0.25">
      <c r="A31" s="2" t="s">
        <v>23</v>
      </c>
    </row>
    <row r="32" spans="1:1" x14ac:dyDescent="0.25">
      <c r="A32" t="s">
        <v>2</v>
      </c>
    </row>
    <row r="33" spans="1:1" x14ac:dyDescent="0.25">
      <c r="A33" t="s">
        <v>0</v>
      </c>
    </row>
    <row r="34" spans="1:1" x14ac:dyDescent="0.25">
      <c r="A34" t="s">
        <v>1</v>
      </c>
    </row>
    <row r="35" spans="1:1" x14ac:dyDescent="0.25">
      <c r="A35" s="2" t="s">
        <v>22</v>
      </c>
    </row>
    <row r="36" spans="1:1" x14ac:dyDescent="0.25">
      <c r="A36" t="s">
        <v>0</v>
      </c>
    </row>
    <row r="37" spans="1:1" x14ac:dyDescent="0.25">
      <c r="A37" t="s">
        <v>24</v>
      </c>
    </row>
    <row r="38" spans="1:1" x14ac:dyDescent="0.25">
      <c r="A38" t="s">
        <v>1</v>
      </c>
    </row>
    <row r="39" spans="1:1" x14ac:dyDescent="0.25">
      <c r="A39" s="2" t="s">
        <v>25</v>
      </c>
    </row>
    <row r="40" spans="1:1" x14ac:dyDescent="0.25">
      <c r="A40" t="s">
        <v>2</v>
      </c>
    </row>
    <row r="41" spans="1:1" x14ac:dyDescent="0.25">
      <c r="A41" t="s">
        <v>0</v>
      </c>
    </row>
    <row r="42" spans="1:1" x14ac:dyDescent="0.25">
      <c r="A42" t="s">
        <v>1</v>
      </c>
    </row>
    <row r="43" spans="1:1" x14ac:dyDescent="0.25">
      <c r="A43" s="2" t="s">
        <v>26</v>
      </c>
    </row>
    <row r="44" spans="1:1" x14ac:dyDescent="0.25">
      <c r="A44" t="s">
        <v>0</v>
      </c>
    </row>
    <row r="45" spans="1:1" x14ac:dyDescent="0.25">
      <c r="A45" t="s">
        <v>24</v>
      </c>
    </row>
    <row r="46" spans="1:1" x14ac:dyDescent="0.25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1" sqref="H31"/>
    </sheetView>
  </sheetViews>
  <sheetFormatPr defaultRowHeight="15" x14ac:dyDescent="0.25"/>
  <cols>
    <col min="1" max="1" width="11.85546875" bestFit="1" customWidth="1"/>
  </cols>
  <sheetData>
    <row r="1" spans="1:23" x14ac:dyDescent="0.25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25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25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25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25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25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25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25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25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25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25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25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25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25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25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25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25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25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25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25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25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25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25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25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25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25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25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25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25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25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O96"/>
  <sheetViews>
    <sheetView tabSelected="1" workbookViewId="0">
      <pane xSplit="1" topLeftCell="BA1" activePane="topRight" state="frozen"/>
      <selection pane="topRight" activeCell="BJ17" sqref="BJ17"/>
    </sheetView>
  </sheetViews>
  <sheetFormatPr defaultRowHeight="15" x14ac:dyDescent="0.25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703125" customWidth="1"/>
    <col min="58" max="58" width="18.28515625" customWidth="1"/>
    <col min="59" max="60" width="17.7109375" bestFit="1" customWidth="1"/>
    <col min="61" max="64" width="17.7109375" customWidth="1"/>
    <col min="66" max="66" width="17.28515625" bestFit="1" customWidth="1"/>
    <col min="67" max="67" width="14.85546875" bestFit="1" customWidth="1"/>
  </cols>
  <sheetData>
    <row r="1" spans="1:67" x14ac:dyDescent="0.25">
      <c r="A1" t="s">
        <v>95</v>
      </c>
    </row>
    <row r="2" spans="1:67" x14ac:dyDescent="0.25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</row>
    <row r="3" spans="1:67" x14ac:dyDescent="0.25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135</v>
      </c>
    </row>
    <row r="4" spans="1:67" x14ac:dyDescent="0.25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/>
      <c r="BL4" s="3"/>
      <c r="BN4" t="s">
        <v>107</v>
      </c>
    </row>
    <row r="5" spans="1:67" x14ac:dyDescent="0.25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/>
      <c r="BL5" s="3"/>
      <c r="BN5" t="s">
        <v>121</v>
      </c>
      <c r="BO5" t="s">
        <v>122</v>
      </c>
    </row>
    <row r="6" spans="1:67" x14ac:dyDescent="0.25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/>
      <c r="BL6" s="3"/>
      <c r="BN6" t="s">
        <v>119</v>
      </c>
    </row>
    <row r="7" spans="1:67" x14ac:dyDescent="0.25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/>
      <c r="BL7" s="3"/>
      <c r="BN7" s="3">
        <f>BG10*BN9/100+BG9*BN11/100</f>
        <v>13532045.806827499</v>
      </c>
      <c r="BO7" s="3">
        <f>BH10*BO9/100+BH9*BO11/100</f>
        <v>4543046.5541842831</v>
      </c>
    </row>
    <row r="8" spans="1:67" x14ac:dyDescent="0.25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/>
      <c r="BL8" s="3"/>
      <c r="BN8" t="s">
        <v>108</v>
      </c>
    </row>
    <row r="9" spans="1:67" x14ac:dyDescent="0.25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/>
      <c r="BL9" s="3"/>
      <c r="BN9" s="14">
        <f>BG25-BH25</f>
        <v>13732381.696135998</v>
      </c>
      <c r="BO9" s="14">
        <f>BF25-BE25</f>
        <v>4567672.5717809796</v>
      </c>
    </row>
    <row r="10" spans="1:67" x14ac:dyDescent="0.25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/>
      <c r="BL10" s="3"/>
      <c r="BN10" t="s">
        <v>109</v>
      </c>
    </row>
    <row r="11" spans="1:67" x14ac:dyDescent="0.25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/>
      <c r="BL11" s="3"/>
      <c r="BN11" s="14">
        <f>BG26-BH26</f>
        <v>12730702.249583006</v>
      </c>
      <c r="BO11" s="14">
        <f>BF26-BE26</f>
        <v>4444542.4837939739</v>
      </c>
    </row>
    <row r="12" spans="1:67" x14ac:dyDescent="0.25">
      <c r="A12" t="s">
        <v>136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137</v>
      </c>
      <c r="BJ12" s="3" t="s">
        <v>137</v>
      </c>
      <c r="BK12" s="3"/>
      <c r="BL12" s="3"/>
      <c r="BN12" s="14"/>
      <c r="BO12" s="14"/>
    </row>
    <row r="13" spans="1:67" x14ac:dyDescent="0.25">
      <c r="A13" t="s">
        <v>138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/>
      <c r="BL13" s="3"/>
      <c r="BN13" s="14"/>
      <c r="BO13" s="14"/>
    </row>
    <row r="14" spans="1:67" x14ac:dyDescent="0.25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139</v>
      </c>
      <c r="BK14" s="3"/>
      <c r="BL14" s="3"/>
      <c r="BN14" t="s">
        <v>106</v>
      </c>
    </row>
    <row r="15" spans="1:67" x14ac:dyDescent="0.25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/>
      <c r="BL15" s="3"/>
      <c r="BN15" s="14">
        <f>BF29-BG29</f>
        <v>38523714.222420037</v>
      </c>
      <c r="BO15" s="14">
        <f>BF29-BE29</f>
        <v>0</v>
      </c>
    </row>
    <row r="16" spans="1:67" x14ac:dyDescent="0.25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</row>
    <row r="17" spans="1:67" x14ac:dyDescent="0.25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>
        <v>75805109783.920593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/>
      <c r="BL17" s="5"/>
      <c r="BN17" s="14" t="s">
        <v>120</v>
      </c>
    </row>
    <row r="18" spans="1:67" x14ac:dyDescent="0.25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3"/>
      <c r="BL18" s="3"/>
      <c r="BN18" s="14">
        <f>BN7</f>
        <v>13532045.806827499</v>
      </c>
      <c r="BO18" s="14">
        <f>BO7</f>
        <v>4543046.5541842831</v>
      </c>
    </row>
    <row r="19" spans="1:67" x14ac:dyDescent="0.25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/>
      <c r="BL19" s="3"/>
      <c r="BN19" s="3"/>
    </row>
    <row r="20" spans="1:67" x14ac:dyDescent="0.25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/>
      <c r="BL20" s="3"/>
      <c r="BN20" s="3" t="s">
        <v>123</v>
      </c>
      <c r="BO20" t="s">
        <v>132</v>
      </c>
    </row>
    <row r="21" spans="1:67" x14ac:dyDescent="0.25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/>
      <c r="BL21" s="3"/>
      <c r="BN21" s="14">
        <f>'250718_investment'!L5</f>
        <v>180.68099999996281</v>
      </c>
      <c r="BO21" s="3">
        <f>BN15/(BN18-BO18)</f>
        <v>4.2856510652275484</v>
      </c>
    </row>
    <row r="22" spans="1:67" x14ac:dyDescent="0.25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/>
      <c r="BL22" s="3"/>
    </row>
    <row r="23" spans="1:67" x14ac:dyDescent="0.25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/>
      <c r="BL23" s="3"/>
      <c r="BN23" t="s">
        <v>127</v>
      </c>
    </row>
    <row r="24" spans="1:67" x14ac:dyDescent="0.25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/>
      <c r="BL24" s="3"/>
      <c r="BN24" s="5">
        <f>(BN18-BO18)/BN21/1000</f>
        <v>49.750661401282187</v>
      </c>
    </row>
    <row r="25" spans="1:67" x14ac:dyDescent="0.25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/>
      <c r="BL25" s="3"/>
    </row>
    <row r="26" spans="1:67" x14ac:dyDescent="0.25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/>
      <c r="BL26" s="3"/>
      <c r="BN26" t="s">
        <v>126</v>
      </c>
    </row>
    <row r="27" spans="1:67" x14ac:dyDescent="0.25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/>
      <c r="BL27" s="3"/>
      <c r="BN27" s="15">
        <f>BN24/8</f>
        <v>6.2188326751602734</v>
      </c>
    </row>
    <row r="28" spans="1:67" x14ac:dyDescent="0.25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/>
      <c r="BL28" s="3"/>
    </row>
    <row r="29" spans="1:67" x14ac:dyDescent="0.25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/>
      <c r="BL29" s="3"/>
      <c r="BN29" t="s">
        <v>128</v>
      </c>
    </row>
    <row r="30" spans="1:67" x14ac:dyDescent="0.25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N30" s="15">
        <f>BN27*20</f>
        <v>124.37665350320546</v>
      </c>
    </row>
    <row r="31" spans="1:67" x14ac:dyDescent="0.25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/>
      <c r="BL31" s="3"/>
    </row>
    <row r="32" spans="1:67" x14ac:dyDescent="0.25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/>
      <c r="BL32" s="3"/>
      <c r="BN32" t="s">
        <v>129</v>
      </c>
    </row>
    <row r="33" spans="1:66" x14ac:dyDescent="0.25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/>
      <c r="BL33" s="3"/>
      <c r="BN33" s="14">
        <f>BG41</f>
        <v>49494802.774962798</v>
      </c>
    </row>
    <row r="34" spans="1:66" x14ac:dyDescent="0.25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</row>
    <row r="35" spans="1:66" x14ac:dyDescent="0.25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/>
      <c r="BL35" s="3"/>
      <c r="BN35" t="s">
        <v>130</v>
      </c>
    </row>
    <row r="36" spans="1:66" x14ac:dyDescent="0.25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/>
      <c r="BL36" s="3"/>
      <c r="BN36" s="14">
        <f>BN15+BN7</f>
        <v>52055760.029247537</v>
      </c>
    </row>
    <row r="37" spans="1:66" x14ac:dyDescent="0.25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/>
      <c r="BL37" s="3"/>
    </row>
    <row r="38" spans="1:66" x14ac:dyDescent="0.25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N38" t="s">
        <v>131</v>
      </c>
    </row>
    <row r="39" spans="1:66" x14ac:dyDescent="0.25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/>
      <c r="BL39" s="3"/>
      <c r="BN39" s="16">
        <f>(BN18-BO18)/BN33</f>
        <v>0.18161501306537883</v>
      </c>
    </row>
    <row r="40" spans="1:66" x14ac:dyDescent="0.25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/>
      <c r="BL40" s="3"/>
    </row>
    <row r="41" spans="1:66" x14ac:dyDescent="0.25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/>
      <c r="BL41" s="3"/>
    </row>
    <row r="42" spans="1:66" x14ac:dyDescent="0.25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</row>
    <row r="43" spans="1:66" x14ac:dyDescent="0.25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</row>
    <row r="44" spans="1:66" x14ac:dyDescent="0.25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/>
      <c r="BL44" s="3"/>
    </row>
    <row r="45" spans="1:66" x14ac:dyDescent="0.25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/>
      <c r="BL45" s="3"/>
    </row>
    <row r="46" spans="1:66" x14ac:dyDescent="0.25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/>
      <c r="BL46" s="3"/>
    </row>
    <row r="47" spans="1:66" x14ac:dyDescent="0.25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/>
      <c r="BL47" s="3"/>
    </row>
    <row r="48" spans="1:66" x14ac:dyDescent="0.25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</row>
    <row r="49" spans="1:64" x14ac:dyDescent="0.25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/>
      <c r="BL49" s="3"/>
    </row>
    <row r="50" spans="1:64" x14ac:dyDescent="0.25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/>
      <c r="BL50" s="3"/>
    </row>
    <row r="51" spans="1:64" x14ac:dyDescent="0.25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/>
      <c r="BL51" s="3"/>
    </row>
    <row r="52" spans="1:64" x14ac:dyDescent="0.25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</row>
    <row r="53" spans="1:64" x14ac:dyDescent="0.25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/>
      <c r="BL53" s="3"/>
    </row>
    <row r="54" spans="1:64" x14ac:dyDescent="0.25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/>
      <c r="BL54" s="3"/>
    </row>
    <row r="55" spans="1:64" x14ac:dyDescent="0.25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/>
      <c r="BL55" s="3"/>
    </row>
    <row r="56" spans="1:64" x14ac:dyDescent="0.25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/>
      <c r="BL56" s="3"/>
    </row>
    <row r="57" spans="1:64" x14ac:dyDescent="0.25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</row>
    <row r="58" spans="1:64" x14ac:dyDescent="0.25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/>
      <c r="BL58" s="3"/>
    </row>
    <row r="59" spans="1:64" x14ac:dyDescent="0.25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/>
      <c r="BL59" s="3"/>
    </row>
    <row r="60" spans="1:64" x14ac:dyDescent="0.25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/>
      <c r="BL60" s="3"/>
    </row>
    <row r="61" spans="1:64" x14ac:dyDescent="0.25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</row>
    <row r="62" spans="1:64" x14ac:dyDescent="0.25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/>
      <c r="BL62" s="3"/>
    </row>
    <row r="63" spans="1:64" x14ac:dyDescent="0.25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/>
      <c r="BL63" s="3"/>
    </row>
    <row r="64" spans="1:64" x14ac:dyDescent="0.25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/>
      <c r="BL64" s="3"/>
    </row>
    <row r="65" spans="1:64" x14ac:dyDescent="0.25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</row>
    <row r="66" spans="1:64" x14ac:dyDescent="0.25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/>
      <c r="BL66" s="3"/>
    </row>
    <row r="67" spans="1:64" x14ac:dyDescent="0.25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/>
      <c r="BL67" s="3"/>
    </row>
    <row r="68" spans="1:64" x14ac:dyDescent="0.25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/>
      <c r="BL68" s="3"/>
    </row>
    <row r="69" spans="1:64" x14ac:dyDescent="0.25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</row>
    <row r="70" spans="1:64" x14ac:dyDescent="0.25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</row>
    <row r="71" spans="1:64" x14ac:dyDescent="0.25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/>
      <c r="BL71" s="3"/>
    </row>
    <row r="72" spans="1:64" x14ac:dyDescent="0.25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/>
      <c r="BL72" s="3"/>
    </row>
    <row r="73" spans="1:64" x14ac:dyDescent="0.25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/>
      <c r="BL73" s="3"/>
    </row>
    <row r="74" spans="1:64" x14ac:dyDescent="0.25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/>
      <c r="BL74" s="3"/>
    </row>
    <row r="75" spans="1:64" x14ac:dyDescent="0.25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</row>
    <row r="76" spans="1:64" x14ac:dyDescent="0.25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/>
      <c r="BL76" s="3"/>
    </row>
    <row r="77" spans="1:64" x14ac:dyDescent="0.25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/>
      <c r="BL77" s="3"/>
    </row>
    <row r="78" spans="1:64" x14ac:dyDescent="0.25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/>
      <c r="BL78" s="3"/>
    </row>
    <row r="79" spans="1:64" x14ac:dyDescent="0.25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</row>
    <row r="80" spans="1:64" x14ac:dyDescent="0.25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/>
      <c r="BL80" s="3"/>
    </row>
    <row r="81" spans="1:64" x14ac:dyDescent="0.25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/>
      <c r="BL81" s="3"/>
    </row>
    <row r="82" spans="1:64" x14ac:dyDescent="0.25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/>
      <c r="BL82" s="3"/>
    </row>
    <row r="83" spans="1:64" x14ac:dyDescent="0.25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/>
      <c r="BL83" s="3"/>
    </row>
    <row r="84" spans="1:64" x14ac:dyDescent="0.25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</row>
    <row r="85" spans="1:64" x14ac:dyDescent="0.25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/>
      <c r="BL85" s="3"/>
    </row>
    <row r="86" spans="1:64" x14ac:dyDescent="0.25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/>
      <c r="BL86" s="3"/>
    </row>
    <row r="87" spans="1:64" x14ac:dyDescent="0.25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/>
      <c r="BL87" s="3"/>
    </row>
    <row r="88" spans="1:64" x14ac:dyDescent="0.25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</row>
    <row r="89" spans="1:64" x14ac:dyDescent="0.25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/>
      <c r="BL89" s="3"/>
    </row>
    <row r="90" spans="1:64" x14ac:dyDescent="0.25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/>
      <c r="BL90" s="3"/>
    </row>
    <row r="91" spans="1:64" x14ac:dyDescent="0.25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/>
      <c r="BL91" s="3"/>
    </row>
    <row r="92" spans="1:64" x14ac:dyDescent="0.25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</row>
    <row r="93" spans="1:64" x14ac:dyDescent="0.25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/>
      <c r="BL93" s="3"/>
    </row>
    <row r="94" spans="1:64" x14ac:dyDescent="0.25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/>
      <c r="BL94" s="3"/>
    </row>
    <row r="95" spans="1:64" x14ac:dyDescent="0.25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/>
      <c r="BL95" s="3"/>
    </row>
    <row r="96" spans="1:64" x14ac:dyDescent="0.25">
      <c r="V96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5" x14ac:dyDescent="0.25"/>
  <cols>
    <col min="1" max="1" width="32" customWidth="1"/>
    <col min="4" max="5" width="18.42578125" bestFit="1" customWidth="1"/>
    <col min="7" max="8" width="9.28515625" customWidth="1"/>
    <col min="11" max="13" width="19.7109375" bestFit="1" customWidth="1"/>
  </cols>
  <sheetData>
    <row r="1" spans="1:13" x14ac:dyDescent="0.25">
      <c r="A1" s="1" t="s">
        <v>7</v>
      </c>
    </row>
    <row r="2" spans="1:13" x14ac:dyDescent="0.25">
      <c r="A2" s="1" t="s">
        <v>6</v>
      </c>
    </row>
    <row r="3" spans="1:13" x14ac:dyDescent="0.25">
      <c r="A3" s="2" t="s">
        <v>33</v>
      </c>
    </row>
    <row r="4" spans="1:13" x14ac:dyDescent="0.25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25">
      <c r="A5" t="s">
        <v>38</v>
      </c>
      <c r="K5" s="4">
        <v>10000</v>
      </c>
      <c r="L5" s="4">
        <v>10000</v>
      </c>
      <c r="M5" s="4">
        <v>10000</v>
      </c>
    </row>
    <row r="6" spans="1:13" x14ac:dyDescent="0.25">
      <c r="A6" t="s">
        <v>36</v>
      </c>
      <c r="K6">
        <v>40</v>
      </c>
      <c r="L6">
        <v>40</v>
      </c>
      <c r="M6">
        <v>40</v>
      </c>
    </row>
    <row r="7" spans="1:13" x14ac:dyDescent="0.25">
      <c r="A7" t="s">
        <v>37</v>
      </c>
      <c r="K7">
        <v>0.2</v>
      </c>
      <c r="L7">
        <v>0.2</v>
      </c>
      <c r="M7">
        <v>0.2</v>
      </c>
    </row>
    <row r="8" spans="1:13" x14ac:dyDescent="0.25">
      <c r="A8" s="2" t="s">
        <v>19</v>
      </c>
    </row>
    <row r="9" spans="1:13" x14ac:dyDescent="0.25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25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25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25">
      <c r="A12" s="2" t="s">
        <v>20</v>
      </c>
    </row>
    <row r="13" spans="1:13" x14ac:dyDescent="0.25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25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25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25">
      <c r="A17" s="1" t="s">
        <v>9</v>
      </c>
      <c r="E17" s="3"/>
      <c r="H17" s="1"/>
    </row>
    <row r="18" spans="1:13" x14ac:dyDescent="0.25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25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25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25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25">
      <c r="A22" s="2" t="s">
        <v>11</v>
      </c>
      <c r="D22" s="4"/>
      <c r="E22" s="4"/>
      <c r="K22" s="3"/>
      <c r="L22" s="3"/>
      <c r="M22" s="3"/>
    </row>
    <row r="23" spans="1:13" x14ac:dyDescent="0.25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25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25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25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25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25">
      <c r="A28" s="2" t="s">
        <v>15</v>
      </c>
      <c r="D28" s="4"/>
      <c r="E28" s="4"/>
      <c r="K28" s="3"/>
      <c r="L28" s="3"/>
      <c r="M28" s="3"/>
    </row>
    <row r="29" spans="1:13" x14ac:dyDescent="0.25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25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25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25">
      <c r="A32" s="2" t="s">
        <v>16</v>
      </c>
      <c r="D32" s="4"/>
      <c r="E32" s="4"/>
      <c r="K32" s="3"/>
      <c r="L32" s="3"/>
      <c r="M32" s="3"/>
    </row>
    <row r="33" spans="1:13" x14ac:dyDescent="0.25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25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25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25">
      <c r="A36" s="2" t="s">
        <v>23</v>
      </c>
      <c r="D36" s="4"/>
      <c r="E36" s="4"/>
      <c r="K36" s="3"/>
      <c r="L36" s="3"/>
      <c r="M36" s="3"/>
    </row>
    <row r="37" spans="1:13" x14ac:dyDescent="0.25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25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25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25">
      <c r="A40" s="2" t="s">
        <v>22</v>
      </c>
      <c r="D40" s="4"/>
      <c r="E40" s="4"/>
      <c r="K40" s="3"/>
      <c r="L40" s="3"/>
      <c r="M40" s="3"/>
    </row>
    <row r="41" spans="1:13" x14ac:dyDescent="0.25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25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25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25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25">
      <c r="A45" s="2" t="s">
        <v>27</v>
      </c>
      <c r="D45" s="4"/>
      <c r="E45" s="4"/>
      <c r="K45" s="3"/>
      <c r="L45" s="3"/>
      <c r="M45" s="3"/>
    </row>
    <row r="46" spans="1:13" x14ac:dyDescent="0.25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25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25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25">
      <c r="A49" s="2" t="s">
        <v>28</v>
      </c>
      <c r="D49" s="4"/>
      <c r="E49" s="4"/>
      <c r="K49" s="3"/>
      <c r="L49" s="3"/>
      <c r="M49" s="3"/>
    </row>
    <row r="50" spans="1:13" x14ac:dyDescent="0.25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25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25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5" x14ac:dyDescent="0.25"/>
  <cols>
    <col min="1" max="1" width="29.28515625" customWidth="1"/>
    <col min="4" max="4" width="16.7109375" bestFit="1" customWidth="1"/>
    <col min="5" max="5" width="16.85546875" bestFit="1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33</v>
      </c>
    </row>
    <row r="4" spans="1:10" x14ac:dyDescent="0.25">
      <c r="A4" t="s">
        <v>34</v>
      </c>
      <c r="D4">
        <v>6.8500000000000005E-2</v>
      </c>
      <c r="E4">
        <v>6.8500000000000005E-2</v>
      </c>
    </row>
    <row r="5" spans="1:10" x14ac:dyDescent="0.25">
      <c r="A5" s="2" t="s">
        <v>19</v>
      </c>
    </row>
    <row r="6" spans="1:10" x14ac:dyDescent="0.25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25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25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25">
      <c r="A9" s="2" t="s">
        <v>20</v>
      </c>
    </row>
    <row r="10" spans="1:10" x14ac:dyDescent="0.25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25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25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25">
      <c r="A14" s="1" t="s">
        <v>9</v>
      </c>
      <c r="E14" s="3"/>
      <c r="H14" s="1"/>
    </row>
    <row r="15" spans="1:10" x14ac:dyDescent="0.25">
      <c r="A15" t="s">
        <v>10</v>
      </c>
      <c r="D15" s="3">
        <v>-566684168.67891097</v>
      </c>
      <c r="E15" s="3">
        <v>-566684168.67891097</v>
      </c>
    </row>
    <row r="16" spans="1:10" x14ac:dyDescent="0.25">
      <c r="A16" t="s">
        <v>32</v>
      </c>
      <c r="D16" s="3">
        <v>6.1319999694824201</v>
      </c>
      <c r="E16" s="3">
        <v>2.5789999961853001</v>
      </c>
    </row>
    <row r="17" spans="1:5" x14ac:dyDescent="0.25">
      <c r="A17" t="s">
        <v>17</v>
      </c>
      <c r="D17" s="3">
        <v>0</v>
      </c>
      <c r="E17" s="3">
        <v>9.2925621330612702E-5</v>
      </c>
    </row>
    <row r="18" spans="1:5" x14ac:dyDescent="0.25">
      <c r="A18" t="s">
        <v>31</v>
      </c>
      <c r="D18" s="3">
        <v>0</v>
      </c>
      <c r="E18" s="3">
        <v>0</v>
      </c>
    </row>
    <row r="19" spans="1:5" x14ac:dyDescent="0.25">
      <c r="A19" s="2" t="s">
        <v>11</v>
      </c>
      <c r="D19" s="3"/>
      <c r="E19" s="3"/>
    </row>
    <row r="20" spans="1:5" x14ac:dyDescent="0.25">
      <c r="A20" t="s">
        <v>2</v>
      </c>
      <c r="D20" s="3">
        <v>0</v>
      </c>
      <c r="E20" s="3">
        <v>0</v>
      </c>
    </row>
    <row r="21" spans="1:5" x14ac:dyDescent="0.25">
      <c r="A21" t="s">
        <v>0</v>
      </c>
      <c r="D21" s="3">
        <v>80</v>
      </c>
      <c r="E21" s="3">
        <v>80</v>
      </c>
    </row>
    <row r="22" spans="1:5" x14ac:dyDescent="0.25">
      <c r="A22" t="s">
        <v>1</v>
      </c>
      <c r="D22" s="3">
        <v>0</v>
      </c>
      <c r="E22" s="3">
        <v>0</v>
      </c>
    </row>
    <row r="23" spans="1:5" x14ac:dyDescent="0.25">
      <c r="A23" t="s">
        <v>29</v>
      </c>
      <c r="D23" s="3">
        <v>80</v>
      </c>
      <c r="E23" s="3">
        <v>80</v>
      </c>
    </row>
    <row r="24" spans="1:5" x14ac:dyDescent="0.25">
      <c r="A24" t="s">
        <v>30</v>
      </c>
      <c r="D24" s="3">
        <v>58.084000000000003</v>
      </c>
      <c r="E24" s="3">
        <v>58.084000000000003</v>
      </c>
    </row>
    <row r="25" spans="1:5" x14ac:dyDescent="0.25">
      <c r="A25" s="2" t="s">
        <v>15</v>
      </c>
      <c r="D25" s="3"/>
      <c r="E25" s="3"/>
    </row>
    <row r="26" spans="1:5" x14ac:dyDescent="0.25">
      <c r="A26" t="s">
        <v>2</v>
      </c>
      <c r="D26" s="3">
        <v>0</v>
      </c>
      <c r="E26" s="3">
        <v>0</v>
      </c>
    </row>
    <row r="27" spans="1:5" x14ac:dyDescent="0.25">
      <c r="A27" t="s">
        <v>0</v>
      </c>
      <c r="D27" s="3">
        <v>80</v>
      </c>
      <c r="E27" s="3">
        <v>80</v>
      </c>
    </row>
    <row r="28" spans="1:5" x14ac:dyDescent="0.25">
      <c r="A28" t="s">
        <v>1</v>
      </c>
      <c r="D28" s="3">
        <v>0</v>
      </c>
      <c r="E28" s="3">
        <v>0</v>
      </c>
    </row>
    <row r="29" spans="1:5" x14ac:dyDescent="0.25">
      <c r="A29" s="2" t="s">
        <v>16</v>
      </c>
      <c r="D29" s="3"/>
      <c r="E29" s="3"/>
    </row>
    <row r="30" spans="1:5" x14ac:dyDescent="0.25">
      <c r="A30" t="s">
        <v>2</v>
      </c>
      <c r="D30" s="3">
        <v>0</v>
      </c>
      <c r="E30" s="3">
        <v>0</v>
      </c>
    </row>
    <row r="31" spans="1:5" x14ac:dyDescent="0.25">
      <c r="A31" t="s">
        <v>0</v>
      </c>
      <c r="D31" s="3">
        <v>93383545.771093696</v>
      </c>
      <c r="E31" s="3">
        <v>93383545.771093696</v>
      </c>
    </row>
    <row r="32" spans="1:5" x14ac:dyDescent="0.25">
      <c r="A32" t="s">
        <v>1</v>
      </c>
      <c r="D32" s="3">
        <v>0</v>
      </c>
      <c r="E32" s="3">
        <v>0</v>
      </c>
    </row>
    <row r="33" spans="1:5" x14ac:dyDescent="0.25">
      <c r="A33" s="2" t="s">
        <v>23</v>
      </c>
      <c r="D33" s="3"/>
      <c r="E33" s="3"/>
    </row>
    <row r="34" spans="1:5" x14ac:dyDescent="0.25">
      <c r="A34" t="s">
        <v>2</v>
      </c>
      <c r="D34" s="3">
        <v>10839.670693578801</v>
      </c>
      <c r="E34" s="3">
        <v>10839.670693578801</v>
      </c>
    </row>
    <row r="35" spans="1:5" x14ac:dyDescent="0.25">
      <c r="A35" t="s">
        <v>0</v>
      </c>
      <c r="D35" s="3">
        <v>820924.35254566895</v>
      </c>
      <c r="E35" s="3">
        <v>755352.36146108399</v>
      </c>
    </row>
    <row r="36" spans="1:5" x14ac:dyDescent="0.25">
      <c r="A36" t="s">
        <v>1</v>
      </c>
      <c r="D36" s="3">
        <v>8697.9159292100703</v>
      </c>
      <c r="E36" s="3">
        <v>8697.9159292100794</v>
      </c>
    </row>
    <row r="37" spans="1:5" x14ac:dyDescent="0.25">
      <c r="A37" s="2" t="s">
        <v>22</v>
      </c>
      <c r="D37" s="3"/>
      <c r="E37" s="3"/>
    </row>
    <row r="38" spans="1:5" x14ac:dyDescent="0.25">
      <c r="A38" t="s">
        <v>0</v>
      </c>
      <c r="D38" s="3">
        <v>65571.991084584399</v>
      </c>
      <c r="E38" s="3">
        <v>0</v>
      </c>
    </row>
    <row r="39" spans="1:5" x14ac:dyDescent="0.25">
      <c r="A39" t="s">
        <v>24</v>
      </c>
      <c r="D39" s="3">
        <v>764613.58238300995</v>
      </c>
      <c r="E39" s="3">
        <v>764613.58238300995</v>
      </c>
    </row>
    <row r="40" spans="1:5" x14ac:dyDescent="0.25">
      <c r="A40" t="s">
        <v>1</v>
      </c>
      <c r="D40" s="3">
        <v>10276.3657008625</v>
      </c>
      <c r="E40" s="3">
        <v>10276.3657008625</v>
      </c>
    </row>
    <row r="41" spans="1:5" x14ac:dyDescent="0.25">
      <c r="A41" s="2" t="s">
        <v>27</v>
      </c>
      <c r="D41" s="3"/>
      <c r="E41" s="3"/>
    </row>
    <row r="42" spans="1:5" x14ac:dyDescent="0.25">
      <c r="A42" t="s">
        <v>2</v>
      </c>
      <c r="D42" s="3">
        <v>1636903.5360916599</v>
      </c>
      <c r="E42" s="3">
        <v>1636903.5360916599</v>
      </c>
    </row>
    <row r="43" spans="1:5" x14ac:dyDescent="0.25">
      <c r="A43" t="s">
        <v>0</v>
      </c>
      <c r="D43" s="3">
        <v>15934518.027864</v>
      </c>
      <c r="E43" s="3">
        <v>14194345.611482101</v>
      </c>
    </row>
    <row r="44" spans="1:5" x14ac:dyDescent="0.25">
      <c r="A44" t="s">
        <v>1</v>
      </c>
      <c r="D44" s="3">
        <v>0</v>
      </c>
      <c r="E44" s="3">
        <v>0</v>
      </c>
    </row>
    <row r="45" spans="1:5" x14ac:dyDescent="0.25">
      <c r="A45" s="2" t="s">
        <v>28</v>
      </c>
      <c r="D45" s="3"/>
      <c r="E45" s="3"/>
    </row>
    <row r="46" spans="1:5" x14ac:dyDescent="0.25">
      <c r="A46" t="s">
        <v>0</v>
      </c>
      <c r="D46" s="3">
        <v>1740172.41638191</v>
      </c>
      <c r="E46" s="3">
        <v>0</v>
      </c>
    </row>
    <row r="47" spans="1:5" x14ac:dyDescent="0.25">
      <c r="A47" t="s">
        <v>24</v>
      </c>
      <c r="D47" s="3">
        <v>675898963.597579</v>
      </c>
      <c r="E47" s="3">
        <v>675898963.597579</v>
      </c>
    </row>
    <row r="48" spans="1:5" x14ac:dyDescent="0.25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5" x14ac:dyDescent="0.25"/>
  <cols>
    <col min="1" max="1" width="32" customWidth="1"/>
    <col min="2" max="3" width="15.28515625" bestFit="1" customWidth="1"/>
    <col min="4" max="5" width="18.42578125" bestFit="1" customWidth="1"/>
    <col min="6" max="7" width="15.28515625" bestFit="1" customWidth="1"/>
    <col min="8" max="8" width="16.42578125" bestFit="1" customWidth="1"/>
    <col min="9" max="9" width="14.28515625" bestFit="1" customWidth="1"/>
    <col min="10" max="10" width="15.28515625" bestFit="1" customWidth="1"/>
    <col min="11" max="13" width="19.7109375" bestFit="1" customWidth="1"/>
  </cols>
  <sheetData>
    <row r="1" spans="1:10" x14ac:dyDescent="0.25">
      <c r="A1" s="1" t="s">
        <v>7</v>
      </c>
      <c r="H1" s="6">
        <v>45810</v>
      </c>
    </row>
    <row r="2" spans="1:10" x14ac:dyDescent="0.25">
      <c r="A2" s="1" t="s">
        <v>6</v>
      </c>
    </row>
    <row r="3" spans="1:10" x14ac:dyDescent="0.25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25">
      <c r="A4" t="s">
        <v>51</v>
      </c>
      <c r="H4" t="s">
        <v>49</v>
      </c>
      <c r="I4" t="s">
        <v>50</v>
      </c>
      <c r="J4" t="s">
        <v>50</v>
      </c>
    </row>
    <row r="5" spans="1:10" x14ac:dyDescent="0.25">
      <c r="A5" s="2" t="s">
        <v>44</v>
      </c>
      <c r="C5" s="3"/>
    </row>
    <row r="6" spans="1:10" x14ac:dyDescent="0.25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25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25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25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25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25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25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25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25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25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25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25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25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25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25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25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25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25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25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25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25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25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25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25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2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5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25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25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25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25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25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25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25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25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25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25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25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25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25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25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25">
      <c r="D49" s="3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5" x14ac:dyDescent="0.25"/>
  <cols>
    <col min="1" max="1" width="36.5703125" bestFit="1" customWidth="1"/>
    <col min="2" max="2" width="13.140625" customWidth="1"/>
    <col min="3" max="3" width="14" bestFit="1" customWidth="1"/>
    <col min="4" max="5" width="16" bestFit="1" customWidth="1"/>
    <col min="6" max="6" width="13.85546875" customWidth="1"/>
  </cols>
  <sheetData>
    <row r="1" spans="1:6" x14ac:dyDescent="0.25">
      <c r="A1" s="1" t="s">
        <v>7</v>
      </c>
      <c r="B1" t="s">
        <v>61</v>
      </c>
    </row>
    <row r="2" spans="1:6" x14ac:dyDescent="0.25">
      <c r="A2" s="1" t="s">
        <v>6</v>
      </c>
    </row>
    <row r="3" spans="1:6" x14ac:dyDescent="0.25">
      <c r="A3" t="s">
        <v>55</v>
      </c>
      <c r="E3" s="4">
        <v>6624</v>
      </c>
    </row>
    <row r="4" spans="1:6" x14ac:dyDescent="0.25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25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25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25">
      <c r="A7" s="2" t="s">
        <v>44</v>
      </c>
      <c r="B7" s="4"/>
      <c r="C7" s="4"/>
      <c r="D7" s="4"/>
      <c r="E7" s="4"/>
      <c r="F7" s="4"/>
    </row>
    <row r="8" spans="1:6" x14ac:dyDescent="0.25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25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25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25">
      <c r="A11" s="2" t="s">
        <v>20</v>
      </c>
      <c r="B11" s="4"/>
      <c r="C11" s="4"/>
      <c r="D11" s="4"/>
      <c r="E11" s="4"/>
      <c r="F11" s="4"/>
    </row>
    <row r="12" spans="1:6" x14ac:dyDescent="0.25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25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25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25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25">
      <c r="A16" s="2" t="s">
        <v>39</v>
      </c>
      <c r="B16" s="4"/>
      <c r="C16" s="4"/>
      <c r="D16" s="4"/>
      <c r="E16" s="4"/>
      <c r="F16" s="4"/>
    </row>
    <row r="17" spans="1:7" x14ac:dyDescent="0.25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25">
      <c r="A18" s="2" t="s">
        <v>42</v>
      </c>
      <c r="B18" s="4"/>
      <c r="C18" s="4"/>
      <c r="D18" s="4"/>
      <c r="E18" s="4"/>
      <c r="F18" s="4"/>
    </row>
    <row r="19" spans="1:7" x14ac:dyDescent="0.25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25">
      <c r="A20" s="1" t="s">
        <v>9</v>
      </c>
      <c r="B20" s="4"/>
      <c r="C20" s="4"/>
      <c r="D20" s="4"/>
      <c r="E20" s="4"/>
      <c r="F20" s="4"/>
    </row>
    <row r="21" spans="1:7" x14ac:dyDescent="0.25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25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25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25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25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25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25">
      <c r="A27" t="s">
        <v>56</v>
      </c>
      <c r="D27" s="1">
        <v>366</v>
      </c>
      <c r="E27" s="1">
        <v>301</v>
      </c>
      <c r="F27" s="8">
        <v>66</v>
      </c>
    </row>
    <row r="28" spans="1:7" x14ac:dyDescent="0.25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25">
      <c r="A29" s="2" t="s">
        <v>45</v>
      </c>
      <c r="B29" s="4"/>
      <c r="C29" s="4"/>
      <c r="D29" s="4"/>
      <c r="E29" s="4"/>
      <c r="F29" s="4"/>
    </row>
    <row r="30" spans="1:7" x14ac:dyDescent="0.25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25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25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25">
      <c r="A33" s="2" t="s">
        <v>46</v>
      </c>
      <c r="B33" s="4"/>
      <c r="C33" s="4"/>
      <c r="D33" s="4"/>
      <c r="E33" s="4"/>
      <c r="F33" s="4"/>
    </row>
    <row r="34" spans="1:6" x14ac:dyDescent="0.25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25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25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25">
      <c r="A37" s="2" t="s">
        <v>23</v>
      </c>
      <c r="B37" s="4"/>
      <c r="C37" s="4"/>
      <c r="D37" s="4"/>
      <c r="E37" s="4"/>
      <c r="F37" s="4"/>
    </row>
    <row r="38" spans="1:6" x14ac:dyDescent="0.25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25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25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25">
      <c r="A41" s="2" t="s">
        <v>22</v>
      </c>
      <c r="B41" s="4"/>
      <c r="C41" s="4"/>
      <c r="D41" s="4"/>
      <c r="E41" s="4"/>
      <c r="F41" s="4"/>
    </row>
    <row r="42" spans="1:6" x14ac:dyDescent="0.25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25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25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25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25">
      <c r="A46" s="2" t="s">
        <v>27</v>
      </c>
      <c r="B46" s="4"/>
      <c r="C46" s="4"/>
      <c r="D46" s="4"/>
      <c r="E46" s="4"/>
      <c r="F46" s="4"/>
    </row>
    <row r="47" spans="1:6" x14ac:dyDescent="0.25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25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25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25">
      <c r="A50" s="2" t="s">
        <v>28</v>
      </c>
      <c r="B50" s="4"/>
      <c r="C50" s="4"/>
      <c r="D50" s="4"/>
      <c r="E50" s="4"/>
      <c r="F50" s="4"/>
    </row>
    <row r="51" spans="1:6" x14ac:dyDescent="0.25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25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25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2025-08-07T21:15:39Z</dcterms:modified>
</cp:coreProperties>
</file>