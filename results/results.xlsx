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B754DF14-2760-4CC2-9865-43C846ADAEFC}" xr6:coauthVersionLast="47" xr6:coauthVersionMax="47" xr10:uidLastSave="{00000000-0000-0000-0000-000000000000}"/>
  <bookViews>
    <workbookView xWindow="-108" yWindow="-108" windowWidth="23256" windowHeight="13896" firstSheet="1" activeTab="2" xr2:uid="{00000000-000D-0000-FFFF-FFFF00000000}"/>
  </bookViews>
  <sheets>
    <sheet name="Experiments" sheetId="1" r:id="rId1"/>
    <sheet name="250718_investment" sheetId="7" r:id="rId2"/>
    <sheet name="250616_plan" sheetId="6" r:id="rId3"/>
    <sheet name="20250425" sheetId="3" r:id="rId4"/>
    <sheet name="20250424" sheetId="2" r:id="rId5"/>
    <sheet name="20250505_Ops" sheetId="4" r:id="rId6"/>
    <sheet name="250601_op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9" i="6" l="1"/>
  <c r="BJ37" i="6"/>
  <c r="BJ34" i="6"/>
  <c r="BJ31" i="6"/>
  <c r="BJ28" i="6"/>
  <c r="BJ25" i="6"/>
  <c r="BJ22" i="6"/>
  <c r="BJ19" i="6"/>
  <c r="L5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BK16" i="6"/>
  <c r="BK13" i="6"/>
  <c r="BK7" i="6"/>
  <c r="BK11" i="6"/>
  <c r="BK9" i="6"/>
  <c r="BJ16" i="6"/>
  <c r="BJ7" i="6"/>
  <c r="BJ11" i="6"/>
  <c r="BJ9" i="6"/>
  <c r="BJ1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<sst xmlns="http://schemas.openxmlformats.org/spreadsheetml/2006/main" count="628" uniqueCount="135">
  <si>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</si>
  <si>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</si>
  <si>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</si>
  <si>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</si>
  <si>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</si>
  <si>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</si>
  <si>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</si>
  <si>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</si>
  <si>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</si>
  <si>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</si>
  <si>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</si>
  <si>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</si>
  <si>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</si>
  <si>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</si>
  <si>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</si>
  <si>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</si>
  <si>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</si>
  <si>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</si>
  <si>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</si>
  <si>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</si>
  <si>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</si>
  <si>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</si>
  <si>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</si>
  <si>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</si>
  <si>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</si>
  <si>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</si>
  <si>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</si>
  <si>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</si>
  <si>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</si>
  <si>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</si>
  <si>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</si>
  <si>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</si>
  <si>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</si>
  <si>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</si>
  <si>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</si>
  <si>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</si>
  <si>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</si>
  <si>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</si>
  <si>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</si>
  <si>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</si>
  <si>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</si>
  <si>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</si>
  <si>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</si>
  <si>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</si>
  <si>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</si>
  <si>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</si>
  <si>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</si>
  <si>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</si>
  <si>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</si>
  <si>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</si>
  <si>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</si>
  <si>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</si>
  <si>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</si>
  <si>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</si>
  <si>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</si>
  <si>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</si>
  <si>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</si>
  <si>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</si>
  <si>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</si>
  <si>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</si>
  <si>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</si>
  <si>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</si>
  <si>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</si>
  <si>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</si>
  <si>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</si>
  <si>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</si>
  <si>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</si>
  <si>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</si>
  <si>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</si>
  <si>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</si>
  <si>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</si>
  <si>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</si>
  <si>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</si>
  <si>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</si>
  <si>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</si>
  <si>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</si>
  <si>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</si>
  <si>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</si>
  <si>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</si>
  <si>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</si>
  <si>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</si>
  <si>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</si>
  <si>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</si>
  <si>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</si>
  <si>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</si>
  <si>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</si>
  <si>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</si>
  <si>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</si>
  <si>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</si>
  <si>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</si>
  <si>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</si>
  <si>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</si>
  <si>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</si>
  <si>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</si>
  <si>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</si>
  <si>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</si>
  <si>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</si>
  <si>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</si>
  <si>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</si>
  <si>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</si>
  <si>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</si>
  <si>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</si>
  <si>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</si>
  <si>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</si>
  <si>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no new backup generation</t>
  </si>
  <si>
    <t>shinserver</t>
  </si>
  <si>
    <t>Investments savings</t>
  </si>
  <si>
    <t>Opex savings</t>
  </si>
  <si>
    <t>Base</t>
  </si>
  <si>
    <t>Contingency</t>
  </si>
  <si>
    <t>market</t>
  </si>
  <si>
    <t>new storage</t>
  </si>
  <si>
    <t>peak</t>
  </si>
  <si>
    <t>yes</t>
  </si>
  <si>
    <t>no</t>
  </si>
  <si>
    <t>resource</t>
  </si>
  <si>
    <t>grid</t>
  </si>
  <si>
    <t>storage</t>
  </si>
  <si>
    <t>lowest optimality gap</t>
  </si>
  <si>
    <t>Total</t>
  </si>
  <si>
    <t>Extra savings through market participation</t>
  </si>
  <si>
    <t>w new storage</t>
  </si>
  <si>
    <t>w/o new storage</t>
  </si>
  <si>
    <t>New storage years</t>
  </si>
  <si>
    <t>new storage-years</t>
  </si>
  <si>
    <t>Note: should account for storage lifetime, fine here because lifetime is 20 years</t>
  </si>
  <si>
    <t>Total yearly savings per kWh</t>
  </si>
  <si>
    <t>Total yearly savings per kW</t>
  </si>
  <si>
    <t>Over 20 year lifetime</t>
  </si>
  <si>
    <t>Total cost of storage</t>
  </si>
  <si>
    <t>Total savings through storage</t>
  </si>
  <si>
    <t>Percentage of extra savings from market participation</t>
  </si>
  <si>
    <t>Grid to market value</t>
  </si>
  <si>
    <t>grid_wo_storage</t>
  </si>
  <si>
    <t>grid_w_storage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</si>
</sst>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  <xf numFmtId="43" fontId="1" fillId="0" borderId="0" xfId="0" applyNumberFormat="1" applyFont="1"/>
    <xf numFmtId="9" fontId="1" fillId="0" borderId="0" xfId="4" applyFont="1"/>
    <xf numFmtId="2" fontId="1" fillId="0" borderId="0" xfId="0" applyNumberFormat="1" applyFont="1"/>
    <xf numFmtId="2" fontId="0" fillId="0" borderId="0" xfId="1" applyNumberFormat="1" applyFont="1"/>
    <xf numFmtId="2" fontId="1" fillId="0" borderId="0" xfId="1" applyNumberFormat="1" applyFont="1"/>
  </cellXfs>
  <cellStyles count="5">
    <cellStyle name="Bad" xfId="3" builtinId="27"/>
    <cellStyle name="Comma" xfId="1" builtinId="3"/>
    <cellStyle name="Good" xfId="2" builtinId="26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4.4" x14ac:dyDescent="0.3"/>
  <cols>
    <col min="1" max="1" width="29.33203125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19</v>
      </c>
    </row>
    <row r="4" spans="1:10" x14ac:dyDescent="0.3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3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3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3">
      <c r="A7" s="2" t="s">
        <v>20</v>
      </c>
    </row>
    <row r="8" spans="1:10" x14ac:dyDescent="0.3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3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3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3">
      <c r="A12" s="1" t="s">
        <v>9</v>
      </c>
      <c r="E12" s="1"/>
      <c r="H12" s="1"/>
    </row>
    <row r="13" spans="1:10" x14ac:dyDescent="0.3">
      <c r="A13" t="s">
        <v>10</v>
      </c>
    </row>
    <row r="14" spans="1:10" x14ac:dyDescent="0.3">
      <c r="A14" t="s">
        <v>14</v>
      </c>
    </row>
    <row r="15" spans="1:10" x14ac:dyDescent="0.3">
      <c r="A15" t="s">
        <v>17</v>
      </c>
    </row>
    <row r="16" spans="1:10" x14ac:dyDescent="0.3">
      <c r="A16" t="s">
        <v>21</v>
      </c>
    </row>
    <row r="17" spans="1:1" x14ac:dyDescent="0.3">
      <c r="A17" s="2" t="s">
        <v>11</v>
      </c>
    </row>
    <row r="18" spans="1:1" x14ac:dyDescent="0.3">
      <c r="A18" t="s">
        <v>2</v>
      </c>
    </row>
    <row r="19" spans="1:1" x14ac:dyDescent="0.3">
      <c r="A19" t="s">
        <v>0</v>
      </c>
    </row>
    <row r="20" spans="1:1" x14ac:dyDescent="0.3">
      <c r="A20" t="s">
        <v>1</v>
      </c>
    </row>
    <row r="21" spans="1:1" x14ac:dyDescent="0.3">
      <c r="A21" t="s">
        <v>13</v>
      </c>
    </row>
    <row r="22" spans="1:1" x14ac:dyDescent="0.3">
      <c r="A22" t="s">
        <v>12</v>
      </c>
    </row>
    <row r="23" spans="1:1" x14ac:dyDescent="0.3">
      <c r="A23" s="2" t="s">
        <v>15</v>
      </c>
    </row>
    <row r="24" spans="1:1" x14ac:dyDescent="0.3">
      <c r="A24" t="s">
        <v>2</v>
      </c>
    </row>
    <row r="25" spans="1:1" x14ac:dyDescent="0.3">
      <c r="A25" t="s">
        <v>0</v>
      </c>
    </row>
    <row r="26" spans="1:1" x14ac:dyDescent="0.3">
      <c r="A26" t="s">
        <v>1</v>
      </c>
    </row>
    <row r="27" spans="1:1" x14ac:dyDescent="0.3">
      <c r="A27" s="2" t="s">
        <v>16</v>
      </c>
    </row>
    <row r="28" spans="1:1" x14ac:dyDescent="0.3">
      <c r="A28" t="s">
        <v>2</v>
      </c>
    </row>
    <row r="29" spans="1:1" x14ac:dyDescent="0.3">
      <c r="A29" t="s">
        <v>0</v>
      </c>
    </row>
    <row r="30" spans="1:1" x14ac:dyDescent="0.3">
      <c r="A30" t="s">
        <v>1</v>
      </c>
    </row>
    <row r="31" spans="1:1" x14ac:dyDescent="0.3">
      <c r="A31" s="2" t="s">
        <v>23</v>
      </c>
    </row>
    <row r="32" spans="1:1" x14ac:dyDescent="0.3">
      <c r="A32" t="s">
        <v>2</v>
      </c>
    </row>
    <row r="33" spans="1:1" x14ac:dyDescent="0.3">
      <c r="A33" t="s">
        <v>0</v>
      </c>
    </row>
    <row r="34" spans="1:1" x14ac:dyDescent="0.3">
      <c r="A34" t="s">
        <v>1</v>
      </c>
    </row>
    <row r="35" spans="1:1" x14ac:dyDescent="0.3">
      <c r="A35" s="2" t="s">
        <v>22</v>
      </c>
    </row>
    <row r="36" spans="1:1" x14ac:dyDescent="0.3">
      <c r="A36" t="s">
        <v>0</v>
      </c>
    </row>
    <row r="37" spans="1:1" x14ac:dyDescent="0.3">
      <c r="A37" t="s">
        <v>24</v>
      </c>
    </row>
    <row r="38" spans="1:1" x14ac:dyDescent="0.3">
      <c r="A38" t="s">
        <v>1</v>
      </c>
    </row>
    <row r="39" spans="1:1" x14ac:dyDescent="0.3">
      <c r="A39" s="2" t="s">
        <v>25</v>
      </c>
    </row>
    <row r="40" spans="1:1" x14ac:dyDescent="0.3">
      <c r="A40" t="s">
        <v>2</v>
      </c>
    </row>
    <row r="41" spans="1:1" x14ac:dyDescent="0.3">
      <c r="A41" t="s">
        <v>0</v>
      </c>
    </row>
    <row r="42" spans="1:1" x14ac:dyDescent="0.3">
      <c r="A42" t="s">
        <v>1</v>
      </c>
    </row>
    <row r="43" spans="1:1" x14ac:dyDescent="0.3">
      <c r="A43" s="2" t="s">
        <v>26</v>
      </c>
    </row>
    <row r="44" spans="1:1" x14ac:dyDescent="0.3">
      <c r="A44" t="s">
        <v>0</v>
      </c>
    </row>
    <row r="45" spans="1:1" x14ac:dyDescent="0.3">
      <c r="A45" t="s">
        <v>24</v>
      </c>
    </row>
    <row r="46" spans="1:1" x14ac:dyDescent="0.3">
      <c r="A46" t="s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70D9-F7C2-442C-BFB6-35612215F0C3}">
  <dimension ref="A1:W30"/>
  <sheetViews>
    <sheetView zoomScale="90" zoomScaleNormal="90" workbookViewId="0">
      <selection activeCell="T1" sqref="T1:W27"/>
    </sheetView>
  </sheetViews>
  <sheetFormatPr defaultRowHeight="14.4" x14ac:dyDescent="0.3"/>
  <cols>
    <col min="1" max="1" width="11.88671875" bestFit="1" customWidth="1"/>
  </cols>
  <sheetData>
    <row r="1" spans="1:23" x14ac:dyDescent="0.3">
      <c r="A1" t="s">
        <v>110</v>
      </c>
      <c r="B1" t="s">
        <v>85</v>
      </c>
      <c r="C1" t="s">
        <v>85</v>
      </c>
      <c r="D1" t="s">
        <v>112</v>
      </c>
      <c r="E1" t="s">
        <v>112</v>
      </c>
      <c r="F1" t="s">
        <v>85</v>
      </c>
      <c r="G1" t="s">
        <v>85</v>
      </c>
      <c r="H1" t="s">
        <v>112</v>
      </c>
      <c r="I1" t="s">
        <v>112</v>
      </c>
      <c r="T1" t="s">
        <v>49</v>
      </c>
      <c r="U1" t="s">
        <v>133</v>
      </c>
      <c r="V1" t="s">
        <v>134</v>
      </c>
      <c r="W1" t="s">
        <v>117</v>
      </c>
    </row>
    <row r="2" spans="1:23" x14ac:dyDescent="0.3">
      <c r="A2" t="s">
        <v>111</v>
      </c>
      <c r="B2" t="s">
        <v>113</v>
      </c>
      <c r="C2" t="s">
        <v>113</v>
      </c>
      <c r="D2" t="s">
        <v>113</v>
      </c>
      <c r="E2" t="s">
        <v>113</v>
      </c>
      <c r="F2" t="s">
        <v>114</v>
      </c>
      <c r="G2" t="s">
        <v>114</v>
      </c>
      <c r="H2" t="s">
        <v>114</v>
      </c>
      <c r="I2" t="s">
        <v>114</v>
      </c>
      <c r="K2" t="s">
        <v>125</v>
      </c>
      <c r="T2">
        <v>2025</v>
      </c>
      <c r="U2" s="17">
        <v>40</v>
      </c>
      <c r="V2" s="17">
        <v>40</v>
      </c>
      <c r="W2" s="18">
        <v>0</v>
      </c>
    </row>
    <row r="3" spans="1:23" x14ac:dyDescent="0.3">
      <c r="A3" t="s">
        <v>115</v>
      </c>
      <c r="B3" t="s">
        <v>116</v>
      </c>
      <c r="C3" t="s">
        <v>117</v>
      </c>
      <c r="D3" t="s">
        <v>116</v>
      </c>
      <c r="E3" t="s">
        <v>117</v>
      </c>
      <c r="F3" t="s">
        <v>116</v>
      </c>
      <c r="G3" t="s">
        <v>117</v>
      </c>
      <c r="H3" t="s">
        <v>116</v>
      </c>
      <c r="I3" t="s">
        <v>117</v>
      </c>
      <c r="K3" t="s">
        <v>124</v>
      </c>
      <c r="T3">
        <v>2026</v>
      </c>
      <c r="U3" s="7">
        <v>0</v>
      </c>
      <c r="V3" s="7">
        <v>0</v>
      </c>
      <c r="W3" s="18">
        <v>0</v>
      </c>
    </row>
    <row r="4" spans="1:23" x14ac:dyDescent="0.3">
      <c r="A4" t="s">
        <v>49</v>
      </c>
      <c r="L4" t="s">
        <v>119</v>
      </c>
      <c r="T4">
        <v>2027</v>
      </c>
      <c r="U4" s="7">
        <v>0</v>
      </c>
      <c r="V4" s="7">
        <v>0</v>
      </c>
      <c r="W4" s="18">
        <v>0</v>
      </c>
    </row>
    <row r="5" spans="1:23" x14ac:dyDescent="0.3">
      <c r="A5">
        <v>2025</v>
      </c>
      <c r="B5" s="1">
        <v>40</v>
      </c>
      <c r="C5" s="3">
        <v>0</v>
      </c>
      <c r="D5" s="1">
        <v>40</v>
      </c>
      <c r="E5" s="3">
        <v>0</v>
      </c>
      <c r="F5" s="1">
        <v>40</v>
      </c>
      <c r="G5">
        <v>0</v>
      </c>
      <c r="H5" s="1">
        <v>40</v>
      </c>
      <c r="I5">
        <v>0</v>
      </c>
      <c r="K5" s="14">
        <f>C5*(A$30-A5+1)</f>
        <v>0</v>
      </c>
      <c r="L5" s="14">
        <f>SUM(K5:K30)</f>
        <v>180.68099999996281</v>
      </c>
      <c r="T5">
        <v>2028</v>
      </c>
      <c r="U5" s="7">
        <v>0</v>
      </c>
      <c r="V5" s="7">
        <v>0</v>
      </c>
      <c r="W5" s="18">
        <v>0</v>
      </c>
    </row>
    <row r="6" spans="1:23" x14ac:dyDescent="0.3">
      <c r="A6">
        <v>2026</v>
      </c>
      <c r="B6">
        <v>0</v>
      </c>
      <c r="C6" s="3">
        <v>0</v>
      </c>
      <c r="D6">
        <v>0</v>
      </c>
      <c r="E6" s="3">
        <v>0</v>
      </c>
      <c r="F6">
        <v>0</v>
      </c>
      <c r="G6">
        <v>0</v>
      </c>
      <c r="H6">
        <v>0</v>
      </c>
      <c r="I6">
        <v>0</v>
      </c>
      <c r="K6" s="14">
        <f t="shared" ref="K6:K30" si="0">C6*(A$30-A6+1)</f>
        <v>0</v>
      </c>
      <c r="T6">
        <v>2029</v>
      </c>
      <c r="U6" s="7">
        <v>0</v>
      </c>
      <c r="V6" s="7">
        <v>0</v>
      </c>
      <c r="W6" s="18">
        <v>0</v>
      </c>
    </row>
    <row r="7" spans="1:23" x14ac:dyDescent="0.3">
      <c r="A7">
        <v>2027</v>
      </c>
      <c r="B7">
        <v>0</v>
      </c>
      <c r="C7" s="3">
        <v>0</v>
      </c>
      <c r="D7">
        <v>0</v>
      </c>
      <c r="E7" s="3">
        <v>0</v>
      </c>
      <c r="F7">
        <v>0</v>
      </c>
      <c r="G7">
        <v>0</v>
      </c>
      <c r="H7">
        <v>0</v>
      </c>
      <c r="I7">
        <v>0</v>
      </c>
      <c r="K7" s="14">
        <f t="shared" si="0"/>
        <v>0</v>
      </c>
      <c r="T7">
        <v>2030</v>
      </c>
      <c r="U7" s="7">
        <v>0</v>
      </c>
      <c r="V7" s="7">
        <v>0</v>
      </c>
      <c r="W7" s="18">
        <v>0</v>
      </c>
    </row>
    <row r="8" spans="1:23" x14ac:dyDescent="0.3">
      <c r="A8">
        <v>2028</v>
      </c>
      <c r="B8">
        <v>0</v>
      </c>
      <c r="C8" s="3">
        <v>0</v>
      </c>
      <c r="D8">
        <v>0</v>
      </c>
      <c r="E8" s="3">
        <v>0</v>
      </c>
      <c r="F8">
        <v>0</v>
      </c>
      <c r="G8">
        <v>0</v>
      </c>
      <c r="H8">
        <v>0</v>
      </c>
      <c r="I8">
        <v>0</v>
      </c>
      <c r="K8" s="14">
        <f t="shared" si="0"/>
        <v>0</v>
      </c>
      <c r="T8">
        <v>2031</v>
      </c>
      <c r="U8" s="7">
        <v>0</v>
      </c>
      <c r="V8" s="7">
        <v>0</v>
      </c>
      <c r="W8" s="18">
        <v>0</v>
      </c>
    </row>
    <row r="9" spans="1:23" x14ac:dyDescent="0.3">
      <c r="A9">
        <v>2029</v>
      </c>
      <c r="B9">
        <v>0</v>
      </c>
      <c r="C9" s="3">
        <v>0</v>
      </c>
      <c r="D9">
        <v>0</v>
      </c>
      <c r="E9" s="3">
        <v>0</v>
      </c>
      <c r="F9">
        <v>0</v>
      </c>
      <c r="G9">
        <v>0</v>
      </c>
      <c r="H9">
        <v>0</v>
      </c>
      <c r="I9">
        <v>0</v>
      </c>
      <c r="K9" s="14">
        <f t="shared" si="0"/>
        <v>0</v>
      </c>
      <c r="T9">
        <v>2032</v>
      </c>
      <c r="U9" s="7">
        <v>0</v>
      </c>
      <c r="V9" s="7">
        <v>0</v>
      </c>
      <c r="W9" s="18">
        <v>0</v>
      </c>
    </row>
    <row r="10" spans="1:23" x14ac:dyDescent="0.3">
      <c r="A10">
        <v>2030</v>
      </c>
      <c r="B10">
        <v>0</v>
      </c>
      <c r="C10" s="3">
        <v>0</v>
      </c>
      <c r="D10">
        <v>0</v>
      </c>
      <c r="E10" s="3">
        <v>0</v>
      </c>
      <c r="F10">
        <v>0</v>
      </c>
      <c r="G10">
        <v>0</v>
      </c>
      <c r="H10">
        <v>0</v>
      </c>
      <c r="I10">
        <v>0</v>
      </c>
      <c r="K10" s="14">
        <f t="shared" si="0"/>
        <v>0</v>
      </c>
      <c r="T10">
        <v>2033</v>
      </c>
      <c r="U10" s="7">
        <v>0</v>
      </c>
      <c r="V10" s="7">
        <v>0</v>
      </c>
      <c r="W10" s="18">
        <v>0</v>
      </c>
    </row>
    <row r="11" spans="1:23" x14ac:dyDescent="0.3">
      <c r="A11">
        <v>2031</v>
      </c>
      <c r="B11">
        <v>0</v>
      </c>
      <c r="C11" s="3">
        <v>0</v>
      </c>
      <c r="D11">
        <v>0</v>
      </c>
      <c r="E11" s="3">
        <v>0</v>
      </c>
      <c r="F11">
        <v>0</v>
      </c>
      <c r="G11">
        <v>0</v>
      </c>
      <c r="H11">
        <v>0</v>
      </c>
      <c r="I11">
        <v>0</v>
      </c>
      <c r="K11" s="14">
        <f t="shared" si="0"/>
        <v>0</v>
      </c>
      <c r="T11">
        <v>2034</v>
      </c>
      <c r="U11" s="7">
        <v>0</v>
      </c>
      <c r="V11" s="7">
        <v>0</v>
      </c>
      <c r="W11" s="18">
        <v>0</v>
      </c>
    </row>
    <row r="12" spans="1:23" x14ac:dyDescent="0.3">
      <c r="A12">
        <v>2032</v>
      </c>
      <c r="B12">
        <v>0</v>
      </c>
      <c r="C12" s="3">
        <v>0</v>
      </c>
      <c r="D12">
        <v>0</v>
      </c>
      <c r="E12" s="3">
        <v>0</v>
      </c>
      <c r="F12">
        <v>0</v>
      </c>
      <c r="G12">
        <v>0</v>
      </c>
      <c r="H12">
        <v>0</v>
      </c>
      <c r="I12">
        <v>0</v>
      </c>
      <c r="K12" s="14">
        <f t="shared" si="0"/>
        <v>0</v>
      </c>
      <c r="T12">
        <v>2035</v>
      </c>
      <c r="U12" s="7">
        <v>0</v>
      </c>
      <c r="V12" s="7">
        <v>0</v>
      </c>
      <c r="W12" s="18">
        <v>0</v>
      </c>
    </row>
    <row r="13" spans="1:23" x14ac:dyDescent="0.3">
      <c r="A13">
        <v>2033</v>
      </c>
      <c r="B13">
        <v>0</v>
      </c>
      <c r="C13" s="3">
        <v>0</v>
      </c>
      <c r="D13">
        <v>0</v>
      </c>
      <c r="E13" s="3">
        <v>0</v>
      </c>
      <c r="F13">
        <v>0</v>
      </c>
      <c r="G13">
        <v>0</v>
      </c>
      <c r="H13">
        <v>0</v>
      </c>
      <c r="I13">
        <v>0</v>
      </c>
      <c r="K13" s="14">
        <f t="shared" si="0"/>
        <v>0</v>
      </c>
      <c r="T13">
        <v>2036</v>
      </c>
      <c r="U13" s="17">
        <v>40</v>
      </c>
      <c r="V13" s="7">
        <v>0</v>
      </c>
      <c r="W13" s="19">
        <v>2.2079999999918898</v>
      </c>
    </row>
    <row r="14" spans="1:23" x14ac:dyDescent="0.3">
      <c r="A14">
        <v>2034</v>
      </c>
      <c r="B14">
        <v>0</v>
      </c>
      <c r="C14" s="3">
        <v>0</v>
      </c>
      <c r="D14">
        <v>0</v>
      </c>
      <c r="E14" s="3">
        <v>0</v>
      </c>
      <c r="F14">
        <v>0</v>
      </c>
      <c r="G14">
        <v>0</v>
      </c>
      <c r="H14">
        <v>0</v>
      </c>
      <c r="I14">
        <v>0</v>
      </c>
      <c r="K14" s="14">
        <f t="shared" si="0"/>
        <v>0</v>
      </c>
      <c r="T14">
        <v>2037</v>
      </c>
      <c r="U14" s="7">
        <v>0</v>
      </c>
      <c r="V14" s="17">
        <v>40</v>
      </c>
      <c r="W14" s="18">
        <v>0</v>
      </c>
    </row>
    <row r="15" spans="1:23" x14ac:dyDescent="0.3">
      <c r="A15">
        <v>2035</v>
      </c>
      <c r="B15">
        <v>0</v>
      </c>
      <c r="C15" s="3">
        <v>0</v>
      </c>
      <c r="D15">
        <v>0</v>
      </c>
      <c r="E15" s="3">
        <v>0</v>
      </c>
      <c r="F15">
        <v>0</v>
      </c>
      <c r="G15">
        <v>0</v>
      </c>
      <c r="H15">
        <v>0</v>
      </c>
      <c r="I15">
        <v>0</v>
      </c>
      <c r="K15" s="14">
        <f t="shared" si="0"/>
        <v>0</v>
      </c>
      <c r="T15">
        <v>2038</v>
      </c>
      <c r="U15" s="17">
        <v>40</v>
      </c>
      <c r="V15" s="7">
        <v>0</v>
      </c>
      <c r="W15" s="18">
        <v>0</v>
      </c>
    </row>
    <row r="16" spans="1:23" x14ac:dyDescent="0.3">
      <c r="A16">
        <v>2036</v>
      </c>
      <c r="B16">
        <v>0</v>
      </c>
      <c r="C16" s="5">
        <v>2.2079999999918898</v>
      </c>
      <c r="D16">
        <v>0</v>
      </c>
      <c r="E16" s="5">
        <v>2.20799999999999</v>
      </c>
      <c r="F16" s="1">
        <v>40</v>
      </c>
      <c r="G16">
        <v>0</v>
      </c>
      <c r="H16" s="1">
        <v>40</v>
      </c>
      <c r="I16">
        <v>0</v>
      </c>
      <c r="K16" s="14">
        <f t="shared" si="0"/>
        <v>33.119999999878345</v>
      </c>
      <c r="T16">
        <v>2039</v>
      </c>
      <c r="U16" s="7">
        <v>0</v>
      </c>
      <c r="V16" s="7">
        <v>0</v>
      </c>
      <c r="W16" s="18">
        <v>0</v>
      </c>
    </row>
    <row r="17" spans="1:23" x14ac:dyDescent="0.3">
      <c r="A17">
        <v>2037</v>
      </c>
      <c r="B17" s="1">
        <v>40</v>
      </c>
      <c r="C17" s="3">
        <v>0</v>
      </c>
      <c r="D17" s="1">
        <v>40</v>
      </c>
      <c r="E17" s="3">
        <v>0</v>
      </c>
      <c r="F17">
        <v>0</v>
      </c>
      <c r="G17">
        <v>0</v>
      </c>
      <c r="H17">
        <v>0</v>
      </c>
      <c r="I17">
        <v>0</v>
      </c>
      <c r="K17" s="14">
        <f t="shared" si="0"/>
        <v>0</v>
      </c>
      <c r="T17">
        <v>2040</v>
      </c>
      <c r="U17" s="7">
        <v>0</v>
      </c>
      <c r="V17" s="7">
        <v>0</v>
      </c>
      <c r="W17" s="19">
        <v>7.9150000000074998</v>
      </c>
    </row>
    <row r="18" spans="1:23" x14ac:dyDescent="0.3">
      <c r="A18">
        <v>2038</v>
      </c>
      <c r="B18">
        <v>0</v>
      </c>
      <c r="C18" s="3">
        <v>0</v>
      </c>
      <c r="D18">
        <v>0</v>
      </c>
      <c r="E18" s="3">
        <v>0</v>
      </c>
      <c r="F18" s="1">
        <v>40</v>
      </c>
      <c r="G18">
        <v>0</v>
      </c>
      <c r="H18" s="1">
        <v>40</v>
      </c>
      <c r="I18">
        <v>0</v>
      </c>
      <c r="K18" s="14">
        <f t="shared" si="0"/>
        <v>0</v>
      </c>
      <c r="T18">
        <v>2041</v>
      </c>
      <c r="U18" s="7">
        <v>0</v>
      </c>
      <c r="V18" s="7">
        <v>0</v>
      </c>
      <c r="W18" s="19">
        <v>2.6819999999999302</v>
      </c>
    </row>
    <row r="19" spans="1:23" x14ac:dyDescent="0.3">
      <c r="A19">
        <v>2039</v>
      </c>
      <c r="B19">
        <v>0</v>
      </c>
      <c r="C19" s="3">
        <v>0</v>
      </c>
      <c r="D19">
        <v>0</v>
      </c>
      <c r="E19" s="3">
        <v>0</v>
      </c>
      <c r="F19">
        <v>0</v>
      </c>
      <c r="G19">
        <v>0</v>
      </c>
      <c r="H19">
        <v>0</v>
      </c>
      <c r="I19">
        <v>0</v>
      </c>
      <c r="K19" s="14">
        <f t="shared" si="0"/>
        <v>0</v>
      </c>
      <c r="T19">
        <v>2042</v>
      </c>
      <c r="U19" s="7">
        <v>0</v>
      </c>
      <c r="V19" s="7">
        <v>0</v>
      </c>
      <c r="W19" s="18">
        <v>0</v>
      </c>
    </row>
    <row r="20" spans="1:23" x14ac:dyDescent="0.3">
      <c r="A20">
        <v>2040</v>
      </c>
      <c r="B20">
        <v>0</v>
      </c>
      <c r="C20" s="5">
        <v>7.9150000000074998</v>
      </c>
      <c r="D20">
        <v>0</v>
      </c>
      <c r="E20" s="5">
        <v>7.91499999999954</v>
      </c>
      <c r="F20">
        <v>0</v>
      </c>
      <c r="G20">
        <v>0</v>
      </c>
      <c r="H20">
        <v>0</v>
      </c>
      <c r="I20">
        <v>0</v>
      </c>
      <c r="K20" s="14">
        <f t="shared" si="0"/>
        <v>87.065000000082492</v>
      </c>
      <c r="T20">
        <v>2043</v>
      </c>
      <c r="U20" s="7">
        <v>0</v>
      </c>
      <c r="V20" s="7">
        <v>0</v>
      </c>
      <c r="W20" s="19">
        <v>2.2990000000009898</v>
      </c>
    </row>
    <row r="21" spans="1:23" x14ac:dyDescent="0.3">
      <c r="A21">
        <v>2041</v>
      </c>
      <c r="B21">
        <v>0</v>
      </c>
      <c r="C21" s="5">
        <v>2.6819999999999302</v>
      </c>
      <c r="D21">
        <v>0</v>
      </c>
      <c r="E21" s="5">
        <v>2.6819999999995301</v>
      </c>
      <c r="F21">
        <v>0</v>
      </c>
      <c r="G21">
        <v>0</v>
      </c>
      <c r="H21">
        <v>0</v>
      </c>
      <c r="I21">
        <v>0</v>
      </c>
      <c r="K21" s="14">
        <f t="shared" si="0"/>
        <v>26.819999999999304</v>
      </c>
      <c r="T21">
        <v>2044</v>
      </c>
      <c r="U21" s="7">
        <v>0</v>
      </c>
      <c r="V21" s="7">
        <v>0</v>
      </c>
      <c r="W21" s="18">
        <v>0</v>
      </c>
    </row>
    <row r="22" spans="1:23" x14ac:dyDescent="0.3">
      <c r="A22">
        <v>2042</v>
      </c>
      <c r="B22">
        <v>0</v>
      </c>
      <c r="C22" s="3">
        <v>0</v>
      </c>
      <c r="D22">
        <v>0</v>
      </c>
      <c r="E22" s="3">
        <v>0</v>
      </c>
      <c r="F22">
        <v>0</v>
      </c>
      <c r="G22">
        <v>0</v>
      </c>
      <c r="H22">
        <v>0</v>
      </c>
      <c r="I22">
        <v>0</v>
      </c>
      <c r="K22" s="14">
        <f t="shared" si="0"/>
        <v>0</v>
      </c>
      <c r="T22">
        <v>2045</v>
      </c>
      <c r="U22" s="7">
        <v>0</v>
      </c>
      <c r="V22" s="7">
        <v>0</v>
      </c>
      <c r="W22" s="19">
        <v>2.2139999999991198</v>
      </c>
    </row>
    <row r="23" spans="1:23" x14ac:dyDescent="0.3">
      <c r="A23">
        <v>2043</v>
      </c>
      <c r="B23">
        <v>0</v>
      </c>
      <c r="C23" s="5">
        <v>2.2990000000009898</v>
      </c>
      <c r="D23">
        <v>0</v>
      </c>
      <c r="E23" s="5">
        <v>2.29900000000077</v>
      </c>
      <c r="F23">
        <v>0</v>
      </c>
      <c r="G23">
        <v>0</v>
      </c>
      <c r="H23">
        <v>0</v>
      </c>
      <c r="I23">
        <v>0</v>
      </c>
      <c r="K23" s="14">
        <f t="shared" si="0"/>
        <v>18.392000000007918</v>
      </c>
      <c r="T23">
        <v>2046</v>
      </c>
      <c r="U23" s="7">
        <v>0</v>
      </c>
      <c r="V23" s="7">
        <v>0</v>
      </c>
      <c r="W23" s="18">
        <v>0</v>
      </c>
    </row>
    <row r="24" spans="1:23" x14ac:dyDescent="0.3">
      <c r="A24">
        <v>2044</v>
      </c>
      <c r="B24">
        <v>0</v>
      </c>
      <c r="C24" s="3">
        <v>0</v>
      </c>
      <c r="D24">
        <v>0</v>
      </c>
      <c r="E24" s="3">
        <v>0</v>
      </c>
      <c r="F24">
        <v>0</v>
      </c>
      <c r="G24">
        <v>0</v>
      </c>
      <c r="H24">
        <v>0</v>
      </c>
      <c r="I24">
        <v>0</v>
      </c>
      <c r="K24" s="14">
        <f t="shared" si="0"/>
        <v>0</v>
      </c>
      <c r="T24">
        <v>2047</v>
      </c>
      <c r="U24" s="17">
        <v>40</v>
      </c>
      <c r="V24" s="17">
        <v>40</v>
      </c>
      <c r="W24" s="18">
        <v>0</v>
      </c>
    </row>
    <row r="25" spans="1:23" x14ac:dyDescent="0.3">
      <c r="A25">
        <v>2045</v>
      </c>
      <c r="B25">
        <v>0</v>
      </c>
      <c r="C25" s="5">
        <v>2.2139999999991198</v>
      </c>
      <c r="D25">
        <v>0</v>
      </c>
      <c r="E25" s="5">
        <v>2.21399999999996</v>
      </c>
      <c r="F25">
        <v>0</v>
      </c>
      <c r="G25">
        <v>0</v>
      </c>
      <c r="H25">
        <v>0</v>
      </c>
      <c r="I25">
        <v>0</v>
      </c>
      <c r="K25" s="14">
        <f t="shared" si="0"/>
        <v>13.28399999999472</v>
      </c>
      <c r="T25">
        <v>2048</v>
      </c>
      <c r="U25" s="7">
        <v>0</v>
      </c>
      <c r="V25" s="7">
        <v>0</v>
      </c>
      <c r="W25" s="18">
        <v>0</v>
      </c>
    </row>
    <row r="26" spans="1:23" x14ac:dyDescent="0.3">
      <c r="A26">
        <v>2046</v>
      </c>
      <c r="B26">
        <v>0</v>
      </c>
      <c r="C26" s="3">
        <v>0</v>
      </c>
      <c r="D26">
        <v>0</v>
      </c>
      <c r="E26" s="3">
        <v>0</v>
      </c>
      <c r="F26">
        <v>0</v>
      </c>
      <c r="G26">
        <v>0</v>
      </c>
      <c r="H26">
        <v>0</v>
      </c>
      <c r="I26">
        <v>0</v>
      </c>
      <c r="K26" s="14">
        <f t="shared" si="0"/>
        <v>0</v>
      </c>
      <c r="T26">
        <v>2049</v>
      </c>
      <c r="U26" s="7">
        <v>0</v>
      </c>
      <c r="V26" s="7">
        <v>0</v>
      </c>
      <c r="W26" s="18">
        <v>0</v>
      </c>
    </row>
    <row r="27" spans="1:23" x14ac:dyDescent="0.3">
      <c r="A27">
        <v>2047</v>
      </c>
      <c r="B27" s="1">
        <v>40</v>
      </c>
      <c r="C27" s="3">
        <v>0</v>
      </c>
      <c r="D27" s="1">
        <v>40</v>
      </c>
      <c r="E27" s="3">
        <v>0</v>
      </c>
      <c r="F27" s="1">
        <v>40</v>
      </c>
      <c r="G27">
        <v>0</v>
      </c>
      <c r="H27" s="1">
        <v>40</v>
      </c>
      <c r="I27">
        <v>0</v>
      </c>
      <c r="K27" s="14">
        <f t="shared" si="0"/>
        <v>0</v>
      </c>
      <c r="T27">
        <v>2050</v>
      </c>
      <c r="U27" s="7">
        <v>0</v>
      </c>
      <c r="V27" s="7">
        <v>0</v>
      </c>
      <c r="W27" s="18">
        <v>2</v>
      </c>
    </row>
    <row r="28" spans="1:23" x14ac:dyDescent="0.3">
      <c r="A28">
        <v>2048</v>
      </c>
      <c r="B28">
        <v>0</v>
      </c>
      <c r="C28" s="3">
        <v>0</v>
      </c>
      <c r="D28">
        <v>0</v>
      </c>
      <c r="E28" s="3">
        <v>0</v>
      </c>
      <c r="F28">
        <v>0</v>
      </c>
      <c r="G28">
        <v>0</v>
      </c>
      <c r="H28">
        <v>0</v>
      </c>
      <c r="I28">
        <v>0</v>
      </c>
      <c r="K28" s="14">
        <f t="shared" si="0"/>
        <v>0</v>
      </c>
    </row>
    <row r="29" spans="1:23" x14ac:dyDescent="0.3">
      <c r="A29">
        <v>2049</v>
      </c>
      <c r="B29">
        <v>0</v>
      </c>
      <c r="C29" s="3">
        <v>0</v>
      </c>
      <c r="D29">
        <v>0</v>
      </c>
      <c r="E29" s="3">
        <v>0</v>
      </c>
      <c r="F29">
        <v>0</v>
      </c>
      <c r="G29">
        <v>0</v>
      </c>
      <c r="H29">
        <v>0</v>
      </c>
      <c r="I29">
        <v>0</v>
      </c>
      <c r="K29" s="14">
        <f t="shared" si="0"/>
        <v>0</v>
      </c>
    </row>
    <row r="30" spans="1:23" x14ac:dyDescent="0.3">
      <c r="A30">
        <v>2050</v>
      </c>
      <c r="B30">
        <v>0</v>
      </c>
      <c r="C30" s="3">
        <v>2</v>
      </c>
      <c r="D30">
        <v>0</v>
      </c>
      <c r="E30" s="3">
        <v>2</v>
      </c>
      <c r="F30">
        <v>0</v>
      </c>
      <c r="G30">
        <v>0</v>
      </c>
      <c r="H30">
        <v>0</v>
      </c>
      <c r="I30">
        <v>0</v>
      </c>
      <c r="K30" s="14">
        <f t="shared" si="0"/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BK94"/>
  <sheetViews>
    <sheetView tabSelected="1" topLeftCell="A11" workbookViewId="0">
      <pane xSplit="1" topLeftCell="BD1" activePane="topRight" state="frozen"/>
      <selection pane="topRight" activeCell="BL25" sqref="BL25"/>
    </sheetView>
  </sheetViews>
  <sheetFormatPr defaultRowHeight="14.4" x14ac:dyDescent="0.3"/>
  <cols>
    <col min="1" max="1" width="45" customWidth="1"/>
    <col min="2" max="13" width="18" bestFit="1" customWidth="1"/>
    <col min="14" max="16" width="19" bestFit="1" customWidth="1"/>
    <col min="17" max="56" width="18" bestFit="1" customWidth="1"/>
    <col min="57" max="57" width="19.5546875" customWidth="1"/>
    <col min="58" max="58" width="18.21875" customWidth="1"/>
    <col min="59" max="60" width="17.77734375" bestFit="1" customWidth="1"/>
    <col min="62" max="62" width="17.33203125" bestFit="1" customWidth="1"/>
    <col min="63" max="63" width="14.88671875" bestFit="1" customWidth="1"/>
  </cols>
  <sheetData>
    <row r="1" spans="1:63" x14ac:dyDescent="0.3">
      <c r="A1" t="s">
        <v>95</v>
      </c>
    </row>
    <row r="2" spans="1:63" x14ac:dyDescent="0.3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  <c r="AY2" t="s">
        <v>105</v>
      </c>
      <c r="BA2">
        <v>250715</v>
      </c>
      <c r="BE2">
        <v>250721</v>
      </c>
    </row>
    <row r="3" spans="1:63" x14ac:dyDescent="0.3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104</v>
      </c>
      <c r="BA3" t="s">
        <v>103</v>
      </c>
      <c r="BE3" t="s">
        <v>118</v>
      </c>
    </row>
    <row r="4" spans="1:63" x14ac:dyDescent="0.3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  <c r="AY4" s="3">
        <v>150</v>
      </c>
      <c r="AZ4" s="3">
        <v>150</v>
      </c>
      <c r="BA4" s="3">
        <v>150</v>
      </c>
      <c r="BB4" s="3">
        <v>150</v>
      </c>
      <c r="BC4" s="3">
        <v>150</v>
      </c>
      <c r="BD4" s="3">
        <v>150</v>
      </c>
      <c r="BE4" s="3">
        <v>150</v>
      </c>
      <c r="BF4" s="3">
        <v>150</v>
      </c>
      <c r="BG4" s="3">
        <v>150</v>
      </c>
      <c r="BH4" s="3">
        <v>150</v>
      </c>
      <c r="BJ4" t="s">
        <v>107</v>
      </c>
    </row>
    <row r="5" spans="1:63" x14ac:dyDescent="0.3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  <c r="AY5" s="3">
        <v>10000</v>
      </c>
      <c r="AZ5" s="3">
        <v>10000</v>
      </c>
      <c r="BA5" s="3">
        <v>10000</v>
      </c>
      <c r="BB5" s="3">
        <v>10000</v>
      </c>
      <c r="BC5" s="3">
        <v>10000</v>
      </c>
      <c r="BD5" s="3">
        <v>10000</v>
      </c>
      <c r="BE5" s="3">
        <v>10000</v>
      </c>
      <c r="BF5" s="3">
        <v>10000</v>
      </c>
      <c r="BG5" s="3">
        <v>10000</v>
      </c>
      <c r="BH5" s="3">
        <v>10000</v>
      </c>
      <c r="BJ5" t="s">
        <v>121</v>
      </c>
      <c r="BK5" t="s">
        <v>122</v>
      </c>
    </row>
    <row r="6" spans="1:63" x14ac:dyDescent="0.3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  <c r="AY6" s="3" t="b">
        <v>0</v>
      </c>
      <c r="AZ6" s="3" t="b">
        <v>0</v>
      </c>
      <c r="BA6" s="3" t="b">
        <v>0</v>
      </c>
      <c r="BB6" s="3" t="b">
        <v>0</v>
      </c>
      <c r="BC6" s="3" t="b">
        <v>0</v>
      </c>
      <c r="BD6" s="3" t="b">
        <v>0</v>
      </c>
      <c r="BE6" s="3" t="b">
        <v>0</v>
      </c>
      <c r="BF6" s="3" t="b">
        <v>0</v>
      </c>
      <c r="BG6" s="3" t="b">
        <v>0</v>
      </c>
      <c r="BH6" s="3" t="b">
        <v>0</v>
      </c>
      <c r="BJ6" t="s">
        <v>119</v>
      </c>
    </row>
    <row r="7" spans="1:63" x14ac:dyDescent="0.3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  <c r="AY7" s="3">
        <v>24</v>
      </c>
      <c r="AZ7" s="3">
        <v>24</v>
      </c>
      <c r="BA7" s="3">
        <v>24</v>
      </c>
      <c r="BB7" s="3">
        <v>24</v>
      </c>
      <c r="BC7" s="3">
        <v>24</v>
      </c>
      <c r="BD7" s="3">
        <v>24</v>
      </c>
      <c r="BE7" s="3">
        <v>24</v>
      </c>
      <c r="BF7" s="3">
        <v>24</v>
      </c>
      <c r="BG7" s="3">
        <v>24</v>
      </c>
      <c r="BH7" s="3">
        <v>24</v>
      </c>
      <c r="BJ7" s="3">
        <f>BG10*BJ9/100+BG9*BJ11/100</f>
        <v>13532045.806827499</v>
      </c>
      <c r="BK7" s="3">
        <f>BH10*BK9/100+BH9*BK11/100</f>
        <v>4543046.5541842831</v>
      </c>
    </row>
    <row r="8" spans="1:63" x14ac:dyDescent="0.3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  <c r="AY8" s="3">
        <v>183</v>
      </c>
      <c r="AZ8" s="3">
        <v>365</v>
      </c>
      <c r="BA8" s="3">
        <v>365</v>
      </c>
      <c r="BB8" s="3">
        <v>365</v>
      </c>
      <c r="BC8" s="3">
        <v>365</v>
      </c>
      <c r="BD8" s="3">
        <v>365</v>
      </c>
      <c r="BE8" s="3">
        <v>365</v>
      </c>
      <c r="BF8" s="3">
        <v>365</v>
      </c>
      <c r="BG8" s="3">
        <v>365</v>
      </c>
      <c r="BH8" s="3">
        <v>365</v>
      </c>
      <c r="BJ8" t="s">
        <v>108</v>
      </c>
    </row>
    <row r="9" spans="1:63" x14ac:dyDescent="0.3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  <c r="AY9" s="3">
        <v>20.000000000001599</v>
      </c>
      <c r="AZ9" s="3">
        <v>20.000000000003102</v>
      </c>
      <c r="BA9" s="3">
        <v>20.000000000003102</v>
      </c>
      <c r="BB9" s="3">
        <v>20.000000000003102</v>
      </c>
      <c r="BC9" s="3">
        <v>20.000000000003102</v>
      </c>
      <c r="BD9" s="3">
        <v>20.000000000003102</v>
      </c>
      <c r="BE9" s="3">
        <v>20.000000000003102</v>
      </c>
      <c r="BF9" s="3">
        <v>20.000000000003102</v>
      </c>
      <c r="BG9" s="3">
        <v>20.000000000003102</v>
      </c>
      <c r="BH9" s="3">
        <v>20.000000000003102</v>
      </c>
      <c r="BJ9" s="14">
        <f>BG23-BH23</f>
        <v>13732381.696135998</v>
      </c>
      <c r="BK9" s="14">
        <f>BF23-BE23</f>
        <v>4567672.5717809796</v>
      </c>
    </row>
    <row r="10" spans="1:63" x14ac:dyDescent="0.3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  <c r="AY10" s="3">
        <v>80.000000000006594</v>
      </c>
      <c r="AZ10" s="3">
        <v>80.000000000012406</v>
      </c>
      <c r="BA10" s="3">
        <v>80.000000000012406</v>
      </c>
      <c r="BB10" s="3">
        <v>80.000000000012406</v>
      </c>
      <c r="BC10" s="3">
        <v>80.000000000012406</v>
      </c>
      <c r="BD10" s="3">
        <v>80.000000000012406</v>
      </c>
      <c r="BE10" s="3">
        <v>80.000000000012406</v>
      </c>
      <c r="BF10" s="3">
        <v>80.000000000012406</v>
      </c>
      <c r="BG10" s="3">
        <v>80.000000000012406</v>
      </c>
      <c r="BH10" s="3">
        <v>80.000000000012406</v>
      </c>
      <c r="BJ10" t="s">
        <v>109</v>
      </c>
    </row>
    <row r="11" spans="1:63" x14ac:dyDescent="0.3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  <c r="AY11" s="3" t="s">
        <v>78</v>
      </c>
      <c r="AZ11" s="3" t="s">
        <v>78</v>
      </c>
      <c r="BA11" s="3" t="s">
        <v>102</v>
      </c>
      <c r="BB11" s="3" t="s">
        <v>102</v>
      </c>
      <c r="BC11" s="3" t="s">
        <v>102</v>
      </c>
      <c r="BD11" s="3" t="s">
        <v>102</v>
      </c>
      <c r="BE11" s="3" t="s">
        <v>102</v>
      </c>
      <c r="BF11" s="3" t="s">
        <v>102</v>
      </c>
      <c r="BG11" s="3" t="s">
        <v>102</v>
      </c>
      <c r="BH11" s="3" t="s">
        <v>102</v>
      </c>
      <c r="BJ11" s="14">
        <f>BG24-BH24</f>
        <v>12730702.249583006</v>
      </c>
      <c r="BK11" s="14">
        <f>BF24-BE24</f>
        <v>4444542.4837939739</v>
      </c>
    </row>
    <row r="12" spans="1:63" x14ac:dyDescent="0.3">
      <c r="A12" t="s">
        <v>20</v>
      </c>
      <c r="B12" s="3" t="s">
        <v>79</v>
      </c>
      <c r="C12" s="3" t="s">
        <v>79</v>
      </c>
      <c r="D12" s="3" t="s">
        <v>79</v>
      </c>
      <c r="E12" s="3" t="s">
        <v>85</v>
      </c>
      <c r="F12" s="3" t="s">
        <v>85</v>
      </c>
      <c r="G12" s="3" t="s">
        <v>85</v>
      </c>
      <c r="H12" s="3" t="s">
        <v>79</v>
      </c>
      <c r="I12" s="3" t="s">
        <v>79</v>
      </c>
      <c r="J12" s="3" t="s">
        <v>85</v>
      </c>
      <c r="K12" s="3" t="s">
        <v>85</v>
      </c>
      <c r="L12" s="3" t="s">
        <v>85</v>
      </c>
      <c r="M12" s="3" t="s">
        <v>85</v>
      </c>
      <c r="N12" s="3" t="s">
        <v>85</v>
      </c>
      <c r="O12" s="3" t="s">
        <v>85</v>
      </c>
      <c r="P12" s="3" t="s">
        <v>85</v>
      </c>
      <c r="Q12" s="3" t="s">
        <v>85</v>
      </c>
      <c r="R12" s="3" t="s">
        <v>85</v>
      </c>
      <c r="S12" s="3" t="s">
        <v>85</v>
      </c>
      <c r="T12" s="3" t="s">
        <v>85</v>
      </c>
      <c r="U12" s="3" t="s">
        <v>85</v>
      </c>
      <c r="V12" s="3" t="s">
        <v>85</v>
      </c>
      <c r="W12" s="3" t="s">
        <v>85</v>
      </c>
      <c r="X12" s="3" t="s">
        <v>85</v>
      </c>
      <c r="Y12" s="3" t="s">
        <v>79</v>
      </c>
      <c r="Z12" s="3" t="s">
        <v>79</v>
      </c>
      <c r="AA12" s="3" t="s">
        <v>85</v>
      </c>
      <c r="AB12" s="3" t="s">
        <v>85</v>
      </c>
      <c r="AC12" s="3" t="s">
        <v>85</v>
      </c>
      <c r="AD12" s="3" t="s">
        <v>85</v>
      </c>
      <c r="AE12" s="3" t="s">
        <v>85</v>
      </c>
      <c r="AF12" s="3" t="s">
        <v>85</v>
      </c>
      <c r="AG12" s="3" t="s">
        <v>85</v>
      </c>
      <c r="AH12" s="3" t="s">
        <v>85</v>
      </c>
      <c r="AI12" s="3" t="s">
        <v>85</v>
      </c>
      <c r="AJ12" s="3" t="s">
        <v>79</v>
      </c>
      <c r="AK12" s="3" t="s">
        <v>79</v>
      </c>
      <c r="AL12" s="3" t="s">
        <v>79</v>
      </c>
      <c r="AM12" s="3" t="s">
        <v>79</v>
      </c>
      <c r="AN12" s="3" t="s">
        <v>79</v>
      </c>
      <c r="AO12" s="3" t="s">
        <v>79</v>
      </c>
      <c r="AP12" s="3" t="s">
        <v>79</v>
      </c>
      <c r="AQ12" s="3" t="s">
        <v>79</v>
      </c>
      <c r="AR12" s="3" t="s">
        <v>85</v>
      </c>
      <c r="AS12" s="3" t="s">
        <v>79</v>
      </c>
      <c r="AT12" s="3" t="s">
        <v>85</v>
      </c>
      <c r="AU12" s="3" t="s">
        <v>85</v>
      </c>
      <c r="AV12" s="3" t="s">
        <v>79</v>
      </c>
      <c r="AW12" s="3" t="s">
        <v>85</v>
      </c>
      <c r="AX12" s="3" t="s">
        <v>79</v>
      </c>
      <c r="AY12" s="3" t="s">
        <v>85</v>
      </c>
      <c r="AZ12" s="3" t="s">
        <v>85</v>
      </c>
      <c r="BA12" s="3" t="s">
        <v>85</v>
      </c>
      <c r="BB12" s="3" t="s">
        <v>79</v>
      </c>
      <c r="BC12" s="3" t="s">
        <v>85</v>
      </c>
      <c r="BD12" s="3" t="s">
        <v>79</v>
      </c>
      <c r="BE12" s="3" t="s">
        <v>85</v>
      </c>
      <c r="BF12" s="3" t="s">
        <v>79</v>
      </c>
      <c r="BG12" s="3" t="s">
        <v>79</v>
      </c>
      <c r="BH12" s="3" t="s">
        <v>85</v>
      </c>
      <c r="BJ12" t="s">
        <v>106</v>
      </c>
    </row>
    <row r="13" spans="1:63" x14ac:dyDescent="0.3">
      <c r="A13" t="s">
        <v>65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>
        <v>0</v>
      </c>
      <c r="BA13" s="3">
        <v>0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J13" s="14">
        <f>BF27-BG27</f>
        <v>38523714.222420037</v>
      </c>
      <c r="BK13" s="14">
        <f>BF27-BE27</f>
        <v>0</v>
      </c>
    </row>
    <row r="14" spans="1:63" x14ac:dyDescent="0.3">
      <c r="A14" s="1" t="s">
        <v>9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</row>
    <row r="15" spans="1:63" x14ac:dyDescent="0.3">
      <c r="A15" t="s">
        <v>67</v>
      </c>
      <c r="B15" s="3">
        <v>19914533339.040901</v>
      </c>
      <c r="C15" s="3">
        <v>19809841481.080101</v>
      </c>
      <c r="D15" s="3">
        <v>19914698719.838902</v>
      </c>
      <c r="E15" s="3">
        <v>21802857320.342499</v>
      </c>
      <c r="F15" s="3">
        <v>21810624237.791698</v>
      </c>
      <c r="G15" s="3">
        <v>17975494486.410198</v>
      </c>
      <c r="H15" s="3">
        <v>16426865420.537399</v>
      </c>
      <c r="I15" s="3">
        <v>17974426085.787498</v>
      </c>
      <c r="J15" s="3">
        <v>18593036278.072899</v>
      </c>
      <c r="K15" s="3">
        <v>76224539327.009293</v>
      </c>
      <c r="L15" s="3">
        <v>76217736292.399704</v>
      </c>
      <c r="M15" s="3">
        <v>76165214305.257706</v>
      </c>
      <c r="N15" s="3">
        <v>153032254731.38199</v>
      </c>
      <c r="O15" s="3">
        <v>383571698888.06702</v>
      </c>
      <c r="P15" s="3">
        <v>767724129880.96497</v>
      </c>
      <c r="Q15" s="3">
        <v>76124934482.425995</v>
      </c>
      <c r="R15" s="3">
        <v>76173580853.066895</v>
      </c>
      <c r="S15" s="3">
        <v>76173580853.066895</v>
      </c>
      <c r="T15" s="3">
        <v>76164262211.796997</v>
      </c>
      <c r="U15" s="3">
        <v>76172224499.505005</v>
      </c>
      <c r="V15" s="3">
        <v>76221904746.816803</v>
      </c>
      <c r="W15" s="3">
        <v>76279751670.357697</v>
      </c>
      <c r="X15" s="3">
        <v>76272374589.318405</v>
      </c>
      <c r="Y15" s="3">
        <v>76227703228.492203</v>
      </c>
      <c r="Z15" s="3">
        <v>53815076863.977097</v>
      </c>
      <c r="AA15" s="5">
        <v>76172224499.505005</v>
      </c>
      <c r="AB15" s="5">
        <v>76190255242.415695</v>
      </c>
      <c r="AC15" s="5">
        <v>76219795510.2565</v>
      </c>
      <c r="AD15" s="5">
        <v>76009855468.741898</v>
      </c>
      <c r="AE15" s="5">
        <v>76010832135.069199</v>
      </c>
      <c r="AF15" s="5">
        <v>76703210009.574402</v>
      </c>
      <c r="AG15" s="5">
        <v>76685878734.335007</v>
      </c>
      <c r="AH15" s="5">
        <v>76734526981.604401</v>
      </c>
      <c r="AI15" s="5">
        <v>75466664528.569199</v>
      </c>
      <c r="AJ15" s="5">
        <v>80348048910.696899</v>
      </c>
      <c r="AK15" s="5">
        <v>77792956759.908997</v>
      </c>
      <c r="AL15" s="5">
        <v>75489803133.828903</v>
      </c>
      <c r="AM15" s="5">
        <v>75911219997.949707</v>
      </c>
      <c r="AN15" s="5">
        <v>76144326710.2052</v>
      </c>
      <c r="AO15" s="5">
        <v>76148220420.443405</v>
      </c>
      <c r="AP15" s="5">
        <v>75773314787.084</v>
      </c>
      <c r="AQ15" s="5">
        <v>75978820499.906204</v>
      </c>
      <c r="AR15" s="5">
        <v>75782031705.381897</v>
      </c>
      <c r="AS15" s="5">
        <v>75735074506.153198</v>
      </c>
      <c r="AT15" s="5">
        <v>75995963340.847595</v>
      </c>
      <c r="AU15" s="5">
        <v>75806177393.352905</v>
      </c>
      <c r="AV15" s="5">
        <v>75790646421.535095</v>
      </c>
      <c r="AW15" s="5">
        <v>76054556803.439194</v>
      </c>
      <c r="AX15" s="5">
        <v>76036916539.554596</v>
      </c>
      <c r="AY15" s="5">
        <v>75805109783.920593</v>
      </c>
      <c r="AZ15" s="5">
        <v>76059504933.349899</v>
      </c>
      <c r="BA15" s="5">
        <v>76056090504.707596</v>
      </c>
      <c r="BB15" s="5">
        <v>76042535168.811905</v>
      </c>
      <c r="BC15" s="5">
        <v>76008537277.977295</v>
      </c>
      <c r="BD15" s="5">
        <v>76003994231.423096</v>
      </c>
      <c r="BE15" s="5">
        <v>76008537277.977295</v>
      </c>
      <c r="BF15" s="5">
        <v>76003994231.423096</v>
      </c>
      <c r="BG15" s="5">
        <v>76042668766.540298</v>
      </c>
      <c r="BH15" s="5">
        <v>76056200812.347504</v>
      </c>
      <c r="BJ15" s="14" t="s">
        <v>120</v>
      </c>
    </row>
    <row r="16" spans="1:63" x14ac:dyDescent="0.3">
      <c r="A16" t="s">
        <v>66</v>
      </c>
      <c r="B16" s="3">
        <v>15341.212288856501</v>
      </c>
      <c r="C16" s="3">
        <v>700.15005302429199</v>
      </c>
      <c r="D16" s="3">
        <v>30195.948692083301</v>
      </c>
      <c r="E16" s="3">
        <v>6552.0655179023697</v>
      </c>
      <c r="F16" s="3">
        <v>9986.4023299217206</v>
      </c>
      <c r="G16" s="3">
        <v>355.74099993705698</v>
      </c>
      <c r="H16" s="3">
        <v>2013.36700010299</v>
      </c>
      <c r="I16" s="3">
        <v>639.23342490196205</v>
      </c>
      <c r="J16" s="3">
        <v>900.37050890922501</v>
      </c>
      <c r="K16" s="3">
        <v>273.27420210838301</v>
      </c>
      <c r="L16" s="3">
        <v>896.81816506385803</v>
      </c>
      <c r="M16" s="3">
        <v>900.37372994422901</v>
      </c>
      <c r="N16" s="3">
        <v>131.198789834976</v>
      </c>
      <c r="O16" s="3">
        <v>113.707083940505</v>
      </c>
      <c r="P16" s="3">
        <v>106.06011509895301</v>
      </c>
      <c r="Q16" s="3">
        <v>153.08726406097401</v>
      </c>
      <c r="R16" s="3">
        <v>632.70238184928803</v>
      </c>
      <c r="S16" s="3">
        <v>918.17074990272499</v>
      </c>
      <c r="T16" s="3">
        <v>868.10124802589405</v>
      </c>
      <c r="U16" s="3">
        <v>252.44026494026099</v>
      </c>
      <c r="V16" s="3">
        <v>629.23786497115998</v>
      </c>
      <c r="W16" s="3">
        <v>4156.1715669631903</v>
      </c>
      <c r="X16" s="3">
        <v>12264.8970048427</v>
      </c>
      <c r="Y16" s="3">
        <v>3198.97225499153</v>
      </c>
      <c r="Z16" s="3">
        <v>28835.2907481193</v>
      </c>
      <c r="AA16" s="5">
        <v>214.88944911956699</v>
      </c>
      <c r="AB16" s="5">
        <v>7721.0674748420697</v>
      </c>
      <c r="AC16" s="5">
        <v>698.39465379714898</v>
      </c>
      <c r="AD16" s="5">
        <v>1511.50255513191</v>
      </c>
      <c r="AE16" s="5">
        <v>7202.4497830867704</v>
      </c>
      <c r="AF16" s="5">
        <v>274.04798603057799</v>
      </c>
      <c r="AG16" s="5">
        <v>51.221930027008</v>
      </c>
      <c r="AH16" s="5">
        <v>358.34765005111598</v>
      </c>
      <c r="AI16" s="5">
        <v>82.082669973373399</v>
      </c>
      <c r="AJ16" s="5">
        <v>33.474738836288402</v>
      </c>
      <c r="AK16" s="5">
        <v>91.536086797714205</v>
      </c>
      <c r="AL16" s="5">
        <v>609.251305103302</v>
      </c>
      <c r="AM16" s="5">
        <v>1369.1989958286199</v>
      </c>
      <c r="AN16" s="5">
        <v>3760.6898629665302</v>
      </c>
      <c r="AO16" s="5">
        <v>4332.8456928730002</v>
      </c>
      <c r="AP16" s="5">
        <v>13099.7239570617</v>
      </c>
      <c r="AQ16" s="5">
        <v>41532.982882022799</v>
      </c>
      <c r="AR16" s="5">
        <v>176.44134807586599</v>
      </c>
      <c r="AS16" s="5">
        <v>119.42701101303101</v>
      </c>
      <c r="AT16" s="5">
        <v>390.318123102188</v>
      </c>
      <c r="AU16" s="5">
        <v>254.60152578353799</v>
      </c>
      <c r="AV16" s="5">
        <v>264.71024703979401</v>
      </c>
      <c r="AW16" s="5">
        <v>2050.3553199767998</v>
      </c>
      <c r="AX16" s="5">
        <v>718.28705191612198</v>
      </c>
      <c r="AY16" s="5">
        <v>2271.0799810886301</v>
      </c>
      <c r="AZ16" s="5">
        <v>5864.1845259666397</v>
      </c>
      <c r="BA16" s="5">
        <v>3874.6648027896799</v>
      </c>
      <c r="BB16" s="5">
        <v>2720.983689785</v>
      </c>
      <c r="BC16" s="3">
        <v>32.641910791397002</v>
      </c>
      <c r="BD16" s="3">
        <v>25.8672258853912</v>
      </c>
      <c r="BE16" s="3">
        <v>13.968295097351</v>
      </c>
      <c r="BF16" s="3">
        <v>9.6783800125121999</v>
      </c>
      <c r="BG16" s="3">
        <v>1302.3335788249899</v>
      </c>
      <c r="BH16" s="3">
        <v>2997.5191881656601</v>
      </c>
      <c r="BJ16" s="14">
        <f>BJ7</f>
        <v>13532045.806827499</v>
      </c>
      <c r="BK16" s="14">
        <f>BK7</f>
        <v>4543046.5541842831</v>
      </c>
    </row>
    <row r="17" spans="1:63" x14ac:dyDescent="0.3">
      <c r="A17" t="s">
        <v>80</v>
      </c>
      <c r="B17" s="3">
        <v>5.0159819466078998E-3</v>
      </c>
      <c r="C17" s="3">
        <v>9.8979050308841496E-3</v>
      </c>
      <c r="D17" s="3">
        <v>5.7506383446094596E-3</v>
      </c>
      <c r="E17" s="3">
        <v>5.1153643556451998E-3</v>
      </c>
      <c r="F17" s="3">
        <v>6.7193071307100902E-3</v>
      </c>
      <c r="G17" s="3">
        <v>7.0103128127448901E-4</v>
      </c>
      <c r="H17" s="3">
        <v>3.0872638561538399E-3</v>
      </c>
      <c r="I17" s="3">
        <v>7.9187216723792002E-4</v>
      </c>
      <c r="J17" s="3">
        <v>0.46124892082726399</v>
      </c>
      <c r="K17" s="3">
        <v>8.9406250560400302E-2</v>
      </c>
      <c r="L17" s="3">
        <v>5.36780805316764E-2</v>
      </c>
      <c r="M17" s="3">
        <v>0.13957344871392799</v>
      </c>
      <c r="N17" s="3">
        <v>7.2096942926495294E-2</v>
      </c>
      <c r="O17" s="3">
        <v>3.6623316735996697E-2</v>
      </c>
      <c r="P17" s="3">
        <v>3.6270064287868303E-2</v>
      </c>
      <c r="Q17" s="3">
        <v>0.17372019824815901</v>
      </c>
      <c r="R17" s="3">
        <v>8.7765403753448906E-2</v>
      </c>
      <c r="S17" s="3">
        <v>8.7664105567513195E-2</v>
      </c>
      <c r="T17" s="3">
        <v>9.1096398205322393E-2</v>
      </c>
      <c r="U17" s="3">
        <v>9.0839974476340596E-2</v>
      </c>
      <c r="V17" s="3">
        <v>9.0134151442800597E-2</v>
      </c>
      <c r="W17" s="3">
        <v>5.15270011449772E-2</v>
      </c>
      <c r="X17" s="3">
        <v>6.9087570613454705E-2</v>
      </c>
      <c r="Y17" s="3">
        <v>7.9086900279371902E-2</v>
      </c>
      <c r="Z17" s="3">
        <v>41.816229661111997</v>
      </c>
      <c r="AA17" s="5">
        <v>9.0839974476340596E-2</v>
      </c>
      <c r="AB17" s="5">
        <v>9.7156968396968094E-2</v>
      </c>
      <c r="AC17" s="5">
        <v>9.9384278111478597E-2</v>
      </c>
      <c r="AD17" s="5">
        <v>8.6299951014144199E-2</v>
      </c>
      <c r="AE17" s="5">
        <v>0.111294348732161</v>
      </c>
      <c r="AF17" s="5">
        <v>9.4278487706546302E-2</v>
      </c>
      <c r="AG17" s="5">
        <v>9.9899615685289295E-2</v>
      </c>
      <c r="AH17" s="5">
        <v>5.2792080663985198E-2</v>
      </c>
      <c r="AI17" s="5">
        <v>8.5320634778948398E-2</v>
      </c>
      <c r="AJ17" s="5">
        <v>6.2993654033391203E-2</v>
      </c>
      <c r="AK17" s="5">
        <v>9.8230637327631695E-2</v>
      </c>
      <c r="AL17" s="5">
        <v>7.2780797586374193E-2</v>
      </c>
      <c r="AM17" s="5">
        <v>9.1965468685320698E-2</v>
      </c>
      <c r="AN17" s="5">
        <v>9.1867765788054501E-2</v>
      </c>
      <c r="AO17" s="5">
        <v>9.9240102473112699E-2</v>
      </c>
      <c r="AP17" s="5">
        <v>9.7016347395388794E-2</v>
      </c>
      <c r="AQ17" s="5">
        <v>0.172875483053822</v>
      </c>
      <c r="AR17" s="5">
        <v>5.1328254728459602E-2</v>
      </c>
      <c r="AS17" s="5">
        <v>9.7308277561418896E-2</v>
      </c>
      <c r="AT17" s="5">
        <v>9.8112912386183096E-2</v>
      </c>
      <c r="AU17" s="5">
        <v>5.7470911815349201E-3</v>
      </c>
      <c r="AV17" s="5">
        <v>4.0122701148495301E-3</v>
      </c>
      <c r="AW17" s="5">
        <v>7.3808074722430004E-3</v>
      </c>
      <c r="AX17" s="5">
        <v>9.8871127009175202E-3</v>
      </c>
      <c r="AY17" s="5">
        <v>9.7384256526910195E-3</v>
      </c>
      <c r="AZ17" s="3">
        <v>1.35094521307029E-3</v>
      </c>
      <c r="BA17" s="3">
        <v>4.8822517031525502E-4</v>
      </c>
      <c r="BB17" s="3">
        <v>2.8201050966829999E-4</v>
      </c>
      <c r="BC17" s="3">
        <v>0</v>
      </c>
      <c r="BD17" s="3">
        <v>4.0387927972019303E-6</v>
      </c>
      <c r="BE17" s="3">
        <v>0</v>
      </c>
      <c r="BF17" s="3">
        <v>3.2218444283797901E-6</v>
      </c>
      <c r="BG17" s="3">
        <v>2.8486122333844401E-5</v>
      </c>
      <c r="BH17" s="3">
        <v>2.1089876990466498E-5</v>
      </c>
      <c r="BJ17" s="3"/>
    </row>
    <row r="18" spans="1:63" x14ac:dyDescent="0.3">
      <c r="A18" t="s">
        <v>83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J18" s="3" t="s">
        <v>123</v>
      </c>
      <c r="BK18" t="s">
        <v>132</v>
      </c>
    </row>
    <row r="19" spans="1:63" x14ac:dyDescent="0.3">
      <c r="A19" t="s">
        <v>97</v>
      </c>
      <c r="B19" s="3">
        <v>60.420364466636798</v>
      </c>
      <c r="C19" s="3" t="s">
        <v>84</v>
      </c>
      <c r="D19" s="3">
        <v>60.453825953486898</v>
      </c>
      <c r="E19" s="3">
        <v>136.32216282309801</v>
      </c>
      <c r="F19" s="3">
        <v>249.106177578238</v>
      </c>
      <c r="G19" s="3" t="s">
        <v>84</v>
      </c>
      <c r="H19" s="3" t="s">
        <v>84</v>
      </c>
      <c r="I19" s="3" t="s">
        <v>84</v>
      </c>
      <c r="J19" s="3" t="s">
        <v>84</v>
      </c>
      <c r="K19" s="3" t="s">
        <v>84</v>
      </c>
      <c r="L19" s="3" t="s">
        <v>84</v>
      </c>
      <c r="M19" s="3" t="s">
        <v>84</v>
      </c>
      <c r="N19" s="3" t="s">
        <v>84</v>
      </c>
      <c r="O19" s="3" t="s">
        <v>84</v>
      </c>
      <c r="P19" s="3" t="s">
        <v>84</v>
      </c>
      <c r="Q19" s="3" t="s">
        <v>84</v>
      </c>
      <c r="R19" s="3" t="s">
        <v>84</v>
      </c>
      <c r="S19" s="3" t="s">
        <v>84</v>
      </c>
      <c r="T19" s="3" t="s">
        <v>84</v>
      </c>
      <c r="U19" s="3" t="s">
        <v>84</v>
      </c>
      <c r="V19" s="3" t="s">
        <v>84</v>
      </c>
      <c r="W19" s="3" t="s">
        <v>84</v>
      </c>
      <c r="X19" s="3" t="s">
        <v>84</v>
      </c>
      <c r="Y19" s="3" t="s">
        <v>84</v>
      </c>
      <c r="Z19" s="3" t="s">
        <v>84</v>
      </c>
      <c r="AA19" s="3">
        <v>0</v>
      </c>
      <c r="AB19" s="3">
        <v>149.99999999999699</v>
      </c>
      <c r="AC19" s="3">
        <v>366.00000000000301</v>
      </c>
      <c r="AD19" s="3">
        <v>0</v>
      </c>
      <c r="AE19" s="3">
        <v>109.615384615382</v>
      </c>
      <c r="AF19" s="3">
        <v>86.538461538461306</v>
      </c>
      <c r="AG19" s="3">
        <v>0</v>
      </c>
      <c r="AH19" s="3">
        <v>294.807692307693</v>
      </c>
      <c r="AI19" s="3">
        <v>109.615384615384</v>
      </c>
      <c r="AJ19" s="3">
        <v>0.48793109975197602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150.00000000000099</v>
      </c>
      <c r="AS19" s="3">
        <v>0</v>
      </c>
      <c r="AT19" s="3">
        <v>86.5384615384597</v>
      </c>
      <c r="AU19" s="3">
        <v>150</v>
      </c>
      <c r="AV19" s="3">
        <v>0</v>
      </c>
      <c r="AW19" s="3">
        <v>149.99999999999901</v>
      </c>
      <c r="AX19" s="3">
        <v>0</v>
      </c>
      <c r="AY19" s="3">
        <v>150.00000000000099</v>
      </c>
      <c r="AZ19" s="3">
        <v>149.99999999999801</v>
      </c>
      <c r="BA19" s="3">
        <v>149.99999999999801</v>
      </c>
      <c r="BB19" s="3">
        <v>0</v>
      </c>
      <c r="BC19" s="3">
        <v>86.5384615384597</v>
      </c>
      <c r="BD19" s="3">
        <v>0</v>
      </c>
      <c r="BE19" s="3">
        <v>86.5384615384597</v>
      </c>
      <c r="BF19" s="3">
        <v>0</v>
      </c>
      <c r="BG19" s="3">
        <v>0</v>
      </c>
      <c r="BH19" s="3">
        <v>149.99999999999699</v>
      </c>
      <c r="BJ19" s="14">
        <f>'250718_investment'!L5</f>
        <v>180.68099999996281</v>
      </c>
      <c r="BK19" s="3">
        <f>BJ13/(BJ16-BK16)</f>
        <v>4.2856510652275484</v>
      </c>
    </row>
    <row r="20" spans="1:63" x14ac:dyDescent="0.3">
      <c r="A20" t="s">
        <v>98</v>
      </c>
      <c r="B20" s="3">
        <v>117.511996639882</v>
      </c>
      <c r="C20" s="3" t="s">
        <v>84</v>
      </c>
      <c r="D20" s="3">
        <v>121.52741218059001</v>
      </c>
      <c r="E20" s="3">
        <v>150.00000000000301</v>
      </c>
      <c r="F20" s="3">
        <v>366.000000000017</v>
      </c>
      <c r="G20" s="3" t="s">
        <v>84</v>
      </c>
      <c r="H20" s="3" t="s">
        <v>84</v>
      </c>
      <c r="I20" s="3" t="s">
        <v>84</v>
      </c>
      <c r="J20" s="3" t="s">
        <v>84</v>
      </c>
      <c r="K20" s="3" t="s">
        <v>84</v>
      </c>
      <c r="L20" s="3" t="s">
        <v>84</v>
      </c>
      <c r="M20" s="3" t="s">
        <v>84</v>
      </c>
      <c r="N20" s="3" t="s">
        <v>84</v>
      </c>
      <c r="O20" s="3" t="s">
        <v>84</v>
      </c>
      <c r="P20" s="3" t="s">
        <v>84</v>
      </c>
      <c r="Q20" s="3" t="s">
        <v>84</v>
      </c>
      <c r="R20" s="3" t="s">
        <v>84</v>
      </c>
      <c r="S20" s="3" t="s">
        <v>84</v>
      </c>
      <c r="T20" s="3" t="s">
        <v>84</v>
      </c>
      <c r="U20" s="3" t="s">
        <v>84</v>
      </c>
      <c r="V20" s="3" t="s">
        <v>84</v>
      </c>
      <c r="W20" s="3" t="s">
        <v>84</v>
      </c>
      <c r="X20" s="3" t="s">
        <v>84</v>
      </c>
      <c r="Y20" s="3" t="s">
        <v>84</v>
      </c>
      <c r="Z20" s="3" t="s">
        <v>84</v>
      </c>
      <c r="AA20" s="3">
        <v>0</v>
      </c>
      <c r="AB20" s="3">
        <v>149.99999999999901</v>
      </c>
      <c r="AC20" s="3">
        <v>366.00000000001199</v>
      </c>
      <c r="AD20" s="3">
        <v>0</v>
      </c>
      <c r="AE20" s="3">
        <v>149.99999999999901</v>
      </c>
      <c r="AF20" s="3">
        <v>149.99999999999901</v>
      </c>
      <c r="AG20" s="3">
        <v>0</v>
      </c>
      <c r="AH20" s="3">
        <v>365.00000000000603</v>
      </c>
      <c r="AI20" s="3">
        <v>150</v>
      </c>
      <c r="AJ20" s="3">
        <v>6.0224303966438102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150.00000000000199</v>
      </c>
      <c r="AS20" s="3">
        <v>0</v>
      </c>
      <c r="AT20" s="3">
        <v>149.99999999999599</v>
      </c>
      <c r="AU20" s="3">
        <v>150.00000000000199</v>
      </c>
      <c r="AV20" s="3">
        <v>0</v>
      </c>
      <c r="AW20" s="3">
        <v>150.000000000005</v>
      </c>
      <c r="AX20" s="3">
        <v>0</v>
      </c>
      <c r="AY20" s="3">
        <v>150.00000000000199</v>
      </c>
      <c r="AZ20" s="3">
        <v>150.00000000000199</v>
      </c>
      <c r="BA20" s="3">
        <v>150.00000000000401</v>
      </c>
      <c r="BB20" s="3">
        <v>0</v>
      </c>
      <c r="BC20" s="3">
        <v>149.99999999999599</v>
      </c>
      <c r="BD20" s="3">
        <v>0</v>
      </c>
      <c r="BE20" s="3">
        <v>149.99999999999599</v>
      </c>
      <c r="BF20" s="3">
        <v>0</v>
      </c>
      <c r="BG20" s="3">
        <v>0</v>
      </c>
      <c r="BH20" s="3">
        <v>150.000000000005</v>
      </c>
    </row>
    <row r="21" spans="1:63" x14ac:dyDescent="0.3">
      <c r="A21" t="s">
        <v>99</v>
      </c>
      <c r="B21" s="3">
        <v>75.955726389845793</v>
      </c>
      <c r="C21" s="3" t="s">
        <v>84</v>
      </c>
      <c r="D21" s="3">
        <v>77.744130515221698</v>
      </c>
      <c r="E21" s="3">
        <v>127.609476445046</v>
      </c>
      <c r="F21" s="3">
        <v>212.36105235593601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293.509213550651</v>
      </c>
      <c r="AI21" s="3">
        <v>109.615384615384</v>
      </c>
      <c r="AJ21" s="3">
        <v>15.436822181531699</v>
      </c>
      <c r="AK21" s="3">
        <v>10.3403818266356</v>
      </c>
      <c r="AL21" s="3">
        <v>4.64137485285893</v>
      </c>
      <c r="AM21" s="3">
        <v>17.138369690872</v>
      </c>
      <c r="AN21" s="3">
        <v>7.4963002476406704</v>
      </c>
      <c r="AO21" s="3">
        <v>11.216330059432501</v>
      </c>
      <c r="AP21" s="3">
        <v>9.8119212302309293</v>
      </c>
      <c r="AQ21" s="3">
        <v>3.8172441275996301E-3</v>
      </c>
      <c r="AR21" s="3">
        <v>150.00000000000099</v>
      </c>
      <c r="AS21" s="3">
        <v>1.9073996655494E-3</v>
      </c>
      <c r="AT21" s="3">
        <v>86.5384615384597</v>
      </c>
      <c r="AU21" s="3">
        <v>150</v>
      </c>
      <c r="AV21" s="3">
        <v>3.69933259123076</v>
      </c>
      <c r="AW21" s="3">
        <v>149.99999999999901</v>
      </c>
      <c r="AX21" s="3">
        <v>3.2362526863760599</v>
      </c>
      <c r="AY21" s="3">
        <v>150.00000000000099</v>
      </c>
      <c r="AZ21" s="3">
        <v>149.99999999999801</v>
      </c>
      <c r="BA21" s="3">
        <v>149.99999999999801</v>
      </c>
      <c r="BB21" s="3">
        <v>3.4608016950840002</v>
      </c>
      <c r="BC21" s="3">
        <v>86.5384615384597</v>
      </c>
      <c r="BD21" s="3">
        <v>0.845569723151255</v>
      </c>
      <c r="BE21" s="3">
        <v>86.5384615384597</v>
      </c>
      <c r="BF21" s="3">
        <v>0.845569723151255</v>
      </c>
      <c r="BG21" s="3">
        <v>3.51403103384777</v>
      </c>
      <c r="BH21" s="3">
        <v>149.99999999999699</v>
      </c>
      <c r="BJ21" t="s">
        <v>127</v>
      </c>
    </row>
    <row r="22" spans="1:63" x14ac:dyDescent="0.3">
      <c r="A22" t="s">
        <v>100</v>
      </c>
      <c r="B22" s="3">
        <v>149.99999999999699</v>
      </c>
      <c r="C22" s="3" t="s">
        <v>84</v>
      </c>
      <c r="D22" s="3">
        <v>152.83528225048701</v>
      </c>
      <c r="E22" s="3">
        <v>150</v>
      </c>
      <c r="F22" s="3">
        <v>366.00000000001398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150</v>
      </c>
      <c r="AG22" s="3">
        <v>0</v>
      </c>
      <c r="AH22" s="3">
        <v>365.00000000000603</v>
      </c>
      <c r="AI22" s="3">
        <v>150</v>
      </c>
      <c r="AJ22" s="3">
        <v>49.066885964912203</v>
      </c>
      <c r="AK22" s="3">
        <v>23.3202108064011</v>
      </c>
      <c r="AL22" s="3">
        <v>21.4589170203731</v>
      </c>
      <c r="AM22" s="3">
        <v>45.325050155681502</v>
      </c>
      <c r="AN22" s="3">
        <v>27.8075629489603</v>
      </c>
      <c r="AO22" s="3">
        <v>28.0804315784784</v>
      </c>
      <c r="AP22" s="3">
        <v>26.134002474785699</v>
      </c>
      <c r="AQ22" s="3">
        <v>9.9248347317590593E-2</v>
      </c>
      <c r="AR22" s="3">
        <v>150.00000000000199</v>
      </c>
      <c r="AS22" s="3">
        <v>4.9592391304284597E-2</v>
      </c>
      <c r="AT22" s="3">
        <v>149.99999999999599</v>
      </c>
      <c r="AU22" s="3">
        <v>150.00000000000199</v>
      </c>
      <c r="AV22" s="3">
        <v>8.4255329488747801</v>
      </c>
      <c r="AW22" s="3">
        <v>150.000000000005</v>
      </c>
      <c r="AX22" s="3">
        <v>7.7939723320161498</v>
      </c>
      <c r="AY22" s="3">
        <v>150.00000000000199</v>
      </c>
      <c r="AZ22" s="3">
        <v>150.00000000000199</v>
      </c>
      <c r="BA22" s="3">
        <v>150.00000000000401</v>
      </c>
      <c r="BB22" s="3">
        <v>7.6368224929282302</v>
      </c>
      <c r="BC22" s="3">
        <v>149.99999999999599</v>
      </c>
      <c r="BD22" s="3">
        <v>1.97756483600307</v>
      </c>
      <c r="BE22" s="3">
        <v>149.99999999999599</v>
      </c>
      <c r="BF22" s="3">
        <v>1.97756483600307</v>
      </c>
      <c r="BG22" s="3">
        <v>7.6368224929280597</v>
      </c>
      <c r="BH22" s="3">
        <v>150.00000000000401</v>
      </c>
      <c r="BJ22" s="5">
        <f>(BJ16-BK16)/BJ19/1000</f>
        <v>49.750661401282187</v>
      </c>
    </row>
    <row r="23" spans="1:63" x14ac:dyDescent="0.3">
      <c r="A23" t="s">
        <v>68</v>
      </c>
      <c r="B23" s="3">
        <v>2276815636.0092702</v>
      </c>
      <c r="C23" s="3">
        <v>2256215991.8481898</v>
      </c>
      <c r="D23" s="3">
        <v>2277144130.8397799</v>
      </c>
      <c r="E23" s="3">
        <v>695164386.753407</v>
      </c>
      <c r="F23" s="3">
        <v>688058509.35971904</v>
      </c>
      <c r="G23" s="3">
        <v>781249111.00424302</v>
      </c>
      <c r="H23" s="3">
        <v>2254809792.5641699</v>
      </c>
      <c r="I23" s="3">
        <v>782559226.24499905</v>
      </c>
      <c r="J23" s="3">
        <v>330621930.02920002</v>
      </c>
      <c r="K23" s="3">
        <v>331006591.66265798</v>
      </c>
      <c r="L23" s="3">
        <v>330994041.82959598</v>
      </c>
      <c r="M23" s="3">
        <v>330994041.82959598</v>
      </c>
      <c r="N23" s="3">
        <v>330994041.82959598</v>
      </c>
      <c r="O23" s="3">
        <v>330994041.82959598</v>
      </c>
      <c r="P23" s="3">
        <v>330994041.82959598</v>
      </c>
      <c r="Q23" s="3">
        <v>329990111.97349298</v>
      </c>
      <c r="R23" s="3">
        <v>329962306.48000401</v>
      </c>
      <c r="S23" s="3">
        <v>329962306.48000401</v>
      </c>
      <c r="T23" s="3">
        <v>327936407.60196102</v>
      </c>
      <c r="U23" s="3">
        <v>329802700.98608899</v>
      </c>
      <c r="V23" s="3">
        <v>330611517.45265698</v>
      </c>
      <c r="W23" s="3">
        <v>322874126.04612899</v>
      </c>
      <c r="X23" s="3">
        <v>316523181.08404899</v>
      </c>
      <c r="Y23" s="3">
        <v>331771021.28870797</v>
      </c>
      <c r="Z23" s="3">
        <v>260665530.39608899</v>
      </c>
      <c r="AA23" s="3">
        <v>329802700.98608899</v>
      </c>
      <c r="AB23" s="3">
        <v>311781514.42136002</v>
      </c>
      <c r="AC23" s="3">
        <v>294068403.80888098</v>
      </c>
      <c r="AD23" s="3">
        <v>328055343.473961</v>
      </c>
      <c r="AE23" s="3">
        <v>321781422.91922402</v>
      </c>
      <c r="AF23" s="3">
        <v>342347551.07335502</v>
      </c>
      <c r="AG23" s="3">
        <v>346789114.358648</v>
      </c>
      <c r="AH23" s="3">
        <v>338250676.99282497</v>
      </c>
      <c r="AI23" s="3">
        <v>341095916.39237797</v>
      </c>
      <c r="AJ23" s="3">
        <v>445384864.54277402</v>
      </c>
      <c r="AK23" s="3">
        <v>431447564.16910702</v>
      </c>
      <c r="AL23" s="3">
        <v>351808996.53383201</v>
      </c>
      <c r="AM23" s="3">
        <v>333523585.99850601</v>
      </c>
      <c r="AN23" s="3">
        <v>380189251.57179201</v>
      </c>
      <c r="AO23" s="3">
        <v>326831944.91225201</v>
      </c>
      <c r="AP23" s="3">
        <v>341287726.17254299</v>
      </c>
      <c r="AQ23" s="3">
        <v>331464587.11156601</v>
      </c>
      <c r="AR23" s="3">
        <v>321195123.62479901</v>
      </c>
      <c r="AS23" s="3">
        <v>341287726.17254299</v>
      </c>
      <c r="AT23" s="3">
        <v>326896914.53985</v>
      </c>
      <c r="AU23" s="3">
        <v>325908952.656555</v>
      </c>
      <c r="AV23" s="3">
        <v>341287726.17254299</v>
      </c>
      <c r="AW23" s="3">
        <v>317355520.34808803</v>
      </c>
      <c r="AX23" s="3">
        <v>331464587.11163098</v>
      </c>
      <c r="AY23" s="3">
        <v>325141274.67285299</v>
      </c>
      <c r="AZ23" s="3">
        <v>317366318.5079</v>
      </c>
      <c r="BA23" s="3">
        <v>317710687.31554198</v>
      </c>
      <c r="BB23" s="3">
        <v>331464587.11163098</v>
      </c>
      <c r="BC23" s="3">
        <v>326896914.53985</v>
      </c>
      <c r="BD23" s="3">
        <v>331464587.11163098</v>
      </c>
      <c r="BE23" s="3">
        <v>326896914.53985</v>
      </c>
      <c r="BF23" s="3">
        <v>331464587.11163098</v>
      </c>
      <c r="BG23" s="3">
        <v>331464587.11163098</v>
      </c>
      <c r="BH23" s="3">
        <v>317732205.41549498</v>
      </c>
    </row>
    <row r="24" spans="1:63" x14ac:dyDescent="0.3">
      <c r="A24" t="s">
        <v>69</v>
      </c>
      <c r="B24" s="3">
        <v>2314736549.2487898</v>
      </c>
      <c r="C24" s="3">
        <v>2281123150.7440901</v>
      </c>
      <c r="D24" s="3">
        <v>2313654764.43961</v>
      </c>
      <c r="E24" s="3">
        <v>1558489537.16799</v>
      </c>
      <c r="F24" s="3">
        <v>1546565315.5455699</v>
      </c>
      <c r="G24" s="3">
        <v>1552886671.3623099</v>
      </c>
      <c r="H24" s="3">
        <v>2280278499.1943102</v>
      </c>
      <c r="I24" s="3">
        <v>1552464869.32584</v>
      </c>
      <c r="J24" s="3">
        <v>358593463.57974303</v>
      </c>
      <c r="K24" s="3">
        <v>359443995.13158298</v>
      </c>
      <c r="L24" s="3">
        <v>330184107.53514099</v>
      </c>
      <c r="M24" s="3">
        <v>330791618.59320599</v>
      </c>
      <c r="N24" s="3">
        <v>330795394.83175099</v>
      </c>
      <c r="O24" s="3">
        <v>330894906.50536197</v>
      </c>
      <c r="P24" s="3">
        <v>330818140.491925</v>
      </c>
      <c r="Q24" s="3">
        <v>370935323.57837898</v>
      </c>
      <c r="R24" s="3">
        <v>331270901.09938103</v>
      </c>
      <c r="S24" s="3">
        <v>331270901.09938103</v>
      </c>
      <c r="T24" s="3">
        <v>502522863.426009</v>
      </c>
      <c r="U24" s="3">
        <v>331373976.621975</v>
      </c>
      <c r="V24" s="3">
        <v>404450931.45313901</v>
      </c>
      <c r="W24" s="3">
        <v>344280244.53454697</v>
      </c>
      <c r="X24" s="3">
        <v>320055008.37155902</v>
      </c>
      <c r="Y24" s="3">
        <v>344343230.45489401</v>
      </c>
      <c r="Z24" s="3">
        <v>162304542.981278</v>
      </c>
      <c r="AA24" s="3">
        <v>331373976.621975</v>
      </c>
      <c r="AB24" s="3">
        <v>314094436.03966099</v>
      </c>
      <c r="AC24" s="3">
        <v>294404965.476376</v>
      </c>
      <c r="AD24" s="3">
        <v>502640836.17179698</v>
      </c>
      <c r="AE24" s="3">
        <v>332518319.14445502</v>
      </c>
      <c r="AF24" s="3">
        <v>362832966.49123698</v>
      </c>
      <c r="AG24" s="3">
        <v>348605505.75335002</v>
      </c>
      <c r="AH24" s="3">
        <v>363484144.10867101</v>
      </c>
      <c r="AI24" s="3">
        <v>362229658.04327297</v>
      </c>
      <c r="AJ24" s="3">
        <v>536021286.85959601</v>
      </c>
      <c r="AK24" s="3">
        <v>460586779.718243</v>
      </c>
      <c r="AL24" s="3">
        <v>355012188.52074897</v>
      </c>
      <c r="AM24" s="3">
        <v>350361321.09619802</v>
      </c>
      <c r="AN24" s="3">
        <v>379594776.64917201</v>
      </c>
      <c r="AO24" s="3">
        <v>329099395.46098399</v>
      </c>
      <c r="AP24" s="3">
        <v>341869994.67594999</v>
      </c>
      <c r="AQ24" s="3">
        <v>331470220.01673001</v>
      </c>
      <c r="AR24" s="3">
        <v>321368757.37180197</v>
      </c>
      <c r="AS24" s="3">
        <v>341287804.88261598</v>
      </c>
      <c r="AT24" s="3">
        <v>326897074.889341</v>
      </c>
      <c r="AU24" s="3">
        <v>326054995.69194901</v>
      </c>
      <c r="AV24" s="3">
        <v>339864580.35255897</v>
      </c>
      <c r="AW24" s="3">
        <v>317483522.54990101</v>
      </c>
      <c r="AX24" s="3">
        <v>330594342.69532299</v>
      </c>
      <c r="AY24" s="3">
        <v>325265666.21797502</v>
      </c>
      <c r="AZ24" s="3">
        <v>317494578.07677799</v>
      </c>
      <c r="BA24" s="3">
        <v>317835911.64261001</v>
      </c>
      <c r="BB24" s="3">
        <v>330596991.93365598</v>
      </c>
      <c r="BC24" s="3">
        <v>326897758.52137703</v>
      </c>
      <c r="BD24" s="3">
        <v>331342301.005171</v>
      </c>
      <c r="BE24" s="3">
        <v>326897758.52137703</v>
      </c>
      <c r="BF24" s="3">
        <v>331342301.005171</v>
      </c>
      <c r="BG24" s="3">
        <v>330588196.53068</v>
      </c>
      <c r="BH24" s="3">
        <v>317857494.28109699</v>
      </c>
      <c r="BJ24" t="s">
        <v>126</v>
      </c>
    </row>
    <row r="25" spans="1:63" x14ac:dyDescent="0.3">
      <c r="A25" t="s">
        <v>71</v>
      </c>
      <c r="B25" s="3">
        <v>16882345.0438595</v>
      </c>
      <c r="C25" s="3">
        <v>41060829.7149124</v>
      </c>
      <c r="D25" s="3">
        <v>15874476.1923769</v>
      </c>
      <c r="E25" s="3">
        <v>2344171.40350876</v>
      </c>
      <c r="F25" s="3">
        <v>2520216.1403508801</v>
      </c>
      <c r="G25" s="3">
        <v>4910932.8070173999</v>
      </c>
      <c r="H25" s="3">
        <v>52885090.855262503</v>
      </c>
      <c r="I25" s="3">
        <v>4910932.8070171699</v>
      </c>
      <c r="J25" s="3">
        <v>8056899.64912281</v>
      </c>
      <c r="K25" s="3">
        <v>4.1389114358025803E-8</v>
      </c>
      <c r="L25" s="3">
        <v>3.7125857943465202E-8</v>
      </c>
      <c r="M25" s="3">
        <v>3.14415160573844E-8</v>
      </c>
      <c r="N25" s="3">
        <v>6.28830321147688E-8</v>
      </c>
      <c r="O25" s="3">
        <v>1.5720758028692201E-7</v>
      </c>
      <c r="P25" s="3">
        <v>3.1441516057384401E-7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3.14415160573844E-8</v>
      </c>
      <c r="W25" s="3">
        <v>3.14415160573844E-8</v>
      </c>
      <c r="X25" s="3">
        <v>3.1157298963080301E-8</v>
      </c>
      <c r="Y25" s="3">
        <v>1.9575452370190701E-8</v>
      </c>
      <c r="Z25" s="3">
        <v>16985244411.447201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J25" s="15">
        <f>BJ22/8</f>
        <v>6.2188326751602734</v>
      </c>
    </row>
    <row r="26" spans="1:63" x14ac:dyDescent="0.3">
      <c r="A26" t="s">
        <v>70</v>
      </c>
      <c r="B26" s="3">
        <v>53005356.477268197</v>
      </c>
      <c r="C26" s="3">
        <v>143139719.29824501</v>
      </c>
      <c r="D26" s="3">
        <v>62065398.029189803</v>
      </c>
      <c r="E26" s="3">
        <v>50075728.700554296</v>
      </c>
      <c r="F26" s="3">
        <v>66086422.465755902</v>
      </c>
      <c r="G26" s="3">
        <v>292109571.36183399</v>
      </c>
      <c r="H26" s="3">
        <v>150615745.52630201</v>
      </c>
      <c r="I26" s="3">
        <v>296474483.20394403</v>
      </c>
      <c r="J26" s="3">
        <v>546027524.90788198</v>
      </c>
      <c r="K26" s="3">
        <v>449542641.58762902</v>
      </c>
      <c r="L26" s="3">
        <v>67318308.771929905</v>
      </c>
      <c r="M26" s="3">
        <v>46014033.429824598</v>
      </c>
      <c r="N26" s="3">
        <v>92028066.859649196</v>
      </c>
      <c r="O26" s="3">
        <v>139576972.017544</v>
      </c>
      <c r="P26" s="3">
        <v>332914698.42105299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261717013.51757899</v>
      </c>
      <c r="W26" s="3">
        <v>221174537.903456</v>
      </c>
      <c r="X26" s="3">
        <v>50141214.087810501</v>
      </c>
      <c r="Y26" s="3">
        <v>78993762.5350862</v>
      </c>
      <c r="Z26" s="3">
        <v>46062139636.980499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>
        <v>0</v>
      </c>
      <c r="BA26" s="3">
        <v>0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</row>
    <row r="27" spans="1:63" x14ac:dyDescent="0.3">
      <c r="A27" t="s">
        <v>72</v>
      </c>
      <c r="B27" s="3">
        <v>375804542.65472698</v>
      </c>
      <c r="C27" s="3">
        <v>465613367.24283397</v>
      </c>
      <c r="D27" s="3">
        <v>374722884.53010398</v>
      </c>
      <c r="E27" s="3">
        <v>235505312.222462</v>
      </c>
      <c r="F27" s="3">
        <v>233850933.002204</v>
      </c>
      <c r="G27" s="3">
        <v>241231766.574619</v>
      </c>
      <c r="H27" s="3">
        <v>455453360.36141002</v>
      </c>
      <c r="I27" s="3">
        <v>240463453.04391801</v>
      </c>
      <c r="J27" s="3">
        <v>169749997.06638101</v>
      </c>
      <c r="K27" s="3">
        <v>207472218.63668799</v>
      </c>
      <c r="L27" s="3">
        <v>276629624.84891802</v>
      </c>
      <c r="M27" s="3">
        <v>339499994.13276303</v>
      </c>
      <c r="N27" s="3">
        <v>308064809.49084097</v>
      </c>
      <c r="O27" s="3">
        <v>320638883.34761</v>
      </c>
      <c r="P27" s="3">
        <v>364648141.84630102</v>
      </c>
      <c r="Q27" s="3">
        <v>383216946.11499298</v>
      </c>
      <c r="R27" s="3">
        <v>354416689.46027398</v>
      </c>
      <c r="S27" s="3">
        <v>354416689.46027398</v>
      </c>
      <c r="T27" s="3">
        <v>348956881.34175003</v>
      </c>
      <c r="U27" s="3">
        <v>356272690.69953698</v>
      </c>
      <c r="V27" s="3">
        <v>238986596.544714</v>
      </c>
      <c r="W27" s="3">
        <v>207472218.63668799</v>
      </c>
      <c r="X27" s="3">
        <v>258981767.64016399</v>
      </c>
      <c r="Y27" s="3">
        <v>280826702.19711101</v>
      </c>
      <c r="Z27" s="3">
        <v>1920492.86937599</v>
      </c>
      <c r="AA27" s="3">
        <v>356272690.69953698</v>
      </c>
      <c r="AB27" s="3">
        <v>356114805.157166</v>
      </c>
      <c r="AC27" s="3">
        <v>344682919.91881299</v>
      </c>
      <c r="AD27" s="3">
        <v>327254592.40371102</v>
      </c>
      <c r="AE27" s="3">
        <v>365321565.92585099</v>
      </c>
      <c r="AF27" s="3">
        <v>334774858.02310598</v>
      </c>
      <c r="AG27" s="3">
        <v>351398374.78187197</v>
      </c>
      <c r="AH27" s="3">
        <v>306605149.73399103</v>
      </c>
      <c r="AI27" s="3">
        <v>342803520.57327098</v>
      </c>
      <c r="AJ27" s="3">
        <v>307544149.06881702</v>
      </c>
      <c r="AK27" s="3">
        <v>349626177.43916398</v>
      </c>
      <c r="AL27" s="3">
        <v>312537945.10486901</v>
      </c>
      <c r="AM27" s="3">
        <v>325381984.30439699</v>
      </c>
      <c r="AN27" s="3">
        <v>327316252.01008898</v>
      </c>
      <c r="AO27" s="3">
        <v>345787031.06114799</v>
      </c>
      <c r="AP27" s="3">
        <v>345152533.742212</v>
      </c>
      <c r="AQ27" s="3">
        <v>389796289.55983901</v>
      </c>
      <c r="AR27" s="3">
        <v>356609944.94310701</v>
      </c>
      <c r="AS27" s="3">
        <v>383509252.631455</v>
      </c>
      <c r="AT27" s="3">
        <v>377222215.70306998</v>
      </c>
      <c r="AU27" s="3">
        <v>327755946.08269399</v>
      </c>
      <c r="AV27" s="3">
        <v>328221982.155626</v>
      </c>
      <c r="AW27" s="3">
        <v>328144578.93234497</v>
      </c>
      <c r="AX27" s="3">
        <v>331875425.37673599</v>
      </c>
      <c r="AY27" s="3">
        <v>329595563.79689097</v>
      </c>
      <c r="AZ27" s="3">
        <v>323185599.387169</v>
      </c>
      <c r="BA27" s="3">
        <v>326256266.27174997</v>
      </c>
      <c r="BB27" s="3">
        <v>326256266.271761</v>
      </c>
      <c r="BC27" s="3">
        <v>364648141.84630102</v>
      </c>
      <c r="BD27" s="3">
        <v>364648141.84630102</v>
      </c>
      <c r="BE27" s="3">
        <v>364648141.84630102</v>
      </c>
      <c r="BF27" s="3">
        <v>364648141.84630102</v>
      </c>
      <c r="BG27" s="3">
        <v>326124427.62388098</v>
      </c>
      <c r="BH27" s="3">
        <v>326124427.623869</v>
      </c>
      <c r="BJ27" t="s">
        <v>128</v>
      </c>
    </row>
    <row r="28" spans="1:63" x14ac:dyDescent="0.3">
      <c r="A28" s="2" t="s">
        <v>73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J28" s="15">
        <f>BJ25*20</f>
        <v>124.37665350320546</v>
      </c>
    </row>
    <row r="29" spans="1:63" x14ac:dyDescent="0.3">
      <c r="A29" t="s">
        <v>2</v>
      </c>
      <c r="B29" s="3">
        <v>53.3439298245614</v>
      </c>
      <c r="C29" s="3">
        <v>84.317824561403498</v>
      </c>
      <c r="D29" s="3">
        <v>53.3439298245614</v>
      </c>
      <c r="E29" s="3">
        <v>53.3439298245614</v>
      </c>
      <c r="F29" s="3">
        <v>54.917894736842101</v>
      </c>
      <c r="G29" s="3">
        <v>84.317824561403498</v>
      </c>
      <c r="H29" s="3">
        <v>84.317824561403498</v>
      </c>
      <c r="I29" s="3">
        <v>84.317824561403498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58.083999999991399</v>
      </c>
      <c r="R29" s="3">
        <v>19.954999999999899</v>
      </c>
      <c r="S29" s="3">
        <v>19.954999999999899</v>
      </c>
      <c r="T29" s="3">
        <v>59.317999999996601</v>
      </c>
      <c r="U29" s="3">
        <v>18.084</v>
      </c>
      <c r="V29" s="3">
        <v>30</v>
      </c>
      <c r="W29" s="3">
        <v>0</v>
      </c>
      <c r="X29" s="3">
        <v>0</v>
      </c>
      <c r="Y29" s="3">
        <v>8</v>
      </c>
      <c r="Z29" s="3">
        <v>0</v>
      </c>
      <c r="AA29" s="3">
        <v>18.084</v>
      </c>
      <c r="AB29" s="3">
        <v>0</v>
      </c>
      <c r="AC29" s="3">
        <v>0</v>
      </c>
      <c r="AD29" s="3">
        <v>58.083999999980797</v>
      </c>
      <c r="AE29" s="3">
        <v>0</v>
      </c>
      <c r="AF29" s="3">
        <v>0</v>
      </c>
      <c r="AG29" s="3">
        <v>14.6424561403508</v>
      </c>
      <c r="AH29" s="3">
        <v>4.0982456140350996</v>
      </c>
      <c r="AI29" s="3">
        <v>2.8052631578947498</v>
      </c>
      <c r="AJ29" s="3">
        <v>15.006105263157799</v>
      </c>
      <c r="AK29" s="3">
        <v>3.5230751438585299</v>
      </c>
      <c r="AL29" s="3">
        <v>14.642456140350401</v>
      </c>
      <c r="AM29" s="3">
        <v>14.6424561403508</v>
      </c>
      <c r="AN29" s="3">
        <v>16.3632280701752</v>
      </c>
      <c r="AO29" s="3">
        <v>0</v>
      </c>
      <c r="AP29" s="3">
        <v>20.552210526021199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>
        <v>0</v>
      </c>
      <c r="BA29" s="3">
        <v>0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</row>
    <row r="30" spans="1:63" x14ac:dyDescent="0.3">
      <c r="A30" t="s">
        <v>0</v>
      </c>
      <c r="B30" s="10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80</v>
      </c>
      <c r="K30" s="3">
        <v>120</v>
      </c>
      <c r="L30" s="3">
        <v>120</v>
      </c>
      <c r="M30" s="3">
        <v>120</v>
      </c>
      <c r="N30" s="3">
        <v>120</v>
      </c>
      <c r="O30" s="3">
        <v>160</v>
      </c>
      <c r="P30" s="3">
        <v>160</v>
      </c>
      <c r="Q30" s="3">
        <v>80</v>
      </c>
      <c r="R30" s="3">
        <v>120</v>
      </c>
      <c r="S30" s="3">
        <v>120</v>
      </c>
      <c r="T30" s="3">
        <v>80</v>
      </c>
      <c r="U30" s="3">
        <v>120</v>
      </c>
      <c r="V30" s="3">
        <v>80</v>
      </c>
      <c r="W30" s="3">
        <v>120</v>
      </c>
      <c r="X30" s="3">
        <v>120</v>
      </c>
      <c r="Y30" s="3">
        <v>120</v>
      </c>
      <c r="Z30" s="3">
        <v>0</v>
      </c>
      <c r="AA30" s="3">
        <v>120</v>
      </c>
      <c r="AB30" s="3">
        <v>120</v>
      </c>
      <c r="AC30" s="3">
        <v>120</v>
      </c>
      <c r="AD30" s="3">
        <v>80</v>
      </c>
      <c r="AE30" s="3">
        <v>160</v>
      </c>
      <c r="AF30" s="3">
        <v>160</v>
      </c>
      <c r="AG30" s="3">
        <v>120</v>
      </c>
      <c r="AH30" s="3">
        <v>120</v>
      </c>
      <c r="AI30" s="3">
        <v>120</v>
      </c>
      <c r="AJ30" s="3">
        <v>120</v>
      </c>
      <c r="AK30" s="3">
        <v>160</v>
      </c>
      <c r="AL30" s="3">
        <v>120</v>
      </c>
      <c r="AM30" s="3">
        <v>120</v>
      </c>
      <c r="AN30" s="3">
        <v>120</v>
      </c>
      <c r="AO30" s="3">
        <v>160</v>
      </c>
      <c r="AP30" s="3">
        <v>120</v>
      </c>
      <c r="AQ30" s="13">
        <v>160</v>
      </c>
      <c r="AR30" s="5">
        <v>120.000000000014</v>
      </c>
      <c r="AS30" s="5">
        <v>160</v>
      </c>
      <c r="AT30" s="5">
        <v>160</v>
      </c>
      <c r="AU30" s="5">
        <v>120</v>
      </c>
      <c r="AV30" s="5">
        <v>120</v>
      </c>
      <c r="AW30" s="5">
        <v>120</v>
      </c>
      <c r="AX30" s="5">
        <v>120</v>
      </c>
      <c r="AY30" s="5">
        <v>160</v>
      </c>
      <c r="AZ30" s="5">
        <v>120</v>
      </c>
      <c r="BA30" s="5">
        <v>120</v>
      </c>
      <c r="BB30" s="5">
        <v>120</v>
      </c>
      <c r="BC30" s="3">
        <v>160</v>
      </c>
      <c r="BD30" s="3">
        <v>160</v>
      </c>
      <c r="BE30" s="3">
        <v>160</v>
      </c>
      <c r="BF30" s="3">
        <v>160</v>
      </c>
      <c r="BG30" s="5">
        <v>120</v>
      </c>
      <c r="BH30" s="3">
        <v>120</v>
      </c>
      <c r="BJ30" t="s">
        <v>129</v>
      </c>
    </row>
    <row r="31" spans="1:63" x14ac:dyDescent="0.3">
      <c r="A31" t="s">
        <v>1</v>
      </c>
      <c r="B31" s="3">
        <v>32.769017543859597</v>
      </c>
      <c r="C31" s="3">
        <v>0</v>
      </c>
      <c r="D31" s="3">
        <v>32.694666666666599</v>
      </c>
      <c r="E31" s="3">
        <v>34.4154385964912</v>
      </c>
      <c r="F31" s="3">
        <v>33.104912280701697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7.7593684210526401</v>
      </c>
      <c r="Y31" s="3">
        <v>0</v>
      </c>
      <c r="Z31" s="3">
        <v>2</v>
      </c>
      <c r="AA31" s="3">
        <v>0</v>
      </c>
      <c r="AB31" s="3">
        <v>18.083999999993299</v>
      </c>
      <c r="AC31" s="3">
        <v>19.87</v>
      </c>
      <c r="AD31" s="3">
        <v>0</v>
      </c>
      <c r="AE31" s="3">
        <v>17.317999999999898</v>
      </c>
      <c r="AF31" s="3">
        <v>0</v>
      </c>
      <c r="AG31" s="3">
        <v>0</v>
      </c>
      <c r="AH31" s="3">
        <v>10.5442105263157</v>
      </c>
      <c r="AI31" s="3">
        <v>11.8371929824561</v>
      </c>
      <c r="AJ31" s="3">
        <v>0</v>
      </c>
      <c r="AK31" s="3">
        <v>0</v>
      </c>
      <c r="AL31" s="3">
        <v>0</v>
      </c>
      <c r="AM31" s="3">
        <v>0</v>
      </c>
      <c r="AN31" s="3">
        <v>0</v>
      </c>
      <c r="AO31" s="3">
        <v>0</v>
      </c>
      <c r="AP31" s="3">
        <v>0</v>
      </c>
      <c r="AQ31" s="3">
        <v>0</v>
      </c>
      <c r="AR31" s="5">
        <v>18.0839999999857</v>
      </c>
      <c r="AS31" s="3">
        <v>0</v>
      </c>
      <c r="AT31" s="3">
        <v>0</v>
      </c>
      <c r="AU31" s="5">
        <v>18.083999999990301</v>
      </c>
      <c r="AV31" s="5">
        <v>18.9284912280689</v>
      </c>
      <c r="AW31" s="5">
        <v>19.103999999993601</v>
      </c>
      <c r="AX31" s="5">
        <v>18.928491228068498</v>
      </c>
      <c r="AY31" s="5">
        <v>17.87</v>
      </c>
      <c r="AZ31" s="5">
        <v>19.103999999999001</v>
      </c>
      <c r="BA31" s="5">
        <v>19.317999999990899</v>
      </c>
      <c r="BB31" s="5">
        <v>19.317999999999302</v>
      </c>
      <c r="BC31" s="3">
        <v>0</v>
      </c>
      <c r="BD31" s="3">
        <v>0</v>
      </c>
      <c r="BE31" s="3">
        <v>0</v>
      </c>
      <c r="BF31" s="3">
        <v>0</v>
      </c>
      <c r="BG31" s="5">
        <v>19.317999999999699</v>
      </c>
      <c r="BH31" s="3">
        <v>19.317999999999401</v>
      </c>
      <c r="BJ31" s="14">
        <f>BG39</f>
        <v>49494802.774962798</v>
      </c>
    </row>
    <row r="32" spans="1:63" x14ac:dyDescent="0.3">
      <c r="A32" s="2" t="s">
        <v>15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5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</row>
    <row r="33" spans="1:62" x14ac:dyDescent="0.3">
      <c r="A33" t="s">
        <v>2</v>
      </c>
      <c r="B33" s="3">
        <v>73.744847937405396</v>
      </c>
      <c r="C33" s="3">
        <v>128.32412368421001</v>
      </c>
      <c r="D33" s="3">
        <v>74.336303590696502</v>
      </c>
      <c r="E33" s="3">
        <v>53.3439298245614</v>
      </c>
      <c r="F33" s="3">
        <v>54.917894736842101</v>
      </c>
      <c r="G33" s="3">
        <v>84.317824561403498</v>
      </c>
      <c r="H33" s="3">
        <v>129.55468508771901</v>
      </c>
      <c r="I33" s="3">
        <v>84.317824561403498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58.083999999991399</v>
      </c>
      <c r="R33" s="3">
        <v>21.954999999999899</v>
      </c>
      <c r="S33" s="3">
        <v>21.954999999999899</v>
      </c>
      <c r="T33" s="5">
        <v>80.513649999996602</v>
      </c>
      <c r="U33" s="5">
        <v>25.149650000000001</v>
      </c>
      <c r="V33" s="5">
        <v>37.852141228067602</v>
      </c>
      <c r="W33" s="5">
        <v>0</v>
      </c>
      <c r="X33" s="5">
        <v>0</v>
      </c>
      <c r="Y33" s="5">
        <v>10</v>
      </c>
      <c r="Z33" s="5">
        <v>0</v>
      </c>
      <c r="AA33" s="5">
        <v>25.149650000000001</v>
      </c>
      <c r="AB33" s="5">
        <v>9.0656499999999802</v>
      </c>
      <c r="AC33" s="5">
        <v>0</v>
      </c>
      <c r="AD33" s="5">
        <v>82.3446499999785</v>
      </c>
      <c r="AE33" s="5">
        <v>13.2806499999999</v>
      </c>
      <c r="AF33" s="3">
        <v>14.2146149122807</v>
      </c>
      <c r="AG33" s="3">
        <v>20.642456140350799</v>
      </c>
      <c r="AH33" s="5">
        <v>17.692860526315702</v>
      </c>
      <c r="AI33" s="5">
        <v>15.6928605263157</v>
      </c>
      <c r="AJ33" s="5">
        <v>33.963702631578897</v>
      </c>
      <c r="AK33" s="5">
        <v>23.737690056139201</v>
      </c>
      <c r="AL33" s="5">
        <v>14.642456140350401</v>
      </c>
      <c r="AM33" s="5">
        <v>31.2654421403508</v>
      </c>
      <c r="AN33" s="5">
        <v>16.3632280701752</v>
      </c>
      <c r="AO33" s="5">
        <v>0</v>
      </c>
      <c r="AP33" s="5">
        <v>20.552210526021899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J33" t="s">
        <v>130</v>
      </c>
    </row>
    <row r="34" spans="1:62" x14ac:dyDescent="0.3">
      <c r="A34" t="s">
        <v>0</v>
      </c>
      <c r="B34" s="10">
        <v>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80</v>
      </c>
      <c r="K34" s="3">
        <v>120</v>
      </c>
      <c r="L34" s="3">
        <v>120</v>
      </c>
      <c r="M34" s="3">
        <v>120</v>
      </c>
      <c r="N34" s="3">
        <v>120</v>
      </c>
      <c r="O34" s="3">
        <v>160</v>
      </c>
      <c r="P34" s="3">
        <v>160</v>
      </c>
      <c r="Q34" s="3">
        <v>80</v>
      </c>
      <c r="R34" s="3">
        <v>120</v>
      </c>
      <c r="S34" s="3">
        <v>120</v>
      </c>
      <c r="T34" s="5">
        <v>80</v>
      </c>
      <c r="U34" s="5">
        <v>120</v>
      </c>
      <c r="V34" s="5">
        <v>80</v>
      </c>
      <c r="W34" s="5">
        <v>120</v>
      </c>
      <c r="X34" s="5">
        <v>120</v>
      </c>
      <c r="Y34" s="5">
        <v>120</v>
      </c>
      <c r="Z34" s="5">
        <v>0</v>
      </c>
      <c r="AA34" s="5">
        <v>120</v>
      </c>
      <c r="AB34" s="5">
        <v>120</v>
      </c>
      <c r="AC34" s="5">
        <v>120</v>
      </c>
      <c r="AD34" s="5">
        <v>80</v>
      </c>
      <c r="AE34" s="5">
        <v>160</v>
      </c>
      <c r="AF34" s="3">
        <v>160</v>
      </c>
      <c r="AG34" s="3">
        <v>120</v>
      </c>
      <c r="AH34" s="5">
        <v>120</v>
      </c>
      <c r="AI34" s="5">
        <v>120</v>
      </c>
      <c r="AJ34" s="5">
        <v>120</v>
      </c>
      <c r="AK34" s="5">
        <v>160</v>
      </c>
      <c r="AL34" s="5">
        <v>120</v>
      </c>
      <c r="AM34" s="5">
        <v>120</v>
      </c>
      <c r="AN34" s="5">
        <v>120</v>
      </c>
      <c r="AO34" s="5">
        <v>160</v>
      </c>
      <c r="AP34" s="5">
        <v>120</v>
      </c>
      <c r="AQ34" s="5">
        <v>160</v>
      </c>
      <c r="AR34" s="5">
        <v>120.000000000014</v>
      </c>
      <c r="AS34" s="5">
        <v>160</v>
      </c>
      <c r="AT34" s="5">
        <v>160</v>
      </c>
      <c r="AU34" s="5">
        <v>120</v>
      </c>
      <c r="AV34" s="5">
        <v>120</v>
      </c>
      <c r="AW34" s="5">
        <v>120</v>
      </c>
      <c r="AX34" s="5">
        <v>120</v>
      </c>
      <c r="AY34" s="5">
        <v>160</v>
      </c>
      <c r="AZ34" s="5">
        <v>120</v>
      </c>
      <c r="BA34" s="5">
        <v>120</v>
      </c>
      <c r="BB34" s="5">
        <v>120</v>
      </c>
      <c r="BC34" s="3">
        <v>160</v>
      </c>
      <c r="BD34" s="3">
        <v>160</v>
      </c>
      <c r="BE34" s="3">
        <v>160</v>
      </c>
      <c r="BF34" s="3">
        <v>160</v>
      </c>
      <c r="BG34" s="3">
        <v>120</v>
      </c>
      <c r="BH34" s="3">
        <v>120</v>
      </c>
      <c r="BJ34" s="14">
        <f>BJ13+BJ7</f>
        <v>52055760.029247537</v>
      </c>
    </row>
    <row r="35" spans="1:62" x14ac:dyDescent="0.3">
      <c r="A35" t="s">
        <v>1</v>
      </c>
      <c r="B35" s="3">
        <v>52.207959957331397</v>
      </c>
      <c r="C35" s="3">
        <v>0</v>
      </c>
      <c r="D35" s="3">
        <v>52.213951928716703</v>
      </c>
      <c r="E35" s="3">
        <v>34.4154385964912</v>
      </c>
      <c r="F35" s="3">
        <v>33.104912280701697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5">
        <v>0</v>
      </c>
      <c r="U35" s="5">
        <v>0</v>
      </c>
      <c r="V35" s="5">
        <v>0</v>
      </c>
      <c r="W35" s="5">
        <v>0</v>
      </c>
      <c r="X35" s="5">
        <v>7.7593684206214801</v>
      </c>
      <c r="Y35" s="5">
        <v>0</v>
      </c>
      <c r="Z35" s="5">
        <v>2</v>
      </c>
      <c r="AA35" s="5">
        <v>0</v>
      </c>
      <c r="AB35" s="5">
        <v>18.083999999993299</v>
      </c>
      <c r="AC35" s="5">
        <v>19.87</v>
      </c>
      <c r="AD35" s="5">
        <v>0</v>
      </c>
      <c r="AE35" s="5">
        <v>17.317999999999898</v>
      </c>
      <c r="AF35" s="3">
        <v>0</v>
      </c>
      <c r="AG35" s="3">
        <v>0</v>
      </c>
      <c r="AH35" s="5">
        <v>10.5442105263157</v>
      </c>
      <c r="AI35" s="5">
        <v>11.8371929824561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 s="5">
        <v>0</v>
      </c>
      <c r="AP35" s="3">
        <v>0</v>
      </c>
      <c r="AQ35" s="3">
        <v>0</v>
      </c>
      <c r="AR35" s="5">
        <v>18.0839999999857</v>
      </c>
      <c r="AS35" s="3">
        <v>0</v>
      </c>
      <c r="AT35" s="3">
        <v>0</v>
      </c>
      <c r="AU35" s="5">
        <v>18.083999999987899</v>
      </c>
      <c r="AV35" s="5">
        <v>18.928491228067099</v>
      </c>
      <c r="AW35" s="5">
        <v>19.103999999993601</v>
      </c>
      <c r="AX35" s="5">
        <v>18.928491228068498</v>
      </c>
      <c r="AY35" s="5">
        <v>17.87</v>
      </c>
      <c r="AZ35" s="5">
        <v>19.103999999999001</v>
      </c>
      <c r="BA35" s="5">
        <v>19.317999999995699</v>
      </c>
      <c r="BB35" s="5">
        <v>19.3179999999989</v>
      </c>
      <c r="BC35" s="3">
        <v>0</v>
      </c>
      <c r="BD35" s="3">
        <v>0</v>
      </c>
      <c r="BE35" s="3">
        <v>0</v>
      </c>
      <c r="BF35" s="3">
        <v>0</v>
      </c>
      <c r="BG35" s="3">
        <v>19.317999999999799</v>
      </c>
      <c r="BH35" s="3">
        <v>19.317999999999401</v>
      </c>
    </row>
    <row r="36" spans="1:62" x14ac:dyDescent="0.3">
      <c r="A36" s="2" t="s">
        <v>74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J36" t="s">
        <v>131</v>
      </c>
    </row>
    <row r="37" spans="1:62" x14ac:dyDescent="0.3">
      <c r="A37" t="s">
        <v>2</v>
      </c>
      <c r="B37" s="3">
        <v>257202585.734635</v>
      </c>
      <c r="C37" s="3">
        <v>465613367.24283397</v>
      </c>
      <c r="D37" s="3">
        <v>256538397.61669999</v>
      </c>
      <c r="E37" s="3">
        <v>158079603.55687699</v>
      </c>
      <c r="F37" s="3">
        <v>158108334.629866</v>
      </c>
      <c r="G37" s="3">
        <v>241231766.574619</v>
      </c>
      <c r="H37" s="3">
        <v>455453360.36141002</v>
      </c>
      <c r="I37" s="3">
        <v>240463453.04391801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87726210.480921701</v>
      </c>
      <c r="R37" s="3">
        <v>52638916.897818103</v>
      </c>
      <c r="S37" s="3">
        <v>52638916.897818103</v>
      </c>
      <c r="T37" s="3">
        <v>235790216.63082799</v>
      </c>
      <c r="U37" s="3">
        <v>60781955.0654651</v>
      </c>
      <c r="V37" s="3">
        <v>56662525.621563897</v>
      </c>
      <c r="W37" s="13">
        <v>0</v>
      </c>
      <c r="X37" s="13">
        <v>0</v>
      </c>
      <c r="Y37" s="13">
        <v>16771151.204962101</v>
      </c>
      <c r="Z37" s="13">
        <v>0</v>
      </c>
      <c r="AA37" s="13">
        <v>60781955.0654651</v>
      </c>
      <c r="AB37" s="13">
        <v>37083265.102747403</v>
      </c>
      <c r="AC37" s="13">
        <v>0</v>
      </c>
      <c r="AD37" s="13">
        <v>214087927.69279</v>
      </c>
      <c r="AE37" s="13">
        <v>54324826.6463852</v>
      </c>
      <c r="AF37" s="3">
        <v>58145233.174187496</v>
      </c>
      <c r="AG37" s="3">
        <v>43333565.291031599</v>
      </c>
      <c r="AH37" s="3">
        <v>64601085.816029102</v>
      </c>
      <c r="AI37" s="3">
        <v>64192033.347615398</v>
      </c>
      <c r="AJ37" s="3">
        <v>125220078.145666</v>
      </c>
      <c r="AK37" s="3">
        <v>85570626.447014704</v>
      </c>
      <c r="AL37" s="3">
        <v>29621283.3275664</v>
      </c>
      <c r="AM37" s="3">
        <v>80187544.097401798</v>
      </c>
      <c r="AN37" s="3">
        <v>31825516.376017202</v>
      </c>
      <c r="AO37" s="3">
        <v>0</v>
      </c>
      <c r="AP37" s="3">
        <v>43374761.1797553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3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J37" s="16">
        <f>(BJ16-BK16)/BJ31</f>
        <v>0.18161501306537883</v>
      </c>
    </row>
    <row r="38" spans="1:62" x14ac:dyDescent="0.3">
      <c r="A38" t="s">
        <v>0</v>
      </c>
      <c r="B38" s="10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169749997.06638101</v>
      </c>
      <c r="K38" s="3">
        <v>207472218.63668799</v>
      </c>
      <c r="L38" s="3">
        <v>276629624.84891802</v>
      </c>
      <c r="M38" s="3">
        <v>339499994.13276303</v>
      </c>
      <c r="N38" s="3">
        <v>308064809.49084097</v>
      </c>
      <c r="O38" s="3">
        <v>320638883.34761</v>
      </c>
      <c r="P38" s="3">
        <v>364648141.84630102</v>
      </c>
      <c r="Q38" s="3">
        <v>295490735.63407201</v>
      </c>
      <c r="R38" s="3">
        <v>301777772.56245601</v>
      </c>
      <c r="S38" s="3">
        <v>301777772.56245601</v>
      </c>
      <c r="T38" s="3">
        <v>113166664.710921</v>
      </c>
      <c r="U38" s="3">
        <v>295490735.63407201</v>
      </c>
      <c r="V38" s="3">
        <v>182324070.92315</v>
      </c>
      <c r="W38" s="13">
        <v>207472218.63668799</v>
      </c>
      <c r="X38" s="13">
        <v>251481477.13538</v>
      </c>
      <c r="Y38" s="13">
        <v>264055550.992149</v>
      </c>
      <c r="Z38" s="13">
        <v>0</v>
      </c>
      <c r="AA38" s="13">
        <v>295490735.63407201</v>
      </c>
      <c r="AB38" s="13">
        <v>289203698.70568699</v>
      </c>
      <c r="AC38" s="13">
        <v>282916661.77730298</v>
      </c>
      <c r="AD38" s="13">
        <v>113166664.710921</v>
      </c>
      <c r="AE38" s="13">
        <v>295490735.63407201</v>
      </c>
      <c r="AF38" s="3">
        <v>276629624.84891802</v>
      </c>
      <c r="AG38" s="3">
        <v>308064809.49084097</v>
      </c>
      <c r="AH38" s="3">
        <v>232620366.35022601</v>
      </c>
      <c r="AI38" s="3">
        <v>270342587.92053401</v>
      </c>
      <c r="AJ38" s="3">
        <v>182324070.92315</v>
      </c>
      <c r="AK38" s="3">
        <v>264055550.992149</v>
      </c>
      <c r="AL38" s="3">
        <v>282916661.77730298</v>
      </c>
      <c r="AM38" s="3">
        <v>245194440.20699599</v>
      </c>
      <c r="AN38" s="3">
        <v>295490735.63407201</v>
      </c>
      <c r="AO38" s="3">
        <v>345787031.06114799</v>
      </c>
      <c r="AP38" s="3">
        <v>301777772.56245601</v>
      </c>
      <c r="AQ38" s="3">
        <v>389796289.55983901</v>
      </c>
      <c r="AR38" s="3">
        <v>276629624.84891999</v>
      </c>
      <c r="AS38" s="3">
        <v>383509252.631455</v>
      </c>
      <c r="AT38" s="3">
        <v>377222215.70306998</v>
      </c>
      <c r="AU38" s="3">
        <v>276629624.84891802</v>
      </c>
      <c r="AV38" s="3">
        <v>276629624.84891802</v>
      </c>
      <c r="AW38" s="3">
        <v>276629624.84891802</v>
      </c>
      <c r="AX38" s="3">
        <v>276629624.84891802</v>
      </c>
      <c r="AY38" s="3">
        <v>282916661.77730298</v>
      </c>
      <c r="AZ38" s="3">
        <v>276629624.84891802</v>
      </c>
      <c r="BA38" s="13">
        <v>276629624.84891802</v>
      </c>
      <c r="BB38" s="3">
        <v>276629624.84891802</v>
      </c>
      <c r="BC38" s="3">
        <v>364648141.84630102</v>
      </c>
      <c r="BD38" s="3">
        <v>364648141.84630102</v>
      </c>
      <c r="BE38" s="3">
        <v>364648141.84630102</v>
      </c>
      <c r="BF38" s="3">
        <v>364648141.84630102</v>
      </c>
      <c r="BG38" s="3">
        <v>276629624.84891802</v>
      </c>
      <c r="BH38" s="3">
        <v>276629624.84891802</v>
      </c>
    </row>
    <row r="39" spans="1:62" x14ac:dyDescent="0.3">
      <c r="A39" t="s">
        <v>1</v>
      </c>
      <c r="B39" s="3">
        <v>118601956.920092</v>
      </c>
      <c r="C39" s="3">
        <v>0</v>
      </c>
      <c r="D39" s="3">
        <v>118184486.913404</v>
      </c>
      <c r="E39" s="3">
        <v>77425708.665584803</v>
      </c>
      <c r="F39" s="13">
        <v>75742598.372338593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13">
        <v>0</v>
      </c>
      <c r="X39" s="13">
        <v>7500290.5047842097</v>
      </c>
      <c r="Y39" s="13">
        <v>0</v>
      </c>
      <c r="Z39" s="13">
        <v>1920492.86937599</v>
      </c>
      <c r="AA39" s="13">
        <v>0</v>
      </c>
      <c r="AB39" s="13">
        <v>29827841.348731399</v>
      </c>
      <c r="AC39" s="13">
        <v>61766258.141509898</v>
      </c>
      <c r="AD39" s="13">
        <v>0</v>
      </c>
      <c r="AE39" s="13">
        <v>15506003.6453945</v>
      </c>
      <c r="AF39" s="3">
        <v>0</v>
      </c>
      <c r="AG39" s="3">
        <v>0</v>
      </c>
      <c r="AH39" s="3">
        <v>9383697.5677356105</v>
      </c>
      <c r="AI39" s="3">
        <v>8268899.3051215401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79980320.094186097</v>
      </c>
      <c r="AS39" s="3">
        <v>0</v>
      </c>
      <c r="AT39" s="3">
        <v>0</v>
      </c>
      <c r="AU39" s="3">
        <v>51126321.233776003</v>
      </c>
      <c r="AV39" s="3">
        <v>51592357.306707896</v>
      </c>
      <c r="AW39" s="3">
        <v>51514954.083426997</v>
      </c>
      <c r="AX39" s="3">
        <v>55245800.527817801</v>
      </c>
      <c r="AY39" s="3">
        <v>46678902.019588701</v>
      </c>
      <c r="AZ39" s="3">
        <v>46555974.538251102</v>
      </c>
      <c r="BA39" s="3">
        <v>49626641.422832303</v>
      </c>
      <c r="BB39" s="3">
        <v>49626641.4228433</v>
      </c>
      <c r="BC39" s="3">
        <v>0</v>
      </c>
      <c r="BD39" s="3">
        <v>0</v>
      </c>
      <c r="BE39" s="3">
        <v>0</v>
      </c>
      <c r="BF39" s="3">
        <v>0</v>
      </c>
      <c r="BG39" s="3">
        <v>49494802.774962798</v>
      </c>
      <c r="BH39" s="3">
        <v>49494802.774951302</v>
      </c>
    </row>
    <row r="40" spans="1:62" x14ac:dyDescent="0.3">
      <c r="A40" s="9" t="s">
        <v>76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</row>
    <row r="41" spans="1:62" x14ac:dyDescent="0.3">
      <c r="A41" s="2" t="s">
        <v>45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</row>
    <row r="42" spans="1:62" x14ac:dyDescent="0.3">
      <c r="A42" t="s">
        <v>2</v>
      </c>
      <c r="B42" s="3">
        <v>53.3439298245614</v>
      </c>
      <c r="C42" s="3">
        <v>84.317824561403498</v>
      </c>
      <c r="D42" s="3">
        <v>54.168491228070103</v>
      </c>
      <c r="E42" s="3">
        <v>53.3439298245614</v>
      </c>
      <c r="F42" s="3">
        <v>54.917894736842101</v>
      </c>
      <c r="G42" s="3">
        <v>84.317824561403498</v>
      </c>
      <c r="H42" s="3">
        <v>84.317824561403498</v>
      </c>
      <c r="I42" s="3">
        <v>84.317824561403498</v>
      </c>
      <c r="J42" s="3">
        <v>12.92135</v>
      </c>
      <c r="K42" s="3">
        <v>12.92135</v>
      </c>
      <c r="L42" s="3">
        <v>12.92135</v>
      </c>
      <c r="M42" s="3">
        <v>12.92135</v>
      </c>
      <c r="N42" s="3">
        <v>12.92135</v>
      </c>
      <c r="O42" s="3">
        <v>12.92135</v>
      </c>
      <c r="P42" s="3">
        <v>12.92135</v>
      </c>
      <c r="Q42" s="3">
        <v>58.083999999991399</v>
      </c>
      <c r="R42" s="3">
        <v>26.876349999999899</v>
      </c>
      <c r="S42" s="3">
        <v>26.876349999999899</v>
      </c>
      <c r="T42" s="3">
        <v>75.150649999998507</v>
      </c>
      <c r="U42" s="3">
        <v>28.02535</v>
      </c>
      <c r="V42" s="3">
        <v>30</v>
      </c>
      <c r="W42" s="3">
        <v>12.92135</v>
      </c>
      <c r="X42" s="3">
        <v>12.92135</v>
      </c>
      <c r="Y42" s="3">
        <v>0</v>
      </c>
      <c r="Z42" s="3">
        <v>12.921350000002301</v>
      </c>
      <c r="AA42" s="3">
        <v>28.02535</v>
      </c>
      <c r="AB42" s="3">
        <v>21.986999999999899</v>
      </c>
      <c r="AC42" s="3">
        <v>12.92135</v>
      </c>
      <c r="AD42" s="3">
        <v>65.7263499999939</v>
      </c>
      <c r="AE42" s="3">
        <v>26.201999999999899</v>
      </c>
      <c r="AF42" s="3">
        <v>0</v>
      </c>
      <c r="AG42" s="3">
        <v>0</v>
      </c>
      <c r="AH42" s="3">
        <v>0</v>
      </c>
      <c r="AI42" s="3">
        <v>28.614210526315802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12.92135</v>
      </c>
      <c r="AZ42" s="3">
        <v>12.92135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</row>
    <row r="43" spans="1:62" x14ac:dyDescent="0.3">
      <c r="A43" t="s">
        <v>0</v>
      </c>
      <c r="B43" s="10">
        <v>38</v>
      </c>
      <c r="C43" s="3">
        <v>38</v>
      </c>
      <c r="D43" s="3">
        <v>38</v>
      </c>
      <c r="E43" s="3">
        <v>74</v>
      </c>
      <c r="F43" s="12">
        <v>74</v>
      </c>
      <c r="G43" s="3">
        <v>74</v>
      </c>
      <c r="H43" s="3">
        <v>38</v>
      </c>
      <c r="I43" s="3">
        <v>74</v>
      </c>
      <c r="J43" s="3">
        <v>95.019999999999897</v>
      </c>
      <c r="K43" s="3">
        <v>98.084000000000003</v>
      </c>
      <c r="L43" s="3">
        <v>98.084000000000003</v>
      </c>
      <c r="M43" s="3">
        <v>98.084000000000003</v>
      </c>
      <c r="N43" s="3">
        <v>98.084000000000003</v>
      </c>
      <c r="O43" s="3">
        <v>98.084000000000003</v>
      </c>
      <c r="P43" s="3">
        <v>98.084000000000003</v>
      </c>
      <c r="Q43" s="3">
        <v>95.02</v>
      </c>
      <c r="R43" s="3">
        <v>98.084000000000003</v>
      </c>
      <c r="S43" s="3">
        <v>98.084000000000003</v>
      </c>
      <c r="T43" s="3">
        <v>80</v>
      </c>
      <c r="U43" s="3">
        <v>98.084000000000003</v>
      </c>
      <c r="V43" s="3">
        <v>95.02</v>
      </c>
      <c r="W43" s="3">
        <v>98.084000000000003</v>
      </c>
      <c r="X43" s="3">
        <v>98.084000000000003</v>
      </c>
      <c r="Y43" s="3">
        <v>98.084000000000003</v>
      </c>
      <c r="Z43" s="3">
        <v>74</v>
      </c>
      <c r="AA43" s="3">
        <v>98.084000000000003</v>
      </c>
      <c r="AB43" s="3">
        <v>98.084000000000003</v>
      </c>
      <c r="AC43" s="3">
        <v>109.350140350877</v>
      </c>
      <c r="AD43" s="3">
        <v>80</v>
      </c>
      <c r="AE43" s="3">
        <v>106.79814035087701</v>
      </c>
      <c r="AF43" s="3">
        <v>94.642456140350802</v>
      </c>
      <c r="AG43" s="3">
        <v>94.642456140350802</v>
      </c>
      <c r="AH43" s="3">
        <v>100.02435087719201</v>
      </c>
      <c r="AI43" s="3">
        <v>94.642456140350802</v>
      </c>
      <c r="AJ43" s="3">
        <v>92.921684210526294</v>
      </c>
      <c r="AK43" s="3">
        <v>94.642456140350802</v>
      </c>
      <c r="AL43" s="3">
        <v>94.642456140350802</v>
      </c>
      <c r="AM43" s="3">
        <v>94.642456140350802</v>
      </c>
      <c r="AN43" s="3">
        <v>96.363228069863297</v>
      </c>
      <c r="AO43" s="3">
        <v>98.084000000000003</v>
      </c>
      <c r="AP43" s="3">
        <v>98.084000000000003</v>
      </c>
      <c r="AQ43" s="3">
        <v>98.083999999999406</v>
      </c>
      <c r="AR43" s="3">
        <v>104.122596491213</v>
      </c>
      <c r="AS43" s="3">
        <v>98.084000000000003</v>
      </c>
      <c r="AT43" s="3">
        <v>98.084000000000003</v>
      </c>
      <c r="AU43" s="3">
        <v>104.122596491218</v>
      </c>
      <c r="AV43" s="3">
        <v>98.084000000000003</v>
      </c>
      <c r="AW43" s="3">
        <v>108.58414035087</v>
      </c>
      <c r="AX43" s="3">
        <v>98.084000000000003</v>
      </c>
      <c r="AY43" s="3">
        <v>103.908596491228</v>
      </c>
      <c r="AZ43" s="3">
        <v>108.584140350876</v>
      </c>
      <c r="BA43" s="3">
        <v>108.798140350868</v>
      </c>
      <c r="BB43" s="3">
        <v>98.084000000000003</v>
      </c>
      <c r="BC43" s="3">
        <v>98.084000000000003</v>
      </c>
      <c r="BD43" s="3">
        <v>98.084000000000003</v>
      </c>
      <c r="BE43" s="3">
        <v>98.084000000000003</v>
      </c>
      <c r="BF43" s="3">
        <v>98.084000000000003</v>
      </c>
      <c r="BG43" s="3">
        <v>98.084000000000003</v>
      </c>
      <c r="BH43" s="3">
        <v>108.798140350876</v>
      </c>
    </row>
    <row r="44" spans="1:62" x14ac:dyDescent="0.3">
      <c r="A44" t="s">
        <v>1</v>
      </c>
      <c r="B44" s="3">
        <v>32.769017543859597</v>
      </c>
      <c r="C44" s="3">
        <v>0</v>
      </c>
      <c r="D44" s="3">
        <v>34.694666666666599</v>
      </c>
      <c r="E44" s="3">
        <v>34.4154385964912</v>
      </c>
      <c r="F44" s="3">
        <v>33.104912280701697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6</v>
      </c>
      <c r="X44" s="3">
        <v>7.7593684210526401</v>
      </c>
      <c r="Y44" s="3">
        <v>0</v>
      </c>
      <c r="Z44" s="3">
        <v>6</v>
      </c>
      <c r="AA44" s="3">
        <v>0</v>
      </c>
      <c r="AB44" s="3">
        <v>18.083999999993299</v>
      </c>
      <c r="AC44" s="3">
        <v>19.87</v>
      </c>
      <c r="AD44" s="3">
        <v>0</v>
      </c>
      <c r="AE44" s="3">
        <v>17.318000000000001</v>
      </c>
      <c r="AF44" s="3">
        <v>6</v>
      </c>
      <c r="AG44" s="3">
        <v>0</v>
      </c>
      <c r="AH44" s="3">
        <v>10.5442105263157</v>
      </c>
      <c r="AI44" s="3">
        <v>11.8371929824561</v>
      </c>
      <c r="AJ44" s="3">
        <v>3.6707368421052702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24.083999999980801</v>
      </c>
      <c r="AS44" s="3">
        <v>0</v>
      </c>
      <c r="AT44" s="3">
        <v>6</v>
      </c>
      <c r="AU44" s="3">
        <v>18.083999999990301</v>
      </c>
      <c r="AV44" s="3">
        <v>0</v>
      </c>
      <c r="AW44" s="3">
        <v>19.103999999993601</v>
      </c>
      <c r="AX44" s="3">
        <v>0</v>
      </c>
      <c r="AY44" s="3">
        <v>17.87</v>
      </c>
      <c r="AZ44" s="3">
        <v>19.103999999999001</v>
      </c>
      <c r="BA44" s="3">
        <v>19.317999999990899</v>
      </c>
      <c r="BB44" s="3">
        <v>0</v>
      </c>
      <c r="BC44" s="3">
        <v>6</v>
      </c>
      <c r="BD44" s="3">
        <v>0</v>
      </c>
      <c r="BE44" s="3">
        <v>6</v>
      </c>
      <c r="BF44" s="3">
        <v>0</v>
      </c>
      <c r="BG44" s="3">
        <v>0</v>
      </c>
      <c r="BH44" s="3">
        <v>19.317999999999401</v>
      </c>
    </row>
    <row r="45" spans="1:62" x14ac:dyDescent="0.3">
      <c r="A45" t="s">
        <v>75</v>
      </c>
      <c r="B45" s="3">
        <v>13.0106842105263</v>
      </c>
      <c r="C45" s="3">
        <v>19.725350877193002</v>
      </c>
      <c r="D45" s="3">
        <v>12.68270432582</v>
      </c>
      <c r="E45" s="3">
        <v>12.026631578947301</v>
      </c>
      <c r="F45" s="3">
        <v>12.721192982456101</v>
      </c>
      <c r="G45" s="3">
        <v>15.366</v>
      </c>
      <c r="H45" s="3">
        <v>22.4947894736842</v>
      </c>
      <c r="I45" s="3">
        <v>15.366</v>
      </c>
      <c r="J45" s="3">
        <v>18.084</v>
      </c>
      <c r="K45" s="3">
        <v>1.4210854715202001E-14</v>
      </c>
      <c r="L45" s="3">
        <v>1.4210854715202001E-14</v>
      </c>
      <c r="M45" s="3">
        <v>7.1054273576010003E-15</v>
      </c>
      <c r="N45" s="3">
        <v>7.1054273576010003E-15</v>
      </c>
      <c r="O45" s="3">
        <v>7.1054273576010003E-15</v>
      </c>
      <c r="P45" s="3">
        <v>7.1054273576010003E-15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7.1054273576010003E-15</v>
      </c>
      <c r="W45" s="3">
        <v>7.1054273576010003E-15</v>
      </c>
      <c r="X45" s="3">
        <v>7.1054273576010003E-15</v>
      </c>
      <c r="Y45" s="3">
        <v>7.1054273576010003E-15</v>
      </c>
      <c r="Z45" s="3">
        <v>98.084000000000003</v>
      </c>
      <c r="AA45" s="3">
        <v>0</v>
      </c>
      <c r="AB45" s="3">
        <v>0</v>
      </c>
      <c r="AC45" s="3">
        <v>0</v>
      </c>
      <c r="AD45" s="3">
        <v>0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v>0</v>
      </c>
      <c r="AN45" s="3">
        <v>0</v>
      </c>
      <c r="AO45" s="3">
        <v>0</v>
      </c>
      <c r="AP45" s="3">
        <v>0</v>
      </c>
      <c r="AQ45" s="3">
        <v>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>
        <v>0</v>
      </c>
      <c r="AZ45" s="3">
        <v>0</v>
      </c>
      <c r="BA45" s="3">
        <v>0</v>
      </c>
      <c r="BB45" s="3">
        <v>0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</row>
    <row r="46" spans="1:62" x14ac:dyDescent="0.3">
      <c r="A46" s="2" t="s">
        <v>46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</row>
    <row r="47" spans="1:62" x14ac:dyDescent="0.3">
      <c r="A47" t="s">
        <v>0</v>
      </c>
      <c r="B47" s="10">
        <v>32.533356835617603</v>
      </c>
      <c r="C47" s="3">
        <v>34.577473684210503</v>
      </c>
      <c r="D47" s="3">
        <v>31.9702956741795</v>
      </c>
      <c r="E47" s="3">
        <v>38</v>
      </c>
      <c r="F47" s="3">
        <v>38</v>
      </c>
      <c r="G47" s="3">
        <v>30.0063157894736</v>
      </c>
      <c r="H47" s="3">
        <v>33.555754385964903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24.474877192972698</v>
      </c>
      <c r="R47" s="3">
        <v>0</v>
      </c>
      <c r="S47" s="3">
        <v>0</v>
      </c>
      <c r="T47" s="3">
        <v>42.482579824558499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6.0729649122806801</v>
      </c>
      <c r="AC47" s="3">
        <v>0</v>
      </c>
      <c r="AD47" s="3">
        <v>36.150209649115602</v>
      </c>
      <c r="AE47" s="3">
        <v>8.8093684210525893</v>
      </c>
      <c r="AF47" s="3">
        <v>0</v>
      </c>
      <c r="AG47" s="3">
        <v>0</v>
      </c>
      <c r="AH47" s="3">
        <v>0</v>
      </c>
      <c r="AI47" s="3">
        <v>5.7028070175438703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5.6894561403317097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</row>
    <row r="48" spans="1:62" x14ac:dyDescent="0.3">
      <c r="A48" t="s">
        <v>24</v>
      </c>
      <c r="B48" s="3">
        <v>95.02</v>
      </c>
      <c r="C48" s="3">
        <v>95.02</v>
      </c>
      <c r="D48" s="3">
        <v>95.02</v>
      </c>
      <c r="E48" s="3">
        <v>95.02</v>
      </c>
      <c r="F48" s="12">
        <v>95.02</v>
      </c>
      <c r="G48" s="3">
        <v>95.02</v>
      </c>
      <c r="H48" s="3">
        <v>95.02</v>
      </c>
      <c r="I48" s="3">
        <v>95.02</v>
      </c>
      <c r="J48" s="3">
        <v>95.02</v>
      </c>
      <c r="K48" s="3">
        <v>98.084000000000003</v>
      </c>
      <c r="L48" s="3">
        <v>98.084000000000003</v>
      </c>
      <c r="M48" s="3">
        <v>98.084000000000003</v>
      </c>
      <c r="N48" s="3">
        <v>98.084000000000003</v>
      </c>
      <c r="O48" s="3">
        <v>98.084000000000003</v>
      </c>
      <c r="P48" s="3">
        <v>98.084000000000003</v>
      </c>
      <c r="Q48" s="3">
        <v>98.084000000000003</v>
      </c>
      <c r="R48" s="3">
        <v>98.084000000000003</v>
      </c>
      <c r="S48" s="3">
        <v>98.084000000000003</v>
      </c>
      <c r="T48" s="3">
        <v>98.084000000000003</v>
      </c>
      <c r="U48" s="3">
        <v>98.084000000000003</v>
      </c>
      <c r="V48" s="3">
        <v>98.084000000000003</v>
      </c>
      <c r="W48" s="3">
        <v>98.084000000000003</v>
      </c>
      <c r="X48" s="3">
        <v>98.084000000000003</v>
      </c>
      <c r="Y48" s="3">
        <v>98.084000000000003</v>
      </c>
      <c r="Z48" s="3">
        <v>80.653000000000006</v>
      </c>
      <c r="AA48" s="3">
        <v>98.084000000000003</v>
      </c>
      <c r="AB48" s="3">
        <v>98.084000000000003</v>
      </c>
      <c r="AC48" s="3">
        <v>98.084000000000003</v>
      </c>
      <c r="AD48" s="3">
        <v>98.084000000000003</v>
      </c>
      <c r="AE48" s="3">
        <v>98.084000000000003</v>
      </c>
      <c r="AF48" s="3">
        <v>94.642456140350802</v>
      </c>
      <c r="AG48" s="3">
        <v>94.642456140350802</v>
      </c>
      <c r="AH48" s="3">
        <v>94.642456140350802</v>
      </c>
      <c r="AI48" s="3">
        <v>94.642456140350802</v>
      </c>
      <c r="AJ48" s="3">
        <v>92.921684210526294</v>
      </c>
      <c r="AK48" s="3">
        <v>94.642456140350802</v>
      </c>
      <c r="AL48" s="3">
        <v>94.642456140350802</v>
      </c>
      <c r="AM48" s="3">
        <v>94.642456140350802</v>
      </c>
      <c r="AN48" s="3">
        <v>96.363228070175396</v>
      </c>
      <c r="AO48" s="3">
        <v>98.084000000000003</v>
      </c>
      <c r="AP48" s="3">
        <v>98.084000000000003</v>
      </c>
      <c r="AQ48" s="3">
        <v>98.084000000000003</v>
      </c>
      <c r="AR48" s="3">
        <v>98.084000000000003</v>
      </c>
      <c r="AS48" s="3">
        <v>98.084000000000003</v>
      </c>
      <c r="AT48" s="3">
        <v>98.084000000000003</v>
      </c>
      <c r="AU48" s="3">
        <v>98.084000000000003</v>
      </c>
      <c r="AV48" s="3">
        <v>98.084000000000003</v>
      </c>
      <c r="AW48" s="3">
        <v>98.084000000000003</v>
      </c>
      <c r="AX48" s="3">
        <v>98.084000000000003</v>
      </c>
      <c r="AY48" s="3">
        <v>98.084000000000003</v>
      </c>
      <c r="AZ48" s="3">
        <v>98.084000000000003</v>
      </c>
      <c r="BA48" s="3">
        <v>98.084000000000003</v>
      </c>
      <c r="BB48" s="3">
        <v>98.084000000000003</v>
      </c>
      <c r="BC48" s="3">
        <v>98.084000000000003</v>
      </c>
      <c r="BD48" s="3">
        <v>98.084000000000003</v>
      </c>
      <c r="BE48" s="3">
        <v>98.084000000000003</v>
      </c>
      <c r="BF48" s="3">
        <v>98.084000000000003</v>
      </c>
      <c r="BG48" s="3">
        <v>98.084000000000003</v>
      </c>
      <c r="BH48" s="3">
        <v>98.084000000000003</v>
      </c>
    </row>
    <row r="49" spans="1:60" x14ac:dyDescent="0.3">
      <c r="A49" t="s">
        <v>1</v>
      </c>
      <c r="B49" s="3">
        <v>32.694666666666599</v>
      </c>
      <c r="C49" s="3">
        <v>0</v>
      </c>
      <c r="D49" s="3">
        <v>32.694666666666599</v>
      </c>
      <c r="E49" s="3">
        <v>34.4154385964912</v>
      </c>
      <c r="F49" s="3">
        <v>33.104912280701697</v>
      </c>
      <c r="G49" s="3">
        <v>6</v>
      </c>
      <c r="H49" s="3">
        <v>0</v>
      </c>
      <c r="I49" s="3">
        <v>6</v>
      </c>
      <c r="J49" s="3">
        <v>6</v>
      </c>
      <c r="K49" s="3">
        <v>6</v>
      </c>
      <c r="L49" s="3">
        <v>6</v>
      </c>
      <c r="M49" s="3">
        <v>6</v>
      </c>
      <c r="N49" s="3">
        <v>6</v>
      </c>
      <c r="O49" s="3">
        <v>6</v>
      </c>
      <c r="P49" s="3">
        <v>6</v>
      </c>
      <c r="Q49" s="3">
        <v>6</v>
      </c>
      <c r="R49" s="3">
        <v>6</v>
      </c>
      <c r="S49" s="3">
        <v>6</v>
      </c>
      <c r="T49" s="3">
        <v>6</v>
      </c>
      <c r="U49" s="3">
        <v>6</v>
      </c>
      <c r="V49" s="3">
        <v>6</v>
      </c>
      <c r="W49" s="3">
        <v>6</v>
      </c>
      <c r="X49" s="3">
        <v>7.7593684210526401</v>
      </c>
      <c r="Y49" s="3">
        <v>6</v>
      </c>
      <c r="Z49" s="3">
        <v>6</v>
      </c>
      <c r="AA49" s="3">
        <v>6</v>
      </c>
      <c r="AB49" s="3">
        <v>18.083999999993299</v>
      </c>
      <c r="AC49" s="3">
        <v>19.87</v>
      </c>
      <c r="AD49" s="3">
        <v>0</v>
      </c>
      <c r="AE49" s="3">
        <v>17.318000000000001</v>
      </c>
      <c r="AF49" s="3">
        <v>6</v>
      </c>
      <c r="AG49" s="3">
        <v>0</v>
      </c>
      <c r="AH49" s="3">
        <v>10.544210526316</v>
      </c>
      <c r="AI49" s="3">
        <v>11.8371929824561</v>
      </c>
      <c r="AJ49" s="3">
        <v>6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24.083999999980801</v>
      </c>
      <c r="AS49" s="3">
        <v>0</v>
      </c>
      <c r="AT49" s="3">
        <v>6</v>
      </c>
      <c r="AU49" s="3">
        <v>18.083999999990301</v>
      </c>
      <c r="AV49" s="3">
        <v>0</v>
      </c>
      <c r="AW49" s="3">
        <v>19.103999999993601</v>
      </c>
      <c r="AX49" s="3">
        <v>0</v>
      </c>
      <c r="AY49" s="3">
        <v>17.87</v>
      </c>
      <c r="AZ49" s="3">
        <v>19.1039999999991</v>
      </c>
      <c r="BA49" s="3">
        <v>19.317999999990899</v>
      </c>
      <c r="BB49" s="3">
        <v>0</v>
      </c>
      <c r="BC49" s="3">
        <v>6</v>
      </c>
      <c r="BD49" s="3">
        <v>0</v>
      </c>
      <c r="BE49" s="3">
        <v>6</v>
      </c>
      <c r="BF49" s="3">
        <v>0</v>
      </c>
      <c r="BG49" s="3">
        <v>0</v>
      </c>
      <c r="BH49" s="3">
        <v>19.317999999999401</v>
      </c>
    </row>
    <row r="50" spans="1:60" x14ac:dyDescent="0.3">
      <c r="A50" s="2" t="s">
        <v>23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</row>
    <row r="51" spans="1:60" x14ac:dyDescent="0.3">
      <c r="A51" t="s">
        <v>2</v>
      </c>
      <c r="B51" s="3">
        <v>7403403.0786220701</v>
      </c>
      <c r="C51" s="3">
        <v>7335264.4874104904</v>
      </c>
      <c r="D51" s="3">
        <v>7404304.3690989399</v>
      </c>
      <c r="E51" s="3">
        <v>1509732.8352443599</v>
      </c>
      <c r="F51" s="3">
        <v>1510482.5054732601</v>
      </c>
      <c r="G51" s="3">
        <v>1741284.06034232</v>
      </c>
      <c r="H51" s="3">
        <v>7330402.46816481</v>
      </c>
      <c r="I51" s="3">
        <v>1736743.8276142499</v>
      </c>
      <c r="J51" s="3">
        <v>2095.8063421052598</v>
      </c>
      <c r="K51" s="3">
        <v>1993.33316666666</v>
      </c>
      <c r="L51" s="3">
        <v>1938.2025000000001</v>
      </c>
      <c r="M51" s="3">
        <v>1938.2025000000001</v>
      </c>
      <c r="N51" s="3">
        <v>1938.2025000000001</v>
      </c>
      <c r="O51" s="3">
        <v>1938.2025000000001</v>
      </c>
      <c r="P51" s="3">
        <v>1938.2025000000001</v>
      </c>
      <c r="Q51" s="3">
        <v>9299.9844999957495</v>
      </c>
      <c r="R51" s="3">
        <v>4511.9024999999901</v>
      </c>
      <c r="S51" s="3">
        <v>4511.9024999999901</v>
      </c>
      <c r="T51" s="3">
        <v>20203.975131574</v>
      </c>
      <c r="U51" s="3">
        <v>4910.0439999999999</v>
      </c>
      <c r="V51" s="3">
        <v>7836.3034122801901</v>
      </c>
      <c r="W51" s="3">
        <v>1938.2025000000001</v>
      </c>
      <c r="X51" s="3">
        <v>1938.2025000000001</v>
      </c>
      <c r="Y51" s="3">
        <v>0</v>
      </c>
      <c r="Z51" s="3">
        <v>26412.406416667302</v>
      </c>
      <c r="AA51" s="3">
        <v>4910.0439999999999</v>
      </c>
      <c r="AB51" s="3">
        <v>3751.33249999996</v>
      </c>
      <c r="AC51" s="3">
        <v>1938.2025000000001</v>
      </c>
      <c r="AD51" s="3">
        <v>19142.874631574101</v>
      </c>
      <c r="AE51" s="3">
        <v>4594.3324999999804</v>
      </c>
      <c r="AF51" s="3">
        <v>0</v>
      </c>
      <c r="AG51" s="3">
        <v>0</v>
      </c>
      <c r="AH51" s="3">
        <v>0</v>
      </c>
      <c r="AI51" s="3">
        <v>17932.478041171398</v>
      </c>
      <c r="AJ51" s="3">
        <v>0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5">
        <v>3479.2323565573802</v>
      </c>
      <c r="AZ51" s="5">
        <v>1938.2025000000001</v>
      </c>
      <c r="BA51" s="3">
        <v>0</v>
      </c>
      <c r="BB51" s="3">
        <v>0</v>
      </c>
      <c r="BC51" s="3">
        <v>0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</row>
    <row r="52" spans="1:60" x14ac:dyDescent="0.3">
      <c r="A52" t="s">
        <v>0</v>
      </c>
      <c r="B52" s="3">
        <v>337164.63573730801</v>
      </c>
      <c r="C52" s="3">
        <v>336761.958438578</v>
      </c>
      <c r="D52" s="3">
        <v>336872.86486429803</v>
      </c>
      <c r="E52" s="3">
        <v>6278182.9098127401</v>
      </c>
      <c r="F52" s="12">
        <v>6336354.5687585501</v>
      </c>
      <c r="G52" s="3">
        <v>5943980.3882502103</v>
      </c>
      <c r="H52" s="3">
        <v>335961.87677191099</v>
      </c>
      <c r="I52" s="3">
        <v>5947935.8225923199</v>
      </c>
      <c r="J52" s="3">
        <v>7681325.4571270896</v>
      </c>
      <c r="K52" s="3">
        <v>7684650.6901621604</v>
      </c>
      <c r="L52" s="3">
        <v>7684705.8208288299</v>
      </c>
      <c r="M52" s="3">
        <v>7684705.8208288299</v>
      </c>
      <c r="N52" s="3">
        <v>7684705.8208288299</v>
      </c>
      <c r="O52" s="3">
        <v>7684705.8208288299</v>
      </c>
      <c r="P52" s="3">
        <v>7684705.8208288299</v>
      </c>
      <c r="Q52" s="3">
        <v>7677538.35377621</v>
      </c>
      <c r="R52" s="3">
        <v>7682132.1208288204</v>
      </c>
      <c r="S52" s="3">
        <v>7682132.1208288204</v>
      </c>
      <c r="T52" s="3">
        <v>7667881.3627358396</v>
      </c>
      <c r="U52" s="3">
        <v>7681733.9793288196</v>
      </c>
      <c r="V52" s="3">
        <v>7678807.7199165598</v>
      </c>
      <c r="W52" s="3">
        <v>7701954.5164809404</v>
      </c>
      <c r="X52" s="3">
        <v>7742856.9584058197</v>
      </c>
      <c r="Y52" s="3">
        <v>7686644.0233288202</v>
      </c>
      <c r="Z52" s="3">
        <v>5964037.8031871403</v>
      </c>
      <c r="AA52" s="3">
        <v>7681733.9793288196</v>
      </c>
      <c r="AB52" s="3">
        <v>7723147.0301441904</v>
      </c>
      <c r="AC52" s="3">
        <v>7834183.0799589399</v>
      </c>
      <c r="AD52" s="3">
        <v>7651860.8748363797</v>
      </c>
      <c r="AE52" s="3">
        <v>7696561.1029538801</v>
      </c>
      <c r="AF52" s="3">
        <v>7756474.2545233704</v>
      </c>
      <c r="AG52" s="3">
        <v>7738442.9501755601</v>
      </c>
      <c r="AH52" s="3">
        <v>7801298.3489856403</v>
      </c>
      <c r="AI52" s="3">
        <v>7623012.1342303902</v>
      </c>
      <c r="AJ52" s="3">
        <v>8112012.18704974</v>
      </c>
      <c r="AK52" s="3">
        <v>7857985.8344626203</v>
      </c>
      <c r="AL52" s="3">
        <v>7615479.0713864798</v>
      </c>
      <c r="AM52" s="3">
        <v>7657349.3115268704</v>
      </c>
      <c r="AN52" s="3">
        <v>7685171.3318801597</v>
      </c>
      <c r="AO52" s="3">
        <v>7682129.2886530804</v>
      </c>
      <c r="AP52" s="3">
        <v>7645987.1500695003</v>
      </c>
      <c r="AQ52" s="3">
        <v>7670008.2503163796</v>
      </c>
      <c r="AR52" s="3">
        <v>7718560.1127042398</v>
      </c>
      <c r="AS52" s="3">
        <v>7645987.1500695003</v>
      </c>
      <c r="AT52" s="3">
        <v>7688039.5546650495</v>
      </c>
      <c r="AU52" s="3">
        <v>7701385.7281562602</v>
      </c>
      <c r="AV52" s="3">
        <v>7645987.1500695003</v>
      </c>
      <c r="AW52" s="3">
        <v>7725720.7734476104</v>
      </c>
      <c r="AX52" s="3">
        <v>7670008.2503171796</v>
      </c>
      <c r="AY52" s="3">
        <v>7695137.8891912401</v>
      </c>
      <c r="AZ52" s="3">
        <v>7720674.3747738795</v>
      </c>
      <c r="BA52" s="3">
        <v>7724323.5477085998</v>
      </c>
      <c r="BB52" s="3">
        <v>7670008.2503171796</v>
      </c>
      <c r="BC52" s="3">
        <v>7688039.5546650495</v>
      </c>
      <c r="BD52" s="3">
        <v>7670008.2503171796</v>
      </c>
      <c r="BE52" s="3">
        <v>7688039.5546650495</v>
      </c>
      <c r="BF52" s="3">
        <v>7670008.2503171796</v>
      </c>
      <c r="BG52" s="3">
        <v>7670008.2503171796</v>
      </c>
      <c r="BH52" s="3">
        <v>7724238.60023019</v>
      </c>
    </row>
    <row r="53" spans="1:60" x14ac:dyDescent="0.3">
      <c r="A53" t="s">
        <v>1</v>
      </c>
      <c r="B53" s="11">
        <v>324696.16976015997</v>
      </c>
      <c r="C53" s="3">
        <v>0</v>
      </c>
      <c r="D53" s="3">
        <v>327715.63633730198</v>
      </c>
      <c r="E53" s="3">
        <v>559330.96795197902</v>
      </c>
      <c r="F53" s="3">
        <v>881256.44645368401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99359.999999997905</v>
      </c>
      <c r="X53" s="3">
        <v>324749.497688164</v>
      </c>
      <c r="Y53" s="3">
        <v>0</v>
      </c>
      <c r="Z53" s="3">
        <v>13771.3531754377</v>
      </c>
      <c r="AA53" s="3">
        <v>0</v>
      </c>
      <c r="AB53" s="3">
        <v>225883.31279995001</v>
      </c>
      <c r="AC53" s="3">
        <v>827994.48000002</v>
      </c>
      <c r="AD53" s="3">
        <v>0</v>
      </c>
      <c r="AE53" s="3">
        <v>170972.06399999399</v>
      </c>
      <c r="AF53" s="3">
        <v>99359.999999999898</v>
      </c>
      <c r="AG53" s="3">
        <v>0</v>
      </c>
      <c r="AH53" s="3">
        <v>346359.43719299103</v>
      </c>
      <c r="AI53" s="3">
        <v>137867.519999999</v>
      </c>
      <c r="AJ53" s="3">
        <v>560.22297149122903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398831.03999970399</v>
      </c>
      <c r="AS53" s="3">
        <v>0</v>
      </c>
      <c r="AT53" s="3">
        <v>99359.999999997701</v>
      </c>
      <c r="AU53" s="3">
        <v>305269.24799992499</v>
      </c>
      <c r="AV53" s="3">
        <v>0</v>
      </c>
      <c r="AW53" s="3">
        <v>306999.21599986602</v>
      </c>
      <c r="AX53" s="3">
        <v>0</v>
      </c>
      <c r="AY53" s="3">
        <v>290013.07200001698</v>
      </c>
      <c r="AZ53" s="3">
        <v>289871.75999992999</v>
      </c>
      <c r="BA53" s="5">
        <v>299299.91999988299</v>
      </c>
      <c r="BB53" s="5">
        <v>0</v>
      </c>
      <c r="BC53" s="3">
        <v>99359.999999997701</v>
      </c>
      <c r="BD53" s="3">
        <v>0</v>
      </c>
      <c r="BE53" s="3">
        <v>99359.999999997701</v>
      </c>
      <c r="BF53" s="3">
        <v>0</v>
      </c>
      <c r="BG53" s="3">
        <v>0</v>
      </c>
      <c r="BH53" s="3">
        <v>298831.823999941</v>
      </c>
    </row>
    <row r="54" spans="1:60" x14ac:dyDescent="0.3">
      <c r="A54" t="s">
        <v>35</v>
      </c>
      <c r="B54" s="3">
        <v>6752.93801754385</v>
      </c>
      <c r="C54" s="3">
        <v>16424.331885964901</v>
      </c>
      <c r="D54" s="3">
        <v>6349.7904769507604</v>
      </c>
      <c r="E54" s="3">
        <v>937.66856140350899</v>
      </c>
      <c r="F54" s="3">
        <v>1008.08645614035</v>
      </c>
      <c r="G54" s="3">
        <v>1964.3731228069501</v>
      </c>
      <c r="H54" s="3">
        <v>21154.036342104999</v>
      </c>
      <c r="I54" s="3">
        <v>1964.37312280688</v>
      </c>
      <c r="J54" s="3">
        <v>3222.7598596491198</v>
      </c>
      <c r="K54" s="3">
        <v>4.1389114358025804E-12</v>
      </c>
      <c r="L54" s="3">
        <v>3.7125857943465202E-12</v>
      </c>
      <c r="M54" s="3">
        <v>3.1441516057384401E-12</v>
      </c>
      <c r="N54" s="3">
        <v>3.1441516057384401E-12</v>
      </c>
      <c r="O54" s="3">
        <v>3.1441516057384401E-12</v>
      </c>
      <c r="P54" s="3">
        <v>3.1441516057384401E-12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3.1441516057384401E-12</v>
      </c>
      <c r="W54" s="3">
        <v>3.1441516057384401E-12</v>
      </c>
      <c r="X54" s="3">
        <v>3.11572989630803E-12</v>
      </c>
      <c r="Y54" s="3">
        <v>1.95754523701907E-12</v>
      </c>
      <c r="Z54" s="3">
        <v>1698524.44114494</v>
      </c>
      <c r="AA54" s="3">
        <v>0</v>
      </c>
      <c r="AB54" s="3">
        <v>0</v>
      </c>
      <c r="AC54" s="3">
        <v>0</v>
      </c>
      <c r="AD54" s="3">
        <v>0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>
        <v>0</v>
      </c>
      <c r="BA54" s="3">
        <v>0</v>
      </c>
      <c r="BB54" s="3">
        <v>0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</row>
    <row r="55" spans="1:60" x14ac:dyDescent="0.3">
      <c r="A55" s="2" t="s">
        <v>22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</row>
    <row r="56" spans="1:60" x14ac:dyDescent="0.3">
      <c r="A56" t="s">
        <v>0</v>
      </c>
      <c r="B56" s="3">
        <v>2535.1691318804301</v>
      </c>
      <c r="C56" s="3">
        <v>2589.3631017543798</v>
      </c>
      <c r="D56" s="3">
        <v>2193.5850658356599</v>
      </c>
      <c r="E56" s="3">
        <v>1487.7023433096799</v>
      </c>
      <c r="F56" s="3">
        <v>2058.1905548631398</v>
      </c>
      <c r="G56" s="3">
        <v>584.79838596491197</v>
      </c>
      <c r="H56" s="3">
        <v>1656.9666456140301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194.31494736827901</v>
      </c>
      <c r="R56" s="3">
        <v>0</v>
      </c>
      <c r="S56" s="3">
        <v>0</v>
      </c>
      <c r="T56" s="3">
        <v>1441.3145385963601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44.891245614034702</v>
      </c>
      <c r="AC56" s="3">
        <v>0</v>
      </c>
      <c r="AD56" s="3">
        <v>995.49915087643501</v>
      </c>
      <c r="AE56" s="3">
        <v>120.118701754385</v>
      </c>
      <c r="AF56" s="3">
        <v>0</v>
      </c>
      <c r="AG56" s="3">
        <v>0</v>
      </c>
      <c r="AH56" s="3">
        <v>0</v>
      </c>
      <c r="AI56" s="3">
        <v>446.10436332767398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195.30698254971401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</row>
    <row r="57" spans="1:60" x14ac:dyDescent="0.3">
      <c r="A57" t="s">
        <v>24</v>
      </c>
      <c r="B57" s="3">
        <v>7679108.4766157903</v>
      </c>
      <c r="C57" s="3">
        <v>7669437.0827471996</v>
      </c>
      <c r="D57" s="3">
        <v>7679511.6241560802</v>
      </c>
      <c r="E57" s="3">
        <v>7684923.7460718304</v>
      </c>
      <c r="F57" s="3">
        <v>7684853.3281770796</v>
      </c>
      <c r="G57" s="3">
        <v>7683897.04151031</v>
      </c>
      <c r="H57" s="3">
        <v>7664707.3782909596</v>
      </c>
      <c r="I57" s="3">
        <v>7683897.04151031</v>
      </c>
      <c r="J57" s="3">
        <v>7682638.6547735296</v>
      </c>
      <c r="K57" s="3">
        <v>7685861.4146331698</v>
      </c>
      <c r="L57" s="3">
        <v>7685861.4146331698</v>
      </c>
      <c r="M57" s="3">
        <v>7685861.4146331698</v>
      </c>
      <c r="N57" s="3">
        <v>7685861.4146331698</v>
      </c>
      <c r="O57" s="3">
        <v>7685861.4146331698</v>
      </c>
      <c r="P57" s="3">
        <v>7685861.4146331698</v>
      </c>
      <c r="Q57" s="3">
        <v>7685861.4146331698</v>
      </c>
      <c r="R57" s="3">
        <v>7685861.4146331698</v>
      </c>
      <c r="S57" s="3">
        <v>7685861.4146331698</v>
      </c>
      <c r="T57" s="3">
        <v>7685861.4146331698</v>
      </c>
      <c r="U57" s="3">
        <v>7685861.4146331698</v>
      </c>
      <c r="V57" s="3">
        <v>7685861.4146331698</v>
      </c>
      <c r="W57" s="3">
        <v>7685861.4146331698</v>
      </c>
      <c r="X57" s="3">
        <v>7685861.4146331698</v>
      </c>
      <c r="Y57" s="3">
        <v>7685861.4146331698</v>
      </c>
      <c r="Z57" s="3">
        <v>5987336.9734887797</v>
      </c>
      <c r="AA57" s="3">
        <v>7685861.4146331698</v>
      </c>
      <c r="AB57" s="3">
        <v>7685861.4146331698</v>
      </c>
      <c r="AC57" s="3">
        <v>7685861.4146331698</v>
      </c>
      <c r="AD57" s="3">
        <v>7670008.2503171796</v>
      </c>
      <c r="AE57" s="3">
        <v>7670008.2503171796</v>
      </c>
      <c r="AF57" s="3">
        <v>7738442.9501755601</v>
      </c>
      <c r="AG57" s="3">
        <v>7738442.9501755601</v>
      </c>
      <c r="AH57" s="3">
        <v>7738442.9501755601</v>
      </c>
      <c r="AI57" s="3">
        <v>7615479.0713864798</v>
      </c>
      <c r="AJ57" s="3">
        <v>8111910.5208772197</v>
      </c>
      <c r="AK57" s="3">
        <v>7857985.8344626203</v>
      </c>
      <c r="AL57" s="3">
        <v>7615479.0713864798</v>
      </c>
      <c r="AM57" s="3">
        <v>7657349.3115268704</v>
      </c>
      <c r="AN57" s="3">
        <v>7685171.3318804</v>
      </c>
      <c r="AO57" s="3">
        <v>7682129.2886527795</v>
      </c>
      <c r="AP57" s="3">
        <v>7645987.1500695003</v>
      </c>
      <c r="AQ57" s="3">
        <v>7670008.2503171796</v>
      </c>
      <c r="AR57" s="3">
        <v>7645987.1500695003</v>
      </c>
      <c r="AS57" s="3">
        <v>7645987.1500695003</v>
      </c>
      <c r="AT57" s="3">
        <v>7670008.2503171796</v>
      </c>
      <c r="AU57" s="3">
        <v>7645987.1500695003</v>
      </c>
      <c r="AV57" s="3">
        <v>7645987.1500695003</v>
      </c>
      <c r="AW57" s="3">
        <v>7670008.2503171796</v>
      </c>
      <c r="AX57" s="3">
        <v>7670008.2503171796</v>
      </c>
      <c r="AY57" s="3">
        <v>7645987.1500695003</v>
      </c>
      <c r="AZ57" s="3">
        <v>7670008.2503171796</v>
      </c>
      <c r="BA57" s="3">
        <v>7670008.2503171796</v>
      </c>
      <c r="BB57" s="3">
        <v>7670008.2503171796</v>
      </c>
      <c r="BC57" s="3">
        <v>7670008.2503171796</v>
      </c>
      <c r="BD57" s="3">
        <v>7670008.2503171796</v>
      </c>
      <c r="BE57" s="3">
        <v>7670008.2503171796</v>
      </c>
      <c r="BF57" s="3">
        <v>7670008.2503171796</v>
      </c>
      <c r="BG57" s="3">
        <v>7670008.2503171796</v>
      </c>
      <c r="BH57" s="3">
        <v>7670008.2503171796</v>
      </c>
    </row>
    <row r="58" spans="1:60" x14ac:dyDescent="0.3">
      <c r="A58" t="s">
        <v>1</v>
      </c>
      <c r="B58" s="11">
        <v>383620.23837449402</v>
      </c>
      <c r="C58" s="3">
        <v>0</v>
      </c>
      <c r="D58" s="3">
        <v>387187.66107901599</v>
      </c>
      <c r="E58" s="3">
        <v>660835.264593623</v>
      </c>
      <c r="F58" s="3">
        <v>1041182.00195373</v>
      </c>
      <c r="G58" s="3">
        <v>782.60869565217297</v>
      </c>
      <c r="H58" s="3">
        <v>0</v>
      </c>
      <c r="I58" s="3">
        <v>782.60869565217297</v>
      </c>
      <c r="J58" s="3">
        <v>782.60869565217297</v>
      </c>
      <c r="K58" s="3">
        <v>782.60869565217297</v>
      </c>
      <c r="L58" s="3">
        <v>782.60869565217297</v>
      </c>
      <c r="M58" s="3">
        <v>782.60869565217297</v>
      </c>
      <c r="N58" s="3">
        <v>782.60869565217297</v>
      </c>
      <c r="O58" s="3">
        <v>782.60869565217297</v>
      </c>
      <c r="P58" s="3">
        <v>782.60869565217297</v>
      </c>
      <c r="Q58" s="3">
        <v>782.60869565217297</v>
      </c>
      <c r="R58" s="3">
        <v>782.60869565217297</v>
      </c>
      <c r="S58" s="3">
        <v>782.60869565217297</v>
      </c>
      <c r="T58" s="3">
        <v>782.60869565217297</v>
      </c>
      <c r="U58" s="3">
        <v>782.60869565217297</v>
      </c>
      <c r="V58" s="3">
        <v>782.60869565217297</v>
      </c>
      <c r="W58" s="3">
        <v>117391.304347823</v>
      </c>
      <c r="X58" s="3">
        <v>383683.243960477</v>
      </c>
      <c r="Y58" s="3">
        <v>782.60869565217297</v>
      </c>
      <c r="Z58" s="3">
        <v>16884.589290453299</v>
      </c>
      <c r="AA58" s="3">
        <v>782.60869565217297</v>
      </c>
      <c r="AB58" s="3">
        <v>266875.36956515198</v>
      </c>
      <c r="AC58" s="3">
        <v>978254.34782616596</v>
      </c>
      <c r="AD58" s="3">
        <v>0</v>
      </c>
      <c r="AE58" s="3">
        <v>201999.13043478501</v>
      </c>
      <c r="AF58" s="3">
        <v>117391.30434782599</v>
      </c>
      <c r="AG58" s="3">
        <v>0</v>
      </c>
      <c r="AH58" s="3">
        <v>409214.83600306098</v>
      </c>
      <c r="AI58" s="3">
        <v>162886.956521741</v>
      </c>
      <c r="AJ58" s="3">
        <v>661.88914401137595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471208.69565183698</v>
      </c>
      <c r="AS58" s="3">
        <v>0</v>
      </c>
      <c r="AT58" s="3">
        <v>117391.304347824</v>
      </c>
      <c r="AU58" s="3">
        <v>360667.82608691702</v>
      </c>
      <c r="AV58" s="3">
        <v>0</v>
      </c>
      <c r="AW58" s="3">
        <v>362711.73913027602</v>
      </c>
      <c r="AX58" s="3">
        <v>0</v>
      </c>
      <c r="AY58" s="3">
        <v>342643.04347831698</v>
      </c>
      <c r="AZ58" s="3">
        <v>342476.08695644501</v>
      </c>
      <c r="BA58" s="3">
        <v>353615.21739113302</v>
      </c>
      <c r="BB58" s="3">
        <v>0</v>
      </c>
      <c r="BC58" s="3">
        <v>117391.304347824</v>
      </c>
      <c r="BD58" s="3">
        <v>0</v>
      </c>
      <c r="BE58" s="3">
        <v>117391.304347824</v>
      </c>
      <c r="BF58" s="3">
        <v>0</v>
      </c>
      <c r="BG58" s="3">
        <v>0</v>
      </c>
      <c r="BH58" s="3">
        <v>353062.173912998</v>
      </c>
    </row>
    <row r="59" spans="1:60" x14ac:dyDescent="0.3">
      <c r="A59" s="2" t="s">
        <v>27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</row>
    <row r="60" spans="1:60" x14ac:dyDescent="0.3">
      <c r="A60" t="s">
        <v>2</v>
      </c>
      <c r="B60" s="3">
        <v>2260249288.6444201</v>
      </c>
      <c r="C60" s="3">
        <v>2239446665.75877</v>
      </c>
      <c r="D60" s="3">
        <v>2260524451.4497299</v>
      </c>
      <c r="E60" s="3">
        <v>460919462.39662403</v>
      </c>
      <c r="F60" s="3">
        <v>461148335.73813999</v>
      </c>
      <c r="G60" s="3">
        <v>531611748.93757701</v>
      </c>
      <c r="H60" s="3">
        <v>2237962297.6343999</v>
      </c>
      <c r="I60" s="3">
        <v>530225621.81672299</v>
      </c>
      <c r="J60" s="3">
        <v>639846.93843812495</v>
      </c>
      <c r="K60" s="3">
        <v>608562.01184010797</v>
      </c>
      <c r="L60" s="3">
        <v>591730.69132540701</v>
      </c>
      <c r="M60" s="3">
        <v>591730.69132540701</v>
      </c>
      <c r="N60" s="3">
        <v>591730.69132540701</v>
      </c>
      <c r="O60" s="3">
        <v>591730.69132540701</v>
      </c>
      <c r="P60" s="3">
        <v>591730.69132540701</v>
      </c>
      <c r="Q60" s="3">
        <v>2839273.1190358298</v>
      </c>
      <c r="R60" s="3">
        <v>1377477.9392338099</v>
      </c>
      <c r="S60" s="3">
        <v>1377477.9392338099</v>
      </c>
      <c r="T60" s="3">
        <v>6168247.2146886503</v>
      </c>
      <c r="U60" s="3">
        <v>1499030.01908116</v>
      </c>
      <c r="V60" s="3">
        <v>2392413.1950011398</v>
      </c>
      <c r="W60" s="3">
        <v>591730.69132540701</v>
      </c>
      <c r="X60" s="3">
        <v>591730.69132540701</v>
      </c>
      <c r="Y60" s="3">
        <v>0</v>
      </c>
      <c r="Z60" s="3">
        <v>8063673.1757917404</v>
      </c>
      <c r="AA60" s="3">
        <v>1499030.01908116</v>
      </c>
      <c r="AB60" s="3">
        <v>1145276.9117862701</v>
      </c>
      <c r="AC60" s="3">
        <v>591730.69132540701</v>
      </c>
      <c r="AD60" s="3">
        <v>5844294.6181820296</v>
      </c>
      <c r="AE60" s="3">
        <v>1402643.7105533399</v>
      </c>
      <c r="AF60" s="3">
        <v>0</v>
      </c>
      <c r="AG60" s="3">
        <v>0</v>
      </c>
      <c r="AH60" s="3">
        <v>0</v>
      </c>
      <c r="AI60" s="3">
        <v>5474762.1203048099</v>
      </c>
      <c r="AJ60" s="3">
        <v>0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1062205.09344478</v>
      </c>
      <c r="AZ60" s="3">
        <v>591730.69132540701</v>
      </c>
      <c r="BA60" s="3">
        <v>0</v>
      </c>
      <c r="BB60" s="3">
        <v>0</v>
      </c>
      <c r="BC60" s="3">
        <v>0</v>
      </c>
      <c r="BD60" s="3">
        <v>0</v>
      </c>
      <c r="BE60" s="3">
        <v>0</v>
      </c>
      <c r="BF60" s="3">
        <v>0</v>
      </c>
      <c r="BG60" s="3">
        <v>0</v>
      </c>
      <c r="BH60" s="3">
        <v>0</v>
      </c>
    </row>
    <row r="61" spans="1:60" x14ac:dyDescent="0.3">
      <c r="A61" t="s">
        <v>0</v>
      </c>
      <c r="B61" s="3">
        <v>18371882.370204199</v>
      </c>
      <c r="C61" s="3">
        <v>18146873.031422999</v>
      </c>
      <c r="D61" s="3">
        <v>18289531.5125539</v>
      </c>
      <c r="E61" s="3">
        <v>234763710.57674</v>
      </c>
      <c r="F61" s="3">
        <v>227413103.07681701</v>
      </c>
      <c r="G61" s="3">
        <v>249860024.891193</v>
      </c>
      <c r="H61" s="3">
        <v>17521742.9570923</v>
      </c>
      <c r="I61" s="3">
        <v>252333604.42830101</v>
      </c>
      <c r="J61" s="3">
        <v>329982083.09076297</v>
      </c>
      <c r="K61" s="3">
        <v>330398029.65081698</v>
      </c>
      <c r="L61" s="3">
        <v>330402311.13827002</v>
      </c>
      <c r="M61" s="3">
        <v>330402311.13827002</v>
      </c>
      <c r="N61" s="3">
        <v>330402311.13827002</v>
      </c>
      <c r="O61" s="3">
        <v>330402311.13827002</v>
      </c>
      <c r="P61" s="3">
        <v>330402311.13827002</v>
      </c>
      <c r="Q61" s="3">
        <v>327219838.05708098</v>
      </c>
      <c r="R61" s="3">
        <v>328584828.54076999</v>
      </c>
      <c r="S61" s="3">
        <v>328584828.54076999</v>
      </c>
      <c r="T61" s="3">
        <v>322334999.496795</v>
      </c>
      <c r="U61" s="3">
        <v>328303670.96700698</v>
      </c>
      <c r="V61" s="3">
        <v>328219104.25765502</v>
      </c>
      <c r="W61" s="3">
        <v>322282395.35480398</v>
      </c>
      <c r="X61" s="3">
        <v>315931450.39272302</v>
      </c>
      <c r="Y61" s="3">
        <v>331771021.28870797</v>
      </c>
      <c r="Z61" s="3">
        <v>252601857.22029799</v>
      </c>
      <c r="AA61" s="3">
        <v>328303670.96700698</v>
      </c>
      <c r="AB61" s="3">
        <v>310651371.83779597</v>
      </c>
      <c r="AC61" s="3">
        <v>293476673.11755598</v>
      </c>
      <c r="AD61" s="3">
        <v>322569681.484052</v>
      </c>
      <c r="AE61" s="3">
        <v>320418933.44793701</v>
      </c>
      <c r="AF61" s="3">
        <v>342347551.07335502</v>
      </c>
      <c r="AG61" s="3">
        <v>346789114.358648</v>
      </c>
      <c r="AH61" s="3">
        <v>338250676.99282497</v>
      </c>
      <c r="AI61" s="3">
        <v>335761213.19798303</v>
      </c>
      <c r="AJ61" s="3">
        <v>445384864.54277402</v>
      </c>
      <c r="AK61" s="3">
        <v>431447564.16910702</v>
      </c>
      <c r="AL61" s="3">
        <v>351808996.53383201</v>
      </c>
      <c r="AM61" s="3">
        <v>333523585.99850601</v>
      </c>
      <c r="AN61" s="3">
        <v>380189251.57179201</v>
      </c>
      <c r="AO61" s="3">
        <v>326831944.91225201</v>
      </c>
      <c r="AP61" s="3">
        <v>341287726.17254299</v>
      </c>
      <c r="AQ61" s="3">
        <v>331464587.11156601</v>
      </c>
      <c r="AR61" s="3">
        <v>321206562.43709701</v>
      </c>
      <c r="AS61" s="3">
        <v>341287726.17254299</v>
      </c>
      <c r="AT61" s="3">
        <v>326896914.53985</v>
      </c>
      <c r="AU61" s="3">
        <v>325908952.656555</v>
      </c>
      <c r="AV61" s="3">
        <v>341287726.17254299</v>
      </c>
      <c r="AW61" s="3">
        <v>317355520.34808803</v>
      </c>
      <c r="AX61" s="3">
        <v>331464587.11163098</v>
      </c>
      <c r="AY61" s="3">
        <v>324079069.57940698</v>
      </c>
      <c r="AZ61" s="3">
        <v>316774587.81657398</v>
      </c>
      <c r="BA61" s="3">
        <v>317710687.31554198</v>
      </c>
      <c r="BB61" s="3">
        <v>331464587.11163098</v>
      </c>
      <c r="BC61" s="3">
        <v>326896914.53985</v>
      </c>
      <c r="BD61" s="3">
        <v>331464587.11163098</v>
      </c>
      <c r="BE61" s="3">
        <v>326896914.53985</v>
      </c>
      <c r="BF61" s="3">
        <v>331464587.11163098</v>
      </c>
      <c r="BG61" s="3">
        <v>331464587.11163098</v>
      </c>
      <c r="BH61" s="3">
        <v>317732205.41549498</v>
      </c>
    </row>
    <row r="62" spans="1:60" x14ac:dyDescent="0.3">
      <c r="A62" t="s">
        <v>1</v>
      </c>
      <c r="B62" s="3">
        <v>0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>
        <v>0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</row>
    <row r="63" spans="1:60" x14ac:dyDescent="0.3">
      <c r="A63" s="2" t="s">
        <v>28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</row>
    <row r="64" spans="1:60" x14ac:dyDescent="0.3">
      <c r="A64" t="s">
        <v>0</v>
      </c>
      <c r="B64" s="3">
        <v>1805535.0043492101</v>
      </c>
      <c r="C64" s="3">
        <v>1377546.9412949099</v>
      </c>
      <c r="D64" s="3">
        <v>1669852.12173551</v>
      </c>
      <c r="E64" s="3">
        <v>518786.21999804798</v>
      </c>
      <c r="F64" s="3">
        <v>502929.45532035403</v>
      </c>
      <c r="G64" s="3">
        <v>222662.824504385</v>
      </c>
      <c r="H64" s="3">
        <v>674248.02661492105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68999.202625197096</v>
      </c>
      <c r="R64" s="3">
        <v>0</v>
      </c>
      <c r="S64" s="3">
        <v>0</v>
      </c>
      <c r="T64" s="3">
        <v>566839.10952401999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15134.328222105099</v>
      </c>
      <c r="AC64" s="3">
        <v>0</v>
      </c>
      <c r="AD64" s="3">
        <v>358632.62827266002</v>
      </c>
      <c r="AE64" s="3">
        <v>40154.239265964701</v>
      </c>
      <c r="AF64" s="3">
        <v>0</v>
      </c>
      <c r="AG64" s="3">
        <v>0</v>
      </c>
      <c r="AH64" s="3">
        <v>0</v>
      </c>
      <c r="AI64" s="3">
        <v>140058.92591035599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11438.8122982648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</row>
    <row r="65" spans="1:60" x14ac:dyDescent="0.3">
      <c r="A65" t="s">
        <v>24</v>
      </c>
      <c r="B65" s="3">
        <v>19197771191.536098</v>
      </c>
      <c r="C65" s="3">
        <v>19173592706.863701</v>
      </c>
      <c r="D65" s="3">
        <v>19198779060.3866</v>
      </c>
      <c r="E65" s="3">
        <v>19212309365.176102</v>
      </c>
      <c r="F65" s="3">
        <v>19212133320.439201</v>
      </c>
      <c r="G65" s="3">
        <v>19209742603.772499</v>
      </c>
      <c r="H65" s="3">
        <v>19161768445.724098</v>
      </c>
      <c r="I65" s="3">
        <v>19209742603.772499</v>
      </c>
      <c r="J65" s="3">
        <v>19206596636.9305</v>
      </c>
      <c r="K65" s="3">
        <v>76858614146.318405</v>
      </c>
      <c r="L65" s="3">
        <v>76858614146.318405</v>
      </c>
      <c r="M65" s="3">
        <v>76858614146.318405</v>
      </c>
      <c r="N65" s="3">
        <v>153717228292.63599</v>
      </c>
      <c r="O65" s="3">
        <v>384293070731.54797</v>
      </c>
      <c r="P65" s="3">
        <v>768586141463.09595</v>
      </c>
      <c r="Q65" s="3">
        <v>76858614146.318405</v>
      </c>
      <c r="R65" s="3">
        <v>76858614146.318405</v>
      </c>
      <c r="S65" s="3">
        <v>76858614146.318405</v>
      </c>
      <c r="T65" s="3">
        <v>76858614146.318405</v>
      </c>
      <c r="U65" s="3">
        <v>76858614146.318405</v>
      </c>
      <c r="V65" s="3">
        <v>76858614146.318405</v>
      </c>
      <c r="W65" s="3">
        <v>76858614146.318405</v>
      </c>
      <c r="X65" s="3">
        <v>76858614146.318405</v>
      </c>
      <c r="Y65" s="3">
        <v>76858614146.318405</v>
      </c>
      <c r="Z65" s="3">
        <v>59873369734.866302</v>
      </c>
      <c r="AA65" s="3">
        <v>76858614146.318405</v>
      </c>
      <c r="AB65" s="3">
        <v>76858614146.318405</v>
      </c>
      <c r="AC65" s="3">
        <v>76858614146.318405</v>
      </c>
      <c r="AD65" s="3">
        <v>76700082503.154099</v>
      </c>
      <c r="AE65" s="3">
        <v>76700082503.154099</v>
      </c>
      <c r="AF65" s="3">
        <v>77384429501.756805</v>
      </c>
      <c r="AG65" s="3">
        <v>77384429501.756805</v>
      </c>
      <c r="AH65" s="3">
        <v>77384429501.756805</v>
      </c>
      <c r="AI65" s="3">
        <v>76154790713.864807</v>
      </c>
      <c r="AJ65" s="3">
        <v>81119105208.772095</v>
      </c>
      <c r="AK65" s="3">
        <v>78579858344.627502</v>
      </c>
      <c r="AL65" s="3">
        <v>76154790713.864807</v>
      </c>
      <c r="AM65" s="3">
        <v>76573493115.274597</v>
      </c>
      <c r="AN65" s="3">
        <v>76851713318.801193</v>
      </c>
      <c r="AO65" s="3">
        <v>76821292886.530594</v>
      </c>
      <c r="AP65" s="3">
        <v>76459871500.705399</v>
      </c>
      <c r="AQ65" s="3">
        <v>76700082503.154099</v>
      </c>
      <c r="AR65" s="3">
        <v>76459871500.705399</v>
      </c>
      <c r="AS65" s="3">
        <v>76459871500.705399</v>
      </c>
      <c r="AT65" s="3">
        <v>76700082503.154099</v>
      </c>
      <c r="AU65" s="3">
        <v>76459871500.705399</v>
      </c>
      <c r="AV65" s="3">
        <v>76459871500.705399</v>
      </c>
      <c r="AW65" s="3">
        <v>76700082503.154099</v>
      </c>
      <c r="AX65" s="3">
        <v>76700082503.154099</v>
      </c>
      <c r="AY65" s="3">
        <v>76459871500.705399</v>
      </c>
      <c r="AZ65" s="3">
        <v>76700082503.154099</v>
      </c>
      <c r="BA65" s="3">
        <v>76700082503.154099</v>
      </c>
      <c r="BB65" s="3">
        <v>76700082503.154099</v>
      </c>
      <c r="BC65" s="3">
        <v>76700082503.154099</v>
      </c>
      <c r="BD65" s="3">
        <v>76700082503.154099</v>
      </c>
      <c r="BE65" s="3">
        <v>76700082503.154099</v>
      </c>
      <c r="BF65" s="3">
        <v>76700082503.154099</v>
      </c>
      <c r="BG65" s="3">
        <v>76700082503.154099</v>
      </c>
      <c r="BH65" s="3">
        <v>76700082503.154099</v>
      </c>
    </row>
    <row r="66" spans="1:60" x14ac:dyDescent="0.3">
      <c r="A66" t="s">
        <v>1</v>
      </c>
      <c r="B66" s="3">
        <v>0</v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3">
        <v>0</v>
      </c>
      <c r="AD66" s="3">
        <v>0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</row>
    <row r="67" spans="1:60" x14ac:dyDescent="0.3">
      <c r="A67" s="9" t="s">
        <v>77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</row>
    <row r="68" spans="1:60" x14ac:dyDescent="0.3">
      <c r="A68" s="2" t="s">
        <v>45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</row>
    <row r="69" spans="1:60" x14ac:dyDescent="0.3">
      <c r="A69" t="s">
        <v>2</v>
      </c>
      <c r="B69" s="3">
        <v>53.3439298245614</v>
      </c>
      <c r="C69" s="3">
        <v>84.317824561403498</v>
      </c>
      <c r="D69" s="3">
        <v>54.168491228070103</v>
      </c>
      <c r="E69" s="3">
        <v>53.3439298245614</v>
      </c>
      <c r="F69" s="3">
        <v>54.917894736842101</v>
      </c>
      <c r="G69" s="3">
        <v>84.317824561403498</v>
      </c>
      <c r="H69" s="3">
        <v>84.317824561403498</v>
      </c>
      <c r="I69" s="3">
        <v>84.317824561403498</v>
      </c>
      <c r="J69" s="3">
        <v>12.9213500000059</v>
      </c>
      <c r="K69" s="3">
        <v>12.921350000011</v>
      </c>
      <c r="L69" s="3">
        <v>12.92135</v>
      </c>
      <c r="M69" s="3">
        <v>12.92135</v>
      </c>
      <c r="N69" s="3">
        <v>12.92135</v>
      </c>
      <c r="O69" s="3">
        <v>12.92135</v>
      </c>
      <c r="P69" s="3">
        <v>12.92135</v>
      </c>
      <c r="Q69" s="3">
        <v>58.083999999997602</v>
      </c>
      <c r="R69" s="3">
        <v>26.876349999999899</v>
      </c>
      <c r="S69" s="3">
        <v>26.876349999999899</v>
      </c>
      <c r="T69" s="3">
        <v>75.150649999998507</v>
      </c>
      <c r="U69" s="3">
        <v>28.02535</v>
      </c>
      <c r="V69" s="3">
        <v>30</v>
      </c>
      <c r="W69" s="3">
        <v>12.9213500000086</v>
      </c>
      <c r="X69" s="3">
        <v>12.92135</v>
      </c>
      <c r="Y69" s="3">
        <v>14.92135</v>
      </c>
      <c r="Z69" s="3">
        <v>12.9213500000025</v>
      </c>
      <c r="AA69" s="3">
        <v>28.02535</v>
      </c>
      <c r="AB69" s="3">
        <v>21.986999999999998</v>
      </c>
      <c r="AC69" s="3">
        <v>12.92135</v>
      </c>
      <c r="AD69" s="3">
        <v>65.7263499999939</v>
      </c>
      <c r="AE69" s="3">
        <v>26.201999999999899</v>
      </c>
      <c r="AF69" s="3">
        <v>27.135964912280699</v>
      </c>
      <c r="AG69" s="3">
        <v>14.6424561403508</v>
      </c>
      <c r="AH69" s="3">
        <v>28.614210526315699</v>
      </c>
      <c r="AI69" s="3">
        <v>28.614210526315802</v>
      </c>
      <c r="AJ69" s="3">
        <v>46.885052631578901</v>
      </c>
      <c r="AK69" s="3">
        <v>33.135964912280699</v>
      </c>
      <c r="AL69" s="3">
        <v>14.6424561403505</v>
      </c>
      <c r="AM69" s="3">
        <v>29.544335999999898</v>
      </c>
      <c r="AN69" s="3">
        <v>16.363228070175399</v>
      </c>
      <c r="AO69" s="3">
        <v>12.921350000001601</v>
      </c>
      <c r="AP69" s="3">
        <v>18.552210526315701</v>
      </c>
      <c r="AQ69" s="3">
        <v>4.3828070175438896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>
        <v>12.92135</v>
      </c>
      <c r="AZ69" s="3">
        <v>12.92135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</v>
      </c>
      <c r="BG69" s="3">
        <v>0</v>
      </c>
      <c r="BH69" s="3">
        <v>0</v>
      </c>
    </row>
    <row r="70" spans="1:60" x14ac:dyDescent="0.3">
      <c r="A70" t="s">
        <v>0</v>
      </c>
      <c r="B70" s="11">
        <v>36</v>
      </c>
      <c r="C70" s="3">
        <v>36</v>
      </c>
      <c r="D70" s="3">
        <v>36</v>
      </c>
      <c r="E70" s="3">
        <v>36</v>
      </c>
      <c r="F70" s="3">
        <v>36</v>
      </c>
      <c r="G70" s="3">
        <v>36</v>
      </c>
      <c r="H70" s="3">
        <v>36</v>
      </c>
      <c r="I70" s="3">
        <v>36</v>
      </c>
      <c r="J70" s="3">
        <v>78</v>
      </c>
      <c r="K70" s="3">
        <v>80</v>
      </c>
      <c r="L70" s="3">
        <v>80</v>
      </c>
      <c r="M70" s="3">
        <v>95.02</v>
      </c>
      <c r="N70" s="3">
        <v>95.02</v>
      </c>
      <c r="O70" s="3">
        <v>98.084000000000003</v>
      </c>
      <c r="P70" s="3">
        <v>98.084000000000003</v>
      </c>
      <c r="Q70" s="3">
        <v>80.653000000000006</v>
      </c>
      <c r="R70" s="3">
        <v>95.02</v>
      </c>
      <c r="S70" s="3">
        <v>95.02</v>
      </c>
      <c r="T70" s="3">
        <v>40</v>
      </c>
      <c r="U70" s="3">
        <v>95.02</v>
      </c>
      <c r="V70" s="3">
        <v>78</v>
      </c>
      <c r="W70" s="3">
        <v>80</v>
      </c>
      <c r="X70" s="3">
        <v>80</v>
      </c>
      <c r="Y70" s="3">
        <v>95.02</v>
      </c>
      <c r="Z70" s="3">
        <v>36</v>
      </c>
      <c r="AA70" s="3">
        <v>95.02</v>
      </c>
      <c r="AB70" s="3">
        <v>95.02</v>
      </c>
      <c r="AC70" s="3">
        <v>83.578175438596404</v>
      </c>
      <c r="AD70" s="3">
        <v>40</v>
      </c>
      <c r="AE70" s="3">
        <v>106.79814035087701</v>
      </c>
      <c r="AF70" s="3">
        <v>94.642456140350802</v>
      </c>
      <c r="AG70" s="3">
        <v>91.685964912280696</v>
      </c>
      <c r="AH70" s="3">
        <v>91.685964912280696</v>
      </c>
      <c r="AI70" s="3">
        <v>91.685964912280696</v>
      </c>
      <c r="AJ70" s="3">
        <v>80</v>
      </c>
      <c r="AK70" s="3">
        <v>94.642456140350802</v>
      </c>
      <c r="AL70" s="3">
        <v>80</v>
      </c>
      <c r="AM70" s="3">
        <v>80</v>
      </c>
      <c r="AN70" s="3">
        <v>80</v>
      </c>
      <c r="AO70" s="3">
        <v>98.084000000000003</v>
      </c>
      <c r="AP70" s="3">
        <v>95.02</v>
      </c>
      <c r="AQ70" s="3">
        <v>98.083999999995996</v>
      </c>
      <c r="AR70" s="3">
        <v>80.000000000015802</v>
      </c>
      <c r="AS70" s="3">
        <v>98.084000000000003</v>
      </c>
      <c r="AT70" s="3">
        <v>98.084000000000003</v>
      </c>
      <c r="AU70" s="3">
        <v>80</v>
      </c>
      <c r="AV70" s="3">
        <v>79.7713684210526</v>
      </c>
      <c r="AW70" s="3">
        <v>80</v>
      </c>
      <c r="AX70" s="3">
        <v>79.155508771931395</v>
      </c>
      <c r="AY70" s="3">
        <v>103.908596491228</v>
      </c>
      <c r="AZ70" s="3">
        <v>80</v>
      </c>
      <c r="BA70" s="3">
        <v>80</v>
      </c>
      <c r="BB70" s="3">
        <v>80</v>
      </c>
      <c r="BC70" s="3">
        <v>98.084000000000003</v>
      </c>
      <c r="BD70" s="3">
        <v>98.084000000000003</v>
      </c>
      <c r="BE70" s="3">
        <v>98.084000000000003</v>
      </c>
      <c r="BF70" s="3">
        <v>98.084000000000003</v>
      </c>
      <c r="BG70" s="3">
        <v>80</v>
      </c>
      <c r="BH70" s="3">
        <v>80</v>
      </c>
    </row>
    <row r="71" spans="1:60" x14ac:dyDescent="0.3">
      <c r="A71" t="s">
        <v>1</v>
      </c>
      <c r="B71" s="3">
        <v>32.769017543859597</v>
      </c>
      <c r="C71" s="3">
        <v>0</v>
      </c>
      <c r="D71" s="3">
        <v>34.694666666666599</v>
      </c>
      <c r="E71" s="3">
        <v>34.4154385964912</v>
      </c>
      <c r="F71" s="3">
        <v>33.104912280701697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6</v>
      </c>
      <c r="X71" s="3">
        <v>7.7593684210526401</v>
      </c>
      <c r="Y71" s="3">
        <v>0</v>
      </c>
      <c r="Z71" s="3">
        <v>6</v>
      </c>
      <c r="AA71" s="3">
        <v>0</v>
      </c>
      <c r="AB71" s="3">
        <v>18.083999999993299</v>
      </c>
      <c r="AC71" s="3">
        <v>19.87</v>
      </c>
      <c r="AD71" s="3">
        <v>0</v>
      </c>
      <c r="AE71" s="3">
        <v>17.318000000000001</v>
      </c>
      <c r="AF71" s="3">
        <v>6</v>
      </c>
      <c r="AG71" s="3">
        <v>0</v>
      </c>
      <c r="AH71" s="3">
        <v>10.5442105263157</v>
      </c>
      <c r="AI71" s="3">
        <v>11.8371929824561</v>
      </c>
      <c r="AJ71" s="3">
        <v>6</v>
      </c>
      <c r="AK71" s="3">
        <v>6</v>
      </c>
      <c r="AL71" s="3">
        <v>6</v>
      </c>
      <c r="AM71" s="3">
        <v>6</v>
      </c>
      <c r="AN71" s="3">
        <v>6</v>
      </c>
      <c r="AO71" s="3">
        <v>6</v>
      </c>
      <c r="AP71" s="3">
        <v>6</v>
      </c>
      <c r="AQ71" s="3">
        <v>4.3828070175448</v>
      </c>
      <c r="AR71" s="3">
        <v>24.083999999980801</v>
      </c>
      <c r="AS71" s="3">
        <v>1.0979999999986001</v>
      </c>
      <c r="AT71" s="3">
        <v>6</v>
      </c>
      <c r="AU71" s="3">
        <v>18.083999999990301</v>
      </c>
      <c r="AV71" s="3">
        <v>18.9284912280689</v>
      </c>
      <c r="AW71" s="3">
        <v>19.103999999993601</v>
      </c>
      <c r="AX71" s="3">
        <v>18.928491228068498</v>
      </c>
      <c r="AY71" s="3">
        <v>17.87</v>
      </c>
      <c r="AZ71" s="3">
        <v>19.103999999999001</v>
      </c>
      <c r="BA71" s="3">
        <v>19.317999999990899</v>
      </c>
      <c r="BB71" s="3">
        <v>18.9284912280702</v>
      </c>
      <c r="BC71" s="3">
        <v>6</v>
      </c>
      <c r="BD71" s="3">
        <v>6</v>
      </c>
      <c r="BE71" s="3">
        <v>6</v>
      </c>
      <c r="BF71" s="3">
        <v>6</v>
      </c>
      <c r="BG71" s="3">
        <v>18.928491228070101</v>
      </c>
      <c r="BH71" s="3">
        <v>19.317999999999401</v>
      </c>
    </row>
    <row r="72" spans="1:60" x14ac:dyDescent="0.3">
      <c r="A72" t="s">
        <v>75</v>
      </c>
      <c r="B72" s="3">
        <v>26.4866431643824</v>
      </c>
      <c r="C72" s="3">
        <v>34.1799122807017</v>
      </c>
      <c r="D72" s="3">
        <v>26.349473684210501</v>
      </c>
      <c r="E72" s="3">
        <v>23.117388576681101</v>
      </c>
      <c r="F72" s="3">
        <v>24.891352674537298</v>
      </c>
      <c r="G72" s="3">
        <v>34.685052631578898</v>
      </c>
      <c r="H72" s="3">
        <v>33.602350877192897</v>
      </c>
      <c r="I72" s="3">
        <v>34.685052631578898</v>
      </c>
      <c r="J72" s="3">
        <v>58.084000000000003</v>
      </c>
      <c r="K72" s="3">
        <v>30.007649999998101</v>
      </c>
      <c r="L72" s="3">
        <v>18.084</v>
      </c>
      <c r="M72" s="3">
        <v>18.084</v>
      </c>
      <c r="N72" s="3">
        <v>18.084</v>
      </c>
      <c r="O72" s="3">
        <v>16.744</v>
      </c>
      <c r="P72" s="3">
        <v>15.87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28.084</v>
      </c>
      <c r="W72" s="3">
        <v>24.007649999999899</v>
      </c>
      <c r="X72" s="3">
        <v>15.1039999972038</v>
      </c>
      <c r="Y72" s="3">
        <v>17.280649999999699</v>
      </c>
      <c r="Z72" s="3">
        <v>98.084000000000003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>
        <v>0</v>
      </c>
    </row>
    <row r="73" spans="1:60" x14ac:dyDescent="0.3">
      <c r="A73" s="2" t="s">
        <v>46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</row>
    <row r="74" spans="1:60" x14ac:dyDescent="0.3">
      <c r="A74" t="s">
        <v>0</v>
      </c>
      <c r="B74" s="3">
        <v>31.918315789471698</v>
      </c>
      <c r="C74" s="3">
        <v>34.577473684210503</v>
      </c>
      <c r="D74" s="3">
        <v>31.9702956741802</v>
      </c>
      <c r="E74" s="3">
        <v>23.7619649122806</v>
      </c>
      <c r="F74" s="3">
        <v>20.737122807017499</v>
      </c>
      <c r="G74" s="3">
        <v>30.0063157894736</v>
      </c>
      <c r="H74" s="3">
        <v>33.555754385964903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24.474877192971501</v>
      </c>
      <c r="R74" s="3">
        <v>0</v>
      </c>
      <c r="S74" s="3">
        <v>0</v>
      </c>
      <c r="T74" s="3">
        <v>38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6.0729649122806801</v>
      </c>
      <c r="AC74" s="3">
        <v>0</v>
      </c>
      <c r="AD74" s="3">
        <v>36.150209649112703</v>
      </c>
      <c r="AE74" s="3">
        <v>8.8093684210525893</v>
      </c>
      <c r="AF74" s="3">
        <v>0</v>
      </c>
      <c r="AG74" s="3">
        <v>0</v>
      </c>
      <c r="AH74" s="3">
        <v>0</v>
      </c>
      <c r="AI74" s="3">
        <v>5.7028070175438703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5.6894561403317097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</row>
    <row r="75" spans="1:60" x14ac:dyDescent="0.3">
      <c r="A75" t="s">
        <v>24</v>
      </c>
      <c r="B75" s="3">
        <v>86.112947368421004</v>
      </c>
      <c r="C75" s="3">
        <v>84.317824561403498</v>
      </c>
      <c r="D75" s="3">
        <v>86.863157894736801</v>
      </c>
      <c r="E75" s="3">
        <v>87.759368421052599</v>
      </c>
      <c r="F75" s="3">
        <v>88.022807017543798</v>
      </c>
      <c r="G75" s="3">
        <v>84.317824561403498</v>
      </c>
      <c r="H75" s="3">
        <v>84.317824561403498</v>
      </c>
      <c r="I75" s="3">
        <v>84.317824561403498</v>
      </c>
      <c r="J75" s="3">
        <v>86.207999999999998</v>
      </c>
      <c r="K75" s="3">
        <v>86.207999999999998</v>
      </c>
      <c r="L75" s="3">
        <v>86.207999999999998</v>
      </c>
      <c r="M75" s="3">
        <v>95.02</v>
      </c>
      <c r="N75" s="3">
        <v>95.02</v>
      </c>
      <c r="O75" s="3">
        <v>98.084000000000003</v>
      </c>
      <c r="P75" s="3">
        <v>98.084000000000003</v>
      </c>
      <c r="Q75" s="3">
        <v>98.084000000000003</v>
      </c>
      <c r="R75" s="3">
        <v>98.084000000000003</v>
      </c>
      <c r="S75" s="3">
        <v>98.084000000000003</v>
      </c>
      <c r="T75" s="3">
        <v>98.084000000000003</v>
      </c>
      <c r="U75" s="3">
        <v>98.084000000000003</v>
      </c>
      <c r="V75" s="3">
        <v>86.207999999999998</v>
      </c>
      <c r="W75" s="3">
        <v>86.207999999999998</v>
      </c>
      <c r="X75" s="3">
        <v>87.759368421052599</v>
      </c>
      <c r="Y75" s="3">
        <v>95.02</v>
      </c>
      <c r="Z75" s="3">
        <v>54.9213500000048</v>
      </c>
      <c r="AA75" s="3">
        <v>98.084000000000003</v>
      </c>
      <c r="AB75" s="3">
        <v>98.084000000000003</v>
      </c>
      <c r="AC75" s="3">
        <v>98.084000000000003</v>
      </c>
      <c r="AD75" s="3">
        <v>98.084000000000003</v>
      </c>
      <c r="AE75" s="3">
        <v>98.084000000000003</v>
      </c>
      <c r="AF75" s="3">
        <v>94.642456140350802</v>
      </c>
      <c r="AG75" s="3">
        <v>94.642456140350802</v>
      </c>
      <c r="AH75" s="3">
        <v>94.642456140350802</v>
      </c>
      <c r="AI75" s="3">
        <v>94.642456140350802</v>
      </c>
      <c r="AJ75" s="3">
        <v>92.921684210526294</v>
      </c>
      <c r="AK75" s="3">
        <v>94.642456140350802</v>
      </c>
      <c r="AL75" s="3">
        <v>94.642456140350802</v>
      </c>
      <c r="AM75" s="3">
        <v>94.642456140350802</v>
      </c>
      <c r="AN75" s="3">
        <v>96.363228070175396</v>
      </c>
      <c r="AO75" s="3">
        <v>98.084000000000003</v>
      </c>
      <c r="AP75" s="3">
        <v>98.084000000000003</v>
      </c>
      <c r="AQ75" s="3">
        <v>98.084000000000003</v>
      </c>
      <c r="AR75" s="3">
        <v>98.084000000000003</v>
      </c>
      <c r="AS75" s="3">
        <v>98.084000000000003</v>
      </c>
      <c r="AT75" s="3">
        <v>98.084000000000003</v>
      </c>
      <c r="AU75" s="3">
        <v>98.084000000000003</v>
      </c>
      <c r="AV75" s="3">
        <v>98.084000000000003</v>
      </c>
      <c r="AW75" s="3">
        <v>98.084000000000003</v>
      </c>
      <c r="AX75" s="3">
        <v>98.084000000000003</v>
      </c>
      <c r="AY75" s="3">
        <v>98.084000000000003</v>
      </c>
      <c r="AZ75" s="3">
        <v>98.084000000000003</v>
      </c>
      <c r="BA75" s="3">
        <v>98.084000000000003</v>
      </c>
      <c r="BB75" s="3">
        <v>98.084000000000003</v>
      </c>
      <c r="BC75" s="3">
        <v>98.084000000000003</v>
      </c>
      <c r="BD75" s="3">
        <v>98.084000000000003</v>
      </c>
      <c r="BE75" s="3">
        <v>98.084000000000003</v>
      </c>
      <c r="BF75" s="3">
        <v>98.084000000000003</v>
      </c>
      <c r="BG75" s="3">
        <v>98.084000000000003</v>
      </c>
      <c r="BH75" s="3">
        <v>98.084000000000003</v>
      </c>
    </row>
    <row r="76" spans="1:60" x14ac:dyDescent="0.3">
      <c r="A76" t="s">
        <v>1</v>
      </c>
      <c r="B76" s="3">
        <v>32.769017543859597</v>
      </c>
      <c r="C76" s="3">
        <v>0</v>
      </c>
      <c r="D76" s="3">
        <v>32.694666666666599</v>
      </c>
      <c r="E76" s="3">
        <v>34.4154385964912</v>
      </c>
      <c r="F76" s="3">
        <v>32.547859649122799</v>
      </c>
      <c r="G76" s="3">
        <v>6</v>
      </c>
      <c r="H76" s="3">
        <v>0</v>
      </c>
      <c r="I76" s="3">
        <v>6</v>
      </c>
      <c r="J76" s="3">
        <v>6</v>
      </c>
      <c r="K76" s="3">
        <v>6</v>
      </c>
      <c r="L76" s="3">
        <v>6</v>
      </c>
      <c r="M76" s="3">
        <v>6</v>
      </c>
      <c r="N76" s="3">
        <v>6</v>
      </c>
      <c r="O76" s="3">
        <v>6</v>
      </c>
      <c r="P76" s="3">
        <v>6</v>
      </c>
      <c r="Q76" s="3">
        <v>6</v>
      </c>
      <c r="R76" s="3">
        <v>6</v>
      </c>
      <c r="S76" s="3">
        <v>6</v>
      </c>
      <c r="T76" s="3">
        <v>6</v>
      </c>
      <c r="U76" s="3">
        <v>6</v>
      </c>
      <c r="V76" s="3">
        <v>6</v>
      </c>
      <c r="W76" s="3">
        <v>6</v>
      </c>
      <c r="X76" s="3">
        <v>7.7593684210526401</v>
      </c>
      <c r="Y76" s="3">
        <v>6</v>
      </c>
      <c r="Z76" s="3">
        <v>6</v>
      </c>
      <c r="AA76" s="3">
        <v>6</v>
      </c>
      <c r="AB76" s="3">
        <v>18.083999999993299</v>
      </c>
      <c r="AC76" s="3">
        <v>19.87</v>
      </c>
      <c r="AD76" s="3">
        <v>0</v>
      </c>
      <c r="AE76" s="3">
        <v>17.318000000000001</v>
      </c>
      <c r="AF76" s="3">
        <v>6</v>
      </c>
      <c r="AG76" s="3">
        <v>0</v>
      </c>
      <c r="AH76" s="3">
        <v>10.5442105263157</v>
      </c>
      <c r="AI76" s="3">
        <v>11.8371929824561</v>
      </c>
      <c r="AJ76" s="3">
        <v>6</v>
      </c>
      <c r="AK76" s="3">
        <v>6</v>
      </c>
      <c r="AL76" s="3">
        <v>6</v>
      </c>
      <c r="AM76" s="3">
        <v>6</v>
      </c>
      <c r="AN76" s="3">
        <v>6</v>
      </c>
      <c r="AO76" s="3">
        <v>6</v>
      </c>
      <c r="AP76" s="3">
        <v>6</v>
      </c>
      <c r="AQ76" s="3">
        <v>2.98677113388483</v>
      </c>
      <c r="AR76" s="3">
        <v>24.083999999980801</v>
      </c>
      <c r="AS76" s="3">
        <v>1.07775020725311</v>
      </c>
      <c r="AT76" s="3">
        <v>6</v>
      </c>
      <c r="AU76" s="3">
        <v>18.083999999990301</v>
      </c>
      <c r="AV76" s="3">
        <v>18.9284912280689</v>
      </c>
      <c r="AW76" s="3">
        <v>19.103999999993601</v>
      </c>
      <c r="AX76" s="3">
        <v>18.928491228068498</v>
      </c>
      <c r="AY76" s="3">
        <v>17.87</v>
      </c>
      <c r="AZ76" s="3">
        <v>19.103999999999001</v>
      </c>
      <c r="BA76" s="3">
        <v>19.317999999990899</v>
      </c>
      <c r="BB76" s="3">
        <v>19.317999999999302</v>
      </c>
      <c r="BC76" s="3">
        <v>6</v>
      </c>
      <c r="BD76" s="3">
        <v>6</v>
      </c>
      <c r="BE76" s="3">
        <v>6</v>
      </c>
      <c r="BF76" s="3">
        <v>6</v>
      </c>
      <c r="BG76" s="3">
        <v>19.317999999999699</v>
      </c>
      <c r="BH76" s="3">
        <v>19.317999999999401</v>
      </c>
    </row>
    <row r="77" spans="1:60" x14ac:dyDescent="0.3">
      <c r="A77" s="2" t="s">
        <v>23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</row>
    <row r="78" spans="1:60" x14ac:dyDescent="0.3">
      <c r="A78" t="s">
        <v>2</v>
      </c>
      <c r="B78" s="3">
        <v>7551914.9355758801</v>
      </c>
      <c r="C78" s="3">
        <v>7441851.4173080102</v>
      </c>
      <c r="D78" s="3">
        <v>7548317.40107805</v>
      </c>
      <c r="E78" s="3">
        <v>4709370.5991895003</v>
      </c>
      <c r="F78" s="3">
        <v>4695316.8599934299</v>
      </c>
      <c r="G78" s="3">
        <v>4690467.1677328302</v>
      </c>
      <c r="H78" s="3">
        <v>7438674.0150634302</v>
      </c>
      <c r="I78" s="3">
        <v>4687607.1544554103</v>
      </c>
      <c r="J78" s="3">
        <v>161205.78516666399</v>
      </c>
      <c r="K78" s="3">
        <v>127240.23469737</v>
      </c>
      <c r="L78" s="3">
        <v>2271.6272543858399</v>
      </c>
      <c r="M78" s="3">
        <v>3655.7006833333298</v>
      </c>
      <c r="N78" s="3">
        <v>3672.1242096491201</v>
      </c>
      <c r="O78" s="3">
        <v>3163.6046385964901</v>
      </c>
      <c r="P78" s="3">
        <v>3147.1811122806998</v>
      </c>
      <c r="Q78" s="3">
        <v>169282.024271809</v>
      </c>
      <c r="R78" s="3">
        <v>10135.2488333333</v>
      </c>
      <c r="S78" s="3">
        <v>10135.2488333333</v>
      </c>
      <c r="T78" s="3">
        <v>701317.29067674396</v>
      </c>
      <c r="U78" s="3">
        <v>11637.4284385964</v>
      </c>
      <c r="V78" s="3">
        <v>304889.459424456</v>
      </c>
      <c r="W78" s="3">
        <v>83292.406516670002</v>
      </c>
      <c r="X78" s="3">
        <v>18546.3380008772</v>
      </c>
      <c r="Y78" s="3">
        <v>56077.524044736499</v>
      </c>
      <c r="Z78" s="3">
        <v>129573.199616677</v>
      </c>
      <c r="AA78" s="3">
        <v>11637.4284385964</v>
      </c>
      <c r="AB78" s="3">
        <v>11753.176635087601</v>
      </c>
      <c r="AC78" s="3">
        <v>3295.8037982456199</v>
      </c>
      <c r="AD78" s="3">
        <v>700270.28601730801</v>
      </c>
      <c r="AE78" s="3">
        <v>45792.229685784703</v>
      </c>
      <c r="AF78" s="3">
        <v>79429.331952780296</v>
      </c>
      <c r="AG78" s="3">
        <v>7587.0842982456097</v>
      </c>
      <c r="AH78" s="3">
        <v>97550.908488644694</v>
      </c>
      <c r="AI78" s="3">
        <v>96589.410716585699</v>
      </c>
      <c r="AJ78" s="3">
        <v>358180.011412911</v>
      </c>
      <c r="AK78" s="3">
        <v>114435.099597758</v>
      </c>
      <c r="AL78" s="3">
        <v>13017.5249940064</v>
      </c>
      <c r="AM78" s="3">
        <v>66480.374027198093</v>
      </c>
      <c r="AN78" s="3">
        <v>14009.789790531901</v>
      </c>
      <c r="AO78" s="3">
        <v>10904.490845226101</v>
      </c>
      <c r="AP78" s="3">
        <v>12102.8770382291</v>
      </c>
      <c r="AQ78" s="3">
        <v>35.0624561403515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3489.6831977998299</v>
      </c>
      <c r="AZ78" s="3">
        <v>1947.2908157894699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</row>
    <row r="79" spans="1:60" x14ac:dyDescent="0.3">
      <c r="A79" t="s">
        <v>0</v>
      </c>
      <c r="B79" s="3">
        <v>189951.98703510599</v>
      </c>
      <c r="C79" s="3">
        <v>189757.69019297301</v>
      </c>
      <c r="D79" s="3">
        <v>189951.03815598899</v>
      </c>
      <c r="E79" s="3">
        <v>3049066.5912629198</v>
      </c>
      <c r="F79" s="3">
        <v>3092471.8310868102</v>
      </c>
      <c r="G79" s="3">
        <v>2879761.3036968498</v>
      </c>
      <c r="H79" s="3">
        <v>188598.06800528901</v>
      </c>
      <c r="I79" s="3">
        <v>2880290.5538512398</v>
      </c>
      <c r="J79" s="3">
        <v>7307027.2281987704</v>
      </c>
      <c r="K79" s="3">
        <v>7514449.5244724201</v>
      </c>
      <c r="L79" s="3">
        <v>7677640.5651971698</v>
      </c>
      <c r="M79" s="3">
        <v>7678386.9193024999</v>
      </c>
      <c r="N79" s="3">
        <v>7678370.4957761904</v>
      </c>
      <c r="O79" s="3">
        <v>7680688.8792498698</v>
      </c>
      <c r="P79" s="3">
        <v>7680167.6952323196</v>
      </c>
      <c r="Q79" s="3">
        <v>7517556.31400433</v>
      </c>
      <c r="R79" s="3">
        <v>7676508.7744954899</v>
      </c>
      <c r="S79" s="3">
        <v>7676508.7744954899</v>
      </c>
      <c r="T79" s="3">
        <v>6986753.9513499904</v>
      </c>
      <c r="U79" s="3">
        <v>7675006.5948902201</v>
      </c>
      <c r="V79" s="3">
        <v>7355582.8625523997</v>
      </c>
      <c r="W79" s="3">
        <v>7598482.8586737802</v>
      </c>
      <c r="X79" s="3">
        <v>7721234.7014960796</v>
      </c>
      <c r="Y79" s="3">
        <v>7622667.1230305498</v>
      </c>
      <c r="Z79" s="3">
        <v>2962920.4938157098</v>
      </c>
      <c r="AA79" s="3">
        <v>7675006.5948902201</v>
      </c>
      <c r="AB79" s="3">
        <v>7715145.1860090699</v>
      </c>
      <c r="AC79" s="3">
        <v>7832825.4786606897</v>
      </c>
      <c r="AD79" s="3">
        <v>6970733.4634505101</v>
      </c>
      <c r="AE79" s="3">
        <v>7655363.2057680301</v>
      </c>
      <c r="AF79" s="3">
        <v>7677044.9225705899</v>
      </c>
      <c r="AG79" s="3">
        <v>7730855.8658773201</v>
      </c>
      <c r="AH79" s="3">
        <v>7703476.8872049497</v>
      </c>
      <c r="AI79" s="3">
        <v>7544355.2015550602</v>
      </c>
      <c r="AJ79" s="3">
        <v>7756946.9525807202</v>
      </c>
      <c r="AK79" s="3">
        <v>7745705.2748055002</v>
      </c>
      <c r="AL79" s="3">
        <v>7603428.6313284496</v>
      </c>
      <c r="AM79" s="3">
        <v>7594439.9180144696</v>
      </c>
      <c r="AN79" s="3">
        <v>7672723.4842454204</v>
      </c>
      <c r="AO79" s="3">
        <v>7673561.85184603</v>
      </c>
      <c r="AP79" s="3">
        <v>7635928.7020027703</v>
      </c>
      <c r="AQ79" s="3">
        <v>7669973.9832275799</v>
      </c>
      <c r="AR79" s="3">
        <v>7718560.1127040498</v>
      </c>
      <c r="AS79" s="3">
        <v>7645987.5474986099</v>
      </c>
      <c r="AT79" s="3">
        <v>7688039.5546650495</v>
      </c>
      <c r="AU79" s="3">
        <v>7701385.7281561298</v>
      </c>
      <c r="AV79" s="3">
        <v>7647772.8690141803</v>
      </c>
      <c r="AW79" s="3">
        <v>7725720.7734477501</v>
      </c>
      <c r="AX79" s="3">
        <v>7671740.7152322195</v>
      </c>
      <c r="AY79" s="3">
        <v>7695127.43834987</v>
      </c>
      <c r="AZ79" s="3">
        <v>7720665.2864581002</v>
      </c>
      <c r="BA79" s="3">
        <v>7724323.5477082897</v>
      </c>
      <c r="BB79" s="3">
        <v>7671613.4336484103</v>
      </c>
      <c r="BC79" s="3">
        <v>7688039.5546650495</v>
      </c>
      <c r="BD79" s="3">
        <v>7670184.4346952504</v>
      </c>
      <c r="BE79" s="3">
        <v>7688039.5546650495</v>
      </c>
      <c r="BF79" s="3">
        <v>7670184.4346952504</v>
      </c>
      <c r="BG79" s="3">
        <v>7671643.96688262</v>
      </c>
      <c r="BH79" s="3">
        <v>7724238.6002300996</v>
      </c>
    </row>
    <row r="80" spans="1:60" x14ac:dyDescent="0.3">
      <c r="A80" t="s">
        <v>1</v>
      </c>
      <c r="B80" s="3">
        <v>411819.21304413403</v>
      </c>
      <c r="C80" s="3">
        <v>0</v>
      </c>
      <c r="D80" s="3">
        <v>412166.738262809</v>
      </c>
      <c r="E80" s="3">
        <v>507733.34651742602</v>
      </c>
      <c r="F80" s="3">
        <v>704228.27824355895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99359.999999996697</v>
      </c>
      <c r="X80" s="3">
        <v>324749.49768816098</v>
      </c>
      <c r="Y80" s="3">
        <v>0</v>
      </c>
      <c r="Z80" s="3">
        <v>70409.784421051794</v>
      </c>
      <c r="AA80" s="3">
        <v>0</v>
      </c>
      <c r="AB80" s="3">
        <v>225883.31279994699</v>
      </c>
      <c r="AC80" s="3">
        <v>827994.48000002</v>
      </c>
      <c r="AD80" s="3">
        <v>0</v>
      </c>
      <c r="AE80" s="3">
        <v>170972.063999993</v>
      </c>
      <c r="AF80" s="3">
        <v>99359.999999999796</v>
      </c>
      <c r="AG80" s="3">
        <v>0</v>
      </c>
      <c r="AH80" s="3">
        <v>344868.57582330698</v>
      </c>
      <c r="AI80" s="3">
        <v>137867.519999999</v>
      </c>
      <c r="AJ80" s="3">
        <v>17723.941755947399</v>
      </c>
      <c r="AK80" s="3">
        <v>11872.4127980699</v>
      </c>
      <c r="AL80" s="3">
        <v>5329.0409510585096</v>
      </c>
      <c r="AM80" s="3">
        <v>19677.590544271501</v>
      </c>
      <c r="AN80" s="3">
        <v>8606.9520923311102</v>
      </c>
      <c r="AO80" s="3">
        <v>12878.141521038</v>
      </c>
      <c r="AP80" s="3">
        <v>11265.655479702</v>
      </c>
      <c r="AQ80" s="3">
        <v>4.3828070175448</v>
      </c>
      <c r="AR80" s="3">
        <v>398831.03999970399</v>
      </c>
      <c r="AS80" s="3">
        <v>2.1899999999972</v>
      </c>
      <c r="AT80" s="3">
        <v>99359.999999997701</v>
      </c>
      <c r="AU80" s="3">
        <v>305269.24799992499</v>
      </c>
      <c r="AV80" s="3">
        <v>9840.0554352409108</v>
      </c>
      <c r="AW80" s="3">
        <v>306999.21599986602</v>
      </c>
      <c r="AX80" s="3">
        <v>9546.6035438602194</v>
      </c>
      <c r="AY80" s="3">
        <v>290013.07200001599</v>
      </c>
      <c r="AZ80" s="3">
        <v>289871.75999993098</v>
      </c>
      <c r="BA80" s="5">
        <v>299299.919999882</v>
      </c>
      <c r="BB80" s="3">
        <v>8845.22898245529</v>
      </c>
      <c r="BC80" s="3">
        <v>99359.999999997701</v>
      </c>
      <c r="BD80" s="3">
        <v>970.84933333334595</v>
      </c>
      <c r="BE80" s="3">
        <v>99359.999999997701</v>
      </c>
      <c r="BF80" s="3">
        <v>970.84933333334595</v>
      </c>
      <c r="BG80" s="3">
        <v>9013.4798245611</v>
      </c>
      <c r="BH80" s="3">
        <v>298831.82399994001</v>
      </c>
    </row>
    <row r="81" spans="1:60" x14ac:dyDescent="0.3">
      <c r="A81" t="s">
        <v>35</v>
      </c>
      <c r="B81" s="3">
        <v>21202.142590907199</v>
      </c>
      <c r="C81" s="3">
        <v>57255.887719298596</v>
      </c>
      <c r="D81" s="3">
        <v>24826.1592116758</v>
      </c>
      <c r="E81" s="3">
        <v>20030.2914802216</v>
      </c>
      <c r="F81" s="3">
        <v>26434.568986302202</v>
      </c>
      <c r="G81" s="3">
        <v>116843.828544738</v>
      </c>
      <c r="H81" s="3">
        <v>60246.298210522204</v>
      </c>
      <c r="I81" s="3">
        <v>118589.79328158101</v>
      </c>
      <c r="J81" s="3">
        <v>218411.00996315401</v>
      </c>
      <c r="K81" s="3">
        <v>44954.264158763101</v>
      </c>
      <c r="L81" s="3">
        <v>6731.8308771929796</v>
      </c>
      <c r="M81" s="3">
        <v>4601.4033429824503</v>
      </c>
      <c r="N81" s="3">
        <v>4601.4033429824503</v>
      </c>
      <c r="O81" s="3">
        <v>2791.5394403508699</v>
      </c>
      <c r="P81" s="3">
        <v>3329.1469842105198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26171.701351757802</v>
      </c>
      <c r="W81" s="3">
        <v>22117.4537903454</v>
      </c>
      <c r="X81" s="3">
        <v>5014.1214087810504</v>
      </c>
      <c r="Y81" s="3">
        <v>7899.3762535086098</v>
      </c>
      <c r="Z81" s="3">
        <v>4606213.96369908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v>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</row>
    <row r="82" spans="1:60" x14ac:dyDescent="0.3">
      <c r="A82" s="2" t="s">
        <v>22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</row>
    <row r="83" spans="1:60" x14ac:dyDescent="0.3">
      <c r="A83" t="s">
        <v>0</v>
      </c>
      <c r="B83" s="3">
        <v>2472.9729662621198</v>
      </c>
      <c r="C83" s="3">
        <v>3003.5805877192902</v>
      </c>
      <c r="D83" s="3">
        <v>2435.4392505638398</v>
      </c>
      <c r="E83" s="3">
        <v>465.42218602278001</v>
      </c>
      <c r="F83" s="3">
        <v>562.38473322931497</v>
      </c>
      <c r="G83" s="3">
        <v>584.79838596491197</v>
      </c>
      <c r="H83" s="3">
        <v>1656.9666456140101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194.31494736824601</v>
      </c>
      <c r="R83" s="3">
        <v>0</v>
      </c>
      <c r="S83" s="3">
        <v>0</v>
      </c>
      <c r="T83" s="3">
        <v>1427.21869824544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44.891245614034801</v>
      </c>
      <c r="AC83" s="3">
        <v>0</v>
      </c>
      <c r="AD83" s="3">
        <v>995.49915087635304</v>
      </c>
      <c r="AE83" s="3">
        <v>120.118701754385</v>
      </c>
      <c r="AF83" s="3">
        <v>0</v>
      </c>
      <c r="AG83" s="3">
        <v>0</v>
      </c>
      <c r="AH83" s="3">
        <v>0</v>
      </c>
      <c r="AI83" s="3">
        <v>446.10436332767398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195.30698254971401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</row>
    <row r="84" spans="1:60" x14ac:dyDescent="0.3">
      <c r="A84" t="s">
        <v>24</v>
      </c>
      <c r="B84" s="3">
        <v>7664659.2720423704</v>
      </c>
      <c r="C84" s="3">
        <v>7628605.5269133803</v>
      </c>
      <c r="D84" s="3">
        <v>7661035.2554214699</v>
      </c>
      <c r="E84" s="3">
        <v>7665831.1231528902</v>
      </c>
      <c r="F84" s="3">
        <v>7659426.8456469998</v>
      </c>
      <c r="G84" s="3">
        <v>7569017.5860898104</v>
      </c>
      <c r="H84" s="3">
        <v>7625615.1164232604</v>
      </c>
      <c r="I84" s="3">
        <v>7567271.6213527499</v>
      </c>
      <c r="J84" s="3">
        <v>7467450.4046713598</v>
      </c>
      <c r="K84" s="3">
        <v>7640907.1504754797</v>
      </c>
      <c r="L84" s="3">
        <v>7679129.5837559802</v>
      </c>
      <c r="M84" s="3">
        <v>7681260.0112901898</v>
      </c>
      <c r="N84" s="3">
        <v>7681260.0112901898</v>
      </c>
      <c r="O84" s="3">
        <v>7683069.8751928201</v>
      </c>
      <c r="P84" s="3">
        <v>7682532.2676489502</v>
      </c>
      <c r="Q84" s="3">
        <v>7685861.4146331698</v>
      </c>
      <c r="R84" s="3">
        <v>7685861.4146331698</v>
      </c>
      <c r="S84" s="3">
        <v>7685861.4146331698</v>
      </c>
      <c r="T84" s="3">
        <v>7685861.4146331698</v>
      </c>
      <c r="U84" s="3">
        <v>7685861.4146331698</v>
      </c>
      <c r="V84" s="3">
        <v>7659689.7132813698</v>
      </c>
      <c r="W84" s="3">
        <v>7663743.9608433601</v>
      </c>
      <c r="X84" s="3">
        <v>7680847.2932246402</v>
      </c>
      <c r="Y84" s="3">
        <v>7677962.0383798797</v>
      </c>
      <c r="Z84" s="3">
        <v>3079647.45093212</v>
      </c>
      <c r="AA84" s="3">
        <v>7685861.4146331698</v>
      </c>
      <c r="AB84" s="3">
        <v>7685861.4146331698</v>
      </c>
      <c r="AC84" s="3">
        <v>7685861.4146331698</v>
      </c>
      <c r="AD84" s="3">
        <v>7670008.2503171796</v>
      </c>
      <c r="AE84" s="3">
        <v>7670008.2503171796</v>
      </c>
      <c r="AF84" s="3">
        <v>7738442.9501755601</v>
      </c>
      <c r="AG84" s="3">
        <v>7738442.9501755601</v>
      </c>
      <c r="AH84" s="3">
        <v>7738442.9501755601</v>
      </c>
      <c r="AI84" s="3">
        <v>7615479.0713864798</v>
      </c>
      <c r="AJ84" s="3">
        <v>8111910.5208772197</v>
      </c>
      <c r="AK84" s="3">
        <v>7857985.8344626203</v>
      </c>
      <c r="AL84" s="3">
        <v>7615479.0713864798</v>
      </c>
      <c r="AM84" s="3">
        <v>7657349.3115268704</v>
      </c>
      <c r="AN84" s="3">
        <v>7685171.3318804</v>
      </c>
      <c r="AO84" s="3">
        <v>7682129.2886527795</v>
      </c>
      <c r="AP84" s="3">
        <v>7645987.1500695003</v>
      </c>
      <c r="AQ84" s="3">
        <v>7670008.2503171796</v>
      </c>
      <c r="AR84" s="3">
        <v>7645987.1500695003</v>
      </c>
      <c r="AS84" s="3">
        <v>7645987.1500695003</v>
      </c>
      <c r="AT84" s="3">
        <v>7670008.2503171796</v>
      </c>
      <c r="AU84" s="3">
        <v>7645987.1500695003</v>
      </c>
      <c r="AV84" s="3">
        <v>7645987.1500695003</v>
      </c>
      <c r="AW84" s="3">
        <v>7670008.2503171796</v>
      </c>
      <c r="AX84" s="3">
        <v>7670008.2503171796</v>
      </c>
      <c r="AY84" s="3">
        <v>7645987.1500695003</v>
      </c>
      <c r="AZ84" s="3">
        <v>7670008.2503171796</v>
      </c>
      <c r="BA84" s="3">
        <v>7670008.2503171796</v>
      </c>
      <c r="BB84" s="3">
        <v>7670008.2503171796</v>
      </c>
      <c r="BC84" s="3">
        <v>7670008.2503171796</v>
      </c>
      <c r="BD84" s="3">
        <v>7670008.2503171796</v>
      </c>
      <c r="BE84" s="3">
        <v>7670008.2503171796</v>
      </c>
      <c r="BF84" s="3">
        <v>7670008.2503171796</v>
      </c>
      <c r="BG84" s="3">
        <v>7670008.2503171796</v>
      </c>
      <c r="BH84" s="3">
        <v>7670008.2503171796</v>
      </c>
    </row>
    <row r="85" spans="1:60" x14ac:dyDescent="0.3">
      <c r="A85" t="s">
        <v>1</v>
      </c>
      <c r="B85" s="3">
        <v>486553.890647683</v>
      </c>
      <c r="C85" s="3">
        <v>0</v>
      </c>
      <c r="D85" s="3">
        <v>486964.48282476899</v>
      </c>
      <c r="E85" s="3">
        <v>599873.99163205398</v>
      </c>
      <c r="F85" s="3">
        <v>832027.73894551501</v>
      </c>
      <c r="G85" s="3">
        <v>626.08695652173901</v>
      </c>
      <c r="H85" s="3">
        <v>0</v>
      </c>
      <c r="I85" s="3">
        <v>626.08695652173901</v>
      </c>
      <c r="J85" s="3">
        <v>782.60869565217297</v>
      </c>
      <c r="K85" s="3">
        <v>782.60869565217297</v>
      </c>
      <c r="L85" s="3">
        <v>782.60869565217297</v>
      </c>
      <c r="M85" s="3">
        <v>782.60869565217297</v>
      </c>
      <c r="N85" s="3">
        <v>782.60869565217297</v>
      </c>
      <c r="O85" s="3">
        <v>782.60869565217297</v>
      </c>
      <c r="P85" s="3">
        <v>782.60869565217297</v>
      </c>
      <c r="Q85" s="3">
        <v>782.60869565217297</v>
      </c>
      <c r="R85" s="3">
        <v>782.60869565217297</v>
      </c>
      <c r="S85" s="3">
        <v>782.60869565217297</v>
      </c>
      <c r="T85" s="3">
        <v>782.60869565217297</v>
      </c>
      <c r="U85" s="3">
        <v>782.60869565217297</v>
      </c>
      <c r="V85" s="3">
        <v>782.60869565217297</v>
      </c>
      <c r="W85" s="3">
        <v>117391.304347823</v>
      </c>
      <c r="X85" s="3">
        <v>383683.24396047101</v>
      </c>
      <c r="Y85" s="3">
        <v>782.60869565217297</v>
      </c>
      <c r="Z85" s="3">
        <v>83256.0269210353</v>
      </c>
      <c r="AA85" s="3">
        <v>782.60869565217297</v>
      </c>
      <c r="AB85" s="3">
        <v>266875.36956515198</v>
      </c>
      <c r="AC85" s="3">
        <v>978254.34782616305</v>
      </c>
      <c r="AD85" s="3">
        <v>0</v>
      </c>
      <c r="AE85" s="3">
        <v>201999.13043478399</v>
      </c>
      <c r="AF85" s="3">
        <v>117391.30434782599</v>
      </c>
      <c r="AG85" s="3">
        <v>0</v>
      </c>
      <c r="AH85" s="3">
        <v>407453.42134133697</v>
      </c>
      <c r="AI85" s="3">
        <v>162886.95652174001</v>
      </c>
      <c r="AJ85" s="3">
        <v>20940.3848723386</v>
      </c>
      <c r="AK85" s="3">
        <v>14026.9527387502</v>
      </c>
      <c r="AL85" s="3">
        <v>6296.1258873564102</v>
      </c>
      <c r="AM85" s="3">
        <v>23248.571058922</v>
      </c>
      <c r="AN85" s="3">
        <v>10168.8942489734</v>
      </c>
      <c r="AO85" s="3">
        <v>15215.1955588822</v>
      </c>
      <c r="AP85" s="3">
        <v>13310.084451444</v>
      </c>
      <c r="AQ85" s="3">
        <v>5.1781746426569004</v>
      </c>
      <c r="AR85" s="3">
        <v>471208.69565184298</v>
      </c>
      <c r="AS85" s="3">
        <v>2.5874291115096399</v>
      </c>
      <c r="AT85" s="3">
        <v>117391.304347824</v>
      </c>
      <c r="AU85" s="3">
        <v>360667.82608691801</v>
      </c>
      <c r="AV85" s="3">
        <v>11625.7743800105</v>
      </c>
      <c r="AW85" s="3">
        <v>362711.739130278</v>
      </c>
      <c r="AX85" s="3">
        <v>11279.0684591919</v>
      </c>
      <c r="AY85" s="3">
        <v>342643.04347832</v>
      </c>
      <c r="AZ85" s="3">
        <v>342476.08695644798</v>
      </c>
      <c r="BA85" s="3">
        <v>353615.21739113599</v>
      </c>
      <c r="BB85" s="3">
        <v>10450.412313864799</v>
      </c>
      <c r="BC85" s="3">
        <v>117391.304347824</v>
      </c>
      <c r="BD85" s="3">
        <v>1147.0337114051799</v>
      </c>
      <c r="BE85" s="3">
        <v>117391.304347824</v>
      </c>
      <c r="BF85" s="3">
        <v>1147.0337114051799</v>
      </c>
      <c r="BG85" s="3">
        <v>10649.196390076901</v>
      </c>
      <c r="BH85" s="3">
        <v>353062.17391299497</v>
      </c>
    </row>
    <row r="86" spans="1:60" x14ac:dyDescent="0.3">
      <c r="A86" s="2" t="s">
        <v>27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</row>
    <row r="87" spans="1:60" x14ac:dyDescent="0.3">
      <c r="A87" t="s">
        <v>2</v>
      </c>
      <c r="B87" s="3">
        <v>2305589764.5666699</v>
      </c>
      <c r="C87" s="3">
        <v>2271987516.2199101</v>
      </c>
      <c r="D87" s="3">
        <v>2304491441.9846501</v>
      </c>
      <c r="E87" s="3">
        <v>1437764691.9583001</v>
      </c>
      <c r="F87" s="3">
        <v>1433474103.7413399</v>
      </c>
      <c r="G87" s="3">
        <v>1431993499.0292101</v>
      </c>
      <c r="H87" s="3">
        <v>2271017459.4651499</v>
      </c>
      <c r="I87" s="3">
        <v>1431120340.7116201</v>
      </c>
      <c r="J87" s="3">
        <v>49215915.624048501</v>
      </c>
      <c r="K87" s="3">
        <v>38846277.435859099</v>
      </c>
      <c r="L87" s="3">
        <v>693524.83327793004</v>
      </c>
      <c r="M87" s="3">
        <v>1116080.6430843</v>
      </c>
      <c r="N87" s="3">
        <v>1121094.72421403</v>
      </c>
      <c r="O87" s="3">
        <v>965844.36346406897</v>
      </c>
      <c r="P87" s="3">
        <v>960830.28233434097</v>
      </c>
      <c r="Q87" s="3">
        <v>51681580.872651801</v>
      </c>
      <c r="R87" s="3">
        <v>3094278.2288761698</v>
      </c>
      <c r="S87" s="3">
        <v>3094278.2288761698</v>
      </c>
      <c r="T87" s="3">
        <v>214111252.69451299</v>
      </c>
      <c r="U87" s="3">
        <v>3552891.7000265201</v>
      </c>
      <c r="V87" s="3">
        <v>93082353.677220806</v>
      </c>
      <c r="W87" s="3">
        <v>25429062.9024923</v>
      </c>
      <c r="X87" s="3">
        <v>5662172.7641016003</v>
      </c>
      <c r="Y87" s="3">
        <v>17120394.8353227</v>
      </c>
      <c r="Z87" s="3">
        <v>39558528.578106299</v>
      </c>
      <c r="AA87" s="3">
        <v>3552891.7000265201</v>
      </c>
      <c r="AB87" s="3">
        <v>3588229.4732103799</v>
      </c>
      <c r="AC87" s="3">
        <v>1006204.59420972</v>
      </c>
      <c r="AD87" s="3">
        <v>213791603.53970399</v>
      </c>
      <c r="AE87" s="3">
        <v>13980307.903483201</v>
      </c>
      <c r="AF87" s="3">
        <v>24249671.284570999</v>
      </c>
      <c r="AG87" s="3">
        <v>2316326.9250478302</v>
      </c>
      <c r="AH87" s="3">
        <v>29782164.9282814</v>
      </c>
      <c r="AI87" s="3">
        <v>29488620.914501499</v>
      </c>
      <c r="AJ87" s="3">
        <v>109351889.58444899</v>
      </c>
      <c r="AK87" s="3">
        <v>34936886.417633399</v>
      </c>
      <c r="AL87" s="3">
        <v>3974233.3755369699</v>
      </c>
      <c r="AM87" s="3">
        <v>20296371.345453098</v>
      </c>
      <c r="AN87" s="3">
        <v>4277170.5216947598</v>
      </c>
      <c r="AO87" s="3">
        <v>3329126.81022608</v>
      </c>
      <c r="AP87" s="3">
        <v>3694992.5494666998</v>
      </c>
      <c r="AQ87" s="3">
        <v>10704.522056646199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1065395.7216238901</v>
      </c>
      <c r="AZ87" s="3">
        <v>594505.34226362896</v>
      </c>
      <c r="BA87" s="3">
        <v>0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</row>
    <row r="88" spans="1:60" x14ac:dyDescent="0.3">
      <c r="A88" t="s">
        <v>0</v>
      </c>
      <c r="B88" s="3">
        <v>11084614.929826399</v>
      </c>
      <c r="C88" s="3">
        <v>10906171.4334148</v>
      </c>
      <c r="D88" s="3">
        <v>11086811.791450201</v>
      </c>
      <c r="E88" s="3">
        <v>120960970.15776899</v>
      </c>
      <c r="F88" s="3">
        <v>113312298.149334</v>
      </c>
      <c r="G88" s="3">
        <v>121115835.15784</v>
      </c>
      <c r="H88" s="3">
        <v>9935287.7570965104</v>
      </c>
      <c r="I88" s="3">
        <v>121344528.61445101</v>
      </c>
      <c r="J88" s="3">
        <v>309377547.95568901</v>
      </c>
      <c r="K88" s="3">
        <v>320597717.69572097</v>
      </c>
      <c r="L88" s="3">
        <v>329490582.70186299</v>
      </c>
      <c r="M88" s="3">
        <v>329675537.950122</v>
      </c>
      <c r="N88" s="3">
        <v>329674300.10753798</v>
      </c>
      <c r="O88" s="3">
        <v>329929062.14189899</v>
      </c>
      <c r="P88" s="3">
        <v>329857310.20959097</v>
      </c>
      <c r="Q88" s="3">
        <v>319322741.90834802</v>
      </c>
      <c r="R88" s="3">
        <v>328176622.87050301</v>
      </c>
      <c r="S88" s="3">
        <v>328176622.87050301</v>
      </c>
      <c r="T88" s="3">
        <v>288973625.39870203</v>
      </c>
      <c r="U88" s="3">
        <v>327821084.92194599</v>
      </c>
      <c r="V88" s="3">
        <v>311368577.775922</v>
      </c>
      <c r="W88" s="3">
        <v>318851181.63205397</v>
      </c>
      <c r="X88" s="3">
        <v>314392835.60745698</v>
      </c>
      <c r="Y88" s="3">
        <v>327222835.619569</v>
      </c>
      <c r="Z88" s="3">
        <v>122746014.403165</v>
      </c>
      <c r="AA88" s="3">
        <v>327821084.92194599</v>
      </c>
      <c r="AB88" s="3">
        <v>310521340.89467198</v>
      </c>
      <c r="AC88" s="3">
        <v>293398760.88216501</v>
      </c>
      <c r="AD88" s="3">
        <v>289207865.26038402</v>
      </c>
      <c r="AE88" s="3">
        <v>318578165.48023999</v>
      </c>
      <c r="AF88" s="3">
        <v>338583295.20666301</v>
      </c>
      <c r="AG88" s="3">
        <v>346289178.82830203</v>
      </c>
      <c r="AH88" s="3">
        <v>333701979.18038899</v>
      </c>
      <c r="AI88" s="3">
        <v>332881096.054681</v>
      </c>
      <c r="AJ88" s="3">
        <v>426669397.27514702</v>
      </c>
      <c r="AK88" s="3">
        <v>425649893.30061001</v>
      </c>
      <c r="AL88" s="3">
        <v>351037955.14521199</v>
      </c>
      <c r="AM88" s="3">
        <v>330064949.75074601</v>
      </c>
      <c r="AN88" s="3">
        <v>375317606.127478</v>
      </c>
      <c r="AO88" s="3">
        <v>325770268.65075803</v>
      </c>
      <c r="AP88" s="3">
        <v>338175002.12648302</v>
      </c>
      <c r="AQ88" s="3">
        <v>331459515.49467301</v>
      </c>
      <c r="AR88" s="3">
        <v>321380196.18409997</v>
      </c>
      <c r="AS88" s="3">
        <v>341287804.88261598</v>
      </c>
      <c r="AT88" s="3">
        <v>326897074.889341</v>
      </c>
      <c r="AU88" s="3">
        <v>326054995.69194901</v>
      </c>
      <c r="AV88" s="3">
        <v>339864580.35255897</v>
      </c>
      <c r="AW88" s="3">
        <v>317483522.54990101</v>
      </c>
      <c r="AX88" s="3">
        <v>330594342.69532299</v>
      </c>
      <c r="AY88" s="3">
        <v>324200270.49634999</v>
      </c>
      <c r="AZ88" s="3">
        <v>316900072.73451501</v>
      </c>
      <c r="BA88" s="3">
        <v>317835911.64261001</v>
      </c>
      <c r="BB88" s="3">
        <v>330596991.93365598</v>
      </c>
      <c r="BC88" s="3">
        <v>326897758.52137703</v>
      </c>
      <c r="BD88" s="3">
        <v>331342301.005171</v>
      </c>
      <c r="BE88" s="3">
        <v>326897758.52137703</v>
      </c>
      <c r="BF88" s="3">
        <v>331342301.005171</v>
      </c>
      <c r="BG88" s="3">
        <v>330588196.53068</v>
      </c>
      <c r="BH88" s="3">
        <v>317857494.28109699</v>
      </c>
    </row>
    <row r="89" spans="1:60" x14ac:dyDescent="0.3">
      <c r="A89" t="s">
        <v>1</v>
      </c>
      <c r="B89" s="3">
        <v>0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v>0</v>
      </c>
      <c r="AN89" s="3">
        <v>0</v>
      </c>
      <c r="AO89" s="3">
        <v>0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0</v>
      </c>
      <c r="AZ89" s="3">
        <v>0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</row>
    <row r="90" spans="1:60" x14ac:dyDescent="0.3">
      <c r="A90" s="2" t="s">
        <v>28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</row>
    <row r="91" spans="1:60" x14ac:dyDescent="0.3">
      <c r="A91" t="s">
        <v>0</v>
      </c>
      <c r="B91" s="3">
        <v>1937830.24850617</v>
      </c>
      <c r="C91" s="3">
        <v>1770536.9079175801</v>
      </c>
      <c r="D91" s="3">
        <v>1923489.33599052</v>
      </c>
      <c r="E91" s="3">
        <v>236124.94824217999</v>
      </c>
      <c r="F91" s="3">
        <v>221086.345003836</v>
      </c>
      <c r="G91" s="3">
        <v>222662.824504385</v>
      </c>
      <c r="H91" s="3">
        <v>674248.02661490894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68999.202625181701</v>
      </c>
      <c r="R91" s="3">
        <v>0</v>
      </c>
      <c r="S91" s="3">
        <v>0</v>
      </c>
      <c r="T91" s="3">
        <v>562014.66720550996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15134.328222105099</v>
      </c>
      <c r="AC91" s="3">
        <v>0</v>
      </c>
      <c r="AD91" s="3">
        <v>358632.62827261799</v>
      </c>
      <c r="AE91" s="3">
        <v>40154.239265964701</v>
      </c>
      <c r="AF91" s="3">
        <v>0</v>
      </c>
      <c r="AG91" s="3">
        <v>0</v>
      </c>
      <c r="AH91" s="3">
        <v>0</v>
      </c>
      <c r="AI91" s="3">
        <v>140058.92591035599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11438.8122982648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</row>
    <row r="92" spans="1:60" x14ac:dyDescent="0.3">
      <c r="A92" t="s">
        <v>24</v>
      </c>
      <c r="B92" s="3">
        <v>19161648180.101898</v>
      </c>
      <c r="C92" s="3">
        <v>19071513817.2785</v>
      </c>
      <c r="D92" s="3">
        <v>19152588138.550098</v>
      </c>
      <c r="E92" s="3">
        <v>19164577807.8797</v>
      </c>
      <c r="F92" s="3">
        <v>19148567114.1133</v>
      </c>
      <c r="G92" s="3">
        <v>18922543965.2178</v>
      </c>
      <c r="H92" s="3">
        <v>19064037791.0508</v>
      </c>
      <c r="I92" s="3">
        <v>18918179053.377602</v>
      </c>
      <c r="J92" s="3">
        <v>18668626011.671001</v>
      </c>
      <c r="K92" s="3">
        <v>76409071504.731094</v>
      </c>
      <c r="L92" s="3">
        <v>76791295837.546799</v>
      </c>
      <c r="M92" s="3">
        <v>76812600112.888901</v>
      </c>
      <c r="N92" s="3">
        <v>153625200225.77701</v>
      </c>
      <c r="O92" s="3">
        <v>384153493759.52899</v>
      </c>
      <c r="P92" s="3">
        <v>768253226764.672</v>
      </c>
      <c r="Q92" s="3">
        <v>76858614146.318405</v>
      </c>
      <c r="R92" s="3">
        <v>76858614146.318405</v>
      </c>
      <c r="S92" s="3">
        <v>76858614146.318405</v>
      </c>
      <c r="T92" s="3">
        <v>76858614146.318405</v>
      </c>
      <c r="U92" s="3">
        <v>76858614146.318405</v>
      </c>
      <c r="V92" s="3">
        <v>76596897132.794098</v>
      </c>
      <c r="W92" s="3">
        <v>76637439608.415298</v>
      </c>
      <c r="X92" s="3">
        <v>76808472932.230804</v>
      </c>
      <c r="Y92" s="3">
        <v>76779620383.783096</v>
      </c>
      <c r="Z92" s="3">
        <v>30796474509.321899</v>
      </c>
      <c r="AA92" s="3">
        <v>76858614146.318405</v>
      </c>
      <c r="AB92" s="3">
        <v>76858614146.318405</v>
      </c>
      <c r="AC92" s="3">
        <v>76858614146.318405</v>
      </c>
      <c r="AD92" s="3">
        <v>76700082503.154099</v>
      </c>
      <c r="AE92" s="3">
        <v>76700082503.154099</v>
      </c>
      <c r="AF92" s="3">
        <v>77384429501.756805</v>
      </c>
      <c r="AG92" s="3">
        <v>77384429501.756805</v>
      </c>
      <c r="AH92" s="3">
        <v>77384429501.756805</v>
      </c>
      <c r="AI92" s="3">
        <v>76154790713.864807</v>
      </c>
      <c r="AJ92" s="3">
        <v>81119105208.772095</v>
      </c>
      <c r="AK92" s="3">
        <v>78579858344.627502</v>
      </c>
      <c r="AL92" s="3">
        <v>76154790713.864807</v>
      </c>
      <c r="AM92" s="3">
        <v>76573493115.274597</v>
      </c>
      <c r="AN92" s="3">
        <v>76851713318.801193</v>
      </c>
      <c r="AO92" s="3">
        <v>76821292886.530594</v>
      </c>
      <c r="AP92" s="3">
        <v>76459871500.705399</v>
      </c>
      <c r="AQ92" s="3">
        <v>76700082503.154099</v>
      </c>
      <c r="AR92" s="3">
        <v>76459871500.705399</v>
      </c>
      <c r="AS92" s="3">
        <v>76459871500.705399</v>
      </c>
      <c r="AT92" s="3">
        <v>76700082503.154099</v>
      </c>
      <c r="AU92" s="3">
        <v>76459871500.705399</v>
      </c>
      <c r="AV92" s="3">
        <v>76459871500.705399</v>
      </c>
      <c r="AW92" s="3">
        <v>76700082503.154099</v>
      </c>
      <c r="AX92" s="3">
        <v>76700082503.154099</v>
      </c>
      <c r="AY92" s="3">
        <v>76459871500.705399</v>
      </c>
      <c r="AZ92" s="3">
        <v>76700082503.154099</v>
      </c>
      <c r="BA92" s="3">
        <v>76700082503.154099</v>
      </c>
      <c r="BB92" s="3">
        <v>76700082503.154099</v>
      </c>
      <c r="BC92" s="3">
        <v>76700082503.154099</v>
      </c>
      <c r="BD92" s="3">
        <v>76700082503.154099</v>
      </c>
      <c r="BE92" s="3">
        <v>76700082503.154099</v>
      </c>
      <c r="BF92" s="3">
        <v>76700082503.154099</v>
      </c>
      <c r="BG92" s="3">
        <v>76700082503.154099</v>
      </c>
      <c r="BH92" s="3">
        <v>76700082503.154099</v>
      </c>
    </row>
    <row r="93" spans="1:60" x14ac:dyDescent="0.3">
      <c r="A93" t="s">
        <v>1</v>
      </c>
      <c r="B93" s="3">
        <v>0</v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</row>
    <row r="94" spans="1:60" x14ac:dyDescent="0.3">
      <c r="V94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4.4" x14ac:dyDescent="0.3"/>
  <cols>
    <col min="1" max="1" width="32" customWidth="1"/>
    <col min="4" max="5" width="18.44140625" bestFit="1" customWidth="1"/>
    <col min="7" max="8" width="9.33203125" customWidth="1"/>
    <col min="11" max="13" width="19.6640625" bestFit="1" customWidth="1"/>
  </cols>
  <sheetData>
    <row r="1" spans="1:13" x14ac:dyDescent="0.3">
      <c r="A1" s="1" t="s">
        <v>7</v>
      </c>
    </row>
    <row r="2" spans="1:13" x14ac:dyDescent="0.3">
      <c r="A2" s="1" t="s">
        <v>6</v>
      </c>
    </row>
    <row r="3" spans="1:13" x14ac:dyDescent="0.3">
      <c r="A3" s="2" t="s">
        <v>33</v>
      </c>
    </row>
    <row r="4" spans="1:13" x14ac:dyDescent="0.3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3">
      <c r="A5" t="s">
        <v>38</v>
      </c>
      <c r="K5" s="4">
        <v>10000</v>
      </c>
      <c r="L5" s="4">
        <v>10000</v>
      </c>
      <c r="M5" s="4">
        <v>10000</v>
      </c>
    </row>
    <row r="6" spans="1:13" x14ac:dyDescent="0.3">
      <c r="A6" t="s">
        <v>36</v>
      </c>
      <c r="K6">
        <v>40</v>
      </c>
      <c r="L6">
        <v>40</v>
      </c>
      <c r="M6">
        <v>40</v>
      </c>
    </row>
    <row r="7" spans="1:13" x14ac:dyDescent="0.3">
      <c r="A7" t="s">
        <v>37</v>
      </c>
      <c r="K7">
        <v>0.2</v>
      </c>
      <c r="L7">
        <v>0.2</v>
      </c>
      <c r="M7">
        <v>0.2</v>
      </c>
    </row>
    <row r="8" spans="1:13" x14ac:dyDescent="0.3">
      <c r="A8" s="2" t="s">
        <v>19</v>
      </c>
    </row>
    <row r="9" spans="1:13" x14ac:dyDescent="0.3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3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3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3">
      <c r="A12" s="2" t="s">
        <v>20</v>
      </c>
    </row>
    <row r="13" spans="1:13" x14ac:dyDescent="0.3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3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3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3">
      <c r="A17" s="1" t="s">
        <v>9</v>
      </c>
      <c r="E17" s="3"/>
      <c r="H17" s="1"/>
    </row>
    <row r="18" spans="1:13" x14ac:dyDescent="0.3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3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3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3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3">
      <c r="A22" s="2" t="s">
        <v>11</v>
      </c>
      <c r="D22" s="4"/>
      <c r="E22" s="4"/>
      <c r="K22" s="3"/>
      <c r="L22" s="3"/>
      <c r="M22" s="3"/>
    </row>
    <row r="23" spans="1:13" x14ac:dyDescent="0.3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3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3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3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3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3">
      <c r="A28" s="2" t="s">
        <v>15</v>
      </c>
      <c r="D28" s="4"/>
      <c r="E28" s="4"/>
      <c r="K28" s="3"/>
      <c r="L28" s="3"/>
      <c r="M28" s="3"/>
    </row>
    <row r="29" spans="1:13" x14ac:dyDescent="0.3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3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3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3">
      <c r="A32" s="2" t="s">
        <v>16</v>
      </c>
      <c r="D32" s="4"/>
      <c r="E32" s="4"/>
      <c r="K32" s="3"/>
      <c r="L32" s="3"/>
      <c r="M32" s="3"/>
    </row>
    <row r="33" spans="1:13" x14ac:dyDescent="0.3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3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3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3">
      <c r="A36" s="2" t="s">
        <v>23</v>
      </c>
      <c r="D36" s="4"/>
      <c r="E36" s="4"/>
      <c r="K36" s="3"/>
      <c r="L36" s="3"/>
      <c r="M36" s="3"/>
    </row>
    <row r="37" spans="1:13" x14ac:dyDescent="0.3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3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3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3">
      <c r="A40" s="2" t="s">
        <v>22</v>
      </c>
      <c r="D40" s="4"/>
      <c r="E40" s="4"/>
      <c r="K40" s="3"/>
      <c r="L40" s="3"/>
      <c r="M40" s="3"/>
    </row>
    <row r="41" spans="1:13" x14ac:dyDescent="0.3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3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3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3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3">
      <c r="A45" s="2" t="s">
        <v>27</v>
      </c>
      <c r="D45" s="4"/>
      <c r="E45" s="4"/>
      <c r="K45" s="3"/>
      <c r="L45" s="3"/>
      <c r="M45" s="3"/>
    </row>
    <row r="46" spans="1:13" x14ac:dyDescent="0.3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3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3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3">
      <c r="A49" s="2" t="s">
        <v>28</v>
      </c>
      <c r="D49" s="4"/>
      <c r="E49" s="4"/>
      <c r="K49" s="3"/>
      <c r="L49" s="3"/>
      <c r="M49" s="3"/>
    </row>
    <row r="50" spans="1:13" x14ac:dyDescent="0.3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3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3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4.4" x14ac:dyDescent="0.3"/>
  <cols>
    <col min="1" max="1" width="29.33203125" customWidth="1"/>
    <col min="4" max="4" width="16.6640625" bestFit="1" customWidth="1"/>
    <col min="5" max="5" width="16.88671875" bestFit="1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33</v>
      </c>
    </row>
    <row r="4" spans="1:10" x14ac:dyDescent="0.3">
      <c r="A4" t="s">
        <v>34</v>
      </c>
      <c r="D4">
        <v>6.8500000000000005E-2</v>
      </c>
      <c r="E4">
        <v>6.8500000000000005E-2</v>
      </c>
    </row>
    <row r="5" spans="1:10" x14ac:dyDescent="0.3">
      <c r="A5" s="2" t="s">
        <v>19</v>
      </c>
    </row>
    <row r="6" spans="1:10" x14ac:dyDescent="0.3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3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3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3">
      <c r="A9" s="2" t="s">
        <v>20</v>
      </c>
    </row>
    <row r="10" spans="1:10" x14ac:dyDescent="0.3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3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3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3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3">
      <c r="A14" s="1" t="s">
        <v>9</v>
      </c>
      <c r="E14" s="3"/>
      <c r="H14" s="1"/>
    </row>
    <row r="15" spans="1:10" x14ac:dyDescent="0.3">
      <c r="A15" t="s">
        <v>10</v>
      </c>
      <c r="D15" s="3">
        <v>-566684168.67891097</v>
      </c>
      <c r="E15" s="3">
        <v>-566684168.67891097</v>
      </c>
    </row>
    <row r="16" spans="1:10" x14ac:dyDescent="0.3">
      <c r="A16" t="s">
        <v>32</v>
      </c>
      <c r="D16" s="3">
        <v>6.1319999694824201</v>
      </c>
      <c r="E16" s="3">
        <v>2.5789999961853001</v>
      </c>
    </row>
    <row r="17" spans="1:5" x14ac:dyDescent="0.3">
      <c r="A17" t="s">
        <v>17</v>
      </c>
      <c r="D17" s="3">
        <v>0</v>
      </c>
      <c r="E17" s="3">
        <v>9.2925621330612702E-5</v>
      </c>
    </row>
    <row r="18" spans="1:5" x14ac:dyDescent="0.3">
      <c r="A18" t="s">
        <v>31</v>
      </c>
      <c r="D18" s="3">
        <v>0</v>
      </c>
      <c r="E18" s="3">
        <v>0</v>
      </c>
    </row>
    <row r="19" spans="1:5" x14ac:dyDescent="0.3">
      <c r="A19" s="2" t="s">
        <v>11</v>
      </c>
      <c r="D19" s="3"/>
      <c r="E19" s="3"/>
    </row>
    <row r="20" spans="1:5" x14ac:dyDescent="0.3">
      <c r="A20" t="s">
        <v>2</v>
      </c>
      <c r="D20" s="3">
        <v>0</v>
      </c>
      <c r="E20" s="3">
        <v>0</v>
      </c>
    </row>
    <row r="21" spans="1:5" x14ac:dyDescent="0.3">
      <c r="A21" t="s">
        <v>0</v>
      </c>
      <c r="D21" s="3">
        <v>80</v>
      </c>
      <c r="E21" s="3">
        <v>80</v>
      </c>
    </row>
    <row r="22" spans="1:5" x14ac:dyDescent="0.3">
      <c r="A22" t="s">
        <v>1</v>
      </c>
      <c r="D22" s="3">
        <v>0</v>
      </c>
      <c r="E22" s="3">
        <v>0</v>
      </c>
    </row>
    <row r="23" spans="1:5" x14ac:dyDescent="0.3">
      <c r="A23" t="s">
        <v>29</v>
      </c>
      <c r="D23" s="3">
        <v>80</v>
      </c>
      <c r="E23" s="3">
        <v>80</v>
      </c>
    </row>
    <row r="24" spans="1:5" x14ac:dyDescent="0.3">
      <c r="A24" t="s">
        <v>30</v>
      </c>
      <c r="D24" s="3">
        <v>58.084000000000003</v>
      </c>
      <c r="E24" s="3">
        <v>58.084000000000003</v>
      </c>
    </row>
    <row r="25" spans="1:5" x14ac:dyDescent="0.3">
      <c r="A25" s="2" t="s">
        <v>15</v>
      </c>
      <c r="D25" s="3"/>
      <c r="E25" s="3"/>
    </row>
    <row r="26" spans="1:5" x14ac:dyDescent="0.3">
      <c r="A26" t="s">
        <v>2</v>
      </c>
      <c r="D26" s="3">
        <v>0</v>
      </c>
      <c r="E26" s="3">
        <v>0</v>
      </c>
    </row>
    <row r="27" spans="1:5" x14ac:dyDescent="0.3">
      <c r="A27" t="s">
        <v>0</v>
      </c>
      <c r="D27" s="3">
        <v>80</v>
      </c>
      <c r="E27" s="3">
        <v>80</v>
      </c>
    </row>
    <row r="28" spans="1:5" x14ac:dyDescent="0.3">
      <c r="A28" t="s">
        <v>1</v>
      </c>
      <c r="D28" s="3">
        <v>0</v>
      </c>
      <c r="E28" s="3">
        <v>0</v>
      </c>
    </row>
    <row r="29" spans="1:5" x14ac:dyDescent="0.3">
      <c r="A29" s="2" t="s">
        <v>16</v>
      </c>
      <c r="D29" s="3"/>
      <c r="E29" s="3"/>
    </row>
    <row r="30" spans="1:5" x14ac:dyDescent="0.3">
      <c r="A30" t="s">
        <v>2</v>
      </c>
      <c r="D30" s="3">
        <v>0</v>
      </c>
      <c r="E30" s="3">
        <v>0</v>
      </c>
    </row>
    <row r="31" spans="1:5" x14ac:dyDescent="0.3">
      <c r="A31" t="s">
        <v>0</v>
      </c>
      <c r="D31" s="3">
        <v>93383545.771093696</v>
      </c>
      <c r="E31" s="3">
        <v>93383545.771093696</v>
      </c>
    </row>
    <row r="32" spans="1:5" x14ac:dyDescent="0.3">
      <c r="A32" t="s">
        <v>1</v>
      </c>
      <c r="D32" s="3">
        <v>0</v>
      </c>
      <c r="E32" s="3">
        <v>0</v>
      </c>
    </row>
    <row r="33" spans="1:5" x14ac:dyDescent="0.3">
      <c r="A33" s="2" t="s">
        <v>23</v>
      </c>
      <c r="D33" s="3"/>
      <c r="E33" s="3"/>
    </row>
    <row r="34" spans="1:5" x14ac:dyDescent="0.3">
      <c r="A34" t="s">
        <v>2</v>
      </c>
      <c r="D34" s="3">
        <v>10839.670693578801</v>
      </c>
      <c r="E34" s="3">
        <v>10839.670693578801</v>
      </c>
    </row>
    <row r="35" spans="1:5" x14ac:dyDescent="0.3">
      <c r="A35" t="s">
        <v>0</v>
      </c>
      <c r="D35" s="3">
        <v>820924.35254566895</v>
      </c>
      <c r="E35" s="3">
        <v>755352.36146108399</v>
      </c>
    </row>
    <row r="36" spans="1:5" x14ac:dyDescent="0.3">
      <c r="A36" t="s">
        <v>1</v>
      </c>
      <c r="D36" s="3">
        <v>8697.9159292100703</v>
      </c>
      <c r="E36" s="3">
        <v>8697.9159292100794</v>
      </c>
    </row>
    <row r="37" spans="1:5" x14ac:dyDescent="0.3">
      <c r="A37" s="2" t="s">
        <v>22</v>
      </c>
      <c r="D37" s="3"/>
      <c r="E37" s="3"/>
    </row>
    <row r="38" spans="1:5" x14ac:dyDescent="0.3">
      <c r="A38" t="s">
        <v>0</v>
      </c>
      <c r="D38" s="3">
        <v>65571.991084584399</v>
      </c>
      <c r="E38" s="3">
        <v>0</v>
      </c>
    </row>
    <row r="39" spans="1:5" x14ac:dyDescent="0.3">
      <c r="A39" t="s">
        <v>24</v>
      </c>
      <c r="D39" s="3">
        <v>764613.58238300995</v>
      </c>
      <c r="E39" s="3">
        <v>764613.58238300995</v>
      </c>
    </row>
    <row r="40" spans="1:5" x14ac:dyDescent="0.3">
      <c r="A40" t="s">
        <v>1</v>
      </c>
      <c r="D40" s="3">
        <v>10276.3657008625</v>
      </c>
      <c r="E40" s="3">
        <v>10276.3657008625</v>
      </c>
    </row>
    <row r="41" spans="1:5" x14ac:dyDescent="0.3">
      <c r="A41" s="2" t="s">
        <v>27</v>
      </c>
      <c r="D41" s="3"/>
      <c r="E41" s="3"/>
    </row>
    <row r="42" spans="1:5" x14ac:dyDescent="0.3">
      <c r="A42" t="s">
        <v>2</v>
      </c>
      <c r="D42" s="3">
        <v>1636903.5360916599</v>
      </c>
      <c r="E42" s="3">
        <v>1636903.5360916599</v>
      </c>
    </row>
    <row r="43" spans="1:5" x14ac:dyDescent="0.3">
      <c r="A43" t="s">
        <v>0</v>
      </c>
      <c r="D43" s="3">
        <v>15934518.027864</v>
      </c>
      <c r="E43" s="3">
        <v>14194345.611482101</v>
      </c>
    </row>
    <row r="44" spans="1:5" x14ac:dyDescent="0.3">
      <c r="A44" t="s">
        <v>1</v>
      </c>
      <c r="D44" s="3">
        <v>0</v>
      </c>
      <c r="E44" s="3">
        <v>0</v>
      </c>
    </row>
    <row r="45" spans="1:5" x14ac:dyDescent="0.3">
      <c r="A45" s="2" t="s">
        <v>28</v>
      </c>
      <c r="D45" s="3"/>
      <c r="E45" s="3"/>
    </row>
    <row r="46" spans="1:5" x14ac:dyDescent="0.3">
      <c r="A46" t="s">
        <v>0</v>
      </c>
      <c r="D46" s="3">
        <v>1740172.41638191</v>
      </c>
      <c r="E46" s="3">
        <v>0</v>
      </c>
    </row>
    <row r="47" spans="1:5" x14ac:dyDescent="0.3">
      <c r="A47" t="s">
        <v>24</v>
      </c>
      <c r="D47" s="3">
        <v>675898963.597579</v>
      </c>
      <c r="E47" s="3">
        <v>675898963.597579</v>
      </c>
    </row>
    <row r="48" spans="1:5" x14ac:dyDescent="0.3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topLeftCell="A20" zoomScale="120" zoomScaleNormal="120" workbookViewId="0">
      <selection sqref="A1:A48"/>
    </sheetView>
  </sheetViews>
  <sheetFormatPr defaultRowHeight="14.4" x14ac:dyDescent="0.3"/>
  <cols>
    <col min="1" max="1" width="32" customWidth="1"/>
    <col min="2" max="3" width="15.33203125" bestFit="1" customWidth="1"/>
    <col min="4" max="5" width="18.44140625" bestFit="1" customWidth="1"/>
    <col min="6" max="7" width="15.33203125" bestFit="1" customWidth="1"/>
    <col min="8" max="8" width="16.44140625" bestFit="1" customWidth="1"/>
    <col min="9" max="9" width="14.33203125" bestFit="1" customWidth="1"/>
    <col min="10" max="10" width="15.33203125" bestFit="1" customWidth="1"/>
    <col min="11" max="13" width="19.6640625" bestFit="1" customWidth="1"/>
  </cols>
  <sheetData>
    <row r="1" spans="1:10" x14ac:dyDescent="0.3">
      <c r="A1" s="1" t="s">
        <v>7</v>
      </c>
      <c r="H1" s="6">
        <v>45810</v>
      </c>
    </row>
    <row r="2" spans="1:10" x14ac:dyDescent="0.3">
      <c r="A2" s="1" t="s">
        <v>6</v>
      </c>
    </row>
    <row r="3" spans="1:10" x14ac:dyDescent="0.3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3">
      <c r="A4" t="s">
        <v>51</v>
      </c>
      <c r="H4" t="s">
        <v>49</v>
      </c>
      <c r="I4" t="s">
        <v>50</v>
      </c>
      <c r="J4" t="s">
        <v>50</v>
      </c>
    </row>
    <row r="5" spans="1:10" x14ac:dyDescent="0.3">
      <c r="A5" s="2" t="s">
        <v>44</v>
      </c>
      <c r="C5" s="3"/>
    </row>
    <row r="6" spans="1:10" x14ac:dyDescent="0.3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3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3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3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3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3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3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3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3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3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3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3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3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3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3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3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3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3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3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3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3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3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3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3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3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3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3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3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3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3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3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3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3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3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3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3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3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3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3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3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3">
      <c r="D49" s="3"/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topLeftCell="A13" zoomScale="85" zoomScaleNormal="85" workbookViewId="0">
      <selection sqref="A1:A53"/>
    </sheetView>
  </sheetViews>
  <sheetFormatPr defaultRowHeight="14.4" x14ac:dyDescent="0.3"/>
  <cols>
    <col min="1" max="1" width="36.5546875" bestFit="1" customWidth="1"/>
    <col min="2" max="2" width="13.109375" customWidth="1"/>
    <col min="3" max="3" width="14" bestFit="1" customWidth="1"/>
    <col min="4" max="5" width="16" bestFit="1" customWidth="1"/>
    <col min="6" max="6" width="13.88671875" customWidth="1"/>
  </cols>
  <sheetData>
    <row r="1" spans="1:6" x14ac:dyDescent="0.3">
      <c r="A1" s="1" t="s">
        <v>7</v>
      </c>
      <c r="B1" t="s">
        <v>61</v>
      </c>
    </row>
    <row r="2" spans="1:6" x14ac:dyDescent="0.3">
      <c r="A2" s="1" t="s">
        <v>6</v>
      </c>
    </row>
    <row r="3" spans="1:6" x14ac:dyDescent="0.3">
      <c r="A3" t="s">
        <v>55</v>
      </c>
      <c r="E3" s="4">
        <v>6624</v>
      </c>
    </row>
    <row r="4" spans="1:6" x14ac:dyDescent="0.3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3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3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3">
      <c r="A7" s="2" t="s">
        <v>44</v>
      </c>
      <c r="B7" s="4"/>
      <c r="C7" s="4"/>
      <c r="D7" s="4"/>
      <c r="E7" s="4"/>
      <c r="F7" s="4"/>
    </row>
    <row r="8" spans="1:6" x14ac:dyDescent="0.3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3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3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3">
      <c r="A11" s="2" t="s">
        <v>20</v>
      </c>
      <c r="B11" s="4"/>
      <c r="C11" s="4"/>
      <c r="D11" s="4"/>
      <c r="E11" s="4"/>
      <c r="F11" s="4"/>
    </row>
    <row r="12" spans="1:6" x14ac:dyDescent="0.3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3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3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3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3">
      <c r="A16" s="2" t="s">
        <v>39</v>
      </c>
      <c r="B16" s="4"/>
      <c r="C16" s="4"/>
      <c r="D16" s="4"/>
      <c r="E16" s="4"/>
      <c r="F16" s="4"/>
    </row>
    <row r="17" spans="1:7" x14ac:dyDescent="0.3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3">
      <c r="A18" s="2" t="s">
        <v>42</v>
      </c>
      <c r="B18" s="4"/>
      <c r="C18" s="4"/>
      <c r="D18" s="4"/>
      <c r="E18" s="4"/>
      <c r="F18" s="4"/>
    </row>
    <row r="19" spans="1:7" x14ac:dyDescent="0.3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3">
      <c r="A20" s="1" t="s">
        <v>9</v>
      </c>
      <c r="B20" s="4"/>
      <c r="C20" s="4"/>
      <c r="D20" s="4"/>
      <c r="E20" s="4"/>
      <c r="F20" s="4"/>
    </row>
    <row r="21" spans="1:7" x14ac:dyDescent="0.3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3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3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3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3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3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3">
      <c r="A27" t="s">
        <v>56</v>
      </c>
      <c r="D27" s="1">
        <v>366</v>
      </c>
      <c r="E27" s="1">
        <v>301</v>
      </c>
      <c r="F27" s="8">
        <v>66</v>
      </c>
    </row>
    <row r="28" spans="1:7" x14ac:dyDescent="0.3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3">
      <c r="A29" s="2" t="s">
        <v>45</v>
      </c>
      <c r="B29" s="4"/>
      <c r="C29" s="4"/>
      <c r="D29" s="4"/>
      <c r="E29" s="4"/>
      <c r="F29" s="4"/>
    </row>
    <row r="30" spans="1:7" x14ac:dyDescent="0.3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3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3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3">
      <c r="A33" s="2" t="s">
        <v>46</v>
      </c>
      <c r="B33" s="4"/>
      <c r="C33" s="4"/>
      <c r="D33" s="4"/>
      <c r="E33" s="4"/>
      <c r="F33" s="4"/>
    </row>
    <row r="34" spans="1:6" x14ac:dyDescent="0.3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3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3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3">
      <c r="A37" s="2" t="s">
        <v>23</v>
      </c>
      <c r="B37" s="4"/>
      <c r="C37" s="4"/>
      <c r="D37" s="4"/>
      <c r="E37" s="4"/>
      <c r="F37" s="4"/>
    </row>
    <row r="38" spans="1:6" x14ac:dyDescent="0.3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3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3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3">
      <c r="A41" s="2" t="s">
        <v>22</v>
      </c>
      <c r="B41" s="4"/>
      <c r="C41" s="4"/>
      <c r="D41" s="4"/>
      <c r="E41" s="4"/>
      <c r="F41" s="4"/>
    </row>
    <row r="42" spans="1:6" x14ac:dyDescent="0.3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3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3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3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3">
      <c r="A46" s="2" t="s">
        <v>27</v>
      </c>
      <c r="B46" s="4"/>
      <c r="C46" s="4"/>
      <c r="D46" s="4"/>
      <c r="E46" s="4"/>
      <c r="F46" s="4"/>
    </row>
    <row r="47" spans="1:6" x14ac:dyDescent="0.3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3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3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3">
      <c r="A50" s="2" t="s">
        <v>28</v>
      </c>
      <c r="B50" s="4"/>
      <c r="C50" s="4"/>
      <c r="D50" s="4"/>
      <c r="E50" s="4"/>
      <c r="F50" s="4"/>
    </row>
    <row r="51" spans="1:6" x14ac:dyDescent="0.3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3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3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Experiments</vt:lpstr>
      <vt:lpstr>250718_investment</vt:lpstr>
      <vt:lpstr>250616_plan</vt:lpstr>
      <vt:lpstr>20250425</vt:lpstr>
      <vt:lpstr>20250424</vt:lpstr>
      <vt:lpstr>20250505_Ops</vt:lpstr>
      <vt:lpstr>250601_ops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2025-07-21T22:54:35Z</dcterms:modified>
</cp:coreProperties>
</file>