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rkl\OneDrive\Desktop\ongoing_projects\MVS\dev\"/>
    </mc:Choice>
  </mc:AlternateContent>
  <xr:revisionPtr revIDLastSave="0" documentId="13_ncr:1_{CD79D7D8-B388-42A5-8891-3BBFC2EDE9C5}" xr6:coauthVersionLast="47" xr6:coauthVersionMax="47" xr10:uidLastSave="{00000000-0000-0000-0000-000000000000}"/>
  <bookViews>
    <workbookView xWindow="-120" yWindow="-120" windowWidth="29040" windowHeight="15720" activeTab="1" xr2:uid="{9B5FF7E0-96E7-42B4-A4F2-AD52E30335CB}"/>
  </bookViews>
  <sheets>
    <sheet name="Tabelle1" sheetId="1" r:id="rId1"/>
    <sheet name="potent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2" i="1"/>
</calcChain>
</file>

<file path=xl/sharedStrings.xml><?xml version="1.0" encoding="utf-8"?>
<sst xmlns="http://schemas.openxmlformats.org/spreadsheetml/2006/main" count="21" uniqueCount="19">
  <si>
    <t>Hour</t>
  </si>
  <si>
    <t>Max</t>
  </si>
  <si>
    <t>roundtrip_eff</t>
  </si>
  <si>
    <t>peak_load</t>
  </si>
  <si>
    <t>energy_output</t>
  </si>
  <si>
    <t>saved_load</t>
  </si>
  <si>
    <t>power_output</t>
  </si>
  <si>
    <t>max_energy_output</t>
  </si>
  <si>
    <t>max_power_out</t>
  </si>
  <si>
    <t>max_power_in</t>
  </si>
  <si>
    <t>Scaled Max in 2050</t>
  </si>
  <si>
    <t>max_energy_output_2050</t>
  </si>
  <si>
    <t>peak_load_2050</t>
  </si>
  <si>
    <t>energy_output_2050</t>
  </si>
  <si>
    <t>max_power_in_2050</t>
  </si>
  <si>
    <t>max_power_out_2050</t>
  </si>
  <si>
    <t>nsq</t>
  </si>
  <si>
    <t>l2050</t>
  </si>
  <si>
    <t>l2024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</si>
</sst>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C5F8-1765-463A-ABED-4754E8829304}">
  <dimension ref="A1:Z154"/>
  <sheetViews>
    <sheetView workbookViewId="0">
      <selection activeCell="P87" sqref="P87:T87"/>
    </sheetView>
  </sheetViews>
  <sheetFormatPr defaultColWidth="11.42578125" defaultRowHeight="15" x14ac:dyDescent="0.25"/>
  <sheetData>
    <row r="1" spans="1:26" ht="30" x14ac:dyDescent="0.25">
      <c r="A1" s="1" t="s">
        <v>0</v>
      </c>
      <c r="B1" s="2">
        <v>45488</v>
      </c>
      <c r="C1" s="2">
        <v>45489</v>
      </c>
      <c r="D1" s="2">
        <v>45506</v>
      </c>
      <c r="E1" s="2">
        <v>45507</v>
      </c>
      <c r="F1" s="2">
        <v>45509</v>
      </c>
      <c r="G1" s="1" t="s">
        <v>1</v>
      </c>
      <c r="H1" s="5" t="s">
        <v>10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P1" t="s">
        <v>7</v>
      </c>
      <c r="Q1" t="s">
        <v>3</v>
      </c>
      <c r="R1" t="s">
        <v>4</v>
      </c>
      <c r="S1" t="s">
        <v>9</v>
      </c>
      <c r="T1" t="s">
        <v>8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</row>
    <row r="2" spans="1:26" x14ac:dyDescent="0.25">
      <c r="A2" s="1">
        <v>0</v>
      </c>
      <c r="B2" s="3">
        <v>34</v>
      </c>
      <c r="C2" s="3">
        <v>38</v>
      </c>
      <c r="D2" s="3">
        <v>36</v>
      </c>
      <c r="E2" s="3">
        <v>38</v>
      </c>
      <c r="F2" s="3">
        <v>37</v>
      </c>
      <c r="G2" s="3">
        <v>38</v>
      </c>
      <c r="H2" s="6">
        <f>G2*98/MAX(G$2:G$26)</f>
        <v>65.333333333333329</v>
      </c>
      <c r="J2" s="4">
        <v>0.5</v>
      </c>
      <c r="K2" s="4">
        <v>47.514000000000003</v>
      </c>
      <c r="L2" s="4">
        <v>55.343000000000004</v>
      </c>
      <c r="M2" s="4">
        <f>MAX(G$2:G$26)-K2</f>
        <v>9.4859999999999971</v>
      </c>
      <c r="N2" s="4">
        <f>L2/24</f>
        <v>2.3059583333333333</v>
      </c>
      <c r="P2" s="4">
        <v>0</v>
      </c>
      <c r="Q2" s="4">
        <v>57</v>
      </c>
      <c r="R2" s="4">
        <v>0</v>
      </c>
      <c r="S2" s="4">
        <v>0</v>
      </c>
      <c r="T2" s="4">
        <v>0</v>
      </c>
      <c r="V2" s="4">
        <v>0</v>
      </c>
      <c r="W2" s="4">
        <v>98</v>
      </c>
      <c r="X2" s="4">
        <v>0</v>
      </c>
      <c r="Y2" s="4">
        <v>0</v>
      </c>
      <c r="Z2" s="4">
        <v>0</v>
      </c>
    </row>
    <row r="3" spans="1:26" x14ac:dyDescent="0.25">
      <c r="A3" s="1">
        <v>1</v>
      </c>
      <c r="B3" s="3">
        <v>32</v>
      </c>
      <c r="C3" s="3">
        <v>38</v>
      </c>
      <c r="D3" s="3">
        <v>34</v>
      </c>
      <c r="E3" s="3">
        <v>36</v>
      </c>
      <c r="F3" s="3">
        <v>35</v>
      </c>
      <c r="G3" s="3">
        <v>38</v>
      </c>
      <c r="H3" s="6">
        <f t="shared" ref="H3:H26" si="0">G3*98/MAX(G$2:G$26)</f>
        <v>65.333333333333329</v>
      </c>
      <c r="J3" s="4">
        <v>0.51</v>
      </c>
      <c r="K3" s="4">
        <v>47.451999999999998</v>
      </c>
      <c r="L3" s="4">
        <v>56.033000000000001</v>
      </c>
      <c r="M3" s="4">
        <f t="shared" ref="M3:M52" si="1">MAX(G$2:G$26)-K3</f>
        <v>9.5480000000000018</v>
      </c>
      <c r="N3" s="4">
        <f t="shared" ref="N3:N52" si="2">L3/24</f>
        <v>2.3347083333333334</v>
      </c>
      <c r="P3" s="4">
        <v>1</v>
      </c>
      <c r="Q3" s="4">
        <v>56.5</v>
      </c>
      <c r="R3" s="4">
        <v>1</v>
      </c>
      <c r="S3" s="4">
        <v>1.087</v>
      </c>
      <c r="T3" s="4">
        <v>0.5</v>
      </c>
      <c r="V3" s="4">
        <v>1</v>
      </c>
      <c r="W3" s="4">
        <v>97.5</v>
      </c>
      <c r="X3" s="4">
        <v>1</v>
      </c>
      <c r="Y3" s="4">
        <v>1.087</v>
      </c>
      <c r="Z3" s="4">
        <v>0.5</v>
      </c>
    </row>
    <row r="4" spans="1:26" x14ac:dyDescent="0.25">
      <c r="A4" s="1">
        <v>2</v>
      </c>
      <c r="B4" s="3">
        <v>30</v>
      </c>
      <c r="C4" s="3">
        <v>34</v>
      </c>
      <c r="D4" s="3">
        <v>32</v>
      </c>
      <c r="E4" s="3">
        <v>35</v>
      </c>
      <c r="F4" s="3">
        <v>33</v>
      </c>
      <c r="G4" s="3">
        <v>35</v>
      </c>
      <c r="H4" s="6">
        <f t="shared" si="0"/>
        <v>60.175438596491226</v>
      </c>
      <c r="J4" s="4">
        <v>0.52</v>
      </c>
      <c r="K4" s="4">
        <v>47.39</v>
      </c>
      <c r="L4" s="4">
        <v>56.713999999999999</v>
      </c>
      <c r="M4" s="4">
        <f t="shared" si="1"/>
        <v>9.61</v>
      </c>
      <c r="N4" s="4">
        <f t="shared" si="2"/>
        <v>2.3630833333333334</v>
      </c>
      <c r="P4" s="4">
        <v>2</v>
      </c>
      <c r="Q4" s="4">
        <v>56</v>
      </c>
      <c r="R4" s="4">
        <v>2</v>
      </c>
      <c r="S4" s="4">
        <v>2.1739999999999999</v>
      </c>
      <c r="T4" s="4">
        <v>1</v>
      </c>
      <c r="V4" s="4">
        <v>2</v>
      </c>
      <c r="W4" s="4">
        <v>97</v>
      </c>
      <c r="X4" s="4">
        <v>2</v>
      </c>
      <c r="Y4" s="4">
        <v>2.1739999999999999</v>
      </c>
      <c r="Z4" s="4">
        <v>1</v>
      </c>
    </row>
    <row r="5" spans="1:26" x14ac:dyDescent="0.25">
      <c r="A5" s="1">
        <v>3</v>
      </c>
      <c r="B5" s="3">
        <v>30</v>
      </c>
      <c r="C5" s="3">
        <v>33</v>
      </c>
      <c r="D5" s="3">
        <v>31</v>
      </c>
      <c r="E5" s="3">
        <v>33</v>
      </c>
      <c r="F5" s="3">
        <v>32</v>
      </c>
      <c r="G5" s="3">
        <v>33</v>
      </c>
      <c r="H5" s="6">
        <f t="shared" si="0"/>
        <v>56.736842105263158</v>
      </c>
      <c r="J5" s="4">
        <v>0.53</v>
      </c>
      <c r="K5" s="4">
        <v>47.329000000000001</v>
      </c>
      <c r="L5" s="4">
        <v>57.384999999999998</v>
      </c>
      <c r="M5" s="4">
        <f t="shared" si="1"/>
        <v>9.6709999999999994</v>
      </c>
      <c r="N5" s="4">
        <f t="shared" si="2"/>
        <v>2.3910416666666667</v>
      </c>
      <c r="P5" s="4">
        <v>3</v>
      </c>
      <c r="Q5" s="4">
        <v>55.5</v>
      </c>
      <c r="R5" s="4">
        <v>3</v>
      </c>
      <c r="S5" s="4">
        <v>3.2610000000000001</v>
      </c>
      <c r="T5" s="4">
        <v>1.5</v>
      </c>
      <c r="V5" s="4">
        <v>3</v>
      </c>
      <c r="W5" s="4">
        <v>96.5</v>
      </c>
      <c r="X5" s="4">
        <v>3</v>
      </c>
      <c r="Y5" s="4">
        <v>3.2610000000000001</v>
      </c>
      <c r="Z5" s="4">
        <v>1.5</v>
      </c>
    </row>
    <row r="6" spans="1:26" x14ac:dyDescent="0.25">
      <c r="A6" s="1">
        <v>4</v>
      </c>
      <c r="B6" s="3">
        <v>29</v>
      </c>
      <c r="C6" s="3">
        <v>32</v>
      </c>
      <c r="D6" s="3">
        <v>29</v>
      </c>
      <c r="E6" s="3">
        <v>32</v>
      </c>
      <c r="F6" s="3">
        <v>30</v>
      </c>
      <c r="G6" s="3">
        <v>32</v>
      </c>
      <c r="H6" s="6">
        <f t="shared" si="0"/>
        <v>55.017543859649123</v>
      </c>
      <c r="J6" s="4">
        <v>0.54</v>
      </c>
      <c r="K6" s="4">
        <v>47.268999999999998</v>
      </c>
      <c r="L6" s="4">
        <v>58.045999999999999</v>
      </c>
      <c r="M6" s="4">
        <f t="shared" si="1"/>
        <v>9.7310000000000016</v>
      </c>
      <c r="N6" s="4">
        <f t="shared" si="2"/>
        <v>2.4185833333333333</v>
      </c>
      <c r="P6" s="4">
        <v>4</v>
      </c>
      <c r="Q6" s="4">
        <v>55</v>
      </c>
      <c r="R6" s="4">
        <v>4</v>
      </c>
      <c r="S6" s="4">
        <v>4.3479999999999999</v>
      </c>
      <c r="T6" s="4">
        <v>2</v>
      </c>
      <c r="V6" s="4">
        <v>4</v>
      </c>
      <c r="W6" s="4">
        <v>96</v>
      </c>
      <c r="X6" s="4">
        <v>4</v>
      </c>
      <c r="Y6" s="4">
        <v>4.3479999999999999</v>
      </c>
      <c r="Z6" s="4">
        <v>2</v>
      </c>
    </row>
    <row r="7" spans="1:26" x14ac:dyDescent="0.25">
      <c r="A7" s="1">
        <v>5</v>
      </c>
      <c r="B7" s="3">
        <v>28</v>
      </c>
      <c r="C7" s="3">
        <v>31</v>
      </c>
      <c r="D7" s="3">
        <v>29</v>
      </c>
      <c r="E7" s="3">
        <v>32</v>
      </c>
      <c r="F7" s="3">
        <v>30</v>
      </c>
      <c r="G7" s="3">
        <v>32</v>
      </c>
      <c r="H7" s="6">
        <f t="shared" si="0"/>
        <v>55.017543859649123</v>
      </c>
      <c r="J7" s="4">
        <v>0.55000000000000004</v>
      </c>
      <c r="K7" s="4">
        <v>47.209000000000003</v>
      </c>
      <c r="L7" s="4">
        <v>58.697000000000003</v>
      </c>
      <c r="M7" s="4">
        <f t="shared" si="1"/>
        <v>9.7909999999999968</v>
      </c>
      <c r="N7" s="4">
        <f t="shared" si="2"/>
        <v>2.4457083333333336</v>
      </c>
      <c r="P7" s="4">
        <v>5</v>
      </c>
      <c r="Q7" s="4">
        <v>54.667000000000002</v>
      </c>
      <c r="R7" s="4">
        <v>5</v>
      </c>
      <c r="S7" s="4">
        <v>5.4349999999999996</v>
      </c>
      <c r="T7" s="4">
        <v>2.3330000000000002</v>
      </c>
      <c r="V7" s="4">
        <v>5</v>
      </c>
      <c r="W7" s="4">
        <v>95.5</v>
      </c>
      <c r="X7" s="4">
        <v>5</v>
      </c>
      <c r="Y7" s="4">
        <v>5.4349999999999996</v>
      </c>
      <c r="Z7" s="4">
        <v>2.5</v>
      </c>
    </row>
    <row r="8" spans="1:26" x14ac:dyDescent="0.25">
      <c r="A8" s="1">
        <v>6</v>
      </c>
      <c r="B8" s="3">
        <v>30</v>
      </c>
      <c r="C8" s="3">
        <v>32</v>
      </c>
      <c r="D8" s="3">
        <v>31</v>
      </c>
      <c r="E8" s="3">
        <v>32</v>
      </c>
      <c r="F8" s="3">
        <v>30</v>
      </c>
      <c r="G8" s="3">
        <v>32</v>
      </c>
      <c r="H8" s="6">
        <f t="shared" si="0"/>
        <v>55.017543859649123</v>
      </c>
      <c r="J8" s="4">
        <v>0.56000000000000005</v>
      </c>
      <c r="K8" s="4">
        <v>47.151000000000003</v>
      </c>
      <c r="L8" s="4">
        <v>59.338999999999999</v>
      </c>
      <c r="M8" s="4">
        <f t="shared" si="1"/>
        <v>9.8489999999999966</v>
      </c>
      <c r="N8" s="4">
        <f t="shared" si="2"/>
        <v>2.4724583333333334</v>
      </c>
      <c r="P8" s="4">
        <v>6</v>
      </c>
      <c r="Q8" s="4">
        <v>54.332999999999998</v>
      </c>
      <c r="R8" s="4">
        <v>6</v>
      </c>
      <c r="S8" s="4">
        <v>6.5220000000000002</v>
      </c>
      <c r="T8" s="4">
        <v>2.6669999999999998</v>
      </c>
      <c r="V8" s="4">
        <v>6</v>
      </c>
      <c r="W8" s="4">
        <v>95</v>
      </c>
      <c r="X8" s="4">
        <v>6</v>
      </c>
      <c r="Y8" s="4">
        <v>6.5220000000000002</v>
      </c>
      <c r="Z8" s="4">
        <v>3</v>
      </c>
    </row>
    <row r="9" spans="1:26" x14ac:dyDescent="0.25">
      <c r="A9" s="1">
        <v>7</v>
      </c>
      <c r="B9" s="3">
        <v>33</v>
      </c>
      <c r="C9" s="3">
        <v>36</v>
      </c>
      <c r="D9" s="3">
        <v>32</v>
      </c>
      <c r="E9" s="3">
        <v>34</v>
      </c>
      <c r="F9" s="3">
        <v>34</v>
      </c>
      <c r="G9" s="3">
        <v>36</v>
      </c>
      <c r="H9" s="6">
        <f t="shared" si="0"/>
        <v>61.89473684210526</v>
      </c>
      <c r="J9" s="4">
        <v>0.56999999999999995</v>
      </c>
      <c r="K9" s="4">
        <v>47.093000000000004</v>
      </c>
      <c r="L9" s="4">
        <v>59.972000000000001</v>
      </c>
      <c r="M9" s="4">
        <f t="shared" si="1"/>
        <v>9.9069999999999965</v>
      </c>
      <c r="N9" s="4">
        <f t="shared" si="2"/>
        <v>2.4988333333333332</v>
      </c>
      <c r="P9" s="4">
        <v>7</v>
      </c>
      <c r="Q9" s="4">
        <v>54</v>
      </c>
      <c r="R9" s="4">
        <v>7</v>
      </c>
      <c r="S9" s="4">
        <v>7.609</v>
      </c>
      <c r="T9" s="4">
        <v>3</v>
      </c>
      <c r="V9" s="4">
        <v>7</v>
      </c>
      <c r="W9" s="4">
        <v>94.667000000000002</v>
      </c>
      <c r="X9" s="4">
        <v>7</v>
      </c>
      <c r="Y9" s="4">
        <v>7.609</v>
      </c>
      <c r="Z9" s="4">
        <v>3.3330000000000002</v>
      </c>
    </row>
    <row r="10" spans="1:26" x14ac:dyDescent="0.25">
      <c r="A10" s="1">
        <v>8</v>
      </c>
      <c r="B10" s="3">
        <v>38</v>
      </c>
      <c r="C10" s="3">
        <v>41</v>
      </c>
      <c r="D10" s="3">
        <v>37</v>
      </c>
      <c r="E10" s="3">
        <v>38</v>
      </c>
      <c r="F10" s="3">
        <v>38</v>
      </c>
      <c r="G10" s="3">
        <v>41</v>
      </c>
      <c r="H10" s="6">
        <f t="shared" si="0"/>
        <v>70.491228070175438</v>
      </c>
      <c r="J10" s="4">
        <v>0.57999999999999996</v>
      </c>
      <c r="K10" s="4">
        <v>47.036999999999999</v>
      </c>
      <c r="L10" s="4">
        <v>60.597000000000001</v>
      </c>
      <c r="M10" s="4">
        <f t="shared" si="1"/>
        <v>9.963000000000001</v>
      </c>
      <c r="N10" s="4">
        <f t="shared" si="2"/>
        <v>2.5248750000000002</v>
      </c>
      <c r="P10" s="4">
        <v>8</v>
      </c>
      <c r="Q10" s="4">
        <v>53.75</v>
      </c>
      <c r="R10" s="4">
        <v>8</v>
      </c>
      <c r="S10" s="4">
        <v>5.1959999999999997</v>
      </c>
      <c r="T10" s="4">
        <v>3.25</v>
      </c>
      <c r="V10" s="4">
        <v>8</v>
      </c>
      <c r="W10" s="4">
        <v>94.332999999999998</v>
      </c>
      <c r="X10" s="4">
        <v>8</v>
      </c>
      <c r="Y10" s="4">
        <v>8.6959999999999997</v>
      </c>
      <c r="Z10" s="4">
        <v>3.6669999999999998</v>
      </c>
    </row>
    <row r="11" spans="1:26" x14ac:dyDescent="0.25">
      <c r="A11" s="1">
        <v>9</v>
      </c>
      <c r="B11" s="3">
        <v>42</v>
      </c>
      <c r="C11" s="3">
        <v>45</v>
      </c>
      <c r="D11" s="3">
        <v>41</v>
      </c>
      <c r="E11" s="3">
        <v>41</v>
      </c>
      <c r="F11" s="3">
        <v>42</v>
      </c>
      <c r="G11" s="3">
        <v>45</v>
      </c>
      <c r="H11" s="6">
        <f t="shared" si="0"/>
        <v>77.368421052631575</v>
      </c>
      <c r="J11" s="4">
        <v>0.59</v>
      </c>
      <c r="K11" s="4">
        <v>46.981000000000002</v>
      </c>
      <c r="L11" s="4">
        <v>61.225999999999999</v>
      </c>
      <c r="M11" s="4">
        <f t="shared" si="1"/>
        <v>10.018999999999998</v>
      </c>
      <c r="N11" s="4">
        <f t="shared" si="2"/>
        <v>2.5510833333333331</v>
      </c>
      <c r="P11" s="4">
        <v>9</v>
      </c>
      <c r="Q11" s="4">
        <v>53.5</v>
      </c>
      <c r="R11" s="4">
        <v>9</v>
      </c>
      <c r="S11" s="4">
        <v>6.7830000000000004</v>
      </c>
      <c r="T11" s="4">
        <v>3.5</v>
      </c>
      <c r="V11" s="4">
        <v>9</v>
      </c>
      <c r="W11" s="4">
        <v>94</v>
      </c>
      <c r="X11" s="4">
        <v>9</v>
      </c>
      <c r="Y11" s="4">
        <v>9.7829999999999995</v>
      </c>
      <c r="Z11" s="4">
        <v>4</v>
      </c>
    </row>
    <row r="12" spans="1:26" x14ac:dyDescent="0.25">
      <c r="A12" s="1">
        <v>10</v>
      </c>
      <c r="B12" s="3">
        <v>44</v>
      </c>
      <c r="C12" s="3">
        <v>46</v>
      </c>
      <c r="D12" s="3">
        <v>45</v>
      </c>
      <c r="E12" s="3">
        <v>44</v>
      </c>
      <c r="F12" s="3">
        <v>45</v>
      </c>
      <c r="G12" s="3">
        <v>46</v>
      </c>
      <c r="H12" s="6">
        <f t="shared" si="0"/>
        <v>79.087719298245617</v>
      </c>
      <c r="J12" s="4">
        <v>0.6</v>
      </c>
      <c r="K12" s="4">
        <v>46.927</v>
      </c>
      <c r="L12" s="4">
        <v>61.875</v>
      </c>
      <c r="M12" s="4">
        <f t="shared" si="1"/>
        <v>10.073</v>
      </c>
      <c r="N12" s="4">
        <f t="shared" si="2"/>
        <v>2.578125</v>
      </c>
      <c r="P12" s="4">
        <v>10</v>
      </c>
      <c r="Q12" s="4">
        <v>53.25</v>
      </c>
      <c r="R12" s="4">
        <v>10</v>
      </c>
      <c r="S12" s="4">
        <v>8.3699999999999992</v>
      </c>
      <c r="T12" s="4">
        <v>3.75</v>
      </c>
      <c r="V12" s="4">
        <v>10</v>
      </c>
      <c r="W12" s="4">
        <v>93.667000000000002</v>
      </c>
      <c r="X12" s="4">
        <v>10</v>
      </c>
      <c r="Y12" s="4">
        <v>10.667</v>
      </c>
      <c r="Z12" s="4">
        <v>4.3330000000000002</v>
      </c>
    </row>
    <row r="13" spans="1:26" x14ac:dyDescent="0.25">
      <c r="A13" s="1">
        <v>11</v>
      </c>
      <c r="B13" s="3">
        <v>47</v>
      </c>
      <c r="C13" s="3">
        <v>47</v>
      </c>
      <c r="D13" s="3">
        <v>47</v>
      </c>
      <c r="E13" s="3">
        <v>47</v>
      </c>
      <c r="F13" s="3">
        <v>46</v>
      </c>
      <c r="G13" s="3">
        <v>47</v>
      </c>
      <c r="H13" s="6">
        <f t="shared" si="0"/>
        <v>80.807017543859644</v>
      </c>
      <c r="J13" s="4">
        <v>0.61</v>
      </c>
      <c r="K13" s="4">
        <v>46.874000000000002</v>
      </c>
      <c r="L13" s="4">
        <v>62.515999999999998</v>
      </c>
      <c r="M13" s="4">
        <f t="shared" si="1"/>
        <v>10.125999999999998</v>
      </c>
      <c r="N13" s="4">
        <f t="shared" si="2"/>
        <v>2.6048333333333331</v>
      </c>
      <c r="P13" s="4">
        <v>11</v>
      </c>
      <c r="Q13" s="4">
        <v>53</v>
      </c>
      <c r="R13" s="4">
        <v>11</v>
      </c>
      <c r="S13" s="4">
        <v>11.957000000000001</v>
      </c>
      <c r="T13" s="4">
        <v>4</v>
      </c>
      <c r="V13" s="4">
        <v>11</v>
      </c>
      <c r="W13" s="4">
        <v>93.332999999999998</v>
      </c>
      <c r="X13" s="4">
        <v>11</v>
      </c>
      <c r="Y13" s="4">
        <v>11.957000000000001</v>
      </c>
      <c r="Z13" s="4">
        <v>4.6669999999999998</v>
      </c>
    </row>
    <row r="14" spans="1:26" x14ac:dyDescent="0.25">
      <c r="A14" s="1">
        <v>12</v>
      </c>
      <c r="B14" s="3">
        <v>49</v>
      </c>
      <c r="C14" s="3">
        <v>48</v>
      </c>
      <c r="D14" s="3">
        <v>49</v>
      </c>
      <c r="E14" s="3">
        <v>49</v>
      </c>
      <c r="F14" s="3">
        <v>48</v>
      </c>
      <c r="G14" s="3">
        <v>49</v>
      </c>
      <c r="H14" s="6">
        <f t="shared" si="0"/>
        <v>84.245614035087726</v>
      </c>
      <c r="J14" s="4">
        <v>0.62</v>
      </c>
      <c r="K14" s="4">
        <v>46.820999999999998</v>
      </c>
      <c r="L14" s="4">
        <v>63.148000000000003</v>
      </c>
      <c r="M14" s="4">
        <f t="shared" si="1"/>
        <v>10.179000000000002</v>
      </c>
      <c r="N14" s="4">
        <f t="shared" si="2"/>
        <v>2.6311666666666667</v>
      </c>
      <c r="P14" s="4">
        <v>12</v>
      </c>
      <c r="Q14" s="4">
        <v>52.832999999999998</v>
      </c>
      <c r="R14" s="4">
        <v>12</v>
      </c>
      <c r="S14" s="4">
        <v>11.21</v>
      </c>
      <c r="T14" s="4">
        <v>4.1669999999999998</v>
      </c>
      <c r="V14" s="4">
        <v>12</v>
      </c>
      <c r="W14" s="4">
        <v>93</v>
      </c>
      <c r="X14" s="4">
        <v>12</v>
      </c>
      <c r="Y14" s="4">
        <v>13.042999999999999</v>
      </c>
      <c r="Z14" s="4">
        <v>5</v>
      </c>
    </row>
    <row r="15" spans="1:26" x14ac:dyDescent="0.25">
      <c r="A15" s="1">
        <v>13</v>
      </c>
      <c r="B15" s="3">
        <v>48</v>
      </c>
      <c r="C15" s="3">
        <v>50</v>
      </c>
      <c r="D15" s="3">
        <v>50</v>
      </c>
      <c r="E15" s="3">
        <v>50</v>
      </c>
      <c r="F15" s="3">
        <v>48</v>
      </c>
      <c r="G15" s="3">
        <v>50</v>
      </c>
      <c r="H15" s="6">
        <f t="shared" si="0"/>
        <v>85.964912280701753</v>
      </c>
      <c r="J15" s="4">
        <v>0.63</v>
      </c>
      <c r="K15" s="4">
        <v>46.768999999999998</v>
      </c>
      <c r="L15" s="4">
        <v>63.773000000000003</v>
      </c>
      <c r="M15" s="4">
        <f t="shared" si="1"/>
        <v>10.231000000000002</v>
      </c>
      <c r="N15" s="4">
        <f t="shared" si="2"/>
        <v>2.6572083333333336</v>
      </c>
      <c r="P15" s="4">
        <v>13</v>
      </c>
      <c r="Q15" s="4">
        <v>52.667000000000002</v>
      </c>
      <c r="R15" s="4">
        <v>13</v>
      </c>
      <c r="S15" s="4">
        <v>14.13</v>
      </c>
      <c r="T15" s="4">
        <v>4.3330000000000002</v>
      </c>
      <c r="V15" s="4">
        <v>13</v>
      </c>
      <c r="W15" s="4">
        <v>92.75</v>
      </c>
      <c r="X15" s="4">
        <v>13</v>
      </c>
      <c r="Y15" s="4">
        <v>14.13</v>
      </c>
      <c r="Z15" s="4">
        <v>5.25</v>
      </c>
    </row>
    <row r="16" spans="1:26" x14ac:dyDescent="0.25">
      <c r="A16" s="1">
        <v>14</v>
      </c>
      <c r="B16" s="3">
        <v>49</v>
      </c>
      <c r="C16" s="3">
        <v>50</v>
      </c>
      <c r="D16" s="3">
        <v>51</v>
      </c>
      <c r="E16" s="3">
        <v>51</v>
      </c>
      <c r="F16" s="3">
        <v>49</v>
      </c>
      <c r="G16" s="3">
        <v>51</v>
      </c>
      <c r="H16" s="6">
        <f t="shared" si="0"/>
        <v>87.684210526315795</v>
      </c>
      <c r="J16" s="4">
        <v>0.64</v>
      </c>
      <c r="K16" s="4">
        <v>46.716999999999999</v>
      </c>
      <c r="L16" s="4">
        <v>64.39</v>
      </c>
      <c r="M16" s="4">
        <f t="shared" si="1"/>
        <v>10.283000000000001</v>
      </c>
      <c r="N16" s="4">
        <f t="shared" si="2"/>
        <v>2.6829166666666668</v>
      </c>
      <c r="P16" s="4">
        <v>14</v>
      </c>
      <c r="Q16" s="4">
        <v>52.5</v>
      </c>
      <c r="R16" s="4">
        <v>14</v>
      </c>
      <c r="S16" s="4">
        <v>14.5</v>
      </c>
      <c r="T16" s="4">
        <v>4.5</v>
      </c>
      <c r="V16" s="4">
        <v>14</v>
      </c>
      <c r="W16" s="4">
        <v>92.5</v>
      </c>
      <c r="X16" s="4">
        <v>14</v>
      </c>
      <c r="Y16" s="4">
        <v>15.217000000000001</v>
      </c>
      <c r="Z16" s="4">
        <v>5.5</v>
      </c>
    </row>
    <row r="17" spans="1:26" x14ac:dyDescent="0.25">
      <c r="A17" s="1">
        <v>15</v>
      </c>
      <c r="B17" s="3">
        <v>50</v>
      </c>
      <c r="C17" s="3">
        <v>52</v>
      </c>
      <c r="D17" s="3">
        <v>53</v>
      </c>
      <c r="E17" s="3">
        <v>52</v>
      </c>
      <c r="F17" s="3">
        <v>50</v>
      </c>
      <c r="G17" s="3">
        <v>53</v>
      </c>
      <c r="H17" s="6">
        <f t="shared" si="0"/>
        <v>91.122807017543863</v>
      </c>
      <c r="J17" s="4">
        <v>0.65</v>
      </c>
      <c r="K17" s="4">
        <v>46.667000000000002</v>
      </c>
      <c r="L17" s="4">
        <v>65</v>
      </c>
      <c r="M17" s="4">
        <f t="shared" si="1"/>
        <v>10.332999999999998</v>
      </c>
      <c r="N17" s="4">
        <f t="shared" si="2"/>
        <v>2.7083333333333335</v>
      </c>
      <c r="P17" s="4">
        <v>15</v>
      </c>
      <c r="Q17" s="4">
        <v>52.332999999999998</v>
      </c>
      <c r="R17" s="4">
        <v>15</v>
      </c>
      <c r="S17" s="4">
        <v>14.333</v>
      </c>
      <c r="T17" s="4">
        <v>4.6669999999999998</v>
      </c>
      <c r="V17" s="4">
        <v>15</v>
      </c>
      <c r="W17" s="4">
        <v>92.25</v>
      </c>
      <c r="X17" s="4">
        <v>15</v>
      </c>
      <c r="Y17" s="4">
        <v>6.25</v>
      </c>
      <c r="Z17" s="4">
        <v>5.75</v>
      </c>
    </row>
    <row r="18" spans="1:26" x14ac:dyDescent="0.25">
      <c r="A18" s="1">
        <v>16</v>
      </c>
      <c r="B18" s="3">
        <v>51</v>
      </c>
      <c r="C18" s="3">
        <v>53</v>
      </c>
      <c r="D18" s="3">
        <v>54</v>
      </c>
      <c r="E18" s="3">
        <v>53</v>
      </c>
      <c r="F18" s="3">
        <v>53</v>
      </c>
      <c r="G18" s="3">
        <v>54</v>
      </c>
      <c r="H18" s="6">
        <f t="shared" si="0"/>
        <v>92.84210526315789</v>
      </c>
      <c r="J18" s="4">
        <v>0.66</v>
      </c>
      <c r="K18" s="4">
        <v>46.616</v>
      </c>
      <c r="L18" s="4">
        <v>65.602000000000004</v>
      </c>
      <c r="M18" s="4">
        <f t="shared" si="1"/>
        <v>10.384</v>
      </c>
      <c r="N18" s="4">
        <f t="shared" si="2"/>
        <v>2.7334166666666668</v>
      </c>
      <c r="P18" s="4">
        <v>16</v>
      </c>
      <c r="Q18" s="4">
        <v>52.167000000000002</v>
      </c>
      <c r="R18" s="4">
        <v>16</v>
      </c>
      <c r="S18" s="4">
        <v>14.167</v>
      </c>
      <c r="T18" s="4">
        <v>4.8330000000000002</v>
      </c>
      <c r="V18" s="4">
        <v>16</v>
      </c>
      <c r="W18" s="4">
        <v>92</v>
      </c>
      <c r="X18" s="4">
        <v>16</v>
      </c>
      <c r="Y18" s="4">
        <v>11.391</v>
      </c>
      <c r="Z18" s="4">
        <v>6</v>
      </c>
    </row>
    <row r="19" spans="1:26" x14ac:dyDescent="0.25">
      <c r="A19" s="1">
        <v>17</v>
      </c>
      <c r="B19" s="3">
        <v>54</v>
      </c>
      <c r="C19" s="3">
        <v>56</v>
      </c>
      <c r="D19" s="3">
        <v>57</v>
      </c>
      <c r="E19" s="3">
        <v>56</v>
      </c>
      <c r="F19" s="3">
        <v>53</v>
      </c>
      <c r="G19" s="3">
        <v>57</v>
      </c>
      <c r="H19" s="6">
        <f t="shared" si="0"/>
        <v>98</v>
      </c>
      <c r="J19" s="4">
        <v>0.67</v>
      </c>
      <c r="K19" s="4">
        <v>46.567</v>
      </c>
      <c r="L19" s="4">
        <v>66.197999999999993</v>
      </c>
      <c r="M19" s="4">
        <f t="shared" si="1"/>
        <v>10.433</v>
      </c>
      <c r="N19" s="4">
        <f t="shared" si="2"/>
        <v>2.7582499999999999</v>
      </c>
      <c r="P19" s="4">
        <v>17</v>
      </c>
      <c r="Q19" s="4">
        <v>52</v>
      </c>
      <c r="R19" s="4">
        <v>17</v>
      </c>
      <c r="S19" s="4">
        <v>11.478</v>
      </c>
      <c r="T19" s="4">
        <v>5</v>
      </c>
      <c r="V19" s="4">
        <v>17</v>
      </c>
      <c r="W19" s="4">
        <v>91.75</v>
      </c>
      <c r="X19" s="4">
        <v>17</v>
      </c>
      <c r="Y19" s="4">
        <v>13.228</v>
      </c>
      <c r="Z19" s="4">
        <v>6.25</v>
      </c>
    </row>
    <row r="20" spans="1:26" x14ac:dyDescent="0.25">
      <c r="A20" s="1">
        <v>18</v>
      </c>
      <c r="B20" s="3">
        <v>55</v>
      </c>
      <c r="C20" s="3">
        <v>56</v>
      </c>
      <c r="D20" s="3">
        <v>56</v>
      </c>
      <c r="E20" s="3">
        <v>57</v>
      </c>
      <c r="F20" s="3">
        <v>55</v>
      </c>
      <c r="G20" s="3">
        <v>57</v>
      </c>
      <c r="H20" s="6">
        <f t="shared" si="0"/>
        <v>98</v>
      </c>
      <c r="J20" s="4">
        <v>0.68</v>
      </c>
      <c r="K20" s="4">
        <v>46.518000000000001</v>
      </c>
      <c r="L20" s="4">
        <v>66.786000000000001</v>
      </c>
      <c r="M20" s="4">
        <f t="shared" si="1"/>
        <v>10.481999999999999</v>
      </c>
      <c r="N20" s="4">
        <f t="shared" si="2"/>
        <v>2.7827500000000001</v>
      </c>
      <c r="P20" s="4">
        <v>18</v>
      </c>
      <c r="Q20" s="4">
        <v>51.832999999999998</v>
      </c>
      <c r="R20" s="4">
        <v>18</v>
      </c>
      <c r="S20" s="4">
        <v>14.065</v>
      </c>
      <c r="T20" s="4">
        <v>5.1669999999999998</v>
      </c>
      <c r="V20" s="4">
        <v>18</v>
      </c>
      <c r="W20" s="4">
        <v>91.5</v>
      </c>
      <c r="X20" s="4">
        <v>18</v>
      </c>
      <c r="Y20" s="4">
        <v>15.065</v>
      </c>
      <c r="Z20" s="4">
        <v>6.5</v>
      </c>
    </row>
    <row r="21" spans="1:26" x14ac:dyDescent="0.25">
      <c r="A21" s="1">
        <v>19</v>
      </c>
      <c r="B21" s="3">
        <v>53</v>
      </c>
      <c r="C21" s="3">
        <v>55</v>
      </c>
      <c r="D21" s="3">
        <v>55</v>
      </c>
      <c r="E21" s="3">
        <v>55</v>
      </c>
      <c r="F21" s="3">
        <v>52</v>
      </c>
      <c r="G21" s="3">
        <v>55</v>
      </c>
      <c r="H21" s="6">
        <f t="shared" si="0"/>
        <v>94.561403508771932</v>
      </c>
      <c r="J21" s="4">
        <v>0.69</v>
      </c>
      <c r="K21" s="4">
        <v>46.469000000000001</v>
      </c>
      <c r="L21" s="4">
        <v>67.367000000000004</v>
      </c>
      <c r="M21" s="4">
        <f t="shared" si="1"/>
        <v>10.530999999999999</v>
      </c>
      <c r="N21" s="4">
        <f t="shared" si="2"/>
        <v>2.8069583333333337</v>
      </c>
      <c r="P21" s="4">
        <v>19</v>
      </c>
      <c r="Q21" s="4">
        <v>51.667000000000002</v>
      </c>
      <c r="R21" s="4">
        <v>19</v>
      </c>
      <c r="S21" s="4">
        <v>8.9860000000000007</v>
      </c>
      <c r="T21" s="4">
        <v>5.3330000000000002</v>
      </c>
      <c r="V21" s="4">
        <v>19</v>
      </c>
      <c r="W21" s="4">
        <v>91.25</v>
      </c>
      <c r="X21" s="4">
        <v>19</v>
      </c>
      <c r="Y21" s="4">
        <v>16.902000000000001</v>
      </c>
      <c r="Z21" s="4">
        <v>6.75</v>
      </c>
    </row>
    <row r="22" spans="1:26" x14ac:dyDescent="0.25">
      <c r="A22" s="1">
        <v>20</v>
      </c>
      <c r="B22" s="3">
        <v>51</v>
      </c>
      <c r="C22" s="3">
        <v>53</v>
      </c>
      <c r="D22" s="3">
        <v>53</v>
      </c>
      <c r="E22" s="3">
        <v>52</v>
      </c>
      <c r="F22" s="3">
        <v>51</v>
      </c>
      <c r="G22" s="3">
        <v>53</v>
      </c>
      <c r="H22" s="6">
        <f t="shared" si="0"/>
        <v>91.122807017543863</v>
      </c>
      <c r="J22" s="4">
        <v>0.7</v>
      </c>
      <c r="K22" s="4">
        <v>46.421999999999997</v>
      </c>
      <c r="L22" s="4">
        <v>67.941000000000003</v>
      </c>
      <c r="M22" s="4">
        <f t="shared" si="1"/>
        <v>10.578000000000003</v>
      </c>
      <c r="N22" s="4">
        <f t="shared" si="2"/>
        <v>2.8308750000000003</v>
      </c>
      <c r="P22" s="4">
        <v>20</v>
      </c>
      <c r="Q22" s="4">
        <v>51.5</v>
      </c>
      <c r="R22" s="4">
        <v>20</v>
      </c>
      <c r="S22" s="4">
        <v>13.5</v>
      </c>
      <c r="T22" s="4">
        <v>5.5</v>
      </c>
      <c r="V22" s="4">
        <v>20</v>
      </c>
      <c r="W22" s="4">
        <v>91</v>
      </c>
      <c r="X22" s="4">
        <v>20</v>
      </c>
      <c r="Y22" s="4">
        <v>16.739000000000001</v>
      </c>
      <c r="Z22" s="4">
        <v>7</v>
      </c>
    </row>
    <row r="23" spans="1:26" x14ac:dyDescent="0.25">
      <c r="A23" s="1">
        <v>21</v>
      </c>
      <c r="B23" s="3">
        <v>50</v>
      </c>
      <c r="C23" s="3">
        <v>51</v>
      </c>
      <c r="D23" s="3">
        <v>51</v>
      </c>
      <c r="E23" s="3">
        <v>50</v>
      </c>
      <c r="F23" s="3">
        <v>49</v>
      </c>
      <c r="G23" s="3">
        <v>51</v>
      </c>
      <c r="H23" s="6">
        <f t="shared" si="0"/>
        <v>87.684210526315795</v>
      </c>
      <c r="J23" s="4">
        <v>0.71</v>
      </c>
      <c r="K23" s="4">
        <v>46.374000000000002</v>
      </c>
      <c r="L23" s="4">
        <v>68.509</v>
      </c>
      <c r="M23" s="4">
        <f t="shared" si="1"/>
        <v>10.625999999999998</v>
      </c>
      <c r="N23" s="4">
        <f t="shared" si="2"/>
        <v>2.8545416666666665</v>
      </c>
      <c r="P23" s="4">
        <v>21</v>
      </c>
      <c r="Q23" s="4">
        <v>51.332999999999998</v>
      </c>
      <c r="R23" s="4">
        <v>21</v>
      </c>
      <c r="S23" s="4">
        <v>15.333</v>
      </c>
      <c r="T23" s="4">
        <v>5.6669999999999998</v>
      </c>
      <c r="V23" s="4">
        <v>21</v>
      </c>
      <c r="W23" s="4">
        <v>90.832999999999998</v>
      </c>
      <c r="X23" s="4">
        <v>21</v>
      </c>
      <c r="Y23" s="4">
        <v>22.826000000000001</v>
      </c>
      <c r="Z23" s="4">
        <v>7.1669999999999998</v>
      </c>
    </row>
    <row r="24" spans="1:26" x14ac:dyDescent="0.25">
      <c r="A24" s="1">
        <v>22</v>
      </c>
      <c r="B24" s="3">
        <v>47</v>
      </c>
      <c r="C24" s="3">
        <v>48</v>
      </c>
      <c r="D24" s="3">
        <v>48</v>
      </c>
      <c r="E24" s="3">
        <v>48</v>
      </c>
      <c r="F24" s="3">
        <v>45</v>
      </c>
      <c r="G24" s="3">
        <v>48</v>
      </c>
      <c r="H24" s="6">
        <f t="shared" si="0"/>
        <v>82.526315789473685</v>
      </c>
      <c r="J24" s="4">
        <v>0.72</v>
      </c>
      <c r="K24" s="4">
        <v>46.328000000000003</v>
      </c>
      <c r="L24" s="4">
        <v>69.069999999999993</v>
      </c>
      <c r="M24" s="4">
        <f t="shared" si="1"/>
        <v>10.671999999999997</v>
      </c>
      <c r="N24" s="4">
        <f t="shared" si="2"/>
        <v>2.8779166666666662</v>
      </c>
      <c r="P24" s="4">
        <v>22</v>
      </c>
      <c r="Q24" s="4">
        <v>51.167000000000002</v>
      </c>
      <c r="R24" s="4">
        <v>22</v>
      </c>
      <c r="S24" s="4">
        <v>15.167</v>
      </c>
      <c r="T24" s="4">
        <v>5.8330000000000002</v>
      </c>
      <c r="V24" s="4">
        <v>22</v>
      </c>
      <c r="W24" s="4">
        <v>90.667000000000002</v>
      </c>
      <c r="X24" s="4">
        <v>22</v>
      </c>
      <c r="Y24" s="4">
        <v>21.245999999999999</v>
      </c>
      <c r="Z24" s="4">
        <v>7.3330000000000002</v>
      </c>
    </row>
    <row r="25" spans="1:26" x14ac:dyDescent="0.25">
      <c r="A25" s="1">
        <v>23</v>
      </c>
      <c r="B25" s="3">
        <v>42</v>
      </c>
      <c r="C25" s="3">
        <v>43</v>
      </c>
      <c r="D25" s="3">
        <v>43</v>
      </c>
      <c r="E25" s="3">
        <v>45</v>
      </c>
      <c r="F25" s="3">
        <v>42</v>
      </c>
      <c r="G25" s="3">
        <v>45</v>
      </c>
      <c r="H25" s="6">
        <f t="shared" si="0"/>
        <v>77.368421052631575</v>
      </c>
      <c r="J25" s="4">
        <v>0.73</v>
      </c>
      <c r="K25" s="4">
        <v>46.280999999999999</v>
      </c>
      <c r="L25" s="4">
        <v>69.623999999999995</v>
      </c>
      <c r="M25" s="4">
        <f t="shared" si="1"/>
        <v>10.719000000000001</v>
      </c>
      <c r="N25" s="4">
        <f t="shared" si="2"/>
        <v>2.9009999999999998</v>
      </c>
      <c r="P25" s="4">
        <v>23</v>
      </c>
      <c r="Q25" s="4">
        <v>51</v>
      </c>
      <c r="R25" s="4">
        <v>23</v>
      </c>
      <c r="S25" s="4">
        <v>15</v>
      </c>
      <c r="T25" s="4">
        <v>6</v>
      </c>
      <c r="V25" s="4">
        <v>23</v>
      </c>
      <c r="W25" s="4">
        <v>90.5</v>
      </c>
      <c r="X25" s="4">
        <v>23</v>
      </c>
      <c r="Y25" s="4">
        <v>22.5</v>
      </c>
      <c r="Z25" s="4">
        <v>7.5</v>
      </c>
    </row>
    <row r="26" spans="1:26" x14ac:dyDescent="0.25">
      <c r="A26" s="1">
        <v>24</v>
      </c>
      <c r="B26" s="3">
        <v>42</v>
      </c>
      <c r="C26" s="3">
        <v>43</v>
      </c>
      <c r="D26" s="3">
        <v>43</v>
      </c>
      <c r="E26" s="3">
        <v>45</v>
      </c>
      <c r="F26" s="3">
        <v>42</v>
      </c>
      <c r="G26" s="3">
        <v>45</v>
      </c>
      <c r="H26" s="6">
        <f t="shared" si="0"/>
        <v>77.368421052631575</v>
      </c>
      <c r="J26" s="4">
        <v>0.74</v>
      </c>
      <c r="K26" s="4">
        <v>46.235999999999997</v>
      </c>
      <c r="L26" s="4">
        <v>70.171999999999997</v>
      </c>
      <c r="M26" s="4">
        <f t="shared" si="1"/>
        <v>10.764000000000003</v>
      </c>
      <c r="N26" s="4">
        <f t="shared" si="2"/>
        <v>2.9238333333333331</v>
      </c>
      <c r="P26" s="4">
        <v>24</v>
      </c>
      <c r="Q26" s="4">
        <v>50.875</v>
      </c>
      <c r="R26" s="4">
        <v>24</v>
      </c>
      <c r="S26" s="4">
        <v>18.875</v>
      </c>
      <c r="T26" s="4">
        <v>6.125</v>
      </c>
      <c r="V26" s="4">
        <v>24</v>
      </c>
      <c r="W26" s="4">
        <v>90.332999999999998</v>
      </c>
      <c r="X26" s="4">
        <v>24</v>
      </c>
      <c r="Y26" s="4">
        <v>25.332999999999998</v>
      </c>
      <c r="Z26" s="4">
        <v>7.6669999999999998</v>
      </c>
    </row>
    <row r="27" spans="1:26" x14ac:dyDescent="0.25">
      <c r="J27" s="4">
        <v>0.75</v>
      </c>
      <c r="K27" s="4">
        <v>46.19</v>
      </c>
      <c r="L27" s="4">
        <v>70.713999999999999</v>
      </c>
      <c r="M27" s="4">
        <f t="shared" si="1"/>
        <v>10.810000000000002</v>
      </c>
      <c r="N27" s="4">
        <f t="shared" si="2"/>
        <v>2.9464166666666665</v>
      </c>
      <c r="P27" s="4">
        <v>25</v>
      </c>
      <c r="Q27" s="4">
        <v>50.75</v>
      </c>
      <c r="R27" s="4">
        <v>25</v>
      </c>
      <c r="S27" s="4">
        <v>12.75</v>
      </c>
      <c r="T27" s="4">
        <v>6.25</v>
      </c>
      <c r="V27" s="4">
        <v>25</v>
      </c>
      <c r="W27" s="4">
        <v>90.167000000000002</v>
      </c>
      <c r="X27" s="4">
        <v>25</v>
      </c>
      <c r="Y27" s="4">
        <v>23.007000000000001</v>
      </c>
      <c r="Z27" s="4">
        <v>7.8330000000000002</v>
      </c>
    </row>
    <row r="28" spans="1:26" x14ac:dyDescent="0.25">
      <c r="J28" s="4">
        <v>0.76</v>
      </c>
      <c r="K28" s="4">
        <v>46.146000000000001</v>
      </c>
      <c r="L28" s="4">
        <v>71.25</v>
      </c>
      <c r="M28" s="4">
        <f t="shared" si="1"/>
        <v>10.853999999999999</v>
      </c>
      <c r="N28" s="4">
        <f t="shared" si="2"/>
        <v>2.96875</v>
      </c>
      <c r="P28" s="4">
        <v>26</v>
      </c>
      <c r="Q28" s="4">
        <v>50.625</v>
      </c>
      <c r="R28" s="4">
        <v>26</v>
      </c>
      <c r="S28" s="4">
        <v>12.625</v>
      </c>
      <c r="T28" s="4">
        <v>6.375</v>
      </c>
      <c r="V28" s="4">
        <v>26</v>
      </c>
      <c r="W28" s="4">
        <v>90</v>
      </c>
      <c r="X28" s="4">
        <v>26</v>
      </c>
      <c r="Y28" s="4">
        <v>25</v>
      </c>
      <c r="Z28" s="4">
        <v>8</v>
      </c>
    </row>
    <row r="29" spans="1:26" x14ac:dyDescent="0.25">
      <c r="J29" s="4">
        <v>0.77</v>
      </c>
      <c r="K29" s="4">
        <v>46.101999999999997</v>
      </c>
      <c r="L29" s="4">
        <v>71.78</v>
      </c>
      <c r="M29" s="4">
        <f t="shared" si="1"/>
        <v>10.898000000000003</v>
      </c>
      <c r="N29" s="4">
        <f t="shared" si="2"/>
        <v>2.9908333333333332</v>
      </c>
      <c r="P29" s="4">
        <v>27</v>
      </c>
      <c r="Q29" s="4">
        <v>50.5</v>
      </c>
      <c r="R29" s="4">
        <v>27</v>
      </c>
      <c r="S29" s="4">
        <v>18.5</v>
      </c>
      <c r="T29" s="4">
        <v>6.5</v>
      </c>
      <c r="V29" s="4">
        <v>27</v>
      </c>
      <c r="W29" s="4">
        <v>89.832999999999998</v>
      </c>
      <c r="X29" s="4">
        <v>27</v>
      </c>
      <c r="Y29" s="4">
        <v>14.848000000000001</v>
      </c>
      <c r="Z29" s="4">
        <v>8.1669999999999998</v>
      </c>
    </row>
    <row r="30" spans="1:26" x14ac:dyDescent="0.25">
      <c r="J30" s="4">
        <v>0.78</v>
      </c>
      <c r="K30" s="4">
        <v>46.058</v>
      </c>
      <c r="L30" s="4">
        <v>72.302999999999997</v>
      </c>
      <c r="M30" s="4">
        <f t="shared" si="1"/>
        <v>10.942</v>
      </c>
      <c r="N30" s="4">
        <f t="shared" si="2"/>
        <v>3.0126249999999999</v>
      </c>
      <c r="P30" s="4">
        <v>28</v>
      </c>
      <c r="Q30" s="4">
        <v>50.375</v>
      </c>
      <c r="R30" s="4">
        <v>28</v>
      </c>
      <c r="S30" s="4">
        <v>18.375</v>
      </c>
      <c r="T30" s="4">
        <v>6.625</v>
      </c>
      <c r="V30" s="4">
        <v>28</v>
      </c>
      <c r="W30" s="4">
        <v>89.667000000000002</v>
      </c>
      <c r="X30" s="4">
        <v>28</v>
      </c>
      <c r="Y30" s="4">
        <v>16.434999999999999</v>
      </c>
      <c r="Z30" s="4">
        <v>8.3330000000000002</v>
      </c>
    </row>
    <row r="31" spans="1:26" x14ac:dyDescent="0.25">
      <c r="J31" s="4">
        <v>0.79</v>
      </c>
      <c r="K31" s="4">
        <v>46.015000000000001</v>
      </c>
      <c r="L31" s="4">
        <v>72.820999999999998</v>
      </c>
      <c r="M31" s="4">
        <f t="shared" si="1"/>
        <v>10.984999999999999</v>
      </c>
      <c r="N31" s="4">
        <f t="shared" si="2"/>
        <v>3.0342083333333334</v>
      </c>
      <c r="P31" s="4">
        <v>29</v>
      </c>
      <c r="Q31" s="4">
        <v>50.25</v>
      </c>
      <c r="R31" s="4">
        <v>29</v>
      </c>
      <c r="S31" s="4">
        <v>14.522</v>
      </c>
      <c r="T31" s="4">
        <v>6.75</v>
      </c>
      <c r="V31" s="4">
        <v>29</v>
      </c>
      <c r="W31" s="4">
        <v>89.5</v>
      </c>
      <c r="X31" s="4">
        <v>29</v>
      </c>
      <c r="Y31" s="4">
        <v>18.021999999999998</v>
      </c>
      <c r="Z31" s="4">
        <v>8.5</v>
      </c>
    </row>
    <row r="32" spans="1:26" x14ac:dyDescent="0.25">
      <c r="J32" s="4">
        <v>0.8</v>
      </c>
      <c r="K32" s="4">
        <v>45.972000000000001</v>
      </c>
      <c r="L32" s="4">
        <v>73.358000000000004</v>
      </c>
      <c r="M32" s="4">
        <f t="shared" si="1"/>
        <v>11.027999999999999</v>
      </c>
      <c r="N32" s="4">
        <f t="shared" si="2"/>
        <v>3.0565833333333337</v>
      </c>
      <c r="P32" s="4">
        <v>30</v>
      </c>
      <c r="Q32" s="4">
        <v>50.125</v>
      </c>
      <c r="R32" s="4">
        <v>30</v>
      </c>
      <c r="S32" s="4">
        <v>12.125</v>
      </c>
      <c r="T32" s="4">
        <v>6.875</v>
      </c>
      <c r="V32" s="4">
        <v>30</v>
      </c>
      <c r="W32" s="4">
        <v>89.332999999999998</v>
      </c>
      <c r="X32" s="4">
        <v>30</v>
      </c>
      <c r="Y32" s="4">
        <v>19.609000000000002</v>
      </c>
      <c r="Z32" s="4">
        <v>8.6669999999999998</v>
      </c>
    </row>
    <row r="33" spans="10:26" x14ac:dyDescent="0.25">
      <c r="J33" s="4">
        <v>0.81</v>
      </c>
      <c r="K33" s="4">
        <v>45.930999999999997</v>
      </c>
      <c r="L33" s="4">
        <v>73.902000000000001</v>
      </c>
      <c r="M33" s="4">
        <f t="shared" si="1"/>
        <v>11.069000000000003</v>
      </c>
      <c r="N33" s="4">
        <f t="shared" si="2"/>
        <v>3.07925</v>
      </c>
      <c r="P33" s="4">
        <v>31</v>
      </c>
      <c r="Q33" s="4">
        <v>50</v>
      </c>
      <c r="R33" s="4">
        <v>31</v>
      </c>
      <c r="S33" s="4">
        <v>13.696</v>
      </c>
      <c r="T33" s="4">
        <v>7</v>
      </c>
      <c r="V33" s="4">
        <v>31</v>
      </c>
      <c r="W33" s="4">
        <v>89.167000000000002</v>
      </c>
      <c r="X33" s="4">
        <v>31</v>
      </c>
      <c r="Y33" s="4">
        <v>24.167000000000002</v>
      </c>
      <c r="Z33" s="4">
        <v>8.8330000000000002</v>
      </c>
    </row>
    <row r="34" spans="10:26" x14ac:dyDescent="0.25">
      <c r="J34" s="4">
        <v>0.82</v>
      </c>
      <c r="K34" s="4">
        <v>45.889000000000003</v>
      </c>
      <c r="L34" s="4">
        <v>74.441000000000003</v>
      </c>
      <c r="M34" s="4">
        <f t="shared" si="1"/>
        <v>11.110999999999997</v>
      </c>
      <c r="N34" s="4">
        <f t="shared" si="2"/>
        <v>3.1017083333333333</v>
      </c>
      <c r="P34" s="4">
        <v>32</v>
      </c>
      <c r="Q34" s="4">
        <v>49.889000000000003</v>
      </c>
      <c r="R34" s="4">
        <v>32</v>
      </c>
      <c r="S34" s="4">
        <v>8.8889999999999993</v>
      </c>
      <c r="T34" s="4">
        <v>7.1109999999999998</v>
      </c>
      <c r="V34" s="4">
        <v>32</v>
      </c>
      <c r="W34" s="4">
        <v>89</v>
      </c>
      <c r="X34" s="4">
        <v>32</v>
      </c>
      <c r="Y34" s="4">
        <v>10</v>
      </c>
      <c r="Z34" s="4">
        <v>9</v>
      </c>
    </row>
    <row r="35" spans="10:26" x14ac:dyDescent="0.25">
      <c r="J35" s="4">
        <v>0.83</v>
      </c>
      <c r="K35" s="4">
        <v>45.847999999999999</v>
      </c>
      <c r="L35" s="4">
        <v>74.974000000000004</v>
      </c>
      <c r="M35" s="4">
        <f t="shared" si="1"/>
        <v>11.152000000000001</v>
      </c>
      <c r="N35" s="4">
        <f t="shared" si="2"/>
        <v>3.1239166666666667</v>
      </c>
      <c r="P35" s="4">
        <v>33</v>
      </c>
      <c r="Q35" s="4">
        <v>49.777999999999999</v>
      </c>
      <c r="R35" s="4">
        <v>33</v>
      </c>
      <c r="S35" s="4">
        <v>8.7780000000000005</v>
      </c>
      <c r="T35" s="4">
        <v>7.2220000000000004</v>
      </c>
      <c r="V35" s="4">
        <v>33</v>
      </c>
      <c r="W35" s="4">
        <v>88.832999999999998</v>
      </c>
      <c r="X35" s="4">
        <v>33</v>
      </c>
      <c r="Y35" s="4">
        <v>10.87</v>
      </c>
      <c r="Z35" s="4">
        <v>9.1669999999999998</v>
      </c>
    </row>
    <row r="36" spans="10:26" x14ac:dyDescent="0.25">
      <c r="J36" s="4">
        <v>0.84</v>
      </c>
      <c r="K36" s="4">
        <v>45.808</v>
      </c>
      <c r="L36" s="4">
        <v>75.501999999999995</v>
      </c>
      <c r="M36" s="4">
        <f t="shared" si="1"/>
        <v>11.192</v>
      </c>
      <c r="N36" s="4">
        <f t="shared" si="2"/>
        <v>3.1459166666666665</v>
      </c>
      <c r="P36" s="4">
        <v>34</v>
      </c>
      <c r="Q36" s="4">
        <v>49.667000000000002</v>
      </c>
      <c r="R36" s="4">
        <v>34</v>
      </c>
      <c r="S36" s="4">
        <v>8.6669999999999998</v>
      </c>
      <c r="T36" s="4">
        <v>7.3330000000000002</v>
      </c>
      <c r="V36" s="4">
        <v>34</v>
      </c>
      <c r="W36" s="4">
        <v>88.667000000000002</v>
      </c>
      <c r="X36" s="4">
        <v>34</v>
      </c>
      <c r="Y36" s="4">
        <v>12.957000000000001</v>
      </c>
      <c r="Z36" s="4">
        <v>9.3330000000000002</v>
      </c>
    </row>
    <row r="37" spans="10:26" x14ac:dyDescent="0.25">
      <c r="J37" s="4">
        <v>0.85</v>
      </c>
      <c r="K37" s="4">
        <v>45.767000000000003</v>
      </c>
      <c r="L37" s="4">
        <v>76.025000000000006</v>
      </c>
      <c r="M37" s="4">
        <f t="shared" si="1"/>
        <v>11.232999999999997</v>
      </c>
      <c r="N37" s="4">
        <f t="shared" si="2"/>
        <v>3.1677083333333336</v>
      </c>
      <c r="P37" s="4">
        <v>35</v>
      </c>
      <c r="Q37" s="4">
        <v>49.555999999999997</v>
      </c>
      <c r="R37" s="4">
        <v>35</v>
      </c>
      <c r="S37" s="4">
        <v>8.5559999999999992</v>
      </c>
      <c r="T37" s="4">
        <v>7.444</v>
      </c>
      <c r="V37" s="4">
        <v>35</v>
      </c>
      <c r="W37" s="4">
        <v>88.5</v>
      </c>
      <c r="X37" s="4">
        <v>35</v>
      </c>
      <c r="Y37" s="4">
        <v>15.042999999999999</v>
      </c>
      <c r="Z37" s="4">
        <v>9.5</v>
      </c>
    </row>
    <row r="38" spans="10:26" x14ac:dyDescent="0.25">
      <c r="J38" s="4">
        <v>0.86</v>
      </c>
      <c r="K38" s="4">
        <v>45.728000000000002</v>
      </c>
      <c r="L38" s="4">
        <v>76.542000000000002</v>
      </c>
      <c r="M38" s="4">
        <f t="shared" si="1"/>
        <v>11.271999999999998</v>
      </c>
      <c r="N38" s="4">
        <f t="shared" si="2"/>
        <v>3.1892499999999999</v>
      </c>
      <c r="P38" s="4">
        <v>36</v>
      </c>
      <c r="Q38" s="4">
        <v>49.444000000000003</v>
      </c>
      <c r="R38" s="4">
        <v>36</v>
      </c>
      <c r="S38" s="4">
        <v>9.5749999999999993</v>
      </c>
      <c r="T38" s="4">
        <v>7.556</v>
      </c>
      <c r="V38" s="4">
        <v>36</v>
      </c>
      <c r="W38" s="4">
        <v>88.332999999999998</v>
      </c>
      <c r="X38" s="4">
        <v>36</v>
      </c>
      <c r="Y38" s="4">
        <v>9.7970000000000006</v>
      </c>
      <c r="Z38" s="4">
        <v>9.6669999999999998</v>
      </c>
    </row>
    <row r="39" spans="10:26" x14ac:dyDescent="0.25">
      <c r="J39" s="4">
        <v>0.87</v>
      </c>
      <c r="K39" s="4">
        <v>45.688000000000002</v>
      </c>
      <c r="L39" s="4">
        <v>77.055000000000007</v>
      </c>
      <c r="M39" s="4">
        <f t="shared" si="1"/>
        <v>11.311999999999998</v>
      </c>
      <c r="N39" s="4">
        <f t="shared" si="2"/>
        <v>3.2106250000000003</v>
      </c>
      <c r="P39" s="4">
        <v>37</v>
      </c>
      <c r="Q39" s="4">
        <v>49.332999999999998</v>
      </c>
      <c r="R39" s="4">
        <v>37</v>
      </c>
      <c r="S39" s="4">
        <v>11.551</v>
      </c>
      <c r="T39" s="4">
        <v>7.6669999999999998</v>
      </c>
      <c r="V39" s="4">
        <v>37</v>
      </c>
      <c r="W39" s="4">
        <v>88.167000000000002</v>
      </c>
      <c r="X39" s="4">
        <v>37</v>
      </c>
      <c r="Y39" s="4">
        <v>12.051</v>
      </c>
      <c r="Z39" s="4">
        <v>9.8330000000000002</v>
      </c>
    </row>
    <row r="40" spans="10:26" x14ac:dyDescent="0.25">
      <c r="J40" s="4">
        <v>0.88</v>
      </c>
      <c r="K40" s="4">
        <v>45.649000000000001</v>
      </c>
      <c r="L40" s="4">
        <v>77.563000000000002</v>
      </c>
      <c r="M40" s="4">
        <f t="shared" si="1"/>
        <v>11.350999999999999</v>
      </c>
      <c r="N40" s="4">
        <f t="shared" si="2"/>
        <v>3.2317916666666666</v>
      </c>
      <c r="P40" s="4">
        <v>38</v>
      </c>
      <c r="Q40" s="4">
        <v>49.222000000000001</v>
      </c>
      <c r="R40" s="4">
        <v>38</v>
      </c>
      <c r="S40" s="4">
        <v>13.526999999999999</v>
      </c>
      <c r="T40" s="4">
        <v>7.7779999999999996</v>
      </c>
      <c r="V40" s="4">
        <v>38</v>
      </c>
      <c r="W40" s="4">
        <v>88</v>
      </c>
      <c r="X40" s="4">
        <v>38</v>
      </c>
      <c r="Y40" s="4">
        <v>14.304</v>
      </c>
      <c r="Z40" s="4">
        <v>10</v>
      </c>
    </row>
    <row r="41" spans="10:26" x14ac:dyDescent="0.25">
      <c r="J41" s="4">
        <v>0.89</v>
      </c>
      <c r="K41" s="4">
        <v>45.61</v>
      </c>
      <c r="L41" s="4">
        <v>78.064999999999998</v>
      </c>
      <c r="M41" s="4">
        <f t="shared" si="1"/>
        <v>11.39</v>
      </c>
      <c r="N41" s="4">
        <f t="shared" si="2"/>
        <v>3.2527083333333331</v>
      </c>
      <c r="P41" s="4">
        <v>39</v>
      </c>
      <c r="Q41" s="4">
        <v>49.110999999999997</v>
      </c>
      <c r="R41" s="4">
        <v>39</v>
      </c>
      <c r="S41" s="4">
        <v>15.502000000000001</v>
      </c>
      <c r="T41" s="4">
        <v>7.8890000000000002</v>
      </c>
      <c r="V41" s="4">
        <v>39</v>
      </c>
      <c r="W41" s="4">
        <v>87.875</v>
      </c>
      <c r="X41" s="4">
        <v>39</v>
      </c>
      <c r="Y41" s="4">
        <v>16.015999999999998</v>
      </c>
      <c r="Z41" s="4">
        <v>10.125</v>
      </c>
    </row>
    <row r="42" spans="10:26" x14ac:dyDescent="0.25">
      <c r="J42" s="4">
        <v>0.9</v>
      </c>
      <c r="K42" s="4">
        <v>45.572000000000003</v>
      </c>
      <c r="L42" s="4">
        <v>78.563000000000002</v>
      </c>
      <c r="M42" s="4">
        <f t="shared" si="1"/>
        <v>11.427999999999997</v>
      </c>
      <c r="N42" s="4">
        <f t="shared" si="2"/>
        <v>3.2734583333333336</v>
      </c>
      <c r="P42" s="4">
        <v>40</v>
      </c>
      <c r="Q42" s="4">
        <v>49</v>
      </c>
      <c r="R42" s="4">
        <v>40</v>
      </c>
      <c r="S42" s="4">
        <v>16</v>
      </c>
      <c r="T42" s="4">
        <v>8</v>
      </c>
      <c r="V42" s="4">
        <v>40</v>
      </c>
      <c r="W42" s="4">
        <v>87.75</v>
      </c>
      <c r="X42" s="4">
        <v>40</v>
      </c>
      <c r="Y42" s="4">
        <v>17.728000000000002</v>
      </c>
      <c r="Z42" s="4">
        <v>10.25</v>
      </c>
    </row>
    <row r="43" spans="10:26" x14ac:dyDescent="0.25">
      <c r="J43" s="4">
        <v>0.91</v>
      </c>
      <c r="K43" s="4">
        <v>45.533999999999999</v>
      </c>
      <c r="L43" s="4">
        <v>79.055999999999997</v>
      </c>
      <c r="M43" s="4">
        <f t="shared" si="1"/>
        <v>11.466000000000001</v>
      </c>
      <c r="N43" s="4">
        <f t="shared" si="2"/>
        <v>3.294</v>
      </c>
      <c r="P43" s="4">
        <v>41</v>
      </c>
      <c r="Q43" s="4">
        <v>48.9</v>
      </c>
      <c r="R43" s="4">
        <v>41</v>
      </c>
      <c r="S43" s="4">
        <v>15.9</v>
      </c>
      <c r="T43" s="4">
        <v>8.1</v>
      </c>
      <c r="V43" s="4">
        <v>41</v>
      </c>
      <c r="W43" s="4">
        <v>87.625</v>
      </c>
      <c r="X43" s="4">
        <v>41</v>
      </c>
      <c r="Y43" s="4">
        <v>17.440000000000001</v>
      </c>
      <c r="Z43" s="4">
        <v>10.375</v>
      </c>
    </row>
    <row r="44" spans="10:26" x14ac:dyDescent="0.25">
      <c r="J44" s="4">
        <v>0.92</v>
      </c>
      <c r="K44" s="4">
        <v>45.497</v>
      </c>
      <c r="L44" s="4">
        <v>79.545000000000002</v>
      </c>
      <c r="M44" s="4">
        <f t="shared" si="1"/>
        <v>11.503</v>
      </c>
      <c r="N44" s="4">
        <f t="shared" si="2"/>
        <v>3.3143750000000001</v>
      </c>
      <c r="P44" s="4">
        <v>42</v>
      </c>
      <c r="Q44" s="4">
        <v>48.8</v>
      </c>
      <c r="R44" s="4">
        <v>42</v>
      </c>
      <c r="S44" s="4">
        <v>15.8</v>
      </c>
      <c r="T44" s="4">
        <v>8.1999999999999993</v>
      </c>
      <c r="V44" s="4">
        <v>42</v>
      </c>
      <c r="W44" s="4">
        <v>87.5</v>
      </c>
      <c r="X44" s="4">
        <v>42</v>
      </c>
      <c r="Y44" s="4">
        <v>10.651999999999999</v>
      </c>
      <c r="Z44" s="4">
        <v>10.5</v>
      </c>
    </row>
    <row r="45" spans="10:26" x14ac:dyDescent="0.25">
      <c r="J45" s="4">
        <v>0.93</v>
      </c>
      <c r="K45" s="4">
        <v>45.459000000000003</v>
      </c>
      <c r="L45" s="4">
        <v>80.028999999999996</v>
      </c>
      <c r="M45" s="4">
        <f t="shared" si="1"/>
        <v>11.540999999999997</v>
      </c>
      <c r="N45" s="4">
        <f t="shared" si="2"/>
        <v>3.3345416666666665</v>
      </c>
      <c r="P45" s="4">
        <v>43</v>
      </c>
      <c r="Q45" s="4">
        <v>48.7</v>
      </c>
      <c r="R45" s="4">
        <v>43</v>
      </c>
      <c r="S45" s="4">
        <v>15.7</v>
      </c>
      <c r="T45" s="4">
        <v>8.3000000000000007</v>
      </c>
      <c r="V45" s="4">
        <v>43</v>
      </c>
      <c r="W45" s="4">
        <v>87.375</v>
      </c>
      <c r="X45" s="4">
        <v>43</v>
      </c>
      <c r="Y45" s="4">
        <v>12.489000000000001</v>
      </c>
      <c r="Z45" s="4">
        <v>10.625</v>
      </c>
    </row>
    <row r="46" spans="10:26" x14ac:dyDescent="0.25">
      <c r="J46" s="4">
        <v>0.94</v>
      </c>
      <c r="K46" s="4">
        <v>45.421999999999997</v>
      </c>
      <c r="L46" s="4">
        <v>80.507999999999996</v>
      </c>
      <c r="M46" s="4">
        <f t="shared" si="1"/>
        <v>11.578000000000003</v>
      </c>
      <c r="N46" s="4">
        <f t="shared" si="2"/>
        <v>3.3544999999999998</v>
      </c>
      <c r="P46" s="4">
        <v>44</v>
      </c>
      <c r="Q46" s="4">
        <v>48.6</v>
      </c>
      <c r="R46" s="4">
        <v>44</v>
      </c>
      <c r="S46" s="4">
        <v>15.6</v>
      </c>
      <c r="T46" s="4">
        <v>8.4</v>
      </c>
      <c r="V46" s="4">
        <v>44</v>
      </c>
      <c r="W46" s="4">
        <v>87.25</v>
      </c>
      <c r="X46" s="4">
        <v>44</v>
      </c>
      <c r="Y46" s="4">
        <v>14.326000000000001</v>
      </c>
      <c r="Z46" s="4">
        <v>10.75</v>
      </c>
    </row>
    <row r="47" spans="10:26" x14ac:dyDescent="0.25">
      <c r="J47" s="4">
        <v>0.95</v>
      </c>
      <c r="K47" s="4">
        <v>45.386000000000003</v>
      </c>
      <c r="L47" s="4">
        <v>80.983000000000004</v>
      </c>
      <c r="M47" s="4">
        <f t="shared" si="1"/>
        <v>11.613999999999997</v>
      </c>
      <c r="N47" s="4">
        <f t="shared" si="2"/>
        <v>3.3742916666666667</v>
      </c>
      <c r="P47" s="4">
        <v>45</v>
      </c>
      <c r="Q47" s="4">
        <v>48.5</v>
      </c>
      <c r="R47" s="4">
        <v>45</v>
      </c>
      <c r="S47" s="4">
        <v>15.5</v>
      </c>
      <c r="T47" s="4">
        <v>8.5</v>
      </c>
      <c r="V47" s="4">
        <v>45</v>
      </c>
      <c r="W47" s="4">
        <v>87.125</v>
      </c>
      <c r="X47" s="4">
        <v>45</v>
      </c>
      <c r="Y47" s="4">
        <v>16.163</v>
      </c>
      <c r="Z47" s="4">
        <v>10.875</v>
      </c>
    </row>
    <row r="48" spans="10:26" x14ac:dyDescent="0.25">
      <c r="J48" s="4">
        <v>0.96</v>
      </c>
      <c r="K48" s="4">
        <v>45.35</v>
      </c>
      <c r="L48" s="4">
        <v>81.453000000000003</v>
      </c>
      <c r="M48" s="4">
        <f t="shared" si="1"/>
        <v>11.649999999999999</v>
      </c>
      <c r="N48" s="4">
        <f t="shared" si="2"/>
        <v>3.393875</v>
      </c>
      <c r="P48" s="4">
        <v>46</v>
      </c>
      <c r="Q48" s="4">
        <v>48.4</v>
      </c>
      <c r="R48" s="4">
        <v>46</v>
      </c>
      <c r="S48" s="4">
        <v>15.4</v>
      </c>
      <c r="T48" s="4">
        <v>8.6</v>
      </c>
      <c r="V48" s="4">
        <v>46</v>
      </c>
      <c r="W48" s="4">
        <v>87</v>
      </c>
      <c r="X48" s="4">
        <v>46</v>
      </c>
      <c r="Y48" s="4">
        <v>18</v>
      </c>
      <c r="Z48" s="4">
        <v>11</v>
      </c>
    </row>
    <row r="49" spans="10:26" x14ac:dyDescent="0.25">
      <c r="J49" s="4">
        <v>0.97</v>
      </c>
      <c r="K49" s="4">
        <v>45.314</v>
      </c>
      <c r="L49" s="4">
        <v>81.918999999999997</v>
      </c>
      <c r="M49" s="4">
        <f t="shared" si="1"/>
        <v>11.686</v>
      </c>
      <c r="N49" s="4">
        <f t="shared" si="2"/>
        <v>3.4132916666666664</v>
      </c>
      <c r="P49" s="4">
        <v>47</v>
      </c>
      <c r="Q49" s="4">
        <v>48.3</v>
      </c>
      <c r="R49" s="4">
        <v>47</v>
      </c>
      <c r="S49" s="4">
        <v>15.3</v>
      </c>
      <c r="T49" s="4">
        <v>8.6999999999999993</v>
      </c>
      <c r="V49" s="4">
        <v>47</v>
      </c>
      <c r="W49" s="4">
        <v>86.875</v>
      </c>
      <c r="X49" s="4">
        <v>47</v>
      </c>
      <c r="Y49" s="4">
        <v>19.837</v>
      </c>
      <c r="Z49" s="4">
        <v>11.125</v>
      </c>
    </row>
    <row r="50" spans="10:26" x14ac:dyDescent="0.25">
      <c r="J50" s="4">
        <v>0.98</v>
      </c>
      <c r="K50" s="4">
        <v>45.277999999999999</v>
      </c>
      <c r="L50" s="4">
        <v>82.381</v>
      </c>
      <c r="M50" s="4">
        <f t="shared" si="1"/>
        <v>11.722000000000001</v>
      </c>
      <c r="N50" s="4">
        <f t="shared" si="2"/>
        <v>3.4325416666666668</v>
      </c>
      <c r="P50" s="4">
        <v>48</v>
      </c>
      <c r="Q50" s="4">
        <v>48.2</v>
      </c>
      <c r="R50" s="4">
        <v>48</v>
      </c>
      <c r="S50" s="4">
        <v>15.2</v>
      </c>
      <c r="T50" s="4">
        <v>8.8000000000000007</v>
      </c>
      <c r="V50" s="4">
        <v>48</v>
      </c>
      <c r="W50" s="4">
        <v>86.75</v>
      </c>
      <c r="X50" s="4">
        <v>48</v>
      </c>
      <c r="Y50" s="4">
        <v>21.673999999999999</v>
      </c>
      <c r="Z50" s="4">
        <v>11.25</v>
      </c>
    </row>
    <row r="51" spans="10:26" x14ac:dyDescent="0.25">
      <c r="J51" s="4">
        <v>0.99</v>
      </c>
      <c r="K51" s="4">
        <v>45.243000000000002</v>
      </c>
      <c r="L51" s="4">
        <v>82.837999999999994</v>
      </c>
      <c r="M51" s="4">
        <f t="shared" si="1"/>
        <v>11.756999999999998</v>
      </c>
      <c r="N51" s="4">
        <f t="shared" si="2"/>
        <v>3.4515833333333332</v>
      </c>
      <c r="P51" s="4">
        <v>49</v>
      </c>
      <c r="Q51" s="4">
        <v>48.1</v>
      </c>
      <c r="R51" s="4">
        <v>49</v>
      </c>
      <c r="S51" s="4">
        <v>15.1</v>
      </c>
      <c r="T51" s="4">
        <v>8.9</v>
      </c>
      <c r="V51" s="4">
        <v>49</v>
      </c>
      <c r="W51" s="4">
        <v>86.625</v>
      </c>
      <c r="X51" s="4">
        <v>49</v>
      </c>
      <c r="Y51" s="4">
        <v>23.510999999999999</v>
      </c>
      <c r="Z51" s="4">
        <v>11.375</v>
      </c>
    </row>
    <row r="52" spans="10:26" x14ac:dyDescent="0.25">
      <c r="J52" s="4">
        <v>1</v>
      </c>
      <c r="K52" s="4">
        <v>45.207999999999998</v>
      </c>
      <c r="L52" s="4">
        <v>83.292000000000002</v>
      </c>
      <c r="M52" s="4">
        <f t="shared" si="1"/>
        <v>11.792000000000002</v>
      </c>
      <c r="N52" s="4">
        <f t="shared" si="2"/>
        <v>3.4704999999999999</v>
      </c>
      <c r="P52" s="4">
        <v>50</v>
      </c>
      <c r="Q52" s="4">
        <v>48</v>
      </c>
      <c r="R52" s="4">
        <v>50</v>
      </c>
      <c r="S52" s="4">
        <v>13</v>
      </c>
      <c r="T52" s="4">
        <v>9</v>
      </c>
      <c r="V52" s="4">
        <v>50</v>
      </c>
      <c r="W52" s="4">
        <v>86.5</v>
      </c>
      <c r="X52" s="4">
        <v>50</v>
      </c>
      <c r="Y52" s="4">
        <v>25.347999999999999</v>
      </c>
      <c r="Z52" s="4">
        <v>11.5</v>
      </c>
    </row>
    <row r="53" spans="10:26" x14ac:dyDescent="0.25">
      <c r="P53" s="4">
        <v>51</v>
      </c>
      <c r="Q53" s="4">
        <v>47.908999999999999</v>
      </c>
      <c r="R53" s="4">
        <v>51</v>
      </c>
      <c r="S53" s="4">
        <v>14.162000000000001</v>
      </c>
      <c r="T53" s="4">
        <v>9.0909999999999993</v>
      </c>
      <c r="V53" s="4">
        <v>51</v>
      </c>
      <c r="W53" s="4">
        <v>86.375</v>
      </c>
      <c r="X53" s="4">
        <v>51</v>
      </c>
      <c r="Y53" s="4">
        <v>26.375</v>
      </c>
      <c r="Z53" s="4">
        <v>11.625</v>
      </c>
    </row>
    <row r="54" spans="10:26" x14ac:dyDescent="0.25">
      <c r="P54" s="4">
        <v>52</v>
      </c>
      <c r="Q54" s="4">
        <v>47.817999999999998</v>
      </c>
      <c r="R54" s="4">
        <v>52</v>
      </c>
      <c r="S54" s="4">
        <v>14.818</v>
      </c>
      <c r="T54" s="4">
        <v>9.1820000000000004</v>
      </c>
      <c r="V54" s="4">
        <v>52</v>
      </c>
      <c r="W54" s="4">
        <v>86.25</v>
      </c>
      <c r="X54" s="4">
        <v>52</v>
      </c>
      <c r="Y54" s="4">
        <v>19.771999999999998</v>
      </c>
      <c r="Z54" s="4">
        <v>11.75</v>
      </c>
    </row>
    <row r="55" spans="10:26" x14ac:dyDescent="0.25">
      <c r="P55" s="4">
        <v>53</v>
      </c>
      <c r="Q55" s="4">
        <v>47.726999999999997</v>
      </c>
      <c r="R55" s="4">
        <v>53</v>
      </c>
      <c r="S55" s="4">
        <v>14.727</v>
      </c>
      <c r="T55" s="4">
        <v>9.2729999999999997</v>
      </c>
      <c r="V55" s="4">
        <v>53</v>
      </c>
      <c r="W55" s="4">
        <v>86.125</v>
      </c>
      <c r="X55" s="4">
        <v>53</v>
      </c>
      <c r="Y55" s="4">
        <v>21.125</v>
      </c>
      <c r="Z55" s="4">
        <v>11.875</v>
      </c>
    </row>
    <row r="56" spans="10:26" x14ac:dyDescent="0.25">
      <c r="P56" s="4">
        <v>54</v>
      </c>
      <c r="Q56" s="4">
        <v>47.636000000000003</v>
      </c>
      <c r="R56" s="4">
        <v>54</v>
      </c>
      <c r="S56" s="4">
        <v>14.635999999999999</v>
      </c>
      <c r="T56" s="4">
        <v>9.3640000000000008</v>
      </c>
      <c r="V56" s="4">
        <v>54</v>
      </c>
      <c r="W56" s="4">
        <v>86</v>
      </c>
      <c r="X56" s="4">
        <v>54</v>
      </c>
      <c r="Y56" s="4">
        <v>21</v>
      </c>
      <c r="Z56" s="4">
        <v>12</v>
      </c>
    </row>
    <row r="57" spans="10:26" x14ac:dyDescent="0.25">
      <c r="P57" s="4">
        <v>55</v>
      </c>
      <c r="Q57" s="4">
        <v>47.545000000000002</v>
      </c>
      <c r="R57" s="4">
        <v>55</v>
      </c>
      <c r="S57" s="4">
        <v>14.545</v>
      </c>
      <c r="T57" s="4">
        <v>9.4550000000000001</v>
      </c>
      <c r="V57" s="4">
        <v>55</v>
      </c>
      <c r="W57" s="4">
        <v>85.888999999999996</v>
      </c>
      <c r="X57" s="4">
        <v>55</v>
      </c>
      <c r="Y57" s="4">
        <v>20.888999999999999</v>
      </c>
      <c r="Z57" s="4">
        <v>12.111000000000001</v>
      </c>
    </row>
    <row r="58" spans="10:26" x14ac:dyDescent="0.25">
      <c r="P58" s="4">
        <v>56</v>
      </c>
      <c r="Q58" s="4">
        <v>47.454999999999998</v>
      </c>
      <c r="R58" s="4">
        <v>56</v>
      </c>
      <c r="S58" s="4">
        <v>14.455</v>
      </c>
      <c r="T58" s="4">
        <v>9.5449999999999999</v>
      </c>
      <c r="V58" s="4">
        <v>56</v>
      </c>
      <c r="W58" s="4">
        <v>85.778000000000006</v>
      </c>
      <c r="X58" s="4">
        <v>56</v>
      </c>
      <c r="Y58" s="4">
        <v>20.777999999999999</v>
      </c>
      <c r="Z58" s="4">
        <v>12.222</v>
      </c>
    </row>
    <row r="59" spans="10:26" x14ac:dyDescent="0.25">
      <c r="P59" s="4">
        <v>57</v>
      </c>
      <c r="Q59" s="4">
        <v>47.363999999999997</v>
      </c>
      <c r="R59" s="4">
        <v>57</v>
      </c>
      <c r="S59" s="4">
        <v>14.364000000000001</v>
      </c>
      <c r="T59" s="4">
        <v>9.6359999999999992</v>
      </c>
      <c r="V59" s="4">
        <v>57</v>
      </c>
      <c r="W59" s="4">
        <v>85.667000000000002</v>
      </c>
      <c r="X59" s="4">
        <v>57</v>
      </c>
      <c r="Y59" s="4">
        <v>20.667000000000002</v>
      </c>
      <c r="Z59" s="4">
        <v>12.333</v>
      </c>
    </row>
    <row r="60" spans="10:26" x14ac:dyDescent="0.25">
      <c r="P60" s="4">
        <v>58</v>
      </c>
      <c r="Q60" s="4">
        <v>47.273000000000003</v>
      </c>
      <c r="R60" s="4">
        <v>58</v>
      </c>
      <c r="S60" s="4">
        <v>14.273</v>
      </c>
      <c r="T60" s="4">
        <v>9.7270000000000003</v>
      </c>
      <c r="V60" s="4">
        <v>58</v>
      </c>
      <c r="W60" s="4">
        <v>85.555999999999997</v>
      </c>
      <c r="X60" s="4">
        <v>58</v>
      </c>
      <c r="Y60" s="4">
        <v>20.556000000000001</v>
      </c>
      <c r="Z60" s="4">
        <v>12.444000000000001</v>
      </c>
    </row>
    <row r="61" spans="10:26" x14ac:dyDescent="0.25">
      <c r="P61" s="4">
        <v>59</v>
      </c>
      <c r="Q61" s="4">
        <v>47.182000000000002</v>
      </c>
      <c r="R61" s="4">
        <v>59</v>
      </c>
      <c r="S61" s="4">
        <v>14.494</v>
      </c>
      <c r="T61" s="4">
        <v>9.8179999999999996</v>
      </c>
      <c r="V61" s="4">
        <v>59</v>
      </c>
      <c r="W61" s="4">
        <v>85.444000000000003</v>
      </c>
      <c r="X61" s="4">
        <v>59</v>
      </c>
      <c r="Y61" s="4">
        <v>20.443999999999999</v>
      </c>
      <c r="Z61" s="4">
        <v>12.555999999999999</v>
      </c>
    </row>
    <row r="62" spans="10:26" x14ac:dyDescent="0.25">
      <c r="P62" s="4">
        <v>60</v>
      </c>
      <c r="Q62" s="4">
        <v>47.091000000000001</v>
      </c>
      <c r="R62" s="4">
        <v>60</v>
      </c>
      <c r="S62" s="4">
        <v>15.090999999999999</v>
      </c>
      <c r="T62" s="4">
        <v>9.9090000000000007</v>
      </c>
      <c r="V62" s="4">
        <v>60</v>
      </c>
      <c r="W62" s="4">
        <v>85.332999999999998</v>
      </c>
      <c r="X62" s="4">
        <v>60</v>
      </c>
      <c r="Y62" s="4">
        <v>18.884</v>
      </c>
      <c r="Z62" s="4">
        <v>12.667</v>
      </c>
    </row>
    <row r="63" spans="10:26" x14ac:dyDescent="0.25">
      <c r="P63" s="4">
        <v>61</v>
      </c>
      <c r="Q63" s="4">
        <v>47</v>
      </c>
      <c r="R63" s="4">
        <v>61</v>
      </c>
      <c r="S63" s="4">
        <v>15</v>
      </c>
      <c r="T63" s="4">
        <v>10</v>
      </c>
      <c r="V63" s="4">
        <v>61</v>
      </c>
      <c r="W63" s="4">
        <v>85.221999999999994</v>
      </c>
      <c r="X63" s="4">
        <v>61</v>
      </c>
      <c r="Y63" s="4">
        <v>20.748999999999999</v>
      </c>
      <c r="Z63" s="4">
        <v>12.778</v>
      </c>
    </row>
    <row r="64" spans="10:26" x14ac:dyDescent="0.25">
      <c r="P64" s="4">
        <v>62</v>
      </c>
      <c r="Q64" s="4">
        <v>46.917000000000002</v>
      </c>
      <c r="R64" s="4">
        <v>62</v>
      </c>
      <c r="S64" s="4">
        <v>14.917</v>
      </c>
      <c r="T64" s="4">
        <v>10.083</v>
      </c>
      <c r="V64" s="4">
        <v>62</v>
      </c>
      <c r="W64" s="4">
        <v>85.111000000000004</v>
      </c>
      <c r="X64" s="4">
        <v>62</v>
      </c>
      <c r="Y64" s="4">
        <v>22.614000000000001</v>
      </c>
      <c r="Z64" s="4">
        <v>12.888999999999999</v>
      </c>
    </row>
    <row r="65" spans="16:26" x14ac:dyDescent="0.25">
      <c r="P65" s="4">
        <v>63</v>
      </c>
      <c r="Q65" s="4">
        <v>46.832999999999998</v>
      </c>
      <c r="R65" s="4">
        <v>63</v>
      </c>
      <c r="S65" s="4">
        <v>14.833</v>
      </c>
      <c r="T65" s="4">
        <v>10.167</v>
      </c>
      <c r="V65" s="4">
        <v>63</v>
      </c>
      <c r="W65" s="4">
        <v>85</v>
      </c>
      <c r="X65" s="4">
        <v>63</v>
      </c>
      <c r="Y65" s="4">
        <v>23</v>
      </c>
      <c r="Z65" s="4">
        <v>13</v>
      </c>
    </row>
    <row r="66" spans="16:26" x14ac:dyDescent="0.25">
      <c r="P66" s="4">
        <v>64</v>
      </c>
      <c r="Q66" s="4">
        <v>46.75</v>
      </c>
      <c r="R66" s="4">
        <v>64</v>
      </c>
      <c r="S66" s="4">
        <v>14.75</v>
      </c>
      <c r="T66" s="4">
        <v>10.25</v>
      </c>
      <c r="V66" s="4">
        <v>64</v>
      </c>
      <c r="W66" s="4">
        <v>84.888999999999996</v>
      </c>
      <c r="X66" s="4">
        <v>64</v>
      </c>
      <c r="Y66" s="4">
        <v>22.888999999999999</v>
      </c>
      <c r="Z66" s="4">
        <v>13.111000000000001</v>
      </c>
    </row>
    <row r="67" spans="16:26" x14ac:dyDescent="0.25">
      <c r="P67" s="4">
        <v>65</v>
      </c>
      <c r="Q67" s="4">
        <v>46.667000000000002</v>
      </c>
      <c r="R67" s="4">
        <v>65</v>
      </c>
      <c r="S67" s="4">
        <v>14.667</v>
      </c>
      <c r="T67" s="4">
        <v>10.333</v>
      </c>
      <c r="V67" s="4">
        <v>65</v>
      </c>
      <c r="W67" s="4">
        <v>84.778000000000006</v>
      </c>
      <c r="X67" s="4">
        <v>65</v>
      </c>
      <c r="Y67" s="4">
        <v>22.777999999999999</v>
      </c>
      <c r="Z67" s="4">
        <v>13.222</v>
      </c>
    </row>
    <row r="68" spans="16:26" x14ac:dyDescent="0.25">
      <c r="P68" s="4">
        <v>66</v>
      </c>
      <c r="Q68" s="4">
        <v>46.582999999999998</v>
      </c>
      <c r="R68" s="4">
        <v>66</v>
      </c>
      <c r="S68" s="4">
        <v>14.583</v>
      </c>
      <c r="T68" s="4">
        <v>10.417</v>
      </c>
      <c r="V68" s="4">
        <v>66</v>
      </c>
      <c r="W68" s="4">
        <v>84.667000000000002</v>
      </c>
      <c r="X68" s="4">
        <v>66</v>
      </c>
      <c r="Y68" s="4">
        <v>22.667000000000002</v>
      </c>
      <c r="Z68" s="4">
        <v>13.333</v>
      </c>
    </row>
    <row r="69" spans="16:26" x14ac:dyDescent="0.25">
      <c r="P69" s="4">
        <v>67</v>
      </c>
      <c r="Q69" s="4">
        <v>46.5</v>
      </c>
      <c r="R69" s="4">
        <v>67</v>
      </c>
      <c r="S69" s="4">
        <v>14.5</v>
      </c>
      <c r="T69" s="4">
        <v>10.5</v>
      </c>
      <c r="V69" s="4">
        <v>67</v>
      </c>
      <c r="W69" s="4">
        <v>84.555999999999997</v>
      </c>
      <c r="X69" s="4">
        <v>67</v>
      </c>
      <c r="Y69" s="4">
        <v>22.556000000000001</v>
      </c>
      <c r="Z69" s="4">
        <v>13.444000000000001</v>
      </c>
    </row>
    <row r="70" spans="16:26" x14ac:dyDescent="0.25">
      <c r="P70" s="4">
        <v>68</v>
      </c>
      <c r="Q70" s="4">
        <v>46.417000000000002</v>
      </c>
      <c r="R70" s="4">
        <v>68</v>
      </c>
      <c r="S70" s="4">
        <v>14.417</v>
      </c>
      <c r="T70" s="4">
        <v>10.583</v>
      </c>
      <c r="V70" s="4">
        <v>68</v>
      </c>
      <c r="W70" s="4">
        <v>84.444000000000003</v>
      </c>
      <c r="X70" s="4">
        <v>68</v>
      </c>
      <c r="Y70" s="4">
        <v>22.443999999999999</v>
      </c>
      <c r="Z70" s="4">
        <v>13.555999999999999</v>
      </c>
    </row>
    <row r="71" spans="16:26" x14ac:dyDescent="0.25">
      <c r="P71" s="4">
        <v>69</v>
      </c>
      <c r="Q71" s="4">
        <v>46.332999999999998</v>
      </c>
      <c r="R71" s="4">
        <v>69</v>
      </c>
      <c r="S71" s="4">
        <v>14.333</v>
      </c>
      <c r="T71" s="4">
        <v>10.667</v>
      </c>
      <c r="V71" s="4">
        <v>69</v>
      </c>
      <c r="W71" s="4">
        <v>84.332999999999998</v>
      </c>
      <c r="X71" s="4">
        <v>69</v>
      </c>
      <c r="Y71" s="4">
        <v>22.332999999999998</v>
      </c>
      <c r="Z71" s="4">
        <v>13.667</v>
      </c>
    </row>
    <row r="72" spans="16:26" x14ac:dyDescent="0.25">
      <c r="P72" s="4">
        <v>70</v>
      </c>
      <c r="Q72" s="4">
        <v>46.25</v>
      </c>
      <c r="R72" s="4">
        <v>70</v>
      </c>
      <c r="S72" s="4">
        <v>14.25</v>
      </c>
      <c r="T72" s="4">
        <v>10.75</v>
      </c>
      <c r="V72" s="4">
        <v>70</v>
      </c>
      <c r="W72" s="4">
        <v>84.221999999999994</v>
      </c>
      <c r="X72" s="4">
        <v>70</v>
      </c>
      <c r="Y72" s="4">
        <v>22.222000000000001</v>
      </c>
      <c r="Z72" s="4">
        <v>13.778</v>
      </c>
    </row>
    <row r="73" spans="16:26" x14ac:dyDescent="0.25">
      <c r="P73" s="4">
        <v>71</v>
      </c>
      <c r="Q73" s="4">
        <v>46.167000000000002</v>
      </c>
      <c r="R73" s="4">
        <v>71</v>
      </c>
      <c r="S73" s="4">
        <v>14.167</v>
      </c>
      <c r="T73" s="4">
        <v>10.833</v>
      </c>
      <c r="V73" s="4">
        <v>71</v>
      </c>
      <c r="W73" s="4">
        <v>84.111000000000004</v>
      </c>
      <c r="X73" s="4">
        <v>71</v>
      </c>
      <c r="Y73" s="4">
        <v>22.111000000000001</v>
      </c>
      <c r="Z73" s="4">
        <v>13.888999999999999</v>
      </c>
    </row>
    <row r="74" spans="16:26" x14ac:dyDescent="0.25">
      <c r="P74" s="4">
        <v>72</v>
      </c>
      <c r="Q74" s="4">
        <v>46.082999999999998</v>
      </c>
      <c r="R74" s="4">
        <v>72</v>
      </c>
      <c r="S74" s="4">
        <v>14.083</v>
      </c>
      <c r="T74" s="4">
        <v>10.917</v>
      </c>
      <c r="V74" s="4">
        <v>72</v>
      </c>
      <c r="W74" s="4">
        <v>84</v>
      </c>
      <c r="X74" s="4">
        <v>72</v>
      </c>
      <c r="Y74" s="4">
        <v>22</v>
      </c>
      <c r="Z74" s="4">
        <v>14</v>
      </c>
    </row>
    <row r="75" spans="16:26" x14ac:dyDescent="0.25">
      <c r="P75" s="4">
        <v>73</v>
      </c>
      <c r="Q75" s="4">
        <v>46</v>
      </c>
      <c r="R75" s="4">
        <v>73</v>
      </c>
      <c r="S75" s="4">
        <v>14</v>
      </c>
      <c r="T75" s="4">
        <v>11</v>
      </c>
      <c r="V75" s="4">
        <v>73</v>
      </c>
      <c r="W75" s="4">
        <v>83.9</v>
      </c>
      <c r="X75" s="4">
        <v>73</v>
      </c>
      <c r="Y75" s="4">
        <v>21.9</v>
      </c>
      <c r="Z75" s="4">
        <v>14.1</v>
      </c>
    </row>
    <row r="76" spans="16:26" x14ac:dyDescent="0.25">
      <c r="P76" s="4">
        <v>74</v>
      </c>
      <c r="Q76" s="4">
        <v>45.923000000000002</v>
      </c>
      <c r="R76" s="4">
        <v>74</v>
      </c>
      <c r="S76" s="4">
        <v>13.923</v>
      </c>
      <c r="T76" s="4">
        <v>11.077</v>
      </c>
      <c r="V76" s="4">
        <v>74</v>
      </c>
      <c r="W76" s="4">
        <v>83.8</v>
      </c>
      <c r="X76" s="4">
        <v>74</v>
      </c>
      <c r="Y76" s="4">
        <v>22.835000000000001</v>
      </c>
      <c r="Z76" s="4">
        <v>14.2</v>
      </c>
    </row>
    <row r="77" spans="16:26" x14ac:dyDescent="0.25">
      <c r="P77" s="4">
        <v>75</v>
      </c>
      <c r="Q77" s="4">
        <v>45.845999999999997</v>
      </c>
      <c r="R77" s="4">
        <v>75</v>
      </c>
      <c r="S77" s="4">
        <v>13.846</v>
      </c>
      <c r="T77" s="4">
        <v>11.154</v>
      </c>
      <c r="V77" s="4">
        <v>75</v>
      </c>
      <c r="W77" s="4">
        <v>83.7</v>
      </c>
      <c r="X77" s="4">
        <v>75</v>
      </c>
      <c r="Y77" s="4">
        <v>24.622</v>
      </c>
      <c r="Z77" s="4">
        <v>14.3</v>
      </c>
    </row>
    <row r="78" spans="16:26" x14ac:dyDescent="0.25">
      <c r="P78" s="4">
        <v>76</v>
      </c>
      <c r="Q78" s="4">
        <v>45.768999999999998</v>
      </c>
      <c r="R78" s="4">
        <v>76</v>
      </c>
      <c r="S78" s="4">
        <v>13.769</v>
      </c>
      <c r="T78" s="4">
        <v>11.231</v>
      </c>
      <c r="V78" s="4">
        <v>76</v>
      </c>
      <c r="W78" s="4">
        <v>83.6</v>
      </c>
      <c r="X78" s="4">
        <v>76</v>
      </c>
      <c r="Y78" s="4">
        <v>26.408999999999999</v>
      </c>
      <c r="Z78" s="4">
        <v>14.4</v>
      </c>
    </row>
    <row r="79" spans="16:26" x14ac:dyDescent="0.25">
      <c r="P79" s="4">
        <v>77</v>
      </c>
      <c r="Q79" s="4">
        <v>45.692</v>
      </c>
      <c r="R79" s="4">
        <v>77</v>
      </c>
      <c r="S79" s="4">
        <v>13.692</v>
      </c>
      <c r="T79" s="4">
        <v>11.308</v>
      </c>
      <c r="V79" s="4">
        <v>77</v>
      </c>
      <c r="W79" s="4">
        <v>83.5</v>
      </c>
      <c r="X79" s="4">
        <v>77</v>
      </c>
      <c r="Y79" s="4">
        <v>26.5</v>
      </c>
      <c r="Z79" s="4">
        <v>14.5</v>
      </c>
    </row>
    <row r="80" spans="16:26" x14ac:dyDescent="0.25">
      <c r="P80" s="4">
        <v>78</v>
      </c>
      <c r="Q80" s="4">
        <v>45.615000000000002</v>
      </c>
      <c r="R80" s="4">
        <v>78</v>
      </c>
      <c r="S80" s="4">
        <v>13.615</v>
      </c>
      <c r="T80" s="4">
        <v>11.385</v>
      </c>
      <c r="V80" s="4">
        <v>78</v>
      </c>
      <c r="W80" s="4">
        <v>83.4</v>
      </c>
      <c r="X80" s="4">
        <v>78</v>
      </c>
      <c r="Y80" s="4">
        <v>26.4</v>
      </c>
      <c r="Z80" s="4">
        <v>14.6</v>
      </c>
    </row>
    <row r="81" spans="16:26" x14ac:dyDescent="0.25">
      <c r="P81" s="4">
        <v>79</v>
      </c>
      <c r="Q81" s="4">
        <v>45.537999999999997</v>
      </c>
      <c r="R81" s="4">
        <v>79</v>
      </c>
      <c r="S81" s="4">
        <v>13.538</v>
      </c>
      <c r="T81" s="4">
        <v>11.462</v>
      </c>
      <c r="V81" s="4">
        <v>79</v>
      </c>
      <c r="W81" s="4">
        <v>83.3</v>
      </c>
      <c r="X81" s="4">
        <v>79</v>
      </c>
      <c r="Y81" s="4">
        <v>26.3</v>
      </c>
      <c r="Z81" s="4">
        <v>14.7</v>
      </c>
    </row>
    <row r="82" spans="16:26" x14ac:dyDescent="0.25">
      <c r="P82" s="4">
        <v>80</v>
      </c>
      <c r="Q82" s="4">
        <v>45.497</v>
      </c>
      <c r="R82" s="4">
        <v>79.545000000000002</v>
      </c>
      <c r="S82" s="4">
        <v>13.497</v>
      </c>
      <c r="T82" s="4">
        <v>11.503</v>
      </c>
      <c r="V82" s="4">
        <v>80</v>
      </c>
      <c r="W82" s="4">
        <v>83.2</v>
      </c>
      <c r="X82" s="4">
        <v>80</v>
      </c>
      <c r="Y82" s="4">
        <v>26.2</v>
      </c>
      <c r="Z82" s="4">
        <v>14.8</v>
      </c>
    </row>
    <row r="83" spans="16:26" x14ac:dyDescent="0.25">
      <c r="P83" s="4">
        <v>81</v>
      </c>
      <c r="Q83" s="4">
        <v>45.497</v>
      </c>
      <c r="R83" s="4">
        <v>79.545000000000002</v>
      </c>
      <c r="S83" s="4">
        <v>13.497</v>
      </c>
      <c r="T83" s="4">
        <v>11.503</v>
      </c>
      <c r="V83" s="4">
        <v>81</v>
      </c>
      <c r="W83" s="4">
        <v>83.1</v>
      </c>
      <c r="X83" s="4">
        <v>81</v>
      </c>
      <c r="Y83" s="4">
        <v>26.1</v>
      </c>
      <c r="Z83" s="4">
        <v>14.9</v>
      </c>
    </row>
    <row r="84" spans="16:26" x14ac:dyDescent="0.25">
      <c r="P84" s="4">
        <v>82</v>
      </c>
      <c r="Q84" s="4">
        <v>45.497</v>
      </c>
      <c r="R84" s="4">
        <v>79.545000000000002</v>
      </c>
      <c r="S84" s="4">
        <v>13.497</v>
      </c>
      <c r="T84" s="4">
        <v>11.503</v>
      </c>
      <c r="V84" s="4">
        <v>82</v>
      </c>
      <c r="W84" s="4">
        <v>83</v>
      </c>
      <c r="X84" s="4">
        <v>82</v>
      </c>
      <c r="Y84" s="4">
        <v>26</v>
      </c>
      <c r="Z84" s="4">
        <v>15</v>
      </c>
    </row>
    <row r="85" spans="16:26" x14ac:dyDescent="0.25">
      <c r="P85" s="4">
        <v>83</v>
      </c>
      <c r="Q85" s="4">
        <v>45.497</v>
      </c>
      <c r="R85" s="4">
        <v>79.545000000000002</v>
      </c>
      <c r="S85" s="4">
        <v>13.497</v>
      </c>
      <c r="T85" s="4">
        <v>11.503</v>
      </c>
      <c r="V85" s="4">
        <v>83</v>
      </c>
      <c r="W85" s="4">
        <v>82.909000000000006</v>
      </c>
      <c r="X85" s="4">
        <v>83</v>
      </c>
      <c r="Y85" s="4">
        <v>25.908999999999999</v>
      </c>
      <c r="Z85" s="4">
        <v>15.090999999999999</v>
      </c>
    </row>
    <row r="86" spans="16:26" x14ac:dyDescent="0.25">
      <c r="P86" s="4">
        <v>84</v>
      </c>
      <c r="Q86" s="4">
        <v>45.497</v>
      </c>
      <c r="R86" s="4">
        <v>79.545000000000002</v>
      </c>
      <c r="S86" s="4">
        <v>13.497</v>
      </c>
      <c r="T86" s="4">
        <v>11.503</v>
      </c>
      <c r="V86" s="4">
        <v>84</v>
      </c>
      <c r="W86" s="4">
        <v>82.817999999999998</v>
      </c>
      <c r="X86" s="4">
        <v>84</v>
      </c>
      <c r="Y86" s="4">
        <v>25.818000000000001</v>
      </c>
      <c r="Z86" s="4">
        <v>15.182</v>
      </c>
    </row>
    <row r="87" spans="16:26" x14ac:dyDescent="0.25">
      <c r="P87" s="4">
        <v>150</v>
      </c>
      <c r="Q87" s="4">
        <v>45.497</v>
      </c>
      <c r="R87" s="4">
        <v>79.545000000000002</v>
      </c>
      <c r="S87" s="4">
        <v>13.497</v>
      </c>
      <c r="T87" s="4">
        <v>11.503</v>
      </c>
      <c r="V87" s="4">
        <v>85</v>
      </c>
      <c r="W87" s="4">
        <v>82.727000000000004</v>
      </c>
      <c r="X87" s="4">
        <v>85</v>
      </c>
      <c r="Y87" s="4">
        <v>25.727</v>
      </c>
      <c r="Z87" s="4">
        <v>15.273</v>
      </c>
    </row>
    <row r="88" spans="16:26" x14ac:dyDescent="0.25">
      <c r="V88" s="4">
        <v>86</v>
      </c>
      <c r="W88" s="4">
        <v>82.635999999999996</v>
      </c>
      <c r="X88" s="4">
        <v>86</v>
      </c>
      <c r="Y88" s="4">
        <v>25.635999999999999</v>
      </c>
      <c r="Z88" s="4">
        <v>15.364000000000001</v>
      </c>
    </row>
    <row r="89" spans="16:26" x14ac:dyDescent="0.25">
      <c r="V89" s="4">
        <v>87</v>
      </c>
      <c r="W89" s="4">
        <v>82.545000000000002</v>
      </c>
      <c r="X89" s="4">
        <v>87</v>
      </c>
      <c r="Y89" s="4">
        <v>25.545000000000002</v>
      </c>
      <c r="Z89" s="4">
        <v>15.455</v>
      </c>
    </row>
    <row r="90" spans="16:26" x14ac:dyDescent="0.25">
      <c r="V90" s="4">
        <v>88</v>
      </c>
      <c r="W90" s="4">
        <v>82.454999999999998</v>
      </c>
      <c r="X90" s="4">
        <v>88</v>
      </c>
      <c r="Y90" s="4">
        <v>25.454999999999998</v>
      </c>
      <c r="Z90" s="4">
        <v>15.545</v>
      </c>
    </row>
    <row r="91" spans="16:26" x14ac:dyDescent="0.25">
      <c r="V91" s="4">
        <v>89</v>
      </c>
      <c r="W91" s="4">
        <v>82.364000000000004</v>
      </c>
      <c r="X91" s="4">
        <v>89</v>
      </c>
      <c r="Y91" s="4">
        <v>25.364000000000001</v>
      </c>
      <c r="Z91" s="4">
        <v>15.635999999999999</v>
      </c>
    </row>
    <row r="92" spans="16:26" x14ac:dyDescent="0.25">
      <c r="V92" s="4">
        <v>90</v>
      </c>
      <c r="W92" s="4">
        <v>82.272999999999996</v>
      </c>
      <c r="X92" s="4">
        <v>90</v>
      </c>
      <c r="Y92" s="4">
        <v>25.273</v>
      </c>
      <c r="Z92" s="4">
        <v>15.727</v>
      </c>
    </row>
    <row r="93" spans="16:26" x14ac:dyDescent="0.25">
      <c r="V93" s="4">
        <v>91</v>
      </c>
      <c r="W93" s="4">
        <v>82.182000000000002</v>
      </c>
      <c r="X93" s="4">
        <v>91</v>
      </c>
      <c r="Y93" s="4">
        <v>25.181999999999999</v>
      </c>
      <c r="Z93" s="4">
        <v>15.818</v>
      </c>
    </row>
    <row r="94" spans="16:26" x14ac:dyDescent="0.25">
      <c r="V94" s="4">
        <v>92</v>
      </c>
      <c r="W94" s="4">
        <v>82.090999999999994</v>
      </c>
      <c r="X94" s="4">
        <v>92</v>
      </c>
      <c r="Y94" s="4">
        <v>25.091000000000001</v>
      </c>
      <c r="Z94" s="4">
        <v>15.909000000000001</v>
      </c>
    </row>
    <row r="95" spans="16:26" x14ac:dyDescent="0.25">
      <c r="V95" s="4">
        <v>93</v>
      </c>
      <c r="W95" s="4">
        <v>82</v>
      </c>
      <c r="X95" s="4">
        <v>93</v>
      </c>
      <c r="Y95" s="4">
        <v>25</v>
      </c>
      <c r="Z95" s="4">
        <v>16</v>
      </c>
    </row>
    <row r="96" spans="16:26" x14ac:dyDescent="0.25">
      <c r="V96" s="4">
        <v>94</v>
      </c>
      <c r="W96" s="4">
        <v>81.909000000000006</v>
      </c>
      <c r="X96" s="4">
        <v>94</v>
      </c>
      <c r="Y96" s="4">
        <v>24.908999999999999</v>
      </c>
      <c r="Z96" s="4">
        <v>16.091000000000001</v>
      </c>
    </row>
    <row r="97" spans="22:26" x14ac:dyDescent="0.25">
      <c r="V97" s="4">
        <v>95</v>
      </c>
      <c r="W97" s="4">
        <v>81.817999999999998</v>
      </c>
      <c r="X97" s="4">
        <v>95</v>
      </c>
      <c r="Y97" s="4">
        <v>24.818000000000001</v>
      </c>
      <c r="Z97" s="4">
        <v>16.181999999999999</v>
      </c>
    </row>
    <row r="98" spans="22:26" x14ac:dyDescent="0.25">
      <c r="V98" s="4">
        <v>96</v>
      </c>
      <c r="W98" s="4">
        <v>81.727000000000004</v>
      </c>
      <c r="X98" s="4">
        <v>96</v>
      </c>
      <c r="Y98" s="4">
        <v>24.727</v>
      </c>
      <c r="Z98" s="4">
        <v>16.273</v>
      </c>
    </row>
    <row r="99" spans="22:26" x14ac:dyDescent="0.25">
      <c r="V99" s="4">
        <v>97</v>
      </c>
      <c r="W99" s="4">
        <v>81.635999999999996</v>
      </c>
      <c r="X99" s="4">
        <v>97</v>
      </c>
      <c r="Y99" s="4">
        <v>24.635999999999999</v>
      </c>
      <c r="Z99" s="4">
        <v>16.364000000000001</v>
      </c>
    </row>
    <row r="100" spans="22:26" x14ac:dyDescent="0.25">
      <c r="V100" s="4">
        <v>98</v>
      </c>
      <c r="W100" s="4">
        <v>81.545000000000002</v>
      </c>
      <c r="X100" s="4">
        <v>98</v>
      </c>
      <c r="Y100" s="4">
        <v>24.545000000000002</v>
      </c>
      <c r="Z100" s="4">
        <v>16.454999999999998</v>
      </c>
    </row>
    <row r="101" spans="22:26" x14ac:dyDescent="0.25">
      <c r="V101" s="4">
        <v>99</v>
      </c>
      <c r="W101" s="4">
        <v>81.454999999999998</v>
      </c>
      <c r="X101" s="4">
        <v>99</v>
      </c>
      <c r="Y101" s="4">
        <v>24.454999999999998</v>
      </c>
      <c r="Z101" s="4">
        <v>16.545000000000002</v>
      </c>
    </row>
    <row r="102" spans="22:26" x14ac:dyDescent="0.25">
      <c r="V102" s="4">
        <v>100</v>
      </c>
      <c r="W102" s="4">
        <v>81.364000000000004</v>
      </c>
      <c r="X102" s="4">
        <v>100</v>
      </c>
      <c r="Y102" s="4">
        <v>24.364000000000001</v>
      </c>
      <c r="Z102" s="4">
        <v>16.635999999999999</v>
      </c>
    </row>
    <row r="103" spans="22:26" x14ac:dyDescent="0.25">
      <c r="V103" s="4">
        <v>101</v>
      </c>
      <c r="W103" s="4">
        <v>81.272999999999996</v>
      </c>
      <c r="X103" s="4">
        <v>101</v>
      </c>
      <c r="Y103" s="4">
        <v>21.273</v>
      </c>
      <c r="Z103" s="4">
        <v>16.727</v>
      </c>
    </row>
    <row r="104" spans="22:26" x14ac:dyDescent="0.25">
      <c r="V104" s="4">
        <v>102</v>
      </c>
      <c r="W104" s="4">
        <v>81.182000000000002</v>
      </c>
      <c r="X104" s="4">
        <v>102</v>
      </c>
      <c r="Y104" s="4">
        <v>21.181999999999999</v>
      </c>
      <c r="Z104" s="4">
        <v>16.818000000000001</v>
      </c>
    </row>
    <row r="105" spans="22:26" x14ac:dyDescent="0.25">
      <c r="V105" s="4">
        <v>103</v>
      </c>
      <c r="W105" s="4">
        <v>81.090999999999994</v>
      </c>
      <c r="X105" s="4">
        <v>103</v>
      </c>
      <c r="Y105" s="4">
        <v>21.091000000000001</v>
      </c>
      <c r="Z105" s="4">
        <v>16.908999999999999</v>
      </c>
    </row>
    <row r="106" spans="22:26" x14ac:dyDescent="0.25">
      <c r="V106" s="4">
        <v>104</v>
      </c>
      <c r="W106" s="4">
        <v>81</v>
      </c>
      <c r="X106" s="4">
        <v>104</v>
      </c>
      <c r="Y106" s="4">
        <v>21</v>
      </c>
      <c r="Z106" s="4">
        <v>17</v>
      </c>
    </row>
    <row r="107" spans="22:26" x14ac:dyDescent="0.25">
      <c r="V107" s="4">
        <v>105</v>
      </c>
      <c r="W107" s="4">
        <v>80.917000000000002</v>
      </c>
      <c r="X107" s="4">
        <v>105</v>
      </c>
      <c r="Y107" s="4">
        <v>21.797000000000001</v>
      </c>
      <c r="Z107" s="4">
        <v>17.082999999999998</v>
      </c>
    </row>
    <row r="108" spans="22:26" x14ac:dyDescent="0.25">
      <c r="V108" s="4">
        <v>106</v>
      </c>
      <c r="W108" s="4">
        <v>80.832999999999998</v>
      </c>
      <c r="X108" s="4">
        <v>106</v>
      </c>
      <c r="Y108" s="4">
        <v>23.550999999999998</v>
      </c>
      <c r="Z108" s="4">
        <v>17.167000000000002</v>
      </c>
    </row>
    <row r="109" spans="22:26" x14ac:dyDescent="0.25">
      <c r="V109" s="4">
        <v>107</v>
      </c>
      <c r="W109" s="4">
        <v>80.75</v>
      </c>
      <c r="X109" s="4">
        <v>107</v>
      </c>
      <c r="Y109" s="4">
        <v>23.75</v>
      </c>
      <c r="Z109" s="4">
        <v>17.25</v>
      </c>
    </row>
    <row r="110" spans="22:26" x14ac:dyDescent="0.25">
      <c r="V110" s="4">
        <v>108</v>
      </c>
      <c r="W110" s="4">
        <v>80.667000000000002</v>
      </c>
      <c r="X110" s="4">
        <v>108</v>
      </c>
      <c r="Y110" s="4">
        <v>23.667000000000002</v>
      </c>
      <c r="Z110" s="4">
        <v>17.332999999999998</v>
      </c>
    </row>
    <row r="111" spans="22:26" x14ac:dyDescent="0.25">
      <c r="V111" s="4">
        <v>109</v>
      </c>
      <c r="W111" s="4">
        <v>80.582999999999998</v>
      </c>
      <c r="X111" s="4">
        <v>109</v>
      </c>
      <c r="Y111" s="4">
        <v>23.582999999999998</v>
      </c>
      <c r="Z111" s="4">
        <v>17.417000000000002</v>
      </c>
    </row>
    <row r="112" spans="22:26" x14ac:dyDescent="0.25">
      <c r="V112" s="4">
        <v>110</v>
      </c>
      <c r="W112" s="4">
        <v>80.5</v>
      </c>
      <c r="X112" s="4">
        <v>110</v>
      </c>
      <c r="Y112" s="4">
        <v>23.5</v>
      </c>
      <c r="Z112" s="4">
        <v>17.5</v>
      </c>
    </row>
    <row r="113" spans="22:26" x14ac:dyDescent="0.25">
      <c r="V113" s="4">
        <v>111</v>
      </c>
      <c r="W113" s="4">
        <v>80.417000000000002</v>
      </c>
      <c r="X113" s="4">
        <v>111</v>
      </c>
      <c r="Y113" s="4">
        <v>23.417000000000002</v>
      </c>
      <c r="Z113" s="4">
        <v>17.582999999999998</v>
      </c>
    </row>
    <row r="114" spans="22:26" x14ac:dyDescent="0.25">
      <c r="V114" s="4">
        <v>112</v>
      </c>
      <c r="W114" s="4">
        <v>80.332999999999998</v>
      </c>
      <c r="X114" s="4">
        <v>112</v>
      </c>
      <c r="Y114" s="4">
        <v>23.332999999999998</v>
      </c>
      <c r="Z114" s="4">
        <v>17.667000000000002</v>
      </c>
    </row>
    <row r="115" spans="22:26" x14ac:dyDescent="0.25">
      <c r="V115" s="4">
        <v>113</v>
      </c>
      <c r="W115" s="4">
        <v>80.25</v>
      </c>
      <c r="X115" s="4">
        <v>113</v>
      </c>
      <c r="Y115" s="4">
        <v>25.25</v>
      </c>
      <c r="Z115" s="4">
        <v>17.75</v>
      </c>
    </row>
    <row r="116" spans="22:26" x14ac:dyDescent="0.25">
      <c r="V116" s="4">
        <v>114</v>
      </c>
      <c r="W116" s="4">
        <v>80.167000000000002</v>
      </c>
      <c r="X116" s="4">
        <v>114</v>
      </c>
      <c r="Y116" s="4">
        <v>25.167000000000002</v>
      </c>
      <c r="Z116" s="4">
        <v>17.832999999999998</v>
      </c>
    </row>
    <row r="117" spans="22:26" x14ac:dyDescent="0.25">
      <c r="V117" s="4">
        <v>115</v>
      </c>
      <c r="W117" s="4">
        <v>80.082999999999998</v>
      </c>
      <c r="X117" s="4">
        <v>115</v>
      </c>
      <c r="Y117" s="4">
        <v>25.082999999999998</v>
      </c>
      <c r="Z117" s="4">
        <v>17.917000000000002</v>
      </c>
    </row>
    <row r="118" spans="22:26" x14ac:dyDescent="0.25">
      <c r="V118" s="4">
        <v>116</v>
      </c>
      <c r="W118" s="4">
        <v>80</v>
      </c>
      <c r="X118" s="4">
        <v>116</v>
      </c>
      <c r="Y118" s="4">
        <v>25</v>
      </c>
      <c r="Z118" s="4">
        <v>18</v>
      </c>
    </row>
    <row r="119" spans="22:26" x14ac:dyDescent="0.25">
      <c r="V119" s="4">
        <v>117</v>
      </c>
      <c r="W119" s="4">
        <v>79.917000000000002</v>
      </c>
      <c r="X119" s="4">
        <v>117</v>
      </c>
      <c r="Y119" s="4">
        <v>24.917000000000002</v>
      </c>
      <c r="Z119" s="4">
        <v>18.082999999999998</v>
      </c>
    </row>
    <row r="120" spans="22:26" x14ac:dyDescent="0.25">
      <c r="V120" s="4">
        <v>118</v>
      </c>
      <c r="W120" s="4">
        <v>79.832999999999998</v>
      </c>
      <c r="X120" s="4">
        <v>118</v>
      </c>
      <c r="Y120" s="4">
        <v>24.832999999999998</v>
      </c>
      <c r="Z120" s="4">
        <v>18.167000000000002</v>
      </c>
    </row>
    <row r="121" spans="22:26" x14ac:dyDescent="0.25">
      <c r="V121" s="4">
        <v>119</v>
      </c>
      <c r="W121" s="4">
        <v>79.75</v>
      </c>
      <c r="X121" s="4">
        <v>119</v>
      </c>
      <c r="Y121" s="4">
        <v>24.75</v>
      </c>
      <c r="Z121" s="4">
        <v>18.25</v>
      </c>
    </row>
    <row r="122" spans="22:26" x14ac:dyDescent="0.25">
      <c r="V122" s="4">
        <v>120</v>
      </c>
      <c r="W122" s="4">
        <v>79.667000000000002</v>
      </c>
      <c r="X122" s="4">
        <v>120</v>
      </c>
      <c r="Y122" s="4">
        <v>24.667000000000002</v>
      </c>
      <c r="Z122" s="4">
        <v>18.332999999999998</v>
      </c>
    </row>
    <row r="123" spans="22:26" x14ac:dyDescent="0.25">
      <c r="V123" s="4">
        <v>121</v>
      </c>
      <c r="W123" s="4">
        <v>79.582999999999998</v>
      </c>
      <c r="X123" s="4">
        <v>121</v>
      </c>
      <c r="Y123" s="4">
        <v>24.582999999999998</v>
      </c>
      <c r="Z123" s="4">
        <v>18.417000000000002</v>
      </c>
    </row>
    <row r="124" spans="22:26" x14ac:dyDescent="0.25">
      <c r="V124" s="4">
        <v>122</v>
      </c>
      <c r="W124" s="4">
        <v>79.5</v>
      </c>
      <c r="X124" s="4">
        <v>122</v>
      </c>
      <c r="Y124" s="4">
        <v>24.5</v>
      </c>
      <c r="Z124" s="4">
        <v>18.5</v>
      </c>
    </row>
    <row r="125" spans="22:26" x14ac:dyDescent="0.25">
      <c r="V125" s="4">
        <v>123</v>
      </c>
      <c r="W125" s="4">
        <v>79.417000000000002</v>
      </c>
      <c r="X125" s="4">
        <v>123</v>
      </c>
      <c r="Y125" s="4">
        <v>24.417000000000002</v>
      </c>
      <c r="Z125" s="4">
        <v>18.582999999999998</v>
      </c>
    </row>
    <row r="126" spans="22:26" x14ac:dyDescent="0.25">
      <c r="V126" s="4">
        <v>124</v>
      </c>
      <c r="W126" s="4">
        <v>79.332999999999998</v>
      </c>
      <c r="X126" s="4">
        <v>124</v>
      </c>
      <c r="Y126" s="4">
        <v>24.332999999999998</v>
      </c>
      <c r="Z126" s="4">
        <v>18.667000000000002</v>
      </c>
    </row>
    <row r="127" spans="22:26" x14ac:dyDescent="0.25">
      <c r="V127" s="4">
        <v>125</v>
      </c>
      <c r="W127" s="4">
        <v>79.25</v>
      </c>
      <c r="X127" s="4">
        <v>125</v>
      </c>
      <c r="Y127" s="4">
        <v>24.25</v>
      </c>
      <c r="Z127" s="4">
        <v>18.75</v>
      </c>
    </row>
    <row r="128" spans="22:26" x14ac:dyDescent="0.25">
      <c r="V128" s="4">
        <v>126</v>
      </c>
      <c r="W128" s="4">
        <v>79.167000000000002</v>
      </c>
      <c r="X128" s="4">
        <v>126</v>
      </c>
      <c r="Y128" s="4">
        <v>24.167000000000002</v>
      </c>
      <c r="Z128" s="4">
        <v>18.832999999999998</v>
      </c>
    </row>
    <row r="129" spans="22:26" x14ac:dyDescent="0.25">
      <c r="V129" s="4">
        <v>127</v>
      </c>
      <c r="W129" s="4">
        <v>79.082999999999998</v>
      </c>
      <c r="X129" s="4">
        <v>127</v>
      </c>
      <c r="Y129" s="4">
        <v>24.082999999999998</v>
      </c>
      <c r="Z129" s="4">
        <v>18.917000000000002</v>
      </c>
    </row>
    <row r="130" spans="22:26" x14ac:dyDescent="0.25">
      <c r="V130" s="4">
        <v>128</v>
      </c>
      <c r="W130" s="4">
        <v>79</v>
      </c>
      <c r="X130" s="4">
        <v>128</v>
      </c>
      <c r="Y130" s="4">
        <v>24</v>
      </c>
      <c r="Z130" s="4">
        <v>19</v>
      </c>
    </row>
    <row r="131" spans="22:26" x14ac:dyDescent="0.25">
      <c r="V131" s="4">
        <v>129</v>
      </c>
      <c r="W131" s="4">
        <v>78.923000000000002</v>
      </c>
      <c r="X131" s="4">
        <v>129</v>
      </c>
      <c r="Y131" s="4">
        <v>23.922999999999998</v>
      </c>
      <c r="Z131" s="4">
        <v>19.077000000000002</v>
      </c>
    </row>
    <row r="132" spans="22:26" x14ac:dyDescent="0.25">
      <c r="V132" s="4">
        <v>130</v>
      </c>
      <c r="W132" s="4">
        <v>78.846000000000004</v>
      </c>
      <c r="X132" s="4">
        <v>130</v>
      </c>
      <c r="Y132" s="4">
        <v>23.846</v>
      </c>
      <c r="Z132" s="4">
        <v>19.154</v>
      </c>
    </row>
    <row r="133" spans="22:26" x14ac:dyDescent="0.25">
      <c r="V133" s="4">
        <v>131</v>
      </c>
      <c r="W133" s="4">
        <v>78.769000000000005</v>
      </c>
      <c r="X133" s="4">
        <v>131</v>
      </c>
      <c r="Y133" s="4">
        <v>23.768999999999998</v>
      </c>
      <c r="Z133" s="4">
        <v>19.231000000000002</v>
      </c>
    </row>
    <row r="134" spans="22:26" x14ac:dyDescent="0.25">
      <c r="V134" s="4">
        <v>132</v>
      </c>
      <c r="W134" s="4">
        <v>78.691999999999993</v>
      </c>
      <c r="X134" s="4">
        <v>132</v>
      </c>
      <c r="Y134" s="4">
        <v>23.692</v>
      </c>
      <c r="Z134" s="4">
        <v>19.308</v>
      </c>
    </row>
    <row r="135" spans="22:26" x14ac:dyDescent="0.25">
      <c r="V135" s="4">
        <v>133</v>
      </c>
      <c r="W135" s="4">
        <v>78.614999999999995</v>
      </c>
      <c r="X135" s="4">
        <v>133</v>
      </c>
      <c r="Y135" s="4">
        <v>23.614999999999998</v>
      </c>
      <c r="Z135" s="4">
        <v>19.385000000000002</v>
      </c>
    </row>
    <row r="136" spans="22:26" x14ac:dyDescent="0.25">
      <c r="V136" s="4">
        <v>134</v>
      </c>
      <c r="W136" s="4">
        <v>78.537999999999997</v>
      </c>
      <c r="X136" s="4">
        <v>134</v>
      </c>
      <c r="Y136" s="4">
        <v>23.538</v>
      </c>
      <c r="Z136" s="4">
        <v>19.462</v>
      </c>
    </row>
    <row r="137" spans="22:26" x14ac:dyDescent="0.25">
      <c r="V137" s="4">
        <v>135</v>
      </c>
      <c r="W137" s="4">
        <v>78.462000000000003</v>
      </c>
      <c r="X137" s="4">
        <v>135</v>
      </c>
      <c r="Y137" s="4">
        <v>23.462</v>
      </c>
      <c r="Z137" s="4">
        <v>19.538</v>
      </c>
    </row>
    <row r="138" spans="22:26" x14ac:dyDescent="0.25">
      <c r="V138" s="4">
        <v>136</v>
      </c>
      <c r="W138" s="4">
        <v>78.385000000000005</v>
      </c>
      <c r="X138" s="4">
        <v>136</v>
      </c>
      <c r="Y138" s="4">
        <v>23.385000000000002</v>
      </c>
      <c r="Z138" s="4">
        <v>19.614999999999998</v>
      </c>
    </row>
    <row r="139" spans="22:26" x14ac:dyDescent="0.25">
      <c r="V139" s="4">
        <v>137</v>
      </c>
      <c r="W139" s="4">
        <v>78.308000000000007</v>
      </c>
      <c r="X139" s="4">
        <v>137</v>
      </c>
      <c r="Y139" s="4">
        <v>23.308</v>
      </c>
      <c r="Z139" s="4">
        <v>19.692</v>
      </c>
    </row>
    <row r="140" spans="22:26" x14ac:dyDescent="0.25">
      <c r="V140" s="4">
        <v>138</v>
      </c>
      <c r="W140" s="4">
        <v>78.230999999999995</v>
      </c>
      <c r="X140" s="4">
        <v>138</v>
      </c>
      <c r="Y140" s="4">
        <v>23.231000000000002</v>
      </c>
      <c r="Z140" s="4">
        <v>19.768999999999998</v>
      </c>
    </row>
    <row r="141" spans="22:26" x14ac:dyDescent="0.25">
      <c r="V141" s="4">
        <v>139</v>
      </c>
      <c r="W141" s="4">
        <v>78.153999999999996</v>
      </c>
      <c r="X141" s="4">
        <v>139</v>
      </c>
      <c r="Y141" s="4">
        <v>23.154</v>
      </c>
      <c r="Z141" s="4">
        <v>19.846</v>
      </c>
    </row>
    <row r="142" spans="22:26" x14ac:dyDescent="0.25">
      <c r="V142" s="4">
        <v>140</v>
      </c>
      <c r="W142" s="4">
        <v>78.076999999999998</v>
      </c>
      <c r="X142" s="4">
        <v>140</v>
      </c>
      <c r="Y142" s="4">
        <v>23.077000000000002</v>
      </c>
      <c r="Z142" s="4">
        <v>19.922999999999998</v>
      </c>
    </row>
    <row r="143" spans="22:26" x14ac:dyDescent="0.25">
      <c r="V143" s="4">
        <v>141</v>
      </c>
      <c r="W143" s="4">
        <v>78</v>
      </c>
      <c r="X143" s="4">
        <v>141</v>
      </c>
      <c r="Y143" s="4">
        <v>23</v>
      </c>
      <c r="Z143" s="4">
        <v>20</v>
      </c>
    </row>
    <row r="144" spans="22:26" x14ac:dyDescent="0.25">
      <c r="V144" s="4">
        <v>142</v>
      </c>
      <c r="W144" s="4">
        <v>77.923000000000002</v>
      </c>
      <c r="X144" s="4">
        <v>142</v>
      </c>
      <c r="Y144" s="4">
        <v>22.922999999999998</v>
      </c>
      <c r="Z144" s="4">
        <v>20.077000000000002</v>
      </c>
    </row>
    <row r="145" spans="22:26" x14ac:dyDescent="0.25">
      <c r="V145" s="4">
        <v>143</v>
      </c>
      <c r="W145" s="4">
        <v>77.846000000000004</v>
      </c>
      <c r="X145" s="4">
        <v>143</v>
      </c>
      <c r="Y145" s="4">
        <v>22.846</v>
      </c>
      <c r="Z145" s="4">
        <v>20.154</v>
      </c>
    </row>
    <row r="146" spans="22:26" x14ac:dyDescent="0.25">
      <c r="V146" s="4">
        <v>144</v>
      </c>
      <c r="W146" s="4">
        <v>77.769000000000005</v>
      </c>
      <c r="X146" s="4">
        <v>144</v>
      </c>
      <c r="Y146" s="4">
        <v>22.768999999999998</v>
      </c>
      <c r="Z146" s="4">
        <v>20.231000000000002</v>
      </c>
    </row>
    <row r="147" spans="22:26" x14ac:dyDescent="0.25">
      <c r="V147" s="4">
        <v>145</v>
      </c>
      <c r="W147" s="4">
        <v>77.731999999999999</v>
      </c>
      <c r="X147" s="4">
        <v>144.48599999999999</v>
      </c>
      <c r="Y147" s="4">
        <v>22.731999999999999</v>
      </c>
      <c r="Z147" s="4">
        <v>20.268000000000001</v>
      </c>
    </row>
    <row r="148" spans="22:26" x14ac:dyDescent="0.25">
      <c r="V148" s="4">
        <v>146</v>
      </c>
      <c r="W148" s="4">
        <v>77.731999999999999</v>
      </c>
      <c r="X148" s="4">
        <v>144.48599999999999</v>
      </c>
      <c r="Y148" s="4">
        <v>22.731999999999999</v>
      </c>
      <c r="Z148" s="4">
        <v>20.268000000000001</v>
      </c>
    </row>
    <row r="149" spans="22:26" x14ac:dyDescent="0.25">
      <c r="V149" s="4">
        <v>147</v>
      </c>
      <c r="W149" s="4">
        <v>77.731999999999999</v>
      </c>
      <c r="X149" s="4">
        <v>144.48599999999999</v>
      </c>
      <c r="Y149" s="4">
        <v>22.731999999999999</v>
      </c>
      <c r="Z149" s="4">
        <v>20.268000000000001</v>
      </c>
    </row>
    <row r="150" spans="22:26" x14ac:dyDescent="0.25">
      <c r="V150" s="4">
        <v>148</v>
      </c>
      <c r="W150" s="4">
        <v>77.731999999999999</v>
      </c>
      <c r="X150" s="4">
        <v>144.48599999999999</v>
      </c>
      <c r="Y150" s="4">
        <v>22.731999999999999</v>
      </c>
      <c r="Z150" s="4">
        <v>20.268000000000001</v>
      </c>
    </row>
    <row r="151" spans="22:26" x14ac:dyDescent="0.25">
      <c r="V151" s="4">
        <v>149</v>
      </c>
      <c r="W151" s="4">
        <v>77.731999999999999</v>
      </c>
      <c r="X151" s="4">
        <v>144.48599999999999</v>
      </c>
      <c r="Y151" s="4">
        <v>22.731999999999999</v>
      </c>
      <c r="Z151" s="4">
        <v>20.268000000000001</v>
      </c>
    </row>
    <row r="152" spans="22:26" x14ac:dyDescent="0.25">
      <c r="V152" s="4">
        <v>150</v>
      </c>
      <c r="W152" s="4">
        <v>77.731999999999999</v>
      </c>
      <c r="X152" s="4">
        <v>144.48599999999999</v>
      </c>
      <c r="Y152" s="4">
        <v>22.731999999999999</v>
      </c>
      <c r="Z152" s="4">
        <v>20.268000000000001</v>
      </c>
    </row>
    <row r="153" spans="22:26" x14ac:dyDescent="0.25">
      <c r="V153" s="4">
        <v>151</v>
      </c>
      <c r="W153" s="4">
        <v>77.731999999999999</v>
      </c>
      <c r="X153" s="4">
        <v>144.48599999999999</v>
      </c>
      <c r="Y153" s="4">
        <v>22.731999999999999</v>
      </c>
      <c r="Z153" s="4">
        <v>20.268000000000001</v>
      </c>
    </row>
    <row r="154" spans="22:26" x14ac:dyDescent="0.25">
      <c r="V154" s="4">
        <v>152</v>
      </c>
      <c r="W154" s="4">
        <v>77.731999999999999</v>
      </c>
      <c r="X154" s="4">
        <v>144.48599999999999</v>
      </c>
      <c r="Y154" s="4">
        <v>22.731999999999999</v>
      </c>
      <c r="Z154" s="4">
        <v>20.268000000000001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9161-C241-47C4-989B-A93783CCB88D}">
  <dimension ref="A1:H138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s="4">
        <v>0</v>
      </c>
      <c r="B2" s="4">
        <v>98</v>
      </c>
      <c r="C2" s="4">
        <v>57</v>
      </c>
    </row>
    <row r="3" spans="1:3" x14ac:dyDescent="0.25">
      <c r="A3" s="4">
        <v>0.01</v>
      </c>
      <c r="B3" s="4">
        <v>95.751999999999995</v>
      </c>
      <c r="C3" s="4">
        <v>55.725000000000001</v>
      </c>
    </row>
    <row r="4" spans="1:3" x14ac:dyDescent="0.25">
      <c r="A4" s="4">
        <v>0.02</v>
      </c>
      <c r="B4" s="4">
        <v>94.221999999999994</v>
      </c>
      <c r="C4" s="4">
        <v>54.771999999999998</v>
      </c>
    </row>
    <row r="5" spans="1:3" x14ac:dyDescent="0.25">
      <c r="A5" s="4">
        <v>0.03</v>
      </c>
      <c r="B5" s="4">
        <v>93.073999999999998</v>
      </c>
      <c r="C5" s="4">
        <v>54.127000000000002</v>
      </c>
    </row>
    <row r="6" spans="1:3" x14ac:dyDescent="0.25">
      <c r="A6" s="4">
        <v>0.04</v>
      </c>
      <c r="B6" s="4">
        <v>92.242000000000004</v>
      </c>
      <c r="C6" s="4">
        <v>53.642000000000003</v>
      </c>
    </row>
    <row r="7" spans="1:3" x14ac:dyDescent="0.25">
      <c r="A7" s="4">
        <v>0.05</v>
      </c>
      <c r="B7" s="4">
        <v>91.49</v>
      </c>
      <c r="C7" s="4">
        <v>53.22</v>
      </c>
    </row>
    <row r="8" spans="1:3" x14ac:dyDescent="0.25">
      <c r="A8" s="4">
        <v>0.06</v>
      </c>
      <c r="B8" s="4">
        <v>90.85</v>
      </c>
      <c r="C8" s="4">
        <v>52.875999999999998</v>
      </c>
    </row>
    <row r="9" spans="1:3" x14ac:dyDescent="0.25">
      <c r="A9" s="4">
        <v>7.0000000000000007E-2</v>
      </c>
      <c r="B9" s="4">
        <v>90.370999999999995</v>
      </c>
      <c r="C9" s="4">
        <v>52.606000000000002</v>
      </c>
    </row>
    <row r="10" spans="1:3" x14ac:dyDescent="0.25">
      <c r="A10" s="4">
        <v>0.08</v>
      </c>
      <c r="B10" s="4">
        <v>89.914000000000001</v>
      </c>
      <c r="C10" s="4">
        <v>52.348999999999997</v>
      </c>
    </row>
    <row r="11" spans="1:3" x14ac:dyDescent="0.25">
      <c r="A11" s="4">
        <v>0.09</v>
      </c>
      <c r="B11" s="4">
        <v>89.478999999999999</v>
      </c>
      <c r="C11" s="4">
        <v>52.104999999999997</v>
      </c>
    </row>
    <row r="12" spans="1:3" x14ac:dyDescent="0.25">
      <c r="A12" s="4">
        <v>0.1</v>
      </c>
      <c r="B12" s="4">
        <v>89.063999999999993</v>
      </c>
      <c r="C12" s="4">
        <v>51.872</v>
      </c>
    </row>
    <row r="13" spans="1:3" x14ac:dyDescent="0.25">
      <c r="A13" s="4">
        <v>0.11</v>
      </c>
      <c r="B13" s="4">
        <v>88.668000000000006</v>
      </c>
      <c r="C13" s="4">
        <v>51.649000000000001</v>
      </c>
    </row>
    <row r="14" spans="1:3" x14ac:dyDescent="0.25">
      <c r="A14" s="4">
        <v>0.12</v>
      </c>
      <c r="B14" s="4">
        <v>88.289000000000001</v>
      </c>
      <c r="C14" s="4">
        <v>51.436</v>
      </c>
    </row>
    <row r="15" spans="1:3" x14ac:dyDescent="0.25">
      <c r="A15" s="4">
        <v>0.13</v>
      </c>
      <c r="B15" s="4">
        <v>87.938999999999993</v>
      </c>
      <c r="C15" s="4">
        <v>51.232999999999997</v>
      </c>
    </row>
    <row r="16" spans="1:3" x14ac:dyDescent="0.25">
      <c r="A16" s="4">
        <v>0.14000000000000001</v>
      </c>
      <c r="B16" s="4">
        <v>87.65</v>
      </c>
      <c r="C16" s="4">
        <v>51.037999999999997</v>
      </c>
    </row>
    <row r="17" spans="1:3" x14ac:dyDescent="0.25">
      <c r="A17" s="4">
        <v>0.15</v>
      </c>
      <c r="B17" s="4">
        <v>87.37</v>
      </c>
      <c r="C17" s="4">
        <v>50.875</v>
      </c>
    </row>
    <row r="18" spans="1:3" x14ac:dyDescent="0.25">
      <c r="A18" s="4">
        <v>0.16</v>
      </c>
      <c r="B18" s="4">
        <v>87.097999999999999</v>
      </c>
      <c r="C18" s="4">
        <v>50.722999999999999</v>
      </c>
    </row>
    <row r="19" spans="1:3" x14ac:dyDescent="0.25">
      <c r="A19" s="4">
        <v>0.17</v>
      </c>
      <c r="B19" s="4">
        <v>86.834999999999994</v>
      </c>
      <c r="C19" s="4">
        <v>50.576000000000001</v>
      </c>
    </row>
    <row r="20" spans="1:3" x14ac:dyDescent="0.25">
      <c r="A20" s="4">
        <v>0.18</v>
      </c>
      <c r="B20" s="4">
        <v>86.578999999999994</v>
      </c>
      <c r="C20" s="4">
        <v>50.433999999999997</v>
      </c>
    </row>
    <row r="21" spans="1:3" x14ac:dyDescent="0.25">
      <c r="A21" s="4">
        <v>0.19</v>
      </c>
      <c r="B21" s="4">
        <v>86.331000000000003</v>
      </c>
      <c r="C21" s="4">
        <v>50.295000000000002</v>
      </c>
    </row>
    <row r="22" spans="1:3" x14ac:dyDescent="0.25">
      <c r="A22" s="4">
        <v>0.2</v>
      </c>
      <c r="B22" s="4">
        <v>86.088999999999999</v>
      </c>
      <c r="C22" s="4">
        <v>50.161000000000001</v>
      </c>
    </row>
    <row r="23" spans="1:3" x14ac:dyDescent="0.25">
      <c r="A23" s="4">
        <v>0.21</v>
      </c>
      <c r="B23" s="4">
        <v>85.864000000000004</v>
      </c>
      <c r="C23" s="4">
        <v>50.03</v>
      </c>
    </row>
    <row r="24" spans="1:3" x14ac:dyDescent="0.25">
      <c r="A24" s="4">
        <v>0.22</v>
      </c>
      <c r="B24" s="4">
        <v>85.65</v>
      </c>
      <c r="C24" s="4">
        <v>49.908999999999999</v>
      </c>
    </row>
    <row r="25" spans="1:3" x14ac:dyDescent="0.25">
      <c r="A25" s="4">
        <v>0.23</v>
      </c>
      <c r="B25" s="4">
        <v>85.441999999999993</v>
      </c>
      <c r="C25" s="4">
        <v>49.792999999999999</v>
      </c>
    </row>
    <row r="26" spans="1:3" x14ac:dyDescent="0.25">
      <c r="A26" s="4">
        <v>0.24</v>
      </c>
      <c r="B26" s="4">
        <v>85.238</v>
      </c>
      <c r="C26" s="4">
        <v>49.679000000000002</v>
      </c>
    </row>
    <row r="27" spans="1:3" x14ac:dyDescent="0.25">
      <c r="A27" s="4">
        <v>0.25</v>
      </c>
      <c r="B27" s="4">
        <v>85.039000000000001</v>
      </c>
      <c r="C27" s="4">
        <v>49.569000000000003</v>
      </c>
    </row>
    <row r="28" spans="1:3" x14ac:dyDescent="0.25">
      <c r="A28" s="4">
        <v>0.26</v>
      </c>
      <c r="B28" s="4">
        <v>84.844999999999999</v>
      </c>
      <c r="C28" s="4">
        <v>49.46</v>
      </c>
    </row>
    <row r="29" spans="1:3" x14ac:dyDescent="0.25">
      <c r="A29" s="4">
        <v>0.27</v>
      </c>
      <c r="B29" s="4">
        <v>84.655000000000001</v>
      </c>
      <c r="C29" s="4">
        <v>49.354999999999997</v>
      </c>
    </row>
    <row r="30" spans="1:3" x14ac:dyDescent="0.25">
      <c r="A30" s="4">
        <v>0.28000000000000003</v>
      </c>
      <c r="B30" s="4">
        <v>84.47</v>
      </c>
      <c r="C30" s="4">
        <v>49.252000000000002</v>
      </c>
    </row>
    <row r="31" spans="1:3" x14ac:dyDescent="0.25">
      <c r="A31" s="4">
        <v>0.28999999999999998</v>
      </c>
      <c r="B31" s="4">
        <v>84.287999999999997</v>
      </c>
      <c r="C31" s="4">
        <v>49.151000000000003</v>
      </c>
    </row>
    <row r="32" spans="1:3" x14ac:dyDescent="0.25">
      <c r="A32" s="4">
        <v>0.3</v>
      </c>
      <c r="B32" s="4">
        <v>84.111000000000004</v>
      </c>
      <c r="C32" s="4">
        <v>49.052</v>
      </c>
    </row>
    <row r="33" spans="1:3" x14ac:dyDescent="0.25">
      <c r="A33" s="4">
        <v>0.31</v>
      </c>
      <c r="B33" s="4">
        <v>83.941000000000003</v>
      </c>
      <c r="C33" s="4">
        <v>48.957000000000001</v>
      </c>
    </row>
    <row r="34" spans="1:3" x14ac:dyDescent="0.25">
      <c r="A34" s="4">
        <v>0.32</v>
      </c>
      <c r="B34" s="4">
        <v>83.778999999999996</v>
      </c>
      <c r="C34" s="4">
        <v>48.866999999999997</v>
      </c>
    </row>
    <row r="35" spans="1:3" x14ac:dyDescent="0.25">
      <c r="A35" s="4">
        <v>0.33</v>
      </c>
      <c r="B35" s="4">
        <v>83.62</v>
      </c>
      <c r="C35" s="4">
        <v>48.779000000000003</v>
      </c>
    </row>
    <row r="36" spans="1:3" x14ac:dyDescent="0.25">
      <c r="A36" s="4">
        <v>0.34</v>
      </c>
      <c r="B36" s="4">
        <v>83.465000000000003</v>
      </c>
      <c r="C36" s="4">
        <v>48.692</v>
      </c>
    </row>
    <row r="37" spans="1:3" x14ac:dyDescent="0.25">
      <c r="A37" s="4">
        <v>0.35</v>
      </c>
      <c r="B37" s="4">
        <v>83.311999999999998</v>
      </c>
      <c r="C37" s="4">
        <v>48.606999999999999</v>
      </c>
    </row>
    <row r="38" spans="1:3" x14ac:dyDescent="0.25">
      <c r="A38" s="4">
        <v>0.36</v>
      </c>
      <c r="B38" s="4">
        <v>83.162000000000006</v>
      </c>
      <c r="C38" s="4">
        <v>48.524000000000001</v>
      </c>
    </row>
    <row r="39" spans="1:3" x14ac:dyDescent="0.25">
      <c r="A39" s="4">
        <v>0.37</v>
      </c>
      <c r="B39" s="4">
        <v>83.015000000000001</v>
      </c>
      <c r="C39" s="4">
        <v>48.442</v>
      </c>
    </row>
    <row r="40" spans="1:3" x14ac:dyDescent="0.25">
      <c r="A40" s="4">
        <v>0.38</v>
      </c>
      <c r="B40" s="4">
        <v>82.876000000000005</v>
      </c>
      <c r="C40" s="4">
        <v>48.362000000000002</v>
      </c>
    </row>
    <row r="41" spans="1:3" x14ac:dyDescent="0.25">
      <c r="A41" s="4">
        <v>0.39</v>
      </c>
      <c r="B41" s="4">
        <v>82.739000000000004</v>
      </c>
      <c r="C41" s="4">
        <v>48.283000000000001</v>
      </c>
    </row>
    <row r="42" spans="1:3" x14ac:dyDescent="0.25">
      <c r="A42" s="4">
        <v>0.4</v>
      </c>
      <c r="B42" s="4">
        <v>82.605000000000004</v>
      </c>
      <c r="C42" s="4">
        <v>48.204999999999998</v>
      </c>
    </row>
    <row r="43" spans="1:3" x14ac:dyDescent="0.25">
      <c r="A43" s="4">
        <v>0.41</v>
      </c>
      <c r="B43" s="4">
        <v>82.472999999999999</v>
      </c>
      <c r="C43" s="4">
        <v>48.128999999999998</v>
      </c>
    </row>
    <row r="44" spans="1:3" x14ac:dyDescent="0.25">
      <c r="A44" s="4">
        <v>0.42</v>
      </c>
      <c r="B44" s="4">
        <v>82.343000000000004</v>
      </c>
      <c r="C44" s="4">
        <v>48.054000000000002</v>
      </c>
    </row>
    <row r="45" spans="1:3" x14ac:dyDescent="0.25">
      <c r="A45" s="4">
        <v>0.43</v>
      </c>
      <c r="B45" s="4">
        <v>82.215000000000003</v>
      </c>
      <c r="C45" s="4">
        <v>47.981000000000002</v>
      </c>
    </row>
    <row r="46" spans="1:3" x14ac:dyDescent="0.25">
      <c r="A46" s="4">
        <v>0.44</v>
      </c>
      <c r="B46" s="4">
        <v>82.088999999999999</v>
      </c>
      <c r="C46" s="4">
        <v>47.911000000000001</v>
      </c>
    </row>
    <row r="47" spans="1:3" x14ac:dyDescent="0.25">
      <c r="A47" s="4">
        <v>0.45</v>
      </c>
      <c r="B47" s="4">
        <v>81.963999999999999</v>
      </c>
      <c r="C47" s="4">
        <v>47.843000000000004</v>
      </c>
    </row>
    <row r="48" spans="1:3" x14ac:dyDescent="0.25">
      <c r="A48" s="4">
        <v>0.46</v>
      </c>
      <c r="B48" s="4">
        <v>81.841999999999999</v>
      </c>
      <c r="C48" s="4">
        <v>47.774999999999999</v>
      </c>
    </row>
    <row r="49" spans="1:3" x14ac:dyDescent="0.25">
      <c r="A49" s="4">
        <v>0.47</v>
      </c>
      <c r="B49" s="4">
        <v>81.721999999999994</v>
      </c>
      <c r="C49" s="4">
        <v>47.707999999999998</v>
      </c>
    </row>
    <row r="50" spans="1:3" x14ac:dyDescent="0.25">
      <c r="A50" s="4">
        <v>0.48</v>
      </c>
      <c r="B50" s="4">
        <v>81.602999999999994</v>
      </c>
      <c r="C50" s="4">
        <v>47.643000000000001</v>
      </c>
    </row>
    <row r="51" spans="1:3" x14ac:dyDescent="0.25">
      <c r="A51" s="4">
        <v>0.49</v>
      </c>
      <c r="B51" s="4">
        <v>81.486000000000004</v>
      </c>
      <c r="C51" s="4">
        <v>47.578000000000003</v>
      </c>
    </row>
    <row r="52" spans="1:3" x14ac:dyDescent="0.25">
      <c r="A52" s="4">
        <v>0.5</v>
      </c>
      <c r="B52" s="4">
        <v>81.370999999999995</v>
      </c>
      <c r="C52" s="4">
        <v>47.514000000000003</v>
      </c>
    </row>
    <row r="53" spans="1:3" x14ac:dyDescent="0.25">
      <c r="A53" s="4">
        <v>0.51</v>
      </c>
      <c r="B53" s="4">
        <v>81.257999999999996</v>
      </c>
      <c r="C53" s="4">
        <v>47.451999999999998</v>
      </c>
    </row>
    <row r="54" spans="1:3" x14ac:dyDescent="0.25">
      <c r="A54" s="4">
        <v>0.52</v>
      </c>
      <c r="B54" s="4">
        <v>81.146000000000001</v>
      </c>
      <c r="C54" s="4">
        <v>47.39</v>
      </c>
    </row>
    <row r="55" spans="1:3" x14ac:dyDescent="0.25">
      <c r="A55" s="4">
        <v>0.53</v>
      </c>
      <c r="B55" s="4">
        <v>81.036000000000001</v>
      </c>
      <c r="C55" s="4">
        <v>47.329000000000001</v>
      </c>
    </row>
    <row r="56" spans="1:3" x14ac:dyDescent="0.25">
      <c r="A56" s="4">
        <v>0.54</v>
      </c>
      <c r="B56" s="4">
        <v>80.930000000000007</v>
      </c>
      <c r="C56" s="4">
        <v>47.268999999999998</v>
      </c>
    </row>
    <row r="57" spans="1:3" x14ac:dyDescent="0.25">
      <c r="A57" s="4">
        <v>0.55000000000000004</v>
      </c>
      <c r="B57" s="4">
        <v>80.825000000000003</v>
      </c>
      <c r="C57" s="4">
        <v>47.209000000000003</v>
      </c>
    </row>
    <row r="58" spans="1:3" x14ac:dyDescent="0.25">
      <c r="A58" s="4">
        <v>0.56000000000000005</v>
      </c>
      <c r="B58" s="4">
        <v>80.721999999999994</v>
      </c>
      <c r="C58" s="4">
        <v>47.151000000000003</v>
      </c>
    </row>
    <row r="59" spans="1:3" x14ac:dyDescent="0.25">
      <c r="A59" s="4">
        <v>0.56999999999999995</v>
      </c>
      <c r="B59" s="4">
        <v>80.62</v>
      </c>
      <c r="C59" s="4">
        <v>47.093000000000004</v>
      </c>
    </row>
    <row r="60" spans="1:3" x14ac:dyDescent="0.25">
      <c r="A60" s="4">
        <v>0.57999999999999996</v>
      </c>
      <c r="B60" s="4">
        <v>80.52</v>
      </c>
      <c r="C60" s="4">
        <v>47.036999999999999</v>
      </c>
    </row>
    <row r="61" spans="1:3" x14ac:dyDescent="0.25">
      <c r="A61" s="4">
        <v>0.59</v>
      </c>
      <c r="B61" s="4">
        <v>80.421000000000006</v>
      </c>
      <c r="C61" s="4">
        <v>46.981000000000002</v>
      </c>
    </row>
    <row r="62" spans="1:3" x14ac:dyDescent="0.25">
      <c r="A62" s="4">
        <v>0.6</v>
      </c>
      <c r="B62" s="4">
        <v>80.322999999999993</v>
      </c>
      <c r="C62" s="4">
        <v>46.927</v>
      </c>
    </row>
    <row r="63" spans="1:3" x14ac:dyDescent="0.25">
      <c r="A63" s="4">
        <v>0.61</v>
      </c>
      <c r="B63" s="4">
        <v>80.225999999999999</v>
      </c>
      <c r="C63" s="4">
        <v>46.874000000000002</v>
      </c>
    </row>
    <row r="64" spans="1:3" x14ac:dyDescent="0.25">
      <c r="A64" s="4">
        <v>0.62</v>
      </c>
      <c r="B64" s="4">
        <v>80.131</v>
      </c>
      <c r="C64" s="4">
        <v>46.820999999999998</v>
      </c>
    </row>
    <row r="65" spans="1:3" x14ac:dyDescent="0.25">
      <c r="A65" s="4">
        <v>0.63</v>
      </c>
      <c r="B65" s="4">
        <v>80.036000000000001</v>
      </c>
      <c r="C65" s="4">
        <v>46.768999999999998</v>
      </c>
    </row>
    <row r="66" spans="1:3" x14ac:dyDescent="0.25">
      <c r="A66" s="4">
        <v>0.64</v>
      </c>
      <c r="B66" s="4">
        <v>79.942999999999998</v>
      </c>
      <c r="C66" s="4">
        <v>46.716999999999999</v>
      </c>
    </row>
    <row r="67" spans="1:3" x14ac:dyDescent="0.25">
      <c r="A67" s="4">
        <v>0.65</v>
      </c>
      <c r="B67" s="4">
        <v>79.850999999999999</v>
      </c>
      <c r="C67" s="4">
        <v>46.667000000000002</v>
      </c>
    </row>
    <row r="68" spans="1:3" x14ac:dyDescent="0.25">
      <c r="A68" s="4">
        <v>0.66</v>
      </c>
      <c r="B68" s="4">
        <v>79.760000000000005</v>
      </c>
      <c r="C68" s="4">
        <v>46.616</v>
      </c>
    </row>
    <row r="69" spans="1:3" x14ac:dyDescent="0.25">
      <c r="A69" s="4">
        <v>0.67</v>
      </c>
      <c r="B69" s="4">
        <v>79.67</v>
      </c>
      <c r="C69" s="4">
        <v>46.567</v>
      </c>
    </row>
    <row r="70" spans="1:3" x14ac:dyDescent="0.25">
      <c r="A70" s="4">
        <v>0.68</v>
      </c>
      <c r="B70" s="4">
        <v>79.581000000000003</v>
      </c>
      <c r="C70" s="4">
        <v>46.518000000000001</v>
      </c>
    </row>
    <row r="71" spans="1:3" x14ac:dyDescent="0.25">
      <c r="A71" s="4">
        <v>0.69</v>
      </c>
      <c r="B71" s="4">
        <v>79.494</v>
      </c>
      <c r="C71" s="4">
        <v>46.469000000000001</v>
      </c>
    </row>
    <row r="72" spans="1:3" x14ac:dyDescent="0.25">
      <c r="A72" s="4">
        <v>0.7</v>
      </c>
      <c r="B72" s="4">
        <v>79.406999999999996</v>
      </c>
      <c r="C72" s="4">
        <v>46.421999999999997</v>
      </c>
    </row>
    <row r="73" spans="1:3" x14ac:dyDescent="0.25">
      <c r="A73" s="4">
        <v>0.71</v>
      </c>
      <c r="B73" s="4">
        <v>79.320999999999998</v>
      </c>
      <c r="C73" s="4">
        <v>46.374000000000002</v>
      </c>
    </row>
    <row r="74" spans="1:3" x14ac:dyDescent="0.25">
      <c r="A74" s="4">
        <v>0.72</v>
      </c>
      <c r="B74" s="4">
        <v>79.236000000000004</v>
      </c>
      <c r="C74" s="4">
        <v>46.328000000000003</v>
      </c>
    </row>
    <row r="75" spans="1:3" x14ac:dyDescent="0.25">
      <c r="A75" s="4">
        <v>0.73</v>
      </c>
      <c r="B75" s="4">
        <v>79.153000000000006</v>
      </c>
      <c r="C75" s="4">
        <v>46.280999999999999</v>
      </c>
    </row>
    <row r="76" spans="1:3" x14ac:dyDescent="0.25">
      <c r="A76" s="4">
        <v>0.74</v>
      </c>
      <c r="B76" s="4">
        <v>79.069999999999993</v>
      </c>
      <c r="C76" s="4">
        <v>46.235999999999997</v>
      </c>
    </row>
    <row r="77" spans="1:3" x14ac:dyDescent="0.25">
      <c r="A77" s="4">
        <v>0.75</v>
      </c>
      <c r="B77" s="4">
        <v>78.988</v>
      </c>
      <c r="C77" s="4">
        <v>46.19</v>
      </c>
    </row>
    <row r="78" spans="1:3" x14ac:dyDescent="0.25">
      <c r="A78" s="4">
        <v>0.76</v>
      </c>
      <c r="B78" s="4">
        <v>78.908000000000001</v>
      </c>
      <c r="C78" s="4">
        <v>46.146000000000001</v>
      </c>
    </row>
    <row r="79" spans="1:3" x14ac:dyDescent="0.25">
      <c r="A79" s="4">
        <v>0.77</v>
      </c>
      <c r="B79" s="4">
        <v>78.828999999999994</v>
      </c>
      <c r="C79" s="4">
        <v>46.101999999999997</v>
      </c>
    </row>
    <row r="80" spans="1:3" x14ac:dyDescent="0.25">
      <c r="A80" s="4">
        <v>0.78</v>
      </c>
      <c r="B80" s="4">
        <v>78.751000000000005</v>
      </c>
      <c r="C80" s="4">
        <v>46.058</v>
      </c>
    </row>
    <row r="81" spans="1:3" x14ac:dyDescent="0.25">
      <c r="A81" s="4">
        <v>0.79</v>
      </c>
      <c r="B81" s="4">
        <v>78.673000000000002</v>
      </c>
      <c r="C81" s="4">
        <v>46.015000000000001</v>
      </c>
    </row>
    <row r="82" spans="1:3" x14ac:dyDescent="0.25">
      <c r="A82" s="4">
        <v>0.8</v>
      </c>
      <c r="B82" s="4">
        <v>78.596000000000004</v>
      </c>
      <c r="C82" s="4">
        <v>45.972000000000001</v>
      </c>
    </row>
    <row r="83" spans="1:3" x14ac:dyDescent="0.25">
      <c r="A83" s="4">
        <v>0.81</v>
      </c>
      <c r="B83" s="4">
        <v>78.52</v>
      </c>
      <c r="C83" s="4">
        <v>45.930999999999997</v>
      </c>
    </row>
    <row r="84" spans="1:3" x14ac:dyDescent="0.25">
      <c r="A84" s="4">
        <v>0.82</v>
      </c>
      <c r="B84" s="4">
        <v>78.444999999999993</v>
      </c>
      <c r="C84" s="4">
        <v>45.889000000000003</v>
      </c>
    </row>
    <row r="85" spans="1:3" x14ac:dyDescent="0.25">
      <c r="A85" s="4">
        <v>0.83</v>
      </c>
      <c r="B85" s="4">
        <v>78.370999999999995</v>
      </c>
      <c r="C85" s="4">
        <v>45.847999999999999</v>
      </c>
    </row>
    <row r="86" spans="1:3" x14ac:dyDescent="0.25">
      <c r="A86" s="4">
        <v>0.84</v>
      </c>
      <c r="B86" s="4">
        <v>78.296999999999997</v>
      </c>
      <c r="C86" s="4">
        <v>45.808</v>
      </c>
    </row>
    <row r="87" spans="1:3" x14ac:dyDescent="0.25">
      <c r="A87" s="4">
        <v>0.85</v>
      </c>
      <c r="B87" s="4">
        <v>78.224000000000004</v>
      </c>
      <c r="C87" s="4">
        <v>45.767000000000003</v>
      </c>
    </row>
    <row r="88" spans="1:3" x14ac:dyDescent="0.25">
      <c r="A88" s="4">
        <v>0.86</v>
      </c>
      <c r="B88" s="4">
        <v>78.150999999999996</v>
      </c>
      <c r="C88" s="4">
        <v>45.728000000000002</v>
      </c>
    </row>
    <row r="89" spans="1:3" x14ac:dyDescent="0.25">
      <c r="A89" s="4">
        <v>0.87</v>
      </c>
      <c r="B89" s="4">
        <v>78.08</v>
      </c>
      <c r="C89" s="4">
        <v>45.688000000000002</v>
      </c>
    </row>
    <row r="90" spans="1:3" x14ac:dyDescent="0.25">
      <c r="A90" s="4">
        <v>0.88</v>
      </c>
      <c r="B90" s="4">
        <v>78.009</v>
      </c>
      <c r="C90" s="4">
        <v>45.649000000000001</v>
      </c>
    </row>
    <row r="91" spans="1:3" x14ac:dyDescent="0.25">
      <c r="A91" s="4">
        <v>0.89</v>
      </c>
      <c r="B91" s="4">
        <v>77.938999999999993</v>
      </c>
      <c r="C91" s="4">
        <v>45.61</v>
      </c>
    </row>
    <row r="92" spans="1:3" x14ac:dyDescent="0.25">
      <c r="A92" s="4">
        <v>0.9</v>
      </c>
      <c r="B92" s="4">
        <v>77.869</v>
      </c>
      <c r="C92" s="4">
        <v>45.572000000000003</v>
      </c>
    </row>
    <row r="93" spans="1:3" x14ac:dyDescent="0.25">
      <c r="A93" s="4">
        <v>0.91</v>
      </c>
      <c r="B93" s="4">
        <v>77.8</v>
      </c>
      <c r="C93" s="4">
        <v>45.533999999999999</v>
      </c>
    </row>
    <row r="94" spans="1:3" x14ac:dyDescent="0.25">
      <c r="A94" s="4">
        <v>0.92</v>
      </c>
      <c r="B94" s="4">
        <v>77.731999999999999</v>
      </c>
      <c r="C94" s="4">
        <v>45.497</v>
      </c>
    </row>
    <row r="95" spans="1:3" x14ac:dyDescent="0.25">
      <c r="A95" s="4">
        <v>0.93</v>
      </c>
      <c r="B95" s="4">
        <v>77.664000000000001</v>
      </c>
      <c r="C95" s="4">
        <v>45.459000000000003</v>
      </c>
    </row>
    <row r="96" spans="1:3" x14ac:dyDescent="0.25">
      <c r="A96" s="4">
        <v>0.94</v>
      </c>
      <c r="B96" s="4">
        <v>77.596999999999994</v>
      </c>
      <c r="C96" s="4">
        <v>45.421999999999997</v>
      </c>
    </row>
    <row r="97" spans="1:3" x14ac:dyDescent="0.25">
      <c r="A97" s="4">
        <v>0.95</v>
      </c>
      <c r="B97" s="4">
        <v>77.531000000000006</v>
      </c>
      <c r="C97" s="4">
        <v>45.386000000000003</v>
      </c>
    </row>
    <row r="98" spans="1:3" x14ac:dyDescent="0.25">
      <c r="A98" s="4">
        <v>0.96</v>
      </c>
      <c r="B98" s="4">
        <v>77.465000000000003</v>
      </c>
      <c r="C98" s="4">
        <v>45.35</v>
      </c>
    </row>
    <row r="99" spans="1:3" x14ac:dyDescent="0.25">
      <c r="A99" s="4">
        <v>0.97</v>
      </c>
      <c r="B99" s="4">
        <v>77.400000000000006</v>
      </c>
      <c r="C99" s="4">
        <v>45.314</v>
      </c>
    </row>
    <row r="100" spans="1:3" x14ac:dyDescent="0.25">
      <c r="A100" s="4">
        <v>0.98</v>
      </c>
      <c r="B100" s="4">
        <v>77.335999999999999</v>
      </c>
      <c r="C100" s="4">
        <v>45.277999999999999</v>
      </c>
    </row>
    <row r="101" spans="1:3" x14ac:dyDescent="0.25">
      <c r="A101" s="4">
        <v>0.99</v>
      </c>
      <c r="B101" s="4">
        <v>77.272000000000006</v>
      </c>
      <c r="C101" s="4">
        <v>45.243000000000002</v>
      </c>
    </row>
    <row r="102" spans="1:3" x14ac:dyDescent="0.25">
      <c r="A102" s="4">
        <v>1</v>
      </c>
      <c r="B102" s="4">
        <v>77.207999999999998</v>
      </c>
      <c r="C102" s="4">
        <v>45.207999999999998</v>
      </c>
    </row>
    <row r="138" spans="8:8" x14ac:dyDescent="0.25">
      <c r="H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potential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Lauinger</dc:creator>
  <cp:lastModifiedBy>Dirk Lauinger</cp:lastModifiedBy>
  <dcterms:created xsi:type="dcterms:W3CDTF">2024-12-02T20:53:30Z</dcterms:created>
  <dcterms:modified xsi:type="dcterms:W3CDTF">2025-01-19T10:22:53Z</dcterms:modified>
</cp:coreProperties>
</file>