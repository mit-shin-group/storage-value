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irk\Desktop\MVS\"/>
    </mc:Choice>
  </mc:AlternateContent>
  <xr:revisionPtr revIDLastSave="0" documentId="13_ncr:1_{CAE96ECC-D822-46B0-B9FB-2130F74B781F}" xr6:coauthVersionLast="47" xr6:coauthVersionMax="47" xr10:uidLastSave="{00000000-0000-0000-0000-000000000000}"/>
  <bookViews>
    <workbookView xWindow="28680" yWindow="-120" windowWidth="29040" windowHeight="15840" activeTab="1" xr2:uid="{4A78666A-E54C-4192-A2C4-3D26FFAF99BE}"/>
  </bookViews>
  <sheets>
    <sheet name="nantucket" sheetId="2" r:id="rId1"/>
    <sheet name="resources" sheetId="1" r:id="rId2"/>
  </sheets>
  <definedNames>
    <definedName name="ExterneDaten_1" localSheetId="0" hidden="1">nantucket!$A:$J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138" i="2" l="1"/>
  <c r="K1241" i="2"/>
  <c r="K1345" i="2"/>
  <c r="K1346" i="2"/>
  <c r="K1399" i="2"/>
  <c r="K1400" i="2"/>
  <c r="K1401" i="2"/>
  <c r="K1192" i="2"/>
  <c r="K1026" i="2"/>
  <c r="K762" i="2"/>
  <c r="K897" i="2"/>
  <c r="K898" i="2"/>
  <c r="K836" i="2"/>
  <c r="K899" i="2"/>
  <c r="K968" i="2"/>
  <c r="K969" i="2"/>
  <c r="K837" i="2"/>
  <c r="K702" i="2"/>
  <c r="K516" i="2"/>
  <c r="K517" i="2"/>
  <c r="K637" i="2"/>
  <c r="K638" i="2"/>
  <c r="K763" i="2"/>
  <c r="K1027" i="2"/>
  <c r="K1242" i="2"/>
  <c r="K1347" i="2"/>
  <c r="K1402" i="2"/>
  <c r="K1290" i="2"/>
  <c r="K1442" i="2"/>
  <c r="K1443" i="2"/>
  <c r="K1403" i="2"/>
  <c r="K1291" i="2"/>
  <c r="K1139" i="2"/>
  <c r="K970" i="2"/>
  <c r="K971" i="2"/>
  <c r="K900" i="2"/>
  <c r="K901" i="2"/>
  <c r="K902" i="2"/>
  <c r="K903" i="2"/>
  <c r="K838" i="2"/>
  <c r="K639" i="2"/>
  <c r="K518" i="2"/>
  <c r="K366" i="2"/>
  <c r="K418" i="2"/>
  <c r="K519" i="2"/>
  <c r="K584" i="2"/>
  <c r="K764" i="2"/>
  <c r="K1028" i="2"/>
  <c r="K1243" i="2"/>
  <c r="K1348" i="2"/>
  <c r="K1404" i="2"/>
  <c r="K1444" i="2"/>
  <c r="K1473" i="2"/>
  <c r="K1487" i="2"/>
  <c r="K1445" i="2"/>
  <c r="K1292" i="2"/>
  <c r="K1193" i="2"/>
  <c r="K1029" i="2"/>
  <c r="K904" i="2"/>
  <c r="K839" i="2"/>
  <c r="K765" i="2"/>
  <c r="K703" i="2"/>
  <c r="K704" i="2"/>
  <c r="K640" i="2"/>
  <c r="K466" i="2"/>
  <c r="K367" i="2"/>
  <c r="K276" i="2"/>
  <c r="K315" i="2"/>
  <c r="K368" i="2"/>
  <c r="K467" i="2"/>
  <c r="K585" i="2"/>
  <c r="K840" i="2"/>
  <c r="K1089" i="2"/>
  <c r="K1244" i="2"/>
  <c r="K1293" i="2"/>
  <c r="K1405" i="2"/>
  <c r="K1406" i="2"/>
  <c r="K1446" i="2"/>
  <c r="K1447" i="2"/>
  <c r="K1294" i="2"/>
  <c r="K1090" i="2"/>
  <c r="K905" i="2"/>
  <c r="K841" i="2"/>
  <c r="K906" i="2"/>
  <c r="K842" i="2"/>
  <c r="K843" i="2"/>
  <c r="K844" i="2"/>
  <c r="K766" i="2"/>
  <c r="K641" i="2"/>
  <c r="K369" i="2"/>
  <c r="K419" i="2"/>
  <c r="K420" i="2"/>
  <c r="K586" i="2"/>
  <c r="K705" i="2"/>
  <c r="K706" i="2"/>
  <c r="K767" i="2"/>
  <c r="K907" i="2"/>
  <c r="K1030" i="2"/>
  <c r="K1091" i="2"/>
  <c r="K1245" i="2"/>
  <c r="K1295" i="2"/>
  <c r="K1296" i="2"/>
  <c r="K1297" i="2"/>
  <c r="K1194" i="2"/>
  <c r="K1031" i="2"/>
  <c r="K768" i="2"/>
  <c r="K642" i="2"/>
  <c r="K520" i="2"/>
  <c r="K521" i="2"/>
  <c r="K522" i="2"/>
  <c r="K421" i="2"/>
  <c r="K316" i="2"/>
  <c r="K317" i="2"/>
  <c r="K318" i="2"/>
  <c r="K277" i="2"/>
  <c r="K319" i="2"/>
  <c r="K370" i="2"/>
  <c r="K422" i="2"/>
  <c r="K468" i="2"/>
  <c r="K707" i="2"/>
  <c r="K908" i="2"/>
  <c r="K1032" i="2"/>
  <c r="K1140" i="2"/>
  <c r="K1195" i="2"/>
  <c r="K1246" i="2"/>
  <c r="K1298" i="2"/>
  <c r="K1247" i="2"/>
  <c r="K1141" i="2"/>
  <c r="K909" i="2"/>
  <c r="K708" i="2"/>
  <c r="K587" i="2"/>
  <c r="K469" i="2"/>
  <c r="K423" i="2"/>
  <c r="K424" i="2"/>
  <c r="K470" i="2"/>
  <c r="K425" i="2"/>
  <c r="K371" i="2"/>
  <c r="K320" i="2"/>
  <c r="K278" i="2"/>
  <c r="K321" i="2"/>
  <c r="K372" i="2"/>
  <c r="K471" i="2"/>
  <c r="K523" i="2"/>
  <c r="K709" i="2"/>
  <c r="K910" i="2"/>
  <c r="K1033" i="2"/>
  <c r="K1142" i="2"/>
  <c r="K1196" i="2"/>
  <c r="K1248" i="2"/>
  <c r="K1249" i="2"/>
  <c r="K1250" i="2"/>
  <c r="K1143" i="2"/>
  <c r="K972" i="2"/>
  <c r="K769" i="2"/>
  <c r="K588" i="2"/>
  <c r="K426" i="2"/>
  <c r="K322" i="2"/>
  <c r="K323" i="2"/>
  <c r="K239" i="2"/>
  <c r="K240" i="2"/>
  <c r="K196" i="2"/>
  <c r="K197" i="2"/>
  <c r="K198" i="2"/>
  <c r="K241" i="2"/>
  <c r="K242" i="2"/>
  <c r="K324" i="2"/>
  <c r="K472" i="2"/>
  <c r="K710" i="2"/>
  <c r="K973" i="2"/>
  <c r="K1092" i="2"/>
  <c r="K1144" i="2"/>
  <c r="K1197" i="2"/>
  <c r="K1198" i="2"/>
  <c r="K1251" i="2"/>
  <c r="K1199" i="2"/>
  <c r="K1034" i="2"/>
  <c r="K845" i="2"/>
  <c r="K643" i="2"/>
  <c r="K427" i="2"/>
  <c r="K325" i="2"/>
  <c r="K279" i="2"/>
  <c r="K199" i="2"/>
  <c r="K200" i="2"/>
  <c r="K132" i="2"/>
  <c r="K104" i="2"/>
  <c r="K82" i="2"/>
  <c r="K105" i="2"/>
  <c r="K133" i="2"/>
  <c r="K134" i="2"/>
  <c r="K162" i="2"/>
  <c r="K326" i="2"/>
  <c r="K589" i="2"/>
  <c r="K846" i="2"/>
  <c r="K974" i="2"/>
  <c r="K1035" i="2"/>
  <c r="K1093" i="2"/>
  <c r="K1094" i="2"/>
  <c r="K1145" i="2"/>
  <c r="K1036" i="2"/>
  <c r="K847" i="2"/>
  <c r="K770" i="2"/>
  <c r="K590" i="2"/>
  <c r="K473" i="2"/>
  <c r="K373" i="2"/>
  <c r="K243" i="2"/>
  <c r="K244" i="2"/>
  <c r="K245" i="2"/>
  <c r="K163" i="2"/>
  <c r="K135" i="2"/>
  <c r="K136" i="2"/>
  <c r="K106" i="2"/>
  <c r="K137" i="2"/>
  <c r="K164" i="2"/>
  <c r="K246" i="2"/>
  <c r="K374" i="2"/>
  <c r="K591" i="2"/>
  <c r="K848" i="2"/>
  <c r="K975" i="2"/>
  <c r="K1037" i="2"/>
  <c r="K1095" i="2"/>
  <c r="K1146" i="2"/>
  <c r="K1147" i="2"/>
  <c r="K1096" i="2"/>
  <c r="K911" i="2"/>
  <c r="K644" i="2"/>
  <c r="K474" i="2"/>
  <c r="K327" i="2"/>
  <c r="K280" i="2"/>
  <c r="K201" i="2"/>
  <c r="K202" i="2"/>
  <c r="K165" i="2"/>
  <c r="K138" i="2"/>
  <c r="K107" i="2"/>
  <c r="K57" i="2"/>
  <c r="K42" i="2"/>
  <c r="K58" i="2"/>
  <c r="K108" i="2"/>
  <c r="K203" i="2"/>
  <c r="K328" i="2"/>
  <c r="K524" i="2"/>
  <c r="K771" i="2"/>
  <c r="K976" i="2"/>
  <c r="K1038" i="2"/>
  <c r="K1097" i="2"/>
  <c r="K1148" i="2"/>
  <c r="K1149" i="2"/>
  <c r="K1098" i="2"/>
  <c r="K912" i="2"/>
  <c r="K711" i="2"/>
  <c r="K475" i="2"/>
  <c r="K375" i="2"/>
  <c r="K281" i="2"/>
  <c r="K247" i="2"/>
  <c r="K248" i="2"/>
  <c r="K204" i="2"/>
  <c r="K109" i="2"/>
  <c r="K83" i="2"/>
  <c r="K43" i="2"/>
  <c r="K30" i="2"/>
  <c r="K59" i="2"/>
  <c r="K110" i="2"/>
  <c r="K139" i="2"/>
  <c r="K249" i="2"/>
  <c r="K428" i="2"/>
  <c r="K712" i="2"/>
  <c r="K772" i="2"/>
  <c r="K913" i="2"/>
  <c r="K977" i="2"/>
  <c r="K978" i="2"/>
  <c r="K1039" i="2"/>
  <c r="K914" i="2"/>
  <c r="K773" i="2"/>
  <c r="K713" i="2"/>
  <c r="K476" i="2"/>
  <c r="K329" i="2"/>
  <c r="K282" i="2"/>
  <c r="K205" i="2"/>
  <c r="K166" i="2"/>
  <c r="K167" i="2"/>
  <c r="K111" i="2"/>
  <c r="K60" i="2"/>
  <c r="K19" i="2"/>
  <c r="K13" i="2"/>
  <c r="K44" i="2"/>
  <c r="K84" i="2"/>
  <c r="K140" i="2"/>
  <c r="K250" i="2"/>
  <c r="K376" i="2"/>
  <c r="K645" i="2"/>
  <c r="K774" i="2"/>
  <c r="K915" i="2"/>
  <c r="K979" i="2"/>
  <c r="K980" i="2"/>
  <c r="K1040" i="2"/>
  <c r="K1041" i="2"/>
  <c r="K775" i="2"/>
  <c r="K646" i="2"/>
  <c r="K377" i="2"/>
  <c r="K251" i="2"/>
  <c r="K206" i="2"/>
  <c r="K112" i="2"/>
  <c r="K113" i="2"/>
  <c r="K141" i="2"/>
  <c r="K207" i="2"/>
  <c r="K208" i="2"/>
  <c r="K209" i="2"/>
  <c r="K210" i="2"/>
  <c r="K252" i="2"/>
  <c r="K330" i="2"/>
  <c r="K378" i="2"/>
  <c r="K429" i="2"/>
  <c r="K592" i="2"/>
  <c r="K776" i="2"/>
  <c r="K981" i="2"/>
  <c r="K1042" i="2"/>
  <c r="K1150" i="2"/>
  <c r="K1200" i="2"/>
  <c r="K1201" i="2"/>
  <c r="K1202" i="2"/>
  <c r="K1151" i="2"/>
  <c r="K982" i="2"/>
  <c r="K647" i="2"/>
  <c r="K477" i="2"/>
  <c r="K331" i="2"/>
  <c r="K283" i="2"/>
  <c r="K253" i="2"/>
  <c r="K211" i="2"/>
  <c r="K168" i="2"/>
  <c r="K114" i="2"/>
  <c r="K61" i="2"/>
  <c r="K62" i="2"/>
  <c r="K115" i="2"/>
  <c r="K169" i="2"/>
  <c r="K212" i="2"/>
  <c r="K379" i="2"/>
  <c r="K593" i="2"/>
  <c r="K777" i="2"/>
  <c r="K916" i="2"/>
  <c r="K1043" i="2"/>
  <c r="K1044" i="2"/>
  <c r="K1099" i="2"/>
  <c r="K1152" i="2"/>
  <c r="K1045" i="2"/>
  <c r="K849" i="2"/>
  <c r="K525" i="2"/>
  <c r="K332" i="2"/>
  <c r="K254" i="2"/>
  <c r="K142" i="2"/>
  <c r="K85" i="2"/>
  <c r="K116" i="2"/>
  <c r="K86" i="2"/>
  <c r="K63" i="2"/>
  <c r="K45" i="2"/>
  <c r="K14" i="2"/>
  <c r="K8" i="2"/>
  <c r="K20" i="2"/>
  <c r="K46" i="2"/>
  <c r="K64" i="2"/>
  <c r="K143" i="2"/>
  <c r="K333" i="2"/>
  <c r="K526" i="2"/>
  <c r="K527" i="2"/>
  <c r="K778" i="2"/>
  <c r="K850" i="2"/>
  <c r="K917" i="2"/>
  <c r="K983" i="2"/>
  <c r="K918" i="2"/>
  <c r="K648" i="2"/>
  <c r="K380" i="2"/>
  <c r="K213" i="2"/>
  <c r="K170" i="2"/>
  <c r="K144" i="2"/>
  <c r="K117" i="2"/>
  <c r="K65" i="2"/>
  <c r="K66" i="2"/>
  <c r="K31" i="2"/>
  <c r="K21" i="2"/>
  <c r="K4" i="2"/>
  <c r="K5" i="2"/>
  <c r="K9" i="2"/>
  <c r="K22" i="2"/>
  <c r="K47" i="2"/>
  <c r="K118" i="2"/>
  <c r="K284" i="2"/>
  <c r="K478" i="2"/>
  <c r="K594" i="2"/>
  <c r="K649" i="2"/>
  <c r="K779" i="2"/>
  <c r="K851" i="2"/>
  <c r="K919" i="2"/>
  <c r="K920" i="2"/>
  <c r="K714" i="2"/>
  <c r="K430" i="2"/>
  <c r="K285" i="2"/>
  <c r="K171" i="2"/>
  <c r="K214" i="2"/>
  <c r="K145" i="2"/>
  <c r="K67" i="2"/>
  <c r="K146" i="2"/>
  <c r="K87" i="2"/>
  <c r="K32" i="2"/>
  <c r="K15" i="2"/>
  <c r="K16" i="2"/>
  <c r="K33" i="2"/>
  <c r="K48" i="2"/>
  <c r="K88" i="2"/>
  <c r="K172" i="2"/>
  <c r="K334" i="2"/>
  <c r="K528" i="2"/>
  <c r="K650" i="2"/>
  <c r="K780" i="2"/>
  <c r="K921" i="2"/>
  <c r="K922" i="2"/>
  <c r="K984" i="2"/>
  <c r="K985" i="2"/>
  <c r="K781" i="2"/>
  <c r="K595" i="2"/>
  <c r="K335" i="2"/>
  <c r="K286" i="2"/>
  <c r="K173" i="2"/>
  <c r="K119" i="2"/>
  <c r="K174" i="2"/>
  <c r="K215" i="2"/>
  <c r="K175" i="2"/>
  <c r="K216" i="2"/>
  <c r="K120" i="2"/>
  <c r="K68" i="2"/>
  <c r="K69" i="2"/>
  <c r="K176" i="2"/>
  <c r="K217" i="2"/>
  <c r="K336" i="2"/>
  <c r="K529" i="2"/>
  <c r="K782" i="2"/>
  <c r="K923" i="2"/>
  <c r="K1046" i="2"/>
  <c r="K1100" i="2"/>
  <c r="K1101" i="2"/>
  <c r="K1153" i="2"/>
  <c r="K1203" i="2"/>
  <c r="K986" i="2"/>
  <c r="K783" i="2"/>
  <c r="K596" i="2"/>
  <c r="K530" i="2"/>
  <c r="K531" i="2"/>
  <c r="K532" i="2"/>
  <c r="K533" i="2"/>
  <c r="K479" i="2"/>
  <c r="K431" i="2"/>
  <c r="K287" i="2"/>
  <c r="K177" i="2"/>
  <c r="K147" i="2"/>
  <c r="K148" i="2"/>
  <c r="K288" i="2"/>
  <c r="K381" i="2"/>
  <c r="K534" i="2"/>
  <c r="K784" i="2"/>
  <c r="K852" i="2"/>
  <c r="K1102" i="2"/>
  <c r="K1204" i="2"/>
  <c r="K1252" i="2"/>
  <c r="K1299" i="2"/>
  <c r="K1300" i="2"/>
  <c r="K1301" i="2"/>
  <c r="K1154" i="2"/>
  <c r="K853" i="2"/>
  <c r="K651" i="2"/>
  <c r="K597" i="2"/>
  <c r="K432" i="2"/>
  <c r="K382" i="2"/>
  <c r="K337" i="2"/>
  <c r="K289" i="2"/>
  <c r="K290" i="2"/>
  <c r="K291" i="2"/>
  <c r="K149" i="2"/>
  <c r="K121" i="2"/>
  <c r="K178" i="2"/>
  <c r="K292" i="2"/>
  <c r="K338" i="2"/>
  <c r="K433" i="2"/>
  <c r="K598" i="2"/>
  <c r="K785" i="2"/>
  <c r="K987" i="2"/>
  <c r="K1047" i="2"/>
  <c r="K1103" i="2"/>
  <c r="K1104" i="2"/>
  <c r="K1205" i="2"/>
  <c r="K1206" i="2"/>
  <c r="K1155" i="2"/>
  <c r="K924" i="2"/>
  <c r="K715" i="2"/>
  <c r="K535" i="2"/>
  <c r="K480" i="2"/>
  <c r="K383" i="2"/>
  <c r="K339" i="2"/>
  <c r="K340" i="2"/>
  <c r="K293" i="2"/>
  <c r="K179" i="2"/>
  <c r="K89" i="2"/>
  <c r="K70" i="2"/>
  <c r="K122" i="2"/>
  <c r="K180" i="2"/>
  <c r="K255" i="2"/>
  <c r="K384" i="2"/>
  <c r="K599" i="2"/>
  <c r="K854" i="2"/>
  <c r="K988" i="2"/>
  <c r="K1105" i="2"/>
  <c r="K1207" i="2"/>
  <c r="K1208" i="2"/>
  <c r="K1253" i="2"/>
  <c r="K1209" i="2"/>
  <c r="K1106" i="2"/>
  <c r="K989" i="2"/>
  <c r="K716" i="2"/>
  <c r="K481" i="2"/>
  <c r="K434" i="2"/>
  <c r="K341" i="2"/>
  <c r="K294" i="2"/>
  <c r="K256" i="2"/>
  <c r="K218" i="2"/>
  <c r="K181" i="2"/>
  <c r="K71" i="2"/>
  <c r="K90" i="2"/>
  <c r="K91" i="2"/>
  <c r="K150" i="2"/>
  <c r="K219" i="2"/>
  <c r="K295" i="2"/>
  <c r="K482" i="2"/>
  <c r="K786" i="2"/>
  <c r="K990" i="2"/>
  <c r="K1048" i="2"/>
  <c r="K1156" i="2"/>
  <c r="K1210" i="2"/>
  <c r="K1302" i="2"/>
  <c r="K1303" i="2"/>
  <c r="K1157" i="2"/>
  <c r="K991" i="2"/>
  <c r="K855" i="2"/>
  <c r="K787" i="2"/>
  <c r="K717" i="2"/>
  <c r="K652" i="2"/>
  <c r="K536" i="2"/>
  <c r="K483" i="2"/>
  <c r="K484" i="2"/>
  <c r="K435" i="2"/>
  <c r="K485" i="2"/>
  <c r="K537" i="2"/>
  <c r="K486" i="2"/>
  <c r="K538" i="2"/>
  <c r="K600" i="2"/>
  <c r="K788" i="2"/>
  <c r="K992" i="2"/>
  <c r="K1158" i="2"/>
  <c r="K1254" i="2"/>
  <c r="K1304" i="2"/>
  <c r="K1349" i="2"/>
  <c r="K1350" i="2"/>
  <c r="K1407" i="2"/>
  <c r="K1408" i="2"/>
  <c r="K1255" i="2"/>
  <c r="K1159" i="2"/>
  <c r="K993" i="2"/>
  <c r="K925" i="2"/>
  <c r="K856" i="2"/>
  <c r="K1211" i="2"/>
  <c r="K653" i="2"/>
  <c r="K654" i="2"/>
  <c r="K655" i="2"/>
  <c r="K656" i="2"/>
  <c r="K601" i="2"/>
  <c r="K487" i="2"/>
  <c r="K488" i="2"/>
  <c r="K657" i="2"/>
  <c r="K718" i="2"/>
  <c r="K789" i="2"/>
  <c r="K1049" i="2"/>
  <c r="K1212" i="2"/>
  <c r="K1305" i="2"/>
  <c r="K1351" i="2"/>
  <c r="K1409" i="2"/>
  <c r="K1410" i="2"/>
  <c r="K1411" i="2"/>
  <c r="K1352" i="2"/>
  <c r="K1256" i="2"/>
  <c r="K1050" i="2"/>
  <c r="K926" i="2"/>
  <c r="K658" i="2"/>
  <c r="K602" i="2"/>
  <c r="K603" i="2"/>
  <c r="K539" i="2"/>
  <c r="K540" i="2"/>
  <c r="K436" i="2"/>
  <c r="K385" i="2"/>
  <c r="K342" i="2"/>
  <c r="K296" i="2"/>
  <c r="K257" i="2"/>
  <c r="K297" i="2"/>
  <c r="K386" i="2"/>
  <c r="K489" i="2"/>
  <c r="K719" i="2"/>
  <c r="K994" i="2"/>
  <c r="K1107" i="2"/>
  <c r="K1213" i="2"/>
  <c r="K1257" i="2"/>
  <c r="K1353" i="2"/>
  <c r="K1354" i="2"/>
  <c r="K1355" i="2"/>
  <c r="K1214" i="2"/>
  <c r="K995" i="2"/>
  <c r="K790" i="2"/>
  <c r="K720" i="2"/>
  <c r="K659" i="2"/>
  <c r="K660" i="2"/>
  <c r="K541" i="2"/>
  <c r="K604" i="2"/>
  <c r="K542" i="2"/>
  <c r="K387" i="2"/>
  <c r="K258" i="2"/>
  <c r="K182" i="2"/>
  <c r="K259" i="2"/>
  <c r="K388" i="2"/>
  <c r="K437" i="2"/>
  <c r="K543" i="2"/>
  <c r="K791" i="2"/>
  <c r="K1051" i="2"/>
  <c r="K1160" i="2"/>
  <c r="K1215" i="2"/>
  <c r="K1258" i="2"/>
  <c r="K1306" i="2"/>
  <c r="K1356" i="2"/>
  <c r="K1357" i="2"/>
  <c r="K1216" i="2"/>
  <c r="K996" i="2"/>
  <c r="K792" i="2"/>
  <c r="K605" i="2"/>
  <c r="K544" i="2"/>
  <c r="K438" i="2"/>
  <c r="K439" i="2"/>
  <c r="K389" i="2"/>
  <c r="K343" i="2"/>
  <c r="K220" i="2"/>
  <c r="K123" i="2"/>
  <c r="K92" i="2"/>
  <c r="K151" i="2"/>
  <c r="K298" i="2"/>
  <c r="K344" i="2"/>
  <c r="K490" i="2"/>
  <c r="K721" i="2"/>
  <c r="K1052" i="2"/>
  <c r="K1161" i="2"/>
  <c r="K1259" i="2"/>
  <c r="K1260" i="2"/>
  <c r="K1358" i="2"/>
  <c r="K1412" i="2"/>
  <c r="K1448" i="2"/>
  <c r="K1359" i="2"/>
  <c r="K1217" i="2"/>
  <c r="K997" i="2"/>
  <c r="K857" i="2"/>
  <c r="K793" i="2"/>
  <c r="K722" i="2"/>
  <c r="K723" i="2"/>
  <c r="K724" i="2"/>
  <c r="K661" i="2"/>
  <c r="K662" i="2"/>
  <c r="K545" i="2"/>
  <c r="K546" i="2"/>
  <c r="K547" i="2"/>
  <c r="K663" i="2"/>
  <c r="K794" i="2"/>
  <c r="K927" i="2"/>
  <c r="K1108" i="2"/>
  <c r="K1261" i="2"/>
  <c r="K1307" i="2"/>
  <c r="K1360" i="2"/>
  <c r="K1413" i="2"/>
  <c r="K1414" i="2"/>
  <c r="K1449" i="2"/>
  <c r="K1415" i="2"/>
  <c r="K1308" i="2"/>
  <c r="K1109" i="2"/>
  <c r="K998" i="2"/>
  <c r="K928" i="2"/>
  <c r="K725" i="2"/>
  <c r="K858" i="2"/>
  <c r="K859" i="2"/>
  <c r="K795" i="2"/>
  <c r="K548" i="2"/>
  <c r="K549" i="2"/>
  <c r="K550" i="2"/>
  <c r="K491" i="2"/>
  <c r="K492" i="2"/>
  <c r="K493" i="2"/>
  <c r="K551" i="2"/>
  <c r="K664" i="2"/>
  <c r="K860" i="2"/>
  <c r="K1110" i="2"/>
  <c r="K1218" i="2"/>
  <c r="K1262" i="2"/>
  <c r="K1309" i="2"/>
  <c r="K1310" i="2"/>
  <c r="K1311" i="2"/>
  <c r="K1263" i="2"/>
  <c r="K1111" i="2"/>
  <c r="K929" i="2"/>
  <c r="K726" i="2"/>
  <c r="K552" i="2"/>
  <c r="K494" i="2"/>
  <c r="K390" i="2"/>
  <c r="K345" i="2"/>
  <c r="K299" i="2"/>
  <c r="K260" i="2"/>
  <c r="K183" i="2"/>
  <c r="K93" i="2"/>
  <c r="K49" i="2"/>
  <c r="K124" i="2"/>
  <c r="K184" i="2"/>
  <c r="K221" i="2"/>
  <c r="K391" i="2"/>
  <c r="K606" i="2"/>
  <c r="K861" i="2"/>
  <c r="K999" i="2"/>
  <c r="K1053" i="2"/>
  <c r="K1162" i="2"/>
  <c r="K1163" i="2"/>
  <c r="K1219" i="2"/>
  <c r="K1220" i="2"/>
  <c r="K1054" i="2"/>
  <c r="K796" i="2"/>
  <c r="K553" i="2"/>
  <c r="K392" i="2"/>
  <c r="K346" i="2"/>
  <c r="K300" i="2"/>
  <c r="K261" i="2"/>
  <c r="K222" i="2"/>
  <c r="K185" i="2"/>
  <c r="K152" i="2"/>
  <c r="K72" i="2"/>
  <c r="K50" i="2"/>
  <c r="K94" i="2"/>
  <c r="K153" i="2"/>
  <c r="K186" i="2"/>
  <c r="K301" i="2"/>
  <c r="K495" i="2"/>
  <c r="K797" i="2"/>
  <c r="K930" i="2"/>
  <c r="K1000" i="2"/>
  <c r="K1055" i="2"/>
  <c r="K1056" i="2"/>
  <c r="K1112" i="2"/>
  <c r="K1001" i="2"/>
  <c r="K727" i="2"/>
  <c r="K607" i="2"/>
  <c r="K393" i="2"/>
  <c r="K302" i="2"/>
  <c r="K223" i="2"/>
  <c r="K187" i="2"/>
  <c r="K188" i="2"/>
  <c r="K154" i="2"/>
  <c r="K95" i="2"/>
  <c r="K51" i="2"/>
  <c r="K23" i="2"/>
  <c r="K17" i="2"/>
  <c r="K24" i="2"/>
  <c r="K96" i="2"/>
  <c r="K125" i="2"/>
  <c r="K224" i="2"/>
  <c r="K440" i="2"/>
  <c r="K665" i="2"/>
  <c r="K798" i="2"/>
  <c r="K931" i="2"/>
  <c r="K1002" i="2"/>
  <c r="K1113" i="2"/>
  <c r="K1114" i="2"/>
  <c r="K1003" i="2"/>
  <c r="K932" i="2"/>
  <c r="K608" i="2"/>
  <c r="K394" i="2"/>
  <c r="K225" i="2"/>
  <c r="K155" i="2"/>
  <c r="K97" i="2"/>
  <c r="K73" i="2"/>
  <c r="K52" i="2"/>
  <c r="K25" i="2"/>
  <c r="K18" i="2"/>
  <c r="K2" i="2"/>
  <c r="K6" i="2"/>
  <c r="K10" i="2"/>
  <c r="K26" i="2"/>
  <c r="K53" i="2"/>
  <c r="K126" i="2"/>
  <c r="K303" i="2"/>
  <c r="K554" i="2"/>
  <c r="K666" i="2"/>
  <c r="K728" i="2"/>
  <c r="K862" i="2"/>
  <c r="K933" i="2"/>
  <c r="K934" i="2"/>
  <c r="K935" i="2"/>
  <c r="K799" i="2"/>
  <c r="K555" i="2"/>
  <c r="K395" i="2"/>
  <c r="K262" i="2"/>
  <c r="K156" i="2"/>
  <c r="K98" i="2"/>
  <c r="K74" i="2"/>
  <c r="K54" i="2"/>
  <c r="K34" i="2"/>
  <c r="K27" i="2"/>
  <c r="K7" i="2"/>
  <c r="K3" i="2"/>
  <c r="K11" i="2"/>
  <c r="K35" i="2"/>
  <c r="K75" i="2"/>
  <c r="K127" i="2"/>
  <c r="K226" i="2"/>
  <c r="K441" i="2"/>
  <c r="K556" i="2"/>
  <c r="K667" i="2"/>
  <c r="K729" i="2"/>
  <c r="K863" i="2"/>
  <c r="K864" i="2"/>
  <c r="K936" i="2"/>
  <c r="K865" i="2"/>
  <c r="K609" i="2"/>
  <c r="K396" i="2"/>
  <c r="K263" i="2"/>
  <c r="K157" i="2"/>
  <c r="K99" i="2"/>
  <c r="K100" i="2"/>
  <c r="K76" i="2"/>
  <c r="K55" i="2"/>
  <c r="K36" i="2"/>
  <c r="K37" i="2"/>
  <c r="K38" i="2"/>
  <c r="K39" i="2"/>
  <c r="K77" i="2"/>
  <c r="K128" i="2"/>
  <c r="K227" i="2"/>
  <c r="K347" i="2"/>
  <c r="K610" i="2"/>
  <c r="K730" i="2"/>
  <c r="K866" i="2"/>
  <c r="K937" i="2"/>
  <c r="K1057" i="2"/>
  <c r="K1058" i="2"/>
  <c r="K1059" i="2"/>
  <c r="K800" i="2"/>
  <c r="K557" i="2"/>
  <c r="K348" i="2"/>
  <c r="K228" i="2"/>
  <c r="K189" i="2"/>
  <c r="K129" i="2"/>
  <c r="K130" i="2"/>
  <c r="K101" i="2"/>
  <c r="K78" i="2"/>
  <c r="K28" i="2"/>
  <c r="K29" i="2"/>
  <c r="K12" i="2"/>
  <c r="K40" i="2"/>
  <c r="K56" i="2"/>
  <c r="K102" i="2"/>
  <c r="K229" i="2"/>
  <c r="K349" i="2"/>
  <c r="K611" i="2"/>
  <c r="K612" i="2"/>
  <c r="K867" i="2"/>
  <c r="K938" i="2"/>
  <c r="K1004" i="2"/>
  <c r="K1005" i="2"/>
  <c r="K1006" i="2"/>
  <c r="K801" i="2"/>
  <c r="K558" i="2"/>
  <c r="K350" i="2"/>
  <c r="K230" i="2"/>
  <c r="K190" i="2"/>
  <c r="K191" i="2"/>
  <c r="K264" i="2"/>
  <c r="K304" i="2"/>
  <c r="K397" i="2"/>
  <c r="K442" i="2"/>
  <c r="K443" i="2"/>
  <c r="K398" i="2"/>
  <c r="K444" i="2"/>
  <c r="K445" i="2"/>
  <c r="K559" i="2"/>
  <c r="K731" i="2"/>
  <c r="K939" i="2"/>
  <c r="K1164" i="2"/>
  <c r="K1264" i="2"/>
  <c r="K1312" i="2"/>
  <c r="K1361" i="2"/>
  <c r="K1362" i="2"/>
  <c r="K1363" i="2"/>
  <c r="K1364" i="2"/>
  <c r="K1265" i="2"/>
  <c r="K1115" i="2"/>
  <c r="K940" i="2"/>
  <c r="K868" i="2"/>
  <c r="K869" i="2"/>
  <c r="K870" i="2"/>
  <c r="K941" i="2"/>
  <c r="K1007" i="2"/>
  <c r="K1008" i="2"/>
  <c r="K871" i="2"/>
  <c r="K732" i="2"/>
  <c r="K733" i="2"/>
  <c r="K668" i="2"/>
  <c r="K669" i="2"/>
  <c r="K734" i="2"/>
  <c r="K942" i="2"/>
  <c r="K1116" i="2"/>
  <c r="K1313" i="2"/>
  <c r="K1416" i="2"/>
  <c r="K1450" i="2"/>
  <c r="K1451" i="2"/>
  <c r="K1474" i="2"/>
  <c r="K1475" i="2"/>
  <c r="K1452" i="2"/>
  <c r="K1365" i="2"/>
  <c r="K1221" i="2"/>
  <c r="K1117" i="2"/>
  <c r="K1060" i="2"/>
  <c r="K1061" i="2"/>
  <c r="K943" i="2"/>
  <c r="K944" i="2"/>
  <c r="K872" i="2"/>
  <c r="K945" i="2"/>
  <c r="K946" i="2"/>
  <c r="K802" i="2"/>
  <c r="K670" i="2"/>
  <c r="K671" i="2"/>
  <c r="K672" i="2"/>
  <c r="K735" i="2"/>
  <c r="K873" i="2"/>
  <c r="K1118" i="2"/>
  <c r="K1266" i="2"/>
  <c r="K1314" i="2"/>
  <c r="K1366" i="2"/>
  <c r="K1417" i="2"/>
  <c r="K1418" i="2"/>
  <c r="K1367" i="2"/>
  <c r="K1315" i="2"/>
  <c r="K1165" i="2"/>
  <c r="K1009" i="2"/>
  <c r="K736" i="2"/>
  <c r="K560" i="2"/>
  <c r="K446" i="2"/>
  <c r="K351" i="2"/>
  <c r="K265" i="2"/>
  <c r="K231" i="2"/>
  <c r="K192" i="2"/>
  <c r="K158" i="2"/>
  <c r="K79" i="2"/>
  <c r="K41" i="2"/>
  <c r="K80" i="2"/>
  <c r="K131" i="2"/>
  <c r="K193" i="2"/>
  <c r="K305" i="2"/>
  <c r="K447" i="2"/>
  <c r="K673" i="2"/>
  <c r="K674" i="2"/>
  <c r="K803" i="2"/>
  <c r="K1010" i="2"/>
  <c r="K1062" i="2"/>
  <c r="K1063" i="2"/>
  <c r="K1119" i="2"/>
  <c r="K1011" i="2"/>
  <c r="K737" i="2"/>
  <c r="K496" i="2"/>
  <c r="K448" i="2"/>
  <c r="K352" i="2"/>
  <c r="K266" i="2"/>
  <c r="K306" i="2"/>
  <c r="K232" i="2"/>
  <c r="K194" i="2"/>
  <c r="K159" i="2"/>
  <c r="K103" i="2"/>
  <c r="K81" i="2"/>
  <c r="K160" i="2"/>
  <c r="K267" i="2"/>
  <c r="K353" i="2"/>
  <c r="K449" i="2"/>
  <c r="K613" i="2"/>
  <c r="K947" i="2"/>
  <c r="K1064" i="2"/>
  <c r="K1166" i="2"/>
  <c r="K1267" i="2"/>
  <c r="K1316" i="2"/>
  <c r="K1317" i="2"/>
  <c r="K1318" i="2"/>
  <c r="K1222" i="2"/>
  <c r="K1012" i="2"/>
  <c r="K675" i="2"/>
  <c r="K497" i="2"/>
  <c r="K399" i="2"/>
  <c r="K498" i="2"/>
  <c r="K450" i="2"/>
  <c r="K400" i="2"/>
  <c r="K354" i="2"/>
  <c r="K355" i="2"/>
  <c r="K268" i="2"/>
  <c r="K233" i="2"/>
  <c r="K269" i="2"/>
  <c r="K356" i="2"/>
  <c r="K401" i="2"/>
  <c r="K561" i="2"/>
  <c r="K804" i="2"/>
  <c r="K1065" i="2"/>
  <c r="K1167" i="2"/>
  <c r="K1268" i="2"/>
  <c r="K1319" i="2"/>
  <c r="K1320" i="2"/>
  <c r="K1368" i="2"/>
  <c r="K1369" i="2"/>
  <c r="K1223" i="2"/>
  <c r="K1013" i="2"/>
  <c r="K805" i="2"/>
  <c r="K738" i="2"/>
  <c r="K676" i="2"/>
  <c r="K614" i="2"/>
  <c r="K615" i="2"/>
  <c r="K562" i="2"/>
  <c r="K499" i="2"/>
  <c r="K402" i="2"/>
  <c r="K270" i="2"/>
  <c r="K234" i="2"/>
  <c r="K271" i="2"/>
  <c r="K357" i="2"/>
  <c r="K451" i="2"/>
  <c r="K563" i="2"/>
  <c r="K874" i="2"/>
  <c r="K1120" i="2"/>
  <c r="K1224" i="2"/>
  <c r="K1269" i="2"/>
  <c r="K1321" i="2"/>
  <c r="K1370" i="2"/>
  <c r="K1371" i="2"/>
  <c r="K1372" i="2"/>
  <c r="K1225" i="2"/>
  <c r="K1066" i="2"/>
  <c r="K875" i="2"/>
  <c r="K806" i="2"/>
  <c r="K807" i="2"/>
  <c r="K739" i="2"/>
  <c r="K677" i="2"/>
  <c r="K616" i="2"/>
  <c r="K564" i="2"/>
  <c r="K452" i="2"/>
  <c r="K272" i="2"/>
  <c r="K273" i="2"/>
  <c r="K307" i="2"/>
  <c r="K403" i="2"/>
  <c r="K404" i="2"/>
  <c r="K678" i="2"/>
  <c r="K948" i="2"/>
  <c r="K1168" i="2"/>
  <c r="K1270" i="2"/>
  <c r="K1322" i="2"/>
  <c r="K1373" i="2"/>
  <c r="K1374" i="2"/>
  <c r="K1419" i="2"/>
  <c r="K1375" i="2"/>
  <c r="K1226" i="2"/>
  <c r="K1067" i="2"/>
  <c r="K876" i="2"/>
  <c r="K740" i="2"/>
  <c r="K679" i="2"/>
  <c r="K565" i="2"/>
  <c r="K566" i="2"/>
  <c r="K405" i="2"/>
  <c r="K406" i="2"/>
  <c r="K308" i="2"/>
  <c r="K195" i="2"/>
  <c r="K161" i="2"/>
  <c r="K235" i="2"/>
  <c r="K309" i="2"/>
  <c r="K407" i="2"/>
  <c r="K567" i="2"/>
  <c r="K877" i="2"/>
  <c r="K1121" i="2"/>
  <c r="K1227" i="2"/>
  <c r="K1323" i="2"/>
  <c r="K1376" i="2"/>
  <c r="K1420" i="2"/>
  <c r="K1421" i="2"/>
  <c r="K1377" i="2"/>
  <c r="K1271" i="2"/>
  <c r="K1122" i="2"/>
  <c r="K878" i="2"/>
  <c r="K741" i="2"/>
  <c r="K680" i="2"/>
  <c r="K568" i="2"/>
  <c r="K569" i="2"/>
  <c r="K453" i="2"/>
  <c r="K408" i="2"/>
  <c r="K310" i="2"/>
  <c r="K236" i="2"/>
  <c r="K237" i="2"/>
  <c r="K238" i="2"/>
  <c r="K358" i="2"/>
  <c r="K500" i="2"/>
  <c r="K681" i="2"/>
  <c r="K949" i="2"/>
  <c r="K1169" i="2"/>
  <c r="K1272" i="2"/>
  <c r="K1228" i="2"/>
  <c r="K1378" i="2"/>
  <c r="K1422" i="2"/>
  <c r="K1423" i="2"/>
  <c r="K1424" i="2"/>
  <c r="K1273" i="2"/>
  <c r="K1068" i="2"/>
  <c r="K950" i="2"/>
  <c r="K808" i="2"/>
  <c r="K682" i="2"/>
  <c r="K617" i="2"/>
  <c r="K618" i="2"/>
  <c r="K619" i="2"/>
  <c r="K570" i="2"/>
  <c r="K501" i="2"/>
  <c r="K454" i="2"/>
  <c r="K409" i="2"/>
  <c r="K502" i="2"/>
  <c r="K503" i="2"/>
  <c r="K620" i="2"/>
  <c r="K742" i="2"/>
  <c r="K1014" i="2"/>
  <c r="K1170" i="2"/>
  <c r="K1274" i="2"/>
  <c r="K1324" i="2"/>
  <c r="K1379" i="2"/>
  <c r="K1425" i="2"/>
  <c r="K1426" i="2"/>
  <c r="K1427" i="2"/>
  <c r="K1325" i="2"/>
  <c r="K1171" i="2"/>
  <c r="K1015" i="2"/>
  <c r="K879" i="2"/>
  <c r="K880" i="2"/>
  <c r="K881" i="2"/>
  <c r="K882" i="2"/>
  <c r="K883" i="2"/>
  <c r="K809" i="2"/>
  <c r="K810" i="2"/>
  <c r="K743" i="2"/>
  <c r="K621" i="2"/>
  <c r="K683" i="2"/>
  <c r="K684" i="2"/>
  <c r="K811" i="2"/>
  <c r="K884" i="2"/>
  <c r="K1069" i="2"/>
  <c r="K1229" i="2"/>
  <c r="K1326" i="2"/>
  <c r="K1380" i="2"/>
  <c r="K1428" i="2"/>
  <c r="K1429" i="2"/>
  <c r="K1453" i="2"/>
  <c r="K1454" i="2"/>
  <c r="K1430" i="2"/>
  <c r="K1230" i="2"/>
  <c r="K1070" i="2"/>
  <c r="K951" i="2"/>
  <c r="K744" i="2"/>
  <c r="K622" i="2"/>
  <c r="K623" i="2"/>
  <c r="K571" i="2"/>
  <c r="K504" i="2"/>
  <c r="K505" i="2"/>
  <c r="K455" i="2"/>
  <c r="K456" i="2"/>
  <c r="K457" i="2"/>
  <c r="K506" i="2"/>
  <c r="K624" i="2"/>
  <c r="K745" i="2"/>
  <c r="K1016" i="2"/>
  <c r="K1172" i="2"/>
  <c r="K1275" i="2"/>
  <c r="K1327" i="2"/>
  <c r="K1328" i="2"/>
  <c r="K1381" i="2"/>
  <c r="K1382" i="2"/>
  <c r="K1383" i="2"/>
  <c r="K1276" i="2"/>
  <c r="K1071" i="2"/>
  <c r="K812" i="2"/>
  <c r="K685" i="2"/>
  <c r="K572" i="2"/>
  <c r="K410" i="2"/>
  <c r="K359" i="2"/>
  <c r="K360" i="2"/>
  <c r="K458" i="2"/>
  <c r="K507" i="2"/>
  <c r="K411" i="2"/>
  <c r="K274" i="2"/>
  <c r="K311" i="2"/>
  <c r="K361" i="2"/>
  <c r="K412" i="2"/>
  <c r="K573" i="2"/>
  <c r="K813" i="2"/>
  <c r="K885" i="2"/>
  <c r="K1123" i="2"/>
  <c r="K1173" i="2"/>
  <c r="K1231" i="2"/>
  <c r="K1277" i="2"/>
  <c r="K1278" i="2"/>
  <c r="K1279" i="2"/>
  <c r="K1174" i="2"/>
  <c r="K1072" i="2"/>
  <c r="K952" i="2"/>
  <c r="K886" i="2"/>
  <c r="K887" i="2"/>
  <c r="K814" i="2"/>
  <c r="K888" i="2"/>
  <c r="K815" i="2"/>
  <c r="K746" i="2"/>
  <c r="K686" i="2"/>
  <c r="K625" i="2"/>
  <c r="K574" i="2"/>
  <c r="K575" i="2"/>
  <c r="K626" i="2"/>
  <c r="K747" i="2"/>
  <c r="K953" i="2"/>
  <c r="K1175" i="2"/>
  <c r="K1280" i="2"/>
  <c r="K1384" i="2"/>
  <c r="K1431" i="2"/>
  <c r="K1455" i="2"/>
  <c r="K1456" i="2"/>
  <c r="K1476" i="2"/>
  <c r="K1477" i="2"/>
  <c r="K1385" i="2"/>
  <c r="K1281" i="2"/>
  <c r="K1124" i="2"/>
  <c r="K1125" i="2"/>
  <c r="K1126" i="2"/>
  <c r="K1073" i="2"/>
  <c r="K1074" i="2"/>
  <c r="K1075" i="2"/>
  <c r="K1076" i="2"/>
  <c r="K954" i="2"/>
  <c r="K748" i="2"/>
  <c r="K687" i="2"/>
  <c r="K688" i="2"/>
  <c r="K749" i="2"/>
  <c r="K816" i="2"/>
  <c r="K1017" i="2"/>
  <c r="K1176" i="2"/>
  <c r="K1329" i="2"/>
  <c r="K1432" i="2"/>
  <c r="K1457" i="2"/>
  <c r="K1478" i="2"/>
  <c r="K1479" i="2"/>
  <c r="K1488" i="2"/>
  <c r="K1480" i="2"/>
  <c r="K1386" i="2"/>
  <c r="K1330" i="2"/>
  <c r="K1177" i="2"/>
  <c r="K1178" i="2"/>
  <c r="K1179" i="2"/>
  <c r="K1180" i="2"/>
  <c r="K1181" i="2"/>
  <c r="K1182" i="2"/>
  <c r="K1077" i="2"/>
  <c r="K955" i="2"/>
  <c r="K817" i="2"/>
  <c r="K689" i="2"/>
  <c r="K750" i="2"/>
  <c r="K751" i="2"/>
  <c r="K818" i="2"/>
  <c r="K1018" i="2"/>
  <c r="K1127" i="2"/>
  <c r="K1331" i="2"/>
  <c r="K1387" i="2"/>
  <c r="K1433" i="2"/>
  <c r="K1458" i="2"/>
  <c r="K1459" i="2"/>
  <c r="K1481" i="2"/>
  <c r="K1460" i="2"/>
  <c r="K1332" i="2"/>
  <c r="K1183" i="2"/>
  <c r="K1019" i="2"/>
  <c r="K956" i="2"/>
  <c r="K889" i="2"/>
  <c r="K819" i="2"/>
  <c r="K820" i="2"/>
  <c r="K752" i="2"/>
  <c r="K690" i="2"/>
  <c r="K627" i="2"/>
  <c r="K459" i="2"/>
  <c r="K460" i="2"/>
  <c r="K413" i="2"/>
  <c r="K461" i="2"/>
  <c r="K691" i="2"/>
  <c r="K821" i="2"/>
  <c r="K1078" i="2"/>
  <c r="K1232" i="2"/>
  <c r="K1333" i="2"/>
  <c r="K1388" i="2"/>
  <c r="K1434" i="2"/>
  <c r="K1461" i="2"/>
  <c r="K1462" i="2"/>
  <c r="K1463" i="2"/>
  <c r="K1389" i="2"/>
  <c r="K1184" i="2"/>
  <c r="K957" i="2"/>
  <c r="K890" i="2"/>
  <c r="K822" i="2"/>
  <c r="K753" i="2"/>
  <c r="K692" i="2"/>
  <c r="K628" i="2"/>
  <c r="K576" i="2"/>
  <c r="K508" i="2"/>
  <c r="K362" i="2"/>
  <c r="K312" i="2"/>
  <c r="K414" i="2"/>
  <c r="K509" i="2"/>
  <c r="K629" i="2"/>
  <c r="K823" i="2"/>
  <c r="K1020" i="2"/>
  <c r="K1185" i="2"/>
  <c r="K1282" i="2"/>
  <c r="K1334" i="2"/>
  <c r="K1390" i="2"/>
  <c r="K1391" i="2"/>
  <c r="K1435" i="2"/>
  <c r="K1436" i="2"/>
  <c r="K1335" i="2"/>
  <c r="K1128" i="2"/>
  <c r="K958" i="2"/>
  <c r="K824" i="2"/>
  <c r="K754" i="2"/>
  <c r="K693" i="2"/>
  <c r="K630" i="2"/>
  <c r="K631" i="2"/>
  <c r="K577" i="2"/>
  <c r="K510" i="2"/>
  <c r="K363" i="2"/>
  <c r="K313" i="2"/>
  <c r="K415" i="2"/>
  <c r="K462" i="2"/>
  <c r="K632" i="2"/>
  <c r="K755" i="2"/>
  <c r="K1021" i="2"/>
  <c r="K1186" i="2"/>
  <c r="K1233" i="2"/>
  <c r="K1283" i="2"/>
  <c r="K1336" i="2"/>
  <c r="K1337" i="2"/>
  <c r="K1392" i="2"/>
  <c r="K1338" i="2"/>
  <c r="K1234" i="2"/>
  <c r="K1079" i="2"/>
  <c r="K959" i="2"/>
  <c r="K825" i="2"/>
  <c r="K694" i="2"/>
  <c r="K633" i="2"/>
  <c r="K695" i="2"/>
  <c r="K578" i="2"/>
  <c r="K634" i="2"/>
  <c r="K696" i="2"/>
  <c r="K826" i="2"/>
  <c r="K827" i="2"/>
  <c r="K828" i="2"/>
  <c r="K829" i="2"/>
  <c r="K960" i="2"/>
  <c r="K1129" i="2"/>
  <c r="K1284" i="2"/>
  <c r="K1437" i="2"/>
  <c r="K1464" i="2"/>
  <c r="K1438" i="2"/>
  <c r="K1465" i="2"/>
  <c r="K1466" i="2"/>
  <c r="K1482" i="2"/>
  <c r="K1467" i="2"/>
  <c r="K1393" i="2"/>
  <c r="K1235" i="2"/>
  <c r="K1130" i="2"/>
  <c r="K1080" i="2"/>
  <c r="K1022" i="2"/>
  <c r="K891" i="2"/>
  <c r="K892" i="2"/>
  <c r="K830" i="2"/>
  <c r="K697" i="2"/>
  <c r="K579" i="2"/>
  <c r="K511" i="2"/>
  <c r="K463" i="2"/>
  <c r="K512" i="2"/>
  <c r="K513" i="2"/>
  <c r="K635" i="2"/>
  <c r="K893" i="2"/>
  <c r="K1081" i="2"/>
  <c r="K1236" i="2"/>
  <c r="K1285" i="2"/>
  <c r="K1339" i="2"/>
  <c r="K1340" i="2"/>
  <c r="K1394" i="2"/>
  <c r="K1395" i="2"/>
  <c r="K1396" i="2"/>
  <c r="K1237" i="2"/>
  <c r="K1082" i="2"/>
  <c r="K894" i="2"/>
  <c r="K1023" i="2"/>
  <c r="K698" i="2"/>
  <c r="K699" i="2"/>
  <c r="K580" i="2"/>
  <c r="K514" i="2"/>
  <c r="K581" i="2"/>
  <c r="K416" i="2"/>
  <c r="K314" i="2"/>
  <c r="K275" i="2"/>
  <c r="K364" i="2"/>
  <c r="K365" i="2"/>
  <c r="K464" i="2"/>
  <c r="K636" i="2"/>
  <c r="K756" i="2"/>
  <c r="K961" i="2"/>
  <c r="K1131" i="2"/>
  <c r="K1238" i="2"/>
  <c r="K1239" i="2"/>
  <c r="K1286" i="2"/>
  <c r="K1341" i="2"/>
  <c r="K1342" i="2"/>
  <c r="K1187" i="2"/>
  <c r="K1132" i="2"/>
  <c r="K1083" i="2"/>
  <c r="K1084" i="2"/>
  <c r="K1085" i="2"/>
  <c r="K1133" i="2"/>
  <c r="K1134" i="2"/>
  <c r="K1086" i="2"/>
  <c r="K1024" i="2"/>
  <c r="K962" i="2"/>
  <c r="K895" i="2"/>
  <c r="K757" i="2"/>
  <c r="K831" i="2"/>
  <c r="K832" i="2"/>
  <c r="K963" i="2"/>
  <c r="K1135" i="2"/>
  <c r="K1287" i="2"/>
  <c r="K1439" i="2"/>
  <c r="K1468" i="2"/>
  <c r="K1469" i="2"/>
  <c r="K1483" i="2"/>
  <c r="K1484" i="2"/>
  <c r="K1489" i="2"/>
  <c r="K1485" i="2"/>
  <c r="K1440" i="2"/>
  <c r="K1343" i="2"/>
  <c r="K1288" i="2"/>
  <c r="K1240" i="2"/>
  <c r="K1188" i="2"/>
  <c r="K1189" i="2"/>
  <c r="K1190" i="2"/>
  <c r="K1136" i="2"/>
  <c r="K1087" i="2"/>
  <c r="K964" i="2"/>
  <c r="K833" i="2"/>
  <c r="K758" i="2"/>
  <c r="K759" i="2"/>
  <c r="K834" i="2"/>
  <c r="K965" i="2"/>
  <c r="K1088" i="2"/>
  <c r="K1191" i="2"/>
  <c r="K1344" i="2"/>
  <c r="K1397" i="2"/>
  <c r="K1441" i="2"/>
  <c r="K1470" i="2"/>
  <c r="K1471" i="2"/>
  <c r="K1486" i="2"/>
  <c r="K1472" i="2"/>
  <c r="K1398" i="2"/>
  <c r="K1289" i="2"/>
  <c r="K1137" i="2"/>
  <c r="K1025" i="2"/>
  <c r="K966" i="2"/>
  <c r="K896" i="2"/>
  <c r="K835" i="2"/>
  <c r="K760" i="2"/>
  <c r="K700" i="2"/>
  <c r="K582" i="2"/>
  <c r="K465" i="2"/>
  <c r="K417" i="2"/>
  <c r="K515" i="2"/>
  <c r="K583" i="2"/>
  <c r="K701" i="2"/>
  <c r="K761" i="2"/>
  <c r="K967" i="2"/>
  <c r="B14" i="1"/>
  <c r="B13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7B93B83-113A-4E5E-8B53-4B886EF3D838}" keepAlive="1" name="Abfrage - nantucket" description="Verbindung mit der Abfrage 'nantucket' in der Arbeitsmappe." type="5" refreshedVersion="8" background="1" saveData="1">
    <dbPr connection="Provider=Microsoft.Mashup.OleDb.1;Data Source=$Workbook$;Location=nantucket;Extended Properties=&quot;&quot;" command="SELECT * FROM [nantucket]"/>
  </connection>
</connections>
</file>

<file path=xl/sharedStrings.xml><?xml version="1.0" encoding="utf-8"?>
<sst xmlns="http://schemas.openxmlformats.org/spreadsheetml/2006/main" count="3029" uniqueCount="113">
  <si>
    <t>Day</t>
  </si>
  <si>
    <t>Hour</t>
  </si>
  <si>
    <t>Location ID</t>
  </si>
  <si>
    <t>Network Node Description</t>
  </si>
  <si>
    <t>MW Factor</t>
  </si>
  <si>
    <t>Energy Component</t>
  </si>
  <si>
    <t>Congestion Component</t>
  </si>
  <si>
    <t>Marginal Loss Component</t>
  </si>
  <si>
    <t>Price</t>
  </si>
  <si>
    <t>2024-07-01</t>
  </si>
  <si>
    <t>LD.CANDLE  13.2</t>
  </si>
  <si>
    <t>2024-07-02</t>
  </si>
  <si>
    <t>2024-07-03</t>
  </si>
  <si>
    <t>2024-07-04</t>
  </si>
  <si>
    <t>2024-07-05</t>
  </si>
  <si>
    <t>2024-07-06</t>
  </si>
  <si>
    <t>2024-07-07</t>
  </si>
  <si>
    <t>2024-07-08</t>
  </si>
  <si>
    <t>2024-07-09</t>
  </si>
  <si>
    <t>2024-07-10</t>
  </si>
  <si>
    <t>2024-07-11</t>
  </si>
  <si>
    <t>2024-07-12</t>
  </si>
  <si>
    <t>2024-07-13</t>
  </si>
  <si>
    <t>2024-07-14</t>
  </si>
  <si>
    <t>2024-07-15</t>
  </si>
  <si>
    <t>2024-07-16</t>
  </si>
  <si>
    <t>2024-07-17</t>
  </si>
  <si>
    <t>2024-07-18</t>
  </si>
  <si>
    <t>2024-07-19</t>
  </si>
  <si>
    <t>2024-07-20</t>
  </si>
  <si>
    <t>2024-07-21</t>
  </si>
  <si>
    <t>2024-07-22</t>
  </si>
  <si>
    <t>2024-07-23</t>
  </si>
  <si>
    <t>2024-07-24</t>
  </si>
  <si>
    <t>2024-07-25</t>
  </si>
  <si>
    <t>2024-07-26</t>
  </si>
  <si>
    <t>2024-07-27</t>
  </si>
  <si>
    <t>2024-07-28</t>
  </si>
  <si>
    <t>2024-07-29</t>
  </si>
  <si>
    <t>2024-07-30</t>
  </si>
  <si>
    <t>2024-07-31</t>
  </si>
  <si>
    <t>2024-08-01</t>
  </si>
  <si>
    <t>2024-08-02</t>
  </si>
  <si>
    <t>2024-08-03</t>
  </si>
  <si>
    <t>2024-08-04</t>
  </si>
  <si>
    <t>2024-08-05</t>
  </si>
  <si>
    <t>2024-08-06</t>
  </si>
  <si>
    <t>2024-08-07</t>
  </si>
  <si>
    <t>2024-08-08</t>
  </si>
  <si>
    <t>2024-08-09</t>
  </si>
  <si>
    <t>2024-08-10</t>
  </si>
  <si>
    <t>2024-08-11</t>
  </si>
  <si>
    <t>2024-08-12</t>
  </si>
  <si>
    <t>2024-08-13</t>
  </si>
  <si>
    <t>2024-08-14</t>
  </si>
  <si>
    <t>2024-08-15</t>
  </si>
  <si>
    <t>2024-08-16</t>
  </si>
  <si>
    <t>2024-08-17</t>
  </si>
  <si>
    <t>2024-08-18</t>
  </si>
  <si>
    <t>2024-08-19</t>
  </si>
  <si>
    <t>2024-08-20</t>
  </si>
  <si>
    <t>2024-08-21</t>
  </si>
  <si>
    <t>2024-08-22</t>
  </si>
  <si>
    <t>2024-08-23</t>
  </si>
  <si>
    <t>2024-08-24</t>
  </si>
  <si>
    <t>2024-08-25</t>
  </si>
  <si>
    <t>2024-08-26</t>
  </si>
  <si>
    <t>2024-08-27</t>
  </si>
  <si>
    <t>2024-08-28</t>
  </si>
  <si>
    <t>2024-08-29</t>
  </si>
  <si>
    <t>2024-08-30</t>
  </si>
  <si>
    <t>2024-08-31</t>
  </si>
  <si>
    <t>Index</t>
  </si>
  <si>
    <t>Underline cables</t>
  </si>
  <si>
    <t>Installed</t>
  </si>
  <si>
    <t>Capacity (MW)</t>
  </si>
  <si>
    <t>Power (MW)</t>
  </si>
  <si>
    <t>Energy (MWh)</t>
  </si>
  <si>
    <t>Sources</t>
  </si>
  <si>
    <t>https://nantucket.bluedotliving.com/2024/06/28/field-note-electric-power-on-nantucket/</t>
  </si>
  <si>
    <t>Interconnected Solar</t>
  </si>
  <si>
    <t>Generator</t>
  </si>
  <si>
    <t>https://www.utilitydive.com/news/there-once-was-an-energy-storage-system-on-nantucket/513650/</t>
  </si>
  <si>
    <t>https://nantucket.bluedotliving.com/2024/06/28/field-note-a-better-energy-future-for-nantucket/</t>
  </si>
  <si>
    <t>https://www.nantucket-ma.gov/997/Beat-the-Peak-Initiative</t>
  </si>
  <si>
    <t>Cost range of a third subsea cable (million USD) to local ratepayers</t>
  </si>
  <si>
    <t>https://www.nantucket-ma.gov/DocumentCenter/View/18095/Nantucket_Inquirer_and_Mirror_20171207_A04?bidId=</t>
  </si>
  <si>
    <t>https://www.nantucket-ma.gov/DocumentCenter/View/16013/Residential-Aggregation-Proposal-Summary-to-Nantucket-5-18-17?bidId=</t>
  </si>
  <si>
    <t>in 2017</t>
  </si>
  <si>
    <t>on the Nantucket MA website</t>
  </si>
  <si>
    <t>Payback by</t>
  </si>
  <si>
    <t>Operating strategy:</t>
  </si>
  <si>
    <t>Goal delay  the need for a third cable by 10 years</t>
  </si>
  <si>
    <t>BESS (20 year shelf life)</t>
  </si>
  <si>
    <t>https://www.nationalgridus.com/media/construction-projects/pdfs/ma/islandready/islandready-fact-sheet_august-2019-new.pdf</t>
  </si>
  <si>
    <t>https://www.utilitydive.com/news/Tesla-national-grid-battery-energy-storage-8hour-long-duration-diesel-generation-system-nantucket/564428/</t>
  </si>
  <si>
    <t>Cost for battery and 15 MW diesel turbine and upgrade to power control house (million)</t>
  </si>
  <si>
    <t>PNNL was looking at other applications, frequency regulation for example</t>
  </si>
  <si>
    <t>https://www.wbur.org/news/2019/10/08/nantucket-energy-storage-lithium-ion-giant-battery</t>
  </si>
  <si>
    <t>Charge battery from generator in case of cable failure, one-day of fuel for generator</t>
  </si>
  <si>
    <t>Bet on improving battery technology and other solutions</t>
  </si>
  <si>
    <t>Total firm capacity (MW)</t>
  </si>
  <si>
    <t>N-1</t>
  </si>
  <si>
    <t>Contact</t>
  </si>
  <si>
    <t>Lauren Sinatra, Town of Nantucket Energy Department</t>
  </si>
  <si>
    <t>N-1 Shortfall</t>
  </si>
  <si>
    <t>https://www.power-grid.com/der-grid-edge/peaks-and-valleys-how-national-grids-non-wires-alternative-ensures-delivery-to-nantucket-island/</t>
  </si>
  <si>
    <t>https://www.iso-ne.com/static-assets/documents/100003/ems-color-system-diagram.pdf</t>
  </si>
  <si>
    <t>https://www.vineyardwind.com/map</t>
  </si>
  <si>
    <t>Cost</t>
  </si>
  <si>
    <t>who paid for this?</t>
  </si>
  <si>
    <t>https://nantucketcurrent.com/news/undersea-electric-cable-to-nantucket-back-online</t>
  </si>
  <si>
    <t>https://nantucketcurrent.com/news/one-of-the-two-undersea-cables-that-provide-electricity-to-nantucket-is-broken-down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</si>
</sst>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0" fillId="0" borderId="0" xfId="0" applyNumberFormat="1"/>
    <xf numFmtId="43" fontId="0" fillId="0" borderId="0" xfId="1" applyFont="1"/>
    <xf numFmtId="0" fontId="2" fillId="0" borderId="0" xfId="2"/>
    <xf numFmtId="0" fontId="0" fillId="0" borderId="0" xfId="0" applyFont="1"/>
    <xf numFmtId="0" fontId="0" fillId="0" borderId="0" xfId="0" applyFill="1"/>
  </cellXfs>
  <cellStyles count="3">
    <cellStyle name="Komma" xfId="1" builtinId="3"/>
    <cellStyle name="Link" xfId="2" builtinId="8"/>
    <cellStyle name="Standard" xfId="0" builtinId="0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1" connectionId="1" xr16:uid="{15B56EAF-79DD-4D18-9B34-985F51974EDF}" autoFormatId="16" applyNumberFormats="0" applyBorderFormats="0" applyFontFormats="0" applyPatternFormats="0" applyAlignmentFormats="0" applyWidthHeightFormats="0">
  <queryTableRefresh nextId="15" unboundColumnsRight="1">
    <queryTableFields count="11">
      <queryTableField id="4" name="Column4" tableColumnId="4"/>
      <queryTableField id="13" dataBound="0" tableColumnId="13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4" dataBound="0" tableColumnId="14"/>
    </queryTableFields>
    <queryTableDeletedFields count="3">
      <deletedField name="Column1"/>
      <deletedField name="Column3"/>
      <deletedField name="Column2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FDB3F57-50F1-4A3C-BDD1-52EF45BFE262}" name="nantucket" displayName="nantucket" ref="A1:K1489" tableType="queryTable" totalsRowShown="0" headerRowCellStyle="Standard" dataCellStyle="Standard">
  <autoFilter ref="A1:K1489" xr:uid="{EFDB3F57-50F1-4A3C-BDD1-52EF45BFE262}"/>
  <sortState xmlns:xlrd2="http://schemas.microsoft.com/office/spreadsheetml/2017/richdata2" ref="A2:K1489">
    <sortCondition descending="1" ref="K1:K1489"/>
  </sortState>
  <tableColumns count="11">
    <tableColumn id="4" xr3:uid="{3284C284-6E9A-454B-82E2-924EF3996379}" uniqueName="4" name="Day" queryTableFieldId="4" dataCellStyle="Standard"/>
    <tableColumn id="13" xr3:uid="{74032982-D405-4C24-84D7-8CD5068D8D7A}" uniqueName="13" name="Index" queryTableFieldId="13" dataCellStyle="Standard"/>
    <tableColumn id="5" xr3:uid="{0C4DA398-508C-4389-BCB6-098934403F4E}" uniqueName="5" name="Hour" queryTableFieldId="5" dataCellStyle="Standard"/>
    <tableColumn id="6" xr3:uid="{30191155-5EAF-47A3-9A4A-7643A29F2BF2}" uniqueName="6" name="Location ID" queryTableFieldId="6" dataCellStyle="Standard"/>
    <tableColumn id="7" xr3:uid="{2701C948-EE38-49CD-A072-F57385A67741}" uniqueName="7" name="Network Node Description" queryTableFieldId="7" dataCellStyle="Standard"/>
    <tableColumn id="8" xr3:uid="{3DF15F7B-9663-4FC6-AFD6-EBFC887E092F}" uniqueName="8" name="MW Factor" queryTableFieldId="8" dataCellStyle="Standard"/>
    <tableColumn id="9" xr3:uid="{1CD710D6-DBF8-4592-A7F4-7A042F7CF5AA}" uniqueName="9" name="Energy Component" queryTableFieldId="9" dataCellStyle="Komma"/>
    <tableColumn id="10" xr3:uid="{35A8057F-3619-4FDC-BC5D-DE0071A3A237}" uniqueName="10" name="Congestion Component" queryTableFieldId="10" dataCellStyle="Komma"/>
    <tableColumn id="11" xr3:uid="{BE42A312-DFB2-4F83-809C-FF77C4A176E8}" uniqueName="11" name="Marginal Loss Component" queryTableFieldId="11" dataCellStyle="Komma"/>
    <tableColumn id="12" xr3:uid="{2A6F79FB-A94B-4B6D-9792-3F2C8423133E}" uniqueName="12" name="Price" queryTableFieldId="12" dataCellStyle="Komma"/>
    <tableColumn id="14" xr3:uid="{13CD9B20-9485-4C54-851A-A0682C78B5EA}" uniqueName="14" name="N-1 Shortfall" queryTableFieldId="14" dataDxfId="0" dataCellStyle="Standard">
      <calculatedColumnFormula>nantucket[[#This Row],[MW Factor]]-resources!$B$14</calculatedColumn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wbur.org/news/2019/10/08/nantucket-energy-storage-lithium-ion-giant-battery" TargetMode="External"/><Relationship Id="rId1" Type="http://schemas.openxmlformats.org/officeDocument/2006/relationships/hyperlink" Target="https://nantucket.bluedotliving.com/2024/06/28/field-note-electric-power-on-nantucket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9238AC-5676-498F-BD0B-E4A87E47E652}">
  <dimension ref="A1:K1489"/>
  <sheetViews>
    <sheetView workbookViewId="0">
      <selection activeCell="N4" sqref="N4"/>
    </sheetView>
  </sheetViews>
  <sheetFormatPr baseColWidth="10" defaultRowHeight="14.4" x14ac:dyDescent="0.3"/>
  <cols>
    <col min="1" max="1" width="11.109375" style="1" bestFit="1" customWidth="1"/>
    <col min="3" max="4" width="11.109375" style="1" bestFit="1" customWidth="1"/>
    <col min="5" max="5" width="23.5546875" style="1" bestFit="1" customWidth="1"/>
    <col min="6" max="6" width="11.109375" style="1" bestFit="1" customWidth="1"/>
    <col min="7" max="7" width="16.88671875" style="1" bestFit="1" customWidth="1"/>
    <col min="8" max="8" width="21.109375" style="1" bestFit="1" customWidth="1"/>
    <col min="9" max="9" width="23.44140625" style="1" bestFit="1" customWidth="1"/>
    <col min="10" max="10" width="12.109375" style="1" bestFit="1" customWidth="1"/>
  </cols>
  <sheetData>
    <row r="1" spans="1:11" x14ac:dyDescent="0.3">
      <c r="A1" t="s">
        <v>0</v>
      </c>
      <c r="B1" t="s">
        <v>72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s="5" t="s">
        <v>105</v>
      </c>
    </row>
    <row r="2" spans="1:11" x14ac:dyDescent="0.3">
      <c r="A2" t="s">
        <v>42</v>
      </c>
      <c r="B2">
        <v>786</v>
      </c>
      <c r="C2">
        <v>18</v>
      </c>
      <c r="D2">
        <v>16255</v>
      </c>
      <c r="E2" t="s">
        <v>10</v>
      </c>
      <c r="F2">
        <v>57</v>
      </c>
      <c r="G2" s="2">
        <v>63.86</v>
      </c>
      <c r="H2" s="2">
        <v>0</v>
      </c>
      <c r="I2" s="2">
        <v>1.51</v>
      </c>
      <c r="J2" s="2">
        <v>65.37</v>
      </c>
      <c r="K2" s="5">
        <f>nantucket[[#This Row],[MW Factor]]-resources!$B$14</f>
        <v>0</v>
      </c>
    </row>
    <row r="3" spans="1:11" x14ac:dyDescent="0.3">
      <c r="A3" t="s">
        <v>43</v>
      </c>
      <c r="B3">
        <v>811</v>
      </c>
      <c r="C3">
        <v>19</v>
      </c>
      <c r="D3">
        <v>16255</v>
      </c>
      <c r="E3" t="s">
        <v>10</v>
      </c>
      <c r="F3">
        <v>57</v>
      </c>
      <c r="G3" s="2">
        <v>29.63</v>
      </c>
      <c r="H3" s="2">
        <v>0</v>
      </c>
      <c r="I3" s="2">
        <v>0.81</v>
      </c>
      <c r="J3" s="2">
        <v>30.44</v>
      </c>
      <c r="K3" s="5">
        <f>nantucket[[#This Row],[MW Factor]]-resources!$B$14</f>
        <v>0</v>
      </c>
    </row>
    <row r="4" spans="1:11" x14ac:dyDescent="0.3">
      <c r="A4" t="s">
        <v>25</v>
      </c>
      <c r="B4">
        <v>378</v>
      </c>
      <c r="C4">
        <v>18</v>
      </c>
      <c r="D4">
        <v>16255</v>
      </c>
      <c r="E4" t="s">
        <v>10</v>
      </c>
      <c r="F4">
        <v>56</v>
      </c>
      <c r="G4" s="2">
        <v>110.64</v>
      </c>
      <c r="H4" s="2">
        <v>0.02</v>
      </c>
      <c r="I4" s="2">
        <v>2.46</v>
      </c>
      <c r="J4" s="2">
        <v>113.12</v>
      </c>
      <c r="K4" s="5">
        <f>nantucket[[#This Row],[MW Factor]]-resources!$B$14</f>
        <v>-1</v>
      </c>
    </row>
    <row r="5" spans="1:11" x14ac:dyDescent="0.3">
      <c r="A5" t="s">
        <v>25</v>
      </c>
      <c r="B5">
        <v>379</v>
      </c>
      <c r="C5">
        <v>19</v>
      </c>
      <c r="D5">
        <v>16255</v>
      </c>
      <c r="E5" t="s">
        <v>10</v>
      </c>
      <c r="F5">
        <v>56</v>
      </c>
      <c r="G5" s="2">
        <v>260.14</v>
      </c>
      <c r="H5" s="2">
        <v>0</v>
      </c>
      <c r="I5" s="2">
        <v>5.62</v>
      </c>
      <c r="J5" s="2">
        <v>265.76</v>
      </c>
      <c r="K5" s="5">
        <f>nantucket[[#This Row],[MW Factor]]-resources!$B$14</f>
        <v>-1</v>
      </c>
    </row>
    <row r="6" spans="1:11" x14ac:dyDescent="0.3">
      <c r="A6" t="s">
        <v>42</v>
      </c>
      <c r="B6">
        <v>787</v>
      </c>
      <c r="C6">
        <v>19</v>
      </c>
      <c r="D6">
        <v>16255</v>
      </c>
      <c r="E6" t="s">
        <v>10</v>
      </c>
      <c r="F6">
        <v>56</v>
      </c>
      <c r="G6" s="2">
        <v>37.75</v>
      </c>
      <c r="H6" s="2">
        <v>0</v>
      </c>
      <c r="I6" s="2">
        <v>0.96</v>
      </c>
      <c r="J6" s="2">
        <v>38.71</v>
      </c>
      <c r="K6" s="5">
        <f>nantucket[[#This Row],[MW Factor]]-resources!$B$14</f>
        <v>-1</v>
      </c>
    </row>
    <row r="7" spans="1:11" x14ac:dyDescent="0.3">
      <c r="A7" t="s">
        <v>43</v>
      </c>
      <c r="B7">
        <v>810</v>
      </c>
      <c r="C7">
        <v>18</v>
      </c>
      <c r="D7">
        <v>16255</v>
      </c>
      <c r="E7" t="s">
        <v>10</v>
      </c>
      <c r="F7">
        <v>56</v>
      </c>
      <c r="G7" s="2">
        <v>43.69</v>
      </c>
      <c r="H7" s="2">
        <v>0</v>
      </c>
      <c r="I7" s="2">
        <v>0.93</v>
      </c>
      <c r="J7" s="2">
        <v>44.62</v>
      </c>
      <c r="K7" s="5">
        <f>nantucket[[#This Row],[MW Factor]]-resources!$B$14</f>
        <v>-1</v>
      </c>
    </row>
    <row r="8" spans="1:11" x14ac:dyDescent="0.3">
      <c r="A8" t="s">
        <v>24</v>
      </c>
      <c r="B8">
        <v>355</v>
      </c>
      <c r="C8">
        <v>19</v>
      </c>
      <c r="D8">
        <v>16255</v>
      </c>
      <c r="E8" t="s">
        <v>10</v>
      </c>
      <c r="F8">
        <v>55</v>
      </c>
      <c r="G8" s="2">
        <v>56.39</v>
      </c>
      <c r="H8" s="2">
        <v>0</v>
      </c>
      <c r="I8" s="2">
        <v>1.62</v>
      </c>
      <c r="J8" s="2">
        <v>58.01</v>
      </c>
      <c r="K8" s="5">
        <f>nantucket[[#This Row],[MW Factor]]-resources!$B$14</f>
        <v>-2</v>
      </c>
    </row>
    <row r="9" spans="1:11" x14ac:dyDescent="0.3">
      <c r="A9" t="s">
        <v>25</v>
      </c>
      <c r="B9">
        <v>380</v>
      </c>
      <c r="C9">
        <v>20</v>
      </c>
      <c r="D9">
        <v>16255</v>
      </c>
      <c r="E9" t="s">
        <v>10</v>
      </c>
      <c r="F9">
        <v>55</v>
      </c>
      <c r="G9" s="2">
        <v>64.52</v>
      </c>
      <c r="H9" s="2">
        <v>0</v>
      </c>
      <c r="I9" s="2">
        <v>1.5</v>
      </c>
      <c r="J9" s="2">
        <v>66.02</v>
      </c>
      <c r="K9" s="5">
        <f>nantucket[[#This Row],[MW Factor]]-resources!$B$14</f>
        <v>-2</v>
      </c>
    </row>
    <row r="10" spans="1:11" x14ac:dyDescent="0.3">
      <c r="A10" t="s">
        <v>42</v>
      </c>
      <c r="B10">
        <v>788</v>
      </c>
      <c r="C10">
        <v>20</v>
      </c>
      <c r="D10">
        <v>16255</v>
      </c>
      <c r="E10" t="s">
        <v>10</v>
      </c>
      <c r="F10">
        <v>55</v>
      </c>
      <c r="G10" s="2">
        <v>39.94</v>
      </c>
      <c r="H10" s="2">
        <v>0</v>
      </c>
      <c r="I10" s="2">
        <v>0.85</v>
      </c>
      <c r="J10" s="2">
        <v>40.79</v>
      </c>
      <c r="K10" s="5">
        <f>nantucket[[#This Row],[MW Factor]]-resources!$B$14</f>
        <v>-2</v>
      </c>
    </row>
    <row r="11" spans="1:11" x14ac:dyDescent="0.3">
      <c r="A11" t="s">
        <v>43</v>
      </c>
      <c r="B11">
        <v>812</v>
      </c>
      <c r="C11">
        <v>20</v>
      </c>
      <c r="D11">
        <v>16255</v>
      </c>
      <c r="E11" t="s">
        <v>10</v>
      </c>
      <c r="F11">
        <v>55</v>
      </c>
      <c r="G11" s="2">
        <v>39.99</v>
      </c>
      <c r="H11" s="2">
        <v>0</v>
      </c>
      <c r="I11" s="2">
        <v>0.99</v>
      </c>
      <c r="J11" s="2">
        <v>40.98</v>
      </c>
      <c r="K11" s="5">
        <f>nantucket[[#This Row],[MW Factor]]-resources!$B$14</f>
        <v>-2</v>
      </c>
    </row>
    <row r="12" spans="1:11" x14ac:dyDescent="0.3">
      <c r="A12" t="s">
        <v>45</v>
      </c>
      <c r="B12">
        <v>859</v>
      </c>
      <c r="C12">
        <v>19</v>
      </c>
      <c r="D12">
        <v>16255</v>
      </c>
      <c r="E12" t="s">
        <v>10</v>
      </c>
      <c r="F12">
        <v>55</v>
      </c>
      <c r="G12" s="2">
        <v>37.33</v>
      </c>
      <c r="H12" s="2">
        <v>0</v>
      </c>
      <c r="I12" s="2">
        <v>0.84</v>
      </c>
      <c r="J12" s="2">
        <v>38.17</v>
      </c>
      <c r="K12" s="5">
        <f>nantucket[[#This Row],[MW Factor]]-resources!$B$14</f>
        <v>-2</v>
      </c>
    </row>
    <row r="13" spans="1:11" x14ac:dyDescent="0.3">
      <c r="A13" t="s">
        <v>21</v>
      </c>
      <c r="B13">
        <v>283</v>
      </c>
      <c r="C13">
        <v>19</v>
      </c>
      <c r="D13">
        <v>16255</v>
      </c>
      <c r="E13" t="s">
        <v>10</v>
      </c>
      <c r="F13">
        <v>54</v>
      </c>
      <c r="G13" s="2">
        <v>73.52</v>
      </c>
      <c r="H13" s="2">
        <v>0</v>
      </c>
      <c r="I13" s="2">
        <v>1.23</v>
      </c>
      <c r="J13" s="2">
        <v>74.75</v>
      </c>
      <c r="K13" s="5">
        <f>nantucket[[#This Row],[MW Factor]]-resources!$B$14</f>
        <v>-3</v>
      </c>
    </row>
    <row r="14" spans="1:11" x14ac:dyDescent="0.3">
      <c r="A14" t="s">
        <v>24</v>
      </c>
      <c r="B14">
        <v>354</v>
      </c>
      <c r="C14">
        <v>18</v>
      </c>
      <c r="D14">
        <v>16255</v>
      </c>
      <c r="E14" t="s">
        <v>10</v>
      </c>
      <c r="F14">
        <v>54</v>
      </c>
      <c r="G14" s="2">
        <v>51.3</v>
      </c>
      <c r="H14" s="2">
        <v>0</v>
      </c>
      <c r="I14" s="2">
        <v>1.4</v>
      </c>
      <c r="J14" s="2">
        <v>52.7</v>
      </c>
      <c r="K14" s="5">
        <f>nantucket[[#This Row],[MW Factor]]-resources!$B$14</f>
        <v>-3</v>
      </c>
    </row>
    <row r="15" spans="1:11" x14ac:dyDescent="0.3">
      <c r="A15" t="s">
        <v>26</v>
      </c>
      <c r="B15">
        <v>402</v>
      </c>
      <c r="C15">
        <v>18</v>
      </c>
      <c r="D15">
        <v>16255</v>
      </c>
      <c r="E15" t="s">
        <v>10</v>
      </c>
      <c r="F15">
        <v>54</v>
      </c>
      <c r="G15" s="2">
        <v>63.35</v>
      </c>
      <c r="H15" s="2">
        <v>0</v>
      </c>
      <c r="I15" s="2">
        <v>1.3</v>
      </c>
      <c r="J15" s="2">
        <v>64.650000000000006</v>
      </c>
      <c r="K15" s="5">
        <f>nantucket[[#This Row],[MW Factor]]-resources!$B$14</f>
        <v>-3</v>
      </c>
    </row>
    <row r="16" spans="1:11" x14ac:dyDescent="0.3">
      <c r="A16" t="s">
        <v>26</v>
      </c>
      <c r="B16">
        <v>403</v>
      </c>
      <c r="C16">
        <v>19</v>
      </c>
      <c r="D16">
        <v>16255</v>
      </c>
      <c r="E16" t="s">
        <v>10</v>
      </c>
      <c r="F16">
        <v>54</v>
      </c>
      <c r="G16" s="2">
        <v>45.75</v>
      </c>
      <c r="H16" s="2">
        <v>0</v>
      </c>
      <c r="I16" s="2">
        <v>1.06</v>
      </c>
      <c r="J16" s="2">
        <v>46.81</v>
      </c>
      <c r="K16" s="5">
        <f>nantucket[[#This Row],[MW Factor]]-resources!$B$14</f>
        <v>-3</v>
      </c>
    </row>
    <row r="17" spans="1:11" x14ac:dyDescent="0.3">
      <c r="A17" t="s">
        <v>41</v>
      </c>
      <c r="B17">
        <v>763</v>
      </c>
      <c r="C17">
        <v>19</v>
      </c>
      <c r="D17">
        <v>16255</v>
      </c>
      <c r="E17" t="s">
        <v>10</v>
      </c>
      <c r="F17">
        <v>54</v>
      </c>
      <c r="G17" s="2">
        <v>2122.02</v>
      </c>
      <c r="H17" s="2">
        <v>0</v>
      </c>
      <c r="I17" s="2">
        <v>51.13</v>
      </c>
      <c r="J17" s="2">
        <v>2173.15</v>
      </c>
      <c r="K17" s="5">
        <f>nantucket[[#This Row],[MW Factor]]-resources!$B$14</f>
        <v>-3</v>
      </c>
    </row>
    <row r="18" spans="1:11" x14ac:dyDescent="0.3">
      <c r="A18" t="s">
        <v>42</v>
      </c>
      <c r="B18">
        <v>785</v>
      </c>
      <c r="C18">
        <v>17</v>
      </c>
      <c r="D18">
        <v>16255</v>
      </c>
      <c r="E18" t="s">
        <v>10</v>
      </c>
      <c r="F18">
        <v>54</v>
      </c>
      <c r="G18" s="2">
        <v>279.43</v>
      </c>
      <c r="H18" s="2">
        <v>0</v>
      </c>
      <c r="I18" s="2">
        <v>6.06</v>
      </c>
      <c r="J18" s="2">
        <v>285.49</v>
      </c>
      <c r="K18" s="5">
        <f>nantucket[[#This Row],[MW Factor]]-resources!$B$14</f>
        <v>-3</v>
      </c>
    </row>
    <row r="19" spans="1:11" x14ac:dyDescent="0.3">
      <c r="A19" t="s">
        <v>21</v>
      </c>
      <c r="B19">
        <v>282</v>
      </c>
      <c r="C19">
        <v>18</v>
      </c>
      <c r="D19">
        <v>16255</v>
      </c>
      <c r="E19" t="s">
        <v>10</v>
      </c>
      <c r="F19">
        <v>53</v>
      </c>
      <c r="G19" s="2">
        <v>73.48</v>
      </c>
      <c r="H19" s="2">
        <v>0</v>
      </c>
      <c r="I19" s="2">
        <v>1.17</v>
      </c>
      <c r="J19" s="2">
        <v>74.650000000000006</v>
      </c>
      <c r="K19" s="5">
        <f>nantucket[[#This Row],[MW Factor]]-resources!$B$14</f>
        <v>-4</v>
      </c>
    </row>
    <row r="20" spans="1:11" x14ac:dyDescent="0.3">
      <c r="A20" t="s">
        <v>24</v>
      </c>
      <c r="B20">
        <v>356</v>
      </c>
      <c r="C20">
        <v>20</v>
      </c>
      <c r="D20">
        <v>16255</v>
      </c>
      <c r="E20" t="s">
        <v>10</v>
      </c>
      <c r="F20">
        <v>53</v>
      </c>
      <c r="G20" s="2">
        <v>85.99</v>
      </c>
      <c r="H20" s="2">
        <v>0</v>
      </c>
      <c r="I20" s="2">
        <v>2.2799999999999998</v>
      </c>
      <c r="J20" s="2">
        <v>88.27</v>
      </c>
      <c r="K20" s="5">
        <f>nantucket[[#This Row],[MW Factor]]-resources!$B$14</f>
        <v>-4</v>
      </c>
    </row>
    <row r="21" spans="1:11" x14ac:dyDescent="0.3">
      <c r="A21" t="s">
        <v>25</v>
      </c>
      <c r="B21">
        <v>377</v>
      </c>
      <c r="C21">
        <v>17</v>
      </c>
      <c r="D21">
        <v>16255</v>
      </c>
      <c r="E21" t="s">
        <v>10</v>
      </c>
      <c r="F21">
        <v>53</v>
      </c>
      <c r="G21" s="2">
        <v>89.05</v>
      </c>
      <c r="H21" s="2">
        <v>0.33</v>
      </c>
      <c r="I21" s="2">
        <v>1.75</v>
      </c>
      <c r="J21" s="2">
        <v>91.13</v>
      </c>
      <c r="K21" s="5">
        <f>nantucket[[#This Row],[MW Factor]]-resources!$B$14</f>
        <v>-4</v>
      </c>
    </row>
    <row r="22" spans="1:11" x14ac:dyDescent="0.3">
      <c r="A22" t="s">
        <v>25</v>
      </c>
      <c r="B22">
        <v>381</v>
      </c>
      <c r="C22">
        <v>21</v>
      </c>
      <c r="D22">
        <v>16255</v>
      </c>
      <c r="E22" t="s">
        <v>10</v>
      </c>
      <c r="F22">
        <v>53</v>
      </c>
      <c r="G22" s="2">
        <v>74.75</v>
      </c>
      <c r="H22" s="2">
        <v>0.02</v>
      </c>
      <c r="I22" s="2">
        <v>1.66</v>
      </c>
      <c r="J22" s="2">
        <v>76.430000000000007</v>
      </c>
      <c r="K22" s="5">
        <f>nantucket[[#This Row],[MW Factor]]-resources!$B$14</f>
        <v>-4</v>
      </c>
    </row>
    <row r="23" spans="1:11" x14ac:dyDescent="0.3">
      <c r="A23" t="s">
        <v>41</v>
      </c>
      <c r="B23">
        <v>762</v>
      </c>
      <c r="C23">
        <v>18</v>
      </c>
      <c r="D23">
        <v>16255</v>
      </c>
      <c r="E23" t="s">
        <v>10</v>
      </c>
      <c r="F23">
        <v>53</v>
      </c>
      <c r="G23" s="2">
        <v>1112.9100000000001</v>
      </c>
      <c r="H23" s="2">
        <v>0</v>
      </c>
      <c r="I23" s="2">
        <v>24.77</v>
      </c>
      <c r="J23" s="2">
        <v>1137.68</v>
      </c>
      <c r="K23" s="5">
        <f>nantucket[[#This Row],[MW Factor]]-resources!$B$14</f>
        <v>-4</v>
      </c>
    </row>
    <row r="24" spans="1:11" x14ac:dyDescent="0.3">
      <c r="A24" t="s">
        <v>41</v>
      </c>
      <c r="B24">
        <v>764</v>
      </c>
      <c r="C24">
        <v>20</v>
      </c>
      <c r="D24">
        <v>16255</v>
      </c>
      <c r="E24" t="s">
        <v>10</v>
      </c>
      <c r="F24">
        <v>53</v>
      </c>
      <c r="G24" s="2">
        <v>667.08</v>
      </c>
      <c r="H24" s="2">
        <v>0</v>
      </c>
      <c r="I24" s="2">
        <v>16.48</v>
      </c>
      <c r="J24" s="2">
        <v>683.56</v>
      </c>
      <c r="K24" s="5">
        <f>nantucket[[#This Row],[MW Factor]]-resources!$B$14</f>
        <v>-4</v>
      </c>
    </row>
    <row r="25" spans="1:11" x14ac:dyDescent="0.3">
      <c r="A25" t="s">
        <v>42</v>
      </c>
      <c r="B25">
        <v>784</v>
      </c>
      <c r="C25">
        <v>16</v>
      </c>
      <c r="D25">
        <v>16255</v>
      </c>
      <c r="E25" t="s">
        <v>10</v>
      </c>
      <c r="F25">
        <v>53</v>
      </c>
      <c r="G25" s="2">
        <v>77.53</v>
      </c>
      <c r="H25" s="2">
        <v>0.02</v>
      </c>
      <c r="I25" s="2">
        <v>1.23</v>
      </c>
      <c r="J25" s="2">
        <v>78.78</v>
      </c>
      <c r="K25" s="5">
        <f>nantucket[[#This Row],[MW Factor]]-resources!$B$14</f>
        <v>-4</v>
      </c>
    </row>
    <row r="26" spans="1:11" x14ac:dyDescent="0.3">
      <c r="A26" t="s">
        <v>42</v>
      </c>
      <c r="B26">
        <v>789</v>
      </c>
      <c r="C26">
        <v>21</v>
      </c>
      <c r="D26">
        <v>16255</v>
      </c>
      <c r="E26" t="s">
        <v>10</v>
      </c>
      <c r="F26">
        <v>53</v>
      </c>
      <c r="G26" s="2">
        <v>61.89</v>
      </c>
      <c r="H26" s="2">
        <v>0</v>
      </c>
      <c r="I26" s="2">
        <v>1.06</v>
      </c>
      <c r="J26" s="2">
        <v>62.95</v>
      </c>
      <c r="K26" s="5">
        <f>nantucket[[#This Row],[MW Factor]]-resources!$B$14</f>
        <v>-4</v>
      </c>
    </row>
    <row r="27" spans="1:11" x14ac:dyDescent="0.3">
      <c r="A27" t="s">
        <v>43</v>
      </c>
      <c r="B27">
        <v>809</v>
      </c>
      <c r="C27">
        <v>17</v>
      </c>
      <c r="D27">
        <v>16255</v>
      </c>
      <c r="E27" t="s">
        <v>10</v>
      </c>
      <c r="F27">
        <v>53</v>
      </c>
      <c r="G27" s="2">
        <v>57.56</v>
      </c>
      <c r="H27" s="2">
        <v>0</v>
      </c>
      <c r="I27" s="2">
        <v>0.98</v>
      </c>
      <c r="J27" s="2">
        <v>58.54</v>
      </c>
      <c r="K27" s="5">
        <f>nantucket[[#This Row],[MW Factor]]-resources!$B$14</f>
        <v>-4</v>
      </c>
    </row>
    <row r="28" spans="1:11" x14ac:dyDescent="0.3">
      <c r="A28" t="s">
        <v>45</v>
      </c>
      <c r="B28">
        <v>857</v>
      </c>
      <c r="C28">
        <v>17</v>
      </c>
      <c r="D28">
        <v>16255</v>
      </c>
      <c r="E28" t="s">
        <v>10</v>
      </c>
      <c r="F28">
        <v>53</v>
      </c>
      <c r="G28" s="2">
        <v>31.48</v>
      </c>
      <c r="H28" s="2">
        <v>0</v>
      </c>
      <c r="I28" s="2">
        <v>0.55000000000000004</v>
      </c>
      <c r="J28" s="2">
        <v>32.03</v>
      </c>
      <c r="K28" s="5">
        <f>nantucket[[#This Row],[MW Factor]]-resources!$B$14</f>
        <v>-4</v>
      </c>
    </row>
    <row r="29" spans="1:11" x14ac:dyDescent="0.3">
      <c r="A29" t="s">
        <v>45</v>
      </c>
      <c r="B29">
        <v>858</v>
      </c>
      <c r="C29">
        <v>18</v>
      </c>
      <c r="D29">
        <v>16255</v>
      </c>
      <c r="E29" t="s">
        <v>10</v>
      </c>
      <c r="F29">
        <v>53</v>
      </c>
      <c r="G29" s="2">
        <v>52.69</v>
      </c>
      <c r="H29" s="2">
        <v>-0.59</v>
      </c>
      <c r="I29" s="2">
        <v>1.0900000000000001</v>
      </c>
      <c r="J29" s="2">
        <v>53.19</v>
      </c>
      <c r="K29" s="5">
        <f>nantucket[[#This Row],[MW Factor]]-resources!$B$14</f>
        <v>-4</v>
      </c>
    </row>
    <row r="30" spans="1:11" x14ac:dyDescent="0.3">
      <c r="A30" t="s">
        <v>20</v>
      </c>
      <c r="B30">
        <v>259</v>
      </c>
      <c r="C30">
        <v>19</v>
      </c>
      <c r="D30">
        <v>16255</v>
      </c>
      <c r="E30" t="s">
        <v>10</v>
      </c>
      <c r="F30">
        <v>52</v>
      </c>
      <c r="G30" s="2">
        <v>75.11</v>
      </c>
      <c r="H30" s="2">
        <v>0</v>
      </c>
      <c r="I30" s="2">
        <v>1.31</v>
      </c>
      <c r="J30" s="2">
        <v>76.42</v>
      </c>
      <c r="K30" s="5">
        <f>nantucket[[#This Row],[MW Factor]]-resources!$B$14</f>
        <v>-5</v>
      </c>
    </row>
    <row r="31" spans="1:11" x14ac:dyDescent="0.3">
      <c r="A31" t="s">
        <v>25</v>
      </c>
      <c r="B31">
        <v>376</v>
      </c>
      <c r="C31">
        <v>16</v>
      </c>
      <c r="D31">
        <v>16255</v>
      </c>
      <c r="E31" t="s">
        <v>10</v>
      </c>
      <c r="F31">
        <v>52</v>
      </c>
      <c r="G31" s="2">
        <v>51.99</v>
      </c>
      <c r="H31" s="2">
        <v>0</v>
      </c>
      <c r="I31" s="2">
        <v>0.91</v>
      </c>
      <c r="J31" s="2">
        <v>52.9</v>
      </c>
      <c r="K31" s="5">
        <f>nantucket[[#This Row],[MW Factor]]-resources!$B$14</f>
        <v>-5</v>
      </c>
    </row>
    <row r="32" spans="1:11" x14ac:dyDescent="0.3">
      <c r="A32" t="s">
        <v>26</v>
      </c>
      <c r="B32">
        <v>401</v>
      </c>
      <c r="C32">
        <v>17</v>
      </c>
      <c r="D32">
        <v>16255</v>
      </c>
      <c r="E32" t="s">
        <v>10</v>
      </c>
      <c r="F32">
        <v>52</v>
      </c>
      <c r="G32" s="2">
        <v>174.57</v>
      </c>
      <c r="H32" s="2">
        <v>0.02</v>
      </c>
      <c r="I32" s="2">
        <v>2.91</v>
      </c>
      <c r="J32" s="2">
        <v>177.5</v>
      </c>
      <c r="K32" s="5">
        <f>nantucket[[#This Row],[MW Factor]]-resources!$B$14</f>
        <v>-5</v>
      </c>
    </row>
    <row r="33" spans="1:11" x14ac:dyDescent="0.3">
      <c r="A33" t="s">
        <v>26</v>
      </c>
      <c r="B33">
        <v>404</v>
      </c>
      <c r="C33">
        <v>20</v>
      </c>
      <c r="D33">
        <v>16255</v>
      </c>
      <c r="E33" t="s">
        <v>10</v>
      </c>
      <c r="F33">
        <v>52</v>
      </c>
      <c r="G33" s="2">
        <v>51.47</v>
      </c>
      <c r="H33" s="2">
        <v>0.01</v>
      </c>
      <c r="I33" s="2">
        <v>1.2</v>
      </c>
      <c r="J33" s="2">
        <v>52.68</v>
      </c>
      <c r="K33" s="5">
        <f>nantucket[[#This Row],[MW Factor]]-resources!$B$14</f>
        <v>-5</v>
      </c>
    </row>
    <row r="34" spans="1:11" x14ac:dyDescent="0.3">
      <c r="A34" t="s">
        <v>43</v>
      </c>
      <c r="B34">
        <v>808</v>
      </c>
      <c r="C34">
        <v>16</v>
      </c>
      <c r="D34">
        <v>16255</v>
      </c>
      <c r="E34" t="s">
        <v>10</v>
      </c>
      <c r="F34">
        <v>52</v>
      </c>
      <c r="G34" s="2">
        <v>40.07</v>
      </c>
      <c r="H34" s="2">
        <v>0</v>
      </c>
      <c r="I34" s="2">
        <v>0.56000000000000005</v>
      </c>
      <c r="J34" s="2">
        <v>40.630000000000003</v>
      </c>
      <c r="K34" s="5">
        <f>nantucket[[#This Row],[MW Factor]]-resources!$B$14</f>
        <v>-5</v>
      </c>
    </row>
    <row r="35" spans="1:11" x14ac:dyDescent="0.3">
      <c r="A35" t="s">
        <v>43</v>
      </c>
      <c r="B35">
        <v>813</v>
      </c>
      <c r="C35">
        <v>21</v>
      </c>
      <c r="D35">
        <v>16255</v>
      </c>
      <c r="E35" t="s">
        <v>10</v>
      </c>
      <c r="F35">
        <v>52</v>
      </c>
      <c r="G35" s="2">
        <v>31.37</v>
      </c>
      <c r="H35" s="2">
        <v>0</v>
      </c>
      <c r="I35" s="2">
        <v>0.62</v>
      </c>
      <c r="J35" s="2">
        <v>31.99</v>
      </c>
      <c r="K35" s="5">
        <f>nantucket[[#This Row],[MW Factor]]-resources!$B$14</f>
        <v>-5</v>
      </c>
    </row>
    <row r="36" spans="1:11" x14ac:dyDescent="0.3">
      <c r="A36" t="s">
        <v>44</v>
      </c>
      <c r="B36">
        <v>833</v>
      </c>
      <c r="C36">
        <v>17</v>
      </c>
      <c r="D36">
        <v>16255</v>
      </c>
      <c r="E36" t="s">
        <v>10</v>
      </c>
      <c r="F36">
        <v>52</v>
      </c>
      <c r="G36" s="2">
        <v>27.16</v>
      </c>
      <c r="H36" s="2">
        <v>0</v>
      </c>
      <c r="I36" s="2">
        <v>0.43</v>
      </c>
      <c r="J36" s="2">
        <v>27.59</v>
      </c>
      <c r="K36" s="5">
        <f>nantucket[[#This Row],[MW Factor]]-resources!$B$14</f>
        <v>-5</v>
      </c>
    </row>
    <row r="37" spans="1:11" x14ac:dyDescent="0.3">
      <c r="A37" t="s">
        <v>44</v>
      </c>
      <c r="B37">
        <v>834</v>
      </c>
      <c r="C37">
        <v>18</v>
      </c>
      <c r="D37">
        <v>16255</v>
      </c>
      <c r="E37" t="s">
        <v>10</v>
      </c>
      <c r="F37">
        <v>52</v>
      </c>
      <c r="G37" s="2">
        <v>29.27</v>
      </c>
      <c r="H37" s="2">
        <v>0</v>
      </c>
      <c r="I37" s="2">
        <v>0.47</v>
      </c>
      <c r="J37" s="2">
        <v>29.74</v>
      </c>
      <c r="K37" s="5">
        <f>nantucket[[#This Row],[MW Factor]]-resources!$B$14</f>
        <v>-5</v>
      </c>
    </row>
    <row r="38" spans="1:11" x14ac:dyDescent="0.3">
      <c r="A38" t="s">
        <v>44</v>
      </c>
      <c r="B38">
        <v>835</v>
      </c>
      <c r="C38">
        <v>19</v>
      </c>
      <c r="D38">
        <v>16255</v>
      </c>
      <c r="E38" t="s">
        <v>10</v>
      </c>
      <c r="F38">
        <v>52</v>
      </c>
      <c r="G38" s="2">
        <v>24.93</v>
      </c>
      <c r="H38" s="2">
        <v>0</v>
      </c>
      <c r="I38" s="2">
        <v>0.54</v>
      </c>
      <c r="J38" s="2">
        <v>25.47</v>
      </c>
      <c r="K38" s="5">
        <f>nantucket[[#This Row],[MW Factor]]-resources!$B$14</f>
        <v>-5</v>
      </c>
    </row>
    <row r="39" spans="1:11" x14ac:dyDescent="0.3">
      <c r="A39" t="s">
        <v>44</v>
      </c>
      <c r="B39">
        <v>836</v>
      </c>
      <c r="C39">
        <v>20</v>
      </c>
      <c r="D39">
        <v>16255</v>
      </c>
      <c r="E39" t="s">
        <v>10</v>
      </c>
      <c r="F39">
        <v>52</v>
      </c>
      <c r="G39" s="2">
        <v>23.69</v>
      </c>
      <c r="H39" s="2">
        <v>0</v>
      </c>
      <c r="I39" s="2">
        <v>0.55000000000000004</v>
      </c>
      <c r="J39" s="2">
        <v>24.24</v>
      </c>
      <c r="K39" s="5">
        <f>nantucket[[#This Row],[MW Factor]]-resources!$B$14</f>
        <v>-5</v>
      </c>
    </row>
    <row r="40" spans="1:11" x14ac:dyDescent="0.3">
      <c r="A40" t="s">
        <v>45</v>
      </c>
      <c r="B40">
        <v>860</v>
      </c>
      <c r="C40">
        <v>20</v>
      </c>
      <c r="D40">
        <v>16255</v>
      </c>
      <c r="E40" t="s">
        <v>10</v>
      </c>
      <c r="F40">
        <v>52</v>
      </c>
      <c r="G40" s="2">
        <v>33.85</v>
      </c>
      <c r="H40" s="2">
        <v>0</v>
      </c>
      <c r="I40" s="2">
        <v>0.76</v>
      </c>
      <c r="J40" s="2">
        <v>34.61</v>
      </c>
      <c r="K40" s="5">
        <f>nantucket[[#This Row],[MW Factor]]-resources!$B$14</f>
        <v>-5</v>
      </c>
    </row>
    <row r="41" spans="1:11" x14ac:dyDescent="0.3">
      <c r="A41" t="s">
        <v>49</v>
      </c>
      <c r="B41">
        <v>955</v>
      </c>
      <c r="C41">
        <v>19</v>
      </c>
      <c r="D41">
        <v>16255</v>
      </c>
      <c r="E41" t="s">
        <v>10</v>
      </c>
      <c r="F41">
        <v>52</v>
      </c>
      <c r="G41" s="2">
        <v>34.65</v>
      </c>
      <c r="H41" s="2">
        <v>0.03</v>
      </c>
      <c r="I41" s="2">
        <v>0.97</v>
      </c>
      <c r="J41" s="2">
        <v>35.65</v>
      </c>
      <c r="K41" s="5">
        <f>nantucket[[#This Row],[MW Factor]]-resources!$B$14</f>
        <v>-5</v>
      </c>
    </row>
    <row r="42" spans="1:11" x14ac:dyDescent="0.3">
      <c r="A42" t="s">
        <v>19</v>
      </c>
      <c r="B42">
        <v>235</v>
      </c>
      <c r="C42">
        <v>19</v>
      </c>
      <c r="D42">
        <v>16255</v>
      </c>
      <c r="E42" t="s">
        <v>10</v>
      </c>
      <c r="F42">
        <v>51</v>
      </c>
      <c r="G42" s="2">
        <v>78.13</v>
      </c>
      <c r="H42" s="2">
        <v>0</v>
      </c>
      <c r="I42" s="2">
        <v>1.7</v>
      </c>
      <c r="J42" s="2">
        <v>79.83</v>
      </c>
      <c r="K42" s="5">
        <f>nantucket[[#This Row],[MW Factor]]-resources!$B$14</f>
        <v>-6</v>
      </c>
    </row>
    <row r="43" spans="1:11" x14ac:dyDescent="0.3">
      <c r="A43" t="s">
        <v>20</v>
      </c>
      <c r="B43">
        <v>258</v>
      </c>
      <c r="C43">
        <v>18</v>
      </c>
      <c r="D43">
        <v>16255</v>
      </c>
      <c r="E43" t="s">
        <v>10</v>
      </c>
      <c r="F43">
        <v>51</v>
      </c>
      <c r="G43" s="2">
        <v>144.47</v>
      </c>
      <c r="H43" s="2">
        <v>0</v>
      </c>
      <c r="I43" s="2">
        <v>2.21</v>
      </c>
      <c r="J43" s="2">
        <v>146.68</v>
      </c>
      <c r="K43" s="5">
        <f>nantucket[[#This Row],[MW Factor]]-resources!$B$14</f>
        <v>-6</v>
      </c>
    </row>
    <row r="44" spans="1:11" x14ac:dyDescent="0.3">
      <c r="A44" t="s">
        <v>21</v>
      </c>
      <c r="B44">
        <v>284</v>
      </c>
      <c r="C44">
        <v>20</v>
      </c>
      <c r="D44">
        <v>16255</v>
      </c>
      <c r="E44" t="s">
        <v>10</v>
      </c>
      <c r="F44">
        <v>51</v>
      </c>
      <c r="G44" s="2">
        <v>68.31</v>
      </c>
      <c r="H44" s="2">
        <v>0</v>
      </c>
      <c r="I44" s="2">
        <v>1.1100000000000001</v>
      </c>
      <c r="J44" s="2">
        <v>69.42</v>
      </c>
      <c r="K44" s="5">
        <f>nantucket[[#This Row],[MW Factor]]-resources!$B$14</f>
        <v>-6</v>
      </c>
    </row>
    <row r="45" spans="1:11" x14ac:dyDescent="0.3">
      <c r="A45" t="s">
        <v>24</v>
      </c>
      <c r="B45">
        <v>353</v>
      </c>
      <c r="C45">
        <v>17</v>
      </c>
      <c r="D45">
        <v>16255</v>
      </c>
      <c r="E45" t="s">
        <v>10</v>
      </c>
      <c r="F45">
        <v>51</v>
      </c>
      <c r="G45" s="2">
        <v>67.09</v>
      </c>
      <c r="H45" s="2">
        <v>0</v>
      </c>
      <c r="I45" s="2">
        <v>1.65</v>
      </c>
      <c r="J45" s="2">
        <v>68.739999999999995</v>
      </c>
      <c r="K45" s="5">
        <f>nantucket[[#This Row],[MW Factor]]-resources!$B$14</f>
        <v>-6</v>
      </c>
    </row>
    <row r="46" spans="1:11" x14ac:dyDescent="0.3">
      <c r="A46" t="s">
        <v>24</v>
      </c>
      <c r="B46">
        <v>357</v>
      </c>
      <c r="C46">
        <v>21</v>
      </c>
      <c r="D46">
        <v>16255</v>
      </c>
      <c r="E46" t="s">
        <v>10</v>
      </c>
      <c r="F46">
        <v>51</v>
      </c>
      <c r="G46" s="2">
        <v>247.87</v>
      </c>
      <c r="H46" s="2">
        <v>0</v>
      </c>
      <c r="I46" s="2">
        <v>6.52</v>
      </c>
      <c r="J46" s="2">
        <v>254.39</v>
      </c>
      <c r="K46" s="5">
        <f>nantucket[[#This Row],[MW Factor]]-resources!$B$14</f>
        <v>-6</v>
      </c>
    </row>
    <row r="47" spans="1:11" x14ac:dyDescent="0.3">
      <c r="A47" t="s">
        <v>25</v>
      </c>
      <c r="B47">
        <v>382</v>
      </c>
      <c r="C47">
        <v>22</v>
      </c>
      <c r="D47">
        <v>16255</v>
      </c>
      <c r="E47" t="s">
        <v>10</v>
      </c>
      <c r="F47">
        <v>51</v>
      </c>
      <c r="G47" s="2">
        <v>58.35</v>
      </c>
      <c r="H47" s="2">
        <v>0</v>
      </c>
      <c r="I47" s="2">
        <v>1.23</v>
      </c>
      <c r="J47" s="2">
        <v>59.58</v>
      </c>
      <c r="K47" s="5">
        <f>nantucket[[#This Row],[MW Factor]]-resources!$B$14</f>
        <v>-6</v>
      </c>
    </row>
    <row r="48" spans="1:11" x14ac:dyDescent="0.3">
      <c r="A48" t="s">
        <v>26</v>
      </c>
      <c r="B48">
        <v>405</v>
      </c>
      <c r="C48">
        <v>21</v>
      </c>
      <c r="D48">
        <v>16255</v>
      </c>
      <c r="E48" t="s">
        <v>10</v>
      </c>
      <c r="F48">
        <v>51</v>
      </c>
      <c r="G48" s="2">
        <v>50.58</v>
      </c>
      <c r="H48" s="2">
        <v>0.01</v>
      </c>
      <c r="I48" s="2">
        <v>1.1299999999999999</v>
      </c>
      <c r="J48" s="2">
        <v>51.72</v>
      </c>
      <c r="K48" s="5">
        <f>nantucket[[#This Row],[MW Factor]]-resources!$B$14</f>
        <v>-6</v>
      </c>
    </row>
    <row r="49" spans="1:11" x14ac:dyDescent="0.3">
      <c r="A49" t="s">
        <v>39</v>
      </c>
      <c r="B49">
        <v>715</v>
      </c>
      <c r="C49">
        <v>19</v>
      </c>
      <c r="D49">
        <v>16255</v>
      </c>
      <c r="E49" t="s">
        <v>10</v>
      </c>
      <c r="F49">
        <v>51</v>
      </c>
      <c r="G49" s="2">
        <v>208.24</v>
      </c>
      <c r="H49" s="2">
        <v>0</v>
      </c>
      <c r="I49" s="2">
        <v>3.63</v>
      </c>
      <c r="J49" s="2">
        <v>211.87</v>
      </c>
      <c r="K49" s="5">
        <f>nantucket[[#This Row],[MW Factor]]-resources!$B$14</f>
        <v>-6</v>
      </c>
    </row>
    <row r="50" spans="1:11" x14ac:dyDescent="0.3">
      <c r="A50" t="s">
        <v>40</v>
      </c>
      <c r="B50">
        <v>739</v>
      </c>
      <c r="C50">
        <v>19</v>
      </c>
      <c r="D50">
        <v>16255</v>
      </c>
      <c r="E50" t="s">
        <v>10</v>
      </c>
      <c r="F50">
        <v>51</v>
      </c>
      <c r="G50" s="2">
        <v>69.709999999999994</v>
      </c>
      <c r="H50" s="2">
        <v>0</v>
      </c>
      <c r="I50" s="2">
        <v>1.03</v>
      </c>
      <c r="J50" s="2">
        <v>70.739999999999995</v>
      </c>
      <c r="K50" s="5">
        <f>nantucket[[#This Row],[MW Factor]]-resources!$B$14</f>
        <v>-6</v>
      </c>
    </row>
    <row r="51" spans="1:11" x14ac:dyDescent="0.3">
      <c r="A51" t="s">
        <v>41</v>
      </c>
      <c r="B51">
        <v>761</v>
      </c>
      <c r="C51">
        <v>17</v>
      </c>
      <c r="D51">
        <v>16255</v>
      </c>
      <c r="E51" t="s">
        <v>10</v>
      </c>
      <c r="F51">
        <v>51</v>
      </c>
      <c r="G51" s="2">
        <v>255.46</v>
      </c>
      <c r="H51" s="2">
        <v>0</v>
      </c>
      <c r="I51" s="2">
        <v>5.18</v>
      </c>
      <c r="J51" s="2">
        <v>260.64</v>
      </c>
      <c r="K51" s="5">
        <f>nantucket[[#This Row],[MW Factor]]-resources!$B$14</f>
        <v>-6</v>
      </c>
    </row>
    <row r="52" spans="1:11" x14ac:dyDescent="0.3">
      <c r="A52" t="s">
        <v>42</v>
      </c>
      <c r="B52">
        <v>783</v>
      </c>
      <c r="C52">
        <v>15</v>
      </c>
      <c r="D52">
        <v>16255</v>
      </c>
      <c r="E52" t="s">
        <v>10</v>
      </c>
      <c r="F52">
        <v>51</v>
      </c>
      <c r="G52" s="2">
        <v>63.59</v>
      </c>
      <c r="H52" s="2">
        <v>0.01</v>
      </c>
      <c r="I52" s="2">
        <v>0.67</v>
      </c>
      <c r="J52" s="2">
        <v>64.27</v>
      </c>
      <c r="K52" s="5">
        <f>nantucket[[#This Row],[MW Factor]]-resources!$B$14</f>
        <v>-6</v>
      </c>
    </row>
    <row r="53" spans="1:11" x14ac:dyDescent="0.3">
      <c r="A53" t="s">
        <v>42</v>
      </c>
      <c r="B53">
        <v>790</v>
      </c>
      <c r="C53">
        <v>22</v>
      </c>
      <c r="D53">
        <v>16255</v>
      </c>
      <c r="E53" t="s">
        <v>10</v>
      </c>
      <c r="F53">
        <v>51</v>
      </c>
      <c r="G53" s="2">
        <v>40.21</v>
      </c>
      <c r="H53" s="2">
        <v>0</v>
      </c>
      <c r="I53" s="2">
        <v>0.59</v>
      </c>
      <c r="J53" s="2">
        <v>40.799999999999997</v>
      </c>
      <c r="K53" s="5">
        <f>nantucket[[#This Row],[MW Factor]]-resources!$B$14</f>
        <v>-6</v>
      </c>
    </row>
    <row r="54" spans="1:11" x14ac:dyDescent="0.3">
      <c r="A54" t="s">
        <v>43</v>
      </c>
      <c r="B54">
        <v>807</v>
      </c>
      <c r="C54">
        <v>15</v>
      </c>
      <c r="D54">
        <v>16255</v>
      </c>
      <c r="E54" t="s">
        <v>10</v>
      </c>
      <c r="F54">
        <v>51</v>
      </c>
      <c r="G54" s="2">
        <v>38.700000000000003</v>
      </c>
      <c r="H54" s="2">
        <v>0</v>
      </c>
      <c r="I54" s="2">
        <v>0.45</v>
      </c>
      <c r="J54" s="2">
        <v>39.15</v>
      </c>
      <c r="K54" s="5">
        <f>nantucket[[#This Row],[MW Factor]]-resources!$B$14</f>
        <v>-6</v>
      </c>
    </row>
    <row r="55" spans="1:11" x14ac:dyDescent="0.3">
      <c r="A55" t="s">
        <v>44</v>
      </c>
      <c r="B55">
        <v>832</v>
      </c>
      <c r="C55">
        <v>16</v>
      </c>
      <c r="D55">
        <v>16255</v>
      </c>
      <c r="E55" t="s">
        <v>10</v>
      </c>
      <c r="F55">
        <v>51</v>
      </c>
      <c r="G55" s="2">
        <v>29.04</v>
      </c>
      <c r="H55" s="2">
        <v>0</v>
      </c>
      <c r="I55" s="2">
        <v>0.38</v>
      </c>
      <c r="J55" s="2">
        <v>29.42</v>
      </c>
      <c r="K55" s="5">
        <f>nantucket[[#This Row],[MW Factor]]-resources!$B$14</f>
        <v>-6</v>
      </c>
    </row>
    <row r="56" spans="1:11" x14ac:dyDescent="0.3">
      <c r="A56" t="s">
        <v>45</v>
      </c>
      <c r="B56">
        <v>861</v>
      </c>
      <c r="C56">
        <v>21</v>
      </c>
      <c r="D56">
        <v>16255</v>
      </c>
      <c r="E56" t="s">
        <v>10</v>
      </c>
      <c r="F56">
        <v>51</v>
      </c>
      <c r="G56" s="2">
        <v>44.11</v>
      </c>
      <c r="H56" s="2">
        <v>0</v>
      </c>
      <c r="I56" s="2">
        <v>0.88</v>
      </c>
      <c r="J56" s="2">
        <v>44.99</v>
      </c>
      <c r="K56" s="5">
        <f>nantucket[[#This Row],[MW Factor]]-resources!$B$14</f>
        <v>-6</v>
      </c>
    </row>
    <row r="57" spans="1:11" x14ac:dyDescent="0.3">
      <c r="A57" t="s">
        <v>19</v>
      </c>
      <c r="B57">
        <v>234</v>
      </c>
      <c r="C57">
        <v>18</v>
      </c>
      <c r="D57">
        <v>16255</v>
      </c>
      <c r="E57" t="s">
        <v>10</v>
      </c>
      <c r="F57">
        <v>50</v>
      </c>
      <c r="G57" s="2">
        <v>58.97</v>
      </c>
      <c r="H57" s="2">
        <v>0</v>
      </c>
      <c r="I57" s="2">
        <v>1.21</v>
      </c>
      <c r="J57" s="2">
        <v>60.18</v>
      </c>
      <c r="K57" s="5">
        <f>nantucket[[#This Row],[MW Factor]]-resources!$B$14</f>
        <v>-7</v>
      </c>
    </row>
    <row r="58" spans="1:11" x14ac:dyDescent="0.3">
      <c r="A58" t="s">
        <v>19</v>
      </c>
      <c r="B58">
        <v>236</v>
      </c>
      <c r="C58">
        <v>20</v>
      </c>
      <c r="D58">
        <v>16255</v>
      </c>
      <c r="E58" t="s">
        <v>10</v>
      </c>
      <c r="F58">
        <v>50</v>
      </c>
      <c r="G58" s="2">
        <v>89.73</v>
      </c>
      <c r="H58" s="2">
        <v>0</v>
      </c>
      <c r="I58" s="2">
        <v>1.9</v>
      </c>
      <c r="J58" s="2">
        <v>91.63</v>
      </c>
      <c r="K58" s="5">
        <f>nantucket[[#This Row],[MW Factor]]-resources!$B$14</f>
        <v>-7</v>
      </c>
    </row>
    <row r="59" spans="1:11" x14ac:dyDescent="0.3">
      <c r="A59" t="s">
        <v>20</v>
      </c>
      <c r="B59">
        <v>260</v>
      </c>
      <c r="C59">
        <v>20</v>
      </c>
      <c r="D59">
        <v>16255</v>
      </c>
      <c r="E59" t="s">
        <v>10</v>
      </c>
      <c r="F59">
        <v>50</v>
      </c>
      <c r="G59" s="2">
        <v>64.44</v>
      </c>
      <c r="H59" s="2">
        <v>0</v>
      </c>
      <c r="I59" s="2">
        <v>1.1499999999999999</v>
      </c>
      <c r="J59" s="2">
        <v>65.59</v>
      </c>
      <c r="K59" s="5">
        <f>nantucket[[#This Row],[MW Factor]]-resources!$B$14</f>
        <v>-7</v>
      </c>
    </row>
    <row r="60" spans="1:11" x14ac:dyDescent="0.3">
      <c r="A60" t="s">
        <v>21</v>
      </c>
      <c r="B60">
        <v>281</v>
      </c>
      <c r="C60">
        <v>17</v>
      </c>
      <c r="D60">
        <v>16255</v>
      </c>
      <c r="E60" t="s">
        <v>10</v>
      </c>
      <c r="F60">
        <v>50</v>
      </c>
      <c r="G60" s="2">
        <v>59.43</v>
      </c>
      <c r="H60" s="2">
        <v>0</v>
      </c>
      <c r="I60" s="2">
        <v>0.79</v>
      </c>
      <c r="J60" s="2">
        <v>60.22</v>
      </c>
      <c r="K60" s="5">
        <f>nantucket[[#This Row],[MW Factor]]-resources!$B$14</f>
        <v>-7</v>
      </c>
    </row>
    <row r="61" spans="1:11" x14ac:dyDescent="0.3">
      <c r="A61" t="s">
        <v>23</v>
      </c>
      <c r="B61">
        <v>330</v>
      </c>
      <c r="C61">
        <v>18</v>
      </c>
      <c r="D61">
        <v>16255</v>
      </c>
      <c r="E61" t="s">
        <v>10</v>
      </c>
      <c r="F61">
        <v>50</v>
      </c>
      <c r="G61" s="2">
        <v>52.96</v>
      </c>
      <c r="H61" s="2">
        <v>0</v>
      </c>
      <c r="I61" s="2">
        <v>0.87</v>
      </c>
      <c r="J61" s="2">
        <v>53.83</v>
      </c>
      <c r="K61" s="5">
        <f>nantucket[[#This Row],[MW Factor]]-resources!$B$14</f>
        <v>-7</v>
      </c>
    </row>
    <row r="62" spans="1:11" x14ac:dyDescent="0.3">
      <c r="A62" t="s">
        <v>23</v>
      </c>
      <c r="B62">
        <v>331</v>
      </c>
      <c r="C62">
        <v>19</v>
      </c>
      <c r="D62">
        <v>16255</v>
      </c>
      <c r="E62" t="s">
        <v>10</v>
      </c>
      <c r="F62">
        <v>50</v>
      </c>
      <c r="G62" s="2">
        <v>141.38999999999999</v>
      </c>
      <c r="H62" s="2">
        <v>0</v>
      </c>
      <c r="I62" s="2">
        <v>3.06</v>
      </c>
      <c r="J62" s="2">
        <v>144.44999999999999</v>
      </c>
      <c r="K62" s="5">
        <f>nantucket[[#This Row],[MW Factor]]-resources!$B$14</f>
        <v>-7</v>
      </c>
    </row>
    <row r="63" spans="1:11" x14ac:dyDescent="0.3">
      <c r="A63" t="s">
        <v>24</v>
      </c>
      <c r="B63">
        <v>352</v>
      </c>
      <c r="C63">
        <v>16</v>
      </c>
      <c r="D63">
        <v>16255</v>
      </c>
      <c r="E63" t="s">
        <v>10</v>
      </c>
      <c r="F63">
        <v>50</v>
      </c>
      <c r="G63" s="2">
        <v>101.4</v>
      </c>
      <c r="H63" s="2">
        <v>0</v>
      </c>
      <c r="I63" s="2">
        <v>2.12</v>
      </c>
      <c r="J63" s="2">
        <v>103.52</v>
      </c>
      <c r="K63" s="5">
        <f>nantucket[[#This Row],[MW Factor]]-resources!$B$14</f>
        <v>-7</v>
      </c>
    </row>
    <row r="64" spans="1:11" x14ac:dyDescent="0.3">
      <c r="A64" t="s">
        <v>24</v>
      </c>
      <c r="B64">
        <v>358</v>
      </c>
      <c r="C64">
        <v>22</v>
      </c>
      <c r="D64">
        <v>16255</v>
      </c>
      <c r="E64" t="s">
        <v>10</v>
      </c>
      <c r="F64">
        <v>50</v>
      </c>
      <c r="G64" s="2">
        <v>58.59</v>
      </c>
      <c r="H64" s="2">
        <v>0</v>
      </c>
      <c r="I64" s="2">
        <v>1.35</v>
      </c>
      <c r="J64" s="2">
        <v>59.94</v>
      </c>
      <c r="K64" s="5">
        <f>nantucket[[#This Row],[MW Factor]]-resources!$B$14</f>
        <v>-7</v>
      </c>
    </row>
    <row r="65" spans="1:11" x14ac:dyDescent="0.3">
      <c r="A65" t="s">
        <v>25</v>
      </c>
      <c r="B65">
        <v>374</v>
      </c>
      <c r="C65">
        <v>14</v>
      </c>
      <c r="D65">
        <v>16255</v>
      </c>
      <c r="E65" t="s">
        <v>10</v>
      </c>
      <c r="F65">
        <v>50</v>
      </c>
      <c r="G65" s="2">
        <v>41.28</v>
      </c>
      <c r="H65" s="2">
        <v>0</v>
      </c>
      <c r="I65" s="2">
        <v>0.55000000000000004</v>
      </c>
      <c r="J65" s="2">
        <v>41.83</v>
      </c>
      <c r="K65" s="5">
        <f>nantucket[[#This Row],[MW Factor]]-resources!$B$14</f>
        <v>-7</v>
      </c>
    </row>
    <row r="66" spans="1:11" x14ac:dyDescent="0.3">
      <c r="A66" t="s">
        <v>25</v>
      </c>
      <c r="B66">
        <v>375</v>
      </c>
      <c r="C66">
        <v>15</v>
      </c>
      <c r="D66">
        <v>16255</v>
      </c>
      <c r="E66" t="s">
        <v>10</v>
      </c>
      <c r="F66">
        <v>50</v>
      </c>
      <c r="G66" s="2">
        <v>50.04</v>
      </c>
      <c r="H66" s="2">
        <v>0</v>
      </c>
      <c r="I66" s="2">
        <v>0.76</v>
      </c>
      <c r="J66" s="2">
        <v>50.8</v>
      </c>
      <c r="K66" s="5">
        <f>nantucket[[#This Row],[MW Factor]]-resources!$B$14</f>
        <v>-7</v>
      </c>
    </row>
    <row r="67" spans="1:11" x14ac:dyDescent="0.3">
      <c r="A67" t="s">
        <v>26</v>
      </c>
      <c r="B67">
        <v>398</v>
      </c>
      <c r="C67">
        <v>14</v>
      </c>
      <c r="D67">
        <v>16255</v>
      </c>
      <c r="E67" t="s">
        <v>10</v>
      </c>
      <c r="F67">
        <v>50</v>
      </c>
      <c r="G67" s="2">
        <v>40.479999999999997</v>
      </c>
      <c r="H67" s="2">
        <v>0</v>
      </c>
      <c r="I67" s="2">
        <v>0.55000000000000004</v>
      </c>
      <c r="J67" s="2">
        <v>41.03</v>
      </c>
      <c r="K67" s="5">
        <f>nantucket[[#This Row],[MW Factor]]-resources!$B$14</f>
        <v>-7</v>
      </c>
    </row>
    <row r="68" spans="1:11" x14ac:dyDescent="0.3">
      <c r="A68" t="s">
        <v>27</v>
      </c>
      <c r="B68">
        <v>427</v>
      </c>
      <c r="C68">
        <v>19</v>
      </c>
      <c r="D68">
        <v>16255</v>
      </c>
      <c r="E68" t="s">
        <v>10</v>
      </c>
      <c r="F68">
        <v>50</v>
      </c>
      <c r="G68" s="2">
        <v>29.87</v>
      </c>
      <c r="H68" s="2">
        <v>0</v>
      </c>
      <c r="I68" s="2">
        <v>0.64</v>
      </c>
      <c r="J68" s="2">
        <v>30.51</v>
      </c>
      <c r="K68" s="5">
        <f>nantucket[[#This Row],[MW Factor]]-resources!$B$14</f>
        <v>-7</v>
      </c>
    </row>
    <row r="69" spans="1:11" x14ac:dyDescent="0.3">
      <c r="A69" t="s">
        <v>27</v>
      </c>
      <c r="B69">
        <v>428</v>
      </c>
      <c r="C69">
        <v>20</v>
      </c>
      <c r="D69">
        <v>16255</v>
      </c>
      <c r="E69" t="s">
        <v>10</v>
      </c>
      <c r="F69">
        <v>50</v>
      </c>
      <c r="G69" s="2">
        <v>35.35</v>
      </c>
      <c r="H69" s="2">
        <v>0</v>
      </c>
      <c r="I69" s="2">
        <v>0.68</v>
      </c>
      <c r="J69" s="2">
        <v>36.03</v>
      </c>
      <c r="K69" s="5">
        <f>nantucket[[#This Row],[MW Factor]]-resources!$B$14</f>
        <v>-7</v>
      </c>
    </row>
    <row r="70" spans="1:11" x14ac:dyDescent="0.3">
      <c r="A70" t="s">
        <v>30</v>
      </c>
      <c r="B70">
        <v>499</v>
      </c>
      <c r="C70">
        <v>19</v>
      </c>
      <c r="D70">
        <v>16255</v>
      </c>
      <c r="E70" t="s">
        <v>10</v>
      </c>
      <c r="F70">
        <v>50</v>
      </c>
      <c r="G70" s="2">
        <v>49.21</v>
      </c>
      <c r="H70" s="2">
        <v>0</v>
      </c>
      <c r="I70" s="2">
        <v>1.24</v>
      </c>
      <c r="J70" s="2">
        <v>50.45</v>
      </c>
      <c r="K70" s="5">
        <f>nantucket[[#This Row],[MW Factor]]-resources!$B$14</f>
        <v>-7</v>
      </c>
    </row>
    <row r="71" spans="1:11" x14ac:dyDescent="0.3">
      <c r="A71" t="s">
        <v>31</v>
      </c>
      <c r="B71">
        <v>522</v>
      </c>
      <c r="C71">
        <v>18</v>
      </c>
      <c r="D71">
        <v>16255</v>
      </c>
      <c r="E71" t="s">
        <v>10</v>
      </c>
      <c r="F71">
        <v>50</v>
      </c>
      <c r="G71" s="2">
        <v>44.05</v>
      </c>
      <c r="H71" s="2">
        <v>0</v>
      </c>
      <c r="I71" s="2">
        <v>0.85</v>
      </c>
      <c r="J71" s="2">
        <v>44.9</v>
      </c>
      <c r="K71" s="5">
        <f>nantucket[[#This Row],[MW Factor]]-resources!$B$14</f>
        <v>-7</v>
      </c>
    </row>
    <row r="72" spans="1:11" x14ac:dyDescent="0.3">
      <c r="A72" t="s">
        <v>40</v>
      </c>
      <c r="B72">
        <v>738</v>
      </c>
      <c r="C72">
        <v>18</v>
      </c>
      <c r="D72">
        <v>16255</v>
      </c>
      <c r="E72" t="s">
        <v>10</v>
      </c>
      <c r="F72">
        <v>50</v>
      </c>
      <c r="G72" s="2">
        <v>95.75</v>
      </c>
      <c r="H72" s="2">
        <v>0</v>
      </c>
      <c r="I72" s="2">
        <v>1.43</v>
      </c>
      <c r="J72" s="2">
        <v>97.18</v>
      </c>
      <c r="K72" s="5">
        <f>nantucket[[#This Row],[MW Factor]]-resources!$B$14</f>
        <v>-7</v>
      </c>
    </row>
    <row r="73" spans="1:11" x14ac:dyDescent="0.3">
      <c r="A73" t="s">
        <v>42</v>
      </c>
      <c r="B73">
        <v>782</v>
      </c>
      <c r="C73">
        <v>14</v>
      </c>
      <c r="D73">
        <v>16255</v>
      </c>
      <c r="E73" t="s">
        <v>10</v>
      </c>
      <c r="F73">
        <v>50</v>
      </c>
      <c r="G73" s="2">
        <v>76.94</v>
      </c>
      <c r="H73" s="2">
        <v>0.03</v>
      </c>
      <c r="I73" s="2">
        <v>0.49</v>
      </c>
      <c r="J73" s="2">
        <v>77.459999999999994</v>
      </c>
      <c r="K73" s="5">
        <f>nantucket[[#This Row],[MW Factor]]-resources!$B$14</f>
        <v>-7</v>
      </c>
    </row>
    <row r="74" spans="1:11" x14ac:dyDescent="0.3">
      <c r="A74" t="s">
        <v>43</v>
      </c>
      <c r="B74">
        <v>806</v>
      </c>
      <c r="C74">
        <v>14</v>
      </c>
      <c r="D74">
        <v>16255</v>
      </c>
      <c r="E74" t="s">
        <v>10</v>
      </c>
      <c r="F74">
        <v>50</v>
      </c>
      <c r="G74" s="2">
        <v>35.880000000000003</v>
      </c>
      <c r="H74" s="2">
        <v>0</v>
      </c>
      <c r="I74" s="2">
        <v>0.37</v>
      </c>
      <c r="J74" s="2">
        <v>36.25</v>
      </c>
      <c r="K74" s="5">
        <f>nantucket[[#This Row],[MW Factor]]-resources!$B$14</f>
        <v>-7</v>
      </c>
    </row>
    <row r="75" spans="1:11" x14ac:dyDescent="0.3">
      <c r="A75" t="s">
        <v>43</v>
      </c>
      <c r="B75">
        <v>814</v>
      </c>
      <c r="C75">
        <v>22</v>
      </c>
      <c r="D75">
        <v>16255</v>
      </c>
      <c r="E75" t="s">
        <v>10</v>
      </c>
      <c r="F75">
        <v>50</v>
      </c>
      <c r="G75" s="2">
        <v>28.78</v>
      </c>
      <c r="H75" s="2">
        <v>0</v>
      </c>
      <c r="I75" s="2">
        <v>0.52</v>
      </c>
      <c r="J75" s="2">
        <v>29.3</v>
      </c>
      <c r="K75" s="5">
        <f>nantucket[[#This Row],[MW Factor]]-resources!$B$14</f>
        <v>-7</v>
      </c>
    </row>
    <row r="76" spans="1:11" x14ac:dyDescent="0.3">
      <c r="A76" t="s">
        <v>44</v>
      </c>
      <c r="B76">
        <v>831</v>
      </c>
      <c r="C76">
        <v>15</v>
      </c>
      <c r="D76">
        <v>16255</v>
      </c>
      <c r="E76" t="s">
        <v>10</v>
      </c>
      <c r="F76">
        <v>50</v>
      </c>
      <c r="G76" s="2">
        <v>33.24</v>
      </c>
      <c r="H76" s="2">
        <v>0</v>
      </c>
      <c r="I76" s="2">
        <v>0.38</v>
      </c>
      <c r="J76" s="2">
        <v>33.619999999999997</v>
      </c>
      <c r="K76" s="5">
        <f>nantucket[[#This Row],[MW Factor]]-resources!$B$14</f>
        <v>-7</v>
      </c>
    </row>
    <row r="77" spans="1:11" x14ac:dyDescent="0.3">
      <c r="A77" t="s">
        <v>44</v>
      </c>
      <c r="B77">
        <v>837</v>
      </c>
      <c r="C77">
        <v>21</v>
      </c>
      <c r="D77">
        <v>16255</v>
      </c>
      <c r="E77" t="s">
        <v>10</v>
      </c>
      <c r="F77">
        <v>50</v>
      </c>
      <c r="G77" s="2">
        <v>26.55</v>
      </c>
      <c r="H77" s="2">
        <v>0</v>
      </c>
      <c r="I77" s="2">
        <v>0.49</v>
      </c>
      <c r="J77" s="2">
        <v>27.04</v>
      </c>
      <c r="K77" s="5">
        <f>nantucket[[#This Row],[MW Factor]]-resources!$B$14</f>
        <v>-7</v>
      </c>
    </row>
    <row r="78" spans="1:11" x14ac:dyDescent="0.3">
      <c r="A78" t="s">
        <v>45</v>
      </c>
      <c r="B78">
        <v>856</v>
      </c>
      <c r="C78">
        <v>16</v>
      </c>
      <c r="D78">
        <v>16255</v>
      </c>
      <c r="E78" t="s">
        <v>10</v>
      </c>
      <c r="F78">
        <v>50</v>
      </c>
      <c r="G78" s="2">
        <v>45.77</v>
      </c>
      <c r="H78" s="2">
        <v>0</v>
      </c>
      <c r="I78" s="2">
        <v>0.62</v>
      </c>
      <c r="J78" s="2">
        <v>46.39</v>
      </c>
      <c r="K78" s="5">
        <f>nantucket[[#This Row],[MW Factor]]-resources!$B$14</f>
        <v>-7</v>
      </c>
    </row>
    <row r="79" spans="1:11" x14ac:dyDescent="0.3">
      <c r="A79" t="s">
        <v>49</v>
      </c>
      <c r="B79">
        <v>954</v>
      </c>
      <c r="C79">
        <v>18</v>
      </c>
      <c r="D79">
        <v>16255</v>
      </c>
      <c r="E79" t="s">
        <v>10</v>
      </c>
      <c r="F79">
        <v>50</v>
      </c>
      <c r="G79" s="2">
        <v>48.23</v>
      </c>
      <c r="H79" s="2">
        <v>0.04</v>
      </c>
      <c r="I79" s="2">
        <v>1.22</v>
      </c>
      <c r="J79" s="2">
        <v>49.49</v>
      </c>
      <c r="K79" s="5">
        <f>nantucket[[#This Row],[MW Factor]]-resources!$B$14</f>
        <v>-7</v>
      </c>
    </row>
    <row r="80" spans="1:11" x14ac:dyDescent="0.3">
      <c r="A80" t="s">
        <v>49</v>
      </c>
      <c r="B80">
        <v>956</v>
      </c>
      <c r="C80">
        <v>20</v>
      </c>
      <c r="D80">
        <v>16255</v>
      </c>
      <c r="E80" t="s">
        <v>10</v>
      </c>
      <c r="F80">
        <v>50</v>
      </c>
      <c r="G80" s="2">
        <v>40.61</v>
      </c>
      <c r="H80" s="2">
        <v>0.01</v>
      </c>
      <c r="I80" s="2">
        <v>1.1299999999999999</v>
      </c>
      <c r="J80" s="2">
        <v>41.75</v>
      </c>
      <c r="K80" s="5">
        <f>nantucket[[#This Row],[MW Factor]]-resources!$B$14</f>
        <v>-7</v>
      </c>
    </row>
    <row r="81" spans="1:11" x14ac:dyDescent="0.3">
      <c r="A81" t="s">
        <v>50</v>
      </c>
      <c r="B81">
        <v>979</v>
      </c>
      <c r="C81">
        <v>19</v>
      </c>
      <c r="D81">
        <v>16255</v>
      </c>
      <c r="E81" t="s">
        <v>10</v>
      </c>
      <c r="F81">
        <v>50</v>
      </c>
      <c r="G81" s="2">
        <v>55.36</v>
      </c>
      <c r="H81" s="2">
        <v>0</v>
      </c>
      <c r="I81" s="2">
        <v>1.43</v>
      </c>
      <c r="J81" s="2">
        <v>56.79</v>
      </c>
      <c r="K81" s="5">
        <f>nantucket[[#This Row],[MW Factor]]-resources!$B$14</f>
        <v>-7</v>
      </c>
    </row>
    <row r="82" spans="1:11" x14ac:dyDescent="0.3">
      <c r="A82" t="s">
        <v>17</v>
      </c>
      <c r="B82">
        <v>186</v>
      </c>
      <c r="C82">
        <v>18</v>
      </c>
      <c r="D82">
        <v>16255</v>
      </c>
      <c r="E82" t="s">
        <v>10</v>
      </c>
      <c r="F82">
        <v>49</v>
      </c>
      <c r="G82" s="2">
        <v>277.73</v>
      </c>
      <c r="H82" s="2">
        <v>0</v>
      </c>
      <c r="I82" s="2">
        <v>6.75</v>
      </c>
      <c r="J82" s="2">
        <v>284.48</v>
      </c>
      <c r="K82" s="5">
        <f>nantucket[[#This Row],[MW Factor]]-resources!$B$14</f>
        <v>-8</v>
      </c>
    </row>
    <row r="83" spans="1:11" x14ac:dyDescent="0.3">
      <c r="A83" t="s">
        <v>20</v>
      </c>
      <c r="B83">
        <v>257</v>
      </c>
      <c r="C83">
        <v>17</v>
      </c>
      <c r="D83">
        <v>16255</v>
      </c>
      <c r="E83" t="s">
        <v>10</v>
      </c>
      <c r="F83">
        <v>49</v>
      </c>
      <c r="G83" s="2">
        <v>58.97</v>
      </c>
      <c r="H83" s="2">
        <v>0</v>
      </c>
      <c r="I83" s="2">
        <v>0.78</v>
      </c>
      <c r="J83" s="2">
        <v>59.75</v>
      </c>
      <c r="K83" s="5">
        <f>nantucket[[#This Row],[MW Factor]]-resources!$B$14</f>
        <v>-8</v>
      </c>
    </row>
    <row r="84" spans="1:11" x14ac:dyDescent="0.3">
      <c r="A84" t="s">
        <v>21</v>
      </c>
      <c r="B84">
        <v>285</v>
      </c>
      <c r="C84">
        <v>21</v>
      </c>
      <c r="D84">
        <v>16255</v>
      </c>
      <c r="E84" t="s">
        <v>10</v>
      </c>
      <c r="F84">
        <v>49</v>
      </c>
      <c r="G84" s="2">
        <v>62.65</v>
      </c>
      <c r="H84" s="2">
        <v>0</v>
      </c>
      <c r="I84" s="2">
        <v>0.93</v>
      </c>
      <c r="J84" s="2">
        <v>63.58</v>
      </c>
      <c r="K84" s="5">
        <f>nantucket[[#This Row],[MW Factor]]-resources!$B$14</f>
        <v>-8</v>
      </c>
    </row>
    <row r="85" spans="1:11" x14ac:dyDescent="0.3">
      <c r="A85" t="s">
        <v>24</v>
      </c>
      <c r="B85">
        <v>349</v>
      </c>
      <c r="C85">
        <v>13</v>
      </c>
      <c r="D85">
        <v>16255</v>
      </c>
      <c r="E85" t="s">
        <v>10</v>
      </c>
      <c r="F85">
        <v>49</v>
      </c>
      <c r="G85" s="2">
        <v>67.63</v>
      </c>
      <c r="H85" s="2">
        <v>0</v>
      </c>
      <c r="I85" s="2">
        <v>0.7</v>
      </c>
      <c r="J85" s="2">
        <v>68.33</v>
      </c>
      <c r="K85" s="5">
        <f>nantucket[[#This Row],[MW Factor]]-resources!$B$14</f>
        <v>-8</v>
      </c>
    </row>
    <row r="86" spans="1:11" x14ac:dyDescent="0.3">
      <c r="A86" t="s">
        <v>24</v>
      </c>
      <c r="B86">
        <v>351</v>
      </c>
      <c r="C86">
        <v>15</v>
      </c>
      <c r="D86">
        <v>16255</v>
      </c>
      <c r="E86" t="s">
        <v>10</v>
      </c>
      <c r="F86">
        <v>49</v>
      </c>
      <c r="G86" s="2">
        <v>93.62</v>
      </c>
      <c r="H86" s="2">
        <v>0</v>
      </c>
      <c r="I86" s="2">
        <v>1.77</v>
      </c>
      <c r="J86" s="2">
        <v>95.39</v>
      </c>
      <c r="K86" s="5">
        <f>nantucket[[#This Row],[MW Factor]]-resources!$B$14</f>
        <v>-8</v>
      </c>
    </row>
    <row r="87" spans="1:11" x14ac:dyDescent="0.3">
      <c r="A87" t="s">
        <v>26</v>
      </c>
      <c r="B87">
        <v>400</v>
      </c>
      <c r="C87">
        <v>16</v>
      </c>
      <c r="D87">
        <v>16255</v>
      </c>
      <c r="E87" t="s">
        <v>10</v>
      </c>
      <c r="F87">
        <v>49</v>
      </c>
      <c r="G87" s="2">
        <v>54.14</v>
      </c>
      <c r="H87" s="2">
        <v>0.03</v>
      </c>
      <c r="I87" s="2">
        <v>0.7</v>
      </c>
      <c r="J87" s="2">
        <v>54.87</v>
      </c>
      <c r="K87" s="5">
        <f>nantucket[[#This Row],[MW Factor]]-resources!$B$14</f>
        <v>-8</v>
      </c>
    </row>
    <row r="88" spans="1:11" x14ac:dyDescent="0.3">
      <c r="A88" t="s">
        <v>26</v>
      </c>
      <c r="B88">
        <v>406</v>
      </c>
      <c r="C88">
        <v>22</v>
      </c>
      <c r="D88">
        <v>16255</v>
      </c>
      <c r="E88" t="s">
        <v>10</v>
      </c>
      <c r="F88">
        <v>49</v>
      </c>
      <c r="G88" s="2">
        <v>44.33</v>
      </c>
      <c r="H88" s="2">
        <v>0.03</v>
      </c>
      <c r="I88" s="2">
        <v>0.85</v>
      </c>
      <c r="J88" s="2">
        <v>45.21</v>
      </c>
      <c r="K88" s="5">
        <f>nantucket[[#This Row],[MW Factor]]-resources!$B$14</f>
        <v>-8</v>
      </c>
    </row>
    <row r="89" spans="1:11" x14ac:dyDescent="0.3">
      <c r="A89" t="s">
        <v>30</v>
      </c>
      <c r="B89">
        <v>498</v>
      </c>
      <c r="C89">
        <v>18</v>
      </c>
      <c r="D89">
        <v>16255</v>
      </c>
      <c r="E89" t="s">
        <v>10</v>
      </c>
      <c r="F89">
        <v>49</v>
      </c>
      <c r="G89" s="2">
        <v>43.13</v>
      </c>
      <c r="H89" s="2">
        <v>0.01</v>
      </c>
      <c r="I89" s="2">
        <v>0.96</v>
      </c>
      <c r="J89" s="2">
        <v>44.1</v>
      </c>
      <c r="K89" s="5">
        <f>nantucket[[#This Row],[MW Factor]]-resources!$B$14</f>
        <v>-8</v>
      </c>
    </row>
    <row r="90" spans="1:11" x14ac:dyDescent="0.3">
      <c r="A90" t="s">
        <v>31</v>
      </c>
      <c r="B90">
        <v>523</v>
      </c>
      <c r="C90">
        <v>19</v>
      </c>
      <c r="D90">
        <v>16255</v>
      </c>
      <c r="E90" t="s">
        <v>10</v>
      </c>
      <c r="F90">
        <v>49</v>
      </c>
      <c r="G90" s="2">
        <v>45.85</v>
      </c>
      <c r="H90" s="2">
        <v>0</v>
      </c>
      <c r="I90" s="2">
        <v>0.99</v>
      </c>
      <c r="J90" s="2">
        <v>46.84</v>
      </c>
      <c r="K90" s="5">
        <f>nantucket[[#This Row],[MW Factor]]-resources!$B$14</f>
        <v>-8</v>
      </c>
    </row>
    <row r="91" spans="1:11" x14ac:dyDescent="0.3">
      <c r="A91" t="s">
        <v>31</v>
      </c>
      <c r="B91">
        <v>524</v>
      </c>
      <c r="C91">
        <v>20</v>
      </c>
      <c r="D91">
        <v>16255</v>
      </c>
      <c r="E91" t="s">
        <v>10</v>
      </c>
      <c r="F91">
        <v>49</v>
      </c>
      <c r="G91" s="2">
        <v>61.59</v>
      </c>
      <c r="H91" s="2">
        <v>0.01</v>
      </c>
      <c r="I91" s="2">
        <v>1.08</v>
      </c>
      <c r="J91" s="2">
        <v>62.68</v>
      </c>
      <c r="K91" s="5">
        <f>nantucket[[#This Row],[MW Factor]]-resources!$B$14</f>
        <v>-8</v>
      </c>
    </row>
    <row r="92" spans="1:11" x14ac:dyDescent="0.3">
      <c r="A92" t="s">
        <v>36</v>
      </c>
      <c r="B92">
        <v>643</v>
      </c>
      <c r="C92">
        <v>19</v>
      </c>
      <c r="D92">
        <v>16255</v>
      </c>
      <c r="E92" t="s">
        <v>10</v>
      </c>
      <c r="F92">
        <v>49</v>
      </c>
      <c r="G92" s="2">
        <v>38.520000000000003</v>
      </c>
      <c r="H92" s="2">
        <v>0</v>
      </c>
      <c r="I92" s="2">
        <v>0.84</v>
      </c>
      <c r="J92" s="2">
        <v>39.36</v>
      </c>
      <c r="K92" s="5">
        <f>nantucket[[#This Row],[MW Factor]]-resources!$B$14</f>
        <v>-8</v>
      </c>
    </row>
    <row r="93" spans="1:11" x14ac:dyDescent="0.3">
      <c r="A93" t="s">
        <v>39</v>
      </c>
      <c r="B93">
        <v>714</v>
      </c>
      <c r="C93">
        <v>18</v>
      </c>
      <c r="D93">
        <v>16255</v>
      </c>
      <c r="E93" t="s">
        <v>10</v>
      </c>
      <c r="F93">
        <v>49</v>
      </c>
      <c r="G93" s="2">
        <v>78.66</v>
      </c>
      <c r="H93" s="2">
        <v>0</v>
      </c>
      <c r="I93" s="2">
        <v>1.1499999999999999</v>
      </c>
      <c r="J93" s="2">
        <v>79.81</v>
      </c>
      <c r="K93" s="5">
        <f>nantucket[[#This Row],[MW Factor]]-resources!$B$14</f>
        <v>-8</v>
      </c>
    </row>
    <row r="94" spans="1:11" x14ac:dyDescent="0.3">
      <c r="A94" t="s">
        <v>40</v>
      </c>
      <c r="B94">
        <v>740</v>
      </c>
      <c r="C94">
        <v>20</v>
      </c>
      <c r="D94">
        <v>16255</v>
      </c>
      <c r="E94" t="s">
        <v>10</v>
      </c>
      <c r="F94">
        <v>49</v>
      </c>
      <c r="G94" s="2">
        <v>181</v>
      </c>
      <c r="H94" s="2">
        <v>0</v>
      </c>
      <c r="I94" s="2">
        <v>2.58</v>
      </c>
      <c r="J94" s="2">
        <v>183.58</v>
      </c>
      <c r="K94" s="5">
        <f>nantucket[[#This Row],[MW Factor]]-resources!$B$14</f>
        <v>-8</v>
      </c>
    </row>
    <row r="95" spans="1:11" x14ac:dyDescent="0.3">
      <c r="A95" t="s">
        <v>41</v>
      </c>
      <c r="B95">
        <v>760</v>
      </c>
      <c r="C95">
        <v>16</v>
      </c>
      <c r="D95">
        <v>16255</v>
      </c>
      <c r="E95" t="s">
        <v>10</v>
      </c>
      <c r="F95">
        <v>49</v>
      </c>
      <c r="G95" s="2">
        <v>93.53</v>
      </c>
      <c r="H95" s="2">
        <v>0</v>
      </c>
      <c r="I95" s="2">
        <v>1.25</v>
      </c>
      <c r="J95" s="2">
        <v>94.78</v>
      </c>
      <c r="K95" s="5">
        <f>nantucket[[#This Row],[MW Factor]]-resources!$B$14</f>
        <v>-8</v>
      </c>
    </row>
    <row r="96" spans="1:11" x14ac:dyDescent="0.3">
      <c r="A96" t="s">
        <v>41</v>
      </c>
      <c r="B96">
        <v>765</v>
      </c>
      <c r="C96">
        <v>21</v>
      </c>
      <c r="D96">
        <v>16255</v>
      </c>
      <c r="E96" t="s">
        <v>10</v>
      </c>
      <c r="F96">
        <v>49</v>
      </c>
      <c r="G96" s="2">
        <v>300.67</v>
      </c>
      <c r="H96" s="2">
        <v>0</v>
      </c>
      <c r="I96" s="2">
        <v>6.66</v>
      </c>
      <c r="J96" s="2">
        <v>307.33</v>
      </c>
      <c r="K96" s="5">
        <f>nantucket[[#This Row],[MW Factor]]-resources!$B$14</f>
        <v>-8</v>
      </c>
    </row>
    <row r="97" spans="1:11" x14ac:dyDescent="0.3">
      <c r="A97" t="s">
        <v>42</v>
      </c>
      <c r="B97">
        <v>781</v>
      </c>
      <c r="C97">
        <v>13</v>
      </c>
      <c r="D97">
        <v>16255</v>
      </c>
      <c r="E97" t="s">
        <v>10</v>
      </c>
      <c r="F97">
        <v>49</v>
      </c>
      <c r="G97" s="2">
        <v>72.400000000000006</v>
      </c>
      <c r="H97" s="2">
        <v>0.03</v>
      </c>
      <c r="I97" s="2">
        <v>0.27</v>
      </c>
      <c r="J97" s="2">
        <v>72.7</v>
      </c>
      <c r="K97" s="5">
        <f>nantucket[[#This Row],[MW Factor]]-resources!$B$14</f>
        <v>-8</v>
      </c>
    </row>
    <row r="98" spans="1:11" x14ac:dyDescent="0.3">
      <c r="A98" t="s">
        <v>43</v>
      </c>
      <c r="B98">
        <v>805</v>
      </c>
      <c r="C98">
        <v>13</v>
      </c>
      <c r="D98">
        <v>16255</v>
      </c>
      <c r="E98" t="s">
        <v>10</v>
      </c>
      <c r="F98">
        <v>49</v>
      </c>
      <c r="G98" s="2">
        <v>42.5</v>
      </c>
      <c r="H98" s="2">
        <v>0</v>
      </c>
      <c r="I98" s="2">
        <v>0.48</v>
      </c>
      <c r="J98" s="2">
        <v>42.98</v>
      </c>
      <c r="K98" s="5">
        <f>nantucket[[#This Row],[MW Factor]]-resources!$B$14</f>
        <v>-8</v>
      </c>
    </row>
    <row r="99" spans="1:11" x14ac:dyDescent="0.3">
      <c r="A99" t="s">
        <v>44</v>
      </c>
      <c r="B99">
        <v>829</v>
      </c>
      <c r="C99">
        <v>13</v>
      </c>
      <c r="D99">
        <v>16255</v>
      </c>
      <c r="E99" t="s">
        <v>10</v>
      </c>
      <c r="F99">
        <v>49</v>
      </c>
      <c r="G99" s="2">
        <v>27.92</v>
      </c>
      <c r="H99" s="2">
        <v>0</v>
      </c>
      <c r="I99" s="2">
        <v>0.32</v>
      </c>
      <c r="J99" s="2">
        <v>28.24</v>
      </c>
      <c r="K99" s="5">
        <f>nantucket[[#This Row],[MW Factor]]-resources!$B$14</f>
        <v>-8</v>
      </c>
    </row>
    <row r="100" spans="1:11" x14ac:dyDescent="0.3">
      <c r="A100" t="s">
        <v>44</v>
      </c>
      <c r="B100">
        <v>830</v>
      </c>
      <c r="C100">
        <v>14</v>
      </c>
      <c r="D100">
        <v>16255</v>
      </c>
      <c r="E100" t="s">
        <v>10</v>
      </c>
      <c r="F100">
        <v>49</v>
      </c>
      <c r="G100" s="2">
        <v>27.91</v>
      </c>
      <c r="H100" s="2">
        <v>0</v>
      </c>
      <c r="I100" s="2">
        <v>0.31</v>
      </c>
      <c r="J100" s="2">
        <v>28.22</v>
      </c>
      <c r="K100" s="5">
        <f>nantucket[[#This Row],[MW Factor]]-resources!$B$14</f>
        <v>-8</v>
      </c>
    </row>
    <row r="101" spans="1:11" x14ac:dyDescent="0.3">
      <c r="A101" t="s">
        <v>45</v>
      </c>
      <c r="B101">
        <v>855</v>
      </c>
      <c r="C101">
        <v>15</v>
      </c>
      <c r="D101">
        <v>16255</v>
      </c>
      <c r="E101" t="s">
        <v>10</v>
      </c>
      <c r="F101">
        <v>49</v>
      </c>
      <c r="G101" s="2">
        <v>39.53</v>
      </c>
      <c r="H101" s="2">
        <v>0</v>
      </c>
      <c r="I101" s="2">
        <v>0.42</v>
      </c>
      <c r="J101" s="2">
        <v>39.950000000000003</v>
      </c>
      <c r="K101" s="5">
        <f>nantucket[[#This Row],[MW Factor]]-resources!$B$14</f>
        <v>-8</v>
      </c>
    </row>
    <row r="102" spans="1:11" x14ac:dyDescent="0.3">
      <c r="A102" t="s">
        <v>45</v>
      </c>
      <c r="B102">
        <v>862</v>
      </c>
      <c r="C102">
        <v>22</v>
      </c>
      <c r="D102">
        <v>16255</v>
      </c>
      <c r="E102" t="s">
        <v>10</v>
      </c>
      <c r="F102">
        <v>49</v>
      </c>
      <c r="G102" s="2">
        <v>48.62</v>
      </c>
      <c r="H102" s="2">
        <v>0</v>
      </c>
      <c r="I102" s="2">
        <v>0.81</v>
      </c>
      <c r="J102" s="2">
        <v>49.43</v>
      </c>
      <c r="K102" s="5">
        <f>nantucket[[#This Row],[MW Factor]]-resources!$B$14</f>
        <v>-8</v>
      </c>
    </row>
    <row r="103" spans="1:11" x14ac:dyDescent="0.3">
      <c r="A103" t="s">
        <v>50</v>
      </c>
      <c r="B103">
        <v>978</v>
      </c>
      <c r="C103">
        <v>18</v>
      </c>
      <c r="D103">
        <v>16255</v>
      </c>
      <c r="E103" t="s">
        <v>10</v>
      </c>
      <c r="F103">
        <v>49</v>
      </c>
      <c r="G103" s="2">
        <v>46.72</v>
      </c>
      <c r="H103" s="2">
        <v>0.02</v>
      </c>
      <c r="I103" s="2">
        <v>1.1399999999999999</v>
      </c>
      <c r="J103" s="2">
        <v>47.88</v>
      </c>
      <c r="K103" s="5">
        <f>nantucket[[#This Row],[MW Factor]]-resources!$B$14</f>
        <v>-8</v>
      </c>
    </row>
    <row r="104" spans="1:11" x14ac:dyDescent="0.3">
      <c r="A104" t="s">
        <v>17</v>
      </c>
      <c r="B104">
        <v>185</v>
      </c>
      <c r="C104">
        <v>17</v>
      </c>
      <c r="D104">
        <v>16255</v>
      </c>
      <c r="E104" t="s">
        <v>10</v>
      </c>
      <c r="F104">
        <v>48</v>
      </c>
      <c r="G104" s="2">
        <v>207.55</v>
      </c>
      <c r="H104" s="2">
        <v>0</v>
      </c>
      <c r="I104" s="2">
        <v>3.98</v>
      </c>
      <c r="J104" s="2">
        <v>211.53</v>
      </c>
      <c r="K104" s="5">
        <f>nantucket[[#This Row],[MW Factor]]-resources!$B$14</f>
        <v>-9</v>
      </c>
    </row>
    <row r="105" spans="1:11" x14ac:dyDescent="0.3">
      <c r="A105" t="s">
        <v>17</v>
      </c>
      <c r="B105">
        <v>187</v>
      </c>
      <c r="C105">
        <v>19</v>
      </c>
      <c r="D105">
        <v>16255</v>
      </c>
      <c r="E105" t="s">
        <v>10</v>
      </c>
      <c r="F105">
        <v>48</v>
      </c>
      <c r="G105" s="2">
        <v>500.21</v>
      </c>
      <c r="H105" s="2">
        <v>0</v>
      </c>
      <c r="I105" s="2">
        <v>13.24</v>
      </c>
      <c r="J105" s="2">
        <v>513.45000000000005</v>
      </c>
      <c r="K105" s="5">
        <f>nantucket[[#This Row],[MW Factor]]-resources!$B$14</f>
        <v>-9</v>
      </c>
    </row>
    <row r="106" spans="1:11" x14ac:dyDescent="0.3">
      <c r="A106" t="s">
        <v>18</v>
      </c>
      <c r="B106">
        <v>211</v>
      </c>
      <c r="C106">
        <v>19</v>
      </c>
      <c r="D106">
        <v>16255</v>
      </c>
      <c r="E106" t="s">
        <v>10</v>
      </c>
      <c r="F106">
        <v>48</v>
      </c>
      <c r="G106" s="2">
        <v>57.78</v>
      </c>
      <c r="H106" s="2">
        <v>0</v>
      </c>
      <c r="I106" s="2">
        <v>1.43</v>
      </c>
      <c r="J106" s="2">
        <v>59.21</v>
      </c>
      <c r="K106" s="5">
        <f>nantucket[[#This Row],[MW Factor]]-resources!$B$14</f>
        <v>-9</v>
      </c>
    </row>
    <row r="107" spans="1:11" x14ac:dyDescent="0.3">
      <c r="A107" t="s">
        <v>19</v>
      </c>
      <c r="B107">
        <v>233</v>
      </c>
      <c r="C107">
        <v>17</v>
      </c>
      <c r="D107">
        <v>16255</v>
      </c>
      <c r="E107" t="s">
        <v>10</v>
      </c>
      <c r="F107">
        <v>48</v>
      </c>
      <c r="G107" s="2">
        <v>70.62</v>
      </c>
      <c r="H107" s="2">
        <v>0</v>
      </c>
      <c r="I107" s="2">
        <v>1.26</v>
      </c>
      <c r="J107" s="2">
        <v>71.88</v>
      </c>
      <c r="K107" s="5">
        <f>nantucket[[#This Row],[MW Factor]]-resources!$B$14</f>
        <v>-9</v>
      </c>
    </row>
    <row r="108" spans="1:11" x14ac:dyDescent="0.3">
      <c r="A108" t="s">
        <v>19</v>
      </c>
      <c r="B108">
        <v>237</v>
      </c>
      <c r="C108">
        <v>21</v>
      </c>
      <c r="D108">
        <v>16255</v>
      </c>
      <c r="E108" t="s">
        <v>10</v>
      </c>
      <c r="F108">
        <v>48</v>
      </c>
      <c r="G108" s="2">
        <v>88.85</v>
      </c>
      <c r="H108" s="2">
        <v>0</v>
      </c>
      <c r="I108" s="2">
        <v>1.72</v>
      </c>
      <c r="J108" s="2">
        <v>90.57</v>
      </c>
      <c r="K108" s="5">
        <f>nantucket[[#This Row],[MW Factor]]-resources!$B$14</f>
        <v>-9</v>
      </c>
    </row>
    <row r="109" spans="1:11" x14ac:dyDescent="0.3">
      <c r="A109" t="s">
        <v>20</v>
      </c>
      <c r="B109">
        <v>256</v>
      </c>
      <c r="C109">
        <v>16</v>
      </c>
      <c r="D109">
        <v>16255</v>
      </c>
      <c r="E109" t="s">
        <v>10</v>
      </c>
      <c r="F109">
        <v>48</v>
      </c>
      <c r="G109" s="2">
        <v>53.13</v>
      </c>
      <c r="H109" s="2">
        <v>0</v>
      </c>
      <c r="I109" s="2">
        <v>0.57999999999999996</v>
      </c>
      <c r="J109" s="2">
        <v>53.71</v>
      </c>
      <c r="K109" s="5">
        <f>nantucket[[#This Row],[MW Factor]]-resources!$B$14</f>
        <v>-9</v>
      </c>
    </row>
    <row r="110" spans="1:11" x14ac:dyDescent="0.3">
      <c r="A110" t="s">
        <v>20</v>
      </c>
      <c r="B110">
        <v>261</v>
      </c>
      <c r="C110">
        <v>21</v>
      </c>
      <c r="D110">
        <v>16255</v>
      </c>
      <c r="E110" t="s">
        <v>10</v>
      </c>
      <c r="F110">
        <v>48</v>
      </c>
      <c r="G110" s="2">
        <v>59.12</v>
      </c>
      <c r="H110" s="2">
        <v>0</v>
      </c>
      <c r="I110" s="2">
        <v>0.94</v>
      </c>
      <c r="J110" s="2">
        <v>60.06</v>
      </c>
      <c r="K110" s="5">
        <f>nantucket[[#This Row],[MW Factor]]-resources!$B$14</f>
        <v>-9</v>
      </c>
    </row>
    <row r="111" spans="1:11" x14ac:dyDescent="0.3">
      <c r="A111" t="s">
        <v>21</v>
      </c>
      <c r="B111">
        <v>280</v>
      </c>
      <c r="C111">
        <v>16</v>
      </c>
      <c r="D111">
        <v>16255</v>
      </c>
      <c r="E111" t="s">
        <v>10</v>
      </c>
      <c r="F111">
        <v>48</v>
      </c>
      <c r="G111" s="2">
        <v>28.04</v>
      </c>
      <c r="H111" s="2">
        <v>0</v>
      </c>
      <c r="I111" s="2">
        <v>0.33</v>
      </c>
      <c r="J111" s="2">
        <v>28.37</v>
      </c>
      <c r="K111" s="5">
        <f>nantucket[[#This Row],[MW Factor]]-resources!$B$14</f>
        <v>-9</v>
      </c>
    </row>
    <row r="112" spans="1:11" x14ac:dyDescent="0.3">
      <c r="A112" t="s">
        <v>22</v>
      </c>
      <c r="B112">
        <v>301</v>
      </c>
      <c r="C112">
        <v>13</v>
      </c>
      <c r="D112">
        <v>16255</v>
      </c>
      <c r="E112" t="s">
        <v>10</v>
      </c>
      <c r="F112">
        <v>48</v>
      </c>
      <c r="G112" s="2">
        <v>33.49</v>
      </c>
      <c r="H112" s="2">
        <v>0</v>
      </c>
      <c r="I112" s="2">
        <v>0.39</v>
      </c>
      <c r="J112" s="2">
        <v>33.880000000000003</v>
      </c>
      <c r="K112" s="5">
        <f>nantucket[[#This Row],[MW Factor]]-resources!$B$14</f>
        <v>-9</v>
      </c>
    </row>
    <row r="113" spans="1:11" x14ac:dyDescent="0.3">
      <c r="A113" t="s">
        <v>22</v>
      </c>
      <c r="B113">
        <v>302</v>
      </c>
      <c r="C113">
        <v>14</v>
      </c>
      <c r="D113">
        <v>16255</v>
      </c>
      <c r="E113" t="s">
        <v>10</v>
      </c>
      <c r="F113">
        <v>48</v>
      </c>
      <c r="G113" s="2">
        <v>36.76</v>
      </c>
      <c r="H113" s="2">
        <v>0</v>
      </c>
      <c r="I113" s="2">
        <v>0.46</v>
      </c>
      <c r="J113" s="2">
        <v>37.22</v>
      </c>
      <c r="K113" s="5">
        <f>nantucket[[#This Row],[MW Factor]]-resources!$B$14</f>
        <v>-9</v>
      </c>
    </row>
    <row r="114" spans="1:11" x14ac:dyDescent="0.3">
      <c r="A114" t="s">
        <v>23</v>
      </c>
      <c r="B114">
        <v>329</v>
      </c>
      <c r="C114">
        <v>17</v>
      </c>
      <c r="D114">
        <v>16255</v>
      </c>
      <c r="E114" t="s">
        <v>10</v>
      </c>
      <c r="F114">
        <v>48</v>
      </c>
      <c r="G114" s="2">
        <v>44.7</v>
      </c>
      <c r="H114" s="2">
        <v>0</v>
      </c>
      <c r="I114" s="2">
        <v>0.52</v>
      </c>
      <c r="J114" s="2">
        <v>45.22</v>
      </c>
      <c r="K114" s="5">
        <f>nantucket[[#This Row],[MW Factor]]-resources!$B$14</f>
        <v>-9</v>
      </c>
    </row>
    <row r="115" spans="1:11" x14ac:dyDescent="0.3">
      <c r="A115" t="s">
        <v>23</v>
      </c>
      <c r="B115">
        <v>332</v>
      </c>
      <c r="C115">
        <v>20</v>
      </c>
      <c r="D115">
        <v>16255</v>
      </c>
      <c r="E115" t="s">
        <v>10</v>
      </c>
      <c r="F115">
        <v>48</v>
      </c>
      <c r="G115" s="2">
        <v>75.03</v>
      </c>
      <c r="H115" s="2">
        <v>0</v>
      </c>
      <c r="I115" s="2">
        <v>1.71</v>
      </c>
      <c r="J115" s="2">
        <v>76.739999999999995</v>
      </c>
      <c r="K115" s="5">
        <f>nantucket[[#This Row],[MW Factor]]-resources!$B$14</f>
        <v>-9</v>
      </c>
    </row>
    <row r="116" spans="1:11" x14ac:dyDescent="0.3">
      <c r="A116" t="s">
        <v>24</v>
      </c>
      <c r="B116">
        <v>350</v>
      </c>
      <c r="C116">
        <v>14</v>
      </c>
      <c r="D116">
        <v>16255</v>
      </c>
      <c r="E116" t="s">
        <v>10</v>
      </c>
      <c r="F116">
        <v>48</v>
      </c>
      <c r="G116" s="2">
        <v>48.87</v>
      </c>
      <c r="H116" s="2">
        <v>0</v>
      </c>
      <c r="I116" s="2">
        <v>0.72</v>
      </c>
      <c r="J116" s="2">
        <v>49.59</v>
      </c>
      <c r="K116" s="5">
        <f>nantucket[[#This Row],[MW Factor]]-resources!$B$14</f>
        <v>-9</v>
      </c>
    </row>
    <row r="117" spans="1:11" x14ac:dyDescent="0.3">
      <c r="A117" t="s">
        <v>25</v>
      </c>
      <c r="B117">
        <v>373</v>
      </c>
      <c r="C117">
        <v>13</v>
      </c>
      <c r="D117">
        <v>16255</v>
      </c>
      <c r="E117" t="s">
        <v>10</v>
      </c>
      <c r="F117">
        <v>48</v>
      </c>
      <c r="G117" s="2">
        <v>36.26</v>
      </c>
      <c r="H117" s="2">
        <v>0</v>
      </c>
      <c r="I117" s="2">
        <v>0.49</v>
      </c>
      <c r="J117" s="2">
        <v>36.75</v>
      </c>
      <c r="K117" s="5">
        <f>nantucket[[#This Row],[MW Factor]]-resources!$B$14</f>
        <v>-9</v>
      </c>
    </row>
    <row r="118" spans="1:11" x14ac:dyDescent="0.3">
      <c r="A118" t="s">
        <v>25</v>
      </c>
      <c r="B118">
        <v>383</v>
      </c>
      <c r="C118">
        <v>23</v>
      </c>
      <c r="D118">
        <v>16255</v>
      </c>
      <c r="E118" t="s">
        <v>10</v>
      </c>
      <c r="F118">
        <v>48</v>
      </c>
      <c r="G118" s="2">
        <v>67.27</v>
      </c>
      <c r="H118" s="2">
        <v>0.66</v>
      </c>
      <c r="I118" s="2">
        <v>1.1599999999999999</v>
      </c>
      <c r="J118" s="2">
        <v>69.09</v>
      </c>
      <c r="K118" s="5">
        <f>nantucket[[#This Row],[MW Factor]]-resources!$B$14</f>
        <v>-9</v>
      </c>
    </row>
    <row r="119" spans="1:11" x14ac:dyDescent="0.3">
      <c r="A119" t="s">
        <v>27</v>
      </c>
      <c r="B119">
        <v>421</v>
      </c>
      <c r="C119">
        <v>13</v>
      </c>
      <c r="D119">
        <v>16255</v>
      </c>
      <c r="E119" t="s">
        <v>10</v>
      </c>
      <c r="F119">
        <v>48</v>
      </c>
      <c r="G119" s="2">
        <v>29.11</v>
      </c>
      <c r="H119" s="2">
        <v>0</v>
      </c>
      <c r="I119" s="2">
        <v>0.33</v>
      </c>
      <c r="J119" s="2">
        <v>29.44</v>
      </c>
      <c r="K119" s="5">
        <f>nantucket[[#This Row],[MW Factor]]-resources!$B$14</f>
        <v>-9</v>
      </c>
    </row>
    <row r="120" spans="1:11" x14ac:dyDescent="0.3">
      <c r="A120" t="s">
        <v>27</v>
      </c>
      <c r="B120">
        <v>426</v>
      </c>
      <c r="C120">
        <v>18</v>
      </c>
      <c r="D120">
        <v>16255</v>
      </c>
      <c r="E120" t="s">
        <v>10</v>
      </c>
      <c r="F120">
        <v>48</v>
      </c>
      <c r="G120" s="2">
        <v>49.82</v>
      </c>
      <c r="H120" s="2">
        <v>0</v>
      </c>
      <c r="I120" s="2">
        <v>0.85</v>
      </c>
      <c r="J120" s="2">
        <v>50.67</v>
      </c>
      <c r="K120" s="5">
        <f>nantucket[[#This Row],[MW Factor]]-resources!$B$14</f>
        <v>-9</v>
      </c>
    </row>
    <row r="121" spans="1:11" x14ac:dyDescent="0.3">
      <c r="A121" t="s">
        <v>29</v>
      </c>
      <c r="B121">
        <v>475</v>
      </c>
      <c r="C121">
        <v>19</v>
      </c>
      <c r="D121">
        <v>16255</v>
      </c>
      <c r="E121" t="s">
        <v>10</v>
      </c>
      <c r="F121">
        <v>48</v>
      </c>
      <c r="G121" s="2">
        <v>39.31</v>
      </c>
      <c r="H121" s="2">
        <v>0</v>
      </c>
      <c r="I121" s="2">
        <v>0.93</v>
      </c>
      <c r="J121" s="2">
        <v>40.24</v>
      </c>
      <c r="K121" s="5">
        <f>nantucket[[#This Row],[MW Factor]]-resources!$B$14</f>
        <v>-9</v>
      </c>
    </row>
    <row r="122" spans="1:11" x14ac:dyDescent="0.3">
      <c r="A122" t="s">
        <v>30</v>
      </c>
      <c r="B122">
        <v>500</v>
      </c>
      <c r="C122">
        <v>20</v>
      </c>
      <c r="D122">
        <v>16255</v>
      </c>
      <c r="E122" t="s">
        <v>10</v>
      </c>
      <c r="F122">
        <v>48</v>
      </c>
      <c r="G122" s="2">
        <v>54.67</v>
      </c>
      <c r="H122" s="2">
        <v>0</v>
      </c>
      <c r="I122" s="2">
        <v>1.4</v>
      </c>
      <c r="J122" s="2">
        <v>56.07</v>
      </c>
      <c r="K122" s="5">
        <f>nantucket[[#This Row],[MW Factor]]-resources!$B$14</f>
        <v>-9</v>
      </c>
    </row>
    <row r="123" spans="1:11" x14ac:dyDescent="0.3">
      <c r="A123" t="s">
        <v>36</v>
      </c>
      <c r="B123">
        <v>642</v>
      </c>
      <c r="C123">
        <v>18</v>
      </c>
      <c r="D123">
        <v>16255</v>
      </c>
      <c r="E123" t="s">
        <v>10</v>
      </c>
      <c r="F123">
        <v>48</v>
      </c>
      <c r="G123" s="2">
        <v>37.6</v>
      </c>
      <c r="H123" s="2">
        <v>0</v>
      </c>
      <c r="I123" s="2">
        <v>0.74</v>
      </c>
      <c r="J123" s="2">
        <v>38.340000000000003</v>
      </c>
      <c r="K123" s="5">
        <f>nantucket[[#This Row],[MW Factor]]-resources!$B$14</f>
        <v>-9</v>
      </c>
    </row>
    <row r="124" spans="1:11" x14ac:dyDescent="0.3">
      <c r="A124" t="s">
        <v>39</v>
      </c>
      <c r="B124">
        <v>716</v>
      </c>
      <c r="C124">
        <v>20</v>
      </c>
      <c r="D124">
        <v>16255</v>
      </c>
      <c r="E124" t="s">
        <v>10</v>
      </c>
      <c r="F124">
        <v>48</v>
      </c>
      <c r="G124" s="2">
        <v>214.78</v>
      </c>
      <c r="H124" s="2">
        <v>0</v>
      </c>
      <c r="I124" s="2">
        <v>3.72</v>
      </c>
      <c r="J124" s="2">
        <v>218.5</v>
      </c>
      <c r="K124" s="5">
        <f>nantucket[[#This Row],[MW Factor]]-resources!$B$14</f>
        <v>-9</v>
      </c>
    </row>
    <row r="125" spans="1:11" x14ac:dyDescent="0.3">
      <c r="A125" t="s">
        <v>41</v>
      </c>
      <c r="B125">
        <v>766</v>
      </c>
      <c r="C125">
        <v>22</v>
      </c>
      <c r="D125">
        <v>16255</v>
      </c>
      <c r="E125" t="s">
        <v>10</v>
      </c>
      <c r="F125">
        <v>48</v>
      </c>
      <c r="G125" s="2">
        <v>196.89</v>
      </c>
      <c r="H125" s="2">
        <v>0</v>
      </c>
      <c r="I125" s="2">
        <v>3.69</v>
      </c>
      <c r="J125" s="2">
        <v>200.58</v>
      </c>
      <c r="K125" s="5">
        <f>nantucket[[#This Row],[MW Factor]]-resources!$B$14</f>
        <v>-9</v>
      </c>
    </row>
    <row r="126" spans="1:11" x14ac:dyDescent="0.3">
      <c r="A126" t="s">
        <v>42</v>
      </c>
      <c r="B126">
        <v>791</v>
      </c>
      <c r="C126">
        <v>23</v>
      </c>
      <c r="D126">
        <v>16255</v>
      </c>
      <c r="E126" t="s">
        <v>10</v>
      </c>
      <c r="F126">
        <v>48</v>
      </c>
      <c r="G126" s="2">
        <v>32.67</v>
      </c>
      <c r="H126" s="2">
        <v>0</v>
      </c>
      <c r="I126" s="2">
        <v>0.39</v>
      </c>
      <c r="J126" s="2">
        <v>33.06</v>
      </c>
      <c r="K126" s="5">
        <f>nantucket[[#This Row],[MW Factor]]-resources!$B$14</f>
        <v>-9</v>
      </c>
    </row>
    <row r="127" spans="1:11" x14ac:dyDescent="0.3">
      <c r="A127" t="s">
        <v>43</v>
      </c>
      <c r="B127">
        <v>815</v>
      </c>
      <c r="C127">
        <v>23</v>
      </c>
      <c r="D127">
        <v>16255</v>
      </c>
      <c r="E127" t="s">
        <v>10</v>
      </c>
      <c r="F127">
        <v>48</v>
      </c>
      <c r="G127" s="2">
        <v>27.54</v>
      </c>
      <c r="H127" s="2">
        <v>0</v>
      </c>
      <c r="I127" s="2">
        <v>0.43</v>
      </c>
      <c r="J127" s="2">
        <v>27.97</v>
      </c>
      <c r="K127" s="5">
        <f>nantucket[[#This Row],[MW Factor]]-resources!$B$14</f>
        <v>-9</v>
      </c>
    </row>
    <row r="128" spans="1:11" x14ac:dyDescent="0.3">
      <c r="A128" t="s">
        <v>44</v>
      </c>
      <c r="B128">
        <v>838</v>
      </c>
      <c r="C128">
        <v>22</v>
      </c>
      <c r="D128">
        <v>16255</v>
      </c>
      <c r="E128" t="s">
        <v>10</v>
      </c>
      <c r="F128">
        <v>48</v>
      </c>
      <c r="G128" s="2">
        <v>25.85</v>
      </c>
      <c r="H128" s="2">
        <v>0</v>
      </c>
      <c r="I128" s="2">
        <v>0.38</v>
      </c>
      <c r="J128" s="2">
        <v>26.23</v>
      </c>
      <c r="K128" s="5">
        <f>nantucket[[#This Row],[MW Factor]]-resources!$B$14</f>
        <v>-9</v>
      </c>
    </row>
    <row r="129" spans="1:11" x14ac:dyDescent="0.3">
      <c r="A129" t="s">
        <v>45</v>
      </c>
      <c r="B129">
        <v>853</v>
      </c>
      <c r="C129">
        <v>13</v>
      </c>
      <c r="D129">
        <v>16255</v>
      </c>
      <c r="E129" t="s">
        <v>10</v>
      </c>
      <c r="F129">
        <v>48</v>
      </c>
      <c r="G129" s="2">
        <v>24</v>
      </c>
      <c r="H129" s="2">
        <v>0</v>
      </c>
      <c r="I129" s="2">
        <v>0.38</v>
      </c>
      <c r="J129" s="2">
        <v>24.38</v>
      </c>
      <c r="K129" s="5">
        <f>nantucket[[#This Row],[MW Factor]]-resources!$B$14</f>
        <v>-9</v>
      </c>
    </row>
    <row r="130" spans="1:11" x14ac:dyDescent="0.3">
      <c r="A130" t="s">
        <v>45</v>
      </c>
      <c r="B130">
        <v>854</v>
      </c>
      <c r="C130">
        <v>14</v>
      </c>
      <c r="D130">
        <v>16255</v>
      </c>
      <c r="E130" t="s">
        <v>10</v>
      </c>
      <c r="F130">
        <v>48</v>
      </c>
      <c r="G130" s="2">
        <v>25.8</v>
      </c>
      <c r="H130" s="2">
        <v>0</v>
      </c>
      <c r="I130" s="2">
        <v>0.37</v>
      </c>
      <c r="J130" s="2">
        <v>26.17</v>
      </c>
      <c r="K130" s="5">
        <f>nantucket[[#This Row],[MW Factor]]-resources!$B$14</f>
        <v>-9</v>
      </c>
    </row>
    <row r="131" spans="1:11" x14ac:dyDescent="0.3">
      <c r="A131" t="s">
        <v>49</v>
      </c>
      <c r="B131">
        <v>957</v>
      </c>
      <c r="C131">
        <v>21</v>
      </c>
      <c r="D131">
        <v>16255</v>
      </c>
      <c r="E131" t="s">
        <v>10</v>
      </c>
      <c r="F131">
        <v>48</v>
      </c>
      <c r="G131" s="2">
        <v>47.87</v>
      </c>
      <c r="H131" s="2">
        <v>0.06</v>
      </c>
      <c r="I131" s="2">
        <v>1.22</v>
      </c>
      <c r="J131" s="2">
        <v>49.15</v>
      </c>
      <c r="K131" s="5">
        <f>nantucket[[#This Row],[MW Factor]]-resources!$B$14</f>
        <v>-9</v>
      </c>
    </row>
    <row r="132" spans="1:11" x14ac:dyDescent="0.3">
      <c r="A132" t="s">
        <v>17</v>
      </c>
      <c r="B132">
        <v>184</v>
      </c>
      <c r="C132">
        <v>16</v>
      </c>
      <c r="D132">
        <v>16255</v>
      </c>
      <c r="E132" t="s">
        <v>10</v>
      </c>
      <c r="F132">
        <v>47</v>
      </c>
      <c r="G132" s="2">
        <v>105.15</v>
      </c>
      <c r="H132" s="2">
        <v>0</v>
      </c>
      <c r="I132" s="2">
        <v>1.5</v>
      </c>
      <c r="J132" s="2">
        <v>106.65</v>
      </c>
      <c r="K132" s="5">
        <f>nantucket[[#This Row],[MW Factor]]-resources!$B$14</f>
        <v>-10</v>
      </c>
    </row>
    <row r="133" spans="1:11" x14ac:dyDescent="0.3">
      <c r="A133" t="s">
        <v>17</v>
      </c>
      <c r="B133">
        <v>188</v>
      </c>
      <c r="C133">
        <v>20</v>
      </c>
      <c r="D133">
        <v>16255</v>
      </c>
      <c r="E133" t="s">
        <v>10</v>
      </c>
      <c r="F133">
        <v>47</v>
      </c>
      <c r="G133" s="2">
        <v>376.53</v>
      </c>
      <c r="H133" s="2">
        <v>0</v>
      </c>
      <c r="I133" s="2">
        <v>9.86</v>
      </c>
      <c r="J133" s="2">
        <v>386.39</v>
      </c>
      <c r="K133" s="5">
        <f>nantucket[[#This Row],[MW Factor]]-resources!$B$14</f>
        <v>-10</v>
      </c>
    </row>
    <row r="134" spans="1:11" x14ac:dyDescent="0.3">
      <c r="A134" t="s">
        <v>17</v>
      </c>
      <c r="B134">
        <v>189</v>
      </c>
      <c r="C134">
        <v>21</v>
      </c>
      <c r="D134">
        <v>16255</v>
      </c>
      <c r="E134" t="s">
        <v>10</v>
      </c>
      <c r="F134">
        <v>47</v>
      </c>
      <c r="G134" s="2">
        <v>259.89999999999998</v>
      </c>
      <c r="H134" s="2">
        <v>0</v>
      </c>
      <c r="I134" s="2">
        <v>6.56</v>
      </c>
      <c r="J134" s="2">
        <v>266.45999999999998</v>
      </c>
      <c r="K134" s="5">
        <f>nantucket[[#This Row],[MW Factor]]-resources!$B$14</f>
        <v>-10</v>
      </c>
    </row>
    <row r="135" spans="1:11" x14ac:dyDescent="0.3">
      <c r="A135" t="s">
        <v>18</v>
      </c>
      <c r="B135">
        <v>209</v>
      </c>
      <c r="C135">
        <v>17</v>
      </c>
      <c r="D135">
        <v>16255</v>
      </c>
      <c r="E135" t="s">
        <v>10</v>
      </c>
      <c r="F135">
        <v>47</v>
      </c>
      <c r="G135" s="2">
        <v>69.010000000000005</v>
      </c>
      <c r="H135" s="2">
        <v>0</v>
      </c>
      <c r="I135" s="2">
        <v>1.07</v>
      </c>
      <c r="J135" s="2">
        <v>70.08</v>
      </c>
      <c r="K135" s="5">
        <f>nantucket[[#This Row],[MW Factor]]-resources!$B$14</f>
        <v>-10</v>
      </c>
    </row>
    <row r="136" spans="1:11" x14ac:dyDescent="0.3">
      <c r="A136" t="s">
        <v>18</v>
      </c>
      <c r="B136">
        <v>210</v>
      </c>
      <c r="C136">
        <v>18</v>
      </c>
      <c r="D136">
        <v>16255</v>
      </c>
      <c r="E136" t="s">
        <v>10</v>
      </c>
      <c r="F136">
        <v>47</v>
      </c>
      <c r="G136" s="2">
        <v>69.52</v>
      </c>
      <c r="H136" s="2">
        <v>0</v>
      </c>
      <c r="I136" s="2">
        <v>1.53</v>
      </c>
      <c r="J136" s="2">
        <v>71.05</v>
      </c>
      <c r="K136" s="5">
        <f>nantucket[[#This Row],[MW Factor]]-resources!$B$14</f>
        <v>-10</v>
      </c>
    </row>
    <row r="137" spans="1:11" x14ac:dyDescent="0.3">
      <c r="A137" t="s">
        <v>18</v>
      </c>
      <c r="B137">
        <v>212</v>
      </c>
      <c r="C137">
        <v>20</v>
      </c>
      <c r="D137">
        <v>16255</v>
      </c>
      <c r="E137" t="s">
        <v>10</v>
      </c>
      <c r="F137">
        <v>47</v>
      </c>
      <c r="G137" s="2">
        <v>60.87</v>
      </c>
      <c r="H137" s="2">
        <v>0.32</v>
      </c>
      <c r="I137" s="2">
        <v>1.34</v>
      </c>
      <c r="J137" s="2">
        <v>62.53</v>
      </c>
      <c r="K137" s="5">
        <f>nantucket[[#This Row],[MW Factor]]-resources!$B$14</f>
        <v>-10</v>
      </c>
    </row>
    <row r="138" spans="1:11" x14ac:dyDescent="0.3">
      <c r="A138" t="s">
        <v>19</v>
      </c>
      <c r="B138">
        <v>232</v>
      </c>
      <c r="C138">
        <v>16</v>
      </c>
      <c r="D138">
        <v>16255</v>
      </c>
      <c r="E138" t="s">
        <v>10</v>
      </c>
      <c r="F138">
        <v>47</v>
      </c>
      <c r="G138" s="2">
        <v>71.510000000000005</v>
      </c>
      <c r="H138" s="2">
        <v>0</v>
      </c>
      <c r="I138" s="2">
        <v>1.17</v>
      </c>
      <c r="J138" s="2">
        <v>72.680000000000007</v>
      </c>
      <c r="K138" s="5">
        <f>nantucket[[#This Row],[MW Factor]]-resources!$B$14</f>
        <v>-10</v>
      </c>
    </row>
    <row r="139" spans="1:11" x14ac:dyDescent="0.3">
      <c r="A139" t="s">
        <v>20</v>
      </c>
      <c r="B139">
        <v>262</v>
      </c>
      <c r="C139">
        <v>22</v>
      </c>
      <c r="D139">
        <v>16255</v>
      </c>
      <c r="E139" t="s">
        <v>10</v>
      </c>
      <c r="F139">
        <v>47</v>
      </c>
      <c r="G139" s="2">
        <v>42.07</v>
      </c>
      <c r="H139" s="2">
        <v>0</v>
      </c>
      <c r="I139" s="2">
        <v>0.6</v>
      </c>
      <c r="J139" s="2">
        <v>42.67</v>
      </c>
      <c r="K139" s="5">
        <f>nantucket[[#This Row],[MW Factor]]-resources!$B$14</f>
        <v>-10</v>
      </c>
    </row>
    <row r="140" spans="1:11" x14ac:dyDescent="0.3">
      <c r="A140" t="s">
        <v>21</v>
      </c>
      <c r="B140">
        <v>286</v>
      </c>
      <c r="C140">
        <v>22</v>
      </c>
      <c r="D140">
        <v>16255</v>
      </c>
      <c r="E140" t="s">
        <v>10</v>
      </c>
      <c r="F140">
        <v>47</v>
      </c>
      <c r="G140" s="2">
        <v>50.8</v>
      </c>
      <c r="H140" s="2">
        <v>0</v>
      </c>
      <c r="I140" s="2">
        <v>0.7</v>
      </c>
      <c r="J140" s="2">
        <v>51.5</v>
      </c>
      <c r="K140" s="5">
        <f>nantucket[[#This Row],[MW Factor]]-resources!$B$14</f>
        <v>-10</v>
      </c>
    </row>
    <row r="141" spans="1:11" x14ac:dyDescent="0.3">
      <c r="A141" t="s">
        <v>22</v>
      </c>
      <c r="B141">
        <v>303</v>
      </c>
      <c r="C141">
        <v>15</v>
      </c>
      <c r="D141">
        <v>16255</v>
      </c>
      <c r="E141" t="s">
        <v>10</v>
      </c>
      <c r="F141">
        <v>47</v>
      </c>
      <c r="G141" s="2">
        <v>26.97</v>
      </c>
      <c r="H141" s="2">
        <v>0</v>
      </c>
      <c r="I141" s="2">
        <v>0.4</v>
      </c>
      <c r="J141" s="2">
        <v>27.37</v>
      </c>
      <c r="K141" s="5">
        <f>nantucket[[#This Row],[MW Factor]]-resources!$B$14</f>
        <v>-10</v>
      </c>
    </row>
    <row r="142" spans="1:11" x14ac:dyDescent="0.3">
      <c r="A142" t="s">
        <v>24</v>
      </c>
      <c r="B142">
        <v>348</v>
      </c>
      <c r="C142">
        <v>12</v>
      </c>
      <c r="D142">
        <v>16255</v>
      </c>
      <c r="E142" t="s">
        <v>10</v>
      </c>
      <c r="F142">
        <v>47</v>
      </c>
      <c r="G142" s="2">
        <v>46.27</v>
      </c>
      <c r="H142" s="2">
        <v>0</v>
      </c>
      <c r="I142" s="2">
        <v>0.39</v>
      </c>
      <c r="J142" s="2">
        <v>46.66</v>
      </c>
      <c r="K142" s="5">
        <f>nantucket[[#This Row],[MW Factor]]-resources!$B$14</f>
        <v>-10</v>
      </c>
    </row>
    <row r="143" spans="1:11" x14ac:dyDescent="0.3">
      <c r="A143" t="s">
        <v>24</v>
      </c>
      <c r="B143">
        <v>359</v>
      </c>
      <c r="C143">
        <v>23</v>
      </c>
      <c r="D143">
        <v>16255</v>
      </c>
      <c r="E143" t="s">
        <v>10</v>
      </c>
      <c r="F143">
        <v>47</v>
      </c>
      <c r="G143" s="2">
        <v>43</v>
      </c>
      <c r="H143" s="2">
        <v>0</v>
      </c>
      <c r="I143" s="2">
        <v>0.85</v>
      </c>
      <c r="J143" s="2">
        <v>43.85</v>
      </c>
      <c r="K143" s="5">
        <f>nantucket[[#This Row],[MW Factor]]-resources!$B$14</f>
        <v>-10</v>
      </c>
    </row>
    <row r="144" spans="1:11" x14ac:dyDescent="0.3">
      <c r="A144" t="s">
        <v>25</v>
      </c>
      <c r="B144">
        <v>372</v>
      </c>
      <c r="C144">
        <v>12</v>
      </c>
      <c r="D144">
        <v>16255</v>
      </c>
      <c r="E144" t="s">
        <v>10</v>
      </c>
      <c r="F144">
        <v>47</v>
      </c>
      <c r="G144" s="2">
        <v>36.11</v>
      </c>
      <c r="H144" s="2">
        <v>0</v>
      </c>
      <c r="I144" s="2">
        <v>0.36</v>
      </c>
      <c r="J144" s="2">
        <v>36.47</v>
      </c>
      <c r="K144" s="5">
        <f>nantucket[[#This Row],[MW Factor]]-resources!$B$14</f>
        <v>-10</v>
      </c>
    </row>
    <row r="145" spans="1:11" x14ac:dyDescent="0.3">
      <c r="A145" t="s">
        <v>26</v>
      </c>
      <c r="B145">
        <v>397</v>
      </c>
      <c r="C145">
        <v>13</v>
      </c>
      <c r="D145">
        <v>16255</v>
      </c>
      <c r="E145" t="s">
        <v>10</v>
      </c>
      <c r="F145">
        <v>47</v>
      </c>
      <c r="G145" s="2">
        <v>41.18</v>
      </c>
      <c r="H145" s="2">
        <v>0</v>
      </c>
      <c r="I145" s="2">
        <v>0.56000000000000005</v>
      </c>
      <c r="J145" s="2">
        <v>41.74</v>
      </c>
      <c r="K145" s="5">
        <f>nantucket[[#This Row],[MW Factor]]-resources!$B$14</f>
        <v>-10</v>
      </c>
    </row>
    <row r="146" spans="1:11" x14ac:dyDescent="0.3">
      <c r="A146" t="s">
        <v>26</v>
      </c>
      <c r="B146">
        <v>399</v>
      </c>
      <c r="C146">
        <v>15</v>
      </c>
      <c r="D146">
        <v>16255</v>
      </c>
      <c r="E146" t="s">
        <v>10</v>
      </c>
      <c r="F146">
        <v>47</v>
      </c>
      <c r="G146" s="2">
        <v>38.42</v>
      </c>
      <c r="H146" s="2">
        <v>0</v>
      </c>
      <c r="I146" s="2">
        <v>0.4</v>
      </c>
      <c r="J146" s="2">
        <v>38.82</v>
      </c>
      <c r="K146" s="5">
        <f>nantucket[[#This Row],[MW Factor]]-resources!$B$14</f>
        <v>-10</v>
      </c>
    </row>
    <row r="147" spans="1:11" x14ac:dyDescent="0.3">
      <c r="A147" t="s">
        <v>28</v>
      </c>
      <c r="B147">
        <v>451</v>
      </c>
      <c r="C147">
        <v>19</v>
      </c>
      <c r="D147">
        <v>16255</v>
      </c>
      <c r="E147" t="s">
        <v>10</v>
      </c>
      <c r="F147">
        <v>47</v>
      </c>
      <c r="G147" s="2">
        <v>34.869999999999997</v>
      </c>
      <c r="H147" s="2">
        <v>0</v>
      </c>
      <c r="I147" s="2">
        <v>0.73</v>
      </c>
      <c r="J147" s="2">
        <v>35.6</v>
      </c>
      <c r="K147" s="5">
        <f>nantucket[[#This Row],[MW Factor]]-resources!$B$14</f>
        <v>-10</v>
      </c>
    </row>
    <row r="148" spans="1:11" x14ac:dyDescent="0.3">
      <c r="A148" t="s">
        <v>28</v>
      </c>
      <c r="B148">
        <v>452</v>
      </c>
      <c r="C148">
        <v>20</v>
      </c>
      <c r="D148">
        <v>16255</v>
      </c>
      <c r="E148" t="s">
        <v>10</v>
      </c>
      <c r="F148">
        <v>47</v>
      </c>
      <c r="G148" s="2">
        <v>44.61</v>
      </c>
      <c r="H148" s="2">
        <v>0</v>
      </c>
      <c r="I148" s="2">
        <v>0.93</v>
      </c>
      <c r="J148" s="2">
        <v>45.54</v>
      </c>
      <c r="K148" s="5">
        <f>nantucket[[#This Row],[MW Factor]]-resources!$B$14</f>
        <v>-10</v>
      </c>
    </row>
    <row r="149" spans="1:11" x14ac:dyDescent="0.3">
      <c r="A149" t="s">
        <v>29</v>
      </c>
      <c r="B149">
        <v>474</v>
      </c>
      <c r="C149">
        <v>18</v>
      </c>
      <c r="D149">
        <v>16255</v>
      </c>
      <c r="E149" t="s">
        <v>10</v>
      </c>
      <c r="F149">
        <v>47</v>
      </c>
      <c r="G149" s="2">
        <v>37.39</v>
      </c>
      <c r="H149" s="2">
        <v>0</v>
      </c>
      <c r="I149" s="2">
        <v>0.8</v>
      </c>
      <c r="J149" s="2">
        <v>38.19</v>
      </c>
      <c r="K149" s="5">
        <f>nantucket[[#This Row],[MW Factor]]-resources!$B$14</f>
        <v>-10</v>
      </c>
    </row>
    <row r="150" spans="1:11" x14ac:dyDescent="0.3">
      <c r="A150" t="s">
        <v>31</v>
      </c>
      <c r="B150">
        <v>525</v>
      </c>
      <c r="C150">
        <v>21</v>
      </c>
      <c r="D150">
        <v>16255</v>
      </c>
      <c r="E150" t="s">
        <v>10</v>
      </c>
      <c r="F150">
        <v>47</v>
      </c>
      <c r="G150" s="2">
        <v>59.02</v>
      </c>
      <c r="H150" s="2">
        <v>0.01</v>
      </c>
      <c r="I150" s="2">
        <v>0.95</v>
      </c>
      <c r="J150" s="2">
        <v>59.98</v>
      </c>
      <c r="K150" s="5">
        <f>nantucket[[#This Row],[MW Factor]]-resources!$B$14</f>
        <v>-10</v>
      </c>
    </row>
    <row r="151" spans="1:11" x14ac:dyDescent="0.3">
      <c r="A151" t="s">
        <v>36</v>
      </c>
      <c r="B151">
        <v>644</v>
      </c>
      <c r="C151">
        <v>20</v>
      </c>
      <c r="D151">
        <v>16255</v>
      </c>
      <c r="E151" t="s">
        <v>10</v>
      </c>
      <c r="F151">
        <v>47</v>
      </c>
      <c r="G151" s="2">
        <v>35.43</v>
      </c>
      <c r="H151" s="2">
        <v>0</v>
      </c>
      <c r="I151" s="2">
        <v>0.74</v>
      </c>
      <c r="J151" s="2">
        <v>36.17</v>
      </c>
      <c r="K151" s="5">
        <f>nantucket[[#This Row],[MW Factor]]-resources!$B$14</f>
        <v>-10</v>
      </c>
    </row>
    <row r="152" spans="1:11" x14ac:dyDescent="0.3">
      <c r="A152" t="s">
        <v>40</v>
      </c>
      <c r="B152">
        <v>737</v>
      </c>
      <c r="C152">
        <v>17</v>
      </c>
      <c r="D152">
        <v>16255</v>
      </c>
      <c r="E152" t="s">
        <v>10</v>
      </c>
      <c r="F152">
        <v>47</v>
      </c>
      <c r="G152" s="2">
        <v>102.6</v>
      </c>
      <c r="H152" s="2">
        <v>0</v>
      </c>
      <c r="I152" s="2">
        <v>1.1499999999999999</v>
      </c>
      <c r="J152" s="2">
        <v>103.75</v>
      </c>
      <c r="K152" s="5">
        <f>nantucket[[#This Row],[MW Factor]]-resources!$B$14</f>
        <v>-10</v>
      </c>
    </row>
    <row r="153" spans="1:11" x14ac:dyDescent="0.3">
      <c r="A153" t="s">
        <v>40</v>
      </c>
      <c r="B153">
        <v>741</v>
      </c>
      <c r="C153">
        <v>21</v>
      </c>
      <c r="D153">
        <v>16255</v>
      </c>
      <c r="E153" t="s">
        <v>10</v>
      </c>
      <c r="F153">
        <v>47</v>
      </c>
      <c r="G153" s="2">
        <v>128.38</v>
      </c>
      <c r="H153" s="2">
        <v>0</v>
      </c>
      <c r="I153" s="2">
        <v>1.74</v>
      </c>
      <c r="J153" s="2">
        <v>130.12</v>
      </c>
      <c r="K153" s="5">
        <f>nantucket[[#This Row],[MW Factor]]-resources!$B$14</f>
        <v>-10</v>
      </c>
    </row>
    <row r="154" spans="1:11" x14ac:dyDescent="0.3">
      <c r="A154" t="s">
        <v>41</v>
      </c>
      <c r="B154">
        <v>759</v>
      </c>
      <c r="C154">
        <v>15</v>
      </c>
      <c r="D154">
        <v>16255</v>
      </c>
      <c r="E154" t="s">
        <v>10</v>
      </c>
      <c r="F154">
        <v>47</v>
      </c>
      <c r="G154" s="2">
        <v>81.06</v>
      </c>
      <c r="H154" s="2">
        <v>0</v>
      </c>
      <c r="I154" s="2">
        <v>0.9</v>
      </c>
      <c r="J154" s="2">
        <v>81.96</v>
      </c>
      <c r="K154" s="5">
        <f>nantucket[[#This Row],[MW Factor]]-resources!$B$14</f>
        <v>-10</v>
      </c>
    </row>
    <row r="155" spans="1:11" x14ac:dyDescent="0.3">
      <c r="A155" t="s">
        <v>42</v>
      </c>
      <c r="B155">
        <v>780</v>
      </c>
      <c r="C155">
        <v>12</v>
      </c>
      <c r="D155">
        <v>16255</v>
      </c>
      <c r="E155" t="s">
        <v>10</v>
      </c>
      <c r="F155">
        <v>47</v>
      </c>
      <c r="G155" s="2">
        <v>88.07</v>
      </c>
      <c r="H155" s="2">
        <v>0</v>
      </c>
      <c r="I155" s="2">
        <v>0.27</v>
      </c>
      <c r="J155" s="2">
        <v>88.34</v>
      </c>
      <c r="K155" s="5">
        <f>nantucket[[#This Row],[MW Factor]]-resources!$B$14</f>
        <v>-10</v>
      </c>
    </row>
    <row r="156" spans="1:11" x14ac:dyDescent="0.3">
      <c r="A156" t="s">
        <v>43</v>
      </c>
      <c r="B156">
        <v>804</v>
      </c>
      <c r="C156">
        <v>12</v>
      </c>
      <c r="D156">
        <v>16255</v>
      </c>
      <c r="E156" t="s">
        <v>10</v>
      </c>
      <c r="F156">
        <v>47</v>
      </c>
      <c r="G156" s="2">
        <v>30.7</v>
      </c>
      <c r="H156" s="2">
        <v>0</v>
      </c>
      <c r="I156" s="2">
        <v>0.34</v>
      </c>
      <c r="J156" s="2">
        <v>31.04</v>
      </c>
      <c r="K156" s="5">
        <f>nantucket[[#This Row],[MW Factor]]-resources!$B$14</f>
        <v>-10</v>
      </c>
    </row>
    <row r="157" spans="1:11" x14ac:dyDescent="0.3">
      <c r="A157" t="s">
        <v>44</v>
      </c>
      <c r="B157">
        <v>828</v>
      </c>
      <c r="C157">
        <v>12</v>
      </c>
      <c r="D157">
        <v>16255</v>
      </c>
      <c r="E157" t="s">
        <v>10</v>
      </c>
      <c r="F157">
        <v>47</v>
      </c>
      <c r="G157" s="2">
        <v>27.34</v>
      </c>
      <c r="H157" s="2">
        <v>0</v>
      </c>
      <c r="I157" s="2">
        <v>0.35</v>
      </c>
      <c r="J157" s="2">
        <v>27.69</v>
      </c>
      <c r="K157" s="5">
        <f>nantucket[[#This Row],[MW Factor]]-resources!$B$14</f>
        <v>-10</v>
      </c>
    </row>
    <row r="158" spans="1:11" x14ac:dyDescent="0.3">
      <c r="A158" t="s">
        <v>49</v>
      </c>
      <c r="B158">
        <v>953</v>
      </c>
      <c r="C158">
        <v>17</v>
      </c>
      <c r="D158">
        <v>16255</v>
      </c>
      <c r="E158" t="s">
        <v>10</v>
      </c>
      <c r="F158">
        <v>47</v>
      </c>
      <c r="G158" s="2">
        <v>57.98</v>
      </c>
      <c r="H158" s="2">
        <v>0.05</v>
      </c>
      <c r="I158" s="2">
        <v>1.24</v>
      </c>
      <c r="J158" s="2">
        <v>59.27</v>
      </c>
      <c r="K158" s="5">
        <f>nantucket[[#This Row],[MW Factor]]-resources!$B$14</f>
        <v>-10</v>
      </c>
    </row>
    <row r="159" spans="1:11" x14ac:dyDescent="0.3">
      <c r="A159" t="s">
        <v>50</v>
      </c>
      <c r="B159">
        <v>977</v>
      </c>
      <c r="C159">
        <v>17</v>
      </c>
      <c r="D159">
        <v>16255</v>
      </c>
      <c r="E159" t="s">
        <v>10</v>
      </c>
      <c r="F159">
        <v>47</v>
      </c>
      <c r="G159" s="2">
        <v>33.11</v>
      </c>
      <c r="H159" s="2">
        <v>0</v>
      </c>
      <c r="I159" s="2">
        <v>0.76</v>
      </c>
      <c r="J159" s="2">
        <v>33.869999999999997</v>
      </c>
      <c r="K159" s="5">
        <f>nantucket[[#This Row],[MW Factor]]-resources!$B$14</f>
        <v>-10</v>
      </c>
    </row>
    <row r="160" spans="1:11" x14ac:dyDescent="0.3">
      <c r="A160" t="s">
        <v>50</v>
      </c>
      <c r="B160">
        <v>980</v>
      </c>
      <c r="C160">
        <v>20</v>
      </c>
      <c r="D160">
        <v>16255</v>
      </c>
      <c r="E160" t="s">
        <v>10</v>
      </c>
      <c r="F160">
        <v>47</v>
      </c>
      <c r="G160" s="2">
        <v>42.22</v>
      </c>
      <c r="H160" s="2">
        <v>0</v>
      </c>
      <c r="I160" s="2">
        <v>1.03</v>
      </c>
      <c r="J160" s="2">
        <v>43.25</v>
      </c>
      <c r="K160" s="5">
        <f>nantucket[[#This Row],[MW Factor]]-resources!$B$14</f>
        <v>-10</v>
      </c>
    </row>
    <row r="161" spans="1:11" x14ac:dyDescent="0.3">
      <c r="A161" t="s">
        <v>54</v>
      </c>
      <c r="B161">
        <v>1075</v>
      </c>
      <c r="C161">
        <v>19</v>
      </c>
      <c r="D161">
        <v>16255</v>
      </c>
      <c r="E161" t="s">
        <v>10</v>
      </c>
      <c r="F161">
        <v>47</v>
      </c>
      <c r="G161" s="2">
        <v>61.61</v>
      </c>
      <c r="H161" s="2">
        <v>0</v>
      </c>
      <c r="I161" s="2">
        <v>1.03</v>
      </c>
      <c r="J161" s="2">
        <v>62.64</v>
      </c>
      <c r="K161" s="5">
        <f>nantucket[[#This Row],[MW Factor]]-resources!$B$14</f>
        <v>-10</v>
      </c>
    </row>
    <row r="162" spans="1:11" x14ac:dyDescent="0.3">
      <c r="A162" t="s">
        <v>17</v>
      </c>
      <c r="B162">
        <v>190</v>
      </c>
      <c r="C162">
        <v>22</v>
      </c>
      <c r="D162">
        <v>16255</v>
      </c>
      <c r="E162" t="s">
        <v>10</v>
      </c>
      <c r="F162">
        <v>46</v>
      </c>
      <c r="G162" s="2">
        <v>140.63999999999999</v>
      </c>
      <c r="H162" s="2">
        <v>0</v>
      </c>
      <c r="I162" s="2">
        <v>2.99</v>
      </c>
      <c r="J162" s="2">
        <v>143.63</v>
      </c>
      <c r="K162" s="5">
        <f>nantucket[[#This Row],[MW Factor]]-resources!$B$14</f>
        <v>-11</v>
      </c>
    </row>
    <row r="163" spans="1:11" x14ac:dyDescent="0.3">
      <c r="A163" t="s">
        <v>18</v>
      </c>
      <c r="B163">
        <v>208</v>
      </c>
      <c r="C163">
        <v>16</v>
      </c>
      <c r="D163">
        <v>16255</v>
      </c>
      <c r="E163" t="s">
        <v>10</v>
      </c>
      <c r="F163">
        <v>46</v>
      </c>
      <c r="G163" s="2">
        <v>71.12</v>
      </c>
      <c r="H163" s="2">
        <v>0</v>
      </c>
      <c r="I163" s="2">
        <v>0.77</v>
      </c>
      <c r="J163" s="2">
        <v>71.89</v>
      </c>
      <c r="K163" s="5">
        <f>nantucket[[#This Row],[MW Factor]]-resources!$B$14</f>
        <v>-11</v>
      </c>
    </row>
    <row r="164" spans="1:11" x14ac:dyDescent="0.3">
      <c r="A164" t="s">
        <v>18</v>
      </c>
      <c r="B164">
        <v>213</v>
      </c>
      <c r="C164">
        <v>21</v>
      </c>
      <c r="D164">
        <v>16255</v>
      </c>
      <c r="E164" t="s">
        <v>10</v>
      </c>
      <c r="F164">
        <v>46</v>
      </c>
      <c r="G164" s="2">
        <v>70.349999999999994</v>
      </c>
      <c r="H164" s="2">
        <v>0.41</v>
      </c>
      <c r="I164" s="2">
        <v>1.38</v>
      </c>
      <c r="J164" s="2">
        <v>72.14</v>
      </c>
      <c r="K164" s="5">
        <f>nantucket[[#This Row],[MW Factor]]-resources!$B$14</f>
        <v>-11</v>
      </c>
    </row>
    <row r="165" spans="1:11" x14ac:dyDescent="0.3">
      <c r="A165" t="s">
        <v>19</v>
      </c>
      <c r="B165">
        <v>231</v>
      </c>
      <c r="C165">
        <v>15</v>
      </c>
      <c r="D165">
        <v>16255</v>
      </c>
      <c r="E165" t="s">
        <v>10</v>
      </c>
      <c r="F165">
        <v>46</v>
      </c>
      <c r="G165" s="2">
        <v>59.17</v>
      </c>
      <c r="H165" s="2">
        <v>0</v>
      </c>
      <c r="I165" s="2">
        <v>0.87</v>
      </c>
      <c r="J165" s="2">
        <v>60.04</v>
      </c>
      <c r="K165" s="5">
        <f>nantucket[[#This Row],[MW Factor]]-resources!$B$14</f>
        <v>-11</v>
      </c>
    </row>
    <row r="166" spans="1:11" x14ac:dyDescent="0.3">
      <c r="A166" t="s">
        <v>21</v>
      </c>
      <c r="B166">
        <v>278</v>
      </c>
      <c r="C166">
        <v>14</v>
      </c>
      <c r="D166">
        <v>16255</v>
      </c>
      <c r="E166" t="s">
        <v>10</v>
      </c>
      <c r="F166">
        <v>46</v>
      </c>
      <c r="G166" s="2">
        <v>34.380000000000003</v>
      </c>
      <c r="H166" s="2">
        <v>0</v>
      </c>
      <c r="I166" s="2">
        <v>0.34</v>
      </c>
      <c r="J166" s="2">
        <v>34.72</v>
      </c>
      <c r="K166" s="5">
        <f>nantucket[[#This Row],[MW Factor]]-resources!$B$14</f>
        <v>-11</v>
      </c>
    </row>
    <row r="167" spans="1:11" x14ac:dyDescent="0.3">
      <c r="A167" t="s">
        <v>21</v>
      </c>
      <c r="B167">
        <v>279</v>
      </c>
      <c r="C167">
        <v>15</v>
      </c>
      <c r="D167">
        <v>16255</v>
      </c>
      <c r="E167" t="s">
        <v>10</v>
      </c>
      <c r="F167">
        <v>46</v>
      </c>
      <c r="G167" s="2">
        <v>28.91</v>
      </c>
      <c r="H167" s="2">
        <v>0</v>
      </c>
      <c r="I167" s="2">
        <v>0.27</v>
      </c>
      <c r="J167" s="2">
        <v>29.18</v>
      </c>
      <c r="K167" s="5">
        <f>nantucket[[#This Row],[MW Factor]]-resources!$B$14</f>
        <v>-11</v>
      </c>
    </row>
    <row r="168" spans="1:11" x14ac:dyDescent="0.3">
      <c r="A168" t="s">
        <v>23</v>
      </c>
      <c r="B168">
        <v>328</v>
      </c>
      <c r="C168">
        <v>16</v>
      </c>
      <c r="D168">
        <v>16255</v>
      </c>
      <c r="E168" t="s">
        <v>10</v>
      </c>
      <c r="F168">
        <v>46</v>
      </c>
      <c r="G168" s="2">
        <v>28.75</v>
      </c>
      <c r="H168" s="2">
        <v>0</v>
      </c>
      <c r="I168" s="2">
        <v>0.26</v>
      </c>
      <c r="J168" s="2">
        <v>29.01</v>
      </c>
      <c r="K168" s="5">
        <f>nantucket[[#This Row],[MW Factor]]-resources!$B$14</f>
        <v>-11</v>
      </c>
    </row>
    <row r="169" spans="1:11" x14ac:dyDescent="0.3">
      <c r="A169" t="s">
        <v>23</v>
      </c>
      <c r="B169">
        <v>333</v>
      </c>
      <c r="C169">
        <v>21</v>
      </c>
      <c r="D169">
        <v>16255</v>
      </c>
      <c r="E169" t="s">
        <v>10</v>
      </c>
      <c r="F169">
        <v>46</v>
      </c>
      <c r="G169" s="2">
        <v>40.35</v>
      </c>
      <c r="H169" s="2">
        <v>0</v>
      </c>
      <c r="I169" s="2">
        <v>0.77</v>
      </c>
      <c r="J169" s="2">
        <v>41.12</v>
      </c>
      <c r="K169" s="5">
        <f>nantucket[[#This Row],[MW Factor]]-resources!$B$14</f>
        <v>-11</v>
      </c>
    </row>
    <row r="170" spans="1:11" x14ac:dyDescent="0.3">
      <c r="A170" t="s">
        <v>25</v>
      </c>
      <c r="B170">
        <v>371</v>
      </c>
      <c r="C170">
        <v>11</v>
      </c>
      <c r="D170">
        <v>16255</v>
      </c>
      <c r="E170" t="s">
        <v>10</v>
      </c>
      <c r="F170">
        <v>46</v>
      </c>
      <c r="G170" s="2">
        <v>34.25</v>
      </c>
      <c r="H170" s="2">
        <v>0</v>
      </c>
      <c r="I170" s="2">
        <v>0.33</v>
      </c>
      <c r="J170" s="2">
        <v>34.58</v>
      </c>
      <c r="K170" s="5">
        <f>nantucket[[#This Row],[MW Factor]]-resources!$B$14</f>
        <v>-11</v>
      </c>
    </row>
    <row r="171" spans="1:11" x14ac:dyDescent="0.3">
      <c r="A171" t="s">
        <v>26</v>
      </c>
      <c r="B171">
        <v>395</v>
      </c>
      <c r="C171">
        <v>11</v>
      </c>
      <c r="D171">
        <v>16255</v>
      </c>
      <c r="E171" t="s">
        <v>10</v>
      </c>
      <c r="F171">
        <v>46</v>
      </c>
      <c r="G171" s="2">
        <v>34.14</v>
      </c>
      <c r="H171" s="2">
        <v>0</v>
      </c>
      <c r="I171" s="2">
        <v>0.31</v>
      </c>
      <c r="J171" s="2">
        <v>34.450000000000003</v>
      </c>
      <c r="K171" s="5">
        <f>nantucket[[#This Row],[MW Factor]]-resources!$B$14</f>
        <v>-11</v>
      </c>
    </row>
    <row r="172" spans="1:11" x14ac:dyDescent="0.3">
      <c r="A172" t="s">
        <v>26</v>
      </c>
      <c r="B172">
        <v>407</v>
      </c>
      <c r="C172">
        <v>23</v>
      </c>
      <c r="D172">
        <v>16255</v>
      </c>
      <c r="E172" t="s">
        <v>10</v>
      </c>
      <c r="F172">
        <v>46</v>
      </c>
      <c r="G172" s="2">
        <v>35.869999999999997</v>
      </c>
      <c r="H172" s="2">
        <v>0.54</v>
      </c>
      <c r="I172" s="2">
        <v>0.67</v>
      </c>
      <c r="J172" s="2">
        <v>37.08</v>
      </c>
      <c r="K172" s="5">
        <f>nantucket[[#This Row],[MW Factor]]-resources!$B$14</f>
        <v>-11</v>
      </c>
    </row>
    <row r="173" spans="1:11" x14ac:dyDescent="0.3">
      <c r="A173" t="s">
        <v>27</v>
      </c>
      <c r="B173">
        <v>420</v>
      </c>
      <c r="C173">
        <v>12</v>
      </c>
      <c r="D173">
        <v>16255</v>
      </c>
      <c r="E173" t="s">
        <v>10</v>
      </c>
      <c r="F173">
        <v>46</v>
      </c>
      <c r="G173" s="2">
        <v>28.52</v>
      </c>
      <c r="H173" s="2">
        <v>0</v>
      </c>
      <c r="I173" s="2">
        <v>0.26</v>
      </c>
      <c r="J173" s="2">
        <v>28.78</v>
      </c>
      <c r="K173" s="5">
        <f>nantucket[[#This Row],[MW Factor]]-resources!$B$14</f>
        <v>-11</v>
      </c>
    </row>
    <row r="174" spans="1:11" x14ac:dyDescent="0.3">
      <c r="A174" t="s">
        <v>27</v>
      </c>
      <c r="B174">
        <v>422</v>
      </c>
      <c r="C174">
        <v>14</v>
      </c>
      <c r="D174">
        <v>16255</v>
      </c>
      <c r="E174" t="s">
        <v>10</v>
      </c>
      <c r="F174">
        <v>46</v>
      </c>
      <c r="G174" s="2">
        <v>27</v>
      </c>
      <c r="H174" s="2">
        <v>0</v>
      </c>
      <c r="I174" s="2">
        <v>0.4</v>
      </c>
      <c r="J174" s="2">
        <v>27.4</v>
      </c>
      <c r="K174" s="5">
        <f>nantucket[[#This Row],[MW Factor]]-resources!$B$14</f>
        <v>-11</v>
      </c>
    </row>
    <row r="175" spans="1:11" x14ac:dyDescent="0.3">
      <c r="A175" t="s">
        <v>27</v>
      </c>
      <c r="B175">
        <v>424</v>
      </c>
      <c r="C175">
        <v>16</v>
      </c>
      <c r="D175">
        <v>16255</v>
      </c>
      <c r="E175" t="s">
        <v>10</v>
      </c>
      <c r="F175">
        <v>46</v>
      </c>
      <c r="G175" s="2">
        <v>47.4</v>
      </c>
      <c r="H175" s="2">
        <v>0</v>
      </c>
      <c r="I175" s="2">
        <v>0.46</v>
      </c>
      <c r="J175" s="2">
        <v>47.86</v>
      </c>
      <c r="K175" s="5">
        <f>nantucket[[#This Row],[MW Factor]]-resources!$B$14</f>
        <v>-11</v>
      </c>
    </row>
    <row r="176" spans="1:11" x14ac:dyDescent="0.3">
      <c r="A176" t="s">
        <v>27</v>
      </c>
      <c r="B176">
        <v>429</v>
      </c>
      <c r="C176">
        <v>21</v>
      </c>
      <c r="D176">
        <v>16255</v>
      </c>
      <c r="E176" t="s">
        <v>10</v>
      </c>
      <c r="F176">
        <v>46</v>
      </c>
      <c r="G176" s="2">
        <v>39.4</v>
      </c>
      <c r="H176" s="2">
        <v>0.01</v>
      </c>
      <c r="I176" s="2">
        <v>0.66</v>
      </c>
      <c r="J176" s="2">
        <v>40.07</v>
      </c>
      <c r="K176" s="5">
        <f>nantucket[[#This Row],[MW Factor]]-resources!$B$14</f>
        <v>-11</v>
      </c>
    </row>
    <row r="177" spans="1:11" x14ac:dyDescent="0.3">
      <c r="A177" t="s">
        <v>28</v>
      </c>
      <c r="B177">
        <v>450</v>
      </c>
      <c r="C177">
        <v>18</v>
      </c>
      <c r="D177">
        <v>16255</v>
      </c>
      <c r="E177" t="s">
        <v>10</v>
      </c>
      <c r="F177">
        <v>46</v>
      </c>
      <c r="G177" s="2">
        <v>29.51</v>
      </c>
      <c r="H177" s="2">
        <v>0</v>
      </c>
      <c r="I177" s="2">
        <v>0.54</v>
      </c>
      <c r="J177" s="2">
        <v>30.05</v>
      </c>
      <c r="K177" s="5">
        <f>nantucket[[#This Row],[MW Factor]]-resources!$B$14</f>
        <v>-11</v>
      </c>
    </row>
    <row r="178" spans="1:11" x14ac:dyDescent="0.3">
      <c r="A178" t="s">
        <v>29</v>
      </c>
      <c r="B178">
        <v>476</v>
      </c>
      <c r="C178">
        <v>20</v>
      </c>
      <c r="D178">
        <v>16255</v>
      </c>
      <c r="E178" t="s">
        <v>10</v>
      </c>
      <c r="F178">
        <v>46</v>
      </c>
      <c r="G178" s="2">
        <v>41.46</v>
      </c>
      <c r="H178" s="2">
        <v>0</v>
      </c>
      <c r="I178" s="2">
        <v>0.95</v>
      </c>
      <c r="J178" s="2">
        <v>42.41</v>
      </c>
      <c r="K178" s="5">
        <f>nantucket[[#This Row],[MW Factor]]-resources!$B$14</f>
        <v>-11</v>
      </c>
    </row>
    <row r="179" spans="1:11" x14ac:dyDescent="0.3">
      <c r="A179" t="s">
        <v>30</v>
      </c>
      <c r="B179">
        <v>497</v>
      </c>
      <c r="C179">
        <v>17</v>
      </c>
      <c r="D179">
        <v>16255</v>
      </c>
      <c r="E179" t="s">
        <v>10</v>
      </c>
      <c r="F179">
        <v>46</v>
      </c>
      <c r="G179" s="2">
        <v>41.54</v>
      </c>
      <c r="H179" s="2">
        <v>0.01</v>
      </c>
      <c r="I179" s="2">
        <v>0.73</v>
      </c>
      <c r="J179" s="2">
        <v>42.28</v>
      </c>
      <c r="K179" s="5">
        <f>nantucket[[#This Row],[MW Factor]]-resources!$B$14</f>
        <v>-11</v>
      </c>
    </row>
    <row r="180" spans="1:11" x14ac:dyDescent="0.3">
      <c r="A180" t="s">
        <v>30</v>
      </c>
      <c r="B180">
        <v>501</v>
      </c>
      <c r="C180">
        <v>21</v>
      </c>
      <c r="D180">
        <v>16255</v>
      </c>
      <c r="E180" t="s">
        <v>10</v>
      </c>
      <c r="F180">
        <v>46</v>
      </c>
      <c r="G180" s="2">
        <v>47.61</v>
      </c>
      <c r="H180" s="2">
        <v>0</v>
      </c>
      <c r="I180" s="2">
        <v>1.1599999999999999</v>
      </c>
      <c r="J180" s="2">
        <v>48.77</v>
      </c>
      <c r="K180" s="5">
        <f>nantucket[[#This Row],[MW Factor]]-resources!$B$14</f>
        <v>-11</v>
      </c>
    </row>
    <row r="181" spans="1:11" x14ac:dyDescent="0.3">
      <c r="A181" t="s">
        <v>31</v>
      </c>
      <c r="B181">
        <v>521</v>
      </c>
      <c r="C181">
        <v>17</v>
      </c>
      <c r="D181">
        <v>16255</v>
      </c>
      <c r="E181" t="s">
        <v>10</v>
      </c>
      <c r="F181">
        <v>46</v>
      </c>
      <c r="G181" s="2">
        <v>61.93</v>
      </c>
      <c r="H181" s="2">
        <v>0.03</v>
      </c>
      <c r="I181" s="2">
        <v>1.01</v>
      </c>
      <c r="J181" s="2">
        <v>62.97</v>
      </c>
      <c r="K181" s="5">
        <f>nantucket[[#This Row],[MW Factor]]-resources!$B$14</f>
        <v>-11</v>
      </c>
    </row>
    <row r="182" spans="1:11" x14ac:dyDescent="0.3">
      <c r="A182" t="s">
        <v>35</v>
      </c>
      <c r="B182">
        <v>619</v>
      </c>
      <c r="C182">
        <v>19</v>
      </c>
      <c r="D182">
        <v>16255</v>
      </c>
      <c r="E182" t="s">
        <v>10</v>
      </c>
      <c r="F182">
        <v>46</v>
      </c>
      <c r="G182" s="2">
        <v>28.19</v>
      </c>
      <c r="H182" s="2">
        <v>0</v>
      </c>
      <c r="I182" s="2">
        <v>0.66</v>
      </c>
      <c r="J182" s="2">
        <v>28.85</v>
      </c>
      <c r="K182" s="5">
        <f>nantucket[[#This Row],[MW Factor]]-resources!$B$14</f>
        <v>-11</v>
      </c>
    </row>
    <row r="183" spans="1:11" x14ac:dyDescent="0.3">
      <c r="A183" t="s">
        <v>39</v>
      </c>
      <c r="B183">
        <v>713</v>
      </c>
      <c r="C183">
        <v>17</v>
      </c>
      <c r="D183">
        <v>16255</v>
      </c>
      <c r="E183" t="s">
        <v>10</v>
      </c>
      <c r="F183">
        <v>46</v>
      </c>
      <c r="G183" s="2">
        <v>76.790000000000006</v>
      </c>
      <c r="H183" s="2">
        <v>0</v>
      </c>
      <c r="I183" s="2">
        <v>0.7</v>
      </c>
      <c r="J183" s="2">
        <v>77.489999999999995</v>
      </c>
      <c r="K183" s="5">
        <f>nantucket[[#This Row],[MW Factor]]-resources!$B$14</f>
        <v>-11</v>
      </c>
    </row>
    <row r="184" spans="1:11" x14ac:dyDescent="0.3">
      <c r="A184" t="s">
        <v>39</v>
      </c>
      <c r="B184">
        <v>717</v>
      </c>
      <c r="C184">
        <v>21</v>
      </c>
      <c r="D184">
        <v>16255</v>
      </c>
      <c r="E184" t="s">
        <v>10</v>
      </c>
      <c r="F184">
        <v>46</v>
      </c>
      <c r="G184" s="2">
        <v>78.83</v>
      </c>
      <c r="H184" s="2">
        <v>0</v>
      </c>
      <c r="I184" s="2">
        <v>1.18</v>
      </c>
      <c r="J184" s="2">
        <v>80.010000000000005</v>
      </c>
      <c r="K184" s="5">
        <f>nantucket[[#This Row],[MW Factor]]-resources!$B$14</f>
        <v>-11</v>
      </c>
    </row>
    <row r="185" spans="1:11" x14ac:dyDescent="0.3">
      <c r="A185" t="s">
        <v>40</v>
      </c>
      <c r="B185">
        <v>736</v>
      </c>
      <c r="C185">
        <v>16</v>
      </c>
      <c r="D185">
        <v>16255</v>
      </c>
      <c r="E185" t="s">
        <v>10</v>
      </c>
      <c r="F185">
        <v>46</v>
      </c>
      <c r="G185" s="2">
        <v>133.83000000000001</v>
      </c>
      <c r="H185" s="2">
        <v>0</v>
      </c>
      <c r="I185" s="2">
        <v>1.59</v>
      </c>
      <c r="J185" s="2">
        <v>135.41999999999999</v>
      </c>
      <c r="K185" s="5">
        <f>nantucket[[#This Row],[MW Factor]]-resources!$B$14</f>
        <v>-11</v>
      </c>
    </row>
    <row r="186" spans="1:11" x14ac:dyDescent="0.3">
      <c r="A186" t="s">
        <v>40</v>
      </c>
      <c r="B186">
        <v>742</v>
      </c>
      <c r="C186">
        <v>22</v>
      </c>
      <c r="D186">
        <v>16255</v>
      </c>
      <c r="E186" t="s">
        <v>10</v>
      </c>
      <c r="F186">
        <v>46</v>
      </c>
      <c r="G186" s="2">
        <v>53.89</v>
      </c>
      <c r="H186" s="2">
        <v>0</v>
      </c>
      <c r="I186" s="2">
        <v>0.62</v>
      </c>
      <c r="J186" s="2">
        <v>54.51</v>
      </c>
      <c r="K186" s="5">
        <f>nantucket[[#This Row],[MW Factor]]-resources!$B$14</f>
        <v>-11</v>
      </c>
    </row>
    <row r="187" spans="1:11" x14ac:dyDescent="0.3">
      <c r="A187" t="s">
        <v>41</v>
      </c>
      <c r="B187">
        <v>757</v>
      </c>
      <c r="C187">
        <v>13</v>
      </c>
      <c r="D187">
        <v>16255</v>
      </c>
      <c r="E187" t="s">
        <v>10</v>
      </c>
      <c r="F187">
        <v>46</v>
      </c>
      <c r="G187" s="2">
        <v>109.14</v>
      </c>
      <c r="H187" s="2">
        <v>0</v>
      </c>
      <c r="I187" s="2">
        <v>0.57999999999999996</v>
      </c>
      <c r="J187" s="2">
        <v>109.72</v>
      </c>
      <c r="K187" s="5">
        <f>nantucket[[#This Row],[MW Factor]]-resources!$B$14</f>
        <v>-11</v>
      </c>
    </row>
    <row r="188" spans="1:11" x14ac:dyDescent="0.3">
      <c r="A188" t="s">
        <v>41</v>
      </c>
      <c r="B188">
        <v>758</v>
      </c>
      <c r="C188">
        <v>14</v>
      </c>
      <c r="D188">
        <v>16255</v>
      </c>
      <c r="E188" t="s">
        <v>10</v>
      </c>
      <c r="F188">
        <v>46</v>
      </c>
      <c r="G188" s="2">
        <v>74.599999999999994</v>
      </c>
      <c r="H188" s="2">
        <v>0</v>
      </c>
      <c r="I188" s="2">
        <v>0.56999999999999995</v>
      </c>
      <c r="J188" s="2">
        <v>75.17</v>
      </c>
      <c r="K188" s="5">
        <f>nantucket[[#This Row],[MW Factor]]-resources!$B$14</f>
        <v>-11</v>
      </c>
    </row>
    <row r="189" spans="1:11" x14ac:dyDescent="0.3">
      <c r="A189" t="s">
        <v>45</v>
      </c>
      <c r="B189">
        <v>852</v>
      </c>
      <c r="C189">
        <v>12</v>
      </c>
      <c r="D189">
        <v>16255</v>
      </c>
      <c r="E189" t="s">
        <v>10</v>
      </c>
      <c r="F189">
        <v>46</v>
      </c>
      <c r="G189" s="2">
        <v>23.65</v>
      </c>
      <c r="H189" s="2">
        <v>0</v>
      </c>
      <c r="I189" s="2">
        <v>0.34</v>
      </c>
      <c r="J189" s="2">
        <v>23.99</v>
      </c>
      <c r="K189" s="5">
        <f>nantucket[[#This Row],[MW Factor]]-resources!$B$14</f>
        <v>-11</v>
      </c>
    </row>
    <row r="190" spans="1:11" x14ac:dyDescent="0.3">
      <c r="A190" t="s">
        <v>46</v>
      </c>
      <c r="B190">
        <v>876</v>
      </c>
      <c r="C190">
        <v>12</v>
      </c>
      <c r="D190">
        <v>16255</v>
      </c>
      <c r="E190" t="s">
        <v>10</v>
      </c>
      <c r="F190">
        <v>46</v>
      </c>
      <c r="G190" s="2">
        <v>23.63</v>
      </c>
      <c r="H190" s="2">
        <v>0</v>
      </c>
      <c r="I190" s="2">
        <v>0.36</v>
      </c>
      <c r="J190" s="2">
        <v>23.99</v>
      </c>
      <c r="K190" s="5">
        <f>nantucket[[#This Row],[MW Factor]]-resources!$B$14</f>
        <v>-11</v>
      </c>
    </row>
    <row r="191" spans="1:11" x14ac:dyDescent="0.3">
      <c r="A191" t="s">
        <v>46</v>
      </c>
      <c r="B191">
        <v>877</v>
      </c>
      <c r="C191">
        <v>13</v>
      </c>
      <c r="D191">
        <v>16255</v>
      </c>
      <c r="E191" t="s">
        <v>10</v>
      </c>
      <c r="F191">
        <v>46</v>
      </c>
      <c r="G191" s="2">
        <v>29.69</v>
      </c>
      <c r="H191" s="2">
        <v>0</v>
      </c>
      <c r="I191" s="2">
        <v>0.36</v>
      </c>
      <c r="J191" s="2">
        <v>30.05</v>
      </c>
      <c r="K191" s="5">
        <f>nantucket[[#This Row],[MW Factor]]-resources!$B$14</f>
        <v>-11</v>
      </c>
    </row>
    <row r="192" spans="1:11" x14ac:dyDescent="0.3">
      <c r="A192" t="s">
        <v>49</v>
      </c>
      <c r="B192">
        <v>952</v>
      </c>
      <c r="C192">
        <v>16</v>
      </c>
      <c r="D192">
        <v>16255</v>
      </c>
      <c r="E192" t="s">
        <v>10</v>
      </c>
      <c r="F192">
        <v>46</v>
      </c>
      <c r="G192" s="2">
        <v>38.25</v>
      </c>
      <c r="H192" s="2">
        <v>0.03</v>
      </c>
      <c r="I192" s="2">
        <v>0.68</v>
      </c>
      <c r="J192" s="2">
        <v>38.96</v>
      </c>
      <c r="K192" s="5">
        <f>nantucket[[#This Row],[MW Factor]]-resources!$B$14</f>
        <v>-11</v>
      </c>
    </row>
    <row r="193" spans="1:11" x14ac:dyDescent="0.3">
      <c r="A193" t="s">
        <v>49</v>
      </c>
      <c r="B193">
        <v>958</v>
      </c>
      <c r="C193">
        <v>22</v>
      </c>
      <c r="D193">
        <v>16255</v>
      </c>
      <c r="E193" t="s">
        <v>10</v>
      </c>
      <c r="F193">
        <v>46</v>
      </c>
      <c r="G193" s="2">
        <v>42.77</v>
      </c>
      <c r="H193" s="2">
        <v>0.05</v>
      </c>
      <c r="I193" s="2">
        <v>1.07</v>
      </c>
      <c r="J193" s="2">
        <v>43.89</v>
      </c>
      <c r="K193" s="5">
        <f>nantucket[[#This Row],[MW Factor]]-resources!$B$14</f>
        <v>-11</v>
      </c>
    </row>
    <row r="194" spans="1:11" x14ac:dyDescent="0.3">
      <c r="A194" t="s">
        <v>50</v>
      </c>
      <c r="B194">
        <v>976</v>
      </c>
      <c r="C194">
        <v>16</v>
      </c>
      <c r="D194">
        <v>16255</v>
      </c>
      <c r="E194" t="s">
        <v>10</v>
      </c>
      <c r="F194">
        <v>46</v>
      </c>
      <c r="G194" s="2">
        <v>42.85</v>
      </c>
      <c r="H194" s="2">
        <v>0</v>
      </c>
      <c r="I194" s="2">
        <v>0.89</v>
      </c>
      <c r="J194" s="2">
        <v>43.74</v>
      </c>
      <c r="K194" s="5">
        <f>nantucket[[#This Row],[MW Factor]]-resources!$B$14</f>
        <v>-11</v>
      </c>
    </row>
    <row r="195" spans="1:11" x14ac:dyDescent="0.3">
      <c r="A195" t="s">
        <v>54</v>
      </c>
      <c r="B195">
        <v>1074</v>
      </c>
      <c r="C195">
        <v>18</v>
      </c>
      <c r="D195">
        <v>16255</v>
      </c>
      <c r="E195" t="s">
        <v>10</v>
      </c>
      <c r="F195">
        <v>46</v>
      </c>
      <c r="G195" s="2">
        <v>62</v>
      </c>
      <c r="H195" s="2">
        <v>0</v>
      </c>
      <c r="I195" s="2">
        <v>0.92</v>
      </c>
      <c r="J195" s="2">
        <v>62.92</v>
      </c>
      <c r="K195" s="5">
        <f>nantucket[[#This Row],[MW Factor]]-resources!$B$14</f>
        <v>-11</v>
      </c>
    </row>
    <row r="196" spans="1:11" x14ac:dyDescent="0.3">
      <c r="A196" t="s">
        <v>16</v>
      </c>
      <c r="B196">
        <v>161</v>
      </c>
      <c r="C196">
        <v>17</v>
      </c>
      <c r="D196">
        <v>16255</v>
      </c>
      <c r="E196" t="s">
        <v>10</v>
      </c>
      <c r="F196">
        <v>45</v>
      </c>
      <c r="G196" s="2">
        <v>57.89</v>
      </c>
      <c r="H196" s="2">
        <v>0</v>
      </c>
      <c r="I196" s="2">
        <v>0.64</v>
      </c>
      <c r="J196" s="2">
        <v>58.53</v>
      </c>
      <c r="K196" s="5">
        <f>nantucket[[#This Row],[MW Factor]]-resources!$B$14</f>
        <v>-12</v>
      </c>
    </row>
    <row r="197" spans="1:11" x14ac:dyDescent="0.3">
      <c r="A197" t="s">
        <v>16</v>
      </c>
      <c r="B197">
        <v>162</v>
      </c>
      <c r="C197">
        <v>18</v>
      </c>
      <c r="D197">
        <v>16255</v>
      </c>
      <c r="E197" t="s">
        <v>10</v>
      </c>
      <c r="F197">
        <v>45</v>
      </c>
      <c r="G197" s="2">
        <v>89.17</v>
      </c>
      <c r="H197" s="2">
        <v>0</v>
      </c>
      <c r="I197" s="2">
        <v>1.37</v>
      </c>
      <c r="J197" s="2">
        <v>90.54</v>
      </c>
      <c r="K197" s="5">
        <f>nantucket[[#This Row],[MW Factor]]-resources!$B$14</f>
        <v>-12</v>
      </c>
    </row>
    <row r="198" spans="1:11" x14ac:dyDescent="0.3">
      <c r="A198" t="s">
        <v>16</v>
      </c>
      <c r="B198">
        <v>163</v>
      </c>
      <c r="C198">
        <v>19</v>
      </c>
      <c r="D198">
        <v>16255</v>
      </c>
      <c r="E198" t="s">
        <v>10</v>
      </c>
      <c r="F198">
        <v>45</v>
      </c>
      <c r="G198" s="2">
        <v>222.04</v>
      </c>
      <c r="H198" s="2">
        <v>0</v>
      </c>
      <c r="I198" s="2">
        <v>4.59</v>
      </c>
      <c r="J198" s="2">
        <v>226.63</v>
      </c>
      <c r="K198" s="5">
        <f>nantucket[[#This Row],[MW Factor]]-resources!$B$14</f>
        <v>-12</v>
      </c>
    </row>
    <row r="199" spans="1:11" x14ac:dyDescent="0.3">
      <c r="A199" t="s">
        <v>17</v>
      </c>
      <c r="B199">
        <v>182</v>
      </c>
      <c r="C199">
        <v>14</v>
      </c>
      <c r="D199">
        <v>16255</v>
      </c>
      <c r="E199" t="s">
        <v>10</v>
      </c>
      <c r="F199">
        <v>45</v>
      </c>
      <c r="G199" s="2">
        <v>56.07</v>
      </c>
      <c r="H199" s="2">
        <v>0</v>
      </c>
      <c r="I199" s="2">
        <v>0.43</v>
      </c>
      <c r="J199" s="2">
        <v>56.5</v>
      </c>
      <c r="K199" s="5">
        <f>nantucket[[#This Row],[MW Factor]]-resources!$B$14</f>
        <v>-12</v>
      </c>
    </row>
    <row r="200" spans="1:11" x14ac:dyDescent="0.3">
      <c r="A200" t="s">
        <v>17</v>
      </c>
      <c r="B200">
        <v>183</v>
      </c>
      <c r="C200">
        <v>15</v>
      </c>
      <c r="D200">
        <v>16255</v>
      </c>
      <c r="E200" t="s">
        <v>10</v>
      </c>
      <c r="F200">
        <v>45</v>
      </c>
      <c r="G200" s="2">
        <v>70.849999999999994</v>
      </c>
      <c r="H200" s="2">
        <v>0</v>
      </c>
      <c r="I200" s="2">
        <v>0.79</v>
      </c>
      <c r="J200" s="2">
        <v>71.64</v>
      </c>
      <c r="K200" s="5">
        <f>nantucket[[#This Row],[MW Factor]]-resources!$B$14</f>
        <v>-12</v>
      </c>
    </row>
    <row r="201" spans="1:11" x14ac:dyDescent="0.3">
      <c r="A201" t="s">
        <v>19</v>
      </c>
      <c r="B201">
        <v>229</v>
      </c>
      <c r="C201">
        <v>13</v>
      </c>
      <c r="D201">
        <v>16255</v>
      </c>
      <c r="E201" t="s">
        <v>10</v>
      </c>
      <c r="F201">
        <v>45</v>
      </c>
      <c r="G201" s="2">
        <v>90.99</v>
      </c>
      <c r="H201" s="2">
        <v>0</v>
      </c>
      <c r="I201" s="2">
        <v>0.78</v>
      </c>
      <c r="J201" s="2">
        <v>91.77</v>
      </c>
      <c r="K201" s="5">
        <f>nantucket[[#This Row],[MW Factor]]-resources!$B$14</f>
        <v>-12</v>
      </c>
    </row>
    <row r="202" spans="1:11" x14ac:dyDescent="0.3">
      <c r="A202" t="s">
        <v>19</v>
      </c>
      <c r="B202">
        <v>230</v>
      </c>
      <c r="C202">
        <v>14</v>
      </c>
      <c r="D202">
        <v>16255</v>
      </c>
      <c r="E202" t="s">
        <v>10</v>
      </c>
      <c r="F202">
        <v>45</v>
      </c>
      <c r="G202" s="2">
        <v>64.3</v>
      </c>
      <c r="H202" s="2">
        <v>0</v>
      </c>
      <c r="I202" s="2">
        <v>0.8</v>
      </c>
      <c r="J202" s="2">
        <v>65.099999999999994</v>
      </c>
      <c r="K202" s="5">
        <f>nantucket[[#This Row],[MW Factor]]-resources!$B$14</f>
        <v>-12</v>
      </c>
    </row>
    <row r="203" spans="1:11" x14ac:dyDescent="0.3">
      <c r="A203" t="s">
        <v>19</v>
      </c>
      <c r="B203">
        <v>238</v>
      </c>
      <c r="C203">
        <v>22</v>
      </c>
      <c r="D203">
        <v>16255</v>
      </c>
      <c r="E203" t="s">
        <v>10</v>
      </c>
      <c r="F203">
        <v>45</v>
      </c>
      <c r="G203" s="2">
        <v>78.930000000000007</v>
      </c>
      <c r="H203" s="2">
        <v>0</v>
      </c>
      <c r="I203" s="2">
        <v>1.33</v>
      </c>
      <c r="J203" s="2">
        <v>80.260000000000005</v>
      </c>
      <c r="K203" s="5">
        <f>nantucket[[#This Row],[MW Factor]]-resources!$B$14</f>
        <v>-12</v>
      </c>
    </row>
    <row r="204" spans="1:11" x14ac:dyDescent="0.3">
      <c r="A204" t="s">
        <v>20</v>
      </c>
      <c r="B204">
        <v>255</v>
      </c>
      <c r="C204">
        <v>15</v>
      </c>
      <c r="D204">
        <v>16255</v>
      </c>
      <c r="E204" t="s">
        <v>10</v>
      </c>
      <c r="F204">
        <v>45</v>
      </c>
      <c r="G204" s="2">
        <v>43.94</v>
      </c>
      <c r="H204" s="2">
        <v>0</v>
      </c>
      <c r="I204" s="2">
        <v>0.35</v>
      </c>
      <c r="J204" s="2">
        <v>44.29</v>
      </c>
      <c r="K204" s="5">
        <f>nantucket[[#This Row],[MW Factor]]-resources!$B$14</f>
        <v>-12</v>
      </c>
    </row>
    <row r="205" spans="1:11" x14ac:dyDescent="0.3">
      <c r="A205" t="s">
        <v>21</v>
      </c>
      <c r="B205">
        <v>277</v>
      </c>
      <c r="C205">
        <v>13</v>
      </c>
      <c r="D205">
        <v>16255</v>
      </c>
      <c r="E205" t="s">
        <v>10</v>
      </c>
      <c r="F205">
        <v>45</v>
      </c>
      <c r="G205" s="2">
        <v>44.76</v>
      </c>
      <c r="H205" s="2">
        <v>0</v>
      </c>
      <c r="I205" s="2">
        <v>0.41</v>
      </c>
      <c r="J205" s="2">
        <v>45.17</v>
      </c>
      <c r="K205" s="5">
        <f>nantucket[[#This Row],[MW Factor]]-resources!$B$14</f>
        <v>-12</v>
      </c>
    </row>
    <row r="206" spans="1:11" x14ac:dyDescent="0.3">
      <c r="A206" t="s">
        <v>22</v>
      </c>
      <c r="B206">
        <v>300</v>
      </c>
      <c r="C206">
        <v>12</v>
      </c>
      <c r="D206">
        <v>16255</v>
      </c>
      <c r="E206" t="s">
        <v>10</v>
      </c>
      <c r="F206">
        <v>45</v>
      </c>
      <c r="G206" s="2">
        <v>31.46</v>
      </c>
      <c r="H206" s="2">
        <v>0</v>
      </c>
      <c r="I206" s="2">
        <v>0.5</v>
      </c>
      <c r="J206" s="2">
        <v>31.96</v>
      </c>
      <c r="K206" s="5">
        <f>nantucket[[#This Row],[MW Factor]]-resources!$B$14</f>
        <v>-12</v>
      </c>
    </row>
    <row r="207" spans="1:11" x14ac:dyDescent="0.3">
      <c r="A207" t="s">
        <v>22</v>
      </c>
      <c r="B207">
        <v>304</v>
      </c>
      <c r="C207">
        <v>16</v>
      </c>
      <c r="D207">
        <v>16255</v>
      </c>
      <c r="E207" t="s">
        <v>10</v>
      </c>
      <c r="F207">
        <v>45</v>
      </c>
      <c r="G207" s="2">
        <v>27.48</v>
      </c>
      <c r="H207" s="2">
        <v>0</v>
      </c>
      <c r="I207" s="2">
        <v>0.26</v>
      </c>
      <c r="J207" s="2">
        <v>27.74</v>
      </c>
      <c r="K207" s="5">
        <f>nantucket[[#This Row],[MW Factor]]-resources!$B$14</f>
        <v>-12</v>
      </c>
    </row>
    <row r="208" spans="1:11" x14ac:dyDescent="0.3">
      <c r="A208" t="s">
        <v>22</v>
      </c>
      <c r="B208">
        <v>305</v>
      </c>
      <c r="C208">
        <v>17</v>
      </c>
      <c r="D208">
        <v>16255</v>
      </c>
      <c r="E208" t="s">
        <v>10</v>
      </c>
      <c r="F208">
        <v>45</v>
      </c>
      <c r="G208" s="2">
        <v>41.62</v>
      </c>
      <c r="H208" s="2">
        <v>0</v>
      </c>
      <c r="I208" s="2">
        <v>0.37</v>
      </c>
      <c r="J208" s="2">
        <v>41.99</v>
      </c>
      <c r="K208" s="5">
        <f>nantucket[[#This Row],[MW Factor]]-resources!$B$14</f>
        <v>-12</v>
      </c>
    </row>
    <row r="209" spans="1:11" x14ac:dyDescent="0.3">
      <c r="A209" t="s">
        <v>22</v>
      </c>
      <c r="B209">
        <v>306</v>
      </c>
      <c r="C209">
        <v>18</v>
      </c>
      <c r="D209">
        <v>16255</v>
      </c>
      <c r="E209" t="s">
        <v>10</v>
      </c>
      <c r="F209">
        <v>45</v>
      </c>
      <c r="G209" s="2">
        <v>46.06</v>
      </c>
      <c r="H209" s="2">
        <v>0</v>
      </c>
      <c r="I209" s="2">
        <v>0.53</v>
      </c>
      <c r="J209" s="2">
        <v>46.59</v>
      </c>
      <c r="K209" s="5">
        <f>nantucket[[#This Row],[MW Factor]]-resources!$B$14</f>
        <v>-12</v>
      </c>
    </row>
    <row r="210" spans="1:11" x14ac:dyDescent="0.3">
      <c r="A210" t="s">
        <v>22</v>
      </c>
      <c r="B210">
        <v>307</v>
      </c>
      <c r="C210">
        <v>19</v>
      </c>
      <c r="D210">
        <v>16255</v>
      </c>
      <c r="E210" t="s">
        <v>10</v>
      </c>
      <c r="F210">
        <v>45</v>
      </c>
      <c r="G210" s="2">
        <v>66.56</v>
      </c>
      <c r="H210" s="2">
        <v>0</v>
      </c>
      <c r="I210" s="2">
        <v>0.97</v>
      </c>
      <c r="J210" s="2">
        <v>67.53</v>
      </c>
      <c r="K210" s="5">
        <f>nantucket[[#This Row],[MW Factor]]-resources!$B$14</f>
        <v>-12</v>
      </c>
    </row>
    <row r="211" spans="1:11" x14ac:dyDescent="0.3">
      <c r="A211" t="s">
        <v>23</v>
      </c>
      <c r="B211">
        <v>327</v>
      </c>
      <c r="C211">
        <v>15</v>
      </c>
      <c r="D211">
        <v>16255</v>
      </c>
      <c r="E211" t="s">
        <v>10</v>
      </c>
      <c r="F211">
        <v>45</v>
      </c>
      <c r="G211" s="2">
        <v>28.53</v>
      </c>
      <c r="H211" s="2">
        <v>0</v>
      </c>
      <c r="I211" s="2">
        <v>0.25</v>
      </c>
      <c r="J211" s="2">
        <v>28.78</v>
      </c>
      <c r="K211" s="5">
        <f>nantucket[[#This Row],[MW Factor]]-resources!$B$14</f>
        <v>-12</v>
      </c>
    </row>
    <row r="212" spans="1:11" x14ac:dyDescent="0.3">
      <c r="A212" t="s">
        <v>23</v>
      </c>
      <c r="B212">
        <v>334</v>
      </c>
      <c r="C212">
        <v>22</v>
      </c>
      <c r="D212">
        <v>16255</v>
      </c>
      <c r="E212" t="s">
        <v>10</v>
      </c>
      <c r="F212">
        <v>45</v>
      </c>
      <c r="G212" s="2">
        <v>39.21</v>
      </c>
      <c r="H212" s="2">
        <v>0</v>
      </c>
      <c r="I212" s="2">
        <v>0.62</v>
      </c>
      <c r="J212" s="2">
        <v>39.83</v>
      </c>
      <c r="K212" s="5">
        <f>nantucket[[#This Row],[MW Factor]]-resources!$B$14</f>
        <v>-12</v>
      </c>
    </row>
    <row r="213" spans="1:11" x14ac:dyDescent="0.3">
      <c r="A213" t="s">
        <v>25</v>
      </c>
      <c r="B213">
        <v>370</v>
      </c>
      <c r="C213">
        <v>10</v>
      </c>
      <c r="D213">
        <v>16255</v>
      </c>
      <c r="E213" t="s">
        <v>10</v>
      </c>
      <c r="F213">
        <v>45</v>
      </c>
      <c r="G213" s="2">
        <v>26.86</v>
      </c>
      <c r="H213" s="2">
        <v>0</v>
      </c>
      <c r="I213" s="2">
        <v>0.38</v>
      </c>
      <c r="J213" s="2">
        <v>27.24</v>
      </c>
      <c r="K213" s="5">
        <f>nantucket[[#This Row],[MW Factor]]-resources!$B$14</f>
        <v>-12</v>
      </c>
    </row>
    <row r="214" spans="1:11" x14ac:dyDescent="0.3">
      <c r="A214" t="s">
        <v>26</v>
      </c>
      <c r="B214">
        <v>396</v>
      </c>
      <c r="C214">
        <v>12</v>
      </c>
      <c r="D214">
        <v>16255</v>
      </c>
      <c r="E214" t="s">
        <v>10</v>
      </c>
      <c r="F214">
        <v>45</v>
      </c>
      <c r="G214" s="2">
        <v>39.67</v>
      </c>
      <c r="H214" s="2">
        <v>0</v>
      </c>
      <c r="I214" s="2">
        <v>0.48</v>
      </c>
      <c r="J214" s="2">
        <v>40.15</v>
      </c>
      <c r="K214" s="5">
        <f>nantucket[[#This Row],[MW Factor]]-resources!$B$14</f>
        <v>-12</v>
      </c>
    </row>
    <row r="215" spans="1:11" x14ac:dyDescent="0.3">
      <c r="A215" t="s">
        <v>27</v>
      </c>
      <c r="B215">
        <v>423</v>
      </c>
      <c r="C215">
        <v>15</v>
      </c>
      <c r="D215">
        <v>16255</v>
      </c>
      <c r="E215" t="s">
        <v>10</v>
      </c>
      <c r="F215">
        <v>45</v>
      </c>
      <c r="G215" s="2">
        <v>28.59</v>
      </c>
      <c r="H215" s="2">
        <v>0</v>
      </c>
      <c r="I215" s="2">
        <v>0.38</v>
      </c>
      <c r="J215" s="2">
        <v>28.97</v>
      </c>
      <c r="K215" s="5">
        <f>nantucket[[#This Row],[MW Factor]]-resources!$B$14</f>
        <v>-12</v>
      </c>
    </row>
    <row r="216" spans="1:11" x14ac:dyDescent="0.3">
      <c r="A216" t="s">
        <v>27</v>
      </c>
      <c r="B216">
        <v>425</v>
      </c>
      <c r="C216">
        <v>17</v>
      </c>
      <c r="D216">
        <v>16255</v>
      </c>
      <c r="E216" t="s">
        <v>10</v>
      </c>
      <c r="F216">
        <v>45</v>
      </c>
      <c r="G216" s="2">
        <v>32.96</v>
      </c>
      <c r="H216" s="2">
        <v>0</v>
      </c>
      <c r="I216" s="2">
        <v>0.42</v>
      </c>
      <c r="J216" s="2">
        <v>33.380000000000003</v>
      </c>
      <c r="K216" s="5">
        <f>nantucket[[#This Row],[MW Factor]]-resources!$B$14</f>
        <v>-12</v>
      </c>
    </row>
    <row r="217" spans="1:11" x14ac:dyDescent="0.3">
      <c r="A217" t="s">
        <v>27</v>
      </c>
      <c r="B217">
        <v>430</v>
      </c>
      <c r="C217">
        <v>22</v>
      </c>
      <c r="D217">
        <v>16255</v>
      </c>
      <c r="E217" t="s">
        <v>10</v>
      </c>
      <c r="F217">
        <v>45</v>
      </c>
      <c r="G217" s="2">
        <v>35.770000000000003</v>
      </c>
      <c r="H217" s="2">
        <v>0.04</v>
      </c>
      <c r="I217" s="2">
        <v>0.53</v>
      </c>
      <c r="J217" s="2">
        <v>36.340000000000003</v>
      </c>
      <c r="K217" s="5">
        <f>nantucket[[#This Row],[MW Factor]]-resources!$B$14</f>
        <v>-12</v>
      </c>
    </row>
    <row r="218" spans="1:11" x14ac:dyDescent="0.3">
      <c r="A218" t="s">
        <v>31</v>
      </c>
      <c r="B218">
        <v>520</v>
      </c>
      <c r="C218">
        <v>16</v>
      </c>
      <c r="D218">
        <v>16255</v>
      </c>
      <c r="E218" t="s">
        <v>10</v>
      </c>
      <c r="F218">
        <v>45</v>
      </c>
      <c r="G218" s="2">
        <v>63.49</v>
      </c>
      <c r="H218" s="2">
        <v>0.28000000000000003</v>
      </c>
      <c r="I218" s="2">
        <v>1.22</v>
      </c>
      <c r="J218" s="2">
        <v>64.989999999999995</v>
      </c>
      <c r="K218" s="5">
        <f>nantucket[[#This Row],[MW Factor]]-resources!$B$14</f>
        <v>-12</v>
      </c>
    </row>
    <row r="219" spans="1:11" x14ac:dyDescent="0.3">
      <c r="A219" t="s">
        <v>31</v>
      </c>
      <c r="B219">
        <v>526</v>
      </c>
      <c r="C219">
        <v>22</v>
      </c>
      <c r="D219">
        <v>16255</v>
      </c>
      <c r="E219" t="s">
        <v>10</v>
      </c>
      <c r="F219">
        <v>45</v>
      </c>
      <c r="G219" s="2">
        <v>38.22</v>
      </c>
      <c r="H219" s="2">
        <v>0</v>
      </c>
      <c r="I219" s="2">
        <v>0.67</v>
      </c>
      <c r="J219" s="2">
        <v>38.89</v>
      </c>
      <c r="K219" s="5">
        <f>nantucket[[#This Row],[MW Factor]]-resources!$B$14</f>
        <v>-12</v>
      </c>
    </row>
    <row r="220" spans="1:11" x14ac:dyDescent="0.3">
      <c r="A220" t="s">
        <v>36</v>
      </c>
      <c r="B220">
        <v>641</v>
      </c>
      <c r="C220">
        <v>17</v>
      </c>
      <c r="D220">
        <v>16255</v>
      </c>
      <c r="E220" t="s">
        <v>10</v>
      </c>
      <c r="F220">
        <v>45</v>
      </c>
      <c r="G220" s="2">
        <v>32.19</v>
      </c>
      <c r="H220" s="2">
        <v>0</v>
      </c>
      <c r="I220" s="2">
        <v>0.54</v>
      </c>
      <c r="J220" s="2">
        <v>32.729999999999997</v>
      </c>
      <c r="K220" s="5">
        <f>nantucket[[#This Row],[MW Factor]]-resources!$B$14</f>
        <v>-12</v>
      </c>
    </row>
    <row r="221" spans="1:11" x14ac:dyDescent="0.3">
      <c r="A221" t="s">
        <v>39</v>
      </c>
      <c r="B221">
        <v>718</v>
      </c>
      <c r="C221">
        <v>22</v>
      </c>
      <c r="D221">
        <v>16255</v>
      </c>
      <c r="E221" t="s">
        <v>10</v>
      </c>
      <c r="F221">
        <v>45</v>
      </c>
      <c r="G221" s="2">
        <v>39.26</v>
      </c>
      <c r="H221" s="2">
        <v>0</v>
      </c>
      <c r="I221" s="2">
        <v>0.48</v>
      </c>
      <c r="J221" s="2">
        <v>39.74</v>
      </c>
      <c r="K221" s="5">
        <f>nantucket[[#This Row],[MW Factor]]-resources!$B$14</f>
        <v>-12</v>
      </c>
    </row>
    <row r="222" spans="1:11" x14ac:dyDescent="0.3">
      <c r="A222" t="s">
        <v>40</v>
      </c>
      <c r="B222">
        <v>735</v>
      </c>
      <c r="C222">
        <v>15</v>
      </c>
      <c r="D222">
        <v>16255</v>
      </c>
      <c r="E222" t="s">
        <v>10</v>
      </c>
      <c r="F222">
        <v>45</v>
      </c>
      <c r="G222" s="2">
        <v>100.66</v>
      </c>
      <c r="H222" s="2">
        <v>0</v>
      </c>
      <c r="I222" s="2">
        <v>1.07</v>
      </c>
      <c r="J222" s="2">
        <v>101.73</v>
      </c>
      <c r="K222" s="5">
        <f>nantucket[[#This Row],[MW Factor]]-resources!$B$14</f>
        <v>-12</v>
      </c>
    </row>
    <row r="223" spans="1:11" x14ac:dyDescent="0.3">
      <c r="A223" t="s">
        <v>41</v>
      </c>
      <c r="B223">
        <v>756</v>
      </c>
      <c r="C223">
        <v>12</v>
      </c>
      <c r="D223">
        <v>16255</v>
      </c>
      <c r="E223" t="s">
        <v>10</v>
      </c>
      <c r="F223">
        <v>45</v>
      </c>
      <c r="G223" s="2">
        <v>59.45</v>
      </c>
      <c r="H223" s="2">
        <v>0</v>
      </c>
      <c r="I223" s="2">
        <v>0.26</v>
      </c>
      <c r="J223" s="2">
        <v>59.71</v>
      </c>
      <c r="K223" s="5">
        <f>nantucket[[#This Row],[MW Factor]]-resources!$B$14</f>
        <v>-12</v>
      </c>
    </row>
    <row r="224" spans="1:11" x14ac:dyDescent="0.3">
      <c r="A224" t="s">
        <v>41</v>
      </c>
      <c r="B224">
        <v>767</v>
      </c>
      <c r="C224">
        <v>23</v>
      </c>
      <c r="D224">
        <v>16255</v>
      </c>
      <c r="E224" t="s">
        <v>10</v>
      </c>
      <c r="F224">
        <v>45</v>
      </c>
      <c r="G224" s="2">
        <v>94.56</v>
      </c>
      <c r="H224" s="2">
        <v>0</v>
      </c>
      <c r="I224" s="2">
        <v>1.21</v>
      </c>
      <c r="J224" s="2">
        <v>95.77</v>
      </c>
      <c r="K224" s="5">
        <f>nantucket[[#This Row],[MW Factor]]-resources!$B$14</f>
        <v>-12</v>
      </c>
    </row>
    <row r="225" spans="1:11" x14ac:dyDescent="0.3">
      <c r="A225" t="s">
        <v>42</v>
      </c>
      <c r="B225">
        <v>779</v>
      </c>
      <c r="C225">
        <v>11</v>
      </c>
      <c r="D225">
        <v>16255</v>
      </c>
      <c r="E225" t="s">
        <v>10</v>
      </c>
      <c r="F225">
        <v>45</v>
      </c>
      <c r="G225" s="2">
        <v>48.28</v>
      </c>
      <c r="H225" s="2">
        <v>0</v>
      </c>
      <c r="I225" s="2">
        <v>0.24</v>
      </c>
      <c r="J225" s="2">
        <v>48.52</v>
      </c>
      <c r="K225" s="5">
        <f>nantucket[[#This Row],[MW Factor]]-resources!$B$14</f>
        <v>-12</v>
      </c>
    </row>
    <row r="226" spans="1:11" x14ac:dyDescent="0.3">
      <c r="A226" t="s">
        <v>43</v>
      </c>
      <c r="B226">
        <v>816</v>
      </c>
      <c r="C226">
        <v>24</v>
      </c>
      <c r="D226">
        <v>16255</v>
      </c>
      <c r="E226" t="s">
        <v>10</v>
      </c>
      <c r="F226">
        <v>45</v>
      </c>
      <c r="G226" s="2">
        <v>25.75</v>
      </c>
      <c r="H226" s="2">
        <v>0</v>
      </c>
      <c r="I226" s="2">
        <v>0.36</v>
      </c>
      <c r="J226" s="2">
        <v>26.11</v>
      </c>
      <c r="K226" s="5">
        <f>nantucket[[#This Row],[MW Factor]]-resources!$B$14</f>
        <v>-12</v>
      </c>
    </row>
    <row r="227" spans="1:11" x14ac:dyDescent="0.3">
      <c r="A227" t="s">
        <v>44</v>
      </c>
      <c r="B227">
        <v>839</v>
      </c>
      <c r="C227">
        <v>23</v>
      </c>
      <c r="D227">
        <v>16255</v>
      </c>
      <c r="E227" t="s">
        <v>10</v>
      </c>
      <c r="F227">
        <v>45</v>
      </c>
      <c r="G227" s="2">
        <v>25.48</v>
      </c>
      <c r="H227" s="2">
        <v>0</v>
      </c>
      <c r="I227" s="2">
        <v>0.28000000000000003</v>
      </c>
      <c r="J227" s="2">
        <v>25.76</v>
      </c>
      <c r="K227" s="5">
        <f>nantucket[[#This Row],[MW Factor]]-resources!$B$14</f>
        <v>-12</v>
      </c>
    </row>
    <row r="228" spans="1:11" x14ac:dyDescent="0.3">
      <c r="A228" t="s">
        <v>45</v>
      </c>
      <c r="B228">
        <v>851</v>
      </c>
      <c r="C228">
        <v>11</v>
      </c>
      <c r="D228">
        <v>16255</v>
      </c>
      <c r="E228" t="s">
        <v>10</v>
      </c>
      <c r="F228">
        <v>45</v>
      </c>
      <c r="G228" s="2">
        <v>25.39</v>
      </c>
      <c r="H228" s="2">
        <v>0</v>
      </c>
      <c r="I228" s="2">
        <v>0.35</v>
      </c>
      <c r="J228" s="2">
        <v>25.74</v>
      </c>
      <c r="K228" s="5">
        <f>nantucket[[#This Row],[MW Factor]]-resources!$B$14</f>
        <v>-12</v>
      </c>
    </row>
    <row r="229" spans="1:11" x14ac:dyDescent="0.3">
      <c r="A229" t="s">
        <v>45</v>
      </c>
      <c r="B229">
        <v>863</v>
      </c>
      <c r="C229">
        <v>23</v>
      </c>
      <c r="D229">
        <v>16255</v>
      </c>
      <c r="E229" t="s">
        <v>10</v>
      </c>
      <c r="F229">
        <v>45</v>
      </c>
      <c r="G229" s="2">
        <v>34.630000000000003</v>
      </c>
      <c r="H229" s="2">
        <v>-0.47</v>
      </c>
      <c r="I229" s="2">
        <v>0.47</v>
      </c>
      <c r="J229" s="2">
        <v>34.630000000000003</v>
      </c>
      <c r="K229" s="5">
        <f>nantucket[[#This Row],[MW Factor]]-resources!$B$14</f>
        <v>-12</v>
      </c>
    </row>
    <row r="230" spans="1:11" x14ac:dyDescent="0.3">
      <c r="A230" t="s">
        <v>46</v>
      </c>
      <c r="B230">
        <v>875</v>
      </c>
      <c r="C230">
        <v>11</v>
      </c>
      <c r="D230">
        <v>16255</v>
      </c>
      <c r="E230" t="s">
        <v>10</v>
      </c>
      <c r="F230">
        <v>45</v>
      </c>
      <c r="G230" s="2">
        <v>31.23</v>
      </c>
      <c r="H230" s="2">
        <v>0</v>
      </c>
      <c r="I230" s="2">
        <v>0.5</v>
      </c>
      <c r="J230" s="2">
        <v>31.73</v>
      </c>
      <c r="K230" s="5">
        <f>nantucket[[#This Row],[MW Factor]]-resources!$B$14</f>
        <v>-12</v>
      </c>
    </row>
    <row r="231" spans="1:11" x14ac:dyDescent="0.3">
      <c r="A231" t="s">
        <v>49</v>
      </c>
      <c r="B231">
        <v>951</v>
      </c>
      <c r="C231">
        <v>15</v>
      </c>
      <c r="D231">
        <v>16255</v>
      </c>
      <c r="E231" t="s">
        <v>10</v>
      </c>
      <c r="F231">
        <v>45</v>
      </c>
      <c r="G231" s="2">
        <v>49.59</v>
      </c>
      <c r="H231" s="2">
        <v>0</v>
      </c>
      <c r="I231" s="2">
        <v>0.71</v>
      </c>
      <c r="J231" s="2">
        <v>50.3</v>
      </c>
      <c r="K231" s="5">
        <f>nantucket[[#This Row],[MW Factor]]-resources!$B$14</f>
        <v>-12</v>
      </c>
    </row>
    <row r="232" spans="1:11" x14ac:dyDescent="0.3">
      <c r="A232" t="s">
        <v>50</v>
      </c>
      <c r="B232">
        <v>975</v>
      </c>
      <c r="C232">
        <v>15</v>
      </c>
      <c r="D232">
        <v>16255</v>
      </c>
      <c r="E232" t="s">
        <v>10</v>
      </c>
      <c r="F232">
        <v>45</v>
      </c>
      <c r="G232" s="2">
        <v>27.06</v>
      </c>
      <c r="H232" s="2">
        <v>0</v>
      </c>
      <c r="I232" s="2">
        <v>0.53</v>
      </c>
      <c r="J232" s="2">
        <v>27.59</v>
      </c>
      <c r="K232" s="5">
        <f>nantucket[[#This Row],[MW Factor]]-resources!$B$14</f>
        <v>-12</v>
      </c>
    </row>
    <row r="233" spans="1:11" x14ac:dyDescent="0.3">
      <c r="A233" t="s">
        <v>51</v>
      </c>
      <c r="B233">
        <v>1003</v>
      </c>
      <c r="C233">
        <v>19</v>
      </c>
      <c r="D233">
        <v>16255</v>
      </c>
      <c r="E233" t="s">
        <v>10</v>
      </c>
      <c r="F233">
        <v>45</v>
      </c>
      <c r="G233" s="2">
        <v>34.46</v>
      </c>
      <c r="H233" s="2">
        <v>0</v>
      </c>
      <c r="I233" s="2">
        <v>0.68</v>
      </c>
      <c r="J233" s="2">
        <v>35.14</v>
      </c>
      <c r="K233" s="5">
        <f>nantucket[[#This Row],[MW Factor]]-resources!$B$14</f>
        <v>-12</v>
      </c>
    </row>
    <row r="234" spans="1:11" x14ac:dyDescent="0.3">
      <c r="A234" t="s">
        <v>52</v>
      </c>
      <c r="B234">
        <v>1027</v>
      </c>
      <c r="C234">
        <v>19</v>
      </c>
      <c r="D234">
        <v>16255</v>
      </c>
      <c r="E234" t="s">
        <v>10</v>
      </c>
      <c r="F234">
        <v>45</v>
      </c>
      <c r="G234" s="2">
        <v>25.03</v>
      </c>
      <c r="H234" s="2">
        <v>0</v>
      </c>
      <c r="I234" s="2">
        <v>0.48</v>
      </c>
      <c r="J234" s="2">
        <v>25.51</v>
      </c>
      <c r="K234" s="5">
        <f>nantucket[[#This Row],[MW Factor]]-resources!$B$14</f>
        <v>-12</v>
      </c>
    </row>
    <row r="235" spans="1:11" x14ac:dyDescent="0.3">
      <c r="A235" t="s">
        <v>54</v>
      </c>
      <c r="B235">
        <v>1076</v>
      </c>
      <c r="C235">
        <v>20</v>
      </c>
      <c r="D235">
        <v>16255</v>
      </c>
      <c r="E235" t="s">
        <v>10</v>
      </c>
      <c r="F235">
        <v>45</v>
      </c>
      <c r="G235" s="2">
        <v>42.97</v>
      </c>
      <c r="H235" s="2">
        <v>0</v>
      </c>
      <c r="I235" s="2">
        <v>0.74</v>
      </c>
      <c r="J235" s="2">
        <v>43.71</v>
      </c>
      <c r="K235" s="5">
        <f>nantucket[[#This Row],[MW Factor]]-resources!$B$14</f>
        <v>-12</v>
      </c>
    </row>
    <row r="236" spans="1:11" x14ac:dyDescent="0.3">
      <c r="A236" t="s">
        <v>55</v>
      </c>
      <c r="B236">
        <v>1098</v>
      </c>
      <c r="C236">
        <v>18</v>
      </c>
      <c r="D236">
        <v>16255</v>
      </c>
      <c r="E236" t="s">
        <v>10</v>
      </c>
      <c r="F236">
        <v>45</v>
      </c>
      <c r="G236" s="2">
        <v>31.26</v>
      </c>
      <c r="H236" s="2">
        <v>0</v>
      </c>
      <c r="I236" s="2">
        <v>0.34</v>
      </c>
      <c r="J236" s="2">
        <v>31.6</v>
      </c>
      <c r="K236" s="5">
        <f>nantucket[[#This Row],[MW Factor]]-resources!$B$14</f>
        <v>-12</v>
      </c>
    </row>
    <row r="237" spans="1:11" x14ac:dyDescent="0.3">
      <c r="A237" t="s">
        <v>55</v>
      </c>
      <c r="B237">
        <v>1099</v>
      </c>
      <c r="C237">
        <v>19</v>
      </c>
      <c r="D237">
        <v>16255</v>
      </c>
      <c r="E237" t="s">
        <v>10</v>
      </c>
      <c r="F237">
        <v>45</v>
      </c>
      <c r="G237" s="2">
        <v>29.63</v>
      </c>
      <c r="H237" s="2">
        <v>0</v>
      </c>
      <c r="I237" s="2">
        <v>0.26</v>
      </c>
      <c r="J237" s="2">
        <v>29.89</v>
      </c>
      <c r="K237" s="5">
        <f>nantucket[[#This Row],[MW Factor]]-resources!$B$14</f>
        <v>-12</v>
      </c>
    </row>
    <row r="238" spans="1:11" x14ac:dyDescent="0.3">
      <c r="A238" t="s">
        <v>55</v>
      </c>
      <c r="B238">
        <v>1100</v>
      </c>
      <c r="C238">
        <v>20</v>
      </c>
      <c r="D238">
        <v>16255</v>
      </c>
      <c r="E238" t="s">
        <v>10</v>
      </c>
      <c r="F238">
        <v>45</v>
      </c>
      <c r="G238" s="2">
        <v>33.880000000000003</v>
      </c>
      <c r="H238" s="2">
        <v>0</v>
      </c>
      <c r="I238" s="2">
        <v>0.2</v>
      </c>
      <c r="J238" s="2">
        <v>34.08</v>
      </c>
      <c r="K238" s="5">
        <f>nantucket[[#This Row],[MW Factor]]-resources!$B$14</f>
        <v>-12</v>
      </c>
    </row>
    <row r="239" spans="1:11" x14ac:dyDescent="0.3">
      <c r="A239" t="s">
        <v>16</v>
      </c>
      <c r="B239">
        <v>159</v>
      </c>
      <c r="C239">
        <v>15</v>
      </c>
      <c r="D239">
        <v>16255</v>
      </c>
      <c r="E239" t="s">
        <v>10</v>
      </c>
      <c r="F239">
        <v>44</v>
      </c>
      <c r="G239" s="2">
        <v>32.46</v>
      </c>
      <c r="H239" s="2">
        <v>0</v>
      </c>
      <c r="I239" s="2">
        <v>0.39</v>
      </c>
      <c r="J239" s="2">
        <v>32.85</v>
      </c>
      <c r="K239" s="5">
        <f>nantucket[[#This Row],[MW Factor]]-resources!$B$14</f>
        <v>-13</v>
      </c>
    </row>
    <row r="240" spans="1:11" x14ac:dyDescent="0.3">
      <c r="A240" t="s">
        <v>16</v>
      </c>
      <c r="B240">
        <v>160</v>
      </c>
      <c r="C240">
        <v>16</v>
      </c>
      <c r="D240">
        <v>16255</v>
      </c>
      <c r="E240" t="s">
        <v>10</v>
      </c>
      <c r="F240">
        <v>44</v>
      </c>
      <c r="G240" s="2">
        <v>48.04</v>
      </c>
      <c r="H240" s="2">
        <v>0</v>
      </c>
      <c r="I240" s="2">
        <v>0.43</v>
      </c>
      <c r="J240" s="2">
        <v>48.47</v>
      </c>
      <c r="K240" s="5">
        <f>nantucket[[#This Row],[MW Factor]]-resources!$B$14</f>
        <v>-13</v>
      </c>
    </row>
    <row r="241" spans="1:11" x14ac:dyDescent="0.3">
      <c r="A241" t="s">
        <v>16</v>
      </c>
      <c r="B241">
        <v>164</v>
      </c>
      <c r="C241">
        <v>20</v>
      </c>
      <c r="D241">
        <v>16255</v>
      </c>
      <c r="E241" t="s">
        <v>10</v>
      </c>
      <c r="F241">
        <v>44</v>
      </c>
      <c r="G241" s="2">
        <v>105.91</v>
      </c>
      <c r="H241" s="2">
        <v>0</v>
      </c>
      <c r="I241" s="2">
        <v>2.3199999999999998</v>
      </c>
      <c r="J241" s="2">
        <v>108.23</v>
      </c>
      <c r="K241" s="5">
        <f>nantucket[[#This Row],[MW Factor]]-resources!$B$14</f>
        <v>-13</v>
      </c>
    </row>
    <row r="242" spans="1:11" x14ac:dyDescent="0.3">
      <c r="A242" t="s">
        <v>16</v>
      </c>
      <c r="B242">
        <v>165</v>
      </c>
      <c r="C242">
        <v>21</v>
      </c>
      <c r="D242">
        <v>16255</v>
      </c>
      <c r="E242" t="s">
        <v>10</v>
      </c>
      <c r="F242">
        <v>44</v>
      </c>
      <c r="G242" s="2">
        <v>59.14</v>
      </c>
      <c r="H242" s="2">
        <v>0</v>
      </c>
      <c r="I242" s="2">
        <v>1.35</v>
      </c>
      <c r="J242" s="2">
        <v>60.49</v>
      </c>
      <c r="K242" s="5">
        <f>nantucket[[#This Row],[MW Factor]]-resources!$B$14</f>
        <v>-13</v>
      </c>
    </row>
    <row r="243" spans="1:11" x14ac:dyDescent="0.3">
      <c r="A243" t="s">
        <v>18</v>
      </c>
      <c r="B243">
        <v>205</v>
      </c>
      <c r="C243">
        <v>13</v>
      </c>
      <c r="D243">
        <v>16255</v>
      </c>
      <c r="E243" t="s">
        <v>10</v>
      </c>
      <c r="F243">
        <v>44</v>
      </c>
      <c r="G243" s="2">
        <v>31.14</v>
      </c>
      <c r="H243" s="2">
        <v>0</v>
      </c>
      <c r="I243" s="2">
        <v>0.37</v>
      </c>
      <c r="J243" s="2">
        <v>31.51</v>
      </c>
      <c r="K243" s="5">
        <f>nantucket[[#This Row],[MW Factor]]-resources!$B$14</f>
        <v>-13</v>
      </c>
    </row>
    <row r="244" spans="1:11" x14ac:dyDescent="0.3">
      <c r="A244" t="s">
        <v>18</v>
      </c>
      <c r="B244">
        <v>206</v>
      </c>
      <c r="C244">
        <v>14</v>
      </c>
      <c r="D244">
        <v>16255</v>
      </c>
      <c r="E244" t="s">
        <v>10</v>
      </c>
      <c r="F244">
        <v>44</v>
      </c>
      <c r="G244" s="2">
        <v>40.85</v>
      </c>
      <c r="H244" s="2">
        <v>0</v>
      </c>
      <c r="I244" s="2">
        <v>0.47</v>
      </c>
      <c r="J244" s="2">
        <v>41.32</v>
      </c>
      <c r="K244" s="5">
        <f>nantucket[[#This Row],[MW Factor]]-resources!$B$14</f>
        <v>-13</v>
      </c>
    </row>
    <row r="245" spans="1:11" x14ac:dyDescent="0.3">
      <c r="A245" t="s">
        <v>18</v>
      </c>
      <c r="B245">
        <v>207</v>
      </c>
      <c r="C245">
        <v>15</v>
      </c>
      <c r="D245">
        <v>16255</v>
      </c>
      <c r="E245" t="s">
        <v>10</v>
      </c>
      <c r="F245">
        <v>44</v>
      </c>
      <c r="G245" s="2">
        <v>85.48</v>
      </c>
      <c r="H245" s="2">
        <v>0</v>
      </c>
      <c r="I245" s="2">
        <v>0.83</v>
      </c>
      <c r="J245" s="2">
        <v>86.31</v>
      </c>
      <c r="K245" s="5">
        <f>nantucket[[#This Row],[MW Factor]]-resources!$B$14</f>
        <v>-13</v>
      </c>
    </row>
    <row r="246" spans="1:11" x14ac:dyDescent="0.3">
      <c r="A246" t="s">
        <v>18</v>
      </c>
      <c r="B246">
        <v>214</v>
      </c>
      <c r="C246">
        <v>22</v>
      </c>
      <c r="D246">
        <v>16255</v>
      </c>
      <c r="E246" t="s">
        <v>10</v>
      </c>
      <c r="F246">
        <v>44</v>
      </c>
      <c r="G246" s="2">
        <v>70.95</v>
      </c>
      <c r="H246" s="2">
        <v>0.42</v>
      </c>
      <c r="I246" s="2">
        <v>1.18</v>
      </c>
      <c r="J246" s="2">
        <v>72.55</v>
      </c>
      <c r="K246" s="5">
        <f>nantucket[[#This Row],[MW Factor]]-resources!$B$14</f>
        <v>-13</v>
      </c>
    </row>
    <row r="247" spans="1:11" x14ac:dyDescent="0.3">
      <c r="A247" t="s">
        <v>20</v>
      </c>
      <c r="B247">
        <v>253</v>
      </c>
      <c r="C247">
        <v>13</v>
      </c>
      <c r="D247">
        <v>16255</v>
      </c>
      <c r="E247" t="s">
        <v>10</v>
      </c>
      <c r="F247">
        <v>44</v>
      </c>
      <c r="G247" s="2">
        <v>27.94</v>
      </c>
      <c r="H247" s="2">
        <v>0</v>
      </c>
      <c r="I247" s="2">
        <v>0.37</v>
      </c>
      <c r="J247" s="2">
        <v>28.31</v>
      </c>
      <c r="K247" s="5">
        <f>nantucket[[#This Row],[MW Factor]]-resources!$B$14</f>
        <v>-13</v>
      </c>
    </row>
    <row r="248" spans="1:11" x14ac:dyDescent="0.3">
      <c r="A248" t="s">
        <v>20</v>
      </c>
      <c r="B248">
        <v>254</v>
      </c>
      <c r="C248">
        <v>14</v>
      </c>
      <c r="D248">
        <v>16255</v>
      </c>
      <c r="E248" t="s">
        <v>10</v>
      </c>
      <c r="F248">
        <v>44</v>
      </c>
      <c r="G248" s="2">
        <v>30.92</v>
      </c>
      <c r="H248" s="2">
        <v>0</v>
      </c>
      <c r="I248" s="2">
        <v>0.28000000000000003</v>
      </c>
      <c r="J248" s="2">
        <v>31.2</v>
      </c>
      <c r="K248" s="5">
        <f>nantucket[[#This Row],[MW Factor]]-resources!$B$14</f>
        <v>-13</v>
      </c>
    </row>
    <row r="249" spans="1:11" x14ac:dyDescent="0.3">
      <c r="A249" t="s">
        <v>20</v>
      </c>
      <c r="B249">
        <v>263</v>
      </c>
      <c r="C249">
        <v>23</v>
      </c>
      <c r="D249">
        <v>16255</v>
      </c>
      <c r="E249" t="s">
        <v>10</v>
      </c>
      <c r="F249">
        <v>44</v>
      </c>
      <c r="G249" s="2">
        <v>36.19</v>
      </c>
      <c r="H249" s="2">
        <v>0</v>
      </c>
      <c r="I249" s="2">
        <v>0.38</v>
      </c>
      <c r="J249" s="2">
        <v>36.57</v>
      </c>
      <c r="K249" s="5">
        <f>nantucket[[#This Row],[MW Factor]]-resources!$B$14</f>
        <v>-13</v>
      </c>
    </row>
    <row r="250" spans="1:11" x14ac:dyDescent="0.3">
      <c r="A250" t="s">
        <v>21</v>
      </c>
      <c r="B250">
        <v>287</v>
      </c>
      <c r="C250">
        <v>23</v>
      </c>
      <c r="D250">
        <v>16255</v>
      </c>
      <c r="E250" t="s">
        <v>10</v>
      </c>
      <c r="F250">
        <v>44</v>
      </c>
      <c r="G250" s="2">
        <v>48.52</v>
      </c>
      <c r="H250" s="2">
        <v>0</v>
      </c>
      <c r="I250" s="2">
        <v>0.54</v>
      </c>
      <c r="J250" s="2">
        <v>49.06</v>
      </c>
      <c r="K250" s="5">
        <f>nantucket[[#This Row],[MW Factor]]-resources!$B$14</f>
        <v>-13</v>
      </c>
    </row>
    <row r="251" spans="1:11" x14ac:dyDescent="0.3">
      <c r="A251" t="s">
        <v>22</v>
      </c>
      <c r="B251">
        <v>299</v>
      </c>
      <c r="C251">
        <v>11</v>
      </c>
      <c r="D251">
        <v>16255</v>
      </c>
      <c r="E251" t="s">
        <v>10</v>
      </c>
      <c r="F251">
        <v>44</v>
      </c>
      <c r="G251" s="2">
        <v>33.96</v>
      </c>
      <c r="H251" s="2">
        <v>0</v>
      </c>
      <c r="I251" s="2">
        <v>0.51</v>
      </c>
      <c r="J251" s="2">
        <v>34.47</v>
      </c>
      <c r="K251" s="5">
        <f>nantucket[[#This Row],[MW Factor]]-resources!$B$14</f>
        <v>-13</v>
      </c>
    </row>
    <row r="252" spans="1:11" x14ac:dyDescent="0.3">
      <c r="A252" t="s">
        <v>22</v>
      </c>
      <c r="B252">
        <v>308</v>
      </c>
      <c r="C252">
        <v>20</v>
      </c>
      <c r="D252">
        <v>16255</v>
      </c>
      <c r="E252" t="s">
        <v>10</v>
      </c>
      <c r="F252">
        <v>44</v>
      </c>
      <c r="G252" s="2">
        <v>60.25</v>
      </c>
      <c r="H252" s="2">
        <v>0</v>
      </c>
      <c r="I252" s="2">
        <v>1.08</v>
      </c>
      <c r="J252" s="2">
        <v>61.33</v>
      </c>
      <c r="K252" s="5">
        <f>nantucket[[#This Row],[MW Factor]]-resources!$B$14</f>
        <v>-13</v>
      </c>
    </row>
    <row r="253" spans="1:11" x14ac:dyDescent="0.3">
      <c r="A253" t="s">
        <v>23</v>
      </c>
      <c r="B253">
        <v>326</v>
      </c>
      <c r="C253">
        <v>14</v>
      </c>
      <c r="D253">
        <v>16255</v>
      </c>
      <c r="E253" t="s">
        <v>10</v>
      </c>
      <c r="F253">
        <v>44</v>
      </c>
      <c r="G253" s="2">
        <v>29.63</v>
      </c>
      <c r="H253" s="2">
        <v>0</v>
      </c>
      <c r="I253" s="2">
        <v>0.28000000000000003</v>
      </c>
      <c r="J253" s="2">
        <v>29.91</v>
      </c>
      <c r="K253" s="5">
        <f>nantucket[[#This Row],[MW Factor]]-resources!$B$14</f>
        <v>-13</v>
      </c>
    </row>
    <row r="254" spans="1:11" x14ac:dyDescent="0.3">
      <c r="A254" t="s">
        <v>24</v>
      </c>
      <c r="B254">
        <v>347</v>
      </c>
      <c r="C254">
        <v>11</v>
      </c>
      <c r="D254">
        <v>16255</v>
      </c>
      <c r="E254" t="s">
        <v>10</v>
      </c>
      <c r="F254">
        <v>44</v>
      </c>
      <c r="G254" s="2">
        <v>32.75</v>
      </c>
      <c r="H254" s="2">
        <v>0</v>
      </c>
      <c r="I254" s="2">
        <v>0.28999999999999998</v>
      </c>
      <c r="J254" s="2">
        <v>33.04</v>
      </c>
      <c r="K254" s="5">
        <f>nantucket[[#This Row],[MW Factor]]-resources!$B$14</f>
        <v>-13</v>
      </c>
    </row>
    <row r="255" spans="1:11" x14ac:dyDescent="0.3">
      <c r="A255" t="s">
        <v>30</v>
      </c>
      <c r="B255">
        <v>502</v>
      </c>
      <c r="C255">
        <v>22</v>
      </c>
      <c r="D255">
        <v>16255</v>
      </c>
      <c r="E255" t="s">
        <v>10</v>
      </c>
      <c r="F255">
        <v>44</v>
      </c>
      <c r="G255" s="2">
        <v>48.67</v>
      </c>
      <c r="H255" s="2">
        <v>0</v>
      </c>
      <c r="I255" s="2">
        <v>1.05</v>
      </c>
      <c r="J255" s="2">
        <v>49.72</v>
      </c>
      <c r="K255" s="5">
        <f>nantucket[[#This Row],[MW Factor]]-resources!$B$14</f>
        <v>-13</v>
      </c>
    </row>
    <row r="256" spans="1:11" x14ac:dyDescent="0.3">
      <c r="A256" t="s">
        <v>31</v>
      </c>
      <c r="B256">
        <v>519</v>
      </c>
      <c r="C256">
        <v>15</v>
      </c>
      <c r="D256">
        <v>16255</v>
      </c>
      <c r="E256" t="s">
        <v>10</v>
      </c>
      <c r="F256">
        <v>44</v>
      </c>
      <c r="G256" s="2">
        <v>53.61</v>
      </c>
      <c r="H256" s="2">
        <v>0.18</v>
      </c>
      <c r="I256" s="2">
        <v>0.83</v>
      </c>
      <c r="J256" s="2">
        <v>54.62</v>
      </c>
      <c r="K256" s="5">
        <f>nantucket[[#This Row],[MW Factor]]-resources!$B$14</f>
        <v>-13</v>
      </c>
    </row>
    <row r="257" spans="1:11" x14ac:dyDescent="0.3">
      <c r="A257" t="s">
        <v>34</v>
      </c>
      <c r="B257">
        <v>596</v>
      </c>
      <c r="C257">
        <v>20</v>
      </c>
      <c r="D257">
        <v>16255</v>
      </c>
      <c r="E257" t="s">
        <v>10</v>
      </c>
      <c r="F257">
        <v>44</v>
      </c>
      <c r="G257" s="2">
        <v>29.75</v>
      </c>
      <c r="H257" s="2">
        <v>0</v>
      </c>
      <c r="I257" s="2">
        <v>0.34</v>
      </c>
      <c r="J257" s="2">
        <v>30.09</v>
      </c>
      <c r="K257" s="5">
        <f>nantucket[[#This Row],[MW Factor]]-resources!$B$14</f>
        <v>-13</v>
      </c>
    </row>
    <row r="258" spans="1:11" x14ac:dyDescent="0.3">
      <c r="A258" t="s">
        <v>35</v>
      </c>
      <c r="B258">
        <v>618</v>
      </c>
      <c r="C258">
        <v>18</v>
      </c>
      <c r="D258">
        <v>16255</v>
      </c>
      <c r="E258" t="s">
        <v>10</v>
      </c>
      <c r="F258">
        <v>44</v>
      </c>
      <c r="G258" s="2">
        <v>31.47</v>
      </c>
      <c r="H258" s="2">
        <v>0</v>
      </c>
      <c r="I258" s="2">
        <v>0.59</v>
      </c>
      <c r="J258" s="2">
        <v>32.06</v>
      </c>
      <c r="K258" s="5">
        <f>nantucket[[#This Row],[MW Factor]]-resources!$B$14</f>
        <v>-13</v>
      </c>
    </row>
    <row r="259" spans="1:11" x14ac:dyDescent="0.3">
      <c r="A259" t="s">
        <v>35</v>
      </c>
      <c r="B259">
        <v>620</v>
      </c>
      <c r="C259">
        <v>20</v>
      </c>
      <c r="D259">
        <v>16255</v>
      </c>
      <c r="E259" t="s">
        <v>10</v>
      </c>
      <c r="F259">
        <v>44</v>
      </c>
      <c r="G259" s="2">
        <v>36.57</v>
      </c>
      <c r="H259" s="2">
        <v>0</v>
      </c>
      <c r="I259" s="2">
        <v>0.86</v>
      </c>
      <c r="J259" s="2">
        <v>37.43</v>
      </c>
      <c r="K259" s="5">
        <f>nantucket[[#This Row],[MW Factor]]-resources!$B$14</f>
        <v>-13</v>
      </c>
    </row>
    <row r="260" spans="1:11" x14ac:dyDescent="0.3">
      <c r="A260" t="s">
        <v>39</v>
      </c>
      <c r="B260">
        <v>712</v>
      </c>
      <c r="C260">
        <v>16</v>
      </c>
      <c r="D260">
        <v>16255</v>
      </c>
      <c r="E260" t="s">
        <v>10</v>
      </c>
      <c r="F260">
        <v>44</v>
      </c>
      <c r="G260" s="2">
        <v>60.95</v>
      </c>
      <c r="H260" s="2">
        <v>0</v>
      </c>
      <c r="I260" s="2">
        <v>0.34</v>
      </c>
      <c r="J260" s="2">
        <v>61.29</v>
      </c>
      <c r="K260" s="5">
        <f>nantucket[[#This Row],[MW Factor]]-resources!$B$14</f>
        <v>-13</v>
      </c>
    </row>
    <row r="261" spans="1:11" x14ac:dyDescent="0.3">
      <c r="A261" t="s">
        <v>40</v>
      </c>
      <c r="B261">
        <v>734</v>
      </c>
      <c r="C261">
        <v>14</v>
      </c>
      <c r="D261">
        <v>16255</v>
      </c>
      <c r="E261" t="s">
        <v>10</v>
      </c>
      <c r="F261">
        <v>44</v>
      </c>
      <c r="G261" s="2">
        <v>71.739999999999995</v>
      </c>
      <c r="H261" s="2">
        <v>0</v>
      </c>
      <c r="I261" s="2">
        <v>0.53</v>
      </c>
      <c r="J261" s="2">
        <v>72.27</v>
      </c>
      <c r="K261" s="5">
        <f>nantucket[[#This Row],[MW Factor]]-resources!$B$14</f>
        <v>-13</v>
      </c>
    </row>
    <row r="262" spans="1:11" x14ac:dyDescent="0.3">
      <c r="A262" t="s">
        <v>43</v>
      </c>
      <c r="B262">
        <v>803</v>
      </c>
      <c r="C262">
        <v>11</v>
      </c>
      <c r="D262">
        <v>16255</v>
      </c>
      <c r="E262" t="s">
        <v>10</v>
      </c>
      <c r="F262">
        <v>44</v>
      </c>
      <c r="G262" s="2">
        <v>33.159999999999997</v>
      </c>
      <c r="H262" s="2">
        <v>0</v>
      </c>
      <c r="I262" s="2">
        <v>0.45</v>
      </c>
      <c r="J262" s="2">
        <v>33.61</v>
      </c>
      <c r="K262" s="5">
        <f>nantucket[[#This Row],[MW Factor]]-resources!$B$14</f>
        <v>-13</v>
      </c>
    </row>
    <row r="263" spans="1:11" x14ac:dyDescent="0.3">
      <c r="A263" t="s">
        <v>44</v>
      </c>
      <c r="B263">
        <v>827</v>
      </c>
      <c r="C263">
        <v>11</v>
      </c>
      <c r="D263">
        <v>16255</v>
      </c>
      <c r="E263" t="s">
        <v>10</v>
      </c>
      <c r="F263">
        <v>44</v>
      </c>
      <c r="G263" s="2">
        <v>28.05</v>
      </c>
      <c r="H263" s="2">
        <v>0</v>
      </c>
      <c r="I263" s="2">
        <v>0.33</v>
      </c>
      <c r="J263" s="2">
        <v>28.38</v>
      </c>
      <c r="K263" s="5">
        <f>nantucket[[#This Row],[MW Factor]]-resources!$B$14</f>
        <v>-13</v>
      </c>
    </row>
    <row r="264" spans="1:11" x14ac:dyDescent="0.3">
      <c r="A264" t="s">
        <v>46</v>
      </c>
      <c r="B264">
        <v>878</v>
      </c>
      <c r="C264">
        <v>14</v>
      </c>
      <c r="D264">
        <v>16255</v>
      </c>
      <c r="E264" t="s">
        <v>10</v>
      </c>
      <c r="F264">
        <v>44</v>
      </c>
      <c r="G264" s="2">
        <v>45.12</v>
      </c>
      <c r="H264" s="2">
        <v>0</v>
      </c>
      <c r="I264" s="2">
        <v>0.43</v>
      </c>
      <c r="J264" s="2">
        <v>45.55</v>
      </c>
      <c r="K264" s="5">
        <f>nantucket[[#This Row],[MW Factor]]-resources!$B$14</f>
        <v>-13</v>
      </c>
    </row>
    <row r="265" spans="1:11" x14ac:dyDescent="0.3">
      <c r="A265" t="s">
        <v>49</v>
      </c>
      <c r="B265">
        <v>950</v>
      </c>
      <c r="C265">
        <v>14</v>
      </c>
      <c r="D265">
        <v>16255</v>
      </c>
      <c r="E265" t="s">
        <v>10</v>
      </c>
      <c r="F265">
        <v>44</v>
      </c>
      <c r="G265" s="2">
        <v>48.13</v>
      </c>
      <c r="H265" s="2">
        <v>0.04</v>
      </c>
      <c r="I265" s="2">
        <v>0.61</v>
      </c>
      <c r="J265" s="2">
        <v>48.78</v>
      </c>
      <c r="K265" s="5">
        <f>nantucket[[#This Row],[MW Factor]]-resources!$B$14</f>
        <v>-13</v>
      </c>
    </row>
    <row r="266" spans="1:11" x14ac:dyDescent="0.3">
      <c r="A266" t="s">
        <v>50</v>
      </c>
      <c r="B266">
        <v>973</v>
      </c>
      <c r="C266">
        <v>13</v>
      </c>
      <c r="D266">
        <v>16255</v>
      </c>
      <c r="E266" t="s">
        <v>10</v>
      </c>
      <c r="F266">
        <v>44</v>
      </c>
      <c r="G266" s="2">
        <v>26.15</v>
      </c>
      <c r="H266" s="2">
        <v>0</v>
      </c>
      <c r="I266" s="2">
        <v>0.52</v>
      </c>
      <c r="J266" s="2">
        <v>26.67</v>
      </c>
      <c r="K266" s="5">
        <f>nantucket[[#This Row],[MW Factor]]-resources!$B$14</f>
        <v>-13</v>
      </c>
    </row>
    <row r="267" spans="1:11" x14ac:dyDescent="0.3">
      <c r="A267" t="s">
        <v>50</v>
      </c>
      <c r="B267">
        <v>981</v>
      </c>
      <c r="C267">
        <v>21</v>
      </c>
      <c r="D267">
        <v>16255</v>
      </c>
      <c r="E267" t="s">
        <v>10</v>
      </c>
      <c r="F267">
        <v>44</v>
      </c>
      <c r="G267" s="2">
        <v>28.38</v>
      </c>
      <c r="H267" s="2">
        <v>0</v>
      </c>
      <c r="I267" s="2">
        <v>0.67</v>
      </c>
      <c r="J267" s="2">
        <v>29.05</v>
      </c>
      <c r="K267" s="5">
        <f>nantucket[[#This Row],[MW Factor]]-resources!$B$14</f>
        <v>-13</v>
      </c>
    </row>
    <row r="268" spans="1:11" x14ac:dyDescent="0.3">
      <c r="A268" t="s">
        <v>51</v>
      </c>
      <c r="B268">
        <v>1002</v>
      </c>
      <c r="C268">
        <v>18</v>
      </c>
      <c r="D268">
        <v>16255</v>
      </c>
      <c r="E268" t="s">
        <v>10</v>
      </c>
      <c r="F268">
        <v>44</v>
      </c>
      <c r="G268" s="2">
        <v>29.08</v>
      </c>
      <c r="H268" s="2">
        <v>0</v>
      </c>
      <c r="I268" s="2">
        <v>0.55000000000000004</v>
      </c>
      <c r="J268" s="2">
        <v>29.63</v>
      </c>
      <c r="K268" s="5">
        <f>nantucket[[#This Row],[MW Factor]]-resources!$B$14</f>
        <v>-13</v>
      </c>
    </row>
    <row r="269" spans="1:11" x14ac:dyDescent="0.3">
      <c r="A269" t="s">
        <v>51</v>
      </c>
      <c r="B269">
        <v>1004</v>
      </c>
      <c r="C269">
        <v>20</v>
      </c>
      <c r="D269">
        <v>16255</v>
      </c>
      <c r="E269" t="s">
        <v>10</v>
      </c>
      <c r="F269">
        <v>44</v>
      </c>
      <c r="G269" s="2">
        <v>28.33</v>
      </c>
      <c r="H269" s="2">
        <v>0</v>
      </c>
      <c r="I269" s="2">
        <v>0.61</v>
      </c>
      <c r="J269" s="2">
        <v>28.94</v>
      </c>
      <c r="K269" s="5">
        <f>nantucket[[#This Row],[MW Factor]]-resources!$B$14</f>
        <v>-13</v>
      </c>
    </row>
    <row r="270" spans="1:11" x14ac:dyDescent="0.3">
      <c r="A270" t="s">
        <v>52</v>
      </c>
      <c r="B270">
        <v>1026</v>
      </c>
      <c r="C270">
        <v>18</v>
      </c>
      <c r="D270">
        <v>16255</v>
      </c>
      <c r="E270" t="s">
        <v>10</v>
      </c>
      <c r="F270">
        <v>44</v>
      </c>
      <c r="G270" s="2">
        <v>26.09</v>
      </c>
      <c r="H270" s="2">
        <v>0</v>
      </c>
      <c r="I270" s="2">
        <v>0.51</v>
      </c>
      <c r="J270" s="2">
        <v>26.6</v>
      </c>
      <c r="K270" s="5">
        <f>nantucket[[#This Row],[MW Factor]]-resources!$B$14</f>
        <v>-13</v>
      </c>
    </row>
    <row r="271" spans="1:11" x14ac:dyDescent="0.3">
      <c r="A271" t="s">
        <v>52</v>
      </c>
      <c r="B271">
        <v>1028</v>
      </c>
      <c r="C271">
        <v>20</v>
      </c>
      <c r="D271">
        <v>16255</v>
      </c>
      <c r="E271" t="s">
        <v>10</v>
      </c>
      <c r="F271">
        <v>44</v>
      </c>
      <c r="G271" s="2">
        <v>37.83</v>
      </c>
      <c r="H271" s="2">
        <v>0</v>
      </c>
      <c r="I271" s="2">
        <v>0.65</v>
      </c>
      <c r="J271" s="2">
        <v>38.479999999999997</v>
      </c>
      <c r="K271" s="5">
        <f>nantucket[[#This Row],[MW Factor]]-resources!$B$14</f>
        <v>-13</v>
      </c>
    </row>
    <row r="272" spans="1:11" x14ac:dyDescent="0.3">
      <c r="A272" t="s">
        <v>53</v>
      </c>
      <c r="B272">
        <v>1050</v>
      </c>
      <c r="C272">
        <v>18</v>
      </c>
      <c r="D272">
        <v>16255</v>
      </c>
      <c r="E272" t="s">
        <v>10</v>
      </c>
      <c r="F272">
        <v>44</v>
      </c>
      <c r="G272" s="2">
        <v>39.54</v>
      </c>
      <c r="H272" s="2">
        <v>0</v>
      </c>
      <c r="I272" s="2">
        <v>0.63</v>
      </c>
      <c r="J272" s="2">
        <v>40.17</v>
      </c>
      <c r="K272" s="5">
        <f>nantucket[[#This Row],[MW Factor]]-resources!$B$14</f>
        <v>-13</v>
      </c>
    </row>
    <row r="273" spans="1:11" x14ac:dyDescent="0.3">
      <c r="A273" t="s">
        <v>53</v>
      </c>
      <c r="B273">
        <v>1051</v>
      </c>
      <c r="C273">
        <v>19</v>
      </c>
      <c r="D273">
        <v>16255</v>
      </c>
      <c r="E273" t="s">
        <v>10</v>
      </c>
      <c r="F273">
        <v>44</v>
      </c>
      <c r="G273" s="2">
        <v>35.119999999999997</v>
      </c>
      <c r="H273" s="2">
        <v>0</v>
      </c>
      <c r="I273" s="2">
        <v>0.56000000000000005</v>
      </c>
      <c r="J273" s="2">
        <v>35.68</v>
      </c>
      <c r="K273" s="5">
        <f>nantucket[[#This Row],[MW Factor]]-resources!$B$14</f>
        <v>-13</v>
      </c>
    </row>
    <row r="274" spans="1:11" x14ac:dyDescent="0.3">
      <c r="A274" t="s">
        <v>59</v>
      </c>
      <c r="B274">
        <v>1195</v>
      </c>
      <c r="C274">
        <v>19</v>
      </c>
      <c r="D274">
        <v>16255</v>
      </c>
      <c r="E274" t="s">
        <v>10</v>
      </c>
      <c r="F274">
        <v>44</v>
      </c>
      <c r="G274" s="2">
        <v>40.78</v>
      </c>
      <c r="H274" s="2">
        <v>0</v>
      </c>
      <c r="I274" s="2">
        <v>0.47</v>
      </c>
      <c r="J274" s="2">
        <v>41.25</v>
      </c>
      <c r="K274" s="5">
        <f>nantucket[[#This Row],[MW Factor]]-resources!$B$14</f>
        <v>-13</v>
      </c>
    </row>
    <row r="275" spans="1:11" x14ac:dyDescent="0.3">
      <c r="A275" t="s">
        <v>68</v>
      </c>
      <c r="B275">
        <v>1411</v>
      </c>
      <c r="C275">
        <v>19</v>
      </c>
      <c r="D275">
        <v>16255</v>
      </c>
      <c r="E275" t="s">
        <v>10</v>
      </c>
      <c r="F275">
        <v>44</v>
      </c>
      <c r="G275" s="2">
        <v>95.41</v>
      </c>
      <c r="H275" s="2">
        <v>0</v>
      </c>
      <c r="I275" s="2">
        <v>1.95</v>
      </c>
      <c r="J275" s="2">
        <v>97.36</v>
      </c>
      <c r="K275" s="5">
        <f>nantucket[[#This Row],[MW Factor]]-resources!$B$14</f>
        <v>-13</v>
      </c>
    </row>
    <row r="276" spans="1:11" x14ac:dyDescent="0.3">
      <c r="A276" t="s">
        <v>12</v>
      </c>
      <c r="B276">
        <v>67</v>
      </c>
      <c r="C276">
        <v>19</v>
      </c>
      <c r="D276">
        <v>16255</v>
      </c>
      <c r="E276" t="s">
        <v>10</v>
      </c>
      <c r="F276">
        <v>43</v>
      </c>
      <c r="G276" s="2">
        <v>42.52</v>
      </c>
      <c r="H276" s="2">
        <v>0</v>
      </c>
      <c r="I276" s="2">
        <v>0.97</v>
      </c>
      <c r="J276" s="2">
        <v>43.49</v>
      </c>
      <c r="K276" s="5">
        <f>nantucket[[#This Row],[MW Factor]]-resources!$B$14</f>
        <v>-14</v>
      </c>
    </row>
    <row r="277" spans="1:11" x14ac:dyDescent="0.3">
      <c r="A277" t="s">
        <v>14</v>
      </c>
      <c r="B277">
        <v>115</v>
      </c>
      <c r="C277">
        <v>19</v>
      </c>
      <c r="D277">
        <v>16255</v>
      </c>
      <c r="E277" t="s">
        <v>10</v>
      </c>
      <c r="F277">
        <v>43</v>
      </c>
      <c r="G277" s="2">
        <v>49.58</v>
      </c>
      <c r="H277" s="2">
        <v>0</v>
      </c>
      <c r="I277" s="2">
        <v>0.42</v>
      </c>
      <c r="J277" s="2">
        <v>50</v>
      </c>
      <c r="K277" s="5">
        <f>nantucket[[#This Row],[MW Factor]]-resources!$B$14</f>
        <v>-14</v>
      </c>
    </row>
    <row r="278" spans="1:11" x14ac:dyDescent="0.3">
      <c r="A278" t="s">
        <v>15</v>
      </c>
      <c r="B278">
        <v>139</v>
      </c>
      <c r="C278">
        <v>19</v>
      </c>
      <c r="D278">
        <v>16255</v>
      </c>
      <c r="E278" t="s">
        <v>10</v>
      </c>
      <c r="F278">
        <v>43</v>
      </c>
      <c r="G278" s="2">
        <v>56.59</v>
      </c>
      <c r="H278" s="2">
        <v>0</v>
      </c>
      <c r="I278" s="2">
        <v>0.48</v>
      </c>
      <c r="J278" s="2">
        <v>57.07</v>
      </c>
      <c r="K278" s="5">
        <f>nantucket[[#This Row],[MW Factor]]-resources!$B$14</f>
        <v>-14</v>
      </c>
    </row>
    <row r="279" spans="1:11" x14ac:dyDescent="0.3">
      <c r="A279" t="s">
        <v>17</v>
      </c>
      <c r="B279">
        <v>181</v>
      </c>
      <c r="C279">
        <v>13</v>
      </c>
      <c r="D279">
        <v>16255</v>
      </c>
      <c r="E279" t="s">
        <v>10</v>
      </c>
      <c r="F279">
        <v>43</v>
      </c>
      <c r="G279" s="2">
        <v>54.24</v>
      </c>
      <c r="H279" s="2">
        <v>0</v>
      </c>
      <c r="I279" s="2">
        <v>0.39</v>
      </c>
      <c r="J279" s="2">
        <v>54.63</v>
      </c>
      <c r="K279" s="5">
        <f>nantucket[[#This Row],[MW Factor]]-resources!$B$14</f>
        <v>-14</v>
      </c>
    </row>
    <row r="280" spans="1:11" x14ac:dyDescent="0.3">
      <c r="A280" t="s">
        <v>19</v>
      </c>
      <c r="B280">
        <v>228</v>
      </c>
      <c r="C280">
        <v>12</v>
      </c>
      <c r="D280">
        <v>16255</v>
      </c>
      <c r="E280" t="s">
        <v>10</v>
      </c>
      <c r="F280">
        <v>43</v>
      </c>
      <c r="G280" s="2">
        <v>77.319999999999993</v>
      </c>
      <c r="H280" s="2">
        <v>0</v>
      </c>
      <c r="I280" s="2">
        <v>0.53</v>
      </c>
      <c r="J280" s="2">
        <v>77.849999999999994</v>
      </c>
      <c r="K280" s="5">
        <f>nantucket[[#This Row],[MW Factor]]-resources!$B$14</f>
        <v>-14</v>
      </c>
    </row>
    <row r="281" spans="1:11" x14ac:dyDescent="0.3">
      <c r="A281" t="s">
        <v>20</v>
      </c>
      <c r="B281">
        <v>252</v>
      </c>
      <c r="C281">
        <v>12</v>
      </c>
      <c r="D281">
        <v>16255</v>
      </c>
      <c r="E281" t="s">
        <v>10</v>
      </c>
      <c r="F281">
        <v>43</v>
      </c>
      <c r="G281" s="2">
        <v>26.07</v>
      </c>
      <c r="H281" s="2">
        <v>0</v>
      </c>
      <c r="I281" s="2">
        <v>0.39</v>
      </c>
      <c r="J281" s="2">
        <v>26.46</v>
      </c>
      <c r="K281" s="5">
        <f>nantucket[[#This Row],[MW Factor]]-resources!$B$14</f>
        <v>-14</v>
      </c>
    </row>
    <row r="282" spans="1:11" x14ac:dyDescent="0.3">
      <c r="A282" t="s">
        <v>21</v>
      </c>
      <c r="B282">
        <v>276</v>
      </c>
      <c r="C282">
        <v>12</v>
      </c>
      <c r="D282">
        <v>16255</v>
      </c>
      <c r="E282" t="s">
        <v>10</v>
      </c>
      <c r="F282">
        <v>43</v>
      </c>
      <c r="G282" s="2">
        <v>52.04</v>
      </c>
      <c r="H282" s="2">
        <v>0</v>
      </c>
      <c r="I282" s="2">
        <v>0.27</v>
      </c>
      <c r="J282" s="2">
        <v>52.31</v>
      </c>
      <c r="K282" s="5">
        <f>nantucket[[#This Row],[MW Factor]]-resources!$B$14</f>
        <v>-14</v>
      </c>
    </row>
    <row r="283" spans="1:11" x14ac:dyDescent="0.3">
      <c r="A283" t="s">
        <v>23</v>
      </c>
      <c r="B283">
        <v>325</v>
      </c>
      <c r="C283">
        <v>13</v>
      </c>
      <c r="D283">
        <v>16255</v>
      </c>
      <c r="E283" t="s">
        <v>10</v>
      </c>
      <c r="F283">
        <v>43</v>
      </c>
      <c r="G283" s="2">
        <v>29.24</v>
      </c>
      <c r="H283" s="2">
        <v>0</v>
      </c>
      <c r="I283" s="2">
        <v>0.28999999999999998</v>
      </c>
      <c r="J283" s="2">
        <v>29.53</v>
      </c>
      <c r="K283" s="5">
        <f>nantucket[[#This Row],[MW Factor]]-resources!$B$14</f>
        <v>-14</v>
      </c>
    </row>
    <row r="284" spans="1:11" x14ac:dyDescent="0.3">
      <c r="A284" t="s">
        <v>25</v>
      </c>
      <c r="B284">
        <v>384</v>
      </c>
      <c r="C284">
        <v>24</v>
      </c>
      <c r="D284">
        <v>16255</v>
      </c>
      <c r="E284" t="s">
        <v>10</v>
      </c>
      <c r="F284">
        <v>43</v>
      </c>
      <c r="G284" s="2">
        <v>78.92</v>
      </c>
      <c r="H284" s="2">
        <v>0.33</v>
      </c>
      <c r="I284" s="2">
        <v>1.02</v>
      </c>
      <c r="J284" s="2">
        <v>80.27</v>
      </c>
      <c r="K284" s="5">
        <f>nantucket[[#This Row],[MW Factor]]-resources!$B$14</f>
        <v>-14</v>
      </c>
    </row>
    <row r="285" spans="1:11" x14ac:dyDescent="0.3">
      <c r="A285" t="s">
        <v>26</v>
      </c>
      <c r="B285">
        <v>394</v>
      </c>
      <c r="C285">
        <v>10</v>
      </c>
      <c r="D285">
        <v>16255</v>
      </c>
      <c r="E285" t="s">
        <v>10</v>
      </c>
      <c r="F285">
        <v>43</v>
      </c>
      <c r="G285" s="2">
        <v>27.35</v>
      </c>
      <c r="H285" s="2">
        <v>0</v>
      </c>
      <c r="I285" s="2">
        <v>0.27</v>
      </c>
      <c r="J285" s="2">
        <v>27.62</v>
      </c>
      <c r="K285" s="5">
        <f>nantucket[[#This Row],[MW Factor]]-resources!$B$14</f>
        <v>-14</v>
      </c>
    </row>
    <row r="286" spans="1:11" x14ac:dyDescent="0.3">
      <c r="A286" t="s">
        <v>27</v>
      </c>
      <c r="B286">
        <v>419</v>
      </c>
      <c r="C286">
        <v>11</v>
      </c>
      <c r="D286">
        <v>16255</v>
      </c>
      <c r="E286" t="s">
        <v>10</v>
      </c>
      <c r="F286">
        <v>43</v>
      </c>
      <c r="G286" s="2">
        <v>34.01</v>
      </c>
      <c r="H286" s="2">
        <v>0</v>
      </c>
      <c r="I286" s="2">
        <v>0.33</v>
      </c>
      <c r="J286" s="2">
        <v>34.340000000000003</v>
      </c>
      <c r="K286" s="5">
        <f>nantucket[[#This Row],[MW Factor]]-resources!$B$14</f>
        <v>-14</v>
      </c>
    </row>
    <row r="287" spans="1:11" x14ac:dyDescent="0.3">
      <c r="A287" t="s">
        <v>28</v>
      </c>
      <c r="B287">
        <v>449</v>
      </c>
      <c r="C287">
        <v>17</v>
      </c>
      <c r="D287">
        <v>16255</v>
      </c>
      <c r="E287" t="s">
        <v>10</v>
      </c>
      <c r="F287">
        <v>43</v>
      </c>
      <c r="G287" s="2">
        <v>25.63</v>
      </c>
      <c r="H287" s="2">
        <v>0</v>
      </c>
      <c r="I287" s="2">
        <v>0.36</v>
      </c>
      <c r="J287" s="2">
        <v>25.99</v>
      </c>
      <c r="K287" s="5">
        <f>nantucket[[#This Row],[MW Factor]]-resources!$B$14</f>
        <v>-14</v>
      </c>
    </row>
    <row r="288" spans="1:11" x14ac:dyDescent="0.3">
      <c r="A288" t="s">
        <v>28</v>
      </c>
      <c r="B288">
        <v>453</v>
      </c>
      <c r="C288">
        <v>21</v>
      </c>
      <c r="D288">
        <v>16255</v>
      </c>
      <c r="E288" t="s">
        <v>10</v>
      </c>
      <c r="F288">
        <v>43</v>
      </c>
      <c r="G288" s="2">
        <v>36</v>
      </c>
      <c r="H288" s="2">
        <v>0</v>
      </c>
      <c r="I288" s="2">
        <v>0.7</v>
      </c>
      <c r="J288" s="2">
        <v>36.700000000000003</v>
      </c>
      <c r="K288" s="5">
        <f>nantucket[[#This Row],[MW Factor]]-resources!$B$14</f>
        <v>-14</v>
      </c>
    </row>
    <row r="289" spans="1:11" x14ac:dyDescent="0.3">
      <c r="A289" t="s">
        <v>29</v>
      </c>
      <c r="B289">
        <v>471</v>
      </c>
      <c r="C289">
        <v>15</v>
      </c>
      <c r="D289">
        <v>16255</v>
      </c>
      <c r="E289" t="s">
        <v>10</v>
      </c>
      <c r="F289">
        <v>43</v>
      </c>
      <c r="G289" s="2">
        <v>24.59</v>
      </c>
      <c r="H289" s="2">
        <v>0</v>
      </c>
      <c r="I289" s="2">
        <v>0.38</v>
      </c>
      <c r="J289" s="2">
        <v>24.97</v>
      </c>
      <c r="K289" s="5">
        <f>nantucket[[#This Row],[MW Factor]]-resources!$B$14</f>
        <v>-14</v>
      </c>
    </row>
    <row r="290" spans="1:11" x14ac:dyDescent="0.3">
      <c r="A290" t="s">
        <v>29</v>
      </c>
      <c r="B290">
        <v>472</v>
      </c>
      <c r="C290">
        <v>16</v>
      </c>
      <c r="D290">
        <v>16255</v>
      </c>
      <c r="E290" t="s">
        <v>10</v>
      </c>
      <c r="F290">
        <v>43</v>
      </c>
      <c r="G290" s="2">
        <v>31.8</v>
      </c>
      <c r="H290" s="2">
        <v>0</v>
      </c>
      <c r="I290" s="2">
        <v>0.49</v>
      </c>
      <c r="J290" s="2">
        <v>32.29</v>
      </c>
      <c r="K290" s="5">
        <f>nantucket[[#This Row],[MW Factor]]-resources!$B$14</f>
        <v>-14</v>
      </c>
    </row>
    <row r="291" spans="1:11" x14ac:dyDescent="0.3">
      <c r="A291" t="s">
        <v>29</v>
      </c>
      <c r="B291">
        <v>473</v>
      </c>
      <c r="C291">
        <v>17</v>
      </c>
      <c r="D291">
        <v>16255</v>
      </c>
      <c r="E291" t="s">
        <v>10</v>
      </c>
      <c r="F291">
        <v>43</v>
      </c>
      <c r="G291" s="2">
        <v>50.57</v>
      </c>
      <c r="H291" s="2">
        <v>0</v>
      </c>
      <c r="I291" s="2">
        <v>0.87</v>
      </c>
      <c r="J291" s="2">
        <v>51.44</v>
      </c>
      <c r="K291" s="5">
        <f>nantucket[[#This Row],[MW Factor]]-resources!$B$14</f>
        <v>-14</v>
      </c>
    </row>
    <row r="292" spans="1:11" x14ac:dyDescent="0.3">
      <c r="A292" t="s">
        <v>29</v>
      </c>
      <c r="B292">
        <v>477</v>
      </c>
      <c r="C292">
        <v>21</v>
      </c>
      <c r="D292">
        <v>16255</v>
      </c>
      <c r="E292" t="s">
        <v>10</v>
      </c>
      <c r="F292">
        <v>43</v>
      </c>
      <c r="G292" s="2">
        <v>42.4</v>
      </c>
      <c r="H292" s="2">
        <v>0</v>
      </c>
      <c r="I292" s="2">
        <v>0.89</v>
      </c>
      <c r="J292" s="2">
        <v>43.29</v>
      </c>
      <c r="K292" s="5">
        <f>nantucket[[#This Row],[MW Factor]]-resources!$B$14</f>
        <v>-14</v>
      </c>
    </row>
    <row r="293" spans="1:11" x14ac:dyDescent="0.3">
      <c r="A293" t="s">
        <v>30</v>
      </c>
      <c r="B293">
        <v>496</v>
      </c>
      <c r="C293">
        <v>16</v>
      </c>
      <c r="D293">
        <v>16255</v>
      </c>
      <c r="E293" t="s">
        <v>10</v>
      </c>
      <c r="F293">
        <v>43</v>
      </c>
      <c r="G293" s="2">
        <v>31.03</v>
      </c>
      <c r="H293" s="2">
        <v>0</v>
      </c>
      <c r="I293" s="2">
        <v>0.47</v>
      </c>
      <c r="J293" s="2">
        <v>31.5</v>
      </c>
      <c r="K293" s="5">
        <f>nantucket[[#This Row],[MW Factor]]-resources!$B$14</f>
        <v>-14</v>
      </c>
    </row>
    <row r="294" spans="1:11" x14ac:dyDescent="0.3">
      <c r="A294" t="s">
        <v>31</v>
      </c>
      <c r="B294">
        <v>518</v>
      </c>
      <c r="C294">
        <v>14</v>
      </c>
      <c r="D294">
        <v>16255</v>
      </c>
      <c r="E294" t="s">
        <v>10</v>
      </c>
      <c r="F294">
        <v>43</v>
      </c>
      <c r="G294" s="2">
        <v>34.74</v>
      </c>
      <c r="H294" s="2">
        <v>0.01</v>
      </c>
      <c r="I294" s="2">
        <v>0.44</v>
      </c>
      <c r="J294" s="2">
        <v>35.19</v>
      </c>
      <c r="K294" s="5">
        <f>nantucket[[#This Row],[MW Factor]]-resources!$B$14</f>
        <v>-14</v>
      </c>
    </row>
    <row r="295" spans="1:11" x14ac:dyDescent="0.3">
      <c r="A295" t="s">
        <v>31</v>
      </c>
      <c r="B295">
        <v>527</v>
      </c>
      <c r="C295">
        <v>23</v>
      </c>
      <c r="D295">
        <v>16255</v>
      </c>
      <c r="E295" t="s">
        <v>10</v>
      </c>
      <c r="F295">
        <v>43</v>
      </c>
      <c r="G295" s="2">
        <v>54.25</v>
      </c>
      <c r="H295" s="2">
        <v>0</v>
      </c>
      <c r="I295" s="2">
        <v>0.88</v>
      </c>
      <c r="J295" s="2">
        <v>55.13</v>
      </c>
      <c r="K295" s="5">
        <f>nantucket[[#This Row],[MW Factor]]-resources!$B$14</f>
        <v>-14</v>
      </c>
    </row>
    <row r="296" spans="1:11" x14ac:dyDescent="0.3">
      <c r="A296" t="s">
        <v>34</v>
      </c>
      <c r="B296">
        <v>595</v>
      </c>
      <c r="C296">
        <v>19</v>
      </c>
      <c r="D296">
        <v>16255</v>
      </c>
      <c r="E296" t="s">
        <v>10</v>
      </c>
      <c r="F296">
        <v>43</v>
      </c>
      <c r="G296" s="2">
        <v>28.63</v>
      </c>
      <c r="H296" s="2">
        <v>0</v>
      </c>
      <c r="I296" s="2">
        <v>0.31</v>
      </c>
      <c r="J296" s="2">
        <v>28.94</v>
      </c>
      <c r="K296" s="5">
        <f>nantucket[[#This Row],[MW Factor]]-resources!$B$14</f>
        <v>-14</v>
      </c>
    </row>
    <row r="297" spans="1:11" x14ac:dyDescent="0.3">
      <c r="A297" t="s">
        <v>34</v>
      </c>
      <c r="B297">
        <v>597</v>
      </c>
      <c r="C297">
        <v>21</v>
      </c>
      <c r="D297">
        <v>16255</v>
      </c>
      <c r="E297" t="s">
        <v>10</v>
      </c>
      <c r="F297">
        <v>43</v>
      </c>
      <c r="G297" s="2">
        <v>27.88</v>
      </c>
      <c r="H297" s="2">
        <v>0</v>
      </c>
      <c r="I297" s="2">
        <v>0.28999999999999998</v>
      </c>
      <c r="J297" s="2">
        <v>28.17</v>
      </c>
      <c r="K297" s="5">
        <f>nantucket[[#This Row],[MW Factor]]-resources!$B$14</f>
        <v>-14</v>
      </c>
    </row>
    <row r="298" spans="1:11" x14ac:dyDescent="0.3">
      <c r="A298" t="s">
        <v>36</v>
      </c>
      <c r="B298">
        <v>645</v>
      </c>
      <c r="C298">
        <v>21</v>
      </c>
      <c r="D298">
        <v>16255</v>
      </c>
      <c r="E298" t="s">
        <v>10</v>
      </c>
      <c r="F298">
        <v>43</v>
      </c>
      <c r="G298" s="2">
        <v>36.83</v>
      </c>
      <c r="H298" s="2">
        <v>0</v>
      </c>
      <c r="I298" s="2">
        <v>0.69</v>
      </c>
      <c r="J298" s="2">
        <v>37.520000000000003</v>
      </c>
      <c r="K298" s="5">
        <f>nantucket[[#This Row],[MW Factor]]-resources!$B$14</f>
        <v>-14</v>
      </c>
    </row>
    <row r="299" spans="1:11" x14ac:dyDescent="0.3">
      <c r="A299" t="s">
        <v>39</v>
      </c>
      <c r="B299">
        <v>711</v>
      </c>
      <c r="C299">
        <v>15</v>
      </c>
      <c r="D299">
        <v>16255</v>
      </c>
      <c r="E299" t="s">
        <v>10</v>
      </c>
      <c r="F299">
        <v>43</v>
      </c>
      <c r="G299" s="2">
        <v>61.14</v>
      </c>
      <c r="H299" s="2">
        <v>0</v>
      </c>
      <c r="I299" s="2">
        <v>0.39</v>
      </c>
      <c r="J299" s="2">
        <v>61.53</v>
      </c>
      <c r="K299" s="5">
        <f>nantucket[[#This Row],[MW Factor]]-resources!$B$14</f>
        <v>-14</v>
      </c>
    </row>
    <row r="300" spans="1:11" x14ac:dyDescent="0.3">
      <c r="A300" t="s">
        <v>40</v>
      </c>
      <c r="B300">
        <v>733</v>
      </c>
      <c r="C300">
        <v>13</v>
      </c>
      <c r="D300">
        <v>16255</v>
      </c>
      <c r="E300" t="s">
        <v>10</v>
      </c>
      <c r="F300">
        <v>43</v>
      </c>
      <c r="G300" s="2">
        <v>45.37</v>
      </c>
      <c r="H300" s="2">
        <v>0</v>
      </c>
      <c r="I300" s="2">
        <v>0.28999999999999998</v>
      </c>
      <c r="J300" s="2">
        <v>45.66</v>
      </c>
      <c r="K300" s="5">
        <f>nantucket[[#This Row],[MW Factor]]-resources!$B$14</f>
        <v>-14</v>
      </c>
    </row>
    <row r="301" spans="1:11" x14ac:dyDescent="0.3">
      <c r="A301" t="s">
        <v>40</v>
      </c>
      <c r="B301">
        <v>743</v>
      </c>
      <c r="C301">
        <v>23</v>
      </c>
      <c r="D301">
        <v>16255</v>
      </c>
      <c r="E301" t="s">
        <v>10</v>
      </c>
      <c r="F301">
        <v>43</v>
      </c>
      <c r="G301" s="2">
        <v>45.42</v>
      </c>
      <c r="H301" s="2">
        <v>0</v>
      </c>
      <c r="I301" s="2">
        <v>0.57999999999999996</v>
      </c>
      <c r="J301" s="2">
        <v>46</v>
      </c>
      <c r="K301" s="5">
        <f>nantucket[[#This Row],[MW Factor]]-resources!$B$14</f>
        <v>-14</v>
      </c>
    </row>
    <row r="302" spans="1:11" x14ac:dyDescent="0.3">
      <c r="A302" t="s">
        <v>41</v>
      </c>
      <c r="B302">
        <v>755</v>
      </c>
      <c r="C302">
        <v>11</v>
      </c>
      <c r="D302">
        <v>16255</v>
      </c>
      <c r="E302" t="s">
        <v>10</v>
      </c>
      <c r="F302">
        <v>43</v>
      </c>
      <c r="G302" s="2">
        <v>39.07</v>
      </c>
      <c r="H302" s="2">
        <v>0</v>
      </c>
      <c r="I302" s="2">
        <v>0.26</v>
      </c>
      <c r="J302" s="2">
        <v>39.33</v>
      </c>
      <c r="K302" s="5">
        <f>nantucket[[#This Row],[MW Factor]]-resources!$B$14</f>
        <v>-14</v>
      </c>
    </row>
    <row r="303" spans="1:11" x14ac:dyDescent="0.3">
      <c r="A303" t="s">
        <v>42</v>
      </c>
      <c r="B303">
        <v>792</v>
      </c>
      <c r="C303">
        <v>24</v>
      </c>
      <c r="D303">
        <v>16255</v>
      </c>
      <c r="E303" t="s">
        <v>10</v>
      </c>
      <c r="F303">
        <v>43</v>
      </c>
      <c r="G303" s="2">
        <v>34.21</v>
      </c>
      <c r="H303" s="2">
        <v>0</v>
      </c>
      <c r="I303" s="2">
        <v>0.38</v>
      </c>
      <c r="J303" s="2">
        <v>34.590000000000003</v>
      </c>
      <c r="K303" s="5">
        <f>nantucket[[#This Row],[MW Factor]]-resources!$B$14</f>
        <v>-14</v>
      </c>
    </row>
    <row r="304" spans="1:11" x14ac:dyDescent="0.3">
      <c r="A304" t="s">
        <v>46</v>
      </c>
      <c r="B304">
        <v>879</v>
      </c>
      <c r="C304">
        <v>15</v>
      </c>
      <c r="D304">
        <v>16255</v>
      </c>
      <c r="E304" t="s">
        <v>10</v>
      </c>
      <c r="F304">
        <v>43</v>
      </c>
      <c r="G304" s="2">
        <v>53.32</v>
      </c>
      <c r="H304" s="2">
        <v>0</v>
      </c>
      <c r="I304" s="2">
        <v>0.4</v>
      </c>
      <c r="J304" s="2">
        <v>53.72</v>
      </c>
      <c r="K304" s="5">
        <f>nantucket[[#This Row],[MW Factor]]-resources!$B$14</f>
        <v>-14</v>
      </c>
    </row>
    <row r="305" spans="1:11" x14ac:dyDescent="0.3">
      <c r="A305" t="s">
        <v>49</v>
      </c>
      <c r="B305">
        <v>959</v>
      </c>
      <c r="C305">
        <v>23</v>
      </c>
      <c r="D305">
        <v>16255</v>
      </c>
      <c r="E305" t="s">
        <v>10</v>
      </c>
      <c r="F305">
        <v>43</v>
      </c>
      <c r="G305" s="2">
        <v>33.96</v>
      </c>
      <c r="H305" s="2">
        <v>0</v>
      </c>
      <c r="I305" s="2">
        <v>0.84</v>
      </c>
      <c r="J305" s="2">
        <v>34.799999999999997</v>
      </c>
      <c r="K305" s="5">
        <f>nantucket[[#This Row],[MW Factor]]-resources!$B$14</f>
        <v>-14</v>
      </c>
    </row>
    <row r="306" spans="1:11" x14ac:dyDescent="0.3">
      <c r="A306" t="s">
        <v>50</v>
      </c>
      <c r="B306">
        <v>974</v>
      </c>
      <c r="C306">
        <v>14</v>
      </c>
      <c r="D306">
        <v>16255</v>
      </c>
      <c r="E306" t="s">
        <v>10</v>
      </c>
      <c r="F306">
        <v>43</v>
      </c>
      <c r="G306" s="2">
        <v>31.44</v>
      </c>
      <c r="H306" s="2">
        <v>0</v>
      </c>
      <c r="I306" s="2">
        <v>0.61</v>
      </c>
      <c r="J306" s="2">
        <v>32.049999999999997</v>
      </c>
      <c r="K306" s="5">
        <f>nantucket[[#This Row],[MW Factor]]-resources!$B$14</f>
        <v>-14</v>
      </c>
    </row>
    <row r="307" spans="1:11" x14ac:dyDescent="0.3">
      <c r="A307" t="s">
        <v>53</v>
      </c>
      <c r="B307">
        <v>1052</v>
      </c>
      <c r="C307">
        <v>20</v>
      </c>
      <c r="D307">
        <v>16255</v>
      </c>
      <c r="E307" t="s">
        <v>10</v>
      </c>
      <c r="F307">
        <v>43</v>
      </c>
      <c r="G307" s="2">
        <v>60.48</v>
      </c>
      <c r="H307" s="2">
        <v>0</v>
      </c>
      <c r="I307" s="2">
        <v>1.07</v>
      </c>
      <c r="J307" s="2">
        <v>61.55</v>
      </c>
      <c r="K307" s="5">
        <f>nantucket[[#This Row],[MW Factor]]-resources!$B$14</f>
        <v>-14</v>
      </c>
    </row>
    <row r="308" spans="1:11" x14ac:dyDescent="0.3">
      <c r="A308" t="s">
        <v>54</v>
      </c>
      <c r="B308">
        <v>1073</v>
      </c>
      <c r="C308">
        <v>17</v>
      </c>
      <c r="D308">
        <v>16255</v>
      </c>
      <c r="E308" t="s">
        <v>10</v>
      </c>
      <c r="F308">
        <v>43</v>
      </c>
      <c r="G308" s="2">
        <v>44.19</v>
      </c>
      <c r="H308" s="2">
        <v>0</v>
      </c>
      <c r="I308" s="2">
        <v>0.55000000000000004</v>
      </c>
      <c r="J308" s="2">
        <v>44.74</v>
      </c>
      <c r="K308" s="5">
        <f>nantucket[[#This Row],[MW Factor]]-resources!$B$14</f>
        <v>-14</v>
      </c>
    </row>
    <row r="309" spans="1:11" x14ac:dyDescent="0.3">
      <c r="A309" t="s">
        <v>54</v>
      </c>
      <c r="B309">
        <v>1077</v>
      </c>
      <c r="C309">
        <v>21</v>
      </c>
      <c r="D309">
        <v>16255</v>
      </c>
      <c r="E309" t="s">
        <v>10</v>
      </c>
      <c r="F309">
        <v>43</v>
      </c>
      <c r="G309" s="2">
        <v>34.49</v>
      </c>
      <c r="H309" s="2">
        <v>0</v>
      </c>
      <c r="I309" s="2">
        <v>0.56999999999999995</v>
      </c>
      <c r="J309" s="2">
        <v>35.06</v>
      </c>
      <c r="K309" s="5">
        <f>nantucket[[#This Row],[MW Factor]]-resources!$B$14</f>
        <v>-14</v>
      </c>
    </row>
    <row r="310" spans="1:11" x14ac:dyDescent="0.3">
      <c r="A310" t="s">
        <v>55</v>
      </c>
      <c r="B310">
        <v>1097</v>
      </c>
      <c r="C310">
        <v>17</v>
      </c>
      <c r="D310">
        <v>16255</v>
      </c>
      <c r="E310" t="s">
        <v>10</v>
      </c>
      <c r="F310">
        <v>43</v>
      </c>
      <c r="G310" s="2">
        <v>43.56</v>
      </c>
      <c r="H310" s="2">
        <v>0</v>
      </c>
      <c r="I310" s="2">
        <v>0.54</v>
      </c>
      <c r="J310" s="2">
        <v>44.1</v>
      </c>
      <c r="K310" s="5">
        <f>nantucket[[#This Row],[MW Factor]]-resources!$B$14</f>
        <v>-14</v>
      </c>
    </row>
    <row r="311" spans="1:11" x14ac:dyDescent="0.3">
      <c r="A311" t="s">
        <v>59</v>
      </c>
      <c r="B311">
        <v>1196</v>
      </c>
      <c r="C311">
        <v>20</v>
      </c>
      <c r="D311">
        <v>16255</v>
      </c>
      <c r="E311" t="s">
        <v>10</v>
      </c>
      <c r="F311">
        <v>43</v>
      </c>
      <c r="G311" s="2">
        <v>38.93</v>
      </c>
      <c r="H311" s="2">
        <v>0</v>
      </c>
      <c r="I311" s="2">
        <v>0.47</v>
      </c>
      <c r="J311" s="2">
        <v>39.4</v>
      </c>
      <c r="K311" s="5">
        <f>nantucket[[#This Row],[MW Factor]]-resources!$B$14</f>
        <v>-14</v>
      </c>
    </row>
    <row r="312" spans="1:11" x14ac:dyDescent="0.3">
      <c r="A312" t="s">
        <v>64</v>
      </c>
      <c r="B312">
        <v>1315</v>
      </c>
      <c r="C312">
        <v>19</v>
      </c>
      <c r="D312">
        <v>16255</v>
      </c>
      <c r="E312" t="s">
        <v>10</v>
      </c>
      <c r="F312">
        <v>43</v>
      </c>
      <c r="G312" s="2">
        <v>49.39</v>
      </c>
      <c r="H312" s="2">
        <v>0</v>
      </c>
      <c r="I312" s="2">
        <v>1.19</v>
      </c>
      <c r="J312" s="2">
        <v>50.58</v>
      </c>
      <c r="K312" s="5">
        <f>nantucket[[#This Row],[MW Factor]]-resources!$B$14</f>
        <v>-14</v>
      </c>
    </row>
    <row r="313" spans="1:11" x14ac:dyDescent="0.3">
      <c r="A313" t="s">
        <v>65</v>
      </c>
      <c r="B313">
        <v>1339</v>
      </c>
      <c r="C313">
        <v>19</v>
      </c>
      <c r="D313">
        <v>16255</v>
      </c>
      <c r="E313" t="s">
        <v>10</v>
      </c>
      <c r="F313">
        <v>43</v>
      </c>
      <c r="G313" s="2">
        <v>47.44</v>
      </c>
      <c r="H313" s="2">
        <v>0</v>
      </c>
      <c r="I313" s="2">
        <v>0.67</v>
      </c>
      <c r="J313" s="2">
        <v>48.11</v>
      </c>
      <c r="K313" s="5">
        <f>nantucket[[#This Row],[MW Factor]]-resources!$B$14</f>
        <v>-14</v>
      </c>
    </row>
    <row r="314" spans="1:11" x14ac:dyDescent="0.3">
      <c r="A314" t="s">
        <v>68</v>
      </c>
      <c r="B314">
        <v>1410</v>
      </c>
      <c r="C314">
        <v>18</v>
      </c>
      <c r="D314">
        <v>16255</v>
      </c>
      <c r="E314" t="s">
        <v>10</v>
      </c>
      <c r="F314">
        <v>43</v>
      </c>
      <c r="G314" s="2">
        <v>119.83</v>
      </c>
      <c r="H314" s="2">
        <v>0.01</v>
      </c>
      <c r="I314" s="2">
        <v>2.1800000000000002</v>
      </c>
      <c r="J314" s="2">
        <v>122.02</v>
      </c>
      <c r="K314" s="5">
        <f>nantucket[[#This Row],[MW Factor]]-resources!$B$14</f>
        <v>-14</v>
      </c>
    </row>
    <row r="315" spans="1:11" x14ac:dyDescent="0.3">
      <c r="A315" t="s">
        <v>12</v>
      </c>
      <c r="B315">
        <v>68</v>
      </c>
      <c r="C315">
        <v>20</v>
      </c>
      <c r="D315">
        <v>16255</v>
      </c>
      <c r="E315" t="s">
        <v>10</v>
      </c>
      <c r="F315">
        <v>42</v>
      </c>
      <c r="G315" s="2">
        <v>44.36</v>
      </c>
      <c r="H315" s="2">
        <v>0</v>
      </c>
      <c r="I315" s="2">
        <v>1.02</v>
      </c>
      <c r="J315" s="2">
        <v>45.38</v>
      </c>
      <c r="K315" s="5">
        <f>nantucket[[#This Row],[MW Factor]]-resources!$B$14</f>
        <v>-15</v>
      </c>
    </row>
    <row r="316" spans="1:11" x14ac:dyDescent="0.3">
      <c r="A316" t="s">
        <v>14</v>
      </c>
      <c r="B316">
        <v>112</v>
      </c>
      <c r="C316">
        <v>16</v>
      </c>
      <c r="D316">
        <v>16255</v>
      </c>
      <c r="E316" t="s">
        <v>10</v>
      </c>
      <c r="F316">
        <v>42</v>
      </c>
      <c r="G316" s="2">
        <v>50.19</v>
      </c>
      <c r="H316" s="2">
        <v>0</v>
      </c>
      <c r="I316" s="2">
        <v>0.01</v>
      </c>
      <c r="J316" s="2">
        <v>50.2</v>
      </c>
      <c r="K316" s="5">
        <f>nantucket[[#This Row],[MW Factor]]-resources!$B$14</f>
        <v>-15</v>
      </c>
    </row>
    <row r="317" spans="1:11" x14ac:dyDescent="0.3">
      <c r="A317" t="s">
        <v>14</v>
      </c>
      <c r="B317">
        <v>113</v>
      </c>
      <c r="C317">
        <v>17</v>
      </c>
      <c r="D317">
        <v>16255</v>
      </c>
      <c r="E317" t="s">
        <v>10</v>
      </c>
      <c r="F317">
        <v>42</v>
      </c>
      <c r="G317" s="2">
        <v>136.76</v>
      </c>
      <c r="H317" s="2">
        <v>0</v>
      </c>
      <c r="I317" s="2">
        <v>0.22</v>
      </c>
      <c r="J317" s="2">
        <v>136.97999999999999</v>
      </c>
      <c r="K317" s="5">
        <f>nantucket[[#This Row],[MW Factor]]-resources!$B$14</f>
        <v>-15</v>
      </c>
    </row>
    <row r="318" spans="1:11" x14ac:dyDescent="0.3">
      <c r="A318" t="s">
        <v>14</v>
      </c>
      <c r="B318">
        <v>114</v>
      </c>
      <c r="C318">
        <v>18</v>
      </c>
      <c r="D318">
        <v>16255</v>
      </c>
      <c r="E318" t="s">
        <v>10</v>
      </c>
      <c r="F318">
        <v>42</v>
      </c>
      <c r="G318" s="2">
        <v>195.61</v>
      </c>
      <c r="H318" s="2">
        <v>0</v>
      </c>
      <c r="I318" s="2">
        <v>0.64</v>
      </c>
      <c r="J318" s="2">
        <v>196.25</v>
      </c>
      <c r="K318" s="5">
        <f>nantucket[[#This Row],[MW Factor]]-resources!$B$14</f>
        <v>-15</v>
      </c>
    </row>
    <row r="319" spans="1:11" x14ac:dyDescent="0.3">
      <c r="A319" t="s">
        <v>14</v>
      </c>
      <c r="B319">
        <v>116</v>
      </c>
      <c r="C319">
        <v>20</v>
      </c>
      <c r="D319">
        <v>16255</v>
      </c>
      <c r="E319" t="s">
        <v>10</v>
      </c>
      <c r="F319">
        <v>42</v>
      </c>
      <c r="G319" s="2">
        <v>48.56</v>
      </c>
      <c r="H319" s="2">
        <v>0</v>
      </c>
      <c r="I319" s="2">
        <v>0.34</v>
      </c>
      <c r="J319" s="2">
        <v>48.9</v>
      </c>
      <c r="K319" s="5">
        <f>nantucket[[#This Row],[MW Factor]]-resources!$B$14</f>
        <v>-15</v>
      </c>
    </row>
    <row r="320" spans="1:11" x14ac:dyDescent="0.3">
      <c r="A320" t="s">
        <v>15</v>
      </c>
      <c r="B320">
        <v>138</v>
      </c>
      <c r="C320">
        <v>18</v>
      </c>
      <c r="D320">
        <v>16255</v>
      </c>
      <c r="E320" t="s">
        <v>10</v>
      </c>
      <c r="F320">
        <v>42</v>
      </c>
      <c r="G320" s="2">
        <v>51.69</v>
      </c>
      <c r="H320" s="2">
        <v>0</v>
      </c>
      <c r="I320" s="2">
        <v>0.39</v>
      </c>
      <c r="J320" s="2">
        <v>52.08</v>
      </c>
      <c r="K320" s="5">
        <f>nantucket[[#This Row],[MW Factor]]-resources!$B$14</f>
        <v>-15</v>
      </c>
    </row>
    <row r="321" spans="1:11" x14ac:dyDescent="0.3">
      <c r="A321" t="s">
        <v>15</v>
      </c>
      <c r="B321">
        <v>140</v>
      </c>
      <c r="C321">
        <v>20</v>
      </c>
      <c r="D321">
        <v>16255</v>
      </c>
      <c r="E321" t="s">
        <v>10</v>
      </c>
      <c r="F321">
        <v>42</v>
      </c>
      <c r="G321" s="2">
        <v>56.5</v>
      </c>
      <c r="H321" s="2">
        <v>0</v>
      </c>
      <c r="I321" s="2">
        <v>0.47</v>
      </c>
      <c r="J321" s="2">
        <v>56.97</v>
      </c>
      <c r="K321" s="5">
        <f>nantucket[[#This Row],[MW Factor]]-resources!$B$14</f>
        <v>-15</v>
      </c>
    </row>
    <row r="322" spans="1:11" x14ac:dyDescent="0.3">
      <c r="A322" t="s">
        <v>16</v>
      </c>
      <c r="B322">
        <v>157</v>
      </c>
      <c r="C322">
        <v>13</v>
      </c>
      <c r="D322">
        <v>16255</v>
      </c>
      <c r="E322" t="s">
        <v>10</v>
      </c>
      <c r="F322">
        <v>42</v>
      </c>
      <c r="G322" s="2">
        <v>31.36</v>
      </c>
      <c r="H322" s="2">
        <v>0</v>
      </c>
      <c r="I322" s="2">
        <v>0.46</v>
      </c>
      <c r="J322" s="2">
        <v>31.82</v>
      </c>
      <c r="K322" s="5">
        <f>nantucket[[#This Row],[MW Factor]]-resources!$B$14</f>
        <v>-15</v>
      </c>
    </row>
    <row r="323" spans="1:11" x14ac:dyDescent="0.3">
      <c r="A323" t="s">
        <v>16</v>
      </c>
      <c r="B323">
        <v>158</v>
      </c>
      <c r="C323">
        <v>14</v>
      </c>
      <c r="D323">
        <v>16255</v>
      </c>
      <c r="E323" t="s">
        <v>10</v>
      </c>
      <c r="F323">
        <v>42</v>
      </c>
      <c r="G323" s="2">
        <v>29.79</v>
      </c>
      <c r="H323" s="2">
        <v>0</v>
      </c>
      <c r="I323" s="2">
        <v>0.38</v>
      </c>
      <c r="J323" s="2">
        <v>30.17</v>
      </c>
      <c r="K323" s="5">
        <f>nantucket[[#This Row],[MW Factor]]-resources!$B$14</f>
        <v>-15</v>
      </c>
    </row>
    <row r="324" spans="1:11" x14ac:dyDescent="0.3">
      <c r="A324" t="s">
        <v>16</v>
      </c>
      <c r="B324">
        <v>166</v>
      </c>
      <c r="C324">
        <v>22</v>
      </c>
      <c r="D324">
        <v>16255</v>
      </c>
      <c r="E324" t="s">
        <v>10</v>
      </c>
      <c r="F324">
        <v>42</v>
      </c>
      <c r="G324" s="2">
        <v>50.26</v>
      </c>
      <c r="H324" s="2">
        <v>0</v>
      </c>
      <c r="I324" s="2">
        <v>1.01</v>
      </c>
      <c r="J324" s="2">
        <v>51.27</v>
      </c>
      <c r="K324" s="5">
        <f>nantucket[[#This Row],[MW Factor]]-resources!$B$14</f>
        <v>-15</v>
      </c>
    </row>
    <row r="325" spans="1:11" x14ac:dyDescent="0.3">
      <c r="A325" t="s">
        <v>17</v>
      </c>
      <c r="B325">
        <v>180</v>
      </c>
      <c r="C325">
        <v>12</v>
      </c>
      <c r="D325">
        <v>16255</v>
      </c>
      <c r="E325" t="s">
        <v>10</v>
      </c>
      <c r="F325">
        <v>42</v>
      </c>
      <c r="G325" s="2">
        <v>30.87</v>
      </c>
      <c r="H325" s="2">
        <v>0</v>
      </c>
      <c r="I325" s="2">
        <v>0.36</v>
      </c>
      <c r="J325" s="2">
        <v>31.23</v>
      </c>
      <c r="K325" s="5">
        <f>nantucket[[#This Row],[MW Factor]]-resources!$B$14</f>
        <v>-15</v>
      </c>
    </row>
    <row r="326" spans="1:11" x14ac:dyDescent="0.3">
      <c r="A326" t="s">
        <v>17</v>
      </c>
      <c r="B326">
        <v>191</v>
      </c>
      <c r="C326">
        <v>23</v>
      </c>
      <c r="D326">
        <v>16255</v>
      </c>
      <c r="E326" t="s">
        <v>10</v>
      </c>
      <c r="F326">
        <v>42</v>
      </c>
      <c r="G326" s="2">
        <v>40.799999999999997</v>
      </c>
      <c r="H326" s="2">
        <v>0</v>
      </c>
      <c r="I326" s="2">
        <v>0.73</v>
      </c>
      <c r="J326" s="2">
        <v>41.53</v>
      </c>
      <c r="K326" s="5">
        <f>nantucket[[#This Row],[MW Factor]]-resources!$B$14</f>
        <v>-15</v>
      </c>
    </row>
    <row r="327" spans="1:11" x14ac:dyDescent="0.3">
      <c r="A327" t="s">
        <v>19</v>
      </c>
      <c r="B327">
        <v>227</v>
      </c>
      <c r="C327">
        <v>11</v>
      </c>
      <c r="D327">
        <v>16255</v>
      </c>
      <c r="E327" t="s">
        <v>10</v>
      </c>
      <c r="F327">
        <v>42</v>
      </c>
      <c r="G327" s="2">
        <v>43.56</v>
      </c>
      <c r="H327" s="2">
        <v>0</v>
      </c>
      <c r="I327" s="2">
        <v>0.23</v>
      </c>
      <c r="J327" s="2">
        <v>43.79</v>
      </c>
      <c r="K327" s="5">
        <f>nantucket[[#This Row],[MW Factor]]-resources!$B$14</f>
        <v>-15</v>
      </c>
    </row>
    <row r="328" spans="1:11" x14ac:dyDescent="0.3">
      <c r="A328" t="s">
        <v>19</v>
      </c>
      <c r="B328">
        <v>239</v>
      </c>
      <c r="C328">
        <v>23</v>
      </c>
      <c r="D328">
        <v>16255</v>
      </c>
      <c r="E328" t="s">
        <v>10</v>
      </c>
      <c r="F328">
        <v>42</v>
      </c>
      <c r="G328" s="2">
        <v>42.89</v>
      </c>
      <c r="H328" s="2">
        <v>0</v>
      </c>
      <c r="I328" s="2">
        <v>0.57999999999999996</v>
      </c>
      <c r="J328" s="2">
        <v>43.47</v>
      </c>
      <c r="K328" s="5">
        <f>nantucket[[#This Row],[MW Factor]]-resources!$B$14</f>
        <v>-15</v>
      </c>
    </row>
    <row r="329" spans="1:11" x14ac:dyDescent="0.3">
      <c r="A329" t="s">
        <v>21</v>
      </c>
      <c r="B329">
        <v>275</v>
      </c>
      <c r="C329">
        <v>11</v>
      </c>
      <c r="D329">
        <v>16255</v>
      </c>
      <c r="E329" t="s">
        <v>10</v>
      </c>
      <c r="F329">
        <v>42</v>
      </c>
      <c r="G329" s="2">
        <v>28.71</v>
      </c>
      <c r="H329" s="2">
        <v>0</v>
      </c>
      <c r="I329" s="2">
        <v>0.17</v>
      </c>
      <c r="J329" s="2">
        <v>28.88</v>
      </c>
      <c r="K329" s="5">
        <f>nantucket[[#This Row],[MW Factor]]-resources!$B$14</f>
        <v>-15</v>
      </c>
    </row>
    <row r="330" spans="1:11" x14ac:dyDescent="0.3">
      <c r="A330" t="s">
        <v>22</v>
      </c>
      <c r="B330">
        <v>309</v>
      </c>
      <c r="C330">
        <v>21</v>
      </c>
      <c r="D330">
        <v>16255</v>
      </c>
      <c r="E330" t="s">
        <v>10</v>
      </c>
      <c r="F330">
        <v>42</v>
      </c>
      <c r="G330" s="2">
        <v>50.47</v>
      </c>
      <c r="H330" s="2">
        <v>0</v>
      </c>
      <c r="I330" s="2">
        <v>0.88</v>
      </c>
      <c r="J330" s="2">
        <v>51.35</v>
      </c>
      <c r="K330" s="5">
        <f>nantucket[[#This Row],[MW Factor]]-resources!$B$14</f>
        <v>-15</v>
      </c>
    </row>
    <row r="331" spans="1:11" x14ac:dyDescent="0.3">
      <c r="A331" t="s">
        <v>23</v>
      </c>
      <c r="B331">
        <v>324</v>
      </c>
      <c r="C331">
        <v>12</v>
      </c>
      <c r="D331">
        <v>16255</v>
      </c>
      <c r="E331" t="s">
        <v>10</v>
      </c>
      <c r="F331">
        <v>42</v>
      </c>
      <c r="G331" s="2">
        <v>27.67</v>
      </c>
      <c r="H331" s="2">
        <v>0</v>
      </c>
      <c r="I331" s="2">
        <v>0.3</v>
      </c>
      <c r="J331" s="2">
        <v>27.97</v>
      </c>
      <c r="K331" s="5">
        <f>nantucket[[#This Row],[MW Factor]]-resources!$B$14</f>
        <v>-15</v>
      </c>
    </row>
    <row r="332" spans="1:11" x14ac:dyDescent="0.3">
      <c r="A332" t="s">
        <v>24</v>
      </c>
      <c r="B332">
        <v>346</v>
      </c>
      <c r="C332">
        <v>10</v>
      </c>
      <c r="D332">
        <v>16255</v>
      </c>
      <c r="E332" t="s">
        <v>10</v>
      </c>
      <c r="F332">
        <v>42</v>
      </c>
      <c r="G332" s="2">
        <v>29.97</v>
      </c>
      <c r="H332" s="2">
        <v>0</v>
      </c>
      <c r="I332" s="2">
        <v>0.28000000000000003</v>
      </c>
      <c r="J332" s="2">
        <v>30.25</v>
      </c>
      <c r="K332" s="5">
        <f>nantucket[[#This Row],[MW Factor]]-resources!$B$14</f>
        <v>-15</v>
      </c>
    </row>
    <row r="333" spans="1:11" x14ac:dyDescent="0.3">
      <c r="A333" t="s">
        <v>24</v>
      </c>
      <c r="B333">
        <v>360</v>
      </c>
      <c r="C333">
        <v>24</v>
      </c>
      <c r="D333">
        <v>16255</v>
      </c>
      <c r="E333" t="s">
        <v>10</v>
      </c>
      <c r="F333">
        <v>42</v>
      </c>
      <c r="G333" s="2">
        <v>54.5</v>
      </c>
      <c r="H333" s="2">
        <v>0</v>
      </c>
      <c r="I333" s="2">
        <v>0.87</v>
      </c>
      <c r="J333" s="2">
        <v>55.37</v>
      </c>
      <c r="K333" s="5">
        <f>nantucket[[#This Row],[MW Factor]]-resources!$B$14</f>
        <v>-15</v>
      </c>
    </row>
    <row r="334" spans="1:11" x14ac:dyDescent="0.3">
      <c r="A334" t="s">
        <v>26</v>
      </c>
      <c r="B334">
        <v>408</v>
      </c>
      <c r="C334">
        <v>24</v>
      </c>
      <c r="D334">
        <v>16255</v>
      </c>
      <c r="E334" t="s">
        <v>10</v>
      </c>
      <c r="F334">
        <v>42</v>
      </c>
      <c r="G334" s="2">
        <v>33.49</v>
      </c>
      <c r="H334" s="2">
        <v>0</v>
      </c>
      <c r="I334" s="2">
        <v>0.65</v>
      </c>
      <c r="J334" s="2">
        <v>34.14</v>
      </c>
      <c r="K334" s="5">
        <f>nantucket[[#This Row],[MW Factor]]-resources!$B$14</f>
        <v>-15</v>
      </c>
    </row>
    <row r="335" spans="1:11" x14ac:dyDescent="0.3">
      <c r="A335" t="s">
        <v>27</v>
      </c>
      <c r="B335">
        <v>418</v>
      </c>
      <c r="C335">
        <v>10</v>
      </c>
      <c r="D335">
        <v>16255</v>
      </c>
      <c r="E335" t="s">
        <v>10</v>
      </c>
      <c r="F335">
        <v>42</v>
      </c>
      <c r="G335" s="2">
        <v>37.36</v>
      </c>
      <c r="H335" s="2">
        <v>0</v>
      </c>
      <c r="I335" s="2">
        <v>0.5</v>
      </c>
      <c r="J335" s="2">
        <v>37.86</v>
      </c>
      <c r="K335" s="5">
        <f>nantucket[[#This Row],[MW Factor]]-resources!$B$14</f>
        <v>-15</v>
      </c>
    </row>
    <row r="336" spans="1:11" x14ac:dyDescent="0.3">
      <c r="A336" t="s">
        <v>27</v>
      </c>
      <c r="B336">
        <v>431</v>
      </c>
      <c r="C336">
        <v>23</v>
      </c>
      <c r="D336">
        <v>16255</v>
      </c>
      <c r="E336" t="s">
        <v>10</v>
      </c>
      <c r="F336">
        <v>42</v>
      </c>
      <c r="G336" s="2">
        <v>27.61</v>
      </c>
      <c r="H336" s="2">
        <v>0.03</v>
      </c>
      <c r="I336" s="2">
        <v>0.39</v>
      </c>
      <c r="J336" s="2">
        <v>28.03</v>
      </c>
      <c r="K336" s="5">
        <f>nantucket[[#This Row],[MW Factor]]-resources!$B$14</f>
        <v>-15</v>
      </c>
    </row>
    <row r="337" spans="1:11" x14ac:dyDescent="0.3">
      <c r="A337" t="s">
        <v>29</v>
      </c>
      <c r="B337">
        <v>470</v>
      </c>
      <c r="C337">
        <v>14</v>
      </c>
      <c r="D337">
        <v>16255</v>
      </c>
      <c r="E337" t="s">
        <v>10</v>
      </c>
      <c r="F337">
        <v>42</v>
      </c>
      <c r="G337" s="2">
        <v>24.64</v>
      </c>
      <c r="H337" s="2">
        <v>0</v>
      </c>
      <c r="I337" s="2">
        <v>0.39</v>
      </c>
      <c r="J337" s="2">
        <v>25.03</v>
      </c>
      <c r="K337" s="5">
        <f>nantucket[[#This Row],[MW Factor]]-resources!$B$14</f>
        <v>-15</v>
      </c>
    </row>
    <row r="338" spans="1:11" x14ac:dyDescent="0.3">
      <c r="A338" t="s">
        <v>29</v>
      </c>
      <c r="B338">
        <v>478</v>
      </c>
      <c r="C338">
        <v>22</v>
      </c>
      <c r="D338">
        <v>16255</v>
      </c>
      <c r="E338" t="s">
        <v>10</v>
      </c>
      <c r="F338">
        <v>42</v>
      </c>
      <c r="G338" s="2">
        <v>41.67</v>
      </c>
      <c r="H338" s="2">
        <v>0</v>
      </c>
      <c r="I338" s="2">
        <v>0.87</v>
      </c>
      <c r="J338" s="2">
        <v>42.54</v>
      </c>
      <c r="K338" s="5">
        <f>nantucket[[#This Row],[MW Factor]]-resources!$B$14</f>
        <v>-15</v>
      </c>
    </row>
    <row r="339" spans="1:11" x14ac:dyDescent="0.3">
      <c r="A339" t="s">
        <v>30</v>
      </c>
      <c r="B339">
        <v>494</v>
      </c>
      <c r="C339">
        <v>14</v>
      </c>
      <c r="D339">
        <v>16255</v>
      </c>
      <c r="E339" t="s">
        <v>10</v>
      </c>
      <c r="F339">
        <v>42</v>
      </c>
      <c r="G339" s="2">
        <v>49.52</v>
      </c>
      <c r="H339" s="2">
        <v>0.01</v>
      </c>
      <c r="I339" s="2">
        <v>0.84</v>
      </c>
      <c r="J339" s="2">
        <v>50.37</v>
      </c>
      <c r="K339" s="5">
        <f>nantucket[[#This Row],[MW Factor]]-resources!$B$14</f>
        <v>-15</v>
      </c>
    </row>
    <row r="340" spans="1:11" x14ac:dyDescent="0.3">
      <c r="A340" t="s">
        <v>30</v>
      </c>
      <c r="B340">
        <v>495</v>
      </c>
      <c r="C340">
        <v>15</v>
      </c>
      <c r="D340">
        <v>16255</v>
      </c>
      <c r="E340" t="s">
        <v>10</v>
      </c>
      <c r="F340">
        <v>42</v>
      </c>
      <c r="G340" s="2">
        <v>32.020000000000003</v>
      </c>
      <c r="H340" s="2">
        <v>0</v>
      </c>
      <c r="I340" s="2">
        <v>0.51</v>
      </c>
      <c r="J340" s="2">
        <v>32.53</v>
      </c>
      <c r="K340" s="5">
        <f>nantucket[[#This Row],[MW Factor]]-resources!$B$14</f>
        <v>-15</v>
      </c>
    </row>
    <row r="341" spans="1:11" x14ac:dyDescent="0.3">
      <c r="A341" t="s">
        <v>31</v>
      </c>
      <c r="B341">
        <v>517</v>
      </c>
      <c r="C341">
        <v>13</v>
      </c>
      <c r="D341">
        <v>16255</v>
      </c>
      <c r="E341" t="s">
        <v>10</v>
      </c>
      <c r="F341">
        <v>42</v>
      </c>
      <c r="G341" s="2">
        <v>39.69</v>
      </c>
      <c r="H341" s="2">
        <v>0.03</v>
      </c>
      <c r="I341" s="2">
        <v>0.43</v>
      </c>
      <c r="J341" s="2">
        <v>40.15</v>
      </c>
      <c r="K341" s="5">
        <f>nantucket[[#This Row],[MW Factor]]-resources!$B$14</f>
        <v>-15</v>
      </c>
    </row>
    <row r="342" spans="1:11" x14ac:dyDescent="0.3">
      <c r="A342" t="s">
        <v>34</v>
      </c>
      <c r="B342">
        <v>594</v>
      </c>
      <c r="C342">
        <v>18</v>
      </c>
      <c r="D342">
        <v>16255</v>
      </c>
      <c r="E342" t="s">
        <v>10</v>
      </c>
      <c r="F342">
        <v>42</v>
      </c>
      <c r="G342" s="2">
        <v>28.77</v>
      </c>
      <c r="H342" s="2">
        <v>0</v>
      </c>
      <c r="I342" s="2">
        <v>0.26</v>
      </c>
      <c r="J342" s="2">
        <v>29.03</v>
      </c>
      <c r="K342" s="5">
        <f>nantucket[[#This Row],[MW Factor]]-resources!$B$14</f>
        <v>-15</v>
      </c>
    </row>
    <row r="343" spans="1:11" x14ac:dyDescent="0.3">
      <c r="A343" t="s">
        <v>36</v>
      </c>
      <c r="B343">
        <v>640</v>
      </c>
      <c r="C343">
        <v>16</v>
      </c>
      <c r="D343">
        <v>16255</v>
      </c>
      <c r="E343" t="s">
        <v>10</v>
      </c>
      <c r="F343">
        <v>42</v>
      </c>
      <c r="G343" s="2">
        <v>38.99</v>
      </c>
      <c r="H343" s="2">
        <v>0</v>
      </c>
      <c r="I343" s="2">
        <v>0.56000000000000005</v>
      </c>
      <c r="J343" s="2">
        <v>39.549999999999997</v>
      </c>
      <c r="K343" s="5">
        <f>nantucket[[#This Row],[MW Factor]]-resources!$B$14</f>
        <v>-15</v>
      </c>
    </row>
    <row r="344" spans="1:11" x14ac:dyDescent="0.3">
      <c r="A344" t="s">
        <v>36</v>
      </c>
      <c r="B344">
        <v>646</v>
      </c>
      <c r="C344">
        <v>22</v>
      </c>
      <c r="D344">
        <v>16255</v>
      </c>
      <c r="E344" t="s">
        <v>10</v>
      </c>
      <c r="F344">
        <v>42</v>
      </c>
      <c r="G344" s="2">
        <v>28.23</v>
      </c>
      <c r="H344" s="2">
        <v>0</v>
      </c>
      <c r="I344" s="2">
        <v>0.5</v>
      </c>
      <c r="J344" s="2">
        <v>28.73</v>
      </c>
      <c r="K344" s="5">
        <f>nantucket[[#This Row],[MW Factor]]-resources!$B$14</f>
        <v>-15</v>
      </c>
    </row>
    <row r="345" spans="1:11" x14ac:dyDescent="0.3">
      <c r="A345" t="s">
        <v>39</v>
      </c>
      <c r="B345">
        <v>710</v>
      </c>
      <c r="C345">
        <v>14</v>
      </c>
      <c r="D345">
        <v>16255</v>
      </c>
      <c r="E345" t="s">
        <v>10</v>
      </c>
      <c r="F345">
        <v>42</v>
      </c>
      <c r="G345" s="2">
        <v>43.88</v>
      </c>
      <c r="H345" s="2">
        <v>0</v>
      </c>
      <c r="I345" s="2">
        <v>0.39</v>
      </c>
      <c r="J345" s="2">
        <v>44.27</v>
      </c>
      <c r="K345" s="5">
        <f>nantucket[[#This Row],[MW Factor]]-resources!$B$14</f>
        <v>-15</v>
      </c>
    </row>
    <row r="346" spans="1:11" x14ac:dyDescent="0.3">
      <c r="A346" t="s">
        <v>40</v>
      </c>
      <c r="B346">
        <v>732</v>
      </c>
      <c r="C346">
        <v>12</v>
      </c>
      <c r="D346">
        <v>16255</v>
      </c>
      <c r="E346" t="s">
        <v>10</v>
      </c>
      <c r="F346">
        <v>42</v>
      </c>
      <c r="G346" s="2">
        <v>58.4</v>
      </c>
      <c r="H346" s="2">
        <v>0</v>
      </c>
      <c r="I346" s="2">
        <v>0.66</v>
      </c>
      <c r="J346" s="2">
        <v>59.06</v>
      </c>
      <c r="K346" s="5">
        <f>nantucket[[#This Row],[MW Factor]]-resources!$B$14</f>
        <v>-15</v>
      </c>
    </row>
    <row r="347" spans="1:11" x14ac:dyDescent="0.3">
      <c r="A347" t="s">
        <v>44</v>
      </c>
      <c r="B347">
        <v>840</v>
      </c>
      <c r="C347">
        <v>24</v>
      </c>
      <c r="D347">
        <v>16255</v>
      </c>
      <c r="E347" t="s">
        <v>10</v>
      </c>
      <c r="F347">
        <v>42</v>
      </c>
      <c r="G347" s="2">
        <v>24.83</v>
      </c>
      <c r="H347" s="2">
        <v>0</v>
      </c>
      <c r="I347" s="2">
        <v>0.31</v>
      </c>
      <c r="J347" s="2">
        <v>25.14</v>
      </c>
      <c r="K347" s="5">
        <f>nantucket[[#This Row],[MW Factor]]-resources!$B$14</f>
        <v>-15</v>
      </c>
    </row>
    <row r="348" spans="1:11" x14ac:dyDescent="0.3">
      <c r="A348" t="s">
        <v>45</v>
      </c>
      <c r="B348">
        <v>850</v>
      </c>
      <c r="C348">
        <v>10</v>
      </c>
      <c r="D348">
        <v>16255</v>
      </c>
      <c r="E348" t="s">
        <v>10</v>
      </c>
      <c r="F348">
        <v>42</v>
      </c>
      <c r="G348" s="2">
        <v>24.24</v>
      </c>
      <c r="H348" s="2">
        <v>0</v>
      </c>
      <c r="I348" s="2">
        <v>0.44</v>
      </c>
      <c r="J348" s="2">
        <v>24.68</v>
      </c>
      <c r="K348" s="5">
        <f>nantucket[[#This Row],[MW Factor]]-resources!$B$14</f>
        <v>-15</v>
      </c>
    </row>
    <row r="349" spans="1:11" x14ac:dyDescent="0.3">
      <c r="A349" t="s">
        <v>45</v>
      </c>
      <c r="B349">
        <v>864</v>
      </c>
      <c r="C349">
        <v>24</v>
      </c>
      <c r="D349">
        <v>16255</v>
      </c>
      <c r="E349" t="s">
        <v>10</v>
      </c>
      <c r="F349">
        <v>42</v>
      </c>
      <c r="G349" s="2">
        <v>36.31</v>
      </c>
      <c r="H349" s="2">
        <v>0</v>
      </c>
      <c r="I349" s="2">
        <v>0.39</v>
      </c>
      <c r="J349" s="2">
        <v>36.700000000000003</v>
      </c>
      <c r="K349" s="5">
        <f>nantucket[[#This Row],[MW Factor]]-resources!$B$14</f>
        <v>-15</v>
      </c>
    </row>
    <row r="350" spans="1:11" x14ac:dyDescent="0.3">
      <c r="A350" t="s">
        <v>46</v>
      </c>
      <c r="B350">
        <v>874</v>
      </c>
      <c r="C350">
        <v>10</v>
      </c>
      <c r="D350">
        <v>16255</v>
      </c>
      <c r="E350" t="s">
        <v>10</v>
      </c>
      <c r="F350">
        <v>42</v>
      </c>
      <c r="G350" s="2">
        <v>45.84</v>
      </c>
      <c r="H350" s="2">
        <v>0</v>
      </c>
      <c r="I350" s="2">
        <v>0.71</v>
      </c>
      <c r="J350" s="2">
        <v>46.55</v>
      </c>
      <c r="K350" s="5">
        <f>nantucket[[#This Row],[MW Factor]]-resources!$B$14</f>
        <v>-15</v>
      </c>
    </row>
    <row r="351" spans="1:11" x14ac:dyDescent="0.3">
      <c r="A351" t="s">
        <v>49</v>
      </c>
      <c r="B351">
        <v>949</v>
      </c>
      <c r="C351">
        <v>13</v>
      </c>
      <c r="D351">
        <v>16255</v>
      </c>
      <c r="E351" t="s">
        <v>10</v>
      </c>
      <c r="F351">
        <v>42</v>
      </c>
      <c r="G351" s="2">
        <v>42.04</v>
      </c>
      <c r="H351" s="2">
        <v>0</v>
      </c>
      <c r="I351" s="2">
        <v>0.45</v>
      </c>
      <c r="J351" s="2">
        <v>42.49</v>
      </c>
      <c r="K351" s="5">
        <f>nantucket[[#This Row],[MW Factor]]-resources!$B$14</f>
        <v>-15</v>
      </c>
    </row>
    <row r="352" spans="1:11" x14ac:dyDescent="0.3">
      <c r="A352" t="s">
        <v>50</v>
      </c>
      <c r="B352">
        <v>972</v>
      </c>
      <c r="C352">
        <v>12</v>
      </c>
      <c r="D352">
        <v>16255</v>
      </c>
      <c r="E352" t="s">
        <v>10</v>
      </c>
      <c r="F352">
        <v>42</v>
      </c>
      <c r="G352" s="2">
        <v>26.81</v>
      </c>
      <c r="H352" s="2">
        <v>0</v>
      </c>
      <c r="I352" s="2">
        <v>0.56999999999999995</v>
      </c>
      <c r="J352" s="2">
        <v>27.38</v>
      </c>
      <c r="K352" s="5">
        <f>nantucket[[#This Row],[MW Factor]]-resources!$B$14</f>
        <v>-15</v>
      </c>
    </row>
    <row r="353" spans="1:11" x14ac:dyDescent="0.3">
      <c r="A353" t="s">
        <v>50</v>
      </c>
      <c r="B353">
        <v>982</v>
      </c>
      <c r="C353">
        <v>22</v>
      </c>
      <c r="D353">
        <v>16255</v>
      </c>
      <c r="E353" t="s">
        <v>10</v>
      </c>
      <c r="F353">
        <v>42</v>
      </c>
      <c r="G353" s="2">
        <v>33.61</v>
      </c>
      <c r="H353" s="2">
        <v>0</v>
      </c>
      <c r="I353" s="2">
        <v>0.78</v>
      </c>
      <c r="J353" s="2">
        <v>34.39</v>
      </c>
      <c r="K353" s="5">
        <f>nantucket[[#This Row],[MW Factor]]-resources!$B$14</f>
        <v>-15</v>
      </c>
    </row>
    <row r="354" spans="1:11" x14ac:dyDescent="0.3">
      <c r="A354" t="s">
        <v>51</v>
      </c>
      <c r="B354">
        <v>1000</v>
      </c>
      <c r="C354">
        <v>16</v>
      </c>
      <c r="D354">
        <v>16255</v>
      </c>
      <c r="E354" t="s">
        <v>10</v>
      </c>
      <c r="F354">
        <v>42</v>
      </c>
      <c r="G354" s="2">
        <v>22.86</v>
      </c>
      <c r="H354" s="2">
        <v>0</v>
      </c>
      <c r="I354" s="2">
        <v>0.45</v>
      </c>
      <c r="J354" s="2">
        <v>23.31</v>
      </c>
      <c r="K354" s="5">
        <f>nantucket[[#This Row],[MW Factor]]-resources!$B$14</f>
        <v>-15</v>
      </c>
    </row>
    <row r="355" spans="1:11" x14ac:dyDescent="0.3">
      <c r="A355" t="s">
        <v>51</v>
      </c>
      <c r="B355">
        <v>1001</v>
      </c>
      <c r="C355">
        <v>17</v>
      </c>
      <c r="D355">
        <v>16255</v>
      </c>
      <c r="E355" t="s">
        <v>10</v>
      </c>
      <c r="F355">
        <v>42</v>
      </c>
      <c r="G355" s="2">
        <v>24.85</v>
      </c>
      <c r="H355" s="2">
        <v>0</v>
      </c>
      <c r="I355" s="2">
        <v>0.45</v>
      </c>
      <c r="J355" s="2">
        <v>25.3</v>
      </c>
      <c r="K355" s="5">
        <f>nantucket[[#This Row],[MW Factor]]-resources!$B$14</f>
        <v>-15</v>
      </c>
    </row>
    <row r="356" spans="1:11" x14ac:dyDescent="0.3">
      <c r="A356" t="s">
        <v>51</v>
      </c>
      <c r="B356">
        <v>1005</v>
      </c>
      <c r="C356">
        <v>21</v>
      </c>
      <c r="D356">
        <v>16255</v>
      </c>
      <c r="E356" t="s">
        <v>10</v>
      </c>
      <c r="F356">
        <v>42</v>
      </c>
      <c r="G356" s="2">
        <v>36.700000000000003</v>
      </c>
      <c r="H356" s="2">
        <v>0</v>
      </c>
      <c r="I356" s="2">
        <v>0.72</v>
      </c>
      <c r="J356" s="2">
        <v>37.42</v>
      </c>
      <c r="K356" s="5">
        <f>nantucket[[#This Row],[MW Factor]]-resources!$B$14</f>
        <v>-15</v>
      </c>
    </row>
    <row r="357" spans="1:11" x14ac:dyDescent="0.3">
      <c r="A357" t="s">
        <v>52</v>
      </c>
      <c r="B357">
        <v>1029</v>
      </c>
      <c r="C357">
        <v>21</v>
      </c>
      <c r="D357">
        <v>16255</v>
      </c>
      <c r="E357" t="s">
        <v>10</v>
      </c>
      <c r="F357">
        <v>42</v>
      </c>
      <c r="G357" s="2">
        <v>34.94</v>
      </c>
      <c r="H357" s="2">
        <v>0</v>
      </c>
      <c r="I357" s="2">
        <v>0.57999999999999996</v>
      </c>
      <c r="J357" s="2">
        <v>35.520000000000003</v>
      </c>
      <c r="K357" s="5">
        <f>nantucket[[#This Row],[MW Factor]]-resources!$B$14</f>
        <v>-15</v>
      </c>
    </row>
    <row r="358" spans="1:11" x14ac:dyDescent="0.3">
      <c r="A358" t="s">
        <v>55</v>
      </c>
      <c r="B358">
        <v>1101</v>
      </c>
      <c r="C358">
        <v>21</v>
      </c>
      <c r="D358">
        <v>16255</v>
      </c>
      <c r="E358" t="s">
        <v>10</v>
      </c>
      <c r="F358">
        <v>42</v>
      </c>
      <c r="G358" s="2">
        <v>33.6</v>
      </c>
      <c r="H358" s="2">
        <v>0</v>
      </c>
      <c r="I358" s="2">
        <v>0.13</v>
      </c>
      <c r="J358" s="2">
        <v>33.729999999999997</v>
      </c>
      <c r="K358" s="5">
        <f>nantucket[[#This Row],[MW Factor]]-resources!$B$14</f>
        <v>-15</v>
      </c>
    </row>
    <row r="359" spans="1:11" x14ac:dyDescent="0.3">
      <c r="A359" t="s">
        <v>59</v>
      </c>
      <c r="B359">
        <v>1190</v>
      </c>
      <c r="C359">
        <v>14</v>
      </c>
      <c r="D359">
        <v>16255</v>
      </c>
      <c r="E359" t="s">
        <v>10</v>
      </c>
      <c r="F359">
        <v>42</v>
      </c>
      <c r="G359" s="2">
        <v>31.4</v>
      </c>
      <c r="H359" s="2">
        <v>0</v>
      </c>
      <c r="I359" s="2">
        <v>0.33</v>
      </c>
      <c r="J359" s="2">
        <v>31.73</v>
      </c>
      <c r="K359" s="5">
        <f>nantucket[[#This Row],[MW Factor]]-resources!$B$14</f>
        <v>-15</v>
      </c>
    </row>
    <row r="360" spans="1:11" x14ac:dyDescent="0.3">
      <c r="A360" t="s">
        <v>59</v>
      </c>
      <c r="B360">
        <v>1191</v>
      </c>
      <c r="C360">
        <v>15</v>
      </c>
      <c r="D360">
        <v>16255</v>
      </c>
      <c r="E360" t="s">
        <v>10</v>
      </c>
      <c r="F360">
        <v>42</v>
      </c>
      <c r="G360" s="2">
        <v>30.14</v>
      </c>
      <c r="H360" s="2">
        <v>0</v>
      </c>
      <c r="I360" s="2">
        <v>0.24</v>
      </c>
      <c r="J360" s="2">
        <v>30.38</v>
      </c>
      <c r="K360" s="5">
        <f>nantucket[[#This Row],[MW Factor]]-resources!$B$14</f>
        <v>-15</v>
      </c>
    </row>
    <row r="361" spans="1:11" x14ac:dyDescent="0.3">
      <c r="A361" t="s">
        <v>59</v>
      </c>
      <c r="B361">
        <v>1197</v>
      </c>
      <c r="C361">
        <v>21</v>
      </c>
      <c r="D361">
        <v>16255</v>
      </c>
      <c r="E361" t="s">
        <v>10</v>
      </c>
      <c r="F361">
        <v>42</v>
      </c>
      <c r="G361" s="2">
        <v>39.58</v>
      </c>
      <c r="H361" s="2">
        <v>0</v>
      </c>
      <c r="I361" s="2">
        <v>0.48</v>
      </c>
      <c r="J361" s="2">
        <v>40.06</v>
      </c>
      <c r="K361" s="5">
        <f>nantucket[[#This Row],[MW Factor]]-resources!$B$14</f>
        <v>-15</v>
      </c>
    </row>
    <row r="362" spans="1:11" x14ac:dyDescent="0.3">
      <c r="A362" t="s">
        <v>64</v>
      </c>
      <c r="B362">
        <v>1314</v>
      </c>
      <c r="C362">
        <v>18</v>
      </c>
      <c r="D362">
        <v>16255</v>
      </c>
      <c r="E362" t="s">
        <v>10</v>
      </c>
      <c r="F362">
        <v>42</v>
      </c>
      <c r="G362" s="2">
        <v>65.23</v>
      </c>
      <c r="H362" s="2">
        <v>0</v>
      </c>
      <c r="I362" s="2">
        <v>1.44</v>
      </c>
      <c r="J362" s="2">
        <v>66.67</v>
      </c>
      <c r="K362" s="5">
        <f>nantucket[[#This Row],[MW Factor]]-resources!$B$14</f>
        <v>-15</v>
      </c>
    </row>
    <row r="363" spans="1:11" x14ac:dyDescent="0.3">
      <c r="A363" t="s">
        <v>65</v>
      </c>
      <c r="B363">
        <v>1338</v>
      </c>
      <c r="C363">
        <v>18</v>
      </c>
      <c r="D363">
        <v>16255</v>
      </c>
      <c r="E363" t="s">
        <v>10</v>
      </c>
      <c r="F363">
        <v>42</v>
      </c>
      <c r="G363" s="2">
        <v>46.28</v>
      </c>
      <c r="H363" s="2">
        <v>0</v>
      </c>
      <c r="I363" s="2">
        <v>0.52</v>
      </c>
      <c r="J363" s="2">
        <v>46.8</v>
      </c>
      <c r="K363" s="5">
        <f>nantucket[[#This Row],[MW Factor]]-resources!$B$14</f>
        <v>-15</v>
      </c>
    </row>
    <row r="364" spans="1:11" x14ac:dyDescent="0.3">
      <c r="A364" t="s">
        <v>68</v>
      </c>
      <c r="B364">
        <v>1412</v>
      </c>
      <c r="C364">
        <v>20</v>
      </c>
      <c r="D364">
        <v>16255</v>
      </c>
      <c r="E364" t="s">
        <v>10</v>
      </c>
      <c r="F364">
        <v>42</v>
      </c>
      <c r="G364" s="2">
        <v>49.55</v>
      </c>
      <c r="H364" s="2">
        <v>0</v>
      </c>
      <c r="I364" s="2">
        <v>1.06</v>
      </c>
      <c r="J364" s="2">
        <v>50.61</v>
      </c>
      <c r="K364" s="5">
        <f>nantucket[[#This Row],[MW Factor]]-resources!$B$14</f>
        <v>-15</v>
      </c>
    </row>
    <row r="365" spans="1:11" x14ac:dyDescent="0.3">
      <c r="A365" t="s">
        <v>68</v>
      </c>
      <c r="B365">
        <v>1413</v>
      </c>
      <c r="C365">
        <v>21</v>
      </c>
      <c r="D365">
        <v>16255</v>
      </c>
      <c r="E365" t="s">
        <v>10</v>
      </c>
      <c r="F365">
        <v>42</v>
      </c>
      <c r="G365" s="2">
        <v>43.52</v>
      </c>
      <c r="H365" s="2">
        <v>0</v>
      </c>
      <c r="I365" s="2">
        <v>0.9</v>
      </c>
      <c r="J365" s="2">
        <v>44.42</v>
      </c>
      <c r="K365" s="5">
        <f>nantucket[[#This Row],[MW Factor]]-resources!$B$14</f>
        <v>-15</v>
      </c>
    </row>
    <row r="366" spans="1:11" x14ac:dyDescent="0.3">
      <c r="A366" t="s">
        <v>11</v>
      </c>
      <c r="B366">
        <v>43</v>
      </c>
      <c r="C366">
        <v>19</v>
      </c>
      <c r="D366">
        <v>16255</v>
      </c>
      <c r="E366" t="s">
        <v>10</v>
      </c>
      <c r="F366">
        <v>41</v>
      </c>
      <c r="G366" s="2">
        <v>45.27</v>
      </c>
      <c r="H366" s="2">
        <v>0</v>
      </c>
      <c r="I366" s="2">
        <v>0.97</v>
      </c>
      <c r="J366" s="2">
        <v>46.24</v>
      </c>
      <c r="K366" s="5">
        <f>nantucket[[#This Row],[MW Factor]]-resources!$B$14</f>
        <v>-16</v>
      </c>
    </row>
    <row r="367" spans="1:11" x14ac:dyDescent="0.3">
      <c r="A367" t="s">
        <v>12</v>
      </c>
      <c r="B367">
        <v>66</v>
      </c>
      <c r="C367">
        <v>18</v>
      </c>
      <c r="D367">
        <v>16255</v>
      </c>
      <c r="E367" t="s">
        <v>10</v>
      </c>
      <c r="F367">
        <v>41</v>
      </c>
      <c r="G367" s="2">
        <v>37.549999999999997</v>
      </c>
      <c r="H367" s="2">
        <v>0</v>
      </c>
      <c r="I367" s="2">
        <v>0.75</v>
      </c>
      <c r="J367" s="2">
        <v>38.299999999999997</v>
      </c>
      <c r="K367" s="5">
        <f>nantucket[[#This Row],[MW Factor]]-resources!$B$14</f>
        <v>-16</v>
      </c>
    </row>
    <row r="368" spans="1:11" x14ac:dyDescent="0.3">
      <c r="A368" t="s">
        <v>12</v>
      </c>
      <c r="B368">
        <v>69</v>
      </c>
      <c r="C368">
        <v>21</v>
      </c>
      <c r="D368">
        <v>16255</v>
      </c>
      <c r="E368" t="s">
        <v>10</v>
      </c>
      <c r="F368">
        <v>41</v>
      </c>
      <c r="G368" s="2">
        <v>37.76</v>
      </c>
      <c r="H368" s="2">
        <v>0</v>
      </c>
      <c r="I368" s="2">
        <v>0.79</v>
      </c>
      <c r="J368" s="2">
        <v>38.549999999999997</v>
      </c>
      <c r="K368" s="5">
        <f>nantucket[[#This Row],[MW Factor]]-resources!$B$14</f>
        <v>-16</v>
      </c>
    </row>
    <row r="369" spans="1:11" x14ac:dyDescent="0.3">
      <c r="A369" t="s">
        <v>13</v>
      </c>
      <c r="B369">
        <v>90</v>
      </c>
      <c r="C369">
        <v>18</v>
      </c>
      <c r="D369">
        <v>16255</v>
      </c>
      <c r="E369" t="s">
        <v>10</v>
      </c>
      <c r="F369">
        <v>41</v>
      </c>
      <c r="G369" s="2">
        <v>38.11</v>
      </c>
      <c r="H369" s="2">
        <v>0</v>
      </c>
      <c r="I369" s="2">
        <v>0.42</v>
      </c>
      <c r="J369" s="2">
        <v>38.53</v>
      </c>
      <c r="K369" s="5">
        <f>nantucket[[#This Row],[MW Factor]]-resources!$B$14</f>
        <v>-16</v>
      </c>
    </row>
    <row r="370" spans="1:11" x14ac:dyDescent="0.3">
      <c r="A370" t="s">
        <v>14</v>
      </c>
      <c r="B370">
        <v>117</v>
      </c>
      <c r="C370">
        <v>21</v>
      </c>
      <c r="D370">
        <v>16255</v>
      </c>
      <c r="E370" t="s">
        <v>10</v>
      </c>
      <c r="F370">
        <v>41</v>
      </c>
      <c r="G370" s="2">
        <v>46.22</v>
      </c>
      <c r="H370" s="2">
        <v>0</v>
      </c>
      <c r="I370" s="2">
        <v>0.28999999999999998</v>
      </c>
      <c r="J370" s="2">
        <v>46.51</v>
      </c>
      <c r="K370" s="5">
        <f>nantucket[[#This Row],[MW Factor]]-resources!$B$14</f>
        <v>-16</v>
      </c>
    </row>
    <row r="371" spans="1:11" x14ac:dyDescent="0.3">
      <c r="A371" t="s">
        <v>15</v>
      </c>
      <c r="B371">
        <v>137</v>
      </c>
      <c r="C371">
        <v>17</v>
      </c>
      <c r="D371">
        <v>16255</v>
      </c>
      <c r="E371" t="s">
        <v>10</v>
      </c>
      <c r="F371">
        <v>41</v>
      </c>
      <c r="G371" s="2">
        <v>42.33</v>
      </c>
      <c r="H371" s="2">
        <v>0</v>
      </c>
      <c r="I371" s="2">
        <v>0.26</v>
      </c>
      <c r="J371" s="2">
        <v>42.59</v>
      </c>
      <c r="K371" s="5">
        <f>nantucket[[#This Row],[MW Factor]]-resources!$B$14</f>
        <v>-16</v>
      </c>
    </row>
    <row r="372" spans="1:11" x14ac:dyDescent="0.3">
      <c r="A372" t="s">
        <v>15</v>
      </c>
      <c r="B372">
        <v>141</v>
      </c>
      <c r="C372">
        <v>21</v>
      </c>
      <c r="D372">
        <v>16255</v>
      </c>
      <c r="E372" t="s">
        <v>10</v>
      </c>
      <c r="F372">
        <v>41</v>
      </c>
      <c r="G372" s="2">
        <v>66.900000000000006</v>
      </c>
      <c r="H372" s="2">
        <v>0</v>
      </c>
      <c r="I372" s="2">
        <v>0.52</v>
      </c>
      <c r="J372" s="2">
        <v>67.42</v>
      </c>
      <c r="K372" s="5">
        <f>nantucket[[#This Row],[MW Factor]]-resources!$B$14</f>
        <v>-16</v>
      </c>
    </row>
    <row r="373" spans="1:11" x14ac:dyDescent="0.3">
      <c r="A373" t="s">
        <v>18</v>
      </c>
      <c r="B373">
        <v>204</v>
      </c>
      <c r="C373">
        <v>12</v>
      </c>
      <c r="D373">
        <v>16255</v>
      </c>
      <c r="E373" t="s">
        <v>10</v>
      </c>
      <c r="F373">
        <v>41</v>
      </c>
      <c r="G373" s="2">
        <v>52.92</v>
      </c>
      <c r="H373" s="2">
        <v>0</v>
      </c>
      <c r="I373" s="2">
        <v>0.53</v>
      </c>
      <c r="J373" s="2">
        <v>53.45</v>
      </c>
      <c r="K373" s="5">
        <f>nantucket[[#This Row],[MW Factor]]-resources!$B$14</f>
        <v>-16</v>
      </c>
    </row>
    <row r="374" spans="1:11" x14ac:dyDescent="0.3">
      <c r="A374" t="s">
        <v>18</v>
      </c>
      <c r="B374">
        <v>215</v>
      </c>
      <c r="C374">
        <v>23</v>
      </c>
      <c r="D374">
        <v>16255</v>
      </c>
      <c r="E374" t="s">
        <v>10</v>
      </c>
      <c r="F374">
        <v>41</v>
      </c>
      <c r="G374" s="2">
        <v>40.729999999999997</v>
      </c>
      <c r="H374" s="2">
        <v>0.42</v>
      </c>
      <c r="I374" s="2">
        <v>0.56000000000000005</v>
      </c>
      <c r="J374" s="2">
        <v>41.71</v>
      </c>
      <c r="K374" s="5">
        <f>nantucket[[#This Row],[MW Factor]]-resources!$B$14</f>
        <v>-16</v>
      </c>
    </row>
    <row r="375" spans="1:11" x14ac:dyDescent="0.3">
      <c r="A375" t="s">
        <v>20</v>
      </c>
      <c r="B375">
        <v>251</v>
      </c>
      <c r="C375">
        <v>11</v>
      </c>
      <c r="D375">
        <v>16255</v>
      </c>
      <c r="E375" t="s">
        <v>10</v>
      </c>
      <c r="F375">
        <v>41</v>
      </c>
      <c r="G375" s="2">
        <v>27.7</v>
      </c>
      <c r="H375" s="2">
        <v>0</v>
      </c>
      <c r="I375" s="2">
        <v>0.39</v>
      </c>
      <c r="J375" s="2">
        <v>28.09</v>
      </c>
      <c r="K375" s="5">
        <f>nantucket[[#This Row],[MW Factor]]-resources!$B$14</f>
        <v>-16</v>
      </c>
    </row>
    <row r="376" spans="1:11" x14ac:dyDescent="0.3">
      <c r="A376" t="s">
        <v>21</v>
      </c>
      <c r="B376">
        <v>288</v>
      </c>
      <c r="C376">
        <v>24</v>
      </c>
      <c r="D376">
        <v>16255</v>
      </c>
      <c r="E376" t="s">
        <v>10</v>
      </c>
      <c r="F376">
        <v>41</v>
      </c>
      <c r="G376" s="2">
        <v>67.900000000000006</v>
      </c>
      <c r="H376" s="2">
        <v>0</v>
      </c>
      <c r="I376" s="2">
        <v>0.63</v>
      </c>
      <c r="J376" s="2">
        <v>68.53</v>
      </c>
      <c r="K376" s="5">
        <f>nantucket[[#This Row],[MW Factor]]-resources!$B$14</f>
        <v>-16</v>
      </c>
    </row>
    <row r="377" spans="1:11" x14ac:dyDescent="0.3">
      <c r="A377" t="s">
        <v>22</v>
      </c>
      <c r="B377">
        <v>298</v>
      </c>
      <c r="C377">
        <v>10</v>
      </c>
      <c r="D377">
        <v>16255</v>
      </c>
      <c r="E377" t="s">
        <v>10</v>
      </c>
      <c r="F377">
        <v>41</v>
      </c>
      <c r="G377" s="2">
        <v>29.06</v>
      </c>
      <c r="H377" s="2">
        <v>0</v>
      </c>
      <c r="I377" s="2">
        <v>0.38</v>
      </c>
      <c r="J377" s="2">
        <v>29.44</v>
      </c>
      <c r="K377" s="5">
        <f>nantucket[[#This Row],[MW Factor]]-resources!$B$14</f>
        <v>-16</v>
      </c>
    </row>
    <row r="378" spans="1:11" x14ac:dyDescent="0.3">
      <c r="A378" t="s">
        <v>22</v>
      </c>
      <c r="B378">
        <v>310</v>
      </c>
      <c r="C378">
        <v>22</v>
      </c>
      <c r="D378">
        <v>16255</v>
      </c>
      <c r="E378" t="s">
        <v>10</v>
      </c>
      <c r="F378">
        <v>41</v>
      </c>
      <c r="G378" s="2">
        <v>48.03</v>
      </c>
      <c r="H378" s="2">
        <v>0</v>
      </c>
      <c r="I378" s="2">
        <v>0.89</v>
      </c>
      <c r="J378" s="2">
        <v>48.92</v>
      </c>
      <c r="K378" s="5">
        <f>nantucket[[#This Row],[MW Factor]]-resources!$B$14</f>
        <v>-16</v>
      </c>
    </row>
    <row r="379" spans="1:11" x14ac:dyDescent="0.3">
      <c r="A379" t="s">
        <v>23</v>
      </c>
      <c r="B379">
        <v>335</v>
      </c>
      <c r="C379">
        <v>23</v>
      </c>
      <c r="D379">
        <v>16255</v>
      </c>
      <c r="E379" t="s">
        <v>10</v>
      </c>
      <c r="F379">
        <v>41</v>
      </c>
      <c r="G379" s="2">
        <v>35.39</v>
      </c>
      <c r="H379" s="2">
        <v>0.1</v>
      </c>
      <c r="I379" s="2">
        <v>0.42</v>
      </c>
      <c r="J379" s="2">
        <v>35.909999999999997</v>
      </c>
      <c r="K379" s="5">
        <f>nantucket[[#This Row],[MW Factor]]-resources!$B$14</f>
        <v>-16</v>
      </c>
    </row>
    <row r="380" spans="1:11" x14ac:dyDescent="0.3">
      <c r="A380" t="s">
        <v>25</v>
      </c>
      <c r="B380">
        <v>369</v>
      </c>
      <c r="C380">
        <v>9</v>
      </c>
      <c r="D380">
        <v>16255</v>
      </c>
      <c r="E380" t="s">
        <v>10</v>
      </c>
      <c r="F380">
        <v>41</v>
      </c>
      <c r="G380" s="2">
        <v>37.130000000000003</v>
      </c>
      <c r="H380" s="2">
        <v>0.01</v>
      </c>
      <c r="I380" s="2">
        <v>0.5</v>
      </c>
      <c r="J380" s="2">
        <v>37.64</v>
      </c>
      <c r="K380" s="5">
        <f>nantucket[[#This Row],[MW Factor]]-resources!$B$14</f>
        <v>-16</v>
      </c>
    </row>
    <row r="381" spans="1:11" x14ac:dyDescent="0.3">
      <c r="A381" t="s">
        <v>28</v>
      </c>
      <c r="B381">
        <v>454</v>
      </c>
      <c r="C381">
        <v>22</v>
      </c>
      <c r="D381">
        <v>16255</v>
      </c>
      <c r="E381" t="s">
        <v>10</v>
      </c>
      <c r="F381">
        <v>41</v>
      </c>
      <c r="G381" s="2">
        <v>42.88</v>
      </c>
      <c r="H381" s="2">
        <v>0</v>
      </c>
      <c r="I381" s="2">
        <v>0.71</v>
      </c>
      <c r="J381" s="2">
        <v>43.59</v>
      </c>
      <c r="K381" s="5">
        <f>nantucket[[#This Row],[MW Factor]]-resources!$B$14</f>
        <v>-16</v>
      </c>
    </row>
    <row r="382" spans="1:11" x14ac:dyDescent="0.3">
      <c r="A382" t="s">
        <v>29</v>
      </c>
      <c r="B382">
        <v>469</v>
      </c>
      <c r="C382">
        <v>13</v>
      </c>
      <c r="D382">
        <v>16255</v>
      </c>
      <c r="E382" t="s">
        <v>10</v>
      </c>
      <c r="F382">
        <v>41</v>
      </c>
      <c r="G382" s="2">
        <v>25.46</v>
      </c>
      <c r="H382" s="2">
        <v>0</v>
      </c>
      <c r="I382" s="2">
        <v>0.42</v>
      </c>
      <c r="J382" s="2">
        <v>25.88</v>
      </c>
      <c r="K382" s="5">
        <f>nantucket[[#This Row],[MW Factor]]-resources!$B$14</f>
        <v>-16</v>
      </c>
    </row>
    <row r="383" spans="1:11" x14ac:dyDescent="0.3">
      <c r="A383" t="s">
        <v>30</v>
      </c>
      <c r="B383">
        <v>493</v>
      </c>
      <c r="C383">
        <v>13</v>
      </c>
      <c r="D383">
        <v>16255</v>
      </c>
      <c r="E383" t="s">
        <v>10</v>
      </c>
      <c r="F383">
        <v>41</v>
      </c>
      <c r="G383" s="2">
        <v>38.619999999999997</v>
      </c>
      <c r="H383" s="2">
        <v>0</v>
      </c>
      <c r="I383" s="2">
        <v>0.56000000000000005</v>
      </c>
      <c r="J383" s="2">
        <v>39.18</v>
      </c>
      <c r="K383" s="5">
        <f>nantucket[[#This Row],[MW Factor]]-resources!$B$14</f>
        <v>-16</v>
      </c>
    </row>
    <row r="384" spans="1:11" x14ac:dyDescent="0.3">
      <c r="A384" t="s">
        <v>30</v>
      </c>
      <c r="B384">
        <v>503</v>
      </c>
      <c r="C384">
        <v>23</v>
      </c>
      <c r="D384">
        <v>16255</v>
      </c>
      <c r="E384" t="s">
        <v>10</v>
      </c>
      <c r="F384">
        <v>41</v>
      </c>
      <c r="G384" s="2">
        <v>41.87</v>
      </c>
      <c r="H384" s="2">
        <v>0</v>
      </c>
      <c r="I384" s="2">
        <v>0.84</v>
      </c>
      <c r="J384" s="2">
        <v>42.71</v>
      </c>
      <c r="K384" s="5">
        <f>nantucket[[#This Row],[MW Factor]]-resources!$B$14</f>
        <v>-16</v>
      </c>
    </row>
    <row r="385" spans="1:11" x14ac:dyDescent="0.3">
      <c r="A385" t="s">
        <v>34</v>
      </c>
      <c r="B385">
        <v>593</v>
      </c>
      <c r="C385">
        <v>17</v>
      </c>
      <c r="D385">
        <v>16255</v>
      </c>
      <c r="E385" t="s">
        <v>10</v>
      </c>
      <c r="F385">
        <v>41</v>
      </c>
      <c r="G385" s="2">
        <v>27.14</v>
      </c>
      <c r="H385" s="2">
        <v>0</v>
      </c>
      <c r="I385" s="2">
        <v>0.2</v>
      </c>
      <c r="J385" s="2">
        <v>27.34</v>
      </c>
      <c r="K385" s="5">
        <f>nantucket[[#This Row],[MW Factor]]-resources!$B$14</f>
        <v>-16</v>
      </c>
    </row>
    <row r="386" spans="1:11" x14ac:dyDescent="0.3">
      <c r="A386" t="s">
        <v>34</v>
      </c>
      <c r="B386">
        <v>598</v>
      </c>
      <c r="C386">
        <v>22</v>
      </c>
      <c r="D386">
        <v>16255</v>
      </c>
      <c r="E386" t="s">
        <v>10</v>
      </c>
      <c r="F386">
        <v>41</v>
      </c>
      <c r="G386" s="2">
        <v>26.14</v>
      </c>
      <c r="H386" s="2">
        <v>0</v>
      </c>
      <c r="I386" s="2">
        <v>0.27</v>
      </c>
      <c r="J386" s="2">
        <v>26.41</v>
      </c>
      <c r="K386" s="5">
        <f>nantucket[[#This Row],[MW Factor]]-resources!$B$14</f>
        <v>-16</v>
      </c>
    </row>
    <row r="387" spans="1:11" x14ac:dyDescent="0.3">
      <c r="A387" t="s">
        <v>35</v>
      </c>
      <c r="B387">
        <v>617</v>
      </c>
      <c r="C387">
        <v>17</v>
      </c>
      <c r="D387">
        <v>16255</v>
      </c>
      <c r="E387" t="s">
        <v>10</v>
      </c>
      <c r="F387">
        <v>41</v>
      </c>
      <c r="G387" s="2">
        <v>28.17</v>
      </c>
      <c r="H387" s="2">
        <v>0</v>
      </c>
      <c r="I387" s="2">
        <v>0.44</v>
      </c>
      <c r="J387" s="2">
        <v>28.61</v>
      </c>
      <c r="K387" s="5">
        <f>nantucket[[#This Row],[MW Factor]]-resources!$B$14</f>
        <v>-16</v>
      </c>
    </row>
    <row r="388" spans="1:11" x14ac:dyDescent="0.3">
      <c r="A388" t="s">
        <v>35</v>
      </c>
      <c r="B388">
        <v>621</v>
      </c>
      <c r="C388">
        <v>21</v>
      </c>
      <c r="D388">
        <v>16255</v>
      </c>
      <c r="E388" t="s">
        <v>10</v>
      </c>
      <c r="F388">
        <v>41</v>
      </c>
      <c r="G388" s="2">
        <v>30.81</v>
      </c>
      <c r="H388" s="2">
        <v>0</v>
      </c>
      <c r="I388" s="2">
        <v>0.67</v>
      </c>
      <c r="J388" s="2">
        <v>31.48</v>
      </c>
      <c r="K388" s="5">
        <f>nantucket[[#This Row],[MW Factor]]-resources!$B$14</f>
        <v>-16</v>
      </c>
    </row>
    <row r="389" spans="1:11" x14ac:dyDescent="0.3">
      <c r="A389" t="s">
        <v>36</v>
      </c>
      <c r="B389">
        <v>639</v>
      </c>
      <c r="C389">
        <v>15</v>
      </c>
      <c r="D389">
        <v>16255</v>
      </c>
      <c r="E389" t="s">
        <v>10</v>
      </c>
      <c r="F389">
        <v>41</v>
      </c>
      <c r="G389" s="2">
        <v>26.33</v>
      </c>
      <c r="H389" s="2">
        <v>0</v>
      </c>
      <c r="I389" s="2">
        <v>0.31</v>
      </c>
      <c r="J389" s="2">
        <v>26.64</v>
      </c>
      <c r="K389" s="5">
        <f>nantucket[[#This Row],[MW Factor]]-resources!$B$14</f>
        <v>-16</v>
      </c>
    </row>
    <row r="390" spans="1:11" x14ac:dyDescent="0.3">
      <c r="A390" t="s">
        <v>39</v>
      </c>
      <c r="B390">
        <v>709</v>
      </c>
      <c r="C390">
        <v>13</v>
      </c>
      <c r="D390">
        <v>16255</v>
      </c>
      <c r="E390" t="s">
        <v>10</v>
      </c>
      <c r="F390">
        <v>41</v>
      </c>
      <c r="G390" s="2">
        <v>36.380000000000003</v>
      </c>
      <c r="H390" s="2">
        <v>0</v>
      </c>
      <c r="I390" s="2">
        <v>0.34</v>
      </c>
      <c r="J390" s="2">
        <v>36.72</v>
      </c>
      <c r="K390" s="5">
        <f>nantucket[[#This Row],[MW Factor]]-resources!$B$14</f>
        <v>-16</v>
      </c>
    </row>
    <row r="391" spans="1:11" x14ac:dyDescent="0.3">
      <c r="A391" t="s">
        <v>39</v>
      </c>
      <c r="B391">
        <v>719</v>
      </c>
      <c r="C391">
        <v>23</v>
      </c>
      <c r="D391">
        <v>16255</v>
      </c>
      <c r="E391" t="s">
        <v>10</v>
      </c>
      <c r="F391">
        <v>41</v>
      </c>
      <c r="G391" s="2">
        <v>43.63</v>
      </c>
      <c r="H391" s="2">
        <v>0</v>
      </c>
      <c r="I391" s="2">
        <v>0.38</v>
      </c>
      <c r="J391" s="2">
        <v>44.01</v>
      </c>
      <c r="K391" s="5">
        <f>nantucket[[#This Row],[MW Factor]]-resources!$B$14</f>
        <v>-16</v>
      </c>
    </row>
    <row r="392" spans="1:11" x14ac:dyDescent="0.3">
      <c r="A392" t="s">
        <v>40</v>
      </c>
      <c r="B392">
        <v>731</v>
      </c>
      <c r="C392">
        <v>11</v>
      </c>
      <c r="D392">
        <v>16255</v>
      </c>
      <c r="E392" t="s">
        <v>10</v>
      </c>
      <c r="F392">
        <v>41</v>
      </c>
      <c r="G392" s="2">
        <v>65.92</v>
      </c>
      <c r="H392" s="2">
        <v>0</v>
      </c>
      <c r="I392" s="2">
        <v>0.86</v>
      </c>
      <c r="J392" s="2">
        <v>66.78</v>
      </c>
      <c r="K392" s="5">
        <f>nantucket[[#This Row],[MW Factor]]-resources!$B$14</f>
        <v>-16</v>
      </c>
    </row>
    <row r="393" spans="1:11" x14ac:dyDescent="0.3">
      <c r="A393" t="s">
        <v>41</v>
      </c>
      <c r="B393">
        <v>754</v>
      </c>
      <c r="C393">
        <v>10</v>
      </c>
      <c r="D393">
        <v>16255</v>
      </c>
      <c r="E393" t="s">
        <v>10</v>
      </c>
      <c r="F393">
        <v>41</v>
      </c>
      <c r="G393" s="2">
        <v>48.27</v>
      </c>
      <c r="H393" s="2">
        <v>0</v>
      </c>
      <c r="I393" s="2">
        <v>0.56000000000000005</v>
      </c>
      <c r="J393" s="2">
        <v>48.83</v>
      </c>
      <c r="K393" s="5">
        <f>nantucket[[#This Row],[MW Factor]]-resources!$B$14</f>
        <v>-16</v>
      </c>
    </row>
    <row r="394" spans="1:11" x14ac:dyDescent="0.3">
      <c r="A394" t="s">
        <v>42</v>
      </c>
      <c r="B394">
        <v>778</v>
      </c>
      <c r="C394">
        <v>10</v>
      </c>
      <c r="D394">
        <v>16255</v>
      </c>
      <c r="E394" t="s">
        <v>10</v>
      </c>
      <c r="F394">
        <v>41</v>
      </c>
      <c r="G394" s="2">
        <v>29.26</v>
      </c>
      <c r="H394" s="2">
        <v>0</v>
      </c>
      <c r="I394" s="2">
        <v>0.26</v>
      </c>
      <c r="J394" s="2">
        <v>29.52</v>
      </c>
      <c r="K394" s="5">
        <f>nantucket[[#This Row],[MW Factor]]-resources!$B$14</f>
        <v>-16</v>
      </c>
    </row>
    <row r="395" spans="1:11" x14ac:dyDescent="0.3">
      <c r="A395" t="s">
        <v>43</v>
      </c>
      <c r="B395">
        <v>802</v>
      </c>
      <c r="C395">
        <v>10</v>
      </c>
      <c r="D395">
        <v>16255</v>
      </c>
      <c r="E395" t="s">
        <v>10</v>
      </c>
      <c r="F395">
        <v>41</v>
      </c>
      <c r="G395" s="2">
        <v>35.72</v>
      </c>
      <c r="H395" s="2">
        <v>0</v>
      </c>
      <c r="I395" s="2">
        <v>0.54</v>
      </c>
      <c r="J395" s="2">
        <v>36.26</v>
      </c>
      <c r="K395" s="5">
        <f>nantucket[[#This Row],[MW Factor]]-resources!$B$14</f>
        <v>-16</v>
      </c>
    </row>
    <row r="396" spans="1:11" x14ac:dyDescent="0.3">
      <c r="A396" t="s">
        <v>44</v>
      </c>
      <c r="B396">
        <v>826</v>
      </c>
      <c r="C396">
        <v>10</v>
      </c>
      <c r="D396">
        <v>16255</v>
      </c>
      <c r="E396" t="s">
        <v>10</v>
      </c>
      <c r="F396">
        <v>41</v>
      </c>
      <c r="G396" s="2">
        <v>27.22</v>
      </c>
      <c r="H396" s="2">
        <v>0</v>
      </c>
      <c r="I396" s="2">
        <v>0.34</v>
      </c>
      <c r="J396" s="2">
        <v>27.56</v>
      </c>
      <c r="K396" s="5">
        <f>nantucket[[#This Row],[MW Factor]]-resources!$B$14</f>
        <v>-16</v>
      </c>
    </row>
    <row r="397" spans="1:11" x14ac:dyDescent="0.3">
      <c r="A397" t="s">
        <v>46</v>
      </c>
      <c r="B397">
        <v>880</v>
      </c>
      <c r="C397">
        <v>16</v>
      </c>
      <c r="D397">
        <v>16255</v>
      </c>
      <c r="E397" t="s">
        <v>10</v>
      </c>
      <c r="F397">
        <v>41</v>
      </c>
      <c r="G397" s="2">
        <v>33.31</v>
      </c>
      <c r="H397" s="2">
        <v>0</v>
      </c>
      <c r="I397" s="2">
        <v>0.24</v>
      </c>
      <c r="J397" s="2">
        <v>33.549999999999997</v>
      </c>
      <c r="K397" s="5">
        <f>nantucket[[#This Row],[MW Factor]]-resources!$B$14</f>
        <v>-16</v>
      </c>
    </row>
    <row r="398" spans="1:11" x14ac:dyDescent="0.3">
      <c r="A398" t="s">
        <v>46</v>
      </c>
      <c r="B398">
        <v>883</v>
      </c>
      <c r="C398">
        <v>19</v>
      </c>
      <c r="D398">
        <v>16255</v>
      </c>
      <c r="E398" t="s">
        <v>10</v>
      </c>
      <c r="F398">
        <v>41</v>
      </c>
      <c r="G398" s="2">
        <v>38.28</v>
      </c>
      <c r="H398" s="2">
        <v>0</v>
      </c>
      <c r="I398" s="2">
        <v>0.46</v>
      </c>
      <c r="J398" s="2">
        <v>38.74</v>
      </c>
      <c r="K398" s="5">
        <f>nantucket[[#This Row],[MW Factor]]-resources!$B$14</f>
        <v>-16</v>
      </c>
    </row>
    <row r="399" spans="1:11" x14ac:dyDescent="0.3">
      <c r="A399" t="s">
        <v>51</v>
      </c>
      <c r="B399">
        <v>996</v>
      </c>
      <c r="C399">
        <v>12</v>
      </c>
      <c r="D399">
        <v>16255</v>
      </c>
      <c r="E399" t="s">
        <v>10</v>
      </c>
      <c r="F399">
        <v>41</v>
      </c>
      <c r="G399" s="2">
        <v>22.37</v>
      </c>
      <c r="H399" s="2">
        <v>0</v>
      </c>
      <c r="I399" s="2">
        <v>0.4</v>
      </c>
      <c r="J399" s="2">
        <v>22.77</v>
      </c>
      <c r="K399" s="5">
        <f>nantucket[[#This Row],[MW Factor]]-resources!$B$14</f>
        <v>-16</v>
      </c>
    </row>
    <row r="400" spans="1:11" x14ac:dyDescent="0.3">
      <c r="A400" t="s">
        <v>51</v>
      </c>
      <c r="B400">
        <v>999</v>
      </c>
      <c r="C400">
        <v>15</v>
      </c>
      <c r="D400">
        <v>16255</v>
      </c>
      <c r="E400" t="s">
        <v>10</v>
      </c>
      <c r="F400">
        <v>41</v>
      </c>
      <c r="G400" s="2">
        <v>26.77</v>
      </c>
      <c r="H400" s="2">
        <v>0</v>
      </c>
      <c r="I400" s="2">
        <v>0.53</v>
      </c>
      <c r="J400" s="2">
        <v>27.3</v>
      </c>
      <c r="K400" s="5">
        <f>nantucket[[#This Row],[MW Factor]]-resources!$B$14</f>
        <v>-16</v>
      </c>
    </row>
    <row r="401" spans="1:11" x14ac:dyDescent="0.3">
      <c r="A401" t="s">
        <v>51</v>
      </c>
      <c r="B401">
        <v>1006</v>
      </c>
      <c r="C401">
        <v>22</v>
      </c>
      <c r="D401">
        <v>16255</v>
      </c>
      <c r="E401" t="s">
        <v>10</v>
      </c>
      <c r="F401">
        <v>41</v>
      </c>
      <c r="G401" s="2">
        <v>30.81</v>
      </c>
      <c r="H401" s="2">
        <v>0</v>
      </c>
      <c r="I401" s="2">
        <v>0.56999999999999995</v>
      </c>
      <c r="J401" s="2">
        <v>31.38</v>
      </c>
      <c r="K401" s="5">
        <f>nantucket[[#This Row],[MW Factor]]-resources!$B$14</f>
        <v>-16</v>
      </c>
    </row>
    <row r="402" spans="1:11" x14ac:dyDescent="0.3">
      <c r="A402" t="s">
        <v>52</v>
      </c>
      <c r="B402">
        <v>1025</v>
      </c>
      <c r="C402">
        <v>17</v>
      </c>
      <c r="D402">
        <v>16255</v>
      </c>
      <c r="E402" t="s">
        <v>10</v>
      </c>
      <c r="F402">
        <v>41</v>
      </c>
      <c r="G402" s="2">
        <v>24.22</v>
      </c>
      <c r="H402" s="2">
        <v>0</v>
      </c>
      <c r="I402" s="2">
        <v>0.43</v>
      </c>
      <c r="J402" s="2">
        <v>24.65</v>
      </c>
      <c r="K402" s="5">
        <f>nantucket[[#This Row],[MW Factor]]-resources!$B$14</f>
        <v>-16</v>
      </c>
    </row>
    <row r="403" spans="1:11" x14ac:dyDescent="0.3">
      <c r="A403" t="s">
        <v>53</v>
      </c>
      <c r="B403">
        <v>1053</v>
      </c>
      <c r="C403">
        <v>21</v>
      </c>
      <c r="D403">
        <v>16255</v>
      </c>
      <c r="E403" t="s">
        <v>10</v>
      </c>
      <c r="F403">
        <v>41</v>
      </c>
      <c r="G403" s="2">
        <v>48.85</v>
      </c>
      <c r="H403" s="2">
        <v>0</v>
      </c>
      <c r="I403" s="2">
        <v>0.92</v>
      </c>
      <c r="J403" s="2">
        <v>49.77</v>
      </c>
      <c r="K403" s="5">
        <f>nantucket[[#This Row],[MW Factor]]-resources!$B$14</f>
        <v>-16</v>
      </c>
    </row>
    <row r="404" spans="1:11" x14ac:dyDescent="0.3">
      <c r="A404" t="s">
        <v>53</v>
      </c>
      <c r="B404">
        <v>1054</v>
      </c>
      <c r="C404">
        <v>22</v>
      </c>
      <c r="D404">
        <v>16255</v>
      </c>
      <c r="E404" t="s">
        <v>10</v>
      </c>
      <c r="F404">
        <v>41</v>
      </c>
      <c r="G404" s="2">
        <v>30.22</v>
      </c>
      <c r="H404" s="2">
        <v>0</v>
      </c>
      <c r="I404" s="2">
        <v>0.56999999999999995</v>
      </c>
      <c r="J404" s="2">
        <v>30.79</v>
      </c>
      <c r="K404" s="5">
        <f>nantucket[[#This Row],[MW Factor]]-resources!$B$14</f>
        <v>-16</v>
      </c>
    </row>
    <row r="405" spans="1:11" x14ac:dyDescent="0.3">
      <c r="A405" t="s">
        <v>54</v>
      </c>
      <c r="B405">
        <v>1071</v>
      </c>
      <c r="C405">
        <v>15</v>
      </c>
      <c r="D405">
        <v>16255</v>
      </c>
      <c r="E405" t="s">
        <v>10</v>
      </c>
      <c r="F405">
        <v>41</v>
      </c>
      <c r="G405" s="2">
        <v>27.56</v>
      </c>
      <c r="H405" s="2">
        <v>0</v>
      </c>
      <c r="I405" s="2">
        <v>0.27</v>
      </c>
      <c r="J405" s="2">
        <v>27.83</v>
      </c>
      <c r="K405" s="5">
        <f>nantucket[[#This Row],[MW Factor]]-resources!$B$14</f>
        <v>-16</v>
      </c>
    </row>
    <row r="406" spans="1:11" x14ac:dyDescent="0.3">
      <c r="A406" t="s">
        <v>54</v>
      </c>
      <c r="B406">
        <v>1072</v>
      </c>
      <c r="C406">
        <v>16</v>
      </c>
      <c r="D406">
        <v>16255</v>
      </c>
      <c r="E406" t="s">
        <v>10</v>
      </c>
      <c r="F406">
        <v>41</v>
      </c>
      <c r="G406" s="2">
        <v>34.72</v>
      </c>
      <c r="H406" s="2">
        <v>0</v>
      </c>
      <c r="I406" s="2">
        <v>0.43</v>
      </c>
      <c r="J406" s="2">
        <v>35.15</v>
      </c>
      <c r="K406" s="5">
        <f>nantucket[[#This Row],[MW Factor]]-resources!$B$14</f>
        <v>-16</v>
      </c>
    </row>
    <row r="407" spans="1:11" x14ac:dyDescent="0.3">
      <c r="A407" t="s">
        <v>54</v>
      </c>
      <c r="B407">
        <v>1078</v>
      </c>
      <c r="C407">
        <v>22</v>
      </c>
      <c r="D407">
        <v>16255</v>
      </c>
      <c r="E407" t="s">
        <v>10</v>
      </c>
      <c r="F407">
        <v>41</v>
      </c>
      <c r="G407" s="2">
        <v>32.31</v>
      </c>
      <c r="H407" s="2">
        <v>0</v>
      </c>
      <c r="I407" s="2">
        <v>0.51</v>
      </c>
      <c r="J407" s="2">
        <v>32.82</v>
      </c>
      <c r="K407" s="5">
        <f>nantucket[[#This Row],[MW Factor]]-resources!$B$14</f>
        <v>-16</v>
      </c>
    </row>
    <row r="408" spans="1:11" x14ac:dyDescent="0.3">
      <c r="A408" t="s">
        <v>55</v>
      </c>
      <c r="B408">
        <v>1096</v>
      </c>
      <c r="C408">
        <v>16</v>
      </c>
      <c r="D408">
        <v>16255</v>
      </c>
      <c r="E408" t="s">
        <v>10</v>
      </c>
      <c r="F408">
        <v>41</v>
      </c>
      <c r="G408" s="2">
        <v>39.880000000000003</v>
      </c>
      <c r="H408" s="2">
        <v>0</v>
      </c>
      <c r="I408" s="2">
        <v>0.47</v>
      </c>
      <c r="J408" s="2">
        <v>40.35</v>
      </c>
      <c r="K408" s="5">
        <f>nantucket[[#This Row],[MW Factor]]-resources!$B$14</f>
        <v>-16</v>
      </c>
    </row>
    <row r="409" spans="1:11" x14ac:dyDescent="0.3">
      <c r="A409" t="s">
        <v>56</v>
      </c>
      <c r="B409">
        <v>1123</v>
      </c>
      <c r="C409">
        <v>19</v>
      </c>
      <c r="D409">
        <v>16255</v>
      </c>
      <c r="E409" t="s">
        <v>10</v>
      </c>
      <c r="F409">
        <v>41</v>
      </c>
      <c r="G409" s="2">
        <v>25.22</v>
      </c>
      <c r="H409" s="2">
        <v>0</v>
      </c>
      <c r="I409" s="2">
        <v>0.15</v>
      </c>
      <c r="J409" s="2">
        <v>25.37</v>
      </c>
      <c r="K409" s="5">
        <f>nantucket[[#This Row],[MW Factor]]-resources!$B$14</f>
        <v>-16</v>
      </c>
    </row>
    <row r="410" spans="1:11" x14ac:dyDescent="0.3">
      <c r="A410" t="s">
        <v>59</v>
      </c>
      <c r="B410">
        <v>1189</v>
      </c>
      <c r="C410">
        <v>13</v>
      </c>
      <c r="D410">
        <v>16255</v>
      </c>
      <c r="E410" t="s">
        <v>10</v>
      </c>
      <c r="F410">
        <v>41</v>
      </c>
      <c r="G410" s="2">
        <v>37.909999999999997</v>
      </c>
      <c r="H410" s="2">
        <v>0</v>
      </c>
      <c r="I410" s="2">
        <v>0.35</v>
      </c>
      <c r="J410" s="2">
        <v>38.26</v>
      </c>
      <c r="K410" s="5">
        <f>nantucket[[#This Row],[MW Factor]]-resources!$B$14</f>
        <v>-16</v>
      </c>
    </row>
    <row r="411" spans="1:11" x14ac:dyDescent="0.3">
      <c r="A411" t="s">
        <v>59</v>
      </c>
      <c r="B411">
        <v>1194</v>
      </c>
      <c r="C411">
        <v>18</v>
      </c>
      <c r="D411">
        <v>16255</v>
      </c>
      <c r="E411" t="s">
        <v>10</v>
      </c>
      <c r="F411">
        <v>41</v>
      </c>
      <c r="G411" s="2">
        <v>37.53</v>
      </c>
      <c r="H411" s="2">
        <v>0</v>
      </c>
      <c r="I411" s="2">
        <v>0.35</v>
      </c>
      <c r="J411" s="2">
        <v>37.880000000000003</v>
      </c>
      <c r="K411" s="5">
        <f>nantucket[[#This Row],[MW Factor]]-resources!$B$14</f>
        <v>-16</v>
      </c>
    </row>
    <row r="412" spans="1:11" x14ac:dyDescent="0.3">
      <c r="A412" t="s">
        <v>59</v>
      </c>
      <c r="B412">
        <v>1198</v>
      </c>
      <c r="C412">
        <v>22</v>
      </c>
      <c r="D412">
        <v>16255</v>
      </c>
      <c r="E412" t="s">
        <v>10</v>
      </c>
      <c r="F412">
        <v>41</v>
      </c>
      <c r="G412" s="2">
        <v>37.270000000000003</v>
      </c>
      <c r="H412" s="2">
        <v>0</v>
      </c>
      <c r="I412" s="2">
        <v>0.52</v>
      </c>
      <c r="J412" s="2">
        <v>37.79</v>
      </c>
      <c r="K412" s="5">
        <f>nantucket[[#This Row],[MW Factor]]-resources!$B$14</f>
        <v>-16</v>
      </c>
    </row>
    <row r="413" spans="1:11" x14ac:dyDescent="0.3">
      <c r="A413" t="s">
        <v>63</v>
      </c>
      <c r="B413">
        <v>1292</v>
      </c>
      <c r="C413">
        <v>20</v>
      </c>
      <c r="D413">
        <v>16255</v>
      </c>
      <c r="E413" t="s">
        <v>10</v>
      </c>
      <c r="F413">
        <v>41</v>
      </c>
      <c r="G413" s="2">
        <v>39.619999999999997</v>
      </c>
      <c r="H413" s="2">
        <v>0</v>
      </c>
      <c r="I413" s="2">
        <v>0.96</v>
      </c>
      <c r="J413" s="2">
        <v>40.58</v>
      </c>
      <c r="K413" s="5">
        <f>nantucket[[#This Row],[MW Factor]]-resources!$B$14</f>
        <v>-16</v>
      </c>
    </row>
    <row r="414" spans="1:11" x14ac:dyDescent="0.3">
      <c r="A414" t="s">
        <v>64</v>
      </c>
      <c r="B414">
        <v>1316</v>
      </c>
      <c r="C414">
        <v>20</v>
      </c>
      <c r="D414">
        <v>16255</v>
      </c>
      <c r="E414" t="s">
        <v>10</v>
      </c>
      <c r="F414">
        <v>41</v>
      </c>
      <c r="G414" s="2">
        <v>35.04</v>
      </c>
      <c r="H414" s="2">
        <v>0</v>
      </c>
      <c r="I414" s="2">
        <v>0.88</v>
      </c>
      <c r="J414" s="2">
        <v>35.92</v>
      </c>
      <c r="K414" s="5">
        <f>nantucket[[#This Row],[MW Factor]]-resources!$B$14</f>
        <v>-16</v>
      </c>
    </row>
    <row r="415" spans="1:11" x14ac:dyDescent="0.3">
      <c r="A415" t="s">
        <v>65</v>
      </c>
      <c r="B415">
        <v>1340</v>
      </c>
      <c r="C415">
        <v>20</v>
      </c>
      <c r="D415">
        <v>16255</v>
      </c>
      <c r="E415" t="s">
        <v>10</v>
      </c>
      <c r="F415">
        <v>41</v>
      </c>
      <c r="G415" s="2">
        <v>62.81</v>
      </c>
      <c r="H415" s="2">
        <v>0</v>
      </c>
      <c r="I415" s="2">
        <v>0.84</v>
      </c>
      <c r="J415" s="2">
        <v>63.65</v>
      </c>
      <c r="K415" s="5">
        <f>nantucket[[#This Row],[MW Factor]]-resources!$B$14</f>
        <v>-16</v>
      </c>
    </row>
    <row r="416" spans="1:11" x14ac:dyDescent="0.3">
      <c r="A416" t="s">
        <v>68</v>
      </c>
      <c r="B416">
        <v>1409</v>
      </c>
      <c r="C416">
        <v>17</v>
      </c>
      <c r="D416">
        <v>16255</v>
      </c>
      <c r="E416" t="s">
        <v>10</v>
      </c>
      <c r="F416">
        <v>41</v>
      </c>
      <c r="G416" s="2">
        <v>36.090000000000003</v>
      </c>
      <c r="H416" s="2">
        <v>0.01</v>
      </c>
      <c r="I416" s="2">
        <v>0.53</v>
      </c>
      <c r="J416" s="2">
        <v>36.630000000000003</v>
      </c>
      <c r="K416" s="5">
        <f>nantucket[[#This Row],[MW Factor]]-resources!$B$14</f>
        <v>-16</v>
      </c>
    </row>
    <row r="417" spans="1:11" x14ac:dyDescent="0.3">
      <c r="A417" t="s">
        <v>71</v>
      </c>
      <c r="B417">
        <v>1483</v>
      </c>
      <c r="C417">
        <v>19</v>
      </c>
      <c r="D417">
        <v>16255</v>
      </c>
      <c r="E417" t="s">
        <v>10</v>
      </c>
      <c r="F417">
        <v>41</v>
      </c>
      <c r="G417" s="2">
        <v>38.31</v>
      </c>
      <c r="H417" s="2">
        <v>0</v>
      </c>
      <c r="I417" s="2">
        <v>0.93</v>
      </c>
      <c r="J417" s="2">
        <v>39.24</v>
      </c>
      <c r="K417" s="5">
        <f>nantucket[[#This Row],[MW Factor]]-resources!$B$14</f>
        <v>-16</v>
      </c>
    </row>
    <row r="418" spans="1:11" x14ac:dyDescent="0.3">
      <c r="A418" t="s">
        <v>11</v>
      </c>
      <c r="B418">
        <v>44</v>
      </c>
      <c r="C418">
        <v>20</v>
      </c>
      <c r="D418">
        <v>16255</v>
      </c>
      <c r="E418" t="s">
        <v>10</v>
      </c>
      <c r="F418">
        <v>40</v>
      </c>
      <c r="G418" s="2">
        <v>48.74</v>
      </c>
      <c r="H418" s="2">
        <v>0</v>
      </c>
      <c r="I418" s="2">
        <v>1.1100000000000001</v>
      </c>
      <c r="J418" s="2">
        <v>49.85</v>
      </c>
      <c r="K418" s="5">
        <f>nantucket[[#This Row],[MW Factor]]-resources!$B$14</f>
        <v>-17</v>
      </c>
    </row>
    <row r="419" spans="1:11" x14ac:dyDescent="0.3">
      <c r="A419" t="s">
        <v>13</v>
      </c>
      <c r="B419">
        <v>91</v>
      </c>
      <c r="C419">
        <v>19</v>
      </c>
      <c r="D419">
        <v>16255</v>
      </c>
      <c r="E419" t="s">
        <v>10</v>
      </c>
      <c r="F419">
        <v>40</v>
      </c>
      <c r="G419" s="2">
        <v>37.81</v>
      </c>
      <c r="H419" s="2">
        <v>0</v>
      </c>
      <c r="I419" s="2">
        <v>0.47</v>
      </c>
      <c r="J419" s="2">
        <v>38.28</v>
      </c>
      <c r="K419" s="5">
        <f>nantucket[[#This Row],[MW Factor]]-resources!$B$14</f>
        <v>-17</v>
      </c>
    </row>
    <row r="420" spans="1:11" x14ac:dyDescent="0.3">
      <c r="A420" t="s">
        <v>13</v>
      </c>
      <c r="B420">
        <v>92</v>
      </c>
      <c r="C420">
        <v>20</v>
      </c>
      <c r="D420">
        <v>16255</v>
      </c>
      <c r="E420" t="s">
        <v>10</v>
      </c>
      <c r="F420">
        <v>40</v>
      </c>
      <c r="G420" s="2">
        <v>34.659999999999997</v>
      </c>
      <c r="H420" s="2">
        <v>0</v>
      </c>
      <c r="I420" s="2">
        <v>0.41</v>
      </c>
      <c r="J420" s="2">
        <v>35.07</v>
      </c>
      <c r="K420" s="5">
        <f>nantucket[[#This Row],[MW Factor]]-resources!$B$14</f>
        <v>-17</v>
      </c>
    </row>
    <row r="421" spans="1:11" x14ac:dyDescent="0.3">
      <c r="A421" t="s">
        <v>14</v>
      </c>
      <c r="B421">
        <v>111</v>
      </c>
      <c r="C421">
        <v>15</v>
      </c>
      <c r="D421">
        <v>16255</v>
      </c>
      <c r="E421" t="s">
        <v>10</v>
      </c>
      <c r="F421">
        <v>40</v>
      </c>
      <c r="G421" s="2">
        <v>41.94</v>
      </c>
      <c r="H421" s="2">
        <v>0</v>
      </c>
      <c r="I421" s="2">
        <v>0</v>
      </c>
      <c r="J421" s="2">
        <v>41.94</v>
      </c>
      <c r="K421" s="5">
        <f>nantucket[[#This Row],[MW Factor]]-resources!$B$14</f>
        <v>-17</v>
      </c>
    </row>
    <row r="422" spans="1:11" x14ac:dyDescent="0.3">
      <c r="A422" t="s">
        <v>14</v>
      </c>
      <c r="B422">
        <v>118</v>
      </c>
      <c r="C422">
        <v>22</v>
      </c>
      <c r="D422">
        <v>16255</v>
      </c>
      <c r="E422" t="s">
        <v>10</v>
      </c>
      <c r="F422">
        <v>40</v>
      </c>
      <c r="G422" s="2">
        <v>45.54</v>
      </c>
      <c r="H422" s="2">
        <v>0</v>
      </c>
      <c r="I422" s="2">
        <v>0.19</v>
      </c>
      <c r="J422" s="2">
        <v>45.73</v>
      </c>
      <c r="K422" s="5">
        <f>nantucket[[#This Row],[MW Factor]]-resources!$B$14</f>
        <v>-17</v>
      </c>
    </row>
    <row r="423" spans="1:11" x14ac:dyDescent="0.3">
      <c r="A423" t="s">
        <v>15</v>
      </c>
      <c r="B423">
        <v>133</v>
      </c>
      <c r="C423">
        <v>13</v>
      </c>
      <c r="D423">
        <v>16255</v>
      </c>
      <c r="E423" t="s">
        <v>10</v>
      </c>
      <c r="F423">
        <v>40</v>
      </c>
      <c r="G423" s="2">
        <v>26.5</v>
      </c>
      <c r="H423" s="2">
        <v>0</v>
      </c>
      <c r="I423" s="2">
        <v>0.37</v>
      </c>
      <c r="J423" s="2">
        <v>26.87</v>
      </c>
      <c r="K423" s="5">
        <f>nantucket[[#This Row],[MW Factor]]-resources!$B$14</f>
        <v>-17</v>
      </c>
    </row>
    <row r="424" spans="1:11" x14ac:dyDescent="0.3">
      <c r="A424" t="s">
        <v>15</v>
      </c>
      <c r="B424">
        <v>134</v>
      </c>
      <c r="C424">
        <v>14</v>
      </c>
      <c r="D424">
        <v>16255</v>
      </c>
      <c r="E424" t="s">
        <v>10</v>
      </c>
      <c r="F424">
        <v>40</v>
      </c>
      <c r="G424" s="2">
        <v>37.17</v>
      </c>
      <c r="H424" s="2">
        <v>0</v>
      </c>
      <c r="I424" s="2">
        <v>0.46</v>
      </c>
      <c r="J424" s="2">
        <v>37.630000000000003</v>
      </c>
      <c r="K424" s="5">
        <f>nantucket[[#This Row],[MW Factor]]-resources!$B$14</f>
        <v>-17</v>
      </c>
    </row>
    <row r="425" spans="1:11" x14ac:dyDescent="0.3">
      <c r="A425" t="s">
        <v>15</v>
      </c>
      <c r="B425">
        <v>136</v>
      </c>
      <c r="C425">
        <v>16</v>
      </c>
      <c r="D425">
        <v>16255</v>
      </c>
      <c r="E425" t="s">
        <v>10</v>
      </c>
      <c r="F425">
        <v>40</v>
      </c>
      <c r="G425" s="2">
        <v>32.53</v>
      </c>
      <c r="H425" s="2">
        <v>0</v>
      </c>
      <c r="I425" s="2">
        <v>0.25</v>
      </c>
      <c r="J425" s="2">
        <v>32.78</v>
      </c>
      <c r="K425" s="5">
        <f>nantucket[[#This Row],[MW Factor]]-resources!$B$14</f>
        <v>-17</v>
      </c>
    </row>
    <row r="426" spans="1:11" x14ac:dyDescent="0.3">
      <c r="A426" t="s">
        <v>16</v>
      </c>
      <c r="B426">
        <v>156</v>
      </c>
      <c r="C426">
        <v>12</v>
      </c>
      <c r="D426">
        <v>16255</v>
      </c>
      <c r="E426" t="s">
        <v>10</v>
      </c>
      <c r="F426">
        <v>40</v>
      </c>
      <c r="G426" s="2">
        <v>24.24</v>
      </c>
      <c r="H426" s="2">
        <v>0</v>
      </c>
      <c r="I426" s="2">
        <v>0.35</v>
      </c>
      <c r="J426" s="2">
        <v>24.59</v>
      </c>
      <c r="K426" s="5">
        <f>nantucket[[#This Row],[MW Factor]]-resources!$B$14</f>
        <v>-17</v>
      </c>
    </row>
    <row r="427" spans="1:11" x14ac:dyDescent="0.3">
      <c r="A427" t="s">
        <v>17</v>
      </c>
      <c r="B427">
        <v>179</v>
      </c>
      <c r="C427">
        <v>11</v>
      </c>
      <c r="D427">
        <v>16255</v>
      </c>
      <c r="E427" t="s">
        <v>10</v>
      </c>
      <c r="F427">
        <v>40</v>
      </c>
      <c r="G427" s="2">
        <v>43.37</v>
      </c>
      <c r="H427" s="2">
        <v>0</v>
      </c>
      <c r="I427" s="2">
        <v>0.49</v>
      </c>
      <c r="J427" s="2">
        <v>43.86</v>
      </c>
      <c r="K427" s="5">
        <f>nantucket[[#This Row],[MW Factor]]-resources!$B$14</f>
        <v>-17</v>
      </c>
    </row>
    <row r="428" spans="1:11" x14ac:dyDescent="0.3">
      <c r="A428" t="s">
        <v>20</v>
      </c>
      <c r="B428">
        <v>264</v>
      </c>
      <c r="C428">
        <v>24</v>
      </c>
      <c r="D428">
        <v>16255</v>
      </c>
      <c r="E428" t="s">
        <v>10</v>
      </c>
      <c r="F428">
        <v>40</v>
      </c>
      <c r="G428" s="2">
        <v>31.13</v>
      </c>
      <c r="H428" s="2">
        <v>0</v>
      </c>
      <c r="I428" s="2">
        <v>0.32</v>
      </c>
      <c r="J428" s="2">
        <v>31.45</v>
      </c>
      <c r="K428" s="5">
        <f>nantucket[[#This Row],[MW Factor]]-resources!$B$14</f>
        <v>-17</v>
      </c>
    </row>
    <row r="429" spans="1:11" x14ac:dyDescent="0.3">
      <c r="A429" t="s">
        <v>22</v>
      </c>
      <c r="B429">
        <v>311</v>
      </c>
      <c r="C429">
        <v>23</v>
      </c>
      <c r="D429">
        <v>16255</v>
      </c>
      <c r="E429" t="s">
        <v>10</v>
      </c>
      <c r="F429">
        <v>40</v>
      </c>
      <c r="G429" s="2">
        <v>42.38</v>
      </c>
      <c r="H429" s="2">
        <v>0</v>
      </c>
      <c r="I429" s="2">
        <v>0.81</v>
      </c>
      <c r="J429" s="2">
        <v>43.19</v>
      </c>
      <c r="K429" s="5">
        <f>nantucket[[#This Row],[MW Factor]]-resources!$B$14</f>
        <v>-17</v>
      </c>
    </row>
    <row r="430" spans="1:11" x14ac:dyDescent="0.3">
      <c r="A430" t="s">
        <v>26</v>
      </c>
      <c r="B430">
        <v>393</v>
      </c>
      <c r="C430">
        <v>9</v>
      </c>
      <c r="D430">
        <v>16255</v>
      </c>
      <c r="E430" t="s">
        <v>10</v>
      </c>
      <c r="F430">
        <v>40</v>
      </c>
      <c r="G430" s="2">
        <v>27.35</v>
      </c>
      <c r="H430" s="2">
        <v>0</v>
      </c>
      <c r="I430" s="2">
        <v>0.34</v>
      </c>
      <c r="J430" s="2">
        <v>27.69</v>
      </c>
      <c r="K430" s="5">
        <f>nantucket[[#This Row],[MW Factor]]-resources!$B$14</f>
        <v>-17</v>
      </c>
    </row>
    <row r="431" spans="1:11" x14ac:dyDescent="0.3">
      <c r="A431" t="s">
        <v>28</v>
      </c>
      <c r="B431">
        <v>448</v>
      </c>
      <c r="C431">
        <v>16</v>
      </c>
      <c r="D431">
        <v>16255</v>
      </c>
      <c r="E431" t="s">
        <v>10</v>
      </c>
      <c r="F431">
        <v>40</v>
      </c>
      <c r="G431" s="2">
        <v>24.27</v>
      </c>
      <c r="H431" s="2">
        <v>0</v>
      </c>
      <c r="I431" s="2">
        <v>0.31</v>
      </c>
      <c r="J431" s="2">
        <v>24.58</v>
      </c>
      <c r="K431" s="5">
        <f>nantucket[[#This Row],[MW Factor]]-resources!$B$14</f>
        <v>-17</v>
      </c>
    </row>
    <row r="432" spans="1:11" x14ac:dyDescent="0.3">
      <c r="A432" t="s">
        <v>29</v>
      </c>
      <c r="B432">
        <v>468</v>
      </c>
      <c r="C432">
        <v>12</v>
      </c>
      <c r="D432">
        <v>16255</v>
      </c>
      <c r="E432" t="s">
        <v>10</v>
      </c>
      <c r="F432">
        <v>40</v>
      </c>
      <c r="G432" s="2">
        <v>27.44</v>
      </c>
      <c r="H432" s="2">
        <v>0</v>
      </c>
      <c r="I432" s="2">
        <v>0.43</v>
      </c>
      <c r="J432" s="2">
        <v>27.87</v>
      </c>
      <c r="K432" s="5">
        <f>nantucket[[#This Row],[MW Factor]]-resources!$B$14</f>
        <v>-17</v>
      </c>
    </row>
    <row r="433" spans="1:11" x14ac:dyDescent="0.3">
      <c r="A433" t="s">
        <v>29</v>
      </c>
      <c r="B433">
        <v>479</v>
      </c>
      <c r="C433">
        <v>23</v>
      </c>
      <c r="D433">
        <v>16255</v>
      </c>
      <c r="E433" t="s">
        <v>10</v>
      </c>
      <c r="F433">
        <v>40</v>
      </c>
      <c r="G433" s="2">
        <v>41.12</v>
      </c>
      <c r="H433" s="2">
        <v>0</v>
      </c>
      <c r="I433" s="2">
        <v>0.8</v>
      </c>
      <c r="J433" s="2">
        <v>41.92</v>
      </c>
      <c r="K433" s="5">
        <f>nantucket[[#This Row],[MW Factor]]-resources!$B$14</f>
        <v>-17</v>
      </c>
    </row>
    <row r="434" spans="1:11" x14ac:dyDescent="0.3">
      <c r="A434" t="s">
        <v>31</v>
      </c>
      <c r="B434">
        <v>516</v>
      </c>
      <c r="C434">
        <v>12</v>
      </c>
      <c r="D434">
        <v>16255</v>
      </c>
      <c r="E434" t="s">
        <v>10</v>
      </c>
      <c r="F434">
        <v>40</v>
      </c>
      <c r="G434" s="2">
        <v>54.65</v>
      </c>
      <c r="H434" s="2">
        <v>0</v>
      </c>
      <c r="I434" s="2">
        <v>0.55000000000000004</v>
      </c>
      <c r="J434" s="2">
        <v>55.2</v>
      </c>
      <c r="K434" s="5">
        <f>nantucket[[#This Row],[MW Factor]]-resources!$B$14</f>
        <v>-17</v>
      </c>
    </row>
    <row r="435" spans="1:11" x14ac:dyDescent="0.3">
      <c r="A435" t="s">
        <v>32</v>
      </c>
      <c r="B435">
        <v>545</v>
      </c>
      <c r="C435">
        <v>17</v>
      </c>
      <c r="D435">
        <v>16255</v>
      </c>
      <c r="E435" t="s">
        <v>10</v>
      </c>
      <c r="F435">
        <v>40</v>
      </c>
      <c r="G435" s="2">
        <v>27.38</v>
      </c>
      <c r="H435" s="2">
        <v>0</v>
      </c>
      <c r="I435" s="2">
        <v>0.21</v>
      </c>
      <c r="J435" s="2">
        <v>27.59</v>
      </c>
      <c r="K435" s="5">
        <f>nantucket[[#This Row],[MW Factor]]-resources!$B$14</f>
        <v>-17</v>
      </c>
    </row>
    <row r="436" spans="1:11" x14ac:dyDescent="0.3">
      <c r="A436" t="s">
        <v>34</v>
      </c>
      <c r="B436">
        <v>592</v>
      </c>
      <c r="C436">
        <v>16</v>
      </c>
      <c r="D436">
        <v>16255</v>
      </c>
      <c r="E436" t="s">
        <v>10</v>
      </c>
      <c r="F436">
        <v>40</v>
      </c>
      <c r="G436" s="2">
        <v>29.36</v>
      </c>
      <c r="H436" s="2">
        <v>0</v>
      </c>
      <c r="I436" s="2">
        <v>0.18</v>
      </c>
      <c r="J436" s="2">
        <v>29.54</v>
      </c>
      <c r="K436" s="5">
        <f>nantucket[[#This Row],[MW Factor]]-resources!$B$14</f>
        <v>-17</v>
      </c>
    </row>
    <row r="437" spans="1:11" x14ac:dyDescent="0.3">
      <c r="A437" t="s">
        <v>35</v>
      </c>
      <c r="B437">
        <v>622</v>
      </c>
      <c r="C437">
        <v>22</v>
      </c>
      <c r="D437">
        <v>16255</v>
      </c>
      <c r="E437" t="s">
        <v>10</v>
      </c>
      <c r="F437">
        <v>40</v>
      </c>
      <c r="G437" s="2">
        <v>35.15</v>
      </c>
      <c r="H437" s="2">
        <v>0</v>
      </c>
      <c r="I437" s="2">
        <v>0.72</v>
      </c>
      <c r="J437" s="2">
        <v>35.869999999999997</v>
      </c>
      <c r="K437" s="5">
        <f>nantucket[[#This Row],[MW Factor]]-resources!$B$14</f>
        <v>-17</v>
      </c>
    </row>
    <row r="438" spans="1:11" x14ac:dyDescent="0.3">
      <c r="A438" t="s">
        <v>36</v>
      </c>
      <c r="B438">
        <v>637</v>
      </c>
      <c r="C438">
        <v>13</v>
      </c>
      <c r="D438">
        <v>16255</v>
      </c>
      <c r="E438" t="s">
        <v>10</v>
      </c>
      <c r="F438">
        <v>40</v>
      </c>
      <c r="G438" s="2">
        <v>23.06</v>
      </c>
      <c r="H438" s="2">
        <v>0</v>
      </c>
      <c r="I438" s="2">
        <v>0.23</v>
      </c>
      <c r="J438" s="2">
        <v>23.29</v>
      </c>
      <c r="K438" s="5">
        <f>nantucket[[#This Row],[MW Factor]]-resources!$B$14</f>
        <v>-17</v>
      </c>
    </row>
    <row r="439" spans="1:11" x14ac:dyDescent="0.3">
      <c r="A439" t="s">
        <v>36</v>
      </c>
      <c r="B439">
        <v>638</v>
      </c>
      <c r="C439">
        <v>14</v>
      </c>
      <c r="D439">
        <v>16255</v>
      </c>
      <c r="E439" t="s">
        <v>10</v>
      </c>
      <c r="F439">
        <v>40</v>
      </c>
      <c r="G439" s="2">
        <v>23.95</v>
      </c>
      <c r="H439" s="2">
        <v>0</v>
      </c>
      <c r="I439" s="2">
        <v>0.26</v>
      </c>
      <c r="J439" s="2">
        <v>24.21</v>
      </c>
      <c r="K439" s="5">
        <f>nantucket[[#This Row],[MW Factor]]-resources!$B$14</f>
        <v>-17</v>
      </c>
    </row>
    <row r="440" spans="1:11" x14ac:dyDescent="0.3">
      <c r="A440" t="s">
        <v>41</v>
      </c>
      <c r="B440">
        <v>768</v>
      </c>
      <c r="C440">
        <v>24</v>
      </c>
      <c r="D440">
        <v>16255</v>
      </c>
      <c r="E440" t="s">
        <v>10</v>
      </c>
      <c r="F440">
        <v>40</v>
      </c>
      <c r="G440" s="2">
        <v>42.2</v>
      </c>
      <c r="H440" s="2">
        <v>0</v>
      </c>
      <c r="I440" s="2">
        <v>0.45</v>
      </c>
      <c r="J440" s="2">
        <v>42.65</v>
      </c>
      <c r="K440" s="5">
        <f>nantucket[[#This Row],[MW Factor]]-resources!$B$14</f>
        <v>-17</v>
      </c>
    </row>
    <row r="441" spans="1:11" x14ac:dyDescent="0.3">
      <c r="A441" t="s">
        <v>44</v>
      </c>
      <c r="B441">
        <v>817</v>
      </c>
      <c r="C441">
        <v>1</v>
      </c>
      <c r="D441">
        <v>16255</v>
      </c>
      <c r="E441" t="s">
        <v>10</v>
      </c>
      <c r="F441">
        <v>40</v>
      </c>
      <c r="G441" s="2">
        <v>26.87</v>
      </c>
      <c r="H441" s="2">
        <v>0</v>
      </c>
      <c r="I441" s="2">
        <v>0.44</v>
      </c>
      <c r="J441" s="2">
        <v>27.31</v>
      </c>
      <c r="K441" s="5">
        <f>nantucket[[#This Row],[MW Factor]]-resources!$B$14</f>
        <v>-17</v>
      </c>
    </row>
    <row r="442" spans="1:11" x14ac:dyDescent="0.3">
      <c r="A442" t="s">
        <v>46</v>
      </c>
      <c r="B442">
        <v>881</v>
      </c>
      <c r="C442">
        <v>17</v>
      </c>
      <c r="D442">
        <v>16255</v>
      </c>
      <c r="E442" t="s">
        <v>10</v>
      </c>
      <c r="F442">
        <v>40</v>
      </c>
      <c r="G442" s="2">
        <v>26.23</v>
      </c>
      <c r="H442" s="2">
        <v>0</v>
      </c>
      <c r="I442" s="2">
        <v>0.23</v>
      </c>
      <c r="J442" s="2">
        <v>26.46</v>
      </c>
      <c r="K442" s="5">
        <f>nantucket[[#This Row],[MW Factor]]-resources!$B$14</f>
        <v>-17</v>
      </c>
    </row>
    <row r="443" spans="1:11" x14ac:dyDescent="0.3">
      <c r="A443" t="s">
        <v>46</v>
      </c>
      <c r="B443">
        <v>882</v>
      </c>
      <c r="C443">
        <v>18</v>
      </c>
      <c r="D443">
        <v>16255</v>
      </c>
      <c r="E443" t="s">
        <v>10</v>
      </c>
      <c r="F443">
        <v>40</v>
      </c>
      <c r="G443" s="2">
        <v>32.82</v>
      </c>
      <c r="H443" s="2">
        <v>0</v>
      </c>
      <c r="I443" s="2">
        <v>0.35</v>
      </c>
      <c r="J443" s="2">
        <v>33.17</v>
      </c>
      <c r="K443" s="5">
        <f>nantucket[[#This Row],[MW Factor]]-resources!$B$14</f>
        <v>-17</v>
      </c>
    </row>
    <row r="444" spans="1:11" x14ac:dyDescent="0.3">
      <c r="A444" t="s">
        <v>46</v>
      </c>
      <c r="B444">
        <v>884</v>
      </c>
      <c r="C444">
        <v>20</v>
      </c>
      <c r="D444">
        <v>16255</v>
      </c>
      <c r="E444" t="s">
        <v>10</v>
      </c>
      <c r="F444">
        <v>40</v>
      </c>
      <c r="G444" s="2">
        <v>36.5</v>
      </c>
      <c r="H444" s="2">
        <v>0</v>
      </c>
      <c r="I444" s="2">
        <v>0.48</v>
      </c>
      <c r="J444" s="2">
        <v>36.979999999999997</v>
      </c>
      <c r="K444" s="5">
        <f>nantucket[[#This Row],[MW Factor]]-resources!$B$14</f>
        <v>-17</v>
      </c>
    </row>
    <row r="445" spans="1:11" x14ac:dyDescent="0.3">
      <c r="A445" t="s">
        <v>46</v>
      </c>
      <c r="B445">
        <v>885</v>
      </c>
      <c r="C445">
        <v>21</v>
      </c>
      <c r="D445">
        <v>16255</v>
      </c>
      <c r="E445" t="s">
        <v>10</v>
      </c>
      <c r="F445">
        <v>40</v>
      </c>
      <c r="G445" s="2">
        <v>32.42</v>
      </c>
      <c r="H445" s="2">
        <v>0</v>
      </c>
      <c r="I445" s="2">
        <v>0.42</v>
      </c>
      <c r="J445" s="2">
        <v>32.840000000000003</v>
      </c>
      <c r="K445" s="5">
        <f>nantucket[[#This Row],[MW Factor]]-resources!$B$14</f>
        <v>-17</v>
      </c>
    </row>
    <row r="446" spans="1:11" x14ac:dyDescent="0.3">
      <c r="A446" t="s">
        <v>49</v>
      </c>
      <c r="B446">
        <v>948</v>
      </c>
      <c r="C446">
        <v>12</v>
      </c>
      <c r="D446">
        <v>16255</v>
      </c>
      <c r="E446" t="s">
        <v>10</v>
      </c>
      <c r="F446">
        <v>40</v>
      </c>
      <c r="G446" s="2">
        <v>43.01</v>
      </c>
      <c r="H446" s="2">
        <v>0</v>
      </c>
      <c r="I446" s="2">
        <v>0.41</v>
      </c>
      <c r="J446" s="2">
        <v>43.42</v>
      </c>
      <c r="K446" s="5">
        <f>nantucket[[#This Row],[MW Factor]]-resources!$B$14</f>
        <v>-17</v>
      </c>
    </row>
    <row r="447" spans="1:11" x14ac:dyDescent="0.3">
      <c r="A447" t="s">
        <v>49</v>
      </c>
      <c r="B447">
        <v>960</v>
      </c>
      <c r="C447">
        <v>24</v>
      </c>
      <c r="D447">
        <v>16255</v>
      </c>
      <c r="E447" t="s">
        <v>10</v>
      </c>
      <c r="F447">
        <v>40</v>
      </c>
      <c r="G447" s="2">
        <v>62.01</v>
      </c>
      <c r="H447" s="2">
        <v>0.6</v>
      </c>
      <c r="I447" s="2">
        <v>1.72</v>
      </c>
      <c r="J447" s="2">
        <v>64.33</v>
      </c>
      <c r="K447" s="5">
        <f>nantucket[[#This Row],[MW Factor]]-resources!$B$14</f>
        <v>-17</v>
      </c>
    </row>
    <row r="448" spans="1:11" x14ac:dyDescent="0.3">
      <c r="A448" t="s">
        <v>50</v>
      </c>
      <c r="B448">
        <v>971</v>
      </c>
      <c r="C448">
        <v>11</v>
      </c>
      <c r="D448">
        <v>16255</v>
      </c>
      <c r="E448" t="s">
        <v>10</v>
      </c>
      <c r="F448">
        <v>40</v>
      </c>
      <c r="G448" s="2">
        <v>27.29</v>
      </c>
      <c r="H448" s="2">
        <v>0</v>
      </c>
      <c r="I448" s="2">
        <v>0.59</v>
      </c>
      <c r="J448" s="2">
        <v>27.88</v>
      </c>
      <c r="K448" s="5">
        <f>nantucket[[#This Row],[MW Factor]]-resources!$B$14</f>
        <v>-17</v>
      </c>
    </row>
    <row r="449" spans="1:11" x14ac:dyDescent="0.3">
      <c r="A449" t="s">
        <v>50</v>
      </c>
      <c r="B449">
        <v>983</v>
      </c>
      <c r="C449">
        <v>23</v>
      </c>
      <c r="D449">
        <v>16255</v>
      </c>
      <c r="E449" t="s">
        <v>10</v>
      </c>
      <c r="F449">
        <v>40</v>
      </c>
      <c r="G449" s="2">
        <v>28.51</v>
      </c>
      <c r="H449" s="2">
        <v>0</v>
      </c>
      <c r="I449" s="2">
        <v>0.64</v>
      </c>
      <c r="J449" s="2">
        <v>29.15</v>
      </c>
      <c r="K449" s="5">
        <f>nantucket[[#This Row],[MW Factor]]-resources!$B$14</f>
        <v>-17</v>
      </c>
    </row>
    <row r="450" spans="1:11" x14ac:dyDescent="0.3">
      <c r="A450" t="s">
        <v>51</v>
      </c>
      <c r="B450">
        <v>998</v>
      </c>
      <c r="C450">
        <v>14</v>
      </c>
      <c r="D450">
        <v>16255</v>
      </c>
      <c r="E450" t="s">
        <v>10</v>
      </c>
      <c r="F450">
        <v>40</v>
      </c>
      <c r="G450" s="2">
        <v>29.32</v>
      </c>
      <c r="H450" s="2">
        <v>0</v>
      </c>
      <c r="I450" s="2">
        <v>0.53</v>
      </c>
      <c r="J450" s="2">
        <v>29.85</v>
      </c>
      <c r="K450" s="5">
        <f>nantucket[[#This Row],[MW Factor]]-resources!$B$14</f>
        <v>-17</v>
      </c>
    </row>
    <row r="451" spans="1:11" x14ac:dyDescent="0.3">
      <c r="A451" t="s">
        <v>52</v>
      </c>
      <c r="B451">
        <v>1030</v>
      </c>
      <c r="C451">
        <v>22</v>
      </c>
      <c r="D451">
        <v>16255</v>
      </c>
      <c r="E451" t="s">
        <v>10</v>
      </c>
      <c r="F451">
        <v>40</v>
      </c>
      <c r="G451" s="2">
        <v>28.4</v>
      </c>
      <c r="H451" s="2">
        <v>0</v>
      </c>
      <c r="I451" s="2">
        <v>0.47</v>
      </c>
      <c r="J451" s="2">
        <v>28.87</v>
      </c>
      <c r="K451" s="5">
        <f>nantucket[[#This Row],[MW Factor]]-resources!$B$14</f>
        <v>-17</v>
      </c>
    </row>
    <row r="452" spans="1:11" x14ac:dyDescent="0.3">
      <c r="A452" t="s">
        <v>53</v>
      </c>
      <c r="B452">
        <v>1049</v>
      </c>
      <c r="C452">
        <v>17</v>
      </c>
      <c r="D452">
        <v>16255</v>
      </c>
      <c r="E452" t="s">
        <v>10</v>
      </c>
      <c r="F452">
        <v>40</v>
      </c>
      <c r="G452" s="2">
        <v>49.41</v>
      </c>
      <c r="H452" s="2">
        <v>0</v>
      </c>
      <c r="I452" s="2">
        <v>0.72</v>
      </c>
      <c r="J452" s="2">
        <v>50.13</v>
      </c>
      <c r="K452" s="5">
        <f>nantucket[[#This Row],[MW Factor]]-resources!$B$14</f>
        <v>-17</v>
      </c>
    </row>
    <row r="453" spans="1:11" x14ac:dyDescent="0.3">
      <c r="A453" t="s">
        <v>55</v>
      </c>
      <c r="B453">
        <v>1095</v>
      </c>
      <c r="C453">
        <v>15</v>
      </c>
      <c r="D453">
        <v>16255</v>
      </c>
      <c r="E453" t="s">
        <v>10</v>
      </c>
      <c r="F453">
        <v>40</v>
      </c>
      <c r="G453" s="2">
        <v>54.37</v>
      </c>
      <c r="H453" s="2">
        <v>0</v>
      </c>
      <c r="I453" s="2">
        <v>0.45</v>
      </c>
      <c r="J453" s="2">
        <v>54.82</v>
      </c>
      <c r="K453" s="5">
        <f>nantucket[[#This Row],[MW Factor]]-resources!$B$14</f>
        <v>-17</v>
      </c>
    </row>
    <row r="454" spans="1:11" x14ac:dyDescent="0.3">
      <c r="A454" t="s">
        <v>56</v>
      </c>
      <c r="B454">
        <v>1122</v>
      </c>
      <c r="C454">
        <v>18</v>
      </c>
      <c r="D454">
        <v>16255</v>
      </c>
      <c r="E454" t="s">
        <v>10</v>
      </c>
      <c r="F454">
        <v>40</v>
      </c>
      <c r="G454" s="2">
        <v>23.85</v>
      </c>
      <c r="H454" s="2">
        <v>0</v>
      </c>
      <c r="I454" s="2">
        <v>0.14000000000000001</v>
      </c>
      <c r="J454" s="2">
        <v>23.99</v>
      </c>
      <c r="K454" s="5">
        <f>nantucket[[#This Row],[MW Factor]]-resources!$B$14</f>
        <v>-17</v>
      </c>
    </row>
    <row r="455" spans="1:11" x14ac:dyDescent="0.3">
      <c r="A455" t="s">
        <v>58</v>
      </c>
      <c r="B455">
        <v>1170</v>
      </c>
      <c r="C455">
        <v>18</v>
      </c>
      <c r="D455">
        <v>16255</v>
      </c>
      <c r="E455" t="s">
        <v>10</v>
      </c>
      <c r="F455">
        <v>40</v>
      </c>
      <c r="G455" s="2">
        <v>27.72</v>
      </c>
      <c r="H455" s="2">
        <v>0</v>
      </c>
      <c r="I455" s="2">
        <v>0.43</v>
      </c>
      <c r="J455" s="2">
        <v>28.15</v>
      </c>
      <c r="K455" s="5">
        <f>nantucket[[#This Row],[MW Factor]]-resources!$B$14</f>
        <v>-17</v>
      </c>
    </row>
    <row r="456" spans="1:11" x14ac:dyDescent="0.3">
      <c r="A456" t="s">
        <v>58</v>
      </c>
      <c r="B456">
        <v>1171</v>
      </c>
      <c r="C456">
        <v>19</v>
      </c>
      <c r="D456">
        <v>16255</v>
      </c>
      <c r="E456" t="s">
        <v>10</v>
      </c>
      <c r="F456">
        <v>40</v>
      </c>
      <c r="G456" s="2">
        <v>28.17</v>
      </c>
      <c r="H456" s="2">
        <v>0</v>
      </c>
      <c r="I456" s="2">
        <v>0.44</v>
      </c>
      <c r="J456" s="2">
        <v>28.61</v>
      </c>
      <c r="K456" s="5">
        <f>nantucket[[#This Row],[MW Factor]]-resources!$B$14</f>
        <v>-17</v>
      </c>
    </row>
    <row r="457" spans="1:11" x14ac:dyDescent="0.3">
      <c r="A457" t="s">
        <v>58</v>
      </c>
      <c r="B457">
        <v>1172</v>
      </c>
      <c r="C457">
        <v>20</v>
      </c>
      <c r="D457">
        <v>16255</v>
      </c>
      <c r="E457" t="s">
        <v>10</v>
      </c>
      <c r="F457">
        <v>40</v>
      </c>
      <c r="G457" s="2">
        <v>33.76</v>
      </c>
      <c r="H457" s="2">
        <v>0</v>
      </c>
      <c r="I457" s="2">
        <v>0.51</v>
      </c>
      <c r="J457" s="2">
        <v>34.270000000000003</v>
      </c>
      <c r="K457" s="5">
        <f>nantucket[[#This Row],[MW Factor]]-resources!$B$14</f>
        <v>-17</v>
      </c>
    </row>
    <row r="458" spans="1:11" x14ac:dyDescent="0.3">
      <c r="A458" t="s">
        <v>59</v>
      </c>
      <c r="B458">
        <v>1192</v>
      </c>
      <c r="C458">
        <v>16</v>
      </c>
      <c r="D458">
        <v>16255</v>
      </c>
      <c r="E458" t="s">
        <v>10</v>
      </c>
      <c r="F458">
        <v>40</v>
      </c>
      <c r="G458" s="2">
        <v>41.22</v>
      </c>
      <c r="H458" s="2">
        <v>0</v>
      </c>
      <c r="I458" s="2">
        <v>0.32</v>
      </c>
      <c r="J458" s="2">
        <v>41.54</v>
      </c>
      <c r="K458" s="5">
        <f>nantucket[[#This Row],[MW Factor]]-resources!$B$14</f>
        <v>-17</v>
      </c>
    </row>
    <row r="459" spans="1:11" x14ac:dyDescent="0.3">
      <c r="A459" t="s">
        <v>63</v>
      </c>
      <c r="B459">
        <v>1290</v>
      </c>
      <c r="C459">
        <v>18</v>
      </c>
      <c r="D459">
        <v>16255</v>
      </c>
      <c r="E459" t="s">
        <v>10</v>
      </c>
      <c r="F459">
        <v>40</v>
      </c>
      <c r="G459" s="2">
        <v>28.59</v>
      </c>
      <c r="H459" s="2">
        <v>0</v>
      </c>
      <c r="I459" s="2">
        <v>0.66</v>
      </c>
      <c r="J459" s="2">
        <v>29.25</v>
      </c>
      <c r="K459" s="5">
        <f>nantucket[[#This Row],[MW Factor]]-resources!$B$14</f>
        <v>-17</v>
      </c>
    </row>
    <row r="460" spans="1:11" x14ac:dyDescent="0.3">
      <c r="A460" t="s">
        <v>63</v>
      </c>
      <c r="B460">
        <v>1291</v>
      </c>
      <c r="C460">
        <v>19</v>
      </c>
      <c r="D460">
        <v>16255</v>
      </c>
      <c r="E460" t="s">
        <v>10</v>
      </c>
      <c r="F460">
        <v>40</v>
      </c>
      <c r="G460" s="2">
        <v>39.25</v>
      </c>
      <c r="H460" s="2">
        <v>0</v>
      </c>
      <c r="I460" s="2">
        <v>0.93</v>
      </c>
      <c r="J460" s="2">
        <v>40.18</v>
      </c>
      <c r="K460" s="5">
        <f>nantucket[[#This Row],[MW Factor]]-resources!$B$14</f>
        <v>-17</v>
      </c>
    </row>
    <row r="461" spans="1:11" x14ac:dyDescent="0.3">
      <c r="A461" t="s">
        <v>63</v>
      </c>
      <c r="B461">
        <v>1293</v>
      </c>
      <c r="C461">
        <v>21</v>
      </c>
      <c r="D461">
        <v>16255</v>
      </c>
      <c r="E461" t="s">
        <v>10</v>
      </c>
      <c r="F461">
        <v>40</v>
      </c>
      <c r="G461" s="2">
        <v>34.630000000000003</v>
      </c>
      <c r="H461" s="2">
        <v>0</v>
      </c>
      <c r="I461" s="2">
        <v>0.86</v>
      </c>
      <c r="J461" s="2">
        <v>35.49</v>
      </c>
      <c r="K461" s="5">
        <f>nantucket[[#This Row],[MW Factor]]-resources!$B$14</f>
        <v>-17</v>
      </c>
    </row>
    <row r="462" spans="1:11" x14ac:dyDescent="0.3">
      <c r="A462" t="s">
        <v>65</v>
      </c>
      <c r="B462">
        <v>1341</v>
      </c>
      <c r="C462">
        <v>21</v>
      </c>
      <c r="D462">
        <v>16255</v>
      </c>
      <c r="E462" t="s">
        <v>10</v>
      </c>
      <c r="F462">
        <v>40</v>
      </c>
      <c r="G462" s="2">
        <v>49.92</v>
      </c>
      <c r="H462" s="2">
        <v>0</v>
      </c>
      <c r="I462" s="2">
        <v>0.61</v>
      </c>
      <c r="J462" s="2">
        <v>50.53</v>
      </c>
      <c r="K462" s="5">
        <f>nantucket[[#This Row],[MW Factor]]-resources!$B$14</f>
        <v>-17</v>
      </c>
    </row>
    <row r="463" spans="1:11" x14ac:dyDescent="0.3">
      <c r="A463" t="s">
        <v>67</v>
      </c>
      <c r="B463">
        <v>1387</v>
      </c>
      <c r="C463">
        <v>19</v>
      </c>
      <c r="D463">
        <v>16255</v>
      </c>
      <c r="E463" t="s">
        <v>10</v>
      </c>
      <c r="F463">
        <v>40</v>
      </c>
      <c r="G463" s="2">
        <v>74.34</v>
      </c>
      <c r="H463" s="2">
        <v>0</v>
      </c>
      <c r="I463" s="2">
        <v>0.71</v>
      </c>
      <c r="J463" s="2">
        <v>75.05</v>
      </c>
      <c r="K463" s="5">
        <f>nantucket[[#This Row],[MW Factor]]-resources!$B$14</f>
        <v>-17</v>
      </c>
    </row>
    <row r="464" spans="1:11" x14ac:dyDescent="0.3">
      <c r="A464" t="s">
        <v>68</v>
      </c>
      <c r="B464">
        <v>1414</v>
      </c>
      <c r="C464">
        <v>22</v>
      </c>
      <c r="D464">
        <v>16255</v>
      </c>
      <c r="E464" t="s">
        <v>10</v>
      </c>
      <c r="F464">
        <v>40</v>
      </c>
      <c r="G464" s="2">
        <v>38.57</v>
      </c>
      <c r="H464" s="2">
        <v>0</v>
      </c>
      <c r="I464" s="2">
        <v>0.51</v>
      </c>
      <c r="J464" s="2">
        <v>39.08</v>
      </c>
      <c r="K464" s="5">
        <f>nantucket[[#This Row],[MW Factor]]-resources!$B$14</f>
        <v>-17</v>
      </c>
    </row>
    <row r="465" spans="1:11" x14ac:dyDescent="0.3">
      <c r="A465" t="s">
        <v>71</v>
      </c>
      <c r="B465">
        <v>1482</v>
      </c>
      <c r="C465">
        <v>18</v>
      </c>
      <c r="D465">
        <v>16255</v>
      </c>
      <c r="E465" t="s">
        <v>10</v>
      </c>
      <c r="F465">
        <v>40</v>
      </c>
      <c r="G465" s="2">
        <v>35.54</v>
      </c>
      <c r="H465" s="2">
        <v>0</v>
      </c>
      <c r="I465" s="2">
        <v>0.81</v>
      </c>
      <c r="J465" s="2">
        <v>36.35</v>
      </c>
      <c r="K465" s="5">
        <f>nantucket[[#This Row],[MW Factor]]-resources!$B$14</f>
        <v>-17</v>
      </c>
    </row>
    <row r="466" spans="1:11" x14ac:dyDescent="0.3">
      <c r="A466" t="s">
        <v>12</v>
      </c>
      <c r="B466">
        <v>65</v>
      </c>
      <c r="C466">
        <v>17</v>
      </c>
      <c r="D466">
        <v>16255</v>
      </c>
      <c r="E466" t="s">
        <v>10</v>
      </c>
      <c r="F466">
        <v>39</v>
      </c>
      <c r="G466" s="2">
        <v>31.53</v>
      </c>
      <c r="H466" s="2">
        <v>0</v>
      </c>
      <c r="I466" s="2">
        <v>0.52</v>
      </c>
      <c r="J466" s="2">
        <v>32.049999999999997</v>
      </c>
      <c r="K466" s="5">
        <f>nantucket[[#This Row],[MW Factor]]-resources!$B$14</f>
        <v>-18</v>
      </c>
    </row>
    <row r="467" spans="1:11" x14ac:dyDescent="0.3">
      <c r="A467" t="s">
        <v>12</v>
      </c>
      <c r="B467">
        <v>70</v>
      </c>
      <c r="C467">
        <v>22</v>
      </c>
      <c r="D467">
        <v>16255</v>
      </c>
      <c r="E467" t="s">
        <v>10</v>
      </c>
      <c r="F467">
        <v>39</v>
      </c>
      <c r="G467" s="2">
        <v>36.9</v>
      </c>
      <c r="H467" s="2">
        <v>0</v>
      </c>
      <c r="I467" s="2">
        <v>0.74</v>
      </c>
      <c r="J467" s="2">
        <v>37.64</v>
      </c>
      <c r="K467" s="5">
        <f>nantucket[[#This Row],[MW Factor]]-resources!$B$14</f>
        <v>-18</v>
      </c>
    </row>
    <row r="468" spans="1:11" x14ac:dyDescent="0.3">
      <c r="A468" t="s">
        <v>14</v>
      </c>
      <c r="B468">
        <v>119</v>
      </c>
      <c r="C468">
        <v>23</v>
      </c>
      <c r="D468">
        <v>16255</v>
      </c>
      <c r="E468" t="s">
        <v>10</v>
      </c>
      <c r="F468">
        <v>39</v>
      </c>
      <c r="G468" s="2">
        <v>34.47</v>
      </c>
      <c r="H468" s="2">
        <v>0</v>
      </c>
      <c r="I468" s="2">
        <v>0.21</v>
      </c>
      <c r="J468" s="2">
        <v>34.68</v>
      </c>
      <c r="K468" s="5">
        <f>nantucket[[#This Row],[MW Factor]]-resources!$B$14</f>
        <v>-18</v>
      </c>
    </row>
    <row r="469" spans="1:11" x14ac:dyDescent="0.3">
      <c r="A469" t="s">
        <v>15</v>
      </c>
      <c r="B469">
        <v>132</v>
      </c>
      <c r="C469">
        <v>12</v>
      </c>
      <c r="D469">
        <v>16255</v>
      </c>
      <c r="E469" t="s">
        <v>10</v>
      </c>
      <c r="F469">
        <v>39</v>
      </c>
      <c r="G469" s="2">
        <v>29.94</v>
      </c>
      <c r="H469" s="2">
        <v>0</v>
      </c>
      <c r="I469" s="2">
        <v>0.42</v>
      </c>
      <c r="J469" s="2">
        <v>30.36</v>
      </c>
      <c r="K469" s="5">
        <f>nantucket[[#This Row],[MW Factor]]-resources!$B$14</f>
        <v>-18</v>
      </c>
    </row>
    <row r="470" spans="1:11" x14ac:dyDescent="0.3">
      <c r="A470" t="s">
        <v>15</v>
      </c>
      <c r="B470">
        <v>135</v>
      </c>
      <c r="C470">
        <v>15</v>
      </c>
      <c r="D470">
        <v>16255</v>
      </c>
      <c r="E470" t="s">
        <v>10</v>
      </c>
      <c r="F470">
        <v>39</v>
      </c>
      <c r="G470" s="2">
        <v>30.18</v>
      </c>
      <c r="H470" s="2">
        <v>0</v>
      </c>
      <c r="I470" s="2">
        <v>0.35</v>
      </c>
      <c r="J470" s="2">
        <v>30.53</v>
      </c>
      <c r="K470" s="5">
        <f>nantucket[[#This Row],[MW Factor]]-resources!$B$14</f>
        <v>-18</v>
      </c>
    </row>
    <row r="471" spans="1:11" x14ac:dyDescent="0.3">
      <c r="A471" t="s">
        <v>15</v>
      </c>
      <c r="B471">
        <v>142</v>
      </c>
      <c r="C471">
        <v>22</v>
      </c>
      <c r="D471">
        <v>16255</v>
      </c>
      <c r="E471" t="s">
        <v>10</v>
      </c>
      <c r="F471">
        <v>39</v>
      </c>
      <c r="G471" s="2">
        <v>46.29</v>
      </c>
      <c r="H471" s="2">
        <v>0</v>
      </c>
      <c r="I471" s="2">
        <v>0.37</v>
      </c>
      <c r="J471" s="2">
        <v>46.66</v>
      </c>
      <c r="K471" s="5">
        <f>nantucket[[#This Row],[MW Factor]]-resources!$B$14</f>
        <v>-18</v>
      </c>
    </row>
    <row r="472" spans="1:11" x14ac:dyDescent="0.3">
      <c r="A472" t="s">
        <v>16</v>
      </c>
      <c r="B472">
        <v>167</v>
      </c>
      <c r="C472">
        <v>23</v>
      </c>
      <c r="D472">
        <v>16255</v>
      </c>
      <c r="E472" t="s">
        <v>10</v>
      </c>
      <c r="F472">
        <v>39</v>
      </c>
      <c r="G472" s="2">
        <v>30.68</v>
      </c>
      <c r="H472" s="2">
        <v>0</v>
      </c>
      <c r="I472" s="2">
        <v>0.56999999999999995</v>
      </c>
      <c r="J472" s="2">
        <v>31.25</v>
      </c>
      <c r="K472" s="5">
        <f>nantucket[[#This Row],[MW Factor]]-resources!$B$14</f>
        <v>-18</v>
      </c>
    </row>
    <row r="473" spans="1:11" x14ac:dyDescent="0.3">
      <c r="A473" t="s">
        <v>18</v>
      </c>
      <c r="B473">
        <v>203</v>
      </c>
      <c r="C473">
        <v>11</v>
      </c>
      <c r="D473">
        <v>16255</v>
      </c>
      <c r="E473" t="s">
        <v>10</v>
      </c>
      <c r="F473">
        <v>39</v>
      </c>
      <c r="G473" s="2">
        <v>56.96</v>
      </c>
      <c r="H473" s="2">
        <v>0</v>
      </c>
      <c r="I473" s="2">
        <v>0.38</v>
      </c>
      <c r="J473" s="2">
        <v>57.34</v>
      </c>
      <c r="K473" s="5">
        <f>nantucket[[#This Row],[MW Factor]]-resources!$B$14</f>
        <v>-18</v>
      </c>
    </row>
    <row r="474" spans="1:11" x14ac:dyDescent="0.3">
      <c r="A474" t="s">
        <v>19</v>
      </c>
      <c r="B474">
        <v>226</v>
      </c>
      <c r="C474">
        <v>10</v>
      </c>
      <c r="D474">
        <v>16255</v>
      </c>
      <c r="E474" t="s">
        <v>10</v>
      </c>
      <c r="F474">
        <v>39</v>
      </c>
      <c r="G474" s="2">
        <v>35.83</v>
      </c>
      <c r="H474" s="2">
        <v>0</v>
      </c>
      <c r="I474" s="2">
        <v>0.19</v>
      </c>
      <c r="J474" s="2">
        <v>36.020000000000003</v>
      </c>
      <c r="K474" s="5">
        <f>nantucket[[#This Row],[MW Factor]]-resources!$B$14</f>
        <v>-18</v>
      </c>
    </row>
    <row r="475" spans="1:11" x14ac:dyDescent="0.3">
      <c r="A475" t="s">
        <v>20</v>
      </c>
      <c r="B475">
        <v>250</v>
      </c>
      <c r="C475">
        <v>10</v>
      </c>
      <c r="D475">
        <v>16255</v>
      </c>
      <c r="E475" t="s">
        <v>10</v>
      </c>
      <c r="F475">
        <v>39</v>
      </c>
      <c r="G475" s="2">
        <v>33.22</v>
      </c>
      <c r="H475" s="2">
        <v>0</v>
      </c>
      <c r="I475" s="2">
        <v>0.43</v>
      </c>
      <c r="J475" s="2">
        <v>33.65</v>
      </c>
      <c r="K475" s="5">
        <f>nantucket[[#This Row],[MW Factor]]-resources!$B$14</f>
        <v>-18</v>
      </c>
    </row>
    <row r="476" spans="1:11" x14ac:dyDescent="0.3">
      <c r="A476" t="s">
        <v>21</v>
      </c>
      <c r="B476">
        <v>274</v>
      </c>
      <c r="C476">
        <v>10</v>
      </c>
      <c r="D476">
        <v>16255</v>
      </c>
      <c r="E476" t="s">
        <v>10</v>
      </c>
      <c r="F476">
        <v>39</v>
      </c>
      <c r="G476" s="2">
        <v>26.04</v>
      </c>
      <c r="H476" s="2">
        <v>0</v>
      </c>
      <c r="I476" s="2">
        <v>0.31</v>
      </c>
      <c r="J476" s="2">
        <v>26.35</v>
      </c>
      <c r="K476" s="5">
        <f>nantucket[[#This Row],[MW Factor]]-resources!$B$14</f>
        <v>-18</v>
      </c>
    </row>
    <row r="477" spans="1:11" x14ac:dyDescent="0.3">
      <c r="A477" t="s">
        <v>23</v>
      </c>
      <c r="B477">
        <v>323</v>
      </c>
      <c r="C477">
        <v>11</v>
      </c>
      <c r="D477">
        <v>16255</v>
      </c>
      <c r="E477" t="s">
        <v>10</v>
      </c>
      <c r="F477">
        <v>39</v>
      </c>
      <c r="G477" s="2">
        <v>26.14</v>
      </c>
      <c r="H477" s="2">
        <v>0</v>
      </c>
      <c r="I477" s="2">
        <v>0.37</v>
      </c>
      <c r="J477" s="2">
        <v>26.51</v>
      </c>
      <c r="K477" s="5">
        <f>nantucket[[#This Row],[MW Factor]]-resources!$B$14</f>
        <v>-18</v>
      </c>
    </row>
    <row r="478" spans="1:11" x14ac:dyDescent="0.3">
      <c r="A478" t="s">
        <v>26</v>
      </c>
      <c r="B478">
        <v>385</v>
      </c>
      <c r="C478">
        <v>1</v>
      </c>
      <c r="D478">
        <v>16255</v>
      </c>
      <c r="E478" t="s">
        <v>10</v>
      </c>
      <c r="F478">
        <v>39</v>
      </c>
      <c r="G478" s="2">
        <v>92.11</v>
      </c>
      <c r="H478" s="2">
        <v>0.47</v>
      </c>
      <c r="I478" s="2">
        <v>0.91</v>
      </c>
      <c r="J478" s="2">
        <v>93.49</v>
      </c>
      <c r="K478" s="5">
        <f>nantucket[[#This Row],[MW Factor]]-resources!$B$14</f>
        <v>-18</v>
      </c>
    </row>
    <row r="479" spans="1:11" x14ac:dyDescent="0.3">
      <c r="A479" t="s">
        <v>28</v>
      </c>
      <c r="B479">
        <v>447</v>
      </c>
      <c r="C479">
        <v>15</v>
      </c>
      <c r="D479">
        <v>16255</v>
      </c>
      <c r="E479" t="s">
        <v>10</v>
      </c>
      <c r="F479">
        <v>39</v>
      </c>
      <c r="G479" s="2">
        <v>28.69</v>
      </c>
      <c r="H479" s="2">
        <v>0</v>
      </c>
      <c r="I479" s="2">
        <v>0.26</v>
      </c>
      <c r="J479" s="2">
        <v>28.95</v>
      </c>
      <c r="K479" s="5">
        <f>nantucket[[#This Row],[MW Factor]]-resources!$B$14</f>
        <v>-18</v>
      </c>
    </row>
    <row r="480" spans="1:11" x14ac:dyDescent="0.3">
      <c r="A480" t="s">
        <v>30</v>
      </c>
      <c r="B480">
        <v>492</v>
      </c>
      <c r="C480">
        <v>12</v>
      </c>
      <c r="D480">
        <v>16255</v>
      </c>
      <c r="E480" t="s">
        <v>10</v>
      </c>
      <c r="F480">
        <v>39</v>
      </c>
      <c r="G480" s="2">
        <v>22.88</v>
      </c>
      <c r="H480" s="2">
        <v>0</v>
      </c>
      <c r="I480" s="2">
        <v>0.33</v>
      </c>
      <c r="J480" s="2">
        <v>23.21</v>
      </c>
      <c r="K480" s="5">
        <f>nantucket[[#This Row],[MW Factor]]-resources!$B$14</f>
        <v>-18</v>
      </c>
    </row>
    <row r="481" spans="1:11" x14ac:dyDescent="0.3">
      <c r="A481" t="s">
        <v>31</v>
      </c>
      <c r="B481">
        <v>515</v>
      </c>
      <c r="C481">
        <v>11</v>
      </c>
      <c r="D481">
        <v>16255</v>
      </c>
      <c r="E481" t="s">
        <v>10</v>
      </c>
      <c r="F481">
        <v>39</v>
      </c>
      <c r="G481" s="2">
        <v>47.37</v>
      </c>
      <c r="H481" s="2">
        <v>0</v>
      </c>
      <c r="I481" s="2">
        <v>0.38</v>
      </c>
      <c r="J481" s="2">
        <v>47.75</v>
      </c>
      <c r="K481" s="5">
        <f>nantucket[[#This Row],[MW Factor]]-resources!$B$14</f>
        <v>-18</v>
      </c>
    </row>
    <row r="482" spans="1:11" x14ac:dyDescent="0.3">
      <c r="A482" t="s">
        <v>31</v>
      </c>
      <c r="B482">
        <v>528</v>
      </c>
      <c r="C482">
        <v>24</v>
      </c>
      <c r="D482">
        <v>16255</v>
      </c>
      <c r="E482" t="s">
        <v>10</v>
      </c>
      <c r="F482">
        <v>39</v>
      </c>
      <c r="G482" s="2">
        <v>44.17</v>
      </c>
      <c r="H482" s="2">
        <v>0</v>
      </c>
      <c r="I482" s="2">
        <v>0.66</v>
      </c>
      <c r="J482" s="2">
        <v>44.83</v>
      </c>
      <c r="K482" s="5">
        <f>nantucket[[#This Row],[MW Factor]]-resources!$B$14</f>
        <v>-18</v>
      </c>
    </row>
    <row r="483" spans="1:11" x14ac:dyDescent="0.3">
      <c r="A483" t="s">
        <v>32</v>
      </c>
      <c r="B483">
        <v>543</v>
      </c>
      <c r="C483">
        <v>15</v>
      </c>
      <c r="D483">
        <v>16255</v>
      </c>
      <c r="E483" t="s">
        <v>10</v>
      </c>
      <c r="F483">
        <v>39</v>
      </c>
      <c r="G483" s="2">
        <v>31.39</v>
      </c>
      <c r="H483" s="2">
        <v>0</v>
      </c>
      <c r="I483" s="2">
        <v>0.15</v>
      </c>
      <c r="J483" s="2">
        <v>31.54</v>
      </c>
      <c r="K483" s="5">
        <f>nantucket[[#This Row],[MW Factor]]-resources!$B$14</f>
        <v>-18</v>
      </c>
    </row>
    <row r="484" spans="1:11" x14ac:dyDescent="0.3">
      <c r="A484" t="s">
        <v>32</v>
      </c>
      <c r="B484">
        <v>544</v>
      </c>
      <c r="C484">
        <v>16</v>
      </c>
      <c r="D484">
        <v>16255</v>
      </c>
      <c r="E484" t="s">
        <v>10</v>
      </c>
      <c r="F484">
        <v>39</v>
      </c>
      <c r="G484" s="2">
        <v>30.96</v>
      </c>
      <c r="H484" s="2">
        <v>0</v>
      </c>
      <c r="I484" s="2">
        <v>0.18</v>
      </c>
      <c r="J484" s="2">
        <v>31.14</v>
      </c>
      <c r="K484" s="5">
        <f>nantucket[[#This Row],[MW Factor]]-resources!$B$14</f>
        <v>-18</v>
      </c>
    </row>
    <row r="485" spans="1:11" x14ac:dyDescent="0.3">
      <c r="A485" t="s">
        <v>32</v>
      </c>
      <c r="B485">
        <v>546</v>
      </c>
      <c r="C485">
        <v>18</v>
      </c>
      <c r="D485">
        <v>16255</v>
      </c>
      <c r="E485" t="s">
        <v>10</v>
      </c>
      <c r="F485">
        <v>39</v>
      </c>
      <c r="G485" s="2">
        <v>29.84</v>
      </c>
      <c r="H485" s="2">
        <v>0</v>
      </c>
      <c r="I485" s="2">
        <v>0.25</v>
      </c>
      <c r="J485" s="2">
        <v>30.09</v>
      </c>
      <c r="K485" s="5">
        <f>nantucket[[#This Row],[MW Factor]]-resources!$B$14</f>
        <v>-18</v>
      </c>
    </row>
    <row r="486" spans="1:11" x14ac:dyDescent="0.3">
      <c r="A486" t="s">
        <v>32</v>
      </c>
      <c r="B486">
        <v>548</v>
      </c>
      <c r="C486">
        <v>20</v>
      </c>
      <c r="D486">
        <v>16255</v>
      </c>
      <c r="E486" t="s">
        <v>10</v>
      </c>
      <c r="F486">
        <v>39</v>
      </c>
      <c r="G486" s="2">
        <v>60.06</v>
      </c>
      <c r="H486" s="2">
        <v>0</v>
      </c>
      <c r="I486" s="2">
        <v>0.56000000000000005</v>
      </c>
      <c r="J486" s="2">
        <v>60.62</v>
      </c>
      <c r="K486" s="5">
        <f>nantucket[[#This Row],[MW Factor]]-resources!$B$14</f>
        <v>-18</v>
      </c>
    </row>
    <row r="487" spans="1:11" x14ac:dyDescent="0.3">
      <c r="A487" t="s">
        <v>33</v>
      </c>
      <c r="B487">
        <v>571</v>
      </c>
      <c r="C487">
        <v>19</v>
      </c>
      <c r="D487">
        <v>16255</v>
      </c>
      <c r="E487" t="s">
        <v>10</v>
      </c>
      <c r="F487">
        <v>39</v>
      </c>
      <c r="G487" s="2">
        <v>31.63</v>
      </c>
      <c r="H487" s="2">
        <v>0</v>
      </c>
      <c r="I487" s="2">
        <v>7.0000000000000007E-2</v>
      </c>
      <c r="J487" s="2">
        <v>31.7</v>
      </c>
      <c r="K487" s="5">
        <f>nantucket[[#This Row],[MW Factor]]-resources!$B$14</f>
        <v>-18</v>
      </c>
    </row>
    <row r="488" spans="1:11" x14ac:dyDescent="0.3">
      <c r="A488" t="s">
        <v>33</v>
      </c>
      <c r="B488">
        <v>572</v>
      </c>
      <c r="C488">
        <v>20</v>
      </c>
      <c r="D488">
        <v>16255</v>
      </c>
      <c r="E488" t="s">
        <v>10</v>
      </c>
      <c r="F488">
        <v>39</v>
      </c>
      <c r="G488" s="2">
        <v>40.950000000000003</v>
      </c>
      <c r="H488" s="2">
        <v>0</v>
      </c>
      <c r="I488" s="2">
        <v>0.08</v>
      </c>
      <c r="J488" s="2">
        <v>41.03</v>
      </c>
      <c r="K488" s="5">
        <f>nantucket[[#This Row],[MW Factor]]-resources!$B$14</f>
        <v>-18</v>
      </c>
    </row>
    <row r="489" spans="1:11" x14ac:dyDescent="0.3">
      <c r="A489" t="s">
        <v>34</v>
      </c>
      <c r="B489">
        <v>599</v>
      </c>
      <c r="C489">
        <v>23</v>
      </c>
      <c r="D489">
        <v>16255</v>
      </c>
      <c r="E489" t="s">
        <v>10</v>
      </c>
      <c r="F489">
        <v>39</v>
      </c>
      <c r="G489" s="2">
        <v>26.55</v>
      </c>
      <c r="H489" s="2">
        <v>0</v>
      </c>
      <c r="I489" s="2">
        <v>0.32</v>
      </c>
      <c r="J489" s="2">
        <v>26.87</v>
      </c>
      <c r="K489" s="5">
        <f>nantucket[[#This Row],[MW Factor]]-resources!$B$14</f>
        <v>-18</v>
      </c>
    </row>
    <row r="490" spans="1:11" x14ac:dyDescent="0.3">
      <c r="A490" t="s">
        <v>36</v>
      </c>
      <c r="B490">
        <v>647</v>
      </c>
      <c r="C490">
        <v>23</v>
      </c>
      <c r="D490">
        <v>16255</v>
      </c>
      <c r="E490" t="s">
        <v>10</v>
      </c>
      <c r="F490">
        <v>39</v>
      </c>
      <c r="G490" s="2">
        <v>33.729999999999997</v>
      </c>
      <c r="H490" s="2">
        <v>0</v>
      </c>
      <c r="I490" s="2">
        <v>0.55000000000000004</v>
      </c>
      <c r="J490" s="2">
        <v>34.28</v>
      </c>
      <c r="K490" s="5">
        <f>nantucket[[#This Row],[MW Factor]]-resources!$B$14</f>
        <v>-18</v>
      </c>
    </row>
    <row r="491" spans="1:11" x14ac:dyDescent="0.3">
      <c r="A491" t="s">
        <v>38</v>
      </c>
      <c r="B491">
        <v>691</v>
      </c>
      <c r="C491">
        <v>19</v>
      </c>
      <c r="D491">
        <v>16255</v>
      </c>
      <c r="E491" t="s">
        <v>10</v>
      </c>
      <c r="F491">
        <v>39</v>
      </c>
      <c r="G491" s="2">
        <v>30.47</v>
      </c>
      <c r="H491" s="2">
        <v>0</v>
      </c>
      <c r="I491" s="2">
        <v>0.28000000000000003</v>
      </c>
      <c r="J491" s="2">
        <v>30.75</v>
      </c>
      <c r="K491" s="5">
        <f>nantucket[[#This Row],[MW Factor]]-resources!$B$14</f>
        <v>-18</v>
      </c>
    </row>
    <row r="492" spans="1:11" x14ac:dyDescent="0.3">
      <c r="A492" t="s">
        <v>38</v>
      </c>
      <c r="B492">
        <v>692</v>
      </c>
      <c r="C492">
        <v>20</v>
      </c>
      <c r="D492">
        <v>16255</v>
      </c>
      <c r="E492" t="s">
        <v>10</v>
      </c>
      <c r="F492">
        <v>39</v>
      </c>
      <c r="G492" s="2">
        <v>33.020000000000003</v>
      </c>
      <c r="H492" s="2">
        <v>0</v>
      </c>
      <c r="I492" s="2">
        <v>0.3</v>
      </c>
      <c r="J492" s="2">
        <v>33.32</v>
      </c>
      <c r="K492" s="5">
        <f>nantucket[[#This Row],[MW Factor]]-resources!$B$14</f>
        <v>-18</v>
      </c>
    </row>
    <row r="493" spans="1:11" x14ac:dyDescent="0.3">
      <c r="A493" t="s">
        <v>38</v>
      </c>
      <c r="B493">
        <v>693</v>
      </c>
      <c r="C493">
        <v>21</v>
      </c>
      <c r="D493">
        <v>16255</v>
      </c>
      <c r="E493" t="s">
        <v>10</v>
      </c>
      <c r="F493">
        <v>39</v>
      </c>
      <c r="G493" s="2">
        <v>32.31</v>
      </c>
      <c r="H493" s="2">
        <v>0</v>
      </c>
      <c r="I493" s="2">
        <v>0.3</v>
      </c>
      <c r="J493" s="2">
        <v>32.61</v>
      </c>
      <c r="K493" s="5">
        <f>nantucket[[#This Row],[MW Factor]]-resources!$B$14</f>
        <v>-18</v>
      </c>
    </row>
    <row r="494" spans="1:11" x14ac:dyDescent="0.3">
      <c r="A494" t="s">
        <v>39</v>
      </c>
      <c r="B494">
        <v>708</v>
      </c>
      <c r="C494">
        <v>12</v>
      </c>
      <c r="D494">
        <v>16255</v>
      </c>
      <c r="E494" t="s">
        <v>10</v>
      </c>
      <c r="F494">
        <v>39</v>
      </c>
      <c r="G494" s="2">
        <v>43.96</v>
      </c>
      <c r="H494" s="2">
        <v>0</v>
      </c>
      <c r="I494" s="2">
        <v>0.38</v>
      </c>
      <c r="J494" s="2">
        <v>44.34</v>
      </c>
      <c r="K494" s="5">
        <f>nantucket[[#This Row],[MW Factor]]-resources!$B$14</f>
        <v>-18</v>
      </c>
    </row>
    <row r="495" spans="1:11" x14ac:dyDescent="0.3">
      <c r="A495" t="s">
        <v>40</v>
      </c>
      <c r="B495">
        <v>744</v>
      </c>
      <c r="C495">
        <v>24</v>
      </c>
      <c r="D495">
        <v>16255</v>
      </c>
      <c r="E495" t="s">
        <v>10</v>
      </c>
      <c r="F495">
        <v>39</v>
      </c>
      <c r="G495" s="2">
        <v>53.22</v>
      </c>
      <c r="H495" s="2">
        <v>0.05</v>
      </c>
      <c r="I495" s="2">
        <v>0.87</v>
      </c>
      <c r="J495" s="2">
        <v>54.14</v>
      </c>
      <c r="K495" s="5">
        <f>nantucket[[#This Row],[MW Factor]]-resources!$B$14</f>
        <v>-18</v>
      </c>
    </row>
    <row r="496" spans="1:11" x14ac:dyDescent="0.3">
      <c r="A496" t="s">
        <v>50</v>
      </c>
      <c r="B496">
        <v>970</v>
      </c>
      <c r="C496">
        <v>10</v>
      </c>
      <c r="D496">
        <v>16255</v>
      </c>
      <c r="E496" t="s">
        <v>10</v>
      </c>
      <c r="F496">
        <v>39</v>
      </c>
      <c r="G496" s="2">
        <v>25.78</v>
      </c>
      <c r="H496" s="2">
        <v>0</v>
      </c>
      <c r="I496" s="2">
        <v>0.59</v>
      </c>
      <c r="J496" s="2">
        <v>26.37</v>
      </c>
      <c r="K496" s="5">
        <f>nantucket[[#This Row],[MW Factor]]-resources!$B$14</f>
        <v>-18</v>
      </c>
    </row>
    <row r="497" spans="1:11" x14ac:dyDescent="0.3">
      <c r="A497" t="s">
        <v>51</v>
      </c>
      <c r="B497">
        <v>995</v>
      </c>
      <c r="C497">
        <v>11</v>
      </c>
      <c r="D497">
        <v>16255</v>
      </c>
      <c r="E497" t="s">
        <v>10</v>
      </c>
      <c r="F497">
        <v>39</v>
      </c>
      <c r="G497" s="2">
        <v>21.6</v>
      </c>
      <c r="H497" s="2">
        <v>0</v>
      </c>
      <c r="I497" s="2">
        <v>0.45</v>
      </c>
      <c r="J497" s="2">
        <v>22.05</v>
      </c>
      <c r="K497" s="5">
        <f>nantucket[[#This Row],[MW Factor]]-resources!$B$14</f>
        <v>-18</v>
      </c>
    </row>
    <row r="498" spans="1:11" x14ac:dyDescent="0.3">
      <c r="A498" t="s">
        <v>51</v>
      </c>
      <c r="B498">
        <v>997</v>
      </c>
      <c r="C498">
        <v>13</v>
      </c>
      <c r="D498">
        <v>16255</v>
      </c>
      <c r="E498" t="s">
        <v>10</v>
      </c>
      <c r="F498">
        <v>39</v>
      </c>
      <c r="G498" s="2">
        <v>23.54</v>
      </c>
      <c r="H498" s="2">
        <v>0</v>
      </c>
      <c r="I498" s="2">
        <v>0.39</v>
      </c>
      <c r="J498" s="2">
        <v>23.93</v>
      </c>
      <c r="K498" s="5">
        <f>nantucket[[#This Row],[MW Factor]]-resources!$B$14</f>
        <v>-18</v>
      </c>
    </row>
    <row r="499" spans="1:11" x14ac:dyDescent="0.3">
      <c r="A499" t="s">
        <v>52</v>
      </c>
      <c r="B499">
        <v>1024</v>
      </c>
      <c r="C499">
        <v>16</v>
      </c>
      <c r="D499">
        <v>16255</v>
      </c>
      <c r="E499" t="s">
        <v>10</v>
      </c>
      <c r="F499">
        <v>39</v>
      </c>
      <c r="G499" s="2">
        <v>23.68</v>
      </c>
      <c r="H499" s="2">
        <v>0</v>
      </c>
      <c r="I499" s="2">
        <v>0.34</v>
      </c>
      <c r="J499" s="2">
        <v>24.02</v>
      </c>
      <c r="K499" s="5">
        <f>nantucket[[#This Row],[MW Factor]]-resources!$B$14</f>
        <v>-18</v>
      </c>
    </row>
    <row r="500" spans="1:11" x14ac:dyDescent="0.3">
      <c r="A500" t="s">
        <v>55</v>
      </c>
      <c r="B500">
        <v>1102</v>
      </c>
      <c r="C500">
        <v>22</v>
      </c>
      <c r="D500">
        <v>16255</v>
      </c>
      <c r="E500" t="s">
        <v>10</v>
      </c>
      <c r="F500">
        <v>39</v>
      </c>
      <c r="G500" s="2">
        <v>42.75</v>
      </c>
      <c r="H500" s="2">
        <v>0</v>
      </c>
      <c r="I500" s="2">
        <v>0.2</v>
      </c>
      <c r="J500" s="2">
        <v>42.95</v>
      </c>
      <c r="K500" s="5">
        <f>nantucket[[#This Row],[MW Factor]]-resources!$B$14</f>
        <v>-18</v>
      </c>
    </row>
    <row r="501" spans="1:11" x14ac:dyDescent="0.3">
      <c r="A501" t="s">
        <v>56</v>
      </c>
      <c r="B501">
        <v>1121</v>
      </c>
      <c r="C501">
        <v>17</v>
      </c>
      <c r="D501">
        <v>16255</v>
      </c>
      <c r="E501" t="s">
        <v>10</v>
      </c>
      <c r="F501">
        <v>39</v>
      </c>
      <c r="G501" s="2">
        <v>24.75</v>
      </c>
      <c r="H501" s="2">
        <v>0</v>
      </c>
      <c r="I501" s="2">
        <v>0.09</v>
      </c>
      <c r="J501" s="2">
        <v>24.84</v>
      </c>
      <c r="K501" s="5">
        <f>nantucket[[#This Row],[MW Factor]]-resources!$B$14</f>
        <v>-18</v>
      </c>
    </row>
    <row r="502" spans="1:11" x14ac:dyDescent="0.3">
      <c r="A502" t="s">
        <v>56</v>
      </c>
      <c r="B502">
        <v>1124</v>
      </c>
      <c r="C502">
        <v>20</v>
      </c>
      <c r="D502">
        <v>16255</v>
      </c>
      <c r="E502" t="s">
        <v>10</v>
      </c>
      <c r="F502">
        <v>39</v>
      </c>
      <c r="G502" s="2">
        <v>30.99</v>
      </c>
      <c r="H502" s="2">
        <v>0</v>
      </c>
      <c r="I502" s="2">
        <v>7.0000000000000007E-2</v>
      </c>
      <c r="J502" s="2">
        <v>31.06</v>
      </c>
      <c r="K502" s="5">
        <f>nantucket[[#This Row],[MW Factor]]-resources!$B$14</f>
        <v>-18</v>
      </c>
    </row>
    <row r="503" spans="1:11" x14ac:dyDescent="0.3">
      <c r="A503" t="s">
        <v>56</v>
      </c>
      <c r="B503">
        <v>1125</v>
      </c>
      <c r="C503">
        <v>21</v>
      </c>
      <c r="D503">
        <v>16255</v>
      </c>
      <c r="E503" t="s">
        <v>10</v>
      </c>
      <c r="F503">
        <v>39</v>
      </c>
      <c r="G503" s="2">
        <v>31.79</v>
      </c>
      <c r="H503" s="2">
        <v>0</v>
      </c>
      <c r="I503" s="2">
        <v>0.05</v>
      </c>
      <c r="J503" s="2">
        <v>31.84</v>
      </c>
      <c r="K503" s="5">
        <f>nantucket[[#This Row],[MW Factor]]-resources!$B$14</f>
        <v>-18</v>
      </c>
    </row>
    <row r="504" spans="1:11" x14ac:dyDescent="0.3">
      <c r="A504" t="s">
        <v>58</v>
      </c>
      <c r="B504">
        <v>1168</v>
      </c>
      <c r="C504">
        <v>16</v>
      </c>
      <c r="D504">
        <v>16255</v>
      </c>
      <c r="E504" t="s">
        <v>10</v>
      </c>
      <c r="F504">
        <v>39</v>
      </c>
      <c r="G504" s="2">
        <v>29.53</v>
      </c>
      <c r="H504" s="2">
        <v>0</v>
      </c>
      <c r="I504" s="2">
        <v>0.33</v>
      </c>
      <c r="J504" s="2">
        <v>29.86</v>
      </c>
      <c r="K504" s="5">
        <f>nantucket[[#This Row],[MW Factor]]-resources!$B$14</f>
        <v>-18</v>
      </c>
    </row>
    <row r="505" spans="1:11" x14ac:dyDescent="0.3">
      <c r="A505" t="s">
        <v>58</v>
      </c>
      <c r="B505">
        <v>1169</v>
      </c>
      <c r="C505">
        <v>17</v>
      </c>
      <c r="D505">
        <v>16255</v>
      </c>
      <c r="E505" t="s">
        <v>10</v>
      </c>
      <c r="F505">
        <v>39</v>
      </c>
      <c r="G505" s="2">
        <v>27.11</v>
      </c>
      <c r="H505" s="2">
        <v>0</v>
      </c>
      <c r="I505" s="2">
        <v>0.36</v>
      </c>
      <c r="J505" s="2">
        <v>27.47</v>
      </c>
      <c r="K505" s="5">
        <f>nantucket[[#This Row],[MW Factor]]-resources!$B$14</f>
        <v>-18</v>
      </c>
    </row>
    <row r="506" spans="1:11" x14ac:dyDescent="0.3">
      <c r="A506" t="s">
        <v>58</v>
      </c>
      <c r="B506">
        <v>1173</v>
      </c>
      <c r="C506">
        <v>21</v>
      </c>
      <c r="D506">
        <v>16255</v>
      </c>
      <c r="E506" t="s">
        <v>10</v>
      </c>
      <c r="F506">
        <v>39</v>
      </c>
      <c r="G506" s="2">
        <v>34.86</v>
      </c>
      <c r="H506" s="2">
        <v>0</v>
      </c>
      <c r="I506" s="2">
        <v>0.55000000000000004</v>
      </c>
      <c r="J506" s="2">
        <v>35.409999999999997</v>
      </c>
      <c r="K506" s="5">
        <f>nantucket[[#This Row],[MW Factor]]-resources!$B$14</f>
        <v>-18</v>
      </c>
    </row>
    <row r="507" spans="1:11" x14ac:dyDescent="0.3">
      <c r="A507" t="s">
        <v>59</v>
      </c>
      <c r="B507">
        <v>1193</v>
      </c>
      <c r="C507">
        <v>17</v>
      </c>
      <c r="D507">
        <v>16255</v>
      </c>
      <c r="E507" t="s">
        <v>10</v>
      </c>
      <c r="F507">
        <v>39</v>
      </c>
      <c r="G507" s="2">
        <v>37.24</v>
      </c>
      <c r="H507" s="2">
        <v>0</v>
      </c>
      <c r="I507" s="2">
        <v>0.28000000000000003</v>
      </c>
      <c r="J507" s="2">
        <v>37.520000000000003</v>
      </c>
      <c r="K507" s="5">
        <f>nantucket[[#This Row],[MW Factor]]-resources!$B$14</f>
        <v>-18</v>
      </c>
    </row>
    <row r="508" spans="1:11" x14ac:dyDescent="0.3">
      <c r="A508" t="s">
        <v>64</v>
      </c>
      <c r="B508">
        <v>1313</v>
      </c>
      <c r="C508">
        <v>17</v>
      </c>
      <c r="D508">
        <v>16255</v>
      </c>
      <c r="E508" t="s">
        <v>10</v>
      </c>
      <c r="F508">
        <v>39</v>
      </c>
      <c r="G508" s="2">
        <v>31.89</v>
      </c>
      <c r="H508" s="2">
        <v>0</v>
      </c>
      <c r="I508" s="2">
        <v>0.6</v>
      </c>
      <c r="J508" s="2">
        <v>32.49</v>
      </c>
      <c r="K508" s="5">
        <f>nantucket[[#This Row],[MW Factor]]-resources!$B$14</f>
        <v>-18</v>
      </c>
    </row>
    <row r="509" spans="1:11" x14ac:dyDescent="0.3">
      <c r="A509" t="s">
        <v>64</v>
      </c>
      <c r="B509">
        <v>1317</v>
      </c>
      <c r="C509">
        <v>21</v>
      </c>
      <c r="D509">
        <v>16255</v>
      </c>
      <c r="E509" t="s">
        <v>10</v>
      </c>
      <c r="F509">
        <v>39</v>
      </c>
      <c r="G509" s="2">
        <v>44.96</v>
      </c>
      <c r="H509" s="2">
        <v>0</v>
      </c>
      <c r="I509" s="2">
        <v>1.1299999999999999</v>
      </c>
      <c r="J509" s="2">
        <v>46.09</v>
      </c>
      <c r="K509" s="5">
        <f>nantucket[[#This Row],[MW Factor]]-resources!$B$14</f>
        <v>-18</v>
      </c>
    </row>
    <row r="510" spans="1:11" x14ac:dyDescent="0.3">
      <c r="A510" t="s">
        <v>65</v>
      </c>
      <c r="B510">
        <v>1337</v>
      </c>
      <c r="C510">
        <v>17</v>
      </c>
      <c r="D510">
        <v>16255</v>
      </c>
      <c r="E510" t="s">
        <v>10</v>
      </c>
      <c r="F510">
        <v>39</v>
      </c>
      <c r="G510" s="2">
        <v>36.68</v>
      </c>
      <c r="H510" s="2">
        <v>0</v>
      </c>
      <c r="I510" s="2">
        <v>0.34</v>
      </c>
      <c r="J510" s="2">
        <v>37.020000000000003</v>
      </c>
      <c r="K510" s="5">
        <f>nantucket[[#This Row],[MW Factor]]-resources!$B$14</f>
        <v>-18</v>
      </c>
    </row>
    <row r="511" spans="1:11" x14ac:dyDescent="0.3">
      <c r="A511" t="s">
        <v>67</v>
      </c>
      <c r="B511">
        <v>1386</v>
      </c>
      <c r="C511">
        <v>18</v>
      </c>
      <c r="D511">
        <v>16255</v>
      </c>
      <c r="E511" t="s">
        <v>10</v>
      </c>
      <c r="F511">
        <v>39</v>
      </c>
      <c r="G511" s="2">
        <v>52.42</v>
      </c>
      <c r="H511" s="2">
        <v>0</v>
      </c>
      <c r="I511" s="2">
        <v>0.32</v>
      </c>
      <c r="J511" s="2">
        <v>52.74</v>
      </c>
      <c r="K511" s="5">
        <f>nantucket[[#This Row],[MW Factor]]-resources!$B$14</f>
        <v>-18</v>
      </c>
    </row>
    <row r="512" spans="1:11" x14ac:dyDescent="0.3">
      <c r="A512" t="s">
        <v>67</v>
      </c>
      <c r="B512">
        <v>1388</v>
      </c>
      <c r="C512">
        <v>20</v>
      </c>
      <c r="D512">
        <v>16255</v>
      </c>
      <c r="E512" t="s">
        <v>10</v>
      </c>
      <c r="F512">
        <v>39</v>
      </c>
      <c r="G512" s="2">
        <v>38.46</v>
      </c>
      <c r="H512" s="2">
        <v>0</v>
      </c>
      <c r="I512" s="2">
        <v>0.43</v>
      </c>
      <c r="J512" s="2">
        <v>38.89</v>
      </c>
      <c r="K512" s="5">
        <f>nantucket[[#This Row],[MW Factor]]-resources!$B$14</f>
        <v>-18</v>
      </c>
    </row>
    <row r="513" spans="1:11" x14ac:dyDescent="0.3">
      <c r="A513" t="s">
        <v>67</v>
      </c>
      <c r="B513">
        <v>1389</v>
      </c>
      <c r="C513">
        <v>21</v>
      </c>
      <c r="D513">
        <v>16255</v>
      </c>
      <c r="E513" t="s">
        <v>10</v>
      </c>
      <c r="F513">
        <v>39</v>
      </c>
      <c r="G513" s="2">
        <v>34.68</v>
      </c>
      <c r="H513" s="2">
        <v>0</v>
      </c>
      <c r="I513" s="2">
        <v>0.31</v>
      </c>
      <c r="J513" s="2">
        <v>34.99</v>
      </c>
      <c r="K513" s="5">
        <f>nantucket[[#This Row],[MW Factor]]-resources!$B$14</f>
        <v>-18</v>
      </c>
    </row>
    <row r="514" spans="1:11" x14ac:dyDescent="0.3">
      <c r="A514" t="s">
        <v>68</v>
      </c>
      <c r="B514">
        <v>1407</v>
      </c>
      <c r="C514">
        <v>15</v>
      </c>
      <c r="D514">
        <v>16255</v>
      </c>
      <c r="E514" t="s">
        <v>10</v>
      </c>
      <c r="F514">
        <v>39</v>
      </c>
      <c r="G514" s="2">
        <v>32.83</v>
      </c>
      <c r="H514" s="2">
        <v>0</v>
      </c>
      <c r="I514" s="2">
        <v>0.22</v>
      </c>
      <c r="J514" s="2">
        <v>33.049999999999997</v>
      </c>
      <c r="K514" s="5">
        <f>nantucket[[#This Row],[MW Factor]]-resources!$B$14</f>
        <v>-18</v>
      </c>
    </row>
    <row r="515" spans="1:11" x14ac:dyDescent="0.3">
      <c r="A515" t="s">
        <v>71</v>
      </c>
      <c r="B515">
        <v>1484</v>
      </c>
      <c r="C515">
        <v>20</v>
      </c>
      <c r="D515">
        <v>16255</v>
      </c>
      <c r="E515" t="s">
        <v>10</v>
      </c>
      <c r="F515">
        <v>39</v>
      </c>
      <c r="G515" s="2">
        <v>37.75</v>
      </c>
      <c r="H515" s="2">
        <v>0</v>
      </c>
      <c r="I515" s="2">
        <v>0.92</v>
      </c>
      <c r="J515" s="2">
        <v>38.67</v>
      </c>
      <c r="K515" s="5">
        <f>nantucket[[#This Row],[MW Factor]]-resources!$B$14</f>
        <v>-18</v>
      </c>
    </row>
    <row r="516" spans="1:11" x14ac:dyDescent="0.3">
      <c r="A516" t="s">
        <v>9</v>
      </c>
      <c r="B516">
        <v>19</v>
      </c>
      <c r="C516">
        <v>19</v>
      </c>
      <c r="D516">
        <v>16255</v>
      </c>
      <c r="E516" t="s">
        <v>10</v>
      </c>
      <c r="F516">
        <v>38</v>
      </c>
      <c r="G516" s="2">
        <v>34.67</v>
      </c>
      <c r="H516" s="2">
        <v>0</v>
      </c>
      <c r="I516" s="2">
        <v>0.64</v>
      </c>
      <c r="J516" s="2">
        <v>35.31</v>
      </c>
      <c r="K516" s="5">
        <f>nantucket[[#This Row],[MW Factor]]-resources!$B$14</f>
        <v>-19</v>
      </c>
    </row>
    <row r="517" spans="1:11" x14ac:dyDescent="0.3">
      <c r="A517" t="s">
        <v>9</v>
      </c>
      <c r="B517">
        <v>20</v>
      </c>
      <c r="C517">
        <v>20</v>
      </c>
      <c r="D517">
        <v>16255</v>
      </c>
      <c r="E517" t="s">
        <v>10</v>
      </c>
      <c r="F517">
        <v>38</v>
      </c>
      <c r="G517" s="2">
        <v>47.9</v>
      </c>
      <c r="H517" s="2">
        <v>0</v>
      </c>
      <c r="I517" s="2">
        <v>0.92</v>
      </c>
      <c r="J517" s="2">
        <v>48.82</v>
      </c>
      <c r="K517" s="5">
        <f>nantucket[[#This Row],[MW Factor]]-resources!$B$14</f>
        <v>-19</v>
      </c>
    </row>
    <row r="518" spans="1:11" x14ac:dyDescent="0.3">
      <c r="A518" t="s">
        <v>11</v>
      </c>
      <c r="B518">
        <v>42</v>
      </c>
      <c r="C518">
        <v>18</v>
      </c>
      <c r="D518">
        <v>16255</v>
      </c>
      <c r="E518" t="s">
        <v>10</v>
      </c>
      <c r="F518">
        <v>38</v>
      </c>
      <c r="G518" s="2">
        <v>41.74</v>
      </c>
      <c r="H518" s="2">
        <v>0</v>
      </c>
      <c r="I518" s="2">
        <v>0.77</v>
      </c>
      <c r="J518" s="2">
        <v>42.51</v>
      </c>
      <c r="K518" s="5">
        <f>nantucket[[#This Row],[MW Factor]]-resources!$B$14</f>
        <v>-19</v>
      </c>
    </row>
    <row r="519" spans="1:11" x14ac:dyDescent="0.3">
      <c r="A519" t="s">
        <v>11</v>
      </c>
      <c r="B519">
        <v>45</v>
      </c>
      <c r="C519">
        <v>21</v>
      </c>
      <c r="D519">
        <v>16255</v>
      </c>
      <c r="E519" t="s">
        <v>10</v>
      </c>
      <c r="F519">
        <v>38</v>
      </c>
      <c r="G519" s="2">
        <v>35.08</v>
      </c>
      <c r="H519" s="2">
        <v>0</v>
      </c>
      <c r="I519" s="2">
        <v>0.73</v>
      </c>
      <c r="J519" s="2">
        <v>35.81</v>
      </c>
      <c r="K519" s="5">
        <f>nantucket[[#This Row],[MW Factor]]-resources!$B$14</f>
        <v>-19</v>
      </c>
    </row>
    <row r="520" spans="1:11" x14ac:dyDescent="0.3">
      <c r="A520" t="s">
        <v>14</v>
      </c>
      <c r="B520">
        <v>108</v>
      </c>
      <c r="C520">
        <v>12</v>
      </c>
      <c r="D520">
        <v>16255</v>
      </c>
      <c r="E520" t="s">
        <v>10</v>
      </c>
      <c r="F520">
        <v>38</v>
      </c>
      <c r="G520" s="2">
        <v>28.06</v>
      </c>
      <c r="H520" s="2">
        <v>0</v>
      </c>
      <c r="I520" s="2">
        <v>0.12</v>
      </c>
      <c r="J520" s="2">
        <v>28.18</v>
      </c>
      <c r="K520" s="5">
        <f>nantucket[[#This Row],[MW Factor]]-resources!$B$14</f>
        <v>-19</v>
      </c>
    </row>
    <row r="521" spans="1:11" x14ac:dyDescent="0.3">
      <c r="A521" t="s">
        <v>14</v>
      </c>
      <c r="B521">
        <v>109</v>
      </c>
      <c r="C521">
        <v>13</v>
      </c>
      <c r="D521">
        <v>16255</v>
      </c>
      <c r="E521" t="s">
        <v>10</v>
      </c>
      <c r="F521">
        <v>38</v>
      </c>
      <c r="G521" s="2">
        <v>25.81</v>
      </c>
      <c r="H521" s="2">
        <v>0</v>
      </c>
      <c r="I521" s="2">
        <v>0.1</v>
      </c>
      <c r="J521" s="2">
        <v>25.91</v>
      </c>
      <c r="K521" s="5">
        <f>nantucket[[#This Row],[MW Factor]]-resources!$B$14</f>
        <v>-19</v>
      </c>
    </row>
    <row r="522" spans="1:11" x14ac:dyDescent="0.3">
      <c r="A522" t="s">
        <v>14</v>
      </c>
      <c r="B522">
        <v>110</v>
      </c>
      <c r="C522">
        <v>14</v>
      </c>
      <c r="D522">
        <v>16255</v>
      </c>
      <c r="E522" t="s">
        <v>10</v>
      </c>
      <c r="F522">
        <v>38</v>
      </c>
      <c r="G522" s="2">
        <v>25.65</v>
      </c>
      <c r="H522" s="2">
        <v>0</v>
      </c>
      <c r="I522" s="2">
        <v>0.03</v>
      </c>
      <c r="J522" s="2">
        <v>25.68</v>
      </c>
      <c r="K522" s="5">
        <f>nantucket[[#This Row],[MW Factor]]-resources!$B$14</f>
        <v>-19</v>
      </c>
    </row>
    <row r="523" spans="1:11" x14ac:dyDescent="0.3">
      <c r="A523" t="s">
        <v>15</v>
      </c>
      <c r="B523">
        <v>143</v>
      </c>
      <c r="C523">
        <v>23</v>
      </c>
      <c r="D523">
        <v>16255</v>
      </c>
      <c r="E523" t="s">
        <v>10</v>
      </c>
      <c r="F523">
        <v>38</v>
      </c>
      <c r="G523" s="2">
        <v>34.03</v>
      </c>
      <c r="H523" s="2">
        <v>0</v>
      </c>
      <c r="I523" s="2">
        <v>0.37</v>
      </c>
      <c r="J523" s="2">
        <v>34.4</v>
      </c>
      <c r="K523" s="5">
        <f>nantucket[[#This Row],[MW Factor]]-resources!$B$14</f>
        <v>-19</v>
      </c>
    </row>
    <row r="524" spans="1:11" x14ac:dyDescent="0.3">
      <c r="A524" t="s">
        <v>19</v>
      </c>
      <c r="B524">
        <v>240</v>
      </c>
      <c r="C524">
        <v>24</v>
      </c>
      <c r="D524">
        <v>16255</v>
      </c>
      <c r="E524" t="s">
        <v>10</v>
      </c>
      <c r="F524">
        <v>38</v>
      </c>
      <c r="G524" s="2">
        <v>29.91</v>
      </c>
      <c r="H524" s="2">
        <v>0</v>
      </c>
      <c r="I524" s="2">
        <v>0.28000000000000003</v>
      </c>
      <c r="J524" s="2">
        <v>30.19</v>
      </c>
      <c r="K524" s="5">
        <f>nantucket[[#This Row],[MW Factor]]-resources!$B$14</f>
        <v>-19</v>
      </c>
    </row>
    <row r="525" spans="1:11" x14ac:dyDescent="0.3">
      <c r="A525" t="s">
        <v>24</v>
      </c>
      <c r="B525">
        <v>345</v>
      </c>
      <c r="C525">
        <v>9</v>
      </c>
      <c r="D525">
        <v>16255</v>
      </c>
      <c r="E525" t="s">
        <v>10</v>
      </c>
      <c r="F525">
        <v>38</v>
      </c>
      <c r="G525" s="2">
        <v>29.05</v>
      </c>
      <c r="H525" s="2">
        <v>0</v>
      </c>
      <c r="I525" s="2">
        <v>0.28999999999999998</v>
      </c>
      <c r="J525" s="2">
        <v>29.34</v>
      </c>
      <c r="K525" s="5">
        <f>nantucket[[#This Row],[MW Factor]]-resources!$B$14</f>
        <v>-19</v>
      </c>
    </row>
    <row r="526" spans="1:11" x14ac:dyDescent="0.3">
      <c r="A526" t="s">
        <v>25</v>
      </c>
      <c r="B526">
        <v>361</v>
      </c>
      <c r="C526">
        <v>1</v>
      </c>
      <c r="D526">
        <v>16255</v>
      </c>
      <c r="E526" t="s">
        <v>10</v>
      </c>
      <c r="F526">
        <v>38</v>
      </c>
      <c r="G526" s="2">
        <v>78.739999999999995</v>
      </c>
      <c r="H526" s="2">
        <v>0</v>
      </c>
      <c r="I526" s="2">
        <v>1</v>
      </c>
      <c r="J526" s="2">
        <v>79.739999999999995</v>
      </c>
      <c r="K526" s="5">
        <f>nantucket[[#This Row],[MW Factor]]-resources!$B$14</f>
        <v>-19</v>
      </c>
    </row>
    <row r="527" spans="1:11" x14ac:dyDescent="0.3">
      <c r="A527" t="s">
        <v>25</v>
      </c>
      <c r="B527">
        <v>362</v>
      </c>
      <c r="C527">
        <v>2</v>
      </c>
      <c r="D527">
        <v>16255</v>
      </c>
      <c r="E527" t="s">
        <v>10</v>
      </c>
      <c r="F527">
        <v>38</v>
      </c>
      <c r="G527" s="2">
        <v>218.58</v>
      </c>
      <c r="H527" s="2">
        <v>0</v>
      </c>
      <c r="I527" s="2">
        <v>2.1800000000000002</v>
      </c>
      <c r="J527" s="2">
        <v>220.76</v>
      </c>
      <c r="K527" s="5">
        <f>nantucket[[#This Row],[MW Factor]]-resources!$B$14</f>
        <v>-19</v>
      </c>
    </row>
    <row r="528" spans="1:11" x14ac:dyDescent="0.3">
      <c r="A528" t="s">
        <v>27</v>
      </c>
      <c r="B528">
        <v>409</v>
      </c>
      <c r="C528">
        <v>1</v>
      </c>
      <c r="D528">
        <v>16255</v>
      </c>
      <c r="E528" t="s">
        <v>10</v>
      </c>
      <c r="F528">
        <v>38</v>
      </c>
      <c r="G528" s="2">
        <v>39.82</v>
      </c>
      <c r="H528" s="2">
        <v>0</v>
      </c>
      <c r="I528" s="2">
        <v>0.67</v>
      </c>
      <c r="J528" s="2">
        <v>40.49</v>
      </c>
      <c r="K528" s="5">
        <f>nantucket[[#This Row],[MW Factor]]-resources!$B$14</f>
        <v>-19</v>
      </c>
    </row>
    <row r="529" spans="1:11" x14ac:dyDescent="0.3">
      <c r="A529" t="s">
        <v>27</v>
      </c>
      <c r="B529">
        <v>432</v>
      </c>
      <c r="C529">
        <v>24</v>
      </c>
      <c r="D529">
        <v>16255</v>
      </c>
      <c r="E529" t="s">
        <v>10</v>
      </c>
      <c r="F529">
        <v>38</v>
      </c>
      <c r="G529" s="2">
        <v>25.84</v>
      </c>
      <c r="H529" s="2">
        <v>0.01</v>
      </c>
      <c r="I529" s="2">
        <v>0.43</v>
      </c>
      <c r="J529" s="2">
        <v>26.28</v>
      </c>
      <c r="K529" s="5">
        <f>nantucket[[#This Row],[MW Factor]]-resources!$B$14</f>
        <v>-19</v>
      </c>
    </row>
    <row r="530" spans="1:11" x14ac:dyDescent="0.3">
      <c r="A530" t="s">
        <v>28</v>
      </c>
      <c r="B530">
        <v>443</v>
      </c>
      <c r="C530">
        <v>11</v>
      </c>
      <c r="D530">
        <v>16255</v>
      </c>
      <c r="E530" t="s">
        <v>10</v>
      </c>
      <c r="F530">
        <v>38</v>
      </c>
      <c r="G530" s="2">
        <v>22.14</v>
      </c>
      <c r="H530" s="2">
        <v>0</v>
      </c>
      <c r="I530" s="2">
        <v>0.21</v>
      </c>
      <c r="J530" s="2">
        <v>22.35</v>
      </c>
      <c r="K530" s="5">
        <f>nantucket[[#This Row],[MW Factor]]-resources!$B$14</f>
        <v>-19</v>
      </c>
    </row>
    <row r="531" spans="1:11" x14ac:dyDescent="0.3">
      <c r="A531" t="s">
        <v>28</v>
      </c>
      <c r="B531">
        <v>444</v>
      </c>
      <c r="C531">
        <v>12</v>
      </c>
      <c r="D531">
        <v>16255</v>
      </c>
      <c r="E531" t="s">
        <v>10</v>
      </c>
      <c r="F531">
        <v>38</v>
      </c>
      <c r="G531" s="2">
        <v>23.5</v>
      </c>
      <c r="H531" s="2">
        <v>0</v>
      </c>
      <c r="I531" s="2">
        <v>0.19</v>
      </c>
      <c r="J531" s="2">
        <v>23.69</v>
      </c>
      <c r="K531" s="5">
        <f>nantucket[[#This Row],[MW Factor]]-resources!$B$14</f>
        <v>-19</v>
      </c>
    </row>
    <row r="532" spans="1:11" x14ac:dyDescent="0.3">
      <c r="A532" t="s">
        <v>28</v>
      </c>
      <c r="B532">
        <v>445</v>
      </c>
      <c r="C532">
        <v>13</v>
      </c>
      <c r="D532">
        <v>16255</v>
      </c>
      <c r="E532" t="s">
        <v>10</v>
      </c>
      <c r="F532">
        <v>38</v>
      </c>
      <c r="G532" s="2">
        <v>23.74</v>
      </c>
      <c r="H532" s="2">
        <v>0</v>
      </c>
      <c r="I532" s="2">
        <v>0.19</v>
      </c>
      <c r="J532" s="2">
        <v>23.93</v>
      </c>
      <c r="K532" s="5">
        <f>nantucket[[#This Row],[MW Factor]]-resources!$B$14</f>
        <v>-19</v>
      </c>
    </row>
    <row r="533" spans="1:11" x14ac:dyDescent="0.3">
      <c r="A533" t="s">
        <v>28</v>
      </c>
      <c r="B533">
        <v>446</v>
      </c>
      <c r="C533">
        <v>14</v>
      </c>
      <c r="D533">
        <v>16255</v>
      </c>
      <c r="E533" t="s">
        <v>10</v>
      </c>
      <c r="F533">
        <v>38</v>
      </c>
      <c r="G533" s="2">
        <v>24.65</v>
      </c>
      <c r="H533" s="2">
        <v>0</v>
      </c>
      <c r="I533" s="2">
        <v>0.21</v>
      </c>
      <c r="J533" s="2">
        <v>24.86</v>
      </c>
      <c r="K533" s="5">
        <f>nantucket[[#This Row],[MW Factor]]-resources!$B$14</f>
        <v>-19</v>
      </c>
    </row>
    <row r="534" spans="1:11" x14ac:dyDescent="0.3">
      <c r="A534" t="s">
        <v>28</v>
      </c>
      <c r="B534">
        <v>455</v>
      </c>
      <c r="C534">
        <v>23</v>
      </c>
      <c r="D534">
        <v>16255</v>
      </c>
      <c r="E534" t="s">
        <v>10</v>
      </c>
      <c r="F534">
        <v>38</v>
      </c>
      <c r="G534" s="2">
        <v>32.19</v>
      </c>
      <c r="H534" s="2">
        <v>0</v>
      </c>
      <c r="I534" s="2">
        <v>0.52</v>
      </c>
      <c r="J534" s="2">
        <v>32.71</v>
      </c>
      <c r="K534" s="5">
        <f>nantucket[[#This Row],[MW Factor]]-resources!$B$14</f>
        <v>-19</v>
      </c>
    </row>
    <row r="535" spans="1:11" x14ac:dyDescent="0.3">
      <c r="A535" t="s">
        <v>30</v>
      </c>
      <c r="B535">
        <v>491</v>
      </c>
      <c r="C535">
        <v>11</v>
      </c>
      <c r="D535">
        <v>16255</v>
      </c>
      <c r="E535" t="s">
        <v>10</v>
      </c>
      <c r="F535">
        <v>38</v>
      </c>
      <c r="G535" s="2">
        <v>20.96</v>
      </c>
      <c r="H535" s="2">
        <v>0</v>
      </c>
      <c r="I535" s="2">
        <v>0.31</v>
      </c>
      <c r="J535" s="2">
        <v>21.27</v>
      </c>
      <c r="K535" s="5">
        <f>nantucket[[#This Row],[MW Factor]]-resources!$B$14</f>
        <v>-19</v>
      </c>
    </row>
    <row r="536" spans="1:11" x14ac:dyDescent="0.3">
      <c r="A536" t="s">
        <v>32</v>
      </c>
      <c r="B536">
        <v>542</v>
      </c>
      <c r="C536">
        <v>14</v>
      </c>
      <c r="D536">
        <v>16255</v>
      </c>
      <c r="E536" t="s">
        <v>10</v>
      </c>
      <c r="F536">
        <v>38</v>
      </c>
      <c r="G536" s="2">
        <v>29.95</v>
      </c>
      <c r="H536" s="2">
        <v>0</v>
      </c>
      <c r="I536" s="2">
        <v>0.18</v>
      </c>
      <c r="J536" s="2">
        <v>30.13</v>
      </c>
      <c r="K536" s="5">
        <f>nantucket[[#This Row],[MW Factor]]-resources!$B$14</f>
        <v>-19</v>
      </c>
    </row>
    <row r="537" spans="1:11" x14ac:dyDescent="0.3">
      <c r="A537" t="s">
        <v>32</v>
      </c>
      <c r="B537">
        <v>547</v>
      </c>
      <c r="C537">
        <v>19</v>
      </c>
      <c r="D537">
        <v>16255</v>
      </c>
      <c r="E537" t="s">
        <v>10</v>
      </c>
      <c r="F537">
        <v>38</v>
      </c>
      <c r="G537" s="2">
        <v>34.99</v>
      </c>
      <c r="H537" s="2">
        <v>0</v>
      </c>
      <c r="I537" s="2">
        <v>0.33</v>
      </c>
      <c r="J537" s="2">
        <v>35.32</v>
      </c>
      <c r="K537" s="5">
        <f>nantucket[[#This Row],[MW Factor]]-resources!$B$14</f>
        <v>-19</v>
      </c>
    </row>
    <row r="538" spans="1:11" x14ac:dyDescent="0.3">
      <c r="A538" t="s">
        <v>32</v>
      </c>
      <c r="B538">
        <v>549</v>
      </c>
      <c r="C538">
        <v>21</v>
      </c>
      <c r="D538">
        <v>16255</v>
      </c>
      <c r="E538" t="s">
        <v>10</v>
      </c>
      <c r="F538">
        <v>38</v>
      </c>
      <c r="G538" s="2">
        <v>39.46</v>
      </c>
      <c r="H538" s="2">
        <v>0</v>
      </c>
      <c r="I538" s="2">
        <v>0.34</v>
      </c>
      <c r="J538" s="2">
        <v>39.799999999999997</v>
      </c>
      <c r="K538" s="5">
        <f>nantucket[[#This Row],[MW Factor]]-resources!$B$14</f>
        <v>-19</v>
      </c>
    </row>
    <row r="539" spans="1:11" x14ac:dyDescent="0.3">
      <c r="A539" t="s">
        <v>34</v>
      </c>
      <c r="B539">
        <v>590</v>
      </c>
      <c r="C539">
        <v>14</v>
      </c>
      <c r="D539">
        <v>16255</v>
      </c>
      <c r="E539" t="s">
        <v>10</v>
      </c>
      <c r="F539">
        <v>38</v>
      </c>
      <c r="G539" s="2">
        <v>33.979999999999997</v>
      </c>
      <c r="H539" s="2">
        <v>0</v>
      </c>
      <c r="I539" s="2">
        <v>0.21</v>
      </c>
      <c r="J539" s="2">
        <v>34.19</v>
      </c>
      <c r="K539" s="5">
        <f>nantucket[[#This Row],[MW Factor]]-resources!$B$14</f>
        <v>-19</v>
      </c>
    </row>
    <row r="540" spans="1:11" x14ac:dyDescent="0.3">
      <c r="A540" t="s">
        <v>34</v>
      </c>
      <c r="B540">
        <v>591</v>
      </c>
      <c r="C540">
        <v>15</v>
      </c>
      <c r="D540">
        <v>16255</v>
      </c>
      <c r="E540" t="s">
        <v>10</v>
      </c>
      <c r="F540">
        <v>38</v>
      </c>
      <c r="G540" s="2">
        <v>30.34</v>
      </c>
      <c r="H540" s="2">
        <v>0</v>
      </c>
      <c r="I540" s="2">
        <v>0.18</v>
      </c>
      <c r="J540" s="2">
        <v>30.52</v>
      </c>
      <c r="K540" s="5">
        <f>nantucket[[#This Row],[MW Factor]]-resources!$B$14</f>
        <v>-19</v>
      </c>
    </row>
    <row r="541" spans="1:11" x14ac:dyDescent="0.3">
      <c r="A541" t="s">
        <v>35</v>
      </c>
      <c r="B541">
        <v>614</v>
      </c>
      <c r="C541">
        <v>14</v>
      </c>
      <c r="D541">
        <v>16255</v>
      </c>
      <c r="E541" t="s">
        <v>10</v>
      </c>
      <c r="F541">
        <v>38</v>
      </c>
      <c r="G541" s="2">
        <v>21.99</v>
      </c>
      <c r="H541" s="2">
        <v>0</v>
      </c>
      <c r="I541" s="2">
        <v>0.27</v>
      </c>
      <c r="J541" s="2">
        <v>22.26</v>
      </c>
      <c r="K541" s="5">
        <f>nantucket[[#This Row],[MW Factor]]-resources!$B$14</f>
        <v>-19</v>
      </c>
    </row>
    <row r="542" spans="1:11" x14ac:dyDescent="0.3">
      <c r="A542" t="s">
        <v>35</v>
      </c>
      <c r="B542">
        <v>616</v>
      </c>
      <c r="C542">
        <v>16</v>
      </c>
      <c r="D542">
        <v>16255</v>
      </c>
      <c r="E542" t="s">
        <v>10</v>
      </c>
      <c r="F542">
        <v>38</v>
      </c>
      <c r="G542" s="2">
        <v>25.23</v>
      </c>
      <c r="H542" s="2">
        <v>0</v>
      </c>
      <c r="I542" s="2">
        <v>0.36</v>
      </c>
      <c r="J542" s="2">
        <v>25.59</v>
      </c>
      <c r="K542" s="5">
        <f>nantucket[[#This Row],[MW Factor]]-resources!$B$14</f>
        <v>-19</v>
      </c>
    </row>
    <row r="543" spans="1:11" x14ac:dyDescent="0.3">
      <c r="A543" t="s">
        <v>35</v>
      </c>
      <c r="B543">
        <v>623</v>
      </c>
      <c r="C543">
        <v>23</v>
      </c>
      <c r="D543">
        <v>16255</v>
      </c>
      <c r="E543" t="s">
        <v>10</v>
      </c>
      <c r="F543">
        <v>38</v>
      </c>
      <c r="G543" s="2">
        <v>27.95</v>
      </c>
      <c r="H543" s="2">
        <v>0</v>
      </c>
      <c r="I543" s="2">
        <v>0.55000000000000004</v>
      </c>
      <c r="J543" s="2">
        <v>28.5</v>
      </c>
      <c r="K543" s="5">
        <f>nantucket[[#This Row],[MW Factor]]-resources!$B$14</f>
        <v>-19</v>
      </c>
    </row>
    <row r="544" spans="1:11" x14ac:dyDescent="0.3">
      <c r="A544" t="s">
        <v>36</v>
      </c>
      <c r="B544">
        <v>636</v>
      </c>
      <c r="C544">
        <v>12</v>
      </c>
      <c r="D544">
        <v>16255</v>
      </c>
      <c r="E544" t="s">
        <v>10</v>
      </c>
      <c r="F544">
        <v>38</v>
      </c>
      <c r="G544" s="2">
        <v>21.85</v>
      </c>
      <c r="H544" s="2">
        <v>0</v>
      </c>
      <c r="I544" s="2">
        <v>0.19</v>
      </c>
      <c r="J544" s="2">
        <v>22.04</v>
      </c>
      <c r="K544" s="5">
        <f>nantucket[[#This Row],[MW Factor]]-resources!$B$14</f>
        <v>-19</v>
      </c>
    </row>
    <row r="545" spans="1:11" x14ac:dyDescent="0.3">
      <c r="A545" t="s">
        <v>37</v>
      </c>
      <c r="B545">
        <v>666</v>
      </c>
      <c r="C545">
        <v>18</v>
      </c>
      <c r="D545">
        <v>16255</v>
      </c>
      <c r="E545" t="s">
        <v>10</v>
      </c>
      <c r="F545">
        <v>38</v>
      </c>
      <c r="G545" s="2">
        <v>26.85</v>
      </c>
      <c r="H545" s="2">
        <v>0</v>
      </c>
      <c r="I545" s="2">
        <v>0.34</v>
      </c>
      <c r="J545" s="2">
        <v>27.19</v>
      </c>
      <c r="K545" s="5">
        <f>nantucket[[#This Row],[MW Factor]]-resources!$B$14</f>
        <v>-19</v>
      </c>
    </row>
    <row r="546" spans="1:11" x14ac:dyDescent="0.3">
      <c r="A546" t="s">
        <v>37</v>
      </c>
      <c r="B546">
        <v>667</v>
      </c>
      <c r="C546">
        <v>19</v>
      </c>
      <c r="D546">
        <v>16255</v>
      </c>
      <c r="E546" t="s">
        <v>10</v>
      </c>
      <c r="F546">
        <v>38</v>
      </c>
      <c r="G546" s="2">
        <v>28.35</v>
      </c>
      <c r="H546" s="2">
        <v>0</v>
      </c>
      <c r="I546" s="2">
        <v>0.36</v>
      </c>
      <c r="J546" s="2">
        <v>28.71</v>
      </c>
      <c r="K546" s="5">
        <f>nantucket[[#This Row],[MW Factor]]-resources!$B$14</f>
        <v>-19</v>
      </c>
    </row>
    <row r="547" spans="1:11" x14ac:dyDescent="0.3">
      <c r="A547" t="s">
        <v>37</v>
      </c>
      <c r="B547">
        <v>668</v>
      </c>
      <c r="C547">
        <v>20</v>
      </c>
      <c r="D547">
        <v>16255</v>
      </c>
      <c r="E547" t="s">
        <v>10</v>
      </c>
      <c r="F547">
        <v>38</v>
      </c>
      <c r="G547" s="2">
        <v>30.79</v>
      </c>
      <c r="H547" s="2">
        <v>0</v>
      </c>
      <c r="I547" s="2">
        <v>0.37</v>
      </c>
      <c r="J547" s="2">
        <v>31.16</v>
      </c>
      <c r="K547" s="5">
        <f>nantucket[[#This Row],[MW Factor]]-resources!$B$14</f>
        <v>-19</v>
      </c>
    </row>
    <row r="548" spans="1:11" x14ac:dyDescent="0.3">
      <c r="A548" t="s">
        <v>38</v>
      </c>
      <c r="B548">
        <v>688</v>
      </c>
      <c r="C548">
        <v>16</v>
      </c>
      <c r="D548">
        <v>16255</v>
      </c>
      <c r="E548" t="s">
        <v>10</v>
      </c>
      <c r="F548">
        <v>38</v>
      </c>
      <c r="G548" s="2">
        <v>29.04</v>
      </c>
      <c r="H548" s="2">
        <v>0</v>
      </c>
      <c r="I548" s="2">
        <v>0.1</v>
      </c>
      <c r="J548" s="2">
        <v>29.14</v>
      </c>
      <c r="K548" s="5">
        <f>nantucket[[#This Row],[MW Factor]]-resources!$B$14</f>
        <v>-19</v>
      </c>
    </row>
    <row r="549" spans="1:11" x14ac:dyDescent="0.3">
      <c r="A549" t="s">
        <v>38</v>
      </c>
      <c r="B549">
        <v>689</v>
      </c>
      <c r="C549">
        <v>17</v>
      </c>
      <c r="D549">
        <v>16255</v>
      </c>
      <c r="E549" t="s">
        <v>10</v>
      </c>
      <c r="F549">
        <v>38</v>
      </c>
      <c r="G549" s="2">
        <v>28.88</v>
      </c>
      <c r="H549" s="2">
        <v>0</v>
      </c>
      <c r="I549" s="2">
        <v>0.12</v>
      </c>
      <c r="J549" s="2">
        <v>29</v>
      </c>
      <c r="K549" s="5">
        <f>nantucket[[#This Row],[MW Factor]]-resources!$B$14</f>
        <v>-19</v>
      </c>
    </row>
    <row r="550" spans="1:11" x14ac:dyDescent="0.3">
      <c r="A550" t="s">
        <v>38</v>
      </c>
      <c r="B550">
        <v>690</v>
      </c>
      <c r="C550">
        <v>18</v>
      </c>
      <c r="D550">
        <v>16255</v>
      </c>
      <c r="E550" t="s">
        <v>10</v>
      </c>
      <c r="F550">
        <v>38</v>
      </c>
      <c r="G550" s="2">
        <v>26.93</v>
      </c>
      <c r="H550" s="2">
        <v>0</v>
      </c>
      <c r="I550" s="2">
        <v>0.21</v>
      </c>
      <c r="J550" s="2">
        <v>27.14</v>
      </c>
      <c r="K550" s="5">
        <f>nantucket[[#This Row],[MW Factor]]-resources!$B$14</f>
        <v>-19</v>
      </c>
    </row>
    <row r="551" spans="1:11" x14ac:dyDescent="0.3">
      <c r="A551" t="s">
        <v>38</v>
      </c>
      <c r="B551">
        <v>694</v>
      </c>
      <c r="C551">
        <v>22</v>
      </c>
      <c r="D551">
        <v>16255</v>
      </c>
      <c r="E551" t="s">
        <v>10</v>
      </c>
      <c r="F551">
        <v>38</v>
      </c>
      <c r="G551" s="2">
        <v>29.68</v>
      </c>
      <c r="H551" s="2">
        <v>0</v>
      </c>
      <c r="I551" s="2">
        <v>0.28000000000000003</v>
      </c>
      <c r="J551" s="2">
        <v>29.96</v>
      </c>
      <c r="K551" s="5">
        <f>nantucket[[#This Row],[MW Factor]]-resources!$B$14</f>
        <v>-19</v>
      </c>
    </row>
    <row r="552" spans="1:11" x14ac:dyDescent="0.3">
      <c r="A552" t="s">
        <v>39</v>
      </c>
      <c r="B552">
        <v>707</v>
      </c>
      <c r="C552">
        <v>11</v>
      </c>
      <c r="D552">
        <v>16255</v>
      </c>
      <c r="E552" t="s">
        <v>10</v>
      </c>
      <c r="F552">
        <v>38</v>
      </c>
      <c r="G552" s="2">
        <v>65.650000000000006</v>
      </c>
      <c r="H552" s="2">
        <v>0</v>
      </c>
      <c r="I552" s="2">
        <v>0.71</v>
      </c>
      <c r="J552" s="2">
        <v>66.36</v>
      </c>
      <c r="K552" s="5">
        <f>nantucket[[#This Row],[MW Factor]]-resources!$B$14</f>
        <v>-19</v>
      </c>
    </row>
    <row r="553" spans="1:11" x14ac:dyDescent="0.3">
      <c r="A553" t="s">
        <v>40</v>
      </c>
      <c r="B553">
        <v>730</v>
      </c>
      <c r="C553">
        <v>10</v>
      </c>
      <c r="D553">
        <v>16255</v>
      </c>
      <c r="E553" t="s">
        <v>10</v>
      </c>
      <c r="F553">
        <v>38</v>
      </c>
      <c r="G553" s="2">
        <v>72.48</v>
      </c>
      <c r="H553" s="2">
        <v>0</v>
      </c>
      <c r="I553" s="2">
        <v>0.83</v>
      </c>
      <c r="J553" s="2">
        <v>73.31</v>
      </c>
      <c r="K553" s="5">
        <f>nantucket[[#This Row],[MW Factor]]-resources!$B$14</f>
        <v>-19</v>
      </c>
    </row>
    <row r="554" spans="1:11" x14ac:dyDescent="0.3">
      <c r="A554" t="s">
        <v>43</v>
      </c>
      <c r="B554">
        <v>793</v>
      </c>
      <c r="C554">
        <v>1</v>
      </c>
      <c r="D554">
        <v>16255</v>
      </c>
      <c r="E554" t="s">
        <v>10</v>
      </c>
      <c r="F554">
        <v>38</v>
      </c>
      <c r="G554" s="2">
        <v>43.11</v>
      </c>
      <c r="H554" s="2">
        <v>0</v>
      </c>
      <c r="I554" s="2">
        <v>0.48</v>
      </c>
      <c r="J554" s="2">
        <v>43.59</v>
      </c>
      <c r="K554" s="5">
        <f>nantucket[[#This Row],[MW Factor]]-resources!$B$14</f>
        <v>-19</v>
      </c>
    </row>
    <row r="555" spans="1:11" x14ac:dyDescent="0.3">
      <c r="A555" t="s">
        <v>43</v>
      </c>
      <c r="B555">
        <v>801</v>
      </c>
      <c r="C555">
        <v>9</v>
      </c>
      <c r="D555">
        <v>16255</v>
      </c>
      <c r="E555" t="s">
        <v>10</v>
      </c>
      <c r="F555">
        <v>38</v>
      </c>
      <c r="G555" s="2">
        <v>34.57</v>
      </c>
      <c r="H555" s="2">
        <v>0</v>
      </c>
      <c r="I555" s="2">
        <v>0.49</v>
      </c>
      <c r="J555" s="2">
        <v>35.06</v>
      </c>
      <c r="K555" s="5">
        <f>nantucket[[#This Row],[MW Factor]]-resources!$B$14</f>
        <v>-19</v>
      </c>
    </row>
    <row r="556" spans="1:11" x14ac:dyDescent="0.3">
      <c r="A556" t="s">
        <v>44</v>
      </c>
      <c r="B556">
        <v>818</v>
      </c>
      <c r="C556">
        <v>2</v>
      </c>
      <c r="D556">
        <v>16255</v>
      </c>
      <c r="E556" t="s">
        <v>10</v>
      </c>
      <c r="F556">
        <v>38</v>
      </c>
      <c r="G556" s="2">
        <v>30.18</v>
      </c>
      <c r="H556" s="2">
        <v>0</v>
      </c>
      <c r="I556" s="2">
        <v>0.51</v>
      </c>
      <c r="J556" s="2">
        <v>30.69</v>
      </c>
      <c r="K556" s="5">
        <f>nantucket[[#This Row],[MW Factor]]-resources!$B$14</f>
        <v>-19</v>
      </c>
    </row>
    <row r="557" spans="1:11" x14ac:dyDescent="0.3">
      <c r="A557" t="s">
        <v>45</v>
      </c>
      <c r="B557">
        <v>849</v>
      </c>
      <c r="C557">
        <v>9</v>
      </c>
      <c r="D557">
        <v>16255</v>
      </c>
      <c r="E557" t="s">
        <v>10</v>
      </c>
      <c r="F557">
        <v>38</v>
      </c>
      <c r="G557" s="2">
        <v>23.2</v>
      </c>
      <c r="H557" s="2">
        <v>0</v>
      </c>
      <c r="I557" s="2">
        <v>0.44</v>
      </c>
      <c r="J557" s="2">
        <v>23.64</v>
      </c>
      <c r="K557" s="5">
        <f>nantucket[[#This Row],[MW Factor]]-resources!$B$14</f>
        <v>-19</v>
      </c>
    </row>
    <row r="558" spans="1:11" x14ac:dyDescent="0.3">
      <c r="A558" t="s">
        <v>46</v>
      </c>
      <c r="B558">
        <v>873</v>
      </c>
      <c r="C558">
        <v>9</v>
      </c>
      <c r="D558">
        <v>16255</v>
      </c>
      <c r="E558" t="s">
        <v>10</v>
      </c>
      <c r="F558">
        <v>38</v>
      </c>
      <c r="G558" s="2">
        <v>44.1</v>
      </c>
      <c r="H558" s="2">
        <v>0</v>
      </c>
      <c r="I558" s="2">
        <v>0.63</v>
      </c>
      <c r="J558" s="2">
        <v>44.73</v>
      </c>
      <c r="K558" s="5">
        <f>nantucket[[#This Row],[MW Factor]]-resources!$B$14</f>
        <v>-19</v>
      </c>
    </row>
    <row r="559" spans="1:11" x14ac:dyDescent="0.3">
      <c r="A559" t="s">
        <v>46</v>
      </c>
      <c r="B559">
        <v>886</v>
      </c>
      <c r="C559">
        <v>22</v>
      </c>
      <c r="D559">
        <v>16255</v>
      </c>
      <c r="E559" t="s">
        <v>10</v>
      </c>
      <c r="F559">
        <v>38</v>
      </c>
      <c r="G559" s="2">
        <v>29.91</v>
      </c>
      <c r="H559" s="2">
        <v>0</v>
      </c>
      <c r="I559" s="2">
        <v>0.42</v>
      </c>
      <c r="J559" s="2">
        <v>30.33</v>
      </c>
      <c r="K559" s="5">
        <f>nantucket[[#This Row],[MW Factor]]-resources!$B$14</f>
        <v>-19</v>
      </c>
    </row>
    <row r="560" spans="1:11" x14ac:dyDescent="0.3">
      <c r="A560" t="s">
        <v>49</v>
      </c>
      <c r="B560">
        <v>947</v>
      </c>
      <c r="C560">
        <v>11</v>
      </c>
      <c r="D560">
        <v>16255</v>
      </c>
      <c r="E560" t="s">
        <v>10</v>
      </c>
      <c r="F560">
        <v>38</v>
      </c>
      <c r="G560" s="2">
        <v>30.01</v>
      </c>
      <c r="H560" s="2">
        <v>0</v>
      </c>
      <c r="I560" s="2">
        <v>0.22</v>
      </c>
      <c r="J560" s="2">
        <v>30.23</v>
      </c>
      <c r="K560" s="5">
        <f>nantucket[[#This Row],[MW Factor]]-resources!$B$14</f>
        <v>-19</v>
      </c>
    </row>
    <row r="561" spans="1:11" x14ac:dyDescent="0.3">
      <c r="A561" t="s">
        <v>51</v>
      </c>
      <c r="B561">
        <v>1007</v>
      </c>
      <c r="C561">
        <v>23</v>
      </c>
      <c r="D561">
        <v>16255</v>
      </c>
      <c r="E561" t="s">
        <v>10</v>
      </c>
      <c r="F561">
        <v>38</v>
      </c>
      <c r="G561" s="2">
        <v>25.75</v>
      </c>
      <c r="H561" s="2">
        <v>0</v>
      </c>
      <c r="I561" s="2">
        <v>0.45</v>
      </c>
      <c r="J561" s="2">
        <v>26.2</v>
      </c>
      <c r="K561" s="5">
        <f>nantucket[[#This Row],[MW Factor]]-resources!$B$14</f>
        <v>-19</v>
      </c>
    </row>
    <row r="562" spans="1:11" x14ac:dyDescent="0.3">
      <c r="A562" t="s">
        <v>52</v>
      </c>
      <c r="B562">
        <v>1023</v>
      </c>
      <c r="C562">
        <v>15</v>
      </c>
      <c r="D562">
        <v>16255</v>
      </c>
      <c r="E562" t="s">
        <v>10</v>
      </c>
      <c r="F562">
        <v>38</v>
      </c>
      <c r="G562" s="2">
        <v>28.59</v>
      </c>
      <c r="H562" s="2">
        <v>0</v>
      </c>
      <c r="I562" s="2">
        <v>0.26</v>
      </c>
      <c r="J562" s="2">
        <v>28.85</v>
      </c>
      <c r="K562" s="5">
        <f>nantucket[[#This Row],[MW Factor]]-resources!$B$14</f>
        <v>-19</v>
      </c>
    </row>
    <row r="563" spans="1:11" x14ac:dyDescent="0.3">
      <c r="A563" t="s">
        <v>52</v>
      </c>
      <c r="B563">
        <v>1031</v>
      </c>
      <c r="C563">
        <v>23</v>
      </c>
      <c r="D563">
        <v>16255</v>
      </c>
      <c r="E563" t="s">
        <v>10</v>
      </c>
      <c r="F563">
        <v>38</v>
      </c>
      <c r="G563" s="2">
        <v>26.33</v>
      </c>
      <c r="H563" s="2">
        <v>0</v>
      </c>
      <c r="I563" s="2">
        <v>0.42</v>
      </c>
      <c r="J563" s="2">
        <v>26.75</v>
      </c>
      <c r="K563" s="5">
        <f>nantucket[[#This Row],[MW Factor]]-resources!$B$14</f>
        <v>-19</v>
      </c>
    </row>
    <row r="564" spans="1:11" x14ac:dyDescent="0.3">
      <c r="A564" t="s">
        <v>53</v>
      </c>
      <c r="B564">
        <v>1048</v>
      </c>
      <c r="C564">
        <v>16</v>
      </c>
      <c r="D564">
        <v>16255</v>
      </c>
      <c r="E564" t="s">
        <v>10</v>
      </c>
      <c r="F564">
        <v>38</v>
      </c>
      <c r="G564" s="2">
        <v>32.22</v>
      </c>
      <c r="H564" s="2">
        <v>0</v>
      </c>
      <c r="I564" s="2">
        <v>0.43</v>
      </c>
      <c r="J564" s="2">
        <v>32.65</v>
      </c>
      <c r="K564" s="5">
        <f>nantucket[[#This Row],[MW Factor]]-resources!$B$14</f>
        <v>-19</v>
      </c>
    </row>
    <row r="565" spans="1:11" x14ac:dyDescent="0.3">
      <c r="A565" t="s">
        <v>54</v>
      </c>
      <c r="B565">
        <v>1069</v>
      </c>
      <c r="C565">
        <v>13</v>
      </c>
      <c r="D565">
        <v>16255</v>
      </c>
      <c r="E565" t="s">
        <v>10</v>
      </c>
      <c r="F565">
        <v>38</v>
      </c>
      <c r="G565" s="2">
        <v>28.74</v>
      </c>
      <c r="H565" s="2">
        <v>0</v>
      </c>
      <c r="I565" s="2">
        <v>0.24</v>
      </c>
      <c r="J565" s="2">
        <v>28.98</v>
      </c>
      <c r="K565" s="5">
        <f>nantucket[[#This Row],[MW Factor]]-resources!$B$14</f>
        <v>-19</v>
      </c>
    </row>
    <row r="566" spans="1:11" x14ac:dyDescent="0.3">
      <c r="A566" t="s">
        <v>54</v>
      </c>
      <c r="B566">
        <v>1070</v>
      </c>
      <c r="C566">
        <v>14</v>
      </c>
      <c r="D566">
        <v>16255</v>
      </c>
      <c r="E566" t="s">
        <v>10</v>
      </c>
      <c r="F566">
        <v>38</v>
      </c>
      <c r="G566" s="2">
        <v>43.3</v>
      </c>
      <c r="H566" s="2">
        <v>0</v>
      </c>
      <c r="I566" s="2">
        <v>0.37</v>
      </c>
      <c r="J566" s="2">
        <v>43.67</v>
      </c>
      <c r="K566" s="5">
        <f>nantucket[[#This Row],[MW Factor]]-resources!$B$14</f>
        <v>-19</v>
      </c>
    </row>
    <row r="567" spans="1:11" x14ac:dyDescent="0.3">
      <c r="A567" t="s">
        <v>54</v>
      </c>
      <c r="B567">
        <v>1079</v>
      </c>
      <c r="C567">
        <v>23</v>
      </c>
      <c r="D567">
        <v>16255</v>
      </c>
      <c r="E567" t="s">
        <v>10</v>
      </c>
      <c r="F567">
        <v>38</v>
      </c>
      <c r="G567" s="2">
        <v>33.159999999999997</v>
      </c>
      <c r="H567" s="2">
        <v>0</v>
      </c>
      <c r="I567" s="2">
        <v>0.41</v>
      </c>
      <c r="J567" s="2">
        <v>33.57</v>
      </c>
      <c r="K567" s="5">
        <f>nantucket[[#This Row],[MW Factor]]-resources!$B$14</f>
        <v>-19</v>
      </c>
    </row>
    <row r="568" spans="1:11" x14ac:dyDescent="0.3">
      <c r="A568" t="s">
        <v>55</v>
      </c>
      <c r="B568">
        <v>1093</v>
      </c>
      <c r="C568">
        <v>13</v>
      </c>
      <c r="D568">
        <v>16255</v>
      </c>
      <c r="E568" t="s">
        <v>10</v>
      </c>
      <c r="F568">
        <v>38</v>
      </c>
      <c r="G568" s="2">
        <v>35.54</v>
      </c>
      <c r="H568" s="2">
        <v>0</v>
      </c>
      <c r="I568" s="2">
        <v>0.19</v>
      </c>
      <c r="J568" s="2">
        <v>35.729999999999997</v>
      </c>
      <c r="K568" s="5">
        <f>nantucket[[#This Row],[MW Factor]]-resources!$B$14</f>
        <v>-19</v>
      </c>
    </row>
    <row r="569" spans="1:11" x14ac:dyDescent="0.3">
      <c r="A569" t="s">
        <v>55</v>
      </c>
      <c r="B569">
        <v>1094</v>
      </c>
      <c r="C569">
        <v>14</v>
      </c>
      <c r="D569">
        <v>16255</v>
      </c>
      <c r="E569" t="s">
        <v>10</v>
      </c>
      <c r="F569">
        <v>38</v>
      </c>
      <c r="G569" s="2">
        <v>49.2</v>
      </c>
      <c r="H569" s="2">
        <v>0</v>
      </c>
      <c r="I569" s="2">
        <v>0.3</v>
      </c>
      <c r="J569" s="2">
        <v>49.5</v>
      </c>
      <c r="K569" s="5">
        <f>nantucket[[#This Row],[MW Factor]]-resources!$B$14</f>
        <v>-19</v>
      </c>
    </row>
    <row r="570" spans="1:11" x14ac:dyDescent="0.3">
      <c r="A570" t="s">
        <v>56</v>
      </c>
      <c r="B570">
        <v>1120</v>
      </c>
      <c r="C570">
        <v>16</v>
      </c>
      <c r="D570">
        <v>16255</v>
      </c>
      <c r="E570" t="s">
        <v>10</v>
      </c>
      <c r="F570">
        <v>38</v>
      </c>
      <c r="G570" s="2">
        <v>30.37</v>
      </c>
      <c r="H570" s="2">
        <v>0</v>
      </c>
      <c r="I570" s="2">
        <v>0.02</v>
      </c>
      <c r="J570" s="2">
        <v>30.39</v>
      </c>
      <c r="K570" s="5">
        <f>nantucket[[#This Row],[MW Factor]]-resources!$B$14</f>
        <v>-19</v>
      </c>
    </row>
    <row r="571" spans="1:11" x14ac:dyDescent="0.3">
      <c r="A571" t="s">
        <v>58</v>
      </c>
      <c r="B571">
        <v>1167</v>
      </c>
      <c r="C571">
        <v>15</v>
      </c>
      <c r="D571">
        <v>16255</v>
      </c>
      <c r="E571" t="s">
        <v>10</v>
      </c>
      <c r="F571">
        <v>38</v>
      </c>
      <c r="G571" s="2">
        <v>23.61</v>
      </c>
      <c r="H571" s="2">
        <v>0</v>
      </c>
      <c r="I571" s="2">
        <v>0.28000000000000003</v>
      </c>
      <c r="J571" s="2">
        <v>23.89</v>
      </c>
      <c r="K571" s="5">
        <f>nantucket[[#This Row],[MW Factor]]-resources!$B$14</f>
        <v>-19</v>
      </c>
    </row>
    <row r="572" spans="1:11" x14ac:dyDescent="0.3">
      <c r="A572" t="s">
        <v>59</v>
      </c>
      <c r="B572">
        <v>1188</v>
      </c>
      <c r="C572">
        <v>12</v>
      </c>
      <c r="D572">
        <v>16255</v>
      </c>
      <c r="E572" t="s">
        <v>10</v>
      </c>
      <c r="F572">
        <v>38</v>
      </c>
      <c r="G572" s="2">
        <v>38.75</v>
      </c>
      <c r="H572" s="2">
        <v>0</v>
      </c>
      <c r="I572" s="2">
        <v>0.31</v>
      </c>
      <c r="J572" s="2">
        <v>39.06</v>
      </c>
      <c r="K572" s="5">
        <f>nantucket[[#This Row],[MW Factor]]-resources!$B$14</f>
        <v>-19</v>
      </c>
    </row>
    <row r="573" spans="1:11" x14ac:dyDescent="0.3">
      <c r="A573" t="s">
        <v>59</v>
      </c>
      <c r="B573">
        <v>1199</v>
      </c>
      <c r="C573">
        <v>23</v>
      </c>
      <c r="D573">
        <v>16255</v>
      </c>
      <c r="E573" t="s">
        <v>10</v>
      </c>
      <c r="F573">
        <v>38</v>
      </c>
      <c r="G573" s="2">
        <v>34.01</v>
      </c>
      <c r="H573" s="2">
        <v>0</v>
      </c>
      <c r="I573" s="2">
        <v>0.55000000000000004</v>
      </c>
      <c r="J573" s="2">
        <v>34.56</v>
      </c>
      <c r="K573" s="5">
        <f>nantucket[[#This Row],[MW Factor]]-resources!$B$14</f>
        <v>-19</v>
      </c>
    </row>
    <row r="574" spans="1:11" x14ac:dyDescent="0.3">
      <c r="A574" t="s">
        <v>60</v>
      </c>
      <c r="B574">
        <v>1219</v>
      </c>
      <c r="C574">
        <v>19</v>
      </c>
      <c r="D574">
        <v>16255</v>
      </c>
      <c r="E574" t="s">
        <v>10</v>
      </c>
      <c r="F574">
        <v>38</v>
      </c>
      <c r="G574" s="2">
        <v>28.46</v>
      </c>
      <c r="H574" s="2">
        <v>0</v>
      </c>
      <c r="I574" s="2">
        <v>0.64</v>
      </c>
      <c r="J574" s="2">
        <v>29.1</v>
      </c>
      <c r="K574" s="5">
        <f>nantucket[[#This Row],[MW Factor]]-resources!$B$14</f>
        <v>-19</v>
      </c>
    </row>
    <row r="575" spans="1:11" x14ac:dyDescent="0.3">
      <c r="A575" t="s">
        <v>60</v>
      </c>
      <c r="B575">
        <v>1220</v>
      </c>
      <c r="C575">
        <v>20</v>
      </c>
      <c r="D575">
        <v>16255</v>
      </c>
      <c r="E575" t="s">
        <v>10</v>
      </c>
      <c r="F575">
        <v>38</v>
      </c>
      <c r="G575" s="2">
        <v>38.44</v>
      </c>
      <c r="H575" s="2">
        <v>0</v>
      </c>
      <c r="I575" s="2">
        <v>0.84</v>
      </c>
      <c r="J575" s="2">
        <v>39.28</v>
      </c>
      <c r="K575" s="5">
        <f>nantucket[[#This Row],[MW Factor]]-resources!$B$14</f>
        <v>-19</v>
      </c>
    </row>
    <row r="576" spans="1:11" x14ac:dyDescent="0.3">
      <c r="A576" t="s">
        <v>64</v>
      </c>
      <c r="B576">
        <v>1312</v>
      </c>
      <c r="C576">
        <v>16</v>
      </c>
      <c r="D576">
        <v>16255</v>
      </c>
      <c r="E576" t="s">
        <v>10</v>
      </c>
      <c r="F576">
        <v>38</v>
      </c>
      <c r="G576" s="2">
        <v>21.45</v>
      </c>
      <c r="H576" s="2">
        <v>0</v>
      </c>
      <c r="I576" s="2">
        <v>0.33</v>
      </c>
      <c r="J576" s="2">
        <v>21.78</v>
      </c>
      <c r="K576" s="5">
        <f>nantucket[[#This Row],[MW Factor]]-resources!$B$14</f>
        <v>-19</v>
      </c>
    </row>
    <row r="577" spans="1:11" x14ac:dyDescent="0.3">
      <c r="A577" t="s">
        <v>65</v>
      </c>
      <c r="B577">
        <v>1336</v>
      </c>
      <c r="C577">
        <v>16</v>
      </c>
      <c r="D577">
        <v>16255</v>
      </c>
      <c r="E577" t="s">
        <v>10</v>
      </c>
      <c r="F577">
        <v>38</v>
      </c>
      <c r="G577" s="2">
        <v>45.23</v>
      </c>
      <c r="H577" s="2">
        <v>0</v>
      </c>
      <c r="I577" s="2">
        <v>0.51</v>
      </c>
      <c r="J577" s="2">
        <v>45.74</v>
      </c>
      <c r="K577" s="5">
        <f>nantucket[[#This Row],[MW Factor]]-resources!$B$14</f>
        <v>-19</v>
      </c>
    </row>
    <row r="578" spans="1:11" x14ac:dyDescent="0.3">
      <c r="A578" t="s">
        <v>66</v>
      </c>
      <c r="B578">
        <v>1359</v>
      </c>
      <c r="C578">
        <v>15</v>
      </c>
      <c r="D578">
        <v>16255</v>
      </c>
      <c r="E578" t="s">
        <v>10</v>
      </c>
      <c r="F578">
        <v>38</v>
      </c>
      <c r="G578" s="2">
        <v>47.79</v>
      </c>
      <c r="H578" s="2">
        <v>0</v>
      </c>
      <c r="I578" s="2">
        <v>0.17</v>
      </c>
      <c r="J578" s="2">
        <v>47.96</v>
      </c>
      <c r="K578" s="5">
        <f>nantucket[[#This Row],[MW Factor]]-resources!$B$14</f>
        <v>-19</v>
      </c>
    </row>
    <row r="579" spans="1:11" x14ac:dyDescent="0.3">
      <c r="A579" t="s">
        <v>67</v>
      </c>
      <c r="B579">
        <v>1385</v>
      </c>
      <c r="C579">
        <v>17</v>
      </c>
      <c r="D579">
        <v>16255</v>
      </c>
      <c r="E579" t="s">
        <v>10</v>
      </c>
      <c r="F579">
        <v>38</v>
      </c>
      <c r="G579" s="2">
        <v>32.93</v>
      </c>
      <c r="H579" s="2">
        <v>0</v>
      </c>
      <c r="I579" s="2">
        <v>0.11</v>
      </c>
      <c r="J579" s="2">
        <v>33.04</v>
      </c>
      <c r="K579" s="5">
        <f>nantucket[[#This Row],[MW Factor]]-resources!$B$14</f>
        <v>-19</v>
      </c>
    </row>
    <row r="580" spans="1:11" x14ac:dyDescent="0.3">
      <c r="A580" t="s">
        <v>68</v>
      </c>
      <c r="B580">
        <v>1406</v>
      </c>
      <c r="C580">
        <v>14</v>
      </c>
      <c r="D580">
        <v>16255</v>
      </c>
      <c r="E580" t="s">
        <v>10</v>
      </c>
      <c r="F580">
        <v>38</v>
      </c>
      <c r="G580" s="2">
        <v>30.87</v>
      </c>
      <c r="H580" s="2">
        <v>0</v>
      </c>
      <c r="I580" s="2">
        <v>0.2</v>
      </c>
      <c r="J580" s="2">
        <v>31.07</v>
      </c>
      <c r="K580" s="5">
        <f>nantucket[[#This Row],[MW Factor]]-resources!$B$14</f>
        <v>-19</v>
      </c>
    </row>
    <row r="581" spans="1:11" x14ac:dyDescent="0.3">
      <c r="A581" t="s">
        <v>68</v>
      </c>
      <c r="B581">
        <v>1408</v>
      </c>
      <c r="C581">
        <v>16</v>
      </c>
      <c r="D581">
        <v>16255</v>
      </c>
      <c r="E581" t="s">
        <v>10</v>
      </c>
      <c r="F581">
        <v>38</v>
      </c>
      <c r="G581" s="2">
        <v>29.77</v>
      </c>
      <c r="H581" s="2">
        <v>0</v>
      </c>
      <c r="I581" s="2">
        <v>0.37</v>
      </c>
      <c r="J581" s="2">
        <v>30.14</v>
      </c>
      <c r="K581" s="5">
        <f>nantucket[[#This Row],[MW Factor]]-resources!$B$14</f>
        <v>-19</v>
      </c>
    </row>
    <row r="582" spans="1:11" x14ac:dyDescent="0.3">
      <c r="A582" t="s">
        <v>71</v>
      </c>
      <c r="B582">
        <v>1481</v>
      </c>
      <c r="C582">
        <v>17</v>
      </c>
      <c r="D582">
        <v>16255</v>
      </c>
      <c r="E582" t="s">
        <v>10</v>
      </c>
      <c r="F582">
        <v>38</v>
      </c>
      <c r="G582" s="2">
        <v>32.229999999999997</v>
      </c>
      <c r="H582" s="2">
        <v>0</v>
      </c>
      <c r="I582" s="2">
        <v>0.61</v>
      </c>
      <c r="J582" s="2">
        <v>32.840000000000003</v>
      </c>
      <c r="K582" s="5">
        <f>nantucket[[#This Row],[MW Factor]]-resources!$B$14</f>
        <v>-19</v>
      </c>
    </row>
    <row r="583" spans="1:11" x14ac:dyDescent="0.3">
      <c r="A583" t="s">
        <v>71</v>
      </c>
      <c r="B583">
        <v>1485</v>
      </c>
      <c r="C583">
        <v>21</v>
      </c>
      <c r="D583">
        <v>16255</v>
      </c>
      <c r="E583" t="s">
        <v>10</v>
      </c>
      <c r="F583">
        <v>38</v>
      </c>
      <c r="G583" s="2">
        <v>31.37</v>
      </c>
      <c r="H583" s="2">
        <v>0</v>
      </c>
      <c r="I583" s="2">
        <v>0.76</v>
      </c>
      <c r="J583" s="2">
        <v>32.130000000000003</v>
      </c>
      <c r="K583" s="5">
        <f>nantucket[[#This Row],[MW Factor]]-resources!$B$14</f>
        <v>-19</v>
      </c>
    </row>
    <row r="584" spans="1:11" x14ac:dyDescent="0.3">
      <c r="A584" t="s">
        <v>11</v>
      </c>
      <c r="B584">
        <v>46</v>
      </c>
      <c r="C584">
        <v>22</v>
      </c>
      <c r="D584">
        <v>16255</v>
      </c>
      <c r="E584" t="s">
        <v>10</v>
      </c>
      <c r="F584">
        <v>37</v>
      </c>
      <c r="G584" s="2">
        <v>33.729999999999997</v>
      </c>
      <c r="H584" s="2">
        <v>0</v>
      </c>
      <c r="I584" s="2">
        <v>0.64</v>
      </c>
      <c r="J584" s="2">
        <v>34.369999999999997</v>
      </c>
      <c r="K584" s="5">
        <f>nantucket[[#This Row],[MW Factor]]-resources!$B$14</f>
        <v>-20</v>
      </c>
    </row>
    <row r="585" spans="1:11" x14ac:dyDescent="0.3">
      <c r="A585" t="s">
        <v>12</v>
      </c>
      <c r="B585">
        <v>71</v>
      </c>
      <c r="C585">
        <v>23</v>
      </c>
      <c r="D585">
        <v>16255</v>
      </c>
      <c r="E585" t="s">
        <v>10</v>
      </c>
      <c r="F585">
        <v>37</v>
      </c>
      <c r="G585" s="2">
        <v>38.6</v>
      </c>
      <c r="H585" s="2">
        <v>0</v>
      </c>
      <c r="I585" s="2">
        <v>0.76</v>
      </c>
      <c r="J585" s="2">
        <v>39.36</v>
      </c>
      <c r="K585" s="5">
        <f>nantucket[[#This Row],[MW Factor]]-resources!$B$14</f>
        <v>-20</v>
      </c>
    </row>
    <row r="586" spans="1:11" x14ac:dyDescent="0.3">
      <c r="A586" t="s">
        <v>13</v>
      </c>
      <c r="B586">
        <v>93</v>
      </c>
      <c r="C586">
        <v>21</v>
      </c>
      <c r="D586">
        <v>16255</v>
      </c>
      <c r="E586" t="s">
        <v>10</v>
      </c>
      <c r="F586">
        <v>37</v>
      </c>
      <c r="G586" s="2">
        <v>44.11</v>
      </c>
      <c r="H586" s="2">
        <v>0</v>
      </c>
      <c r="I586" s="2">
        <v>0.45</v>
      </c>
      <c r="J586" s="2">
        <v>44.56</v>
      </c>
      <c r="K586" s="5">
        <f>nantucket[[#This Row],[MW Factor]]-resources!$B$14</f>
        <v>-20</v>
      </c>
    </row>
    <row r="587" spans="1:11" x14ac:dyDescent="0.3">
      <c r="A587" t="s">
        <v>15</v>
      </c>
      <c r="B587">
        <v>131</v>
      </c>
      <c r="C587">
        <v>11</v>
      </c>
      <c r="D587">
        <v>16255</v>
      </c>
      <c r="E587" t="s">
        <v>10</v>
      </c>
      <c r="F587">
        <v>37</v>
      </c>
      <c r="G587" s="2">
        <v>23.97</v>
      </c>
      <c r="H587" s="2">
        <v>0</v>
      </c>
      <c r="I587" s="2">
        <v>0.38</v>
      </c>
      <c r="J587" s="2">
        <v>24.35</v>
      </c>
      <c r="K587" s="5">
        <f>nantucket[[#This Row],[MW Factor]]-resources!$B$14</f>
        <v>-20</v>
      </c>
    </row>
    <row r="588" spans="1:11" x14ac:dyDescent="0.3">
      <c r="A588" t="s">
        <v>16</v>
      </c>
      <c r="B588">
        <v>155</v>
      </c>
      <c r="C588">
        <v>11</v>
      </c>
      <c r="D588">
        <v>16255</v>
      </c>
      <c r="E588" t="s">
        <v>10</v>
      </c>
      <c r="F588">
        <v>37</v>
      </c>
      <c r="G588" s="2">
        <v>21.77</v>
      </c>
      <c r="H588" s="2">
        <v>0</v>
      </c>
      <c r="I588" s="2">
        <v>0.32</v>
      </c>
      <c r="J588" s="2">
        <v>22.09</v>
      </c>
      <c r="K588" s="5">
        <f>nantucket[[#This Row],[MW Factor]]-resources!$B$14</f>
        <v>-20</v>
      </c>
    </row>
    <row r="589" spans="1:11" x14ac:dyDescent="0.3">
      <c r="A589" t="s">
        <v>17</v>
      </c>
      <c r="B589">
        <v>192</v>
      </c>
      <c r="C589">
        <v>24</v>
      </c>
      <c r="D589">
        <v>16255</v>
      </c>
      <c r="E589" t="s">
        <v>10</v>
      </c>
      <c r="F589">
        <v>37</v>
      </c>
      <c r="G589" s="2">
        <v>33.25</v>
      </c>
      <c r="H589" s="2">
        <v>0</v>
      </c>
      <c r="I589" s="2">
        <v>0.5</v>
      </c>
      <c r="J589" s="2">
        <v>33.75</v>
      </c>
      <c r="K589" s="5">
        <f>nantucket[[#This Row],[MW Factor]]-resources!$B$14</f>
        <v>-20</v>
      </c>
    </row>
    <row r="590" spans="1:11" x14ac:dyDescent="0.3">
      <c r="A590" t="s">
        <v>18</v>
      </c>
      <c r="B590">
        <v>202</v>
      </c>
      <c r="C590">
        <v>10</v>
      </c>
      <c r="D590">
        <v>16255</v>
      </c>
      <c r="E590" t="s">
        <v>10</v>
      </c>
      <c r="F590">
        <v>37</v>
      </c>
      <c r="G590" s="2">
        <v>54.66</v>
      </c>
      <c r="H590" s="2">
        <v>0</v>
      </c>
      <c r="I590" s="2">
        <v>0.35</v>
      </c>
      <c r="J590" s="2">
        <v>55.01</v>
      </c>
      <c r="K590" s="5">
        <f>nantucket[[#This Row],[MW Factor]]-resources!$B$14</f>
        <v>-20</v>
      </c>
    </row>
    <row r="591" spans="1:11" x14ac:dyDescent="0.3">
      <c r="A591" t="s">
        <v>18</v>
      </c>
      <c r="B591">
        <v>216</v>
      </c>
      <c r="C591">
        <v>24</v>
      </c>
      <c r="D591">
        <v>16255</v>
      </c>
      <c r="E591" t="s">
        <v>10</v>
      </c>
      <c r="F591">
        <v>37</v>
      </c>
      <c r="G591" s="2">
        <v>43.89</v>
      </c>
      <c r="H591" s="2">
        <v>0.6</v>
      </c>
      <c r="I591" s="2">
        <v>0.61</v>
      </c>
      <c r="J591" s="2">
        <v>45.1</v>
      </c>
      <c r="K591" s="5">
        <f>nantucket[[#This Row],[MW Factor]]-resources!$B$14</f>
        <v>-20</v>
      </c>
    </row>
    <row r="592" spans="1:11" x14ac:dyDescent="0.3">
      <c r="A592" t="s">
        <v>22</v>
      </c>
      <c r="B592">
        <v>312</v>
      </c>
      <c r="C592">
        <v>24</v>
      </c>
      <c r="D592">
        <v>16255</v>
      </c>
      <c r="E592" t="s">
        <v>10</v>
      </c>
      <c r="F592">
        <v>37</v>
      </c>
      <c r="G592" s="2">
        <v>33.840000000000003</v>
      </c>
      <c r="H592" s="2">
        <v>0</v>
      </c>
      <c r="I592" s="2">
        <v>0.61</v>
      </c>
      <c r="J592" s="2">
        <v>34.450000000000003</v>
      </c>
      <c r="K592" s="5">
        <f>nantucket[[#This Row],[MW Factor]]-resources!$B$14</f>
        <v>-20</v>
      </c>
    </row>
    <row r="593" spans="1:11" x14ac:dyDescent="0.3">
      <c r="A593" t="s">
        <v>23</v>
      </c>
      <c r="B593">
        <v>336</v>
      </c>
      <c r="C593">
        <v>24</v>
      </c>
      <c r="D593">
        <v>16255</v>
      </c>
      <c r="E593" t="s">
        <v>10</v>
      </c>
      <c r="F593">
        <v>37</v>
      </c>
      <c r="G593" s="2">
        <v>28.82</v>
      </c>
      <c r="H593" s="2">
        <v>0</v>
      </c>
      <c r="I593" s="2">
        <v>0.3</v>
      </c>
      <c r="J593" s="2">
        <v>29.12</v>
      </c>
      <c r="K593" s="5">
        <f>nantucket[[#This Row],[MW Factor]]-resources!$B$14</f>
        <v>-20</v>
      </c>
    </row>
    <row r="594" spans="1:11" x14ac:dyDescent="0.3">
      <c r="A594" t="s">
        <v>26</v>
      </c>
      <c r="B594">
        <v>386</v>
      </c>
      <c r="C594">
        <v>2</v>
      </c>
      <c r="D594">
        <v>16255</v>
      </c>
      <c r="E594" t="s">
        <v>10</v>
      </c>
      <c r="F594">
        <v>37</v>
      </c>
      <c r="G594" s="2">
        <v>47.55</v>
      </c>
      <c r="H594" s="2">
        <v>0.04</v>
      </c>
      <c r="I594" s="2">
        <v>0.32</v>
      </c>
      <c r="J594" s="2">
        <v>47.91</v>
      </c>
      <c r="K594" s="5">
        <f>nantucket[[#This Row],[MW Factor]]-resources!$B$14</f>
        <v>-20</v>
      </c>
    </row>
    <row r="595" spans="1:11" x14ac:dyDescent="0.3">
      <c r="A595" t="s">
        <v>27</v>
      </c>
      <c r="B595">
        <v>417</v>
      </c>
      <c r="C595">
        <v>9</v>
      </c>
      <c r="D595">
        <v>16255</v>
      </c>
      <c r="E595" t="s">
        <v>10</v>
      </c>
      <c r="F595">
        <v>37</v>
      </c>
      <c r="G595" s="2">
        <v>50.54</v>
      </c>
      <c r="H595" s="2">
        <v>0</v>
      </c>
      <c r="I595" s="2">
        <v>0.66</v>
      </c>
      <c r="J595" s="2">
        <v>51.2</v>
      </c>
      <c r="K595" s="5">
        <f>nantucket[[#This Row],[MW Factor]]-resources!$B$14</f>
        <v>-20</v>
      </c>
    </row>
    <row r="596" spans="1:11" x14ac:dyDescent="0.3">
      <c r="A596" t="s">
        <v>28</v>
      </c>
      <c r="B596">
        <v>442</v>
      </c>
      <c r="C596">
        <v>10</v>
      </c>
      <c r="D596">
        <v>16255</v>
      </c>
      <c r="E596" t="s">
        <v>10</v>
      </c>
      <c r="F596">
        <v>37</v>
      </c>
      <c r="G596" s="2">
        <v>23.49</v>
      </c>
      <c r="H596" s="2">
        <v>0</v>
      </c>
      <c r="I596" s="2">
        <v>0.27</v>
      </c>
      <c r="J596" s="2">
        <v>23.76</v>
      </c>
      <c r="K596" s="5">
        <f>nantucket[[#This Row],[MW Factor]]-resources!$B$14</f>
        <v>-20</v>
      </c>
    </row>
    <row r="597" spans="1:11" x14ac:dyDescent="0.3">
      <c r="A597" t="s">
        <v>29</v>
      </c>
      <c r="B597">
        <v>467</v>
      </c>
      <c r="C597">
        <v>11</v>
      </c>
      <c r="D597">
        <v>16255</v>
      </c>
      <c r="E597" t="s">
        <v>10</v>
      </c>
      <c r="F597">
        <v>37</v>
      </c>
      <c r="G597" s="2">
        <v>23.29</v>
      </c>
      <c r="H597" s="2">
        <v>0</v>
      </c>
      <c r="I597" s="2">
        <v>0.36</v>
      </c>
      <c r="J597" s="2">
        <v>23.65</v>
      </c>
      <c r="K597" s="5">
        <f>nantucket[[#This Row],[MW Factor]]-resources!$B$14</f>
        <v>-20</v>
      </c>
    </row>
    <row r="598" spans="1:11" x14ac:dyDescent="0.3">
      <c r="A598" t="s">
        <v>29</v>
      </c>
      <c r="B598">
        <v>480</v>
      </c>
      <c r="C598">
        <v>24</v>
      </c>
      <c r="D598">
        <v>16255</v>
      </c>
      <c r="E598" t="s">
        <v>10</v>
      </c>
      <c r="F598">
        <v>37</v>
      </c>
      <c r="G598" s="2">
        <v>36.22</v>
      </c>
      <c r="H598" s="2">
        <v>0</v>
      </c>
      <c r="I598" s="2">
        <v>0.67</v>
      </c>
      <c r="J598" s="2">
        <v>36.89</v>
      </c>
      <c r="K598" s="5">
        <f>nantucket[[#This Row],[MW Factor]]-resources!$B$14</f>
        <v>-20</v>
      </c>
    </row>
    <row r="599" spans="1:11" x14ac:dyDescent="0.3">
      <c r="A599" t="s">
        <v>30</v>
      </c>
      <c r="B599">
        <v>504</v>
      </c>
      <c r="C599">
        <v>24</v>
      </c>
      <c r="D599">
        <v>16255</v>
      </c>
      <c r="E599" t="s">
        <v>10</v>
      </c>
      <c r="F599">
        <v>37</v>
      </c>
      <c r="G599" s="2">
        <v>36.58</v>
      </c>
      <c r="H599" s="2">
        <v>0</v>
      </c>
      <c r="I599" s="2">
        <v>0.63</v>
      </c>
      <c r="J599" s="2">
        <v>37.21</v>
      </c>
      <c r="K599" s="5">
        <f>nantucket[[#This Row],[MW Factor]]-resources!$B$14</f>
        <v>-20</v>
      </c>
    </row>
    <row r="600" spans="1:11" x14ac:dyDescent="0.3">
      <c r="A600" t="s">
        <v>32</v>
      </c>
      <c r="B600">
        <v>550</v>
      </c>
      <c r="C600">
        <v>22</v>
      </c>
      <c r="D600">
        <v>16255</v>
      </c>
      <c r="E600" t="s">
        <v>10</v>
      </c>
      <c r="F600">
        <v>37</v>
      </c>
      <c r="G600" s="2">
        <v>33.51</v>
      </c>
      <c r="H600" s="2">
        <v>0</v>
      </c>
      <c r="I600" s="2">
        <v>0.26</v>
      </c>
      <c r="J600" s="2">
        <v>33.770000000000003</v>
      </c>
      <c r="K600" s="5">
        <f>nantucket[[#This Row],[MW Factor]]-resources!$B$14</f>
        <v>-20</v>
      </c>
    </row>
    <row r="601" spans="1:11" x14ac:dyDescent="0.3">
      <c r="A601" t="s">
        <v>33</v>
      </c>
      <c r="B601">
        <v>570</v>
      </c>
      <c r="C601">
        <v>18</v>
      </c>
      <c r="D601">
        <v>16255</v>
      </c>
      <c r="E601" t="s">
        <v>10</v>
      </c>
      <c r="F601">
        <v>37</v>
      </c>
      <c r="G601" s="2">
        <v>31.85</v>
      </c>
      <c r="H601" s="2">
        <v>0</v>
      </c>
      <c r="I601" s="2">
        <v>0.09</v>
      </c>
      <c r="J601" s="2">
        <v>31.94</v>
      </c>
      <c r="K601" s="5">
        <f>nantucket[[#This Row],[MW Factor]]-resources!$B$14</f>
        <v>-20</v>
      </c>
    </row>
    <row r="602" spans="1:11" x14ac:dyDescent="0.3">
      <c r="A602" t="s">
        <v>34</v>
      </c>
      <c r="B602">
        <v>588</v>
      </c>
      <c r="C602">
        <v>12</v>
      </c>
      <c r="D602">
        <v>16255</v>
      </c>
      <c r="E602" t="s">
        <v>10</v>
      </c>
      <c r="F602">
        <v>37</v>
      </c>
      <c r="G602" s="2">
        <v>44.1</v>
      </c>
      <c r="H602" s="2">
        <v>0</v>
      </c>
      <c r="I602" s="2">
        <v>0.27</v>
      </c>
      <c r="J602" s="2">
        <v>44.37</v>
      </c>
      <c r="K602" s="5">
        <f>nantucket[[#This Row],[MW Factor]]-resources!$B$14</f>
        <v>-20</v>
      </c>
    </row>
    <row r="603" spans="1:11" x14ac:dyDescent="0.3">
      <c r="A603" t="s">
        <v>34</v>
      </c>
      <c r="B603">
        <v>589</v>
      </c>
      <c r="C603">
        <v>13</v>
      </c>
      <c r="D603">
        <v>16255</v>
      </c>
      <c r="E603" t="s">
        <v>10</v>
      </c>
      <c r="F603">
        <v>37</v>
      </c>
      <c r="G603" s="2">
        <v>39.880000000000003</v>
      </c>
      <c r="H603" s="2">
        <v>0</v>
      </c>
      <c r="I603" s="2">
        <v>0.26</v>
      </c>
      <c r="J603" s="2">
        <v>40.14</v>
      </c>
      <c r="K603" s="5">
        <f>nantucket[[#This Row],[MW Factor]]-resources!$B$14</f>
        <v>-20</v>
      </c>
    </row>
    <row r="604" spans="1:11" x14ac:dyDescent="0.3">
      <c r="A604" t="s">
        <v>35</v>
      </c>
      <c r="B604">
        <v>615</v>
      </c>
      <c r="C604">
        <v>15</v>
      </c>
      <c r="D604">
        <v>16255</v>
      </c>
      <c r="E604" t="s">
        <v>10</v>
      </c>
      <c r="F604">
        <v>37</v>
      </c>
      <c r="G604" s="2">
        <v>25.74</v>
      </c>
      <c r="H604" s="2">
        <v>0</v>
      </c>
      <c r="I604" s="2">
        <v>0.28999999999999998</v>
      </c>
      <c r="J604" s="2">
        <v>26.03</v>
      </c>
      <c r="K604" s="5">
        <f>nantucket[[#This Row],[MW Factor]]-resources!$B$14</f>
        <v>-20</v>
      </c>
    </row>
    <row r="605" spans="1:11" x14ac:dyDescent="0.3">
      <c r="A605" t="s">
        <v>36</v>
      </c>
      <c r="B605">
        <v>635</v>
      </c>
      <c r="C605">
        <v>11</v>
      </c>
      <c r="D605">
        <v>16255</v>
      </c>
      <c r="E605" t="s">
        <v>10</v>
      </c>
      <c r="F605">
        <v>37</v>
      </c>
      <c r="G605" s="2">
        <v>21.19</v>
      </c>
      <c r="H605" s="2">
        <v>0</v>
      </c>
      <c r="I605" s="2">
        <v>0.2</v>
      </c>
      <c r="J605" s="2">
        <v>21.39</v>
      </c>
      <c r="K605" s="5">
        <f>nantucket[[#This Row],[MW Factor]]-resources!$B$14</f>
        <v>-20</v>
      </c>
    </row>
    <row r="606" spans="1:11" x14ac:dyDescent="0.3">
      <c r="A606" t="s">
        <v>39</v>
      </c>
      <c r="B606">
        <v>720</v>
      </c>
      <c r="C606">
        <v>24</v>
      </c>
      <c r="D606">
        <v>16255</v>
      </c>
      <c r="E606" t="s">
        <v>10</v>
      </c>
      <c r="F606">
        <v>37</v>
      </c>
      <c r="G606" s="2">
        <v>38.03</v>
      </c>
      <c r="H606" s="2">
        <v>0</v>
      </c>
      <c r="I606" s="2">
        <v>0.22</v>
      </c>
      <c r="J606" s="2">
        <v>38.25</v>
      </c>
      <c r="K606" s="5">
        <f>nantucket[[#This Row],[MW Factor]]-resources!$B$14</f>
        <v>-20</v>
      </c>
    </row>
    <row r="607" spans="1:11" x14ac:dyDescent="0.3">
      <c r="A607" t="s">
        <v>41</v>
      </c>
      <c r="B607">
        <v>753</v>
      </c>
      <c r="C607">
        <v>9</v>
      </c>
      <c r="D607">
        <v>16255</v>
      </c>
      <c r="E607" t="s">
        <v>10</v>
      </c>
      <c r="F607">
        <v>37</v>
      </c>
      <c r="G607" s="2">
        <v>44</v>
      </c>
      <c r="H607" s="2">
        <v>0</v>
      </c>
      <c r="I607" s="2">
        <v>0.61</v>
      </c>
      <c r="J607" s="2">
        <v>44.61</v>
      </c>
      <c r="K607" s="5">
        <f>nantucket[[#This Row],[MW Factor]]-resources!$B$14</f>
        <v>-20</v>
      </c>
    </row>
    <row r="608" spans="1:11" x14ac:dyDescent="0.3">
      <c r="A608" t="s">
        <v>42</v>
      </c>
      <c r="B608">
        <v>777</v>
      </c>
      <c r="C608">
        <v>9</v>
      </c>
      <c r="D608">
        <v>16255</v>
      </c>
      <c r="E608" t="s">
        <v>10</v>
      </c>
      <c r="F608">
        <v>37</v>
      </c>
      <c r="G608" s="2">
        <v>34.590000000000003</v>
      </c>
      <c r="H608" s="2">
        <v>0</v>
      </c>
      <c r="I608" s="2">
        <v>0.14000000000000001</v>
      </c>
      <c r="J608" s="2">
        <v>34.729999999999997</v>
      </c>
      <c r="K608" s="5">
        <f>nantucket[[#This Row],[MW Factor]]-resources!$B$14</f>
        <v>-20</v>
      </c>
    </row>
    <row r="609" spans="1:11" x14ac:dyDescent="0.3">
      <c r="A609" t="s">
        <v>44</v>
      </c>
      <c r="B609">
        <v>825</v>
      </c>
      <c r="C609">
        <v>9</v>
      </c>
      <c r="D609">
        <v>16255</v>
      </c>
      <c r="E609" t="s">
        <v>10</v>
      </c>
      <c r="F609">
        <v>37</v>
      </c>
      <c r="G609" s="2">
        <v>32.450000000000003</v>
      </c>
      <c r="H609" s="2">
        <v>0</v>
      </c>
      <c r="I609" s="2">
        <v>0.43</v>
      </c>
      <c r="J609" s="2">
        <v>32.880000000000003</v>
      </c>
      <c r="K609" s="5">
        <f>nantucket[[#This Row],[MW Factor]]-resources!$B$14</f>
        <v>-20</v>
      </c>
    </row>
    <row r="610" spans="1:11" x14ac:dyDescent="0.3">
      <c r="A610" t="s">
        <v>45</v>
      </c>
      <c r="B610">
        <v>841</v>
      </c>
      <c r="C610">
        <v>1</v>
      </c>
      <c r="D610">
        <v>16255</v>
      </c>
      <c r="E610" t="s">
        <v>10</v>
      </c>
      <c r="F610">
        <v>37</v>
      </c>
      <c r="G610" s="2">
        <v>23.1</v>
      </c>
      <c r="H610" s="2">
        <v>0</v>
      </c>
      <c r="I610" s="2">
        <v>0.4</v>
      </c>
      <c r="J610" s="2">
        <v>23.5</v>
      </c>
      <c r="K610" s="5">
        <f>nantucket[[#This Row],[MW Factor]]-resources!$B$14</f>
        <v>-20</v>
      </c>
    </row>
    <row r="611" spans="1:11" x14ac:dyDescent="0.3">
      <c r="A611" t="s">
        <v>46</v>
      </c>
      <c r="B611">
        <v>865</v>
      </c>
      <c r="C611">
        <v>1</v>
      </c>
      <c r="D611">
        <v>16255</v>
      </c>
      <c r="E611" t="s">
        <v>10</v>
      </c>
      <c r="F611">
        <v>37</v>
      </c>
      <c r="G611" s="2">
        <v>32.78</v>
      </c>
      <c r="H611" s="2">
        <v>0</v>
      </c>
      <c r="I611" s="2">
        <v>0.5</v>
      </c>
      <c r="J611" s="2">
        <v>33.28</v>
      </c>
      <c r="K611" s="5">
        <f>nantucket[[#This Row],[MW Factor]]-resources!$B$14</f>
        <v>-20</v>
      </c>
    </row>
    <row r="612" spans="1:11" x14ac:dyDescent="0.3">
      <c r="A612" t="s">
        <v>46</v>
      </c>
      <c r="B612">
        <v>866</v>
      </c>
      <c r="C612">
        <v>2</v>
      </c>
      <c r="D612">
        <v>16255</v>
      </c>
      <c r="E612" t="s">
        <v>10</v>
      </c>
      <c r="F612">
        <v>37</v>
      </c>
      <c r="G612" s="2">
        <v>32.700000000000003</v>
      </c>
      <c r="H612" s="2">
        <v>0</v>
      </c>
      <c r="I612" s="2">
        <v>0.46</v>
      </c>
      <c r="J612" s="2">
        <v>33.159999999999997</v>
      </c>
      <c r="K612" s="5">
        <f>nantucket[[#This Row],[MW Factor]]-resources!$B$14</f>
        <v>-20</v>
      </c>
    </row>
    <row r="613" spans="1:11" x14ac:dyDescent="0.3">
      <c r="A613" t="s">
        <v>50</v>
      </c>
      <c r="B613">
        <v>984</v>
      </c>
      <c r="C613">
        <v>24</v>
      </c>
      <c r="D613">
        <v>16255</v>
      </c>
      <c r="E613" t="s">
        <v>10</v>
      </c>
      <c r="F613">
        <v>37</v>
      </c>
      <c r="G613" s="2">
        <v>31.45</v>
      </c>
      <c r="H613" s="2">
        <v>0</v>
      </c>
      <c r="I613" s="2">
        <v>0.8</v>
      </c>
      <c r="J613" s="2">
        <v>32.25</v>
      </c>
      <c r="K613" s="5">
        <f>nantucket[[#This Row],[MW Factor]]-resources!$B$14</f>
        <v>-20</v>
      </c>
    </row>
    <row r="614" spans="1:11" x14ac:dyDescent="0.3">
      <c r="A614" t="s">
        <v>52</v>
      </c>
      <c r="B614">
        <v>1021</v>
      </c>
      <c r="C614">
        <v>13</v>
      </c>
      <c r="D614">
        <v>16255</v>
      </c>
      <c r="E614" t="s">
        <v>10</v>
      </c>
      <c r="F614">
        <v>37</v>
      </c>
      <c r="G614" s="2">
        <v>33.39</v>
      </c>
      <c r="H614" s="2">
        <v>0</v>
      </c>
      <c r="I614" s="2">
        <v>0.27</v>
      </c>
      <c r="J614" s="2">
        <v>33.659999999999997</v>
      </c>
      <c r="K614" s="5">
        <f>nantucket[[#This Row],[MW Factor]]-resources!$B$14</f>
        <v>-20</v>
      </c>
    </row>
    <row r="615" spans="1:11" x14ac:dyDescent="0.3">
      <c r="A615" t="s">
        <v>52</v>
      </c>
      <c r="B615">
        <v>1022</v>
      </c>
      <c r="C615">
        <v>14</v>
      </c>
      <c r="D615">
        <v>16255</v>
      </c>
      <c r="E615" t="s">
        <v>10</v>
      </c>
      <c r="F615">
        <v>37</v>
      </c>
      <c r="G615" s="2">
        <v>41.64</v>
      </c>
      <c r="H615" s="2">
        <v>0</v>
      </c>
      <c r="I615" s="2">
        <v>0.28999999999999998</v>
      </c>
      <c r="J615" s="2">
        <v>41.93</v>
      </c>
      <c r="K615" s="5">
        <f>nantucket[[#This Row],[MW Factor]]-resources!$B$14</f>
        <v>-20</v>
      </c>
    </row>
    <row r="616" spans="1:11" x14ac:dyDescent="0.3">
      <c r="A616" t="s">
        <v>53</v>
      </c>
      <c r="B616">
        <v>1047</v>
      </c>
      <c r="C616">
        <v>15</v>
      </c>
      <c r="D616">
        <v>16255</v>
      </c>
      <c r="E616" t="s">
        <v>10</v>
      </c>
      <c r="F616">
        <v>37</v>
      </c>
      <c r="G616" s="2">
        <v>33.89</v>
      </c>
      <c r="H616" s="2">
        <v>0</v>
      </c>
      <c r="I616" s="2">
        <v>0.44</v>
      </c>
      <c r="J616" s="2">
        <v>34.33</v>
      </c>
      <c r="K616" s="5">
        <f>nantucket[[#This Row],[MW Factor]]-resources!$B$14</f>
        <v>-20</v>
      </c>
    </row>
    <row r="617" spans="1:11" x14ac:dyDescent="0.3">
      <c r="A617" t="s">
        <v>56</v>
      </c>
      <c r="B617">
        <v>1117</v>
      </c>
      <c r="C617">
        <v>13</v>
      </c>
      <c r="D617">
        <v>16255</v>
      </c>
      <c r="E617" t="s">
        <v>10</v>
      </c>
      <c r="F617">
        <v>37</v>
      </c>
      <c r="G617" s="2">
        <v>23.18</v>
      </c>
      <c r="H617" s="2">
        <v>0</v>
      </c>
      <c r="I617" s="2">
        <v>0.18</v>
      </c>
      <c r="J617" s="2">
        <v>23.36</v>
      </c>
      <c r="K617" s="5">
        <f>nantucket[[#This Row],[MW Factor]]-resources!$B$14</f>
        <v>-20</v>
      </c>
    </row>
    <row r="618" spans="1:11" x14ac:dyDescent="0.3">
      <c r="A618" t="s">
        <v>56</v>
      </c>
      <c r="B618">
        <v>1118</v>
      </c>
      <c r="C618">
        <v>14</v>
      </c>
      <c r="D618">
        <v>16255</v>
      </c>
      <c r="E618" t="s">
        <v>10</v>
      </c>
      <c r="F618">
        <v>37</v>
      </c>
      <c r="G618" s="2">
        <v>24.91</v>
      </c>
      <c r="H618" s="2">
        <v>0</v>
      </c>
      <c r="I618" s="2">
        <v>0.06</v>
      </c>
      <c r="J618" s="2">
        <v>24.97</v>
      </c>
      <c r="K618" s="5">
        <f>nantucket[[#This Row],[MW Factor]]-resources!$B$14</f>
        <v>-20</v>
      </c>
    </row>
    <row r="619" spans="1:11" x14ac:dyDescent="0.3">
      <c r="A619" t="s">
        <v>56</v>
      </c>
      <c r="B619">
        <v>1119</v>
      </c>
      <c r="C619">
        <v>15</v>
      </c>
      <c r="D619">
        <v>16255</v>
      </c>
      <c r="E619" t="s">
        <v>10</v>
      </c>
      <c r="F619">
        <v>37</v>
      </c>
      <c r="G619" s="2">
        <v>28.07</v>
      </c>
      <c r="H619" s="2">
        <v>0</v>
      </c>
      <c r="I619" s="2">
        <v>-0.03</v>
      </c>
      <c r="J619" s="2">
        <v>28.04</v>
      </c>
      <c r="K619" s="5">
        <f>nantucket[[#This Row],[MW Factor]]-resources!$B$14</f>
        <v>-20</v>
      </c>
    </row>
    <row r="620" spans="1:11" x14ac:dyDescent="0.3">
      <c r="A620" t="s">
        <v>56</v>
      </c>
      <c r="B620">
        <v>1126</v>
      </c>
      <c r="C620">
        <v>22</v>
      </c>
      <c r="D620">
        <v>16255</v>
      </c>
      <c r="E620" t="s">
        <v>10</v>
      </c>
      <c r="F620">
        <v>37</v>
      </c>
      <c r="G620" s="2">
        <v>32.28</v>
      </c>
      <c r="H620" s="2">
        <v>0</v>
      </c>
      <c r="I620" s="2">
        <v>0.16</v>
      </c>
      <c r="J620" s="2">
        <v>32.44</v>
      </c>
      <c r="K620" s="5">
        <f>nantucket[[#This Row],[MW Factor]]-resources!$B$14</f>
        <v>-20</v>
      </c>
    </row>
    <row r="621" spans="1:11" x14ac:dyDescent="0.3">
      <c r="A621" t="s">
        <v>57</v>
      </c>
      <c r="B621">
        <v>1147</v>
      </c>
      <c r="C621">
        <v>19</v>
      </c>
      <c r="D621">
        <v>16255</v>
      </c>
      <c r="E621" t="s">
        <v>10</v>
      </c>
      <c r="F621">
        <v>37</v>
      </c>
      <c r="G621" s="2">
        <v>32.92</v>
      </c>
      <c r="H621" s="2">
        <v>0</v>
      </c>
      <c r="I621" s="2">
        <v>0.4</v>
      </c>
      <c r="J621" s="2">
        <v>33.32</v>
      </c>
      <c r="K621" s="5">
        <f>nantucket[[#This Row],[MW Factor]]-resources!$B$14</f>
        <v>-20</v>
      </c>
    </row>
    <row r="622" spans="1:11" x14ac:dyDescent="0.3">
      <c r="A622" t="s">
        <v>58</v>
      </c>
      <c r="B622">
        <v>1165</v>
      </c>
      <c r="C622">
        <v>13</v>
      </c>
      <c r="D622">
        <v>16255</v>
      </c>
      <c r="E622" t="s">
        <v>10</v>
      </c>
      <c r="F622">
        <v>37</v>
      </c>
      <c r="G622" s="2">
        <v>30.7</v>
      </c>
      <c r="H622" s="2">
        <v>0</v>
      </c>
      <c r="I622" s="2">
        <v>0.45</v>
      </c>
      <c r="J622" s="2">
        <v>31.15</v>
      </c>
      <c r="K622" s="5">
        <f>nantucket[[#This Row],[MW Factor]]-resources!$B$14</f>
        <v>-20</v>
      </c>
    </row>
    <row r="623" spans="1:11" x14ac:dyDescent="0.3">
      <c r="A623" t="s">
        <v>58</v>
      </c>
      <c r="B623">
        <v>1166</v>
      </c>
      <c r="C623">
        <v>14</v>
      </c>
      <c r="D623">
        <v>16255</v>
      </c>
      <c r="E623" t="s">
        <v>10</v>
      </c>
      <c r="F623">
        <v>37</v>
      </c>
      <c r="G623" s="2">
        <v>27.58</v>
      </c>
      <c r="H623" s="2">
        <v>0</v>
      </c>
      <c r="I623" s="2">
        <v>0.33</v>
      </c>
      <c r="J623" s="2">
        <v>27.91</v>
      </c>
      <c r="K623" s="5">
        <f>nantucket[[#This Row],[MW Factor]]-resources!$B$14</f>
        <v>-20</v>
      </c>
    </row>
    <row r="624" spans="1:11" x14ac:dyDescent="0.3">
      <c r="A624" t="s">
        <v>58</v>
      </c>
      <c r="B624">
        <v>1174</v>
      </c>
      <c r="C624">
        <v>22</v>
      </c>
      <c r="D624">
        <v>16255</v>
      </c>
      <c r="E624" t="s">
        <v>10</v>
      </c>
      <c r="F624">
        <v>37</v>
      </c>
      <c r="G624" s="2">
        <v>27.8</v>
      </c>
      <c r="H624" s="2">
        <v>0</v>
      </c>
      <c r="I624" s="2">
        <v>0.46</v>
      </c>
      <c r="J624" s="2">
        <v>28.26</v>
      </c>
      <c r="K624" s="5">
        <f>nantucket[[#This Row],[MW Factor]]-resources!$B$14</f>
        <v>-20</v>
      </c>
    </row>
    <row r="625" spans="1:11" x14ac:dyDescent="0.3">
      <c r="A625" t="s">
        <v>60</v>
      </c>
      <c r="B625">
        <v>1218</v>
      </c>
      <c r="C625">
        <v>18</v>
      </c>
      <c r="D625">
        <v>16255</v>
      </c>
      <c r="E625" t="s">
        <v>10</v>
      </c>
      <c r="F625">
        <v>37</v>
      </c>
      <c r="G625" s="2">
        <v>28.45</v>
      </c>
      <c r="H625" s="2">
        <v>0</v>
      </c>
      <c r="I625" s="2">
        <v>0.62</v>
      </c>
      <c r="J625" s="2">
        <v>29.07</v>
      </c>
      <c r="K625" s="5">
        <f>nantucket[[#This Row],[MW Factor]]-resources!$B$14</f>
        <v>-20</v>
      </c>
    </row>
    <row r="626" spans="1:11" x14ac:dyDescent="0.3">
      <c r="A626" t="s">
        <v>60</v>
      </c>
      <c r="B626">
        <v>1221</v>
      </c>
      <c r="C626">
        <v>21</v>
      </c>
      <c r="D626">
        <v>16255</v>
      </c>
      <c r="E626" t="s">
        <v>10</v>
      </c>
      <c r="F626">
        <v>37</v>
      </c>
      <c r="G626" s="2">
        <v>36.14</v>
      </c>
      <c r="H626" s="2">
        <v>0</v>
      </c>
      <c r="I626" s="2">
        <v>0.75</v>
      </c>
      <c r="J626" s="2">
        <v>36.89</v>
      </c>
      <c r="K626" s="5">
        <f>nantucket[[#This Row],[MW Factor]]-resources!$B$14</f>
        <v>-20</v>
      </c>
    </row>
    <row r="627" spans="1:11" x14ac:dyDescent="0.3">
      <c r="A627" t="s">
        <v>63</v>
      </c>
      <c r="B627">
        <v>1289</v>
      </c>
      <c r="C627">
        <v>17</v>
      </c>
      <c r="D627">
        <v>16255</v>
      </c>
      <c r="E627" t="s">
        <v>10</v>
      </c>
      <c r="F627">
        <v>37</v>
      </c>
      <c r="G627" s="2">
        <v>24.1</v>
      </c>
      <c r="H627" s="2">
        <v>0</v>
      </c>
      <c r="I627" s="2">
        <v>0.51</v>
      </c>
      <c r="J627" s="2">
        <v>24.61</v>
      </c>
      <c r="K627" s="5">
        <f>nantucket[[#This Row],[MW Factor]]-resources!$B$14</f>
        <v>-20</v>
      </c>
    </row>
    <row r="628" spans="1:11" x14ac:dyDescent="0.3">
      <c r="A628" t="s">
        <v>64</v>
      </c>
      <c r="B628">
        <v>1311</v>
      </c>
      <c r="C628">
        <v>15</v>
      </c>
      <c r="D628">
        <v>16255</v>
      </c>
      <c r="E628" t="s">
        <v>10</v>
      </c>
      <c r="F628">
        <v>37</v>
      </c>
      <c r="G628" s="2">
        <v>21.03</v>
      </c>
      <c r="H628" s="2">
        <v>0</v>
      </c>
      <c r="I628" s="2">
        <v>0.32</v>
      </c>
      <c r="J628" s="2">
        <v>21.35</v>
      </c>
      <c r="K628" s="5">
        <f>nantucket[[#This Row],[MW Factor]]-resources!$B$14</f>
        <v>-20</v>
      </c>
    </row>
    <row r="629" spans="1:11" x14ac:dyDescent="0.3">
      <c r="A629" t="s">
        <v>64</v>
      </c>
      <c r="B629">
        <v>1318</v>
      </c>
      <c r="C629">
        <v>22</v>
      </c>
      <c r="D629">
        <v>16255</v>
      </c>
      <c r="E629" t="s">
        <v>10</v>
      </c>
      <c r="F629">
        <v>37</v>
      </c>
      <c r="G629" s="2">
        <v>38.979999999999997</v>
      </c>
      <c r="H629" s="2">
        <v>0</v>
      </c>
      <c r="I629" s="2">
        <v>0.9</v>
      </c>
      <c r="J629" s="2">
        <v>39.880000000000003</v>
      </c>
      <c r="K629" s="5">
        <f>nantucket[[#This Row],[MW Factor]]-resources!$B$14</f>
        <v>-20</v>
      </c>
    </row>
    <row r="630" spans="1:11" x14ac:dyDescent="0.3">
      <c r="A630" t="s">
        <v>65</v>
      </c>
      <c r="B630">
        <v>1334</v>
      </c>
      <c r="C630">
        <v>14</v>
      </c>
      <c r="D630">
        <v>16255</v>
      </c>
      <c r="E630" t="s">
        <v>10</v>
      </c>
      <c r="F630">
        <v>37</v>
      </c>
      <c r="G630" s="2">
        <v>40.98</v>
      </c>
      <c r="H630" s="2">
        <v>0</v>
      </c>
      <c r="I630" s="2">
        <v>0.69</v>
      </c>
      <c r="J630" s="2">
        <v>41.67</v>
      </c>
      <c r="K630" s="5">
        <f>nantucket[[#This Row],[MW Factor]]-resources!$B$14</f>
        <v>-20</v>
      </c>
    </row>
    <row r="631" spans="1:11" x14ac:dyDescent="0.3">
      <c r="A631" t="s">
        <v>65</v>
      </c>
      <c r="B631">
        <v>1335</v>
      </c>
      <c r="C631">
        <v>15</v>
      </c>
      <c r="D631">
        <v>16255</v>
      </c>
      <c r="E631" t="s">
        <v>10</v>
      </c>
      <c r="F631">
        <v>37</v>
      </c>
      <c r="G631" s="2">
        <v>43.09</v>
      </c>
      <c r="H631" s="2">
        <v>0</v>
      </c>
      <c r="I631" s="2">
        <v>0.71</v>
      </c>
      <c r="J631" s="2">
        <v>43.8</v>
      </c>
      <c r="K631" s="5">
        <f>nantucket[[#This Row],[MW Factor]]-resources!$B$14</f>
        <v>-20</v>
      </c>
    </row>
    <row r="632" spans="1:11" x14ac:dyDescent="0.3">
      <c r="A632" t="s">
        <v>65</v>
      </c>
      <c r="B632">
        <v>1342</v>
      </c>
      <c r="C632">
        <v>22</v>
      </c>
      <c r="D632">
        <v>16255</v>
      </c>
      <c r="E632" t="s">
        <v>10</v>
      </c>
      <c r="F632">
        <v>37</v>
      </c>
      <c r="G632" s="2">
        <v>44.02</v>
      </c>
      <c r="H632" s="2">
        <v>0</v>
      </c>
      <c r="I632" s="2">
        <v>0.56000000000000005</v>
      </c>
      <c r="J632" s="2">
        <v>44.58</v>
      </c>
      <c r="K632" s="5">
        <f>nantucket[[#This Row],[MW Factor]]-resources!$B$14</f>
        <v>-20</v>
      </c>
    </row>
    <row r="633" spans="1:11" x14ac:dyDescent="0.3">
      <c r="A633" t="s">
        <v>66</v>
      </c>
      <c r="B633">
        <v>1357</v>
      </c>
      <c r="C633">
        <v>13</v>
      </c>
      <c r="D633">
        <v>16255</v>
      </c>
      <c r="E633" t="s">
        <v>10</v>
      </c>
      <c r="F633">
        <v>37</v>
      </c>
      <c r="G633" s="2">
        <v>34.15</v>
      </c>
      <c r="H633" s="2">
        <v>0</v>
      </c>
      <c r="I633" s="2">
        <v>0.13</v>
      </c>
      <c r="J633" s="2">
        <v>34.28</v>
      </c>
      <c r="K633" s="5">
        <f>nantucket[[#This Row],[MW Factor]]-resources!$B$14</f>
        <v>-20</v>
      </c>
    </row>
    <row r="634" spans="1:11" x14ac:dyDescent="0.3">
      <c r="A634" t="s">
        <v>66</v>
      </c>
      <c r="B634">
        <v>1360</v>
      </c>
      <c r="C634">
        <v>16</v>
      </c>
      <c r="D634">
        <v>16255</v>
      </c>
      <c r="E634" t="s">
        <v>10</v>
      </c>
      <c r="F634">
        <v>37</v>
      </c>
      <c r="G634" s="2">
        <v>45.61</v>
      </c>
      <c r="H634" s="2">
        <v>0</v>
      </c>
      <c r="I634" s="2">
        <v>0.18</v>
      </c>
      <c r="J634" s="2">
        <v>45.79</v>
      </c>
      <c r="K634" s="5">
        <f>nantucket[[#This Row],[MW Factor]]-resources!$B$14</f>
        <v>-20</v>
      </c>
    </row>
    <row r="635" spans="1:11" x14ac:dyDescent="0.3">
      <c r="A635" t="s">
        <v>67</v>
      </c>
      <c r="B635">
        <v>1390</v>
      </c>
      <c r="C635">
        <v>22</v>
      </c>
      <c r="D635">
        <v>16255</v>
      </c>
      <c r="E635" t="s">
        <v>10</v>
      </c>
      <c r="F635">
        <v>37</v>
      </c>
      <c r="G635" s="2">
        <v>30.7</v>
      </c>
      <c r="H635" s="2">
        <v>0</v>
      </c>
      <c r="I635" s="2">
        <v>0.28999999999999998</v>
      </c>
      <c r="J635" s="2">
        <v>30.99</v>
      </c>
      <c r="K635" s="5">
        <f>nantucket[[#This Row],[MW Factor]]-resources!$B$14</f>
        <v>-20</v>
      </c>
    </row>
    <row r="636" spans="1:11" x14ac:dyDescent="0.3">
      <c r="A636" t="s">
        <v>68</v>
      </c>
      <c r="B636">
        <v>1415</v>
      </c>
      <c r="C636">
        <v>23</v>
      </c>
      <c r="D636">
        <v>16255</v>
      </c>
      <c r="E636" t="s">
        <v>10</v>
      </c>
      <c r="F636">
        <v>37</v>
      </c>
      <c r="G636" s="2">
        <v>26.9</v>
      </c>
      <c r="H636" s="2">
        <v>0</v>
      </c>
      <c r="I636" s="2">
        <v>0.4</v>
      </c>
      <c r="J636" s="2">
        <v>27.3</v>
      </c>
      <c r="K636" s="5">
        <f>nantucket[[#This Row],[MW Factor]]-resources!$B$14</f>
        <v>-20</v>
      </c>
    </row>
    <row r="637" spans="1:11" x14ac:dyDescent="0.3">
      <c r="A637" t="s">
        <v>9</v>
      </c>
      <c r="B637">
        <v>21</v>
      </c>
      <c r="C637">
        <v>21</v>
      </c>
      <c r="D637">
        <v>16255</v>
      </c>
      <c r="E637" t="s">
        <v>10</v>
      </c>
      <c r="F637">
        <v>36</v>
      </c>
      <c r="G637" s="2">
        <v>46.64</v>
      </c>
      <c r="H637" s="2">
        <v>0</v>
      </c>
      <c r="I637" s="2">
        <v>0.86</v>
      </c>
      <c r="J637" s="2">
        <v>47.5</v>
      </c>
      <c r="K637" s="5">
        <f>nantucket[[#This Row],[MW Factor]]-resources!$B$14</f>
        <v>-21</v>
      </c>
    </row>
    <row r="638" spans="1:11" x14ac:dyDescent="0.3">
      <c r="A638" t="s">
        <v>9</v>
      </c>
      <c r="B638">
        <v>22</v>
      </c>
      <c r="C638">
        <v>22</v>
      </c>
      <c r="D638">
        <v>16255</v>
      </c>
      <c r="E638" t="s">
        <v>10</v>
      </c>
      <c r="F638">
        <v>36</v>
      </c>
      <c r="G638" s="2">
        <v>43.22</v>
      </c>
      <c r="H638" s="2">
        <v>0</v>
      </c>
      <c r="I638" s="2">
        <v>0.83</v>
      </c>
      <c r="J638" s="2">
        <v>44.05</v>
      </c>
      <c r="K638" s="5">
        <f>nantucket[[#This Row],[MW Factor]]-resources!$B$14</f>
        <v>-21</v>
      </c>
    </row>
    <row r="639" spans="1:11" x14ac:dyDescent="0.3">
      <c r="A639" t="s">
        <v>11</v>
      </c>
      <c r="B639">
        <v>41</v>
      </c>
      <c r="C639">
        <v>17</v>
      </c>
      <c r="D639">
        <v>16255</v>
      </c>
      <c r="E639" t="s">
        <v>10</v>
      </c>
      <c r="F639">
        <v>36</v>
      </c>
      <c r="G639" s="2">
        <v>36.909999999999997</v>
      </c>
      <c r="H639" s="2">
        <v>0</v>
      </c>
      <c r="I639" s="2">
        <v>0.6</v>
      </c>
      <c r="J639" s="2">
        <v>37.51</v>
      </c>
      <c r="K639" s="5">
        <f>nantucket[[#This Row],[MW Factor]]-resources!$B$14</f>
        <v>-21</v>
      </c>
    </row>
    <row r="640" spans="1:11" x14ac:dyDescent="0.3">
      <c r="A640" t="s">
        <v>12</v>
      </c>
      <c r="B640">
        <v>64</v>
      </c>
      <c r="C640">
        <v>16</v>
      </c>
      <c r="D640">
        <v>16255</v>
      </c>
      <c r="E640" t="s">
        <v>10</v>
      </c>
      <c r="F640">
        <v>36</v>
      </c>
      <c r="G640" s="2">
        <v>36.46</v>
      </c>
      <c r="H640" s="2">
        <v>0</v>
      </c>
      <c r="I640" s="2">
        <v>0.52</v>
      </c>
      <c r="J640" s="2">
        <v>36.979999999999997</v>
      </c>
      <c r="K640" s="5">
        <f>nantucket[[#This Row],[MW Factor]]-resources!$B$14</f>
        <v>-21</v>
      </c>
    </row>
    <row r="641" spans="1:11" x14ac:dyDescent="0.3">
      <c r="A641" t="s">
        <v>13</v>
      </c>
      <c r="B641">
        <v>89</v>
      </c>
      <c r="C641">
        <v>17</v>
      </c>
      <c r="D641">
        <v>16255</v>
      </c>
      <c r="E641" t="s">
        <v>10</v>
      </c>
      <c r="F641">
        <v>36</v>
      </c>
      <c r="G641" s="2">
        <v>34.53</v>
      </c>
      <c r="H641" s="2">
        <v>0</v>
      </c>
      <c r="I641" s="2">
        <v>0.28999999999999998</v>
      </c>
      <c r="J641" s="2">
        <v>34.82</v>
      </c>
      <c r="K641" s="5">
        <f>nantucket[[#This Row],[MW Factor]]-resources!$B$14</f>
        <v>-21</v>
      </c>
    </row>
    <row r="642" spans="1:11" x14ac:dyDescent="0.3">
      <c r="A642" t="s">
        <v>14</v>
      </c>
      <c r="B642">
        <v>107</v>
      </c>
      <c r="C642">
        <v>11</v>
      </c>
      <c r="D642">
        <v>16255</v>
      </c>
      <c r="E642" t="s">
        <v>10</v>
      </c>
      <c r="F642">
        <v>36</v>
      </c>
      <c r="G642" s="2">
        <v>29.45</v>
      </c>
      <c r="H642" s="2">
        <v>0</v>
      </c>
      <c r="I642" s="2">
        <v>0.18</v>
      </c>
      <c r="J642" s="2">
        <v>29.63</v>
      </c>
      <c r="K642" s="5">
        <f>nantucket[[#This Row],[MW Factor]]-resources!$B$14</f>
        <v>-21</v>
      </c>
    </row>
    <row r="643" spans="1:11" x14ac:dyDescent="0.3">
      <c r="A643" t="s">
        <v>17</v>
      </c>
      <c r="B643">
        <v>178</v>
      </c>
      <c r="C643">
        <v>10</v>
      </c>
      <c r="D643">
        <v>16255</v>
      </c>
      <c r="E643" t="s">
        <v>10</v>
      </c>
      <c r="F643">
        <v>36</v>
      </c>
      <c r="G643" s="2">
        <v>33.51</v>
      </c>
      <c r="H643" s="2">
        <v>0</v>
      </c>
      <c r="I643" s="2">
        <v>0.37</v>
      </c>
      <c r="J643" s="2">
        <v>33.880000000000003</v>
      </c>
      <c r="K643" s="5">
        <f>nantucket[[#This Row],[MW Factor]]-resources!$B$14</f>
        <v>-21</v>
      </c>
    </row>
    <row r="644" spans="1:11" x14ac:dyDescent="0.3">
      <c r="A644" t="s">
        <v>19</v>
      </c>
      <c r="B644">
        <v>225</v>
      </c>
      <c r="C644">
        <v>9</v>
      </c>
      <c r="D644">
        <v>16255</v>
      </c>
      <c r="E644" t="s">
        <v>10</v>
      </c>
      <c r="F644">
        <v>36</v>
      </c>
      <c r="G644" s="2">
        <v>43.16</v>
      </c>
      <c r="H644" s="2">
        <v>0</v>
      </c>
      <c r="I644" s="2">
        <v>0.22</v>
      </c>
      <c r="J644" s="2">
        <v>43.38</v>
      </c>
      <c r="K644" s="5">
        <f>nantucket[[#This Row],[MW Factor]]-resources!$B$14</f>
        <v>-21</v>
      </c>
    </row>
    <row r="645" spans="1:11" x14ac:dyDescent="0.3">
      <c r="A645" t="s">
        <v>22</v>
      </c>
      <c r="B645">
        <v>289</v>
      </c>
      <c r="C645">
        <v>1</v>
      </c>
      <c r="D645">
        <v>16255</v>
      </c>
      <c r="E645" t="s">
        <v>10</v>
      </c>
      <c r="F645">
        <v>36</v>
      </c>
      <c r="G645" s="2">
        <v>35.840000000000003</v>
      </c>
      <c r="H645" s="2">
        <v>0</v>
      </c>
      <c r="I645" s="2">
        <v>0.43</v>
      </c>
      <c r="J645" s="2">
        <v>36.270000000000003</v>
      </c>
      <c r="K645" s="5">
        <f>nantucket[[#This Row],[MW Factor]]-resources!$B$14</f>
        <v>-21</v>
      </c>
    </row>
    <row r="646" spans="1:11" x14ac:dyDescent="0.3">
      <c r="A646" t="s">
        <v>22</v>
      </c>
      <c r="B646">
        <v>297</v>
      </c>
      <c r="C646">
        <v>9</v>
      </c>
      <c r="D646">
        <v>16255</v>
      </c>
      <c r="E646" t="s">
        <v>10</v>
      </c>
      <c r="F646">
        <v>36</v>
      </c>
      <c r="G646" s="2">
        <v>34.56</v>
      </c>
      <c r="H646" s="2">
        <v>0</v>
      </c>
      <c r="I646" s="2">
        <v>0.37</v>
      </c>
      <c r="J646" s="2">
        <v>34.93</v>
      </c>
      <c r="K646" s="5">
        <f>nantucket[[#This Row],[MW Factor]]-resources!$B$14</f>
        <v>-21</v>
      </c>
    </row>
    <row r="647" spans="1:11" x14ac:dyDescent="0.3">
      <c r="A647" t="s">
        <v>23</v>
      </c>
      <c r="B647">
        <v>322</v>
      </c>
      <c r="C647">
        <v>10</v>
      </c>
      <c r="D647">
        <v>16255</v>
      </c>
      <c r="E647" t="s">
        <v>10</v>
      </c>
      <c r="F647">
        <v>36</v>
      </c>
      <c r="G647" s="2">
        <v>23.11</v>
      </c>
      <c r="H647" s="2">
        <v>0</v>
      </c>
      <c r="I647" s="2">
        <v>0.35</v>
      </c>
      <c r="J647" s="2">
        <v>23.46</v>
      </c>
      <c r="K647" s="5">
        <f>nantucket[[#This Row],[MW Factor]]-resources!$B$14</f>
        <v>-21</v>
      </c>
    </row>
    <row r="648" spans="1:11" x14ac:dyDescent="0.3">
      <c r="A648" t="s">
        <v>25</v>
      </c>
      <c r="B648">
        <v>368</v>
      </c>
      <c r="C648">
        <v>8</v>
      </c>
      <c r="D648">
        <v>16255</v>
      </c>
      <c r="E648" t="s">
        <v>10</v>
      </c>
      <c r="F648">
        <v>36</v>
      </c>
      <c r="G648" s="2">
        <v>75.63</v>
      </c>
      <c r="H648" s="2">
        <v>0.22</v>
      </c>
      <c r="I648" s="2">
        <v>0.91</v>
      </c>
      <c r="J648" s="2">
        <v>76.760000000000005</v>
      </c>
      <c r="K648" s="5">
        <f>nantucket[[#This Row],[MW Factor]]-resources!$B$14</f>
        <v>-21</v>
      </c>
    </row>
    <row r="649" spans="1:11" x14ac:dyDescent="0.3">
      <c r="A649" t="s">
        <v>26</v>
      </c>
      <c r="B649">
        <v>387</v>
      </c>
      <c r="C649">
        <v>3</v>
      </c>
      <c r="D649">
        <v>16255</v>
      </c>
      <c r="E649" t="s">
        <v>10</v>
      </c>
      <c r="F649">
        <v>36</v>
      </c>
      <c r="G649" s="2">
        <v>34.14</v>
      </c>
      <c r="H649" s="2">
        <v>0</v>
      </c>
      <c r="I649" s="2">
        <v>0.27</v>
      </c>
      <c r="J649" s="2">
        <v>34.409999999999997</v>
      </c>
      <c r="K649" s="5">
        <f>nantucket[[#This Row],[MW Factor]]-resources!$B$14</f>
        <v>-21</v>
      </c>
    </row>
    <row r="650" spans="1:11" x14ac:dyDescent="0.3">
      <c r="A650" t="s">
        <v>27</v>
      </c>
      <c r="B650">
        <v>410</v>
      </c>
      <c r="C650">
        <v>2</v>
      </c>
      <c r="D650">
        <v>16255</v>
      </c>
      <c r="E650" t="s">
        <v>10</v>
      </c>
      <c r="F650">
        <v>36</v>
      </c>
      <c r="G650" s="2">
        <v>31.62</v>
      </c>
      <c r="H650" s="2">
        <v>0.09</v>
      </c>
      <c r="I650" s="2">
        <v>0.46</v>
      </c>
      <c r="J650" s="2">
        <v>32.17</v>
      </c>
      <c r="K650" s="5">
        <f>nantucket[[#This Row],[MW Factor]]-resources!$B$14</f>
        <v>-21</v>
      </c>
    </row>
    <row r="651" spans="1:11" x14ac:dyDescent="0.3">
      <c r="A651" t="s">
        <v>29</v>
      </c>
      <c r="B651">
        <v>466</v>
      </c>
      <c r="C651">
        <v>10</v>
      </c>
      <c r="D651">
        <v>16255</v>
      </c>
      <c r="E651" t="s">
        <v>10</v>
      </c>
      <c r="F651">
        <v>36</v>
      </c>
      <c r="G651" s="2">
        <v>20.99</v>
      </c>
      <c r="H651" s="2">
        <v>0</v>
      </c>
      <c r="I651" s="2">
        <v>0.31</v>
      </c>
      <c r="J651" s="2">
        <v>21.3</v>
      </c>
      <c r="K651" s="5">
        <f>nantucket[[#This Row],[MW Factor]]-resources!$B$14</f>
        <v>-21</v>
      </c>
    </row>
    <row r="652" spans="1:11" x14ac:dyDescent="0.3">
      <c r="A652" t="s">
        <v>32</v>
      </c>
      <c r="B652">
        <v>541</v>
      </c>
      <c r="C652">
        <v>13</v>
      </c>
      <c r="D652">
        <v>16255</v>
      </c>
      <c r="E652" t="s">
        <v>10</v>
      </c>
      <c r="F652">
        <v>36</v>
      </c>
      <c r="G652" s="2">
        <v>28.92</v>
      </c>
      <c r="H652" s="2">
        <v>0</v>
      </c>
      <c r="I652" s="2">
        <v>0.25</v>
      </c>
      <c r="J652" s="2">
        <v>29.17</v>
      </c>
      <c r="K652" s="5">
        <f>nantucket[[#This Row],[MW Factor]]-resources!$B$14</f>
        <v>-21</v>
      </c>
    </row>
    <row r="653" spans="1:11" x14ac:dyDescent="0.3">
      <c r="A653" t="s">
        <v>33</v>
      </c>
      <c r="B653">
        <v>566</v>
      </c>
      <c r="C653">
        <v>14</v>
      </c>
      <c r="D653">
        <v>16255</v>
      </c>
      <c r="E653" t="s">
        <v>10</v>
      </c>
      <c r="F653">
        <v>36</v>
      </c>
      <c r="G653" s="2">
        <v>33.56</v>
      </c>
      <c r="H653" s="2">
        <v>0</v>
      </c>
      <c r="I653" s="2">
        <v>0.05</v>
      </c>
      <c r="J653" s="2">
        <v>33.61</v>
      </c>
      <c r="K653" s="5">
        <f>nantucket[[#This Row],[MW Factor]]-resources!$B$14</f>
        <v>-21</v>
      </c>
    </row>
    <row r="654" spans="1:11" x14ac:dyDescent="0.3">
      <c r="A654" t="s">
        <v>33</v>
      </c>
      <c r="B654">
        <v>567</v>
      </c>
      <c r="C654">
        <v>15</v>
      </c>
      <c r="D654">
        <v>16255</v>
      </c>
      <c r="E654" t="s">
        <v>10</v>
      </c>
      <c r="F654">
        <v>36</v>
      </c>
      <c r="G654" s="2">
        <v>30.68</v>
      </c>
      <c r="H654" s="2">
        <v>0</v>
      </c>
      <c r="I654" s="2">
        <v>0.03</v>
      </c>
      <c r="J654" s="2">
        <v>30.71</v>
      </c>
      <c r="K654" s="5">
        <f>nantucket[[#This Row],[MW Factor]]-resources!$B$14</f>
        <v>-21</v>
      </c>
    </row>
    <row r="655" spans="1:11" x14ac:dyDescent="0.3">
      <c r="A655" t="s">
        <v>33</v>
      </c>
      <c r="B655">
        <v>568</v>
      </c>
      <c r="C655">
        <v>16</v>
      </c>
      <c r="D655">
        <v>16255</v>
      </c>
      <c r="E655" t="s">
        <v>10</v>
      </c>
      <c r="F655">
        <v>36</v>
      </c>
      <c r="G655" s="2">
        <v>30.27</v>
      </c>
      <c r="H655" s="2">
        <v>0</v>
      </c>
      <c r="I655" s="2">
        <v>0.06</v>
      </c>
      <c r="J655" s="2">
        <v>30.33</v>
      </c>
      <c r="K655" s="5">
        <f>nantucket[[#This Row],[MW Factor]]-resources!$B$14</f>
        <v>-21</v>
      </c>
    </row>
    <row r="656" spans="1:11" x14ac:dyDescent="0.3">
      <c r="A656" t="s">
        <v>33</v>
      </c>
      <c r="B656">
        <v>569</v>
      </c>
      <c r="C656">
        <v>17</v>
      </c>
      <c r="D656">
        <v>16255</v>
      </c>
      <c r="E656" t="s">
        <v>10</v>
      </c>
      <c r="F656">
        <v>36</v>
      </c>
      <c r="G656" s="2">
        <v>34.56</v>
      </c>
      <c r="H656" s="2">
        <v>0</v>
      </c>
      <c r="I656" s="2">
        <v>0.08</v>
      </c>
      <c r="J656" s="2">
        <v>34.64</v>
      </c>
      <c r="K656" s="5">
        <f>nantucket[[#This Row],[MW Factor]]-resources!$B$14</f>
        <v>-21</v>
      </c>
    </row>
    <row r="657" spans="1:11" x14ac:dyDescent="0.3">
      <c r="A657" t="s">
        <v>33</v>
      </c>
      <c r="B657">
        <v>573</v>
      </c>
      <c r="C657">
        <v>21</v>
      </c>
      <c r="D657">
        <v>16255</v>
      </c>
      <c r="E657" t="s">
        <v>10</v>
      </c>
      <c r="F657">
        <v>36</v>
      </c>
      <c r="G657" s="2">
        <v>38.47</v>
      </c>
      <c r="H657" s="2">
        <v>0.01</v>
      </c>
      <c r="I657" s="2">
        <v>0.09</v>
      </c>
      <c r="J657" s="2">
        <v>38.57</v>
      </c>
      <c r="K657" s="5">
        <f>nantucket[[#This Row],[MW Factor]]-resources!$B$14</f>
        <v>-21</v>
      </c>
    </row>
    <row r="658" spans="1:11" x14ac:dyDescent="0.3">
      <c r="A658" t="s">
        <v>34</v>
      </c>
      <c r="B658">
        <v>587</v>
      </c>
      <c r="C658">
        <v>11</v>
      </c>
      <c r="D658">
        <v>16255</v>
      </c>
      <c r="E658" t="s">
        <v>10</v>
      </c>
      <c r="F658">
        <v>36</v>
      </c>
      <c r="G658" s="2">
        <v>34.36</v>
      </c>
      <c r="H658" s="2">
        <v>0</v>
      </c>
      <c r="I658" s="2">
        <v>0.17</v>
      </c>
      <c r="J658" s="2">
        <v>34.53</v>
      </c>
      <c r="K658" s="5">
        <f>nantucket[[#This Row],[MW Factor]]-resources!$B$14</f>
        <v>-21</v>
      </c>
    </row>
    <row r="659" spans="1:11" x14ac:dyDescent="0.3">
      <c r="A659" t="s">
        <v>35</v>
      </c>
      <c r="B659">
        <v>612</v>
      </c>
      <c r="C659">
        <v>12</v>
      </c>
      <c r="D659">
        <v>16255</v>
      </c>
      <c r="E659" t="s">
        <v>10</v>
      </c>
      <c r="F659">
        <v>36</v>
      </c>
      <c r="G659" s="2">
        <v>20.97</v>
      </c>
      <c r="H659" s="2">
        <v>0</v>
      </c>
      <c r="I659" s="2">
        <v>0.26</v>
      </c>
      <c r="J659" s="2">
        <v>21.23</v>
      </c>
      <c r="K659" s="5">
        <f>nantucket[[#This Row],[MW Factor]]-resources!$B$14</f>
        <v>-21</v>
      </c>
    </row>
    <row r="660" spans="1:11" x14ac:dyDescent="0.3">
      <c r="A660" t="s">
        <v>35</v>
      </c>
      <c r="B660">
        <v>613</v>
      </c>
      <c r="C660">
        <v>13</v>
      </c>
      <c r="D660">
        <v>16255</v>
      </c>
      <c r="E660" t="s">
        <v>10</v>
      </c>
      <c r="F660">
        <v>36</v>
      </c>
      <c r="G660" s="2">
        <v>20.87</v>
      </c>
      <c r="H660" s="2">
        <v>0</v>
      </c>
      <c r="I660" s="2">
        <v>0.24</v>
      </c>
      <c r="J660" s="2">
        <v>21.11</v>
      </c>
      <c r="K660" s="5">
        <f>nantucket[[#This Row],[MW Factor]]-resources!$B$14</f>
        <v>-21</v>
      </c>
    </row>
    <row r="661" spans="1:11" x14ac:dyDescent="0.3">
      <c r="A661" t="s">
        <v>37</v>
      </c>
      <c r="B661">
        <v>664</v>
      </c>
      <c r="C661">
        <v>16</v>
      </c>
      <c r="D661">
        <v>16255</v>
      </c>
      <c r="E661" t="s">
        <v>10</v>
      </c>
      <c r="F661">
        <v>36</v>
      </c>
      <c r="G661" s="2">
        <v>32.22</v>
      </c>
      <c r="H661" s="2">
        <v>0</v>
      </c>
      <c r="I661" s="2">
        <v>0.35</v>
      </c>
      <c r="J661" s="2">
        <v>32.57</v>
      </c>
      <c r="K661" s="5">
        <f>nantucket[[#This Row],[MW Factor]]-resources!$B$14</f>
        <v>-21</v>
      </c>
    </row>
    <row r="662" spans="1:11" x14ac:dyDescent="0.3">
      <c r="A662" t="s">
        <v>37</v>
      </c>
      <c r="B662">
        <v>665</v>
      </c>
      <c r="C662">
        <v>17</v>
      </c>
      <c r="D662">
        <v>16255</v>
      </c>
      <c r="E662" t="s">
        <v>10</v>
      </c>
      <c r="F662">
        <v>36</v>
      </c>
      <c r="G662" s="2">
        <v>27.33</v>
      </c>
      <c r="H662" s="2">
        <v>0</v>
      </c>
      <c r="I662" s="2">
        <v>0.28999999999999998</v>
      </c>
      <c r="J662" s="2">
        <v>27.62</v>
      </c>
      <c r="K662" s="5">
        <f>nantucket[[#This Row],[MW Factor]]-resources!$B$14</f>
        <v>-21</v>
      </c>
    </row>
    <row r="663" spans="1:11" x14ac:dyDescent="0.3">
      <c r="A663" t="s">
        <v>37</v>
      </c>
      <c r="B663">
        <v>669</v>
      </c>
      <c r="C663">
        <v>21</v>
      </c>
      <c r="D663">
        <v>16255</v>
      </c>
      <c r="E663" t="s">
        <v>10</v>
      </c>
      <c r="F663">
        <v>36</v>
      </c>
      <c r="G663" s="2">
        <v>41.19</v>
      </c>
      <c r="H663" s="2">
        <v>0</v>
      </c>
      <c r="I663" s="2">
        <v>0.4</v>
      </c>
      <c r="J663" s="2">
        <v>41.59</v>
      </c>
      <c r="K663" s="5">
        <f>nantucket[[#This Row],[MW Factor]]-resources!$B$14</f>
        <v>-21</v>
      </c>
    </row>
    <row r="664" spans="1:11" x14ac:dyDescent="0.3">
      <c r="A664" t="s">
        <v>38</v>
      </c>
      <c r="B664">
        <v>695</v>
      </c>
      <c r="C664">
        <v>23</v>
      </c>
      <c r="D664">
        <v>16255</v>
      </c>
      <c r="E664" t="s">
        <v>10</v>
      </c>
      <c r="F664">
        <v>36</v>
      </c>
      <c r="G664" s="2">
        <v>30.54</v>
      </c>
      <c r="H664" s="2">
        <v>0</v>
      </c>
      <c r="I664" s="2">
        <v>0.28999999999999998</v>
      </c>
      <c r="J664" s="2">
        <v>30.83</v>
      </c>
      <c r="K664" s="5">
        <f>nantucket[[#This Row],[MW Factor]]-resources!$B$14</f>
        <v>-21</v>
      </c>
    </row>
    <row r="665" spans="1:11" x14ac:dyDescent="0.3">
      <c r="A665" t="s">
        <v>42</v>
      </c>
      <c r="B665">
        <v>769</v>
      </c>
      <c r="C665">
        <v>1</v>
      </c>
      <c r="D665">
        <v>16255</v>
      </c>
      <c r="E665" t="s">
        <v>10</v>
      </c>
      <c r="F665">
        <v>36</v>
      </c>
      <c r="G665" s="2">
        <v>33.700000000000003</v>
      </c>
      <c r="H665" s="2">
        <v>0</v>
      </c>
      <c r="I665" s="2">
        <v>0.25</v>
      </c>
      <c r="J665" s="2">
        <v>33.950000000000003</v>
      </c>
      <c r="K665" s="5">
        <f>nantucket[[#This Row],[MW Factor]]-resources!$B$14</f>
        <v>-21</v>
      </c>
    </row>
    <row r="666" spans="1:11" x14ac:dyDescent="0.3">
      <c r="A666" t="s">
        <v>43</v>
      </c>
      <c r="B666">
        <v>794</v>
      </c>
      <c r="C666">
        <v>2</v>
      </c>
      <c r="D666">
        <v>16255</v>
      </c>
      <c r="E666" t="s">
        <v>10</v>
      </c>
      <c r="F666">
        <v>36</v>
      </c>
      <c r="G666" s="2">
        <v>38.520000000000003</v>
      </c>
      <c r="H666" s="2">
        <v>0</v>
      </c>
      <c r="I666" s="2">
        <v>0.38</v>
      </c>
      <c r="J666" s="2">
        <v>38.9</v>
      </c>
      <c r="K666" s="5">
        <f>nantucket[[#This Row],[MW Factor]]-resources!$B$14</f>
        <v>-21</v>
      </c>
    </row>
    <row r="667" spans="1:11" x14ac:dyDescent="0.3">
      <c r="A667" t="s">
        <v>44</v>
      </c>
      <c r="B667">
        <v>819</v>
      </c>
      <c r="C667">
        <v>3</v>
      </c>
      <c r="D667">
        <v>16255</v>
      </c>
      <c r="E667" t="s">
        <v>10</v>
      </c>
      <c r="F667">
        <v>36</v>
      </c>
      <c r="G667" s="2">
        <v>42.61</v>
      </c>
      <c r="H667" s="2">
        <v>0</v>
      </c>
      <c r="I667" s="2">
        <v>0.68</v>
      </c>
      <c r="J667" s="2">
        <v>43.29</v>
      </c>
      <c r="K667" s="5">
        <f>nantucket[[#This Row],[MW Factor]]-resources!$B$14</f>
        <v>-21</v>
      </c>
    </row>
    <row r="668" spans="1:11" x14ac:dyDescent="0.3">
      <c r="A668" t="s">
        <v>47</v>
      </c>
      <c r="B668">
        <v>908</v>
      </c>
      <c r="C668">
        <v>20</v>
      </c>
      <c r="D668">
        <v>16255</v>
      </c>
      <c r="E668" t="s">
        <v>10</v>
      </c>
      <c r="F668">
        <v>36</v>
      </c>
      <c r="G668" s="2">
        <v>41.63</v>
      </c>
      <c r="H668" s="2">
        <v>0</v>
      </c>
      <c r="I668" s="2">
        <v>0.67</v>
      </c>
      <c r="J668" s="2">
        <v>42.3</v>
      </c>
      <c r="K668" s="5">
        <f>nantucket[[#This Row],[MW Factor]]-resources!$B$14</f>
        <v>-21</v>
      </c>
    </row>
    <row r="669" spans="1:11" x14ac:dyDescent="0.3">
      <c r="A669" t="s">
        <v>47</v>
      </c>
      <c r="B669">
        <v>909</v>
      </c>
      <c r="C669">
        <v>21</v>
      </c>
      <c r="D669">
        <v>16255</v>
      </c>
      <c r="E669" t="s">
        <v>10</v>
      </c>
      <c r="F669">
        <v>36</v>
      </c>
      <c r="G669" s="2">
        <v>37.54</v>
      </c>
      <c r="H669" s="2">
        <v>0</v>
      </c>
      <c r="I669" s="2">
        <v>0.62</v>
      </c>
      <c r="J669" s="2">
        <v>38.159999999999997</v>
      </c>
      <c r="K669" s="5">
        <f>nantucket[[#This Row],[MW Factor]]-resources!$B$14</f>
        <v>-21</v>
      </c>
    </row>
    <row r="670" spans="1:11" x14ac:dyDescent="0.3">
      <c r="A670" t="s">
        <v>48</v>
      </c>
      <c r="B670">
        <v>931</v>
      </c>
      <c r="C670">
        <v>19</v>
      </c>
      <c r="D670">
        <v>16255</v>
      </c>
      <c r="E670" t="s">
        <v>10</v>
      </c>
      <c r="F670">
        <v>36</v>
      </c>
      <c r="G670" s="2">
        <v>42.4</v>
      </c>
      <c r="H670" s="2">
        <v>0.04</v>
      </c>
      <c r="I670" s="2">
        <v>0.75</v>
      </c>
      <c r="J670" s="2">
        <v>43.19</v>
      </c>
      <c r="K670" s="5">
        <f>nantucket[[#This Row],[MW Factor]]-resources!$B$14</f>
        <v>-21</v>
      </c>
    </row>
    <row r="671" spans="1:11" x14ac:dyDescent="0.3">
      <c r="A671" t="s">
        <v>48</v>
      </c>
      <c r="B671">
        <v>932</v>
      </c>
      <c r="C671">
        <v>20</v>
      </c>
      <c r="D671">
        <v>16255</v>
      </c>
      <c r="E671" t="s">
        <v>10</v>
      </c>
      <c r="F671">
        <v>36</v>
      </c>
      <c r="G671" s="2">
        <v>39.92</v>
      </c>
      <c r="H671" s="2">
        <v>0</v>
      </c>
      <c r="I671" s="2">
        <v>0.61</v>
      </c>
      <c r="J671" s="2">
        <v>40.53</v>
      </c>
      <c r="K671" s="5">
        <f>nantucket[[#This Row],[MW Factor]]-resources!$B$14</f>
        <v>-21</v>
      </c>
    </row>
    <row r="672" spans="1:11" x14ac:dyDescent="0.3">
      <c r="A672" t="s">
        <v>48</v>
      </c>
      <c r="B672">
        <v>933</v>
      </c>
      <c r="C672">
        <v>21</v>
      </c>
      <c r="D672">
        <v>16255</v>
      </c>
      <c r="E672" t="s">
        <v>10</v>
      </c>
      <c r="F672">
        <v>36</v>
      </c>
      <c r="G672" s="2">
        <v>35.770000000000003</v>
      </c>
      <c r="H672" s="2">
        <v>0</v>
      </c>
      <c r="I672" s="2">
        <v>0.47</v>
      </c>
      <c r="J672" s="2">
        <v>36.24</v>
      </c>
      <c r="K672" s="5">
        <f>nantucket[[#This Row],[MW Factor]]-resources!$B$14</f>
        <v>-21</v>
      </c>
    </row>
    <row r="673" spans="1:11" x14ac:dyDescent="0.3">
      <c r="A673" t="s">
        <v>50</v>
      </c>
      <c r="B673">
        <v>961</v>
      </c>
      <c r="C673">
        <v>1</v>
      </c>
      <c r="D673">
        <v>16255</v>
      </c>
      <c r="E673" t="s">
        <v>10</v>
      </c>
      <c r="F673">
        <v>36</v>
      </c>
      <c r="G673" s="2">
        <v>51.13</v>
      </c>
      <c r="H673" s="2">
        <v>0.56000000000000005</v>
      </c>
      <c r="I673" s="2">
        <v>1.36</v>
      </c>
      <c r="J673" s="2">
        <v>53.05</v>
      </c>
      <c r="K673" s="5">
        <f>nantucket[[#This Row],[MW Factor]]-resources!$B$14</f>
        <v>-21</v>
      </c>
    </row>
    <row r="674" spans="1:11" x14ac:dyDescent="0.3">
      <c r="A674" t="s">
        <v>50</v>
      </c>
      <c r="B674">
        <v>962</v>
      </c>
      <c r="C674">
        <v>2</v>
      </c>
      <c r="D674">
        <v>16255</v>
      </c>
      <c r="E674" t="s">
        <v>10</v>
      </c>
      <c r="F674">
        <v>36</v>
      </c>
      <c r="G674" s="2">
        <v>42.31</v>
      </c>
      <c r="H674" s="2">
        <v>0.48</v>
      </c>
      <c r="I674" s="2">
        <v>1.08</v>
      </c>
      <c r="J674" s="2">
        <v>43.87</v>
      </c>
      <c r="K674" s="5">
        <f>nantucket[[#This Row],[MW Factor]]-resources!$B$14</f>
        <v>-21</v>
      </c>
    </row>
    <row r="675" spans="1:11" x14ac:dyDescent="0.3">
      <c r="A675" t="s">
        <v>51</v>
      </c>
      <c r="B675">
        <v>994</v>
      </c>
      <c r="C675">
        <v>10</v>
      </c>
      <c r="D675">
        <v>16255</v>
      </c>
      <c r="E675" t="s">
        <v>10</v>
      </c>
      <c r="F675">
        <v>36</v>
      </c>
      <c r="G675" s="2">
        <v>21.11</v>
      </c>
      <c r="H675" s="2">
        <v>0</v>
      </c>
      <c r="I675" s="2">
        <v>0.47</v>
      </c>
      <c r="J675" s="2">
        <v>21.58</v>
      </c>
      <c r="K675" s="5">
        <f>nantucket[[#This Row],[MW Factor]]-resources!$B$14</f>
        <v>-21</v>
      </c>
    </row>
    <row r="676" spans="1:11" x14ac:dyDescent="0.3">
      <c r="A676" t="s">
        <v>52</v>
      </c>
      <c r="B676">
        <v>1020</v>
      </c>
      <c r="C676">
        <v>12</v>
      </c>
      <c r="D676">
        <v>16255</v>
      </c>
      <c r="E676" t="s">
        <v>10</v>
      </c>
      <c r="F676">
        <v>36</v>
      </c>
      <c r="G676" s="2">
        <v>27.64</v>
      </c>
      <c r="H676" s="2">
        <v>0</v>
      </c>
      <c r="I676" s="2">
        <v>0.24</v>
      </c>
      <c r="J676" s="2">
        <v>27.88</v>
      </c>
      <c r="K676" s="5">
        <f>nantucket[[#This Row],[MW Factor]]-resources!$B$14</f>
        <v>-21</v>
      </c>
    </row>
    <row r="677" spans="1:11" x14ac:dyDescent="0.3">
      <c r="A677" t="s">
        <v>53</v>
      </c>
      <c r="B677">
        <v>1046</v>
      </c>
      <c r="C677">
        <v>14</v>
      </c>
      <c r="D677">
        <v>16255</v>
      </c>
      <c r="E677" t="s">
        <v>10</v>
      </c>
      <c r="F677">
        <v>36</v>
      </c>
      <c r="G677" s="2">
        <v>32.72</v>
      </c>
      <c r="H677" s="2">
        <v>0</v>
      </c>
      <c r="I677" s="2">
        <v>0.42</v>
      </c>
      <c r="J677" s="2">
        <v>33.14</v>
      </c>
      <c r="K677" s="5">
        <f>nantucket[[#This Row],[MW Factor]]-resources!$B$14</f>
        <v>-21</v>
      </c>
    </row>
    <row r="678" spans="1:11" x14ac:dyDescent="0.3">
      <c r="A678" t="s">
        <v>53</v>
      </c>
      <c r="B678">
        <v>1055</v>
      </c>
      <c r="C678">
        <v>23</v>
      </c>
      <c r="D678">
        <v>16255</v>
      </c>
      <c r="E678" t="s">
        <v>10</v>
      </c>
      <c r="F678">
        <v>36</v>
      </c>
      <c r="G678" s="2">
        <v>39.33</v>
      </c>
      <c r="H678" s="2">
        <v>0</v>
      </c>
      <c r="I678" s="2">
        <v>0.61</v>
      </c>
      <c r="J678" s="2">
        <v>39.94</v>
      </c>
      <c r="K678" s="5">
        <f>nantucket[[#This Row],[MW Factor]]-resources!$B$14</f>
        <v>-21</v>
      </c>
    </row>
    <row r="679" spans="1:11" x14ac:dyDescent="0.3">
      <c r="A679" t="s">
        <v>54</v>
      </c>
      <c r="B679">
        <v>1068</v>
      </c>
      <c r="C679">
        <v>12</v>
      </c>
      <c r="D679">
        <v>16255</v>
      </c>
      <c r="E679" t="s">
        <v>10</v>
      </c>
      <c r="F679">
        <v>36</v>
      </c>
      <c r="G679" s="2">
        <v>27.58</v>
      </c>
      <c r="H679" s="2">
        <v>0</v>
      </c>
      <c r="I679" s="2">
        <v>0.26</v>
      </c>
      <c r="J679" s="2">
        <v>27.84</v>
      </c>
      <c r="K679" s="5">
        <f>nantucket[[#This Row],[MW Factor]]-resources!$B$14</f>
        <v>-21</v>
      </c>
    </row>
    <row r="680" spans="1:11" x14ac:dyDescent="0.3">
      <c r="A680" t="s">
        <v>55</v>
      </c>
      <c r="B680">
        <v>1092</v>
      </c>
      <c r="C680">
        <v>12</v>
      </c>
      <c r="D680">
        <v>16255</v>
      </c>
      <c r="E680" t="s">
        <v>10</v>
      </c>
      <c r="F680">
        <v>36</v>
      </c>
      <c r="G680" s="2">
        <v>29.32</v>
      </c>
      <c r="H680" s="2">
        <v>0</v>
      </c>
      <c r="I680" s="2">
        <v>0.19</v>
      </c>
      <c r="J680" s="2">
        <v>29.51</v>
      </c>
      <c r="K680" s="5">
        <f>nantucket[[#This Row],[MW Factor]]-resources!$B$14</f>
        <v>-21</v>
      </c>
    </row>
    <row r="681" spans="1:11" x14ac:dyDescent="0.3">
      <c r="A681" t="s">
        <v>55</v>
      </c>
      <c r="B681">
        <v>1103</v>
      </c>
      <c r="C681">
        <v>23</v>
      </c>
      <c r="D681">
        <v>16255</v>
      </c>
      <c r="E681" t="s">
        <v>10</v>
      </c>
      <c r="F681">
        <v>36</v>
      </c>
      <c r="G681" s="2">
        <v>30.71</v>
      </c>
      <c r="H681" s="2">
        <v>0</v>
      </c>
      <c r="I681" s="2">
        <v>0.17</v>
      </c>
      <c r="J681" s="2">
        <v>30.88</v>
      </c>
      <c r="K681" s="5">
        <f>nantucket[[#This Row],[MW Factor]]-resources!$B$14</f>
        <v>-21</v>
      </c>
    </row>
    <row r="682" spans="1:11" x14ac:dyDescent="0.3">
      <c r="A682" t="s">
        <v>56</v>
      </c>
      <c r="B682">
        <v>1116</v>
      </c>
      <c r="C682">
        <v>12</v>
      </c>
      <c r="D682">
        <v>16255</v>
      </c>
      <c r="E682" t="s">
        <v>10</v>
      </c>
      <c r="F682">
        <v>36</v>
      </c>
      <c r="G682" s="2">
        <v>23.93</v>
      </c>
      <c r="H682" s="2">
        <v>0</v>
      </c>
      <c r="I682" s="2">
        <v>0.25</v>
      </c>
      <c r="J682" s="2">
        <v>24.18</v>
      </c>
      <c r="K682" s="5">
        <f>nantucket[[#This Row],[MW Factor]]-resources!$B$14</f>
        <v>-21</v>
      </c>
    </row>
    <row r="683" spans="1:11" x14ac:dyDescent="0.3">
      <c r="A683" t="s">
        <v>57</v>
      </c>
      <c r="B683">
        <v>1148</v>
      </c>
      <c r="C683">
        <v>20</v>
      </c>
      <c r="D683">
        <v>16255</v>
      </c>
      <c r="E683" t="s">
        <v>10</v>
      </c>
      <c r="F683">
        <v>36</v>
      </c>
      <c r="G683" s="2">
        <v>26.96</v>
      </c>
      <c r="H683" s="2">
        <v>0</v>
      </c>
      <c r="I683" s="2">
        <v>0.35</v>
      </c>
      <c r="J683" s="2">
        <v>27.31</v>
      </c>
      <c r="K683" s="5">
        <f>nantucket[[#This Row],[MW Factor]]-resources!$B$14</f>
        <v>-21</v>
      </c>
    </row>
    <row r="684" spans="1:11" x14ac:dyDescent="0.3">
      <c r="A684" t="s">
        <v>57</v>
      </c>
      <c r="B684">
        <v>1149</v>
      </c>
      <c r="C684">
        <v>21</v>
      </c>
      <c r="D684">
        <v>16255</v>
      </c>
      <c r="E684" t="s">
        <v>10</v>
      </c>
      <c r="F684">
        <v>36</v>
      </c>
      <c r="G684" s="2">
        <v>25.26</v>
      </c>
      <c r="H684" s="2">
        <v>0</v>
      </c>
      <c r="I684" s="2">
        <v>0.34</v>
      </c>
      <c r="J684" s="2">
        <v>25.6</v>
      </c>
      <c r="K684" s="5">
        <f>nantucket[[#This Row],[MW Factor]]-resources!$B$14</f>
        <v>-21</v>
      </c>
    </row>
    <row r="685" spans="1:11" x14ac:dyDescent="0.3">
      <c r="A685" t="s">
        <v>59</v>
      </c>
      <c r="B685">
        <v>1187</v>
      </c>
      <c r="C685">
        <v>11</v>
      </c>
      <c r="D685">
        <v>16255</v>
      </c>
      <c r="E685" t="s">
        <v>10</v>
      </c>
      <c r="F685">
        <v>36</v>
      </c>
      <c r="G685" s="2">
        <v>38.24</v>
      </c>
      <c r="H685" s="2">
        <v>0</v>
      </c>
      <c r="I685" s="2">
        <v>0.33</v>
      </c>
      <c r="J685" s="2">
        <v>38.57</v>
      </c>
      <c r="K685" s="5">
        <f>nantucket[[#This Row],[MW Factor]]-resources!$B$14</f>
        <v>-21</v>
      </c>
    </row>
    <row r="686" spans="1:11" x14ac:dyDescent="0.3">
      <c r="A686" t="s">
        <v>60</v>
      </c>
      <c r="B686">
        <v>1217</v>
      </c>
      <c r="C686">
        <v>17</v>
      </c>
      <c r="D686">
        <v>16255</v>
      </c>
      <c r="E686" t="s">
        <v>10</v>
      </c>
      <c r="F686">
        <v>36</v>
      </c>
      <c r="G686" s="2">
        <v>22.15</v>
      </c>
      <c r="H686" s="2">
        <v>0</v>
      </c>
      <c r="I686" s="2">
        <v>0.47</v>
      </c>
      <c r="J686" s="2">
        <v>22.62</v>
      </c>
      <c r="K686" s="5">
        <f>nantucket[[#This Row],[MW Factor]]-resources!$B$14</f>
        <v>-21</v>
      </c>
    </row>
    <row r="687" spans="1:11" x14ac:dyDescent="0.3">
      <c r="A687" t="s">
        <v>61</v>
      </c>
      <c r="B687">
        <v>1243</v>
      </c>
      <c r="C687">
        <v>19</v>
      </c>
      <c r="D687">
        <v>16255</v>
      </c>
      <c r="E687" t="s">
        <v>10</v>
      </c>
      <c r="F687">
        <v>36</v>
      </c>
      <c r="G687" s="2">
        <v>50.43</v>
      </c>
      <c r="H687" s="2">
        <v>0</v>
      </c>
      <c r="I687" s="2">
        <v>1.2</v>
      </c>
      <c r="J687" s="2">
        <v>51.63</v>
      </c>
      <c r="K687" s="5">
        <f>nantucket[[#This Row],[MW Factor]]-resources!$B$14</f>
        <v>-21</v>
      </c>
    </row>
    <row r="688" spans="1:11" x14ac:dyDescent="0.3">
      <c r="A688" t="s">
        <v>61</v>
      </c>
      <c r="B688">
        <v>1244</v>
      </c>
      <c r="C688">
        <v>20</v>
      </c>
      <c r="D688">
        <v>16255</v>
      </c>
      <c r="E688" t="s">
        <v>10</v>
      </c>
      <c r="F688">
        <v>36</v>
      </c>
      <c r="G688" s="2">
        <v>50.81</v>
      </c>
      <c r="H688" s="2">
        <v>0</v>
      </c>
      <c r="I688" s="2">
        <v>1.1499999999999999</v>
      </c>
      <c r="J688" s="2">
        <v>51.96</v>
      </c>
      <c r="K688" s="5">
        <f>nantucket[[#This Row],[MW Factor]]-resources!$B$14</f>
        <v>-21</v>
      </c>
    </row>
    <row r="689" spans="1:11" x14ac:dyDescent="0.3">
      <c r="A689" t="s">
        <v>62</v>
      </c>
      <c r="B689">
        <v>1267</v>
      </c>
      <c r="C689">
        <v>19</v>
      </c>
      <c r="D689">
        <v>16255</v>
      </c>
      <c r="E689" t="s">
        <v>10</v>
      </c>
      <c r="F689">
        <v>36</v>
      </c>
      <c r="G689" s="2">
        <v>40.64</v>
      </c>
      <c r="H689" s="2">
        <v>0</v>
      </c>
      <c r="I689" s="2">
        <v>1.06</v>
      </c>
      <c r="J689" s="2">
        <v>41.7</v>
      </c>
      <c r="K689" s="5">
        <f>nantucket[[#This Row],[MW Factor]]-resources!$B$14</f>
        <v>-21</v>
      </c>
    </row>
    <row r="690" spans="1:11" x14ac:dyDescent="0.3">
      <c r="A690" t="s">
        <v>63</v>
      </c>
      <c r="B690">
        <v>1288</v>
      </c>
      <c r="C690">
        <v>16</v>
      </c>
      <c r="D690">
        <v>16255</v>
      </c>
      <c r="E690" t="s">
        <v>10</v>
      </c>
      <c r="F690">
        <v>36</v>
      </c>
      <c r="G690" s="2">
        <v>21.28</v>
      </c>
      <c r="H690" s="2">
        <v>0</v>
      </c>
      <c r="I690" s="2">
        <v>0.38</v>
      </c>
      <c r="J690" s="2">
        <v>21.66</v>
      </c>
      <c r="K690" s="5">
        <f>nantucket[[#This Row],[MW Factor]]-resources!$B$14</f>
        <v>-21</v>
      </c>
    </row>
    <row r="691" spans="1:11" x14ac:dyDescent="0.3">
      <c r="A691" t="s">
        <v>63</v>
      </c>
      <c r="B691">
        <v>1294</v>
      </c>
      <c r="C691">
        <v>22</v>
      </c>
      <c r="D691">
        <v>16255</v>
      </c>
      <c r="E691" t="s">
        <v>10</v>
      </c>
      <c r="F691">
        <v>36</v>
      </c>
      <c r="G691" s="2">
        <v>23.84</v>
      </c>
      <c r="H691" s="2">
        <v>0</v>
      </c>
      <c r="I691" s="2">
        <v>0.57999999999999996</v>
      </c>
      <c r="J691" s="2">
        <v>24.42</v>
      </c>
      <c r="K691" s="5">
        <f>nantucket[[#This Row],[MW Factor]]-resources!$B$14</f>
        <v>-21</v>
      </c>
    </row>
    <row r="692" spans="1:11" x14ac:dyDescent="0.3">
      <c r="A692" t="s">
        <v>64</v>
      </c>
      <c r="B692">
        <v>1310</v>
      </c>
      <c r="C692">
        <v>14</v>
      </c>
      <c r="D692">
        <v>16255</v>
      </c>
      <c r="E692" t="s">
        <v>10</v>
      </c>
      <c r="F692">
        <v>36</v>
      </c>
      <c r="G692" s="2">
        <v>21.81</v>
      </c>
      <c r="H692" s="2">
        <v>0</v>
      </c>
      <c r="I692" s="2">
        <v>0.31</v>
      </c>
      <c r="J692" s="2">
        <v>22.12</v>
      </c>
      <c r="K692" s="5">
        <f>nantucket[[#This Row],[MW Factor]]-resources!$B$14</f>
        <v>-21</v>
      </c>
    </row>
    <row r="693" spans="1:11" x14ac:dyDescent="0.3">
      <c r="A693" t="s">
        <v>65</v>
      </c>
      <c r="B693">
        <v>1333</v>
      </c>
      <c r="C693">
        <v>13</v>
      </c>
      <c r="D693">
        <v>16255</v>
      </c>
      <c r="E693" t="s">
        <v>10</v>
      </c>
      <c r="F693">
        <v>36</v>
      </c>
      <c r="G693" s="2">
        <v>38.68</v>
      </c>
      <c r="H693" s="2">
        <v>0</v>
      </c>
      <c r="I693" s="2">
        <v>0.62</v>
      </c>
      <c r="J693" s="2">
        <v>39.299999999999997</v>
      </c>
      <c r="K693" s="5">
        <f>nantucket[[#This Row],[MW Factor]]-resources!$B$14</f>
        <v>-21</v>
      </c>
    </row>
    <row r="694" spans="1:11" x14ac:dyDescent="0.3">
      <c r="A694" t="s">
        <v>66</v>
      </c>
      <c r="B694">
        <v>1356</v>
      </c>
      <c r="C694">
        <v>12</v>
      </c>
      <c r="D694">
        <v>16255</v>
      </c>
      <c r="E694" t="s">
        <v>10</v>
      </c>
      <c r="F694">
        <v>36</v>
      </c>
      <c r="G694" s="2">
        <v>28.6</v>
      </c>
      <c r="H694" s="2">
        <v>0</v>
      </c>
      <c r="I694" s="2">
        <v>0.14000000000000001</v>
      </c>
      <c r="J694" s="2">
        <v>28.74</v>
      </c>
      <c r="K694" s="5">
        <f>nantucket[[#This Row],[MW Factor]]-resources!$B$14</f>
        <v>-21</v>
      </c>
    </row>
    <row r="695" spans="1:11" x14ac:dyDescent="0.3">
      <c r="A695" t="s">
        <v>66</v>
      </c>
      <c r="B695">
        <v>1358</v>
      </c>
      <c r="C695">
        <v>14</v>
      </c>
      <c r="D695">
        <v>16255</v>
      </c>
      <c r="E695" t="s">
        <v>10</v>
      </c>
      <c r="F695">
        <v>36</v>
      </c>
      <c r="G695" s="2">
        <v>44.54</v>
      </c>
      <c r="H695" s="2">
        <v>0</v>
      </c>
      <c r="I695" s="2">
        <v>0.02</v>
      </c>
      <c r="J695" s="2">
        <v>44.56</v>
      </c>
      <c r="K695" s="5">
        <f>nantucket[[#This Row],[MW Factor]]-resources!$B$14</f>
        <v>-21</v>
      </c>
    </row>
    <row r="696" spans="1:11" x14ac:dyDescent="0.3">
      <c r="A696" t="s">
        <v>66</v>
      </c>
      <c r="B696">
        <v>1361</v>
      </c>
      <c r="C696">
        <v>17</v>
      </c>
      <c r="D696">
        <v>16255</v>
      </c>
      <c r="E696" t="s">
        <v>10</v>
      </c>
      <c r="F696">
        <v>36</v>
      </c>
      <c r="G696" s="2">
        <v>34.520000000000003</v>
      </c>
      <c r="H696" s="2">
        <v>0</v>
      </c>
      <c r="I696" s="2">
        <v>7.0000000000000007E-2</v>
      </c>
      <c r="J696" s="2">
        <v>34.590000000000003</v>
      </c>
      <c r="K696" s="5">
        <f>nantucket[[#This Row],[MW Factor]]-resources!$B$14</f>
        <v>-21</v>
      </c>
    </row>
    <row r="697" spans="1:11" x14ac:dyDescent="0.3">
      <c r="A697" t="s">
        <v>67</v>
      </c>
      <c r="B697">
        <v>1384</v>
      </c>
      <c r="C697">
        <v>16</v>
      </c>
      <c r="D697">
        <v>16255</v>
      </c>
      <c r="E697" t="s">
        <v>10</v>
      </c>
      <c r="F697">
        <v>36</v>
      </c>
      <c r="G697" s="2">
        <v>39.380000000000003</v>
      </c>
      <c r="H697" s="2">
        <v>0</v>
      </c>
      <c r="I697" s="2">
        <v>0.08</v>
      </c>
      <c r="J697" s="2">
        <v>39.46</v>
      </c>
      <c r="K697" s="5">
        <f>nantucket[[#This Row],[MW Factor]]-resources!$B$14</f>
        <v>-21</v>
      </c>
    </row>
    <row r="698" spans="1:11" x14ac:dyDescent="0.3">
      <c r="A698" t="s">
        <v>68</v>
      </c>
      <c r="B698">
        <v>1404</v>
      </c>
      <c r="C698">
        <v>12</v>
      </c>
      <c r="D698">
        <v>16255</v>
      </c>
      <c r="E698" t="s">
        <v>10</v>
      </c>
      <c r="F698">
        <v>36</v>
      </c>
      <c r="G698" s="2">
        <v>29.77</v>
      </c>
      <c r="H698" s="2">
        <v>0</v>
      </c>
      <c r="I698" s="2">
        <v>0.1</v>
      </c>
      <c r="J698" s="2">
        <v>29.87</v>
      </c>
      <c r="K698" s="5">
        <f>nantucket[[#This Row],[MW Factor]]-resources!$B$14</f>
        <v>-21</v>
      </c>
    </row>
    <row r="699" spans="1:11" x14ac:dyDescent="0.3">
      <c r="A699" t="s">
        <v>68</v>
      </c>
      <c r="B699">
        <v>1405</v>
      </c>
      <c r="C699">
        <v>13</v>
      </c>
      <c r="D699">
        <v>16255</v>
      </c>
      <c r="E699" t="s">
        <v>10</v>
      </c>
      <c r="F699">
        <v>36</v>
      </c>
      <c r="G699" s="2">
        <v>50.35</v>
      </c>
      <c r="H699" s="2">
        <v>0.01</v>
      </c>
      <c r="I699" s="2">
        <v>0.14000000000000001</v>
      </c>
      <c r="J699" s="2">
        <v>50.5</v>
      </c>
      <c r="K699" s="5">
        <f>nantucket[[#This Row],[MW Factor]]-resources!$B$14</f>
        <v>-21</v>
      </c>
    </row>
    <row r="700" spans="1:11" x14ac:dyDescent="0.3">
      <c r="A700" t="s">
        <v>71</v>
      </c>
      <c r="B700">
        <v>1480</v>
      </c>
      <c r="C700">
        <v>16</v>
      </c>
      <c r="D700">
        <v>16255</v>
      </c>
      <c r="E700" t="s">
        <v>10</v>
      </c>
      <c r="F700">
        <v>36</v>
      </c>
      <c r="G700" s="2">
        <v>28.78</v>
      </c>
      <c r="H700" s="2">
        <v>0</v>
      </c>
      <c r="I700" s="2">
        <v>0.46</v>
      </c>
      <c r="J700" s="2">
        <v>29.24</v>
      </c>
      <c r="K700" s="5">
        <f>nantucket[[#This Row],[MW Factor]]-resources!$B$14</f>
        <v>-21</v>
      </c>
    </row>
    <row r="701" spans="1:11" x14ac:dyDescent="0.3">
      <c r="A701" t="s">
        <v>71</v>
      </c>
      <c r="B701">
        <v>1486</v>
      </c>
      <c r="C701">
        <v>22</v>
      </c>
      <c r="D701">
        <v>16255</v>
      </c>
      <c r="E701" t="s">
        <v>10</v>
      </c>
      <c r="F701">
        <v>36</v>
      </c>
      <c r="G701" s="2">
        <v>27.03</v>
      </c>
      <c r="H701" s="2">
        <v>0</v>
      </c>
      <c r="I701" s="2">
        <v>0.61</v>
      </c>
      <c r="J701" s="2">
        <v>27.64</v>
      </c>
      <c r="K701" s="5">
        <f>nantucket[[#This Row],[MW Factor]]-resources!$B$14</f>
        <v>-21</v>
      </c>
    </row>
    <row r="702" spans="1:11" x14ac:dyDescent="0.3">
      <c r="A702" t="s">
        <v>9</v>
      </c>
      <c r="B702">
        <v>18</v>
      </c>
      <c r="C702">
        <v>18</v>
      </c>
      <c r="D702">
        <v>16255</v>
      </c>
      <c r="E702" t="s">
        <v>10</v>
      </c>
      <c r="F702">
        <v>35</v>
      </c>
      <c r="G702" s="2">
        <v>29.05</v>
      </c>
      <c r="H702" s="2">
        <v>0</v>
      </c>
      <c r="I702" s="2">
        <v>0.46</v>
      </c>
      <c r="J702" s="2">
        <v>29.51</v>
      </c>
      <c r="K702" s="5">
        <f>nantucket[[#This Row],[MW Factor]]-resources!$B$14</f>
        <v>-22</v>
      </c>
    </row>
    <row r="703" spans="1:11" x14ac:dyDescent="0.3">
      <c r="A703" t="s">
        <v>12</v>
      </c>
      <c r="B703">
        <v>62</v>
      </c>
      <c r="C703">
        <v>14</v>
      </c>
      <c r="D703">
        <v>16255</v>
      </c>
      <c r="E703" t="s">
        <v>10</v>
      </c>
      <c r="F703">
        <v>35</v>
      </c>
      <c r="G703" s="2">
        <v>32.07</v>
      </c>
      <c r="H703" s="2">
        <v>0</v>
      </c>
      <c r="I703" s="2">
        <v>0.33</v>
      </c>
      <c r="J703" s="2">
        <v>32.4</v>
      </c>
      <c r="K703" s="5">
        <f>nantucket[[#This Row],[MW Factor]]-resources!$B$14</f>
        <v>-22</v>
      </c>
    </row>
    <row r="704" spans="1:11" x14ac:dyDescent="0.3">
      <c r="A704" t="s">
        <v>12</v>
      </c>
      <c r="B704">
        <v>63</v>
      </c>
      <c r="C704">
        <v>15</v>
      </c>
      <c r="D704">
        <v>16255</v>
      </c>
      <c r="E704" t="s">
        <v>10</v>
      </c>
      <c r="F704">
        <v>35</v>
      </c>
      <c r="G704" s="2">
        <v>34.94</v>
      </c>
      <c r="H704" s="2">
        <v>0</v>
      </c>
      <c r="I704" s="2">
        <v>0.4</v>
      </c>
      <c r="J704" s="2">
        <v>35.340000000000003</v>
      </c>
      <c r="K704" s="5">
        <f>nantucket[[#This Row],[MW Factor]]-resources!$B$14</f>
        <v>-22</v>
      </c>
    </row>
    <row r="705" spans="1:11" x14ac:dyDescent="0.3">
      <c r="A705" t="s">
        <v>13</v>
      </c>
      <c r="B705">
        <v>94</v>
      </c>
      <c r="C705">
        <v>22</v>
      </c>
      <c r="D705">
        <v>16255</v>
      </c>
      <c r="E705" t="s">
        <v>10</v>
      </c>
      <c r="F705">
        <v>35</v>
      </c>
      <c r="G705" s="2">
        <v>47.75</v>
      </c>
      <c r="H705" s="2">
        <v>0</v>
      </c>
      <c r="I705" s="2">
        <v>0.46</v>
      </c>
      <c r="J705" s="2">
        <v>48.21</v>
      </c>
      <c r="K705" s="5">
        <f>nantucket[[#This Row],[MW Factor]]-resources!$B$14</f>
        <v>-22</v>
      </c>
    </row>
    <row r="706" spans="1:11" x14ac:dyDescent="0.3">
      <c r="A706" t="s">
        <v>13</v>
      </c>
      <c r="B706">
        <v>95</v>
      </c>
      <c r="C706">
        <v>23</v>
      </c>
      <c r="D706">
        <v>16255</v>
      </c>
      <c r="E706" t="s">
        <v>10</v>
      </c>
      <c r="F706">
        <v>35</v>
      </c>
      <c r="G706" s="2">
        <v>45.78</v>
      </c>
      <c r="H706" s="2">
        <v>0</v>
      </c>
      <c r="I706" s="2">
        <v>0.51</v>
      </c>
      <c r="J706" s="2">
        <v>46.29</v>
      </c>
      <c r="K706" s="5">
        <f>nantucket[[#This Row],[MW Factor]]-resources!$B$14</f>
        <v>-22</v>
      </c>
    </row>
    <row r="707" spans="1:11" x14ac:dyDescent="0.3">
      <c r="A707" t="s">
        <v>14</v>
      </c>
      <c r="B707">
        <v>120</v>
      </c>
      <c r="C707">
        <v>24</v>
      </c>
      <c r="D707">
        <v>16255</v>
      </c>
      <c r="E707" t="s">
        <v>10</v>
      </c>
      <c r="F707">
        <v>35</v>
      </c>
      <c r="G707" s="2">
        <v>30.35</v>
      </c>
      <c r="H707" s="2">
        <v>0</v>
      </c>
      <c r="I707" s="2">
        <v>0.24</v>
      </c>
      <c r="J707" s="2">
        <v>30.59</v>
      </c>
      <c r="K707" s="5">
        <f>nantucket[[#This Row],[MW Factor]]-resources!$B$14</f>
        <v>-22</v>
      </c>
    </row>
    <row r="708" spans="1:11" x14ac:dyDescent="0.3">
      <c r="A708" t="s">
        <v>15</v>
      </c>
      <c r="B708">
        <v>130</v>
      </c>
      <c r="C708">
        <v>10</v>
      </c>
      <c r="D708">
        <v>16255</v>
      </c>
      <c r="E708" t="s">
        <v>10</v>
      </c>
      <c r="F708">
        <v>35</v>
      </c>
      <c r="G708" s="2">
        <v>30.14</v>
      </c>
      <c r="H708" s="2">
        <v>0</v>
      </c>
      <c r="I708" s="2">
        <v>0.42</v>
      </c>
      <c r="J708" s="2">
        <v>30.56</v>
      </c>
      <c r="K708" s="5">
        <f>nantucket[[#This Row],[MW Factor]]-resources!$B$14</f>
        <v>-22</v>
      </c>
    </row>
    <row r="709" spans="1:11" x14ac:dyDescent="0.3">
      <c r="A709" t="s">
        <v>15</v>
      </c>
      <c r="B709">
        <v>144</v>
      </c>
      <c r="C709">
        <v>24</v>
      </c>
      <c r="D709">
        <v>16255</v>
      </c>
      <c r="E709" t="s">
        <v>10</v>
      </c>
      <c r="F709">
        <v>35</v>
      </c>
      <c r="G709" s="2">
        <v>32.049999999999997</v>
      </c>
      <c r="H709" s="2">
        <v>0</v>
      </c>
      <c r="I709" s="2">
        <v>0.43</v>
      </c>
      <c r="J709" s="2">
        <v>32.479999999999997</v>
      </c>
      <c r="K709" s="5">
        <f>nantucket[[#This Row],[MW Factor]]-resources!$B$14</f>
        <v>-22</v>
      </c>
    </row>
    <row r="710" spans="1:11" x14ac:dyDescent="0.3">
      <c r="A710" t="s">
        <v>16</v>
      </c>
      <c r="B710">
        <v>168</v>
      </c>
      <c r="C710">
        <v>24</v>
      </c>
      <c r="D710">
        <v>16255</v>
      </c>
      <c r="E710" t="s">
        <v>10</v>
      </c>
      <c r="F710">
        <v>35</v>
      </c>
      <c r="G710" s="2">
        <v>30.89</v>
      </c>
      <c r="H710" s="2">
        <v>0</v>
      </c>
      <c r="I710" s="2">
        <v>0.48</v>
      </c>
      <c r="J710" s="2">
        <v>31.37</v>
      </c>
      <c r="K710" s="5">
        <f>nantucket[[#This Row],[MW Factor]]-resources!$B$14</f>
        <v>-22</v>
      </c>
    </row>
    <row r="711" spans="1:11" x14ac:dyDescent="0.3">
      <c r="A711" t="s">
        <v>20</v>
      </c>
      <c r="B711">
        <v>249</v>
      </c>
      <c r="C711">
        <v>9</v>
      </c>
      <c r="D711">
        <v>16255</v>
      </c>
      <c r="E711" t="s">
        <v>10</v>
      </c>
      <c r="F711">
        <v>35</v>
      </c>
      <c r="G711" s="2">
        <v>43.08</v>
      </c>
      <c r="H711" s="2">
        <v>0</v>
      </c>
      <c r="I711" s="2">
        <v>0.38</v>
      </c>
      <c r="J711" s="2">
        <v>43.46</v>
      </c>
      <c r="K711" s="5">
        <f>nantucket[[#This Row],[MW Factor]]-resources!$B$14</f>
        <v>-22</v>
      </c>
    </row>
    <row r="712" spans="1:11" x14ac:dyDescent="0.3">
      <c r="A712" t="s">
        <v>21</v>
      </c>
      <c r="B712">
        <v>265</v>
      </c>
      <c r="C712">
        <v>1</v>
      </c>
      <c r="D712">
        <v>16255</v>
      </c>
      <c r="E712" t="s">
        <v>10</v>
      </c>
      <c r="F712">
        <v>35</v>
      </c>
      <c r="G712" s="2">
        <v>28.72</v>
      </c>
      <c r="H712" s="2">
        <v>0</v>
      </c>
      <c r="I712" s="2">
        <v>0.28000000000000003</v>
      </c>
      <c r="J712" s="2">
        <v>29</v>
      </c>
      <c r="K712" s="5">
        <f>nantucket[[#This Row],[MW Factor]]-resources!$B$14</f>
        <v>-22</v>
      </c>
    </row>
    <row r="713" spans="1:11" x14ac:dyDescent="0.3">
      <c r="A713" t="s">
        <v>21</v>
      </c>
      <c r="B713">
        <v>273</v>
      </c>
      <c r="C713">
        <v>9</v>
      </c>
      <c r="D713">
        <v>16255</v>
      </c>
      <c r="E713" t="s">
        <v>10</v>
      </c>
      <c r="F713">
        <v>35</v>
      </c>
      <c r="G713" s="2">
        <v>33.46</v>
      </c>
      <c r="H713" s="2">
        <v>0</v>
      </c>
      <c r="I713" s="2">
        <v>0.34</v>
      </c>
      <c r="J713" s="2">
        <v>33.799999999999997</v>
      </c>
      <c r="K713" s="5">
        <f>nantucket[[#This Row],[MW Factor]]-resources!$B$14</f>
        <v>-22</v>
      </c>
    </row>
    <row r="714" spans="1:11" x14ac:dyDescent="0.3">
      <c r="A714" t="s">
        <v>26</v>
      </c>
      <c r="B714">
        <v>392</v>
      </c>
      <c r="C714">
        <v>8</v>
      </c>
      <c r="D714">
        <v>16255</v>
      </c>
      <c r="E714" t="s">
        <v>10</v>
      </c>
      <c r="F714">
        <v>35</v>
      </c>
      <c r="G714" s="2">
        <v>28.74</v>
      </c>
      <c r="H714" s="2">
        <v>0</v>
      </c>
      <c r="I714" s="2">
        <v>0.32</v>
      </c>
      <c r="J714" s="2">
        <v>29.06</v>
      </c>
      <c r="K714" s="5">
        <f>nantucket[[#This Row],[MW Factor]]-resources!$B$14</f>
        <v>-22</v>
      </c>
    </row>
    <row r="715" spans="1:11" x14ac:dyDescent="0.3">
      <c r="A715" t="s">
        <v>30</v>
      </c>
      <c r="B715">
        <v>490</v>
      </c>
      <c r="C715">
        <v>10</v>
      </c>
      <c r="D715">
        <v>16255</v>
      </c>
      <c r="E715" t="s">
        <v>10</v>
      </c>
      <c r="F715">
        <v>35</v>
      </c>
      <c r="G715" s="2">
        <v>20.48</v>
      </c>
      <c r="H715" s="2">
        <v>0</v>
      </c>
      <c r="I715" s="2">
        <v>0.3</v>
      </c>
      <c r="J715" s="2">
        <v>20.78</v>
      </c>
      <c r="K715" s="5">
        <f>nantucket[[#This Row],[MW Factor]]-resources!$B$14</f>
        <v>-22</v>
      </c>
    </row>
    <row r="716" spans="1:11" x14ac:dyDescent="0.3">
      <c r="A716" t="s">
        <v>31</v>
      </c>
      <c r="B716">
        <v>514</v>
      </c>
      <c r="C716">
        <v>10</v>
      </c>
      <c r="D716">
        <v>16255</v>
      </c>
      <c r="E716" t="s">
        <v>10</v>
      </c>
      <c r="F716">
        <v>35</v>
      </c>
      <c r="G716" s="2">
        <v>43.28</v>
      </c>
      <c r="H716" s="2">
        <v>0</v>
      </c>
      <c r="I716" s="2">
        <v>0.32</v>
      </c>
      <c r="J716" s="2">
        <v>43.6</v>
      </c>
      <c r="K716" s="5">
        <f>nantucket[[#This Row],[MW Factor]]-resources!$B$14</f>
        <v>-22</v>
      </c>
    </row>
    <row r="717" spans="1:11" x14ac:dyDescent="0.3">
      <c r="A717" t="s">
        <v>32</v>
      </c>
      <c r="B717">
        <v>540</v>
      </c>
      <c r="C717">
        <v>12</v>
      </c>
      <c r="D717">
        <v>16255</v>
      </c>
      <c r="E717" t="s">
        <v>10</v>
      </c>
      <c r="F717">
        <v>35</v>
      </c>
      <c r="G717" s="2">
        <v>29.82</v>
      </c>
      <c r="H717" s="2">
        <v>0</v>
      </c>
      <c r="I717" s="2">
        <v>0.26</v>
      </c>
      <c r="J717" s="2">
        <v>30.08</v>
      </c>
      <c r="K717" s="5">
        <f>nantucket[[#This Row],[MW Factor]]-resources!$B$14</f>
        <v>-22</v>
      </c>
    </row>
    <row r="718" spans="1:11" x14ac:dyDescent="0.3">
      <c r="A718" t="s">
        <v>33</v>
      </c>
      <c r="B718">
        <v>574</v>
      </c>
      <c r="C718">
        <v>22</v>
      </c>
      <c r="D718">
        <v>16255</v>
      </c>
      <c r="E718" t="s">
        <v>10</v>
      </c>
      <c r="F718">
        <v>35</v>
      </c>
      <c r="G718" s="2">
        <v>31.87</v>
      </c>
      <c r="H718" s="2">
        <v>0</v>
      </c>
      <c r="I718" s="2">
        <v>0.04</v>
      </c>
      <c r="J718" s="2">
        <v>31.91</v>
      </c>
      <c r="K718" s="5">
        <f>nantucket[[#This Row],[MW Factor]]-resources!$B$14</f>
        <v>-22</v>
      </c>
    </row>
    <row r="719" spans="1:11" x14ac:dyDescent="0.3">
      <c r="A719" t="s">
        <v>34</v>
      </c>
      <c r="B719">
        <v>600</v>
      </c>
      <c r="C719">
        <v>24</v>
      </c>
      <c r="D719">
        <v>16255</v>
      </c>
      <c r="E719" t="s">
        <v>10</v>
      </c>
      <c r="F719">
        <v>35</v>
      </c>
      <c r="G719" s="2">
        <v>26.15</v>
      </c>
      <c r="H719" s="2">
        <v>0</v>
      </c>
      <c r="I719" s="2">
        <v>0.34</v>
      </c>
      <c r="J719" s="2">
        <v>26.49</v>
      </c>
      <c r="K719" s="5">
        <f>nantucket[[#This Row],[MW Factor]]-resources!$B$14</f>
        <v>-22</v>
      </c>
    </row>
    <row r="720" spans="1:11" x14ac:dyDescent="0.3">
      <c r="A720" t="s">
        <v>35</v>
      </c>
      <c r="B720">
        <v>611</v>
      </c>
      <c r="C720">
        <v>11</v>
      </c>
      <c r="D720">
        <v>16255</v>
      </c>
      <c r="E720" t="s">
        <v>10</v>
      </c>
      <c r="F720">
        <v>35</v>
      </c>
      <c r="G720" s="2">
        <v>20.309999999999999</v>
      </c>
      <c r="H720" s="2">
        <v>0</v>
      </c>
      <c r="I720" s="2">
        <v>0.28000000000000003</v>
      </c>
      <c r="J720" s="2">
        <v>20.59</v>
      </c>
      <c r="K720" s="5">
        <f>nantucket[[#This Row],[MW Factor]]-resources!$B$14</f>
        <v>-22</v>
      </c>
    </row>
    <row r="721" spans="1:11" x14ac:dyDescent="0.3">
      <c r="A721" t="s">
        <v>36</v>
      </c>
      <c r="B721">
        <v>648</v>
      </c>
      <c r="C721">
        <v>24</v>
      </c>
      <c r="D721">
        <v>16255</v>
      </c>
      <c r="E721" t="s">
        <v>10</v>
      </c>
      <c r="F721">
        <v>35</v>
      </c>
      <c r="G721" s="2">
        <v>26.49</v>
      </c>
      <c r="H721" s="2">
        <v>0</v>
      </c>
      <c r="I721" s="2">
        <v>0.42</v>
      </c>
      <c r="J721" s="2">
        <v>26.91</v>
      </c>
      <c r="K721" s="5">
        <f>nantucket[[#This Row],[MW Factor]]-resources!$B$14</f>
        <v>-22</v>
      </c>
    </row>
    <row r="722" spans="1:11" x14ac:dyDescent="0.3">
      <c r="A722" t="s">
        <v>37</v>
      </c>
      <c r="B722">
        <v>661</v>
      </c>
      <c r="C722">
        <v>13</v>
      </c>
      <c r="D722">
        <v>16255</v>
      </c>
      <c r="E722" t="s">
        <v>10</v>
      </c>
      <c r="F722">
        <v>35</v>
      </c>
      <c r="G722" s="2">
        <v>28.72</v>
      </c>
      <c r="H722" s="2">
        <v>0</v>
      </c>
      <c r="I722" s="2">
        <v>0.28000000000000003</v>
      </c>
      <c r="J722" s="2">
        <v>29</v>
      </c>
      <c r="K722" s="5">
        <f>nantucket[[#This Row],[MW Factor]]-resources!$B$14</f>
        <v>-22</v>
      </c>
    </row>
    <row r="723" spans="1:11" x14ac:dyDescent="0.3">
      <c r="A723" t="s">
        <v>37</v>
      </c>
      <c r="B723">
        <v>662</v>
      </c>
      <c r="C723">
        <v>14</v>
      </c>
      <c r="D723">
        <v>16255</v>
      </c>
      <c r="E723" t="s">
        <v>10</v>
      </c>
      <c r="F723">
        <v>35</v>
      </c>
      <c r="G723" s="2">
        <v>29.64</v>
      </c>
      <c r="H723" s="2">
        <v>0</v>
      </c>
      <c r="I723" s="2">
        <v>0.23</v>
      </c>
      <c r="J723" s="2">
        <v>29.87</v>
      </c>
      <c r="K723" s="5">
        <f>nantucket[[#This Row],[MW Factor]]-resources!$B$14</f>
        <v>-22</v>
      </c>
    </row>
    <row r="724" spans="1:11" x14ac:dyDescent="0.3">
      <c r="A724" t="s">
        <v>37</v>
      </c>
      <c r="B724">
        <v>663</v>
      </c>
      <c r="C724">
        <v>15</v>
      </c>
      <c r="D724">
        <v>16255</v>
      </c>
      <c r="E724" t="s">
        <v>10</v>
      </c>
      <c r="F724">
        <v>35</v>
      </c>
      <c r="G724" s="2">
        <v>28.82</v>
      </c>
      <c r="H724" s="2">
        <v>0</v>
      </c>
      <c r="I724" s="2">
        <v>0.3</v>
      </c>
      <c r="J724" s="2">
        <v>29.12</v>
      </c>
      <c r="K724" s="5">
        <f>nantucket[[#This Row],[MW Factor]]-resources!$B$14</f>
        <v>-22</v>
      </c>
    </row>
    <row r="725" spans="1:11" x14ac:dyDescent="0.3">
      <c r="A725" t="s">
        <v>38</v>
      </c>
      <c r="B725">
        <v>684</v>
      </c>
      <c r="C725">
        <v>12</v>
      </c>
      <c r="D725">
        <v>16255</v>
      </c>
      <c r="E725" t="s">
        <v>10</v>
      </c>
      <c r="F725">
        <v>35</v>
      </c>
      <c r="G725" s="2">
        <v>27.08</v>
      </c>
      <c r="H725" s="2">
        <v>0</v>
      </c>
      <c r="I725" s="2">
        <v>0.15</v>
      </c>
      <c r="J725" s="2">
        <v>27.23</v>
      </c>
      <c r="K725" s="5">
        <f>nantucket[[#This Row],[MW Factor]]-resources!$B$14</f>
        <v>-22</v>
      </c>
    </row>
    <row r="726" spans="1:11" x14ac:dyDescent="0.3">
      <c r="A726" t="s">
        <v>39</v>
      </c>
      <c r="B726">
        <v>706</v>
      </c>
      <c r="C726">
        <v>10</v>
      </c>
      <c r="D726">
        <v>16255</v>
      </c>
      <c r="E726" t="s">
        <v>10</v>
      </c>
      <c r="F726">
        <v>35</v>
      </c>
      <c r="G726" s="2">
        <v>65.37</v>
      </c>
      <c r="H726" s="2">
        <v>0</v>
      </c>
      <c r="I726" s="2">
        <v>0.84</v>
      </c>
      <c r="J726" s="2">
        <v>66.209999999999994</v>
      </c>
      <c r="K726" s="5">
        <f>nantucket[[#This Row],[MW Factor]]-resources!$B$14</f>
        <v>-22</v>
      </c>
    </row>
    <row r="727" spans="1:11" x14ac:dyDescent="0.3">
      <c r="A727" t="s">
        <v>41</v>
      </c>
      <c r="B727">
        <v>752</v>
      </c>
      <c r="C727">
        <v>8</v>
      </c>
      <c r="D727">
        <v>16255</v>
      </c>
      <c r="E727" t="s">
        <v>10</v>
      </c>
      <c r="F727">
        <v>35</v>
      </c>
      <c r="G727" s="2">
        <v>52.6</v>
      </c>
      <c r="H727" s="2">
        <v>0</v>
      </c>
      <c r="I727" s="2">
        <v>0.73</v>
      </c>
      <c r="J727" s="2">
        <v>53.33</v>
      </c>
      <c r="K727" s="5">
        <f>nantucket[[#This Row],[MW Factor]]-resources!$B$14</f>
        <v>-22</v>
      </c>
    </row>
    <row r="728" spans="1:11" x14ac:dyDescent="0.3">
      <c r="A728" t="s">
        <v>43</v>
      </c>
      <c r="B728">
        <v>795</v>
      </c>
      <c r="C728">
        <v>3</v>
      </c>
      <c r="D728">
        <v>16255</v>
      </c>
      <c r="E728" t="s">
        <v>10</v>
      </c>
      <c r="F728">
        <v>35</v>
      </c>
      <c r="G728" s="2">
        <v>45.26</v>
      </c>
      <c r="H728" s="2">
        <v>0</v>
      </c>
      <c r="I728" s="2">
        <v>0.48</v>
      </c>
      <c r="J728" s="2">
        <v>45.74</v>
      </c>
      <c r="K728" s="5">
        <f>nantucket[[#This Row],[MW Factor]]-resources!$B$14</f>
        <v>-22</v>
      </c>
    </row>
    <row r="729" spans="1:11" x14ac:dyDescent="0.3">
      <c r="A729" t="s">
        <v>44</v>
      </c>
      <c r="B729">
        <v>820</v>
      </c>
      <c r="C729">
        <v>4</v>
      </c>
      <c r="D729">
        <v>16255</v>
      </c>
      <c r="E729" t="s">
        <v>10</v>
      </c>
      <c r="F729">
        <v>35</v>
      </c>
      <c r="G729" s="2">
        <v>41.38</v>
      </c>
      <c r="H729" s="2">
        <v>0</v>
      </c>
      <c r="I729" s="2">
        <v>0.5</v>
      </c>
      <c r="J729" s="2">
        <v>41.88</v>
      </c>
      <c r="K729" s="5">
        <f>nantucket[[#This Row],[MW Factor]]-resources!$B$14</f>
        <v>-22</v>
      </c>
    </row>
    <row r="730" spans="1:11" x14ac:dyDescent="0.3">
      <c r="A730" t="s">
        <v>45</v>
      </c>
      <c r="B730">
        <v>842</v>
      </c>
      <c r="C730">
        <v>2</v>
      </c>
      <c r="D730">
        <v>16255</v>
      </c>
      <c r="E730" t="s">
        <v>10</v>
      </c>
      <c r="F730">
        <v>35</v>
      </c>
      <c r="G730" s="2">
        <v>21.81</v>
      </c>
      <c r="H730" s="2">
        <v>0</v>
      </c>
      <c r="I730" s="2">
        <v>0.4</v>
      </c>
      <c r="J730" s="2">
        <v>22.21</v>
      </c>
      <c r="K730" s="5">
        <f>nantucket[[#This Row],[MW Factor]]-resources!$B$14</f>
        <v>-22</v>
      </c>
    </row>
    <row r="731" spans="1:11" x14ac:dyDescent="0.3">
      <c r="A731" t="s">
        <v>46</v>
      </c>
      <c r="B731">
        <v>887</v>
      </c>
      <c r="C731">
        <v>23</v>
      </c>
      <c r="D731">
        <v>16255</v>
      </c>
      <c r="E731" t="s">
        <v>10</v>
      </c>
      <c r="F731">
        <v>35</v>
      </c>
      <c r="G731" s="2">
        <v>29.86</v>
      </c>
      <c r="H731" s="2">
        <v>0</v>
      </c>
      <c r="I731" s="2">
        <v>0.4</v>
      </c>
      <c r="J731" s="2">
        <v>30.26</v>
      </c>
      <c r="K731" s="5">
        <f>nantucket[[#This Row],[MW Factor]]-resources!$B$14</f>
        <v>-22</v>
      </c>
    </row>
    <row r="732" spans="1:11" x14ac:dyDescent="0.3">
      <c r="A732" t="s">
        <v>47</v>
      </c>
      <c r="B732">
        <v>906</v>
      </c>
      <c r="C732">
        <v>18</v>
      </c>
      <c r="D732">
        <v>16255</v>
      </c>
      <c r="E732" t="s">
        <v>10</v>
      </c>
      <c r="F732">
        <v>35</v>
      </c>
      <c r="G732" s="2">
        <v>35.15</v>
      </c>
      <c r="H732" s="2">
        <v>0</v>
      </c>
      <c r="I732" s="2">
        <v>0.53</v>
      </c>
      <c r="J732" s="2">
        <v>35.68</v>
      </c>
      <c r="K732" s="5">
        <f>nantucket[[#This Row],[MW Factor]]-resources!$B$14</f>
        <v>-22</v>
      </c>
    </row>
    <row r="733" spans="1:11" x14ac:dyDescent="0.3">
      <c r="A733" t="s">
        <v>47</v>
      </c>
      <c r="B733">
        <v>907</v>
      </c>
      <c r="C733">
        <v>19</v>
      </c>
      <c r="D733">
        <v>16255</v>
      </c>
      <c r="E733" t="s">
        <v>10</v>
      </c>
      <c r="F733">
        <v>35</v>
      </c>
      <c r="G733" s="2">
        <v>50.1</v>
      </c>
      <c r="H733" s="2">
        <v>0</v>
      </c>
      <c r="I733" s="2">
        <v>0.82</v>
      </c>
      <c r="J733" s="2">
        <v>50.92</v>
      </c>
      <c r="K733" s="5">
        <f>nantucket[[#This Row],[MW Factor]]-resources!$B$14</f>
        <v>-22</v>
      </c>
    </row>
    <row r="734" spans="1:11" x14ac:dyDescent="0.3">
      <c r="A734" t="s">
        <v>47</v>
      </c>
      <c r="B734">
        <v>910</v>
      </c>
      <c r="C734">
        <v>22</v>
      </c>
      <c r="D734">
        <v>16255</v>
      </c>
      <c r="E734" t="s">
        <v>10</v>
      </c>
      <c r="F734">
        <v>35</v>
      </c>
      <c r="G734" s="2">
        <v>39.49</v>
      </c>
      <c r="H734" s="2">
        <v>0</v>
      </c>
      <c r="I734" s="2">
        <v>0.62</v>
      </c>
      <c r="J734" s="2">
        <v>40.11</v>
      </c>
      <c r="K734" s="5">
        <f>nantucket[[#This Row],[MW Factor]]-resources!$B$14</f>
        <v>-22</v>
      </c>
    </row>
    <row r="735" spans="1:11" x14ac:dyDescent="0.3">
      <c r="A735" t="s">
        <v>48</v>
      </c>
      <c r="B735">
        <v>934</v>
      </c>
      <c r="C735">
        <v>22</v>
      </c>
      <c r="D735">
        <v>16255</v>
      </c>
      <c r="E735" t="s">
        <v>10</v>
      </c>
      <c r="F735">
        <v>35</v>
      </c>
      <c r="G735" s="2">
        <v>47.83</v>
      </c>
      <c r="H735" s="2">
        <v>0</v>
      </c>
      <c r="I735" s="2">
        <v>0.67</v>
      </c>
      <c r="J735" s="2">
        <v>48.5</v>
      </c>
      <c r="K735" s="5">
        <f>nantucket[[#This Row],[MW Factor]]-resources!$B$14</f>
        <v>-22</v>
      </c>
    </row>
    <row r="736" spans="1:11" x14ac:dyDescent="0.3">
      <c r="A736" t="s">
        <v>49</v>
      </c>
      <c r="B736">
        <v>946</v>
      </c>
      <c r="C736">
        <v>10</v>
      </c>
      <c r="D736">
        <v>16255</v>
      </c>
      <c r="E736" t="s">
        <v>10</v>
      </c>
      <c r="F736">
        <v>35</v>
      </c>
      <c r="G736" s="2">
        <v>27.36</v>
      </c>
      <c r="H736" s="2">
        <v>0</v>
      </c>
      <c r="I736" s="2">
        <v>0.18</v>
      </c>
      <c r="J736" s="2">
        <v>27.54</v>
      </c>
      <c r="K736" s="5">
        <f>nantucket[[#This Row],[MW Factor]]-resources!$B$14</f>
        <v>-22</v>
      </c>
    </row>
    <row r="737" spans="1:11" x14ac:dyDescent="0.3">
      <c r="A737" t="s">
        <v>50</v>
      </c>
      <c r="B737">
        <v>969</v>
      </c>
      <c r="C737">
        <v>9</v>
      </c>
      <c r="D737">
        <v>16255</v>
      </c>
      <c r="E737" t="s">
        <v>10</v>
      </c>
      <c r="F737">
        <v>35</v>
      </c>
      <c r="G737" s="2">
        <v>26.62</v>
      </c>
      <c r="H737" s="2">
        <v>0</v>
      </c>
      <c r="I737" s="2">
        <v>0.66</v>
      </c>
      <c r="J737" s="2">
        <v>27.28</v>
      </c>
      <c r="K737" s="5">
        <f>nantucket[[#This Row],[MW Factor]]-resources!$B$14</f>
        <v>-22</v>
      </c>
    </row>
    <row r="738" spans="1:11" x14ac:dyDescent="0.3">
      <c r="A738" t="s">
        <v>52</v>
      </c>
      <c r="B738">
        <v>1019</v>
      </c>
      <c r="C738">
        <v>11</v>
      </c>
      <c r="D738">
        <v>16255</v>
      </c>
      <c r="E738" t="s">
        <v>10</v>
      </c>
      <c r="F738">
        <v>35</v>
      </c>
      <c r="G738" s="2">
        <v>22.21</v>
      </c>
      <c r="H738" s="2">
        <v>0</v>
      </c>
      <c r="I738" s="2">
        <v>0.2</v>
      </c>
      <c r="J738" s="2">
        <v>22.41</v>
      </c>
      <c r="K738" s="5">
        <f>nantucket[[#This Row],[MW Factor]]-resources!$B$14</f>
        <v>-22</v>
      </c>
    </row>
    <row r="739" spans="1:11" x14ac:dyDescent="0.3">
      <c r="A739" t="s">
        <v>53</v>
      </c>
      <c r="B739">
        <v>1045</v>
      </c>
      <c r="C739">
        <v>13</v>
      </c>
      <c r="D739">
        <v>16255</v>
      </c>
      <c r="E739" t="s">
        <v>10</v>
      </c>
      <c r="F739">
        <v>35</v>
      </c>
      <c r="G739" s="2">
        <v>24.78</v>
      </c>
      <c r="H739" s="2">
        <v>0</v>
      </c>
      <c r="I739" s="2">
        <v>0.3</v>
      </c>
      <c r="J739" s="2">
        <v>25.08</v>
      </c>
      <c r="K739" s="5">
        <f>nantucket[[#This Row],[MW Factor]]-resources!$B$14</f>
        <v>-22</v>
      </c>
    </row>
    <row r="740" spans="1:11" x14ac:dyDescent="0.3">
      <c r="A740" t="s">
        <v>54</v>
      </c>
      <c r="B740">
        <v>1067</v>
      </c>
      <c r="C740">
        <v>11</v>
      </c>
      <c r="D740">
        <v>16255</v>
      </c>
      <c r="E740" t="s">
        <v>10</v>
      </c>
      <c r="F740">
        <v>35</v>
      </c>
      <c r="G740" s="2">
        <v>26.42</v>
      </c>
      <c r="H740" s="2">
        <v>0</v>
      </c>
      <c r="I740" s="2">
        <v>0.28000000000000003</v>
      </c>
      <c r="J740" s="2">
        <v>26.7</v>
      </c>
      <c r="K740" s="5">
        <f>nantucket[[#This Row],[MW Factor]]-resources!$B$14</f>
        <v>-22</v>
      </c>
    </row>
    <row r="741" spans="1:11" x14ac:dyDescent="0.3">
      <c r="A741" t="s">
        <v>55</v>
      </c>
      <c r="B741">
        <v>1091</v>
      </c>
      <c r="C741">
        <v>11</v>
      </c>
      <c r="D741">
        <v>16255</v>
      </c>
      <c r="E741" t="s">
        <v>10</v>
      </c>
      <c r="F741">
        <v>35</v>
      </c>
      <c r="G741" s="2">
        <v>27.67</v>
      </c>
      <c r="H741" s="2">
        <v>0</v>
      </c>
      <c r="I741" s="2">
        <v>0.2</v>
      </c>
      <c r="J741" s="2">
        <v>27.87</v>
      </c>
      <c r="K741" s="5">
        <f>nantucket[[#This Row],[MW Factor]]-resources!$B$14</f>
        <v>-22</v>
      </c>
    </row>
    <row r="742" spans="1:11" x14ac:dyDescent="0.3">
      <c r="A742" t="s">
        <v>56</v>
      </c>
      <c r="B742">
        <v>1127</v>
      </c>
      <c r="C742">
        <v>23</v>
      </c>
      <c r="D742">
        <v>16255</v>
      </c>
      <c r="E742" t="s">
        <v>10</v>
      </c>
      <c r="F742">
        <v>35</v>
      </c>
      <c r="G742" s="2">
        <v>25.77</v>
      </c>
      <c r="H742" s="2">
        <v>0</v>
      </c>
      <c r="I742" s="2">
        <v>0.17</v>
      </c>
      <c r="J742" s="2">
        <v>25.94</v>
      </c>
      <c r="K742" s="5">
        <f>nantucket[[#This Row],[MW Factor]]-resources!$B$14</f>
        <v>-22</v>
      </c>
    </row>
    <row r="743" spans="1:11" x14ac:dyDescent="0.3">
      <c r="A743" t="s">
        <v>57</v>
      </c>
      <c r="B743">
        <v>1146</v>
      </c>
      <c r="C743">
        <v>18</v>
      </c>
      <c r="D743">
        <v>16255</v>
      </c>
      <c r="E743" t="s">
        <v>10</v>
      </c>
      <c r="F743">
        <v>35</v>
      </c>
      <c r="G743" s="2">
        <v>38.54</v>
      </c>
      <c r="H743" s="2">
        <v>0</v>
      </c>
      <c r="I743" s="2">
        <v>0.34</v>
      </c>
      <c r="J743" s="2">
        <v>38.880000000000003</v>
      </c>
      <c r="K743" s="5">
        <f>nantucket[[#This Row],[MW Factor]]-resources!$B$14</f>
        <v>-22</v>
      </c>
    </row>
    <row r="744" spans="1:11" x14ac:dyDescent="0.3">
      <c r="A744" t="s">
        <v>58</v>
      </c>
      <c r="B744">
        <v>1164</v>
      </c>
      <c r="C744">
        <v>12</v>
      </c>
      <c r="D744">
        <v>16255</v>
      </c>
      <c r="E744" t="s">
        <v>10</v>
      </c>
      <c r="F744">
        <v>35</v>
      </c>
      <c r="G744" s="2">
        <v>37.159999999999997</v>
      </c>
      <c r="H744" s="2">
        <v>0</v>
      </c>
      <c r="I744" s="2">
        <v>0.62</v>
      </c>
      <c r="J744" s="2">
        <v>37.78</v>
      </c>
      <c r="K744" s="5">
        <f>nantucket[[#This Row],[MW Factor]]-resources!$B$14</f>
        <v>-22</v>
      </c>
    </row>
    <row r="745" spans="1:11" x14ac:dyDescent="0.3">
      <c r="A745" t="s">
        <v>58</v>
      </c>
      <c r="B745">
        <v>1175</v>
      </c>
      <c r="C745">
        <v>23</v>
      </c>
      <c r="D745">
        <v>16255</v>
      </c>
      <c r="E745" t="s">
        <v>10</v>
      </c>
      <c r="F745">
        <v>35</v>
      </c>
      <c r="G745" s="2">
        <v>25.75</v>
      </c>
      <c r="H745" s="2">
        <v>0</v>
      </c>
      <c r="I745" s="2">
        <v>0.4</v>
      </c>
      <c r="J745" s="2">
        <v>26.15</v>
      </c>
      <c r="K745" s="5">
        <f>nantucket[[#This Row],[MW Factor]]-resources!$B$14</f>
        <v>-22</v>
      </c>
    </row>
    <row r="746" spans="1:11" x14ac:dyDescent="0.3">
      <c r="A746" t="s">
        <v>60</v>
      </c>
      <c r="B746">
        <v>1216</v>
      </c>
      <c r="C746">
        <v>16</v>
      </c>
      <c r="D746">
        <v>16255</v>
      </c>
      <c r="E746" t="s">
        <v>10</v>
      </c>
      <c r="F746">
        <v>35</v>
      </c>
      <c r="G746" s="2">
        <v>21.82</v>
      </c>
      <c r="H746" s="2">
        <v>0</v>
      </c>
      <c r="I746" s="2">
        <v>0.43</v>
      </c>
      <c r="J746" s="2">
        <v>22.25</v>
      </c>
      <c r="K746" s="5">
        <f>nantucket[[#This Row],[MW Factor]]-resources!$B$14</f>
        <v>-22</v>
      </c>
    </row>
    <row r="747" spans="1:11" x14ac:dyDescent="0.3">
      <c r="A747" t="s">
        <v>60</v>
      </c>
      <c r="B747">
        <v>1222</v>
      </c>
      <c r="C747">
        <v>22</v>
      </c>
      <c r="D747">
        <v>16255</v>
      </c>
      <c r="E747" t="s">
        <v>10</v>
      </c>
      <c r="F747">
        <v>35</v>
      </c>
      <c r="G747" s="2">
        <v>25.75</v>
      </c>
      <c r="H747" s="2">
        <v>0</v>
      </c>
      <c r="I747" s="2">
        <v>0.55000000000000004</v>
      </c>
      <c r="J747" s="2">
        <v>26.3</v>
      </c>
      <c r="K747" s="5">
        <f>nantucket[[#This Row],[MW Factor]]-resources!$B$14</f>
        <v>-22</v>
      </c>
    </row>
    <row r="748" spans="1:11" x14ac:dyDescent="0.3">
      <c r="A748" t="s">
        <v>61</v>
      </c>
      <c r="B748">
        <v>1242</v>
      </c>
      <c r="C748">
        <v>18</v>
      </c>
      <c r="D748">
        <v>16255</v>
      </c>
      <c r="E748" t="s">
        <v>10</v>
      </c>
      <c r="F748">
        <v>35</v>
      </c>
      <c r="G748" s="2">
        <v>40.35</v>
      </c>
      <c r="H748" s="2">
        <v>0</v>
      </c>
      <c r="I748" s="2">
        <v>0.86</v>
      </c>
      <c r="J748" s="2">
        <v>41.21</v>
      </c>
      <c r="K748" s="5">
        <f>nantucket[[#This Row],[MW Factor]]-resources!$B$14</f>
        <v>-22</v>
      </c>
    </row>
    <row r="749" spans="1:11" x14ac:dyDescent="0.3">
      <c r="A749" t="s">
        <v>61</v>
      </c>
      <c r="B749">
        <v>1245</v>
      </c>
      <c r="C749">
        <v>21</v>
      </c>
      <c r="D749">
        <v>16255</v>
      </c>
      <c r="E749" t="s">
        <v>10</v>
      </c>
      <c r="F749">
        <v>35</v>
      </c>
      <c r="G749" s="2">
        <v>49.81</v>
      </c>
      <c r="H749" s="2">
        <v>0</v>
      </c>
      <c r="I749" s="2">
        <v>1.1299999999999999</v>
      </c>
      <c r="J749" s="2">
        <v>50.94</v>
      </c>
      <c r="K749" s="5">
        <f>nantucket[[#This Row],[MW Factor]]-resources!$B$14</f>
        <v>-22</v>
      </c>
    </row>
    <row r="750" spans="1:11" x14ac:dyDescent="0.3">
      <c r="A750" t="s">
        <v>62</v>
      </c>
      <c r="B750">
        <v>1268</v>
      </c>
      <c r="C750">
        <v>20</v>
      </c>
      <c r="D750">
        <v>16255</v>
      </c>
      <c r="E750" t="s">
        <v>10</v>
      </c>
      <c r="F750">
        <v>35</v>
      </c>
      <c r="G750" s="2">
        <v>41.91</v>
      </c>
      <c r="H750" s="2">
        <v>0</v>
      </c>
      <c r="I750" s="2">
        <v>1.1299999999999999</v>
      </c>
      <c r="J750" s="2">
        <v>43.04</v>
      </c>
      <c r="K750" s="5">
        <f>nantucket[[#This Row],[MW Factor]]-resources!$B$14</f>
        <v>-22</v>
      </c>
    </row>
    <row r="751" spans="1:11" x14ac:dyDescent="0.3">
      <c r="A751" t="s">
        <v>62</v>
      </c>
      <c r="B751">
        <v>1269</v>
      </c>
      <c r="C751">
        <v>21</v>
      </c>
      <c r="D751">
        <v>16255</v>
      </c>
      <c r="E751" t="s">
        <v>10</v>
      </c>
      <c r="F751">
        <v>35</v>
      </c>
      <c r="G751" s="2">
        <v>39.159999999999997</v>
      </c>
      <c r="H751" s="2">
        <v>0</v>
      </c>
      <c r="I751" s="2">
        <v>1.05</v>
      </c>
      <c r="J751" s="2">
        <v>40.21</v>
      </c>
      <c r="K751" s="5">
        <f>nantucket[[#This Row],[MW Factor]]-resources!$B$14</f>
        <v>-22</v>
      </c>
    </row>
    <row r="752" spans="1:11" x14ac:dyDescent="0.3">
      <c r="A752" t="s">
        <v>63</v>
      </c>
      <c r="B752">
        <v>1287</v>
      </c>
      <c r="C752">
        <v>15</v>
      </c>
      <c r="D752">
        <v>16255</v>
      </c>
      <c r="E752" t="s">
        <v>10</v>
      </c>
      <c r="F752">
        <v>35</v>
      </c>
      <c r="G752" s="2">
        <v>26.74</v>
      </c>
      <c r="H752" s="2">
        <v>0</v>
      </c>
      <c r="I752" s="2">
        <v>0.47</v>
      </c>
      <c r="J752" s="2">
        <v>27.21</v>
      </c>
      <c r="K752" s="5">
        <f>nantucket[[#This Row],[MW Factor]]-resources!$B$14</f>
        <v>-22</v>
      </c>
    </row>
    <row r="753" spans="1:11" x14ac:dyDescent="0.3">
      <c r="A753" t="s">
        <v>64</v>
      </c>
      <c r="B753">
        <v>1309</v>
      </c>
      <c r="C753">
        <v>13</v>
      </c>
      <c r="D753">
        <v>16255</v>
      </c>
      <c r="E753" t="s">
        <v>10</v>
      </c>
      <c r="F753">
        <v>35</v>
      </c>
      <c r="G753" s="2">
        <v>21.45</v>
      </c>
      <c r="H753" s="2">
        <v>0</v>
      </c>
      <c r="I753" s="2">
        <v>0.31</v>
      </c>
      <c r="J753" s="2">
        <v>21.76</v>
      </c>
      <c r="K753" s="5">
        <f>nantucket[[#This Row],[MW Factor]]-resources!$B$14</f>
        <v>-22</v>
      </c>
    </row>
    <row r="754" spans="1:11" x14ac:dyDescent="0.3">
      <c r="A754" t="s">
        <v>65</v>
      </c>
      <c r="B754">
        <v>1332</v>
      </c>
      <c r="C754">
        <v>12</v>
      </c>
      <c r="D754">
        <v>16255</v>
      </c>
      <c r="E754" t="s">
        <v>10</v>
      </c>
      <c r="F754">
        <v>35</v>
      </c>
      <c r="G754" s="2">
        <v>28.65</v>
      </c>
      <c r="H754" s="2">
        <v>0</v>
      </c>
      <c r="I754" s="2">
        <v>0.43</v>
      </c>
      <c r="J754" s="2">
        <v>29.08</v>
      </c>
      <c r="K754" s="5">
        <f>nantucket[[#This Row],[MW Factor]]-resources!$B$14</f>
        <v>-22</v>
      </c>
    </row>
    <row r="755" spans="1:11" x14ac:dyDescent="0.3">
      <c r="A755" t="s">
        <v>65</v>
      </c>
      <c r="B755">
        <v>1343</v>
      </c>
      <c r="C755">
        <v>23</v>
      </c>
      <c r="D755">
        <v>16255</v>
      </c>
      <c r="E755" t="s">
        <v>10</v>
      </c>
      <c r="F755">
        <v>35</v>
      </c>
      <c r="G755" s="2">
        <v>49.38</v>
      </c>
      <c r="H755" s="2">
        <v>0</v>
      </c>
      <c r="I755" s="2">
        <v>0.62</v>
      </c>
      <c r="J755" s="2">
        <v>50</v>
      </c>
      <c r="K755" s="5">
        <f>nantucket[[#This Row],[MW Factor]]-resources!$B$14</f>
        <v>-22</v>
      </c>
    </row>
    <row r="756" spans="1:11" x14ac:dyDescent="0.3">
      <c r="A756" t="s">
        <v>68</v>
      </c>
      <c r="B756">
        <v>1416</v>
      </c>
      <c r="C756">
        <v>24</v>
      </c>
      <c r="D756">
        <v>16255</v>
      </c>
      <c r="E756" t="s">
        <v>10</v>
      </c>
      <c r="F756">
        <v>35</v>
      </c>
      <c r="G756" s="2">
        <v>25.93</v>
      </c>
      <c r="H756" s="2">
        <v>0</v>
      </c>
      <c r="I756" s="2">
        <v>0.46</v>
      </c>
      <c r="J756" s="2">
        <v>26.39</v>
      </c>
      <c r="K756" s="5">
        <f>nantucket[[#This Row],[MW Factor]]-resources!$B$14</f>
        <v>-22</v>
      </c>
    </row>
    <row r="757" spans="1:11" x14ac:dyDescent="0.3">
      <c r="A757" t="s">
        <v>69</v>
      </c>
      <c r="B757">
        <v>1435</v>
      </c>
      <c r="C757">
        <v>19</v>
      </c>
      <c r="D757">
        <v>16255</v>
      </c>
      <c r="E757" t="s">
        <v>10</v>
      </c>
      <c r="F757">
        <v>35</v>
      </c>
      <c r="G757" s="2">
        <v>50.49</v>
      </c>
      <c r="H757" s="2">
        <v>0.04</v>
      </c>
      <c r="I757" s="2">
        <v>1.28</v>
      </c>
      <c r="J757" s="2">
        <v>51.81</v>
      </c>
      <c r="K757" s="5">
        <f>nantucket[[#This Row],[MW Factor]]-resources!$B$14</f>
        <v>-22</v>
      </c>
    </row>
    <row r="758" spans="1:11" x14ac:dyDescent="0.3">
      <c r="A758" t="s">
        <v>70</v>
      </c>
      <c r="B758">
        <v>1459</v>
      </c>
      <c r="C758">
        <v>19</v>
      </c>
      <c r="D758">
        <v>16255</v>
      </c>
      <c r="E758" t="s">
        <v>10</v>
      </c>
      <c r="F758">
        <v>35</v>
      </c>
      <c r="G758" s="2">
        <v>51.39</v>
      </c>
      <c r="H758" s="2">
        <v>0.17</v>
      </c>
      <c r="I758" s="2">
        <v>1.49</v>
      </c>
      <c r="J758" s="2">
        <v>53.05</v>
      </c>
      <c r="K758" s="5">
        <f>nantucket[[#This Row],[MW Factor]]-resources!$B$14</f>
        <v>-22</v>
      </c>
    </row>
    <row r="759" spans="1:11" x14ac:dyDescent="0.3">
      <c r="A759" t="s">
        <v>70</v>
      </c>
      <c r="B759">
        <v>1460</v>
      </c>
      <c r="C759">
        <v>20</v>
      </c>
      <c r="D759">
        <v>16255</v>
      </c>
      <c r="E759" t="s">
        <v>10</v>
      </c>
      <c r="F759">
        <v>35</v>
      </c>
      <c r="G759" s="2">
        <v>52.83</v>
      </c>
      <c r="H759" s="2">
        <v>0.2</v>
      </c>
      <c r="I759" s="2">
        <v>1.57</v>
      </c>
      <c r="J759" s="2">
        <v>54.6</v>
      </c>
      <c r="K759" s="5">
        <f>nantucket[[#This Row],[MW Factor]]-resources!$B$14</f>
        <v>-22</v>
      </c>
    </row>
    <row r="760" spans="1:11" x14ac:dyDescent="0.3">
      <c r="A760" t="s">
        <v>71</v>
      </c>
      <c r="B760">
        <v>1479</v>
      </c>
      <c r="C760">
        <v>15</v>
      </c>
      <c r="D760">
        <v>16255</v>
      </c>
      <c r="E760" t="s">
        <v>10</v>
      </c>
      <c r="F760">
        <v>35</v>
      </c>
      <c r="G760" s="2">
        <v>30.4</v>
      </c>
      <c r="H760" s="2">
        <v>0</v>
      </c>
      <c r="I760" s="2">
        <v>0.46</v>
      </c>
      <c r="J760" s="2">
        <v>30.86</v>
      </c>
      <c r="K760" s="5">
        <f>nantucket[[#This Row],[MW Factor]]-resources!$B$14</f>
        <v>-22</v>
      </c>
    </row>
    <row r="761" spans="1:11" x14ac:dyDescent="0.3">
      <c r="A761" t="s">
        <v>71</v>
      </c>
      <c r="B761">
        <v>1487</v>
      </c>
      <c r="C761">
        <v>23</v>
      </c>
      <c r="D761">
        <v>16255</v>
      </c>
      <c r="E761" t="s">
        <v>10</v>
      </c>
      <c r="F761">
        <v>35</v>
      </c>
      <c r="G761" s="2">
        <v>23.88</v>
      </c>
      <c r="H761" s="2">
        <v>0</v>
      </c>
      <c r="I761" s="2">
        <v>0.5</v>
      </c>
      <c r="J761" s="2">
        <v>24.38</v>
      </c>
      <c r="K761" s="5">
        <f>nantucket[[#This Row],[MW Factor]]-resources!$B$14</f>
        <v>-22</v>
      </c>
    </row>
    <row r="762" spans="1:11" x14ac:dyDescent="0.3">
      <c r="A762" t="s">
        <v>9</v>
      </c>
      <c r="B762">
        <v>10</v>
      </c>
      <c r="C762">
        <v>10</v>
      </c>
      <c r="D762">
        <v>16255</v>
      </c>
      <c r="E762" t="s">
        <v>10</v>
      </c>
      <c r="F762">
        <v>34</v>
      </c>
      <c r="G762" s="2">
        <v>22.94</v>
      </c>
      <c r="H762" s="2">
        <v>0</v>
      </c>
      <c r="I762" s="2">
        <v>0.36</v>
      </c>
      <c r="J762" s="2">
        <v>23.3</v>
      </c>
      <c r="K762" s="5">
        <f>nantucket[[#This Row],[MW Factor]]-resources!$B$14</f>
        <v>-23</v>
      </c>
    </row>
    <row r="763" spans="1:11" x14ac:dyDescent="0.3">
      <c r="A763" t="s">
        <v>9</v>
      </c>
      <c r="B763">
        <v>23</v>
      </c>
      <c r="C763">
        <v>23</v>
      </c>
      <c r="D763">
        <v>16255</v>
      </c>
      <c r="E763" t="s">
        <v>10</v>
      </c>
      <c r="F763">
        <v>34</v>
      </c>
      <c r="G763" s="2">
        <v>30.14</v>
      </c>
      <c r="H763" s="2">
        <v>0</v>
      </c>
      <c r="I763" s="2">
        <v>0.51</v>
      </c>
      <c r="J763" s="2">
        <v>30.65</v>
      </c>
      <c r="K763" s="5">
        <f>nantucket[[#This Row],[MW Factor]]-resources!$B$14</f>
        <v>-23</v>
      </c>
    </row>
    <row r="764" spans="1:11" x14ac:dyDescent="0.3">
      <c r="A764" t="s">
        <v>11</v>
      </c>
      <c r="B764">
        <v>47</v>
      </c>
      <c r="C764">
        <v>23</v>
      </c>
      <c r="D764">
        <v>16255</v>
      </c>
      <c r="E764" t="s">
        <v>10</v>
      </c>
      <c r="F764">
        <v>34</v>
      </c>
      <c r="G764" s="2">
        <v>31.17</v>
      </c>
      <c r="H764" s="2">
        <v>0</v>
      </c>
      <c r="I764" s="2">
        <v>0.57999999999999996</v>
      </c>
      <c r="J764" s="2">
        <v>31.75</v>
      </c>
      <c r="K764" s="5">
        <f>nantucket[[#This Row],[MW Factor]]-resources!$B$14</f>
        <v>-23</v>
      </c>
    </row>
    <row r="765" spans="1:11" x14ac:dyDescent="0.3">
      <c r="A765" t="s">
        <v>12</v>
      </c>
      <c r="B765">
        <v>61</v>
      </c>
      <c r="C765">
        <v>13</v>
      </c>
      <c r="D765">
        <v>16255</v>
      </c>
      <c r="E765" t="s">
        <v>10</v>
      </c>
      <c r="F765">
        <v>34</v>
      </c>
      <c r="G765" s="2">
        <v>22.5</v>
      </c>
      <c r="H765" s="2">
        <v>0</v>
      </c>
      <c r="I765" s="2">
        <v>0.24</v>
      </c>
      <c r="J765" s="2">
        <v>22.74</v>
      </c>
      <c r="K765" s="5">
        <f>nantucket[[#This Row],[MW Factor]]-resources!$B$14</f>
        <v>-23</v>
      </c>
    </row>
    <row r="766" spans="1:11" x14ac:dyDescent="0.3">
      <c r="A766" t="s">
        <v>13</v>
      </c>
      <c r="B766">
        <v>88</v>
      </c>
      <c r="C766">
        <v>16</v>
      </c>
      <c r="D766">
        <v>16255</v>
      </c>
      <c r="E766" t="s">
        <v>10</v>
      </c>
      <c r="F766">
        <v>34</v>
      </c>
      <c r="G766" s="2">
        <v>42.2</v>
      </c>
      <c r="H766" s="2">
        <v>0</v>
      </c>
      <c r="I766" s="2">
        <v>0.22</v>
      </c>
      <c r="J766" s="2">
        <v>42.42</v>
      </c>
      <c r="K766" s="5">
        <f>nantucket[[#This Row],[MW Factor]]-resources!$B$14</f>
        <v>-23</v>
      </c>
    </row>
    <row r="767" spans="1:11" x14ac:dyDescent="0.3">
      <c r="A767" t="s">
        <v>13</v>
      </c>
      <c r="B767">
        <v>96</v>
      </c>
      <c r="C767">
        <v>24</v>
      </c>
      <c r="D767">
        <v>16255</v>
      </c>
      <c r="E767" t="s">
        <v>10</v>
      </c>
      <c r="F767">
        <v>34</v>
      </c>
      <c r="G767" s="2">
        <v>31.06</v>
      </c>
      <c r="H767" s="2">
        <v>0</v>
      </c>
      <c r="I767" s="2">
        <v>0.3</v>
      </c>
      <c r="J767" s="2">
        <v>31.36</v>
      </c>
      <c r="K767" s="5">
        <f>nantucket[[#This Row],[MW Factor]]-resources!$B$14</f>
        <v>-23</v>
      </c>
    </row>
    <row r="768" spans="1:11" x14ac:dyDescent="0.3">
      <c r="A768" t="s">
        <v>14</v>
      </c>
      <c r="B768">
        <v>106</v>
      </c>
      <c r="C768">
        <v>10</v>
      </c>
      <c r="D768">
        <v>16255</v>
      </c>
      <c r="E768" t="s">
        <v>10</v>
      </c>
      <c r="F768">
        <v>34</v>
      </c>
      <c r="G768" s="2">
        <v>32.049999999999997</v>
      </c>
      <c r="H768" s="2">
        <v>0</v>
      </c>
      <c r="I768" s="2">
        <v>0.19</v>
      </c>
      <c r="J768" s="2">
        <v>32.24</v>
      </c>
      <c r="K768" s="5">
        <f>nantucket[[#This Row],[MW Factor]]-resources!$B$14</f>
        <v>-23</v>
      </c>
    </row>
    <row r="769" spans="1:11" x14ac:dyDescent="0.3">
      <c r="A769" t="s">
        <v>16</v>
      </c>
      <c r="B769">
        <v>154</v>
      </c>
      <c r="C769">
        <v>10</v>
      </c>
      <c r="D769">
        <v>16255</v>
      </c>
      <c r="E769" t="s">
        <v>10</v>
      </c>
      <c r="F769">
        <v>34</v>
      </c>
      <c r="G769" s="2">
        <v>20.95</v>
      </c>
      <c r="H769" s="2">
        <v>0</v>
      </c>
      <c r="I769" s="2">
        <v>0.31</v>
      </c>
      <c r="J769" s="2">
        <v>21.26</v>
      </c>
      <c r="K769" s="5">
        <f>nantucket[[#This Row],[MW Factor]]-resources!$B$14</f>
        <v>-23</v>
      </c>
    </row>
    <row r="770" spans="1:11" x14ac:dyDescent="0.3">
      <c r="A770" t="s">
        <v>18</v>
      </c>
      <c r="B770">
        <v>201</v>
      </c>
      <c r="C770">
        <v>9</v>
      </c>
      <c r="D770">
        <v>16255</v>
      </c>
      <c r="E770" t="s">
        <v>10</v>
      </c>
      <c r="F770">
        <v>34</v>
      </c>
      <c r="G770" s="2">
        <v>43.19</v>
      </c>
      <c r="H770" s="2">
        <v>0</v>
      </c>
      <c r="I770" s="2">
        <v>0.5</v>
      </c>
      <c r="J770" s="2">
        <v>43.69</v>
      </c>
      <c r="K770" s="5">
        <f>nantucket[[#This Row],[MW Factor]]-resources!$B$14</f>
        <v>-23</v>
      </c>
    </row>
    <row r="771" spans="1:11" x14ac:dyDescent="0.3">
      <c r="A771" t="s">
        <v>20</v>
      </c>
      <c r="B771">
        <v>241</v>
      </c>
      <c r="C771">
        <v>1</v>
      </c>
      <c r="D771">
        <v>16255</v>
      </c>
      <c r="E771" t="s">
        <v>10</v>
      </c>
      <c r="F771">
        <v>34</v>
      </c>
      <c r="G771" s="2">
        <v>40.89</v>
      </c>
      <c r="H771" s="2">
        <v>0.09</v>
      </c>
      <c r="I771" s="2">
        <v>0.25</v>
      </c>
      <c r="J771" s="2">
        <v>41.23</v>
      </c>
      <c r="K771" s="5">
        <f>nantucket[[#This Row],[MW Factor]]-resources!$B$14</f>
        <v>-23</v>
      </c>
    </row>
    <row r="772" spans="1:11" x14ac:dyDescent="0.3">
      <c r="A772" t="s">
        <v>21</v>
      </c>
      <c r="B772">
        <v>266</v>
      </c>
      <c r="C772">
        <v>2</v>
      </c>
      <c r="D772">
        <v>16255</v>
      </c>
      <c r="E772" t="s">
        <v>10</v>
      </c>
      <c r="F772">
        <v>34</v>
      </c>
      <c r="G772" s="2">
        <v>27.62</v>
      </c>
      <c r="H772" s="2">
        <v>0</v>
      </c>
      <c r="I772" s="2">
        <v>0.22</v>
      </c>
      <c r="J772" s="2">
        <v>27.84</v>
      </c>
      <c r="K772" s="5">
        <f>nantucket[[#This Row],[MW Factor]]-resources!$B$14</f>
        <v>-23</v>
      </c>
    </row>
    <row r="773" spans="1:11" x14ac:dyDescent="0.3">
      <c r="A773" t="s">
        <v>21</v>
      </c>
      <c r="B773">
        <v>272</v>
      </c>
      <c r="C773">
        <v>8</v>
      </c>
      <c r="D773">
        <v>16255</v>
      </c>
      <c r="E773" t="s">
        <v>10</v>
      </c>
      <c r="F773">
        <v>34</v>
      </c>
      <c r="G773" s="2">
        <v>41.53</v>
      </c>
      <c r="H773" s="2">
        <v>0</v>
      </c>
      <c r="I773" s="2">
        <v>0.39</v>
      </c>
      <c r="J773" s="2">
        <v>41.92</v>
      </c>
      <c r="K773" s="5">
        <f>nantucket[[#This Row],[MW Factor]]-resources!$B$14</f>
        <v>-23</v>
      </c>
    </row>
    <row r="774" spans="1:11" x14ac:dyDescent="0.3">
      <c r="A774" t="s">
        <v>22</v>
      </c>
      <c r="B774">
        <v>290</v>
      </c>
      <c r="C774">
        <v>2</v>
      </c>
      <c r="D774">
        <v>16255</v>
      </c>
      <c r="E774" t="s">
        <v>10</v>
      </c>
      <c r="F774">
        <v>34</v>
      </c>
      <c r="G774" s="2">
        <v>44.39</v>
      </c>
      <c r="H774" s="2">
        <v>0</v>
      </c>
      <c r="I774" s="2">
        <v>0.56999999999999995</v>
      </c>
      <c r="J774" s="2">
        <v>44.96</v>
      </c>
      <c r="K774" s="5">
        <f>nantucket[[#This Row],[MW Factor]]-resources!$B$14</f>
        <v>-23</v>
      </c>
    </row>
    <row r="775" spans="1:11" x14ac:dyDescent="0.3">
      <c r="A775" t="s">
        <v>22</v>
      </c>
      <c r="B775">
        <v>296</v>
      </c>
      <c r="C775">
        <v>8</v>
      </c>
      <c r="D775">
        <v>16255</v>
      </c>
      <c r="E775" t="s">
        <v>10</v>
      </c>
      <c r="F775">
        <v>34</v>
      </c>
      <c r="G775" s="2">
        <v>35.020000000000003</v>
      </c>
      <c r="H775" s="2">
        <v>0</v>
      </c>
      <c r="I775" s="2">
        <v>0.28000000000000003</v>
      </c>
      <c r="J775" s="2">
        <v>35.299999999999997</v>
      </c>
      <c r="K775" s="5">
        <f>nantucket[[#This Row],[MW Factor]]-resources!$B$14</f>
        <v>-23</v>
      </c>
    </row>
    <row r="776" spans="1:11" x14ac:dyDescent="0.3">
      <c r="A776" t="s">
        <v>23</v>
      </c>
      <c r="B776">
        <v>313</v>
      </c>
      <c r="C776">
        <v>1</v>
      </c>
      <c r="D776">
        <v>16255</v>
      </c>
      <c r="E776" t="s">
        <v>10</v>
      </c>
      <c r="F776">
        <v>34</v>
      </c>
      <c r="G776" s="2">
        <v>41.44</v>
      </c>
      <c r="H776" s="2">
        <v>0</v>
      </c>
      <c r="I776" s="2">
        <v>0.73</v>
      </c>
      <c r="J776" s="2">
        <v>42.17</v>
      </c>
      <c r="K776" s="5">
        <f>nantucket[[#This Row],[MW Factor]]-resources!$B$14</f>
        <v>-23</v>
      </c>
    </row>
    <row r="777" spans="1:11" x14ac:dyDescent="0.3">
      <c r="A777" t="s">
        <v>24</v>
      </c>
      <c r="B777">
        <v>337</v>
      </c>
      <c r="C777">
        <v>1</v>
      </c>
      <c r="D777">
        <v>16255</v>
      </c>
      <c r="E777" t="s">
        <v>10</v>
      </c>
      <c r="F777">
        <v>34</v>
      </c>
      <c r="G777" s="2">
        <v>128.77000000000001</v>
      </c>
      <c r="H777" s="2">
        <v>1.1100000000000001</v>
      </c>
      <c r="I777" s="2">
        <v>0.87</v>
      </c>
      <c r="J777" s="2">
        <v>130.75</v>
      </c>
      <c r="K777" s="5">
        <f>nantucket[[#This Row],[MW Factor]]-resources!$B$14</f>
        <v>-23</v>
      </c>
    </row>
    <row r="778" spans="1:11" x14ac:dyDescent="0.3">
      <c r="A778" t="s">
        <v>25</v>
      </c>
      <c r="B778">
        <v>363</v>
      </c>
      <c r="C778">
        <v>3</v>
      </c>
      <c r="D778">
        <v>16255</v>
      </c>
      <c r="E778" t="s">
        <v>10</v>
      </c>
      <c r="F778">
        <v>34</v>
      </c>
      <c r="G778" s="2">
        <v>106.44</v>
      </c>
      <c r="H778" s="2">
        <v>0.05</v>
      </c>
      <c r="I778" s="2">
        <v>0.68</v>
      </c>
      <c r="J778" s="2">
        <v>107.17</v>
      </c>
      <c r="K778" s="5">
        <f>nantucket[[#This Row],[MW Factor]]-resources!$B$14</f>
        <v>-23</v>
      </c>
    </row>
    <row r="779" spans="1:11" x14ac:dyDescent="0.3">
      <c r="A779" t="s">
        <v>26</v>
      </c>
      <c r="B779">
        <v>388</v>
      </c>
      <c r="C779">
        <v>4</v>
      </c>
      <c r="D779">
        <v>16255</v>
      </c>
      <c r="E779" t="s">
        <v>10</v>
      </c>
      <c r="F779">
        <v>34</v>
      </c>
      <c r="G779" s="2">
        <v>31.53</v>
      </c>
      <c r="H779" s="2">
        <v>0</v>
      </c>
      <c r="I779" s="2">
        <v>0.23</v>
      </c>
      <c r="J779" s="2">
        <v>31.76</v>
      </c>
      <c r="K779" s="5">
        <f>nantucket[[#This Row],[MW Factor]]-resources!$B$14</f>
        <v>-23</v>
      </c>
    </row>
    <row r="780" spans="1:11" x14ac:dyDescent="0.3">
      <c r="A780" t="s">
        <v>27</v>
      </c>
      <c r="B780">
        <v>411</v>
      </c>
      <c r="C780">
        <v>3</v>
      </c>
      <c r="D780">
        <v>16255</v>
      </c>
      <c r="E780" t="s">
        <v>10</v>
      </c>
      <c r="F780">
        <v>34</v>
      </c>
      <c r="G780" s="2">
        <v>56.01</v>
      </c>
      <c r="H780" s="2">
        <v>0.56999999999999995</v>
      </c>
      <c r="I780" s="2">
        <v>0.61</v>
      </c>
      <c r="J780" s="2">
        <v>57.19</v>
      </c>
      <c r="K780" s="5">
        <f>nantucket[[#This Row],[MW Factor]]-resources!$B$14</f>
        <v>-23</v>
      </c>
    </row>
    <row r="781" spans="1:11" x14ac:dyDescent="0.3">
      <c r="A781" t="s">
        <v>27</v>
      </c>
      <c r="B781">
        <v>416</v>
      </c>
      <c r="C781">
        <v>8</v>
      </c>
      <c r="D781">
        <v>16255</v>
      </c>
      <c r="E781" t="s">
        <v>10</v>
      </c>
      <c r="F781">
        <v>34</v>
      </c>
      <c r="G781" s="2">
        <v>53.75</v>
      </c>
      <c r="H781" s="2">
        <v>0</v>
      </c>
      <c r="I781" s="2">
        <v>0.61</v>
      </c>
      <c r="J781" s="2">
        <v>54.36</v>
      </c>
      <c r="K781" s="5">
        <f>nantucket[[#This Row],[MW Factor]]-resources!$B$14</f>
        <v>-23</v>
      </c>
    </row>
    <row r="782" spans="1:11" x14ac:dyDescent="0.3">
      <c r="A782" t="s">
        <v>28</v>
      </c>
      <c r="B782">
        <v>433</v>
      </c>
      <c r="C782">
        <v>1</v>
      </c>
      <c r="D782">
        <v>16255</v>
      </c>
      <c r="E782" t="s">
        <v>10</v>
      </c>
      <c r="F782">
        <v>34</v>
      </c>
      <c r="G782" s="2">
        <v>24.73</v>
      </c>
      <c r="H782" s="2">
        <v>0.09</v>
      </c>
      <c r="I782" s="2">
        <v>0.48</v>
      </c>
      <c r="J782" s="2">
        <v>25.3</v>
      </c>
      <c r="K782" s="5">
        <f>nantucket[[#This Row],[MW Factor]]-resources!$B$14</f>
        <v>-23</v>
      </c>
    </row>
    <row r="783" spans="1:11" x14ac:dyDescent="0.3">
      <c r="A783" t="s">
        <v>28</v>
      </c>
      <c r="B783">
        <v>441</v>
      </c>
      <c r="C783">
        <v>9</v>
      </c>
      <c r="D783">
        <v>16255</v>
      </c>
      <c r="E783" t="s">
        <v>10</v>
      </c>
      <c r="F783">
        <v>34</v>
      </c>
      <c r="G783" s="2">
        <v>22.84</v>
      </c>
      <c r="H783" s="2">
        <v>0</v>
      </c>
      <c r="I783" s="2">
        <v>0.36</v>
      </c>
      <c r="J783" s="2">
        <v>23.2</v>
      </c>
      <c r="K783" s="5">
        <f>nantucket[[#This Row],[MW Factor]]-resources!$B$14</f>
        <v>-23</v>
      </c>
    </row>
    <row r="784" spans="1:11" x14ac:dyDescent="0.3">
      <c r="A784" t="s">
        <v>28</v>
      </c>
      <c r="B784">
        <v>456</v>
      </c>
      <c r="C784">
        <v>24</v>
      </c>
      <c r="D784">
        <v>16255</v>
      </c>
      <c r="E784" t="s">
        <v>10</v>
      </c>
      <c r="F784">
        <v>34</v>
      </c>
      <c r="G784" s="2">
        <v>23.56</v>
      </c>
      <c r="H784" s="2">
        <v>0</v>
      </c>
      <c r="I784" s="2">
        <v>0.41</v>
      </c>
      <c r="J784" s="2">
        <v>23.97</v>
      </c>
      <c r="K784" s="5">
        <f>nantucket[[#This Row],[MW Factor]]-resources!$B$14</f>
        <v>-23</v>
      </c>
    </row>
    <row r="785" spans="1:11" x14ac:dyDescent="0.3">
      <c r="A785" t="s">
        <v>30</v>
      </c>
      <c r="B785">
        <v>481</v>
      </c>
      <c r="C785">
        <v>1</v>
      </c>
      <c r="D785">
        <v>16255</v>
      </c>
      <c r="E785" t="s">
        <v>10</v>
      </c>
      <c r="F785">
        <v>34</v>
      </c>
      <c r="G785" s="2">
        <v>34.200000000000003</v>
      </c>
      <c r="H785" s="2">
        <v>0</v>
      </c>
      <c r="I785" s="2">
        <v>0.61</v>
      </c>
      <c r="J785" s="2">
        <v>34.81</v>
      </c>
      <c r="K785" s="5">
        <f>nantucket[[#This Row],[MW Factor]]-resources!$B$14</f>
        <v>-23</v>
      </c>
    </row>
    <row r="786" spans="1:11" x14ac:dyDescent="0.3">
      <c r="A786" t="s">
        <v>32</v>
      </c>
      <c r="B786">
        <v>529</v>
      </c>
      <c r="C786">
        <v>1</v>
      </c>
      <c r="D786">
        <v>16255</v>
      </c>
      <c r="E786" t="s">
        <v>10</v>
      </c>
      <c r="F786">
        <v>34</v>
      </c>
      <c r="G786" s="2">
        <v>33.729999999999997</v>
      </c>
      <c r="H786" s="2">
        <v>0</v>
      </c>
      <c r="I786" s="2">
        <v>0.46</v>
      </c>
      <c r="J786" s="2">
        <v>34.19</v>
      </c>
      <c r="K786" s="5">
        <f>nantucket[[#This Row],[MW Factor]]-resources!$B$14</f>
        <v>-23</v>
      </c>
    </row>
    <row r="787" spans="1:11" x14ac:dyDescent="0.3">
      <c r="A787" t="s">
        <v>32</v>
      </c>
      <c r="B787">
        <v>539</v>
      </c>
      <c r="C787">
        <v>11</v>
      </c>
      <c r="D787">
        <v>16255</v>
      </c>
      <c r="E787" t="s">
        <v>10</v>
      </c>
      <c r="F787">
        <v>34</v>
      </c>
      <c r="G787" s="2">
        <v>31.64</v>
      </c>
      <c r="H787" s="2">
        <v>0</v>
      </c>
      <c r="I787" s="2">
        <v>0.26</v>
      </c>
      <c r="J787" s="2">
        <v>31.9</v>
      </c>
      <c r="K787" s="5">
        <f>nantucket[[#This Row],[MW Factor]]-resources!$B$14</f>
        <v>-23</v>
      </c>
    </row>
    <row r="788" spans="1:11" x14ac:dyDescent="0.3">
      <c r="A788" t="s">
        <v>32</v>
      </c>
      <c r="B788">
        <v>551</v>
      </c>
      <c r="C788">
        <v>23</v>
      </c>
      <c r="D788">
        <v>16255</v>
      </c>
      <c r="E788" t="s">
        <v>10</v>
      </c>
      <c r="F788">
        <v>34</v>
      </c>
      <c r="G788" s="2">
        <v>29.24</v>
      </c>
      <c r="H788" s="2">
        <v>0</v>
      </c>
      <c r="I788" s="2">
        <v>0.18</v>
      </c>
      <c r="J788" s="2">
        <v>29.42</v>
      </c>
      <c r="K788" s="5">
        <f>nantucket[[#This Row],[MW Factor]]-resources!$B$14</f>
        <v>-23</v>
      </c>
    </row>
    <row r="789" spans="1:11" x14ac:dyDescent="0.3">
      <c r="A789" t="s">
        <v>33</v>
      </c>
      <c r="B789">
        <v>575</v>
      </c>
      <c r="C789">
        <v>23</v>
      </c>
      <c r="D789">
        <v>16255</v>
      </c>
      <c r="E789" t="s">
        <v>10</v>
      </c>
      <c r="F789">
        <v>34</v>
      </c>
      <c r="G789" s="2">
        <v>31.81</v>
      </c>
      <c r="H789" s="2">
        <v>0</v>
      </c>
      <c r="I789" s="2">
        <v>0.02</v>
      </c>
      <c r="J789" s="2">
        <v>31.83</v>
      </c>
      <c r="K789" s="5">
        <f>nantucket[[#This Row],[MW Factor]]-resources!$B$14</f>
        <v>-23</v>
      </c>
    </row>
    <row r="790" spans="1:11" x14ac:dyDescent="0.3">
      <c r="A790" t="s">
        <v>35</v>
      </c>
      <c r="B790">
        <v>610</v>
      </c>
      <c r="C790">
        <v>10</v>
      </c>
      <c r="D790">
        <v>16255</v>
      </c>
      <c r="E790" t="s">
        <v>10</v>
      </c>
      <c r="F790">
        <v>34</v>
      </c>
      <c r="G790" s="2">
        <v>20.07</v>
      </c>
      <c r="H790" s="2">
        <v>0</v>
      </c>
      <c r="I790" s="2">
        <v>0.32</v>
      </c>
      <c r="J790" s="2">
        <v>20.39</v>
      </c>
      <c r="K790" s="5">
        <f>nantucket[[#This Row],[MW Factor]]-resources!$B$14</f>
        <v>-23</v>
      </c>
    </row>
    <row r="791" spans="1:11" x14ac:dyDescent="0.3">
      <c r="A791" t="s">
        <v>35</v>
      </c>
      <c r="B791">
        <v>624</v>
      </c>
      <c r="C791">
        <v>24</v>
      </c>
      <c r="D791">
        <v>16255</v>
      </c>
      <c r="E791" t="s">
        <v>10</v>
      </c>
      <c r="F791">
        <v>34</v>
      </c>
      <c r="G791" s="2">
        <v>26.87</v>
      </c>
      <c r="H791" s="2">
        <v>0</v>
      </c>
      <c r="I791" s="2">
        <v>0.47</v>
      </c>
      <c r="J791" s="2">
        <v>27.34</v>
      </c>
      <c r="K791" s="5">
        <f>nantucket[[#This Row],[MW Factor]]-resources!$B$14</f>
        <v>-23</v>
      </c>
    </row>
    <row r="792" spans="1:11" x14ac:dyDescent="0.3">
      <c r="A792" t="s">
        <v>36</v>
      </c>
      <c r="B792">
        <v>634</v>
      </c>
      <c r="C792">
        <v>10</v>
      </c>
      <c r="D792">
        <v>16255</v>
      </c>
      <c r="E792" t="s">
        <v>10</v>
      </c>
      <c r="F792">
        <v>34</v>
      </c>
      <c r="G792" s="2">
        <v>20.7</v>
      </c>
      <c r="H792" s="2">
        <v>0</v>
      </c>
      <c r="I792" s="2">
        <v>0.24</v>
      </c>
      <c r="J792" s="2">
        <v>20.94</v>
      </c>
      <c r="K792" s="5">
        <f>nantucket[[#This Row],[MW Factor]]-resources!$B$14</f>
        <v>-23</v>
      </c>
    </row>
    <row r="793" spans="1:11" x14ac:dyDescent="0.3">
      <c r="A793" t="s">
        <v>37</v>
      </c>
      <c r="B793">
        <v>660</v>
      </c>
      <c r="C793">
        <v>12</v>
      </c>
      <c r="D793">
        <v>16255</v>
      </c>
      <c r="E793" t="s">
        <v>10</v>
      </c>
      <c r="F793">
        <v>34</v>
      </c>
      <c r="G793" s="2">
        <v>23.74</v>
      </c>
      <c r="H793" s="2">
        <v>0</v>
      </c>
      <c r="I793" s="2">
        <v>0.25</v>
      </c>
      <c r="J793" s="2">
        <v>23.99</v>
      </c>
      <c r="K793" s="5">
        <f>nantucket[[#This Row],[MW Factor]]-resources!$B$14</f>
        <v>-23</v>
      </c>
    </row>
    <row r="794" spans="1:11" x14ac:dyDescent="0.3">
      <c r="A794" t="s">
        <v>37</v>
      </c>
      <c r="B794">
        <v>670</v>
      </c>
      <c r="C794">
        <v>22</v>
      </c>
      <c r="D794">
        <v>16255</v>
      </c>
      <c r="E794" t="s">
        <v>10</v>
      </c>
      <c r="F794">
        <v>34</v>
      </c>
      <c r="G794" s="2">
        <v>32.64</v>
      </c>
      <c r="H794" s="2">
        <v>0</v>
      </c>
      <c r="I794" s="2">
        <v>0.24</v>
      </c>
      <c r="J794" s="2">
        <v>32.880000000000003</v>
      </c>
      <c r="K794" s="5">
        <f>nantucket[[#This Row],[MW Factor]]-resources!$B$14</f>
        <v>-23</v>
      </c>
    </row>
    <row r="795" spans="1:11" x14ac:dyDescent="0.3">
      <c r="A795" t="s">
        <v>38</v>
      </c>
      <c r="B795">
        <v>687</v>
      </c>
      <c r="C795">
        <v>15</v>
      </c>
      <c r="D795">
        <v>16255</v>
      </c>
      <c r="E795" t="s">
        <v>10</v>
      </c>
      <c r="F795">
        <v>34</v>
      </c>
      <c r="G795" s="2">
        <v>31.75</v>
      </c>
      <c r="H795" s="2">
        <v>0</v>
      </c>
      <c r="I795" s="2">
        <v>0.09</v>
      </c>
      <c r="J795" s="2">
        <v>31.84</v>
      </c>
      <c r="K795" s="5">
        <f>nantucket[[#This Row],[MW Factor]]-resources!$B$14</f>
        <v>-23</v>
      </c>
    </row>
    <row r="796" spans="1:11" x14ac:dyDescent="0.3">
      <c r="A796" t="s">
        <v>40</v>
      </c>
      <c r="B796">
        <v>729</v>
      </c>
      <c r="C796">
        <v>9</v>
      </c>
      <c r="D796">
        <v>16255</v>
      </c>
      <c r="E796" t="s">
        <v>10</v>
      </c>
      <c r="F796">
        <v>34</v>
      </c>
      <c r="G796" s="2">
        <v>43.64</v>
      </c>
      <c r="H796" s="2">
        <v>0</v>
      </c>
      <c r="I796" s="2">
        <v>0.36</v>
      </c>
      <c r="J796" s="2">
        <v>44</v>
      </c>
      <c r="K796" s="5">
        <f>nantucket[[#This Row],[MW Factor]]-resources!$B$14</f>
        <v>-23</v>
      </c>
    </row>
    <row r="797" spans="1:11" x14ac:dyDescent="0.3">
      <c r="A797" t="s">
        <v>41</v>
      </c>
      <c r="B797">
        <v>745</v>
      </c>
      <c r="C797">
        <v>1</v>
      </c>
      <c r="D797">
        <v>16255</v>
      </c>
      <c r="E797" t="s">
        <v>10</v>
      </c>
      <c r="F797">
        <v>34</v>
      </c>
      <c r="G797" s="2">
        <v>53.39</v>
      </c>
      <c r="H797" s="2">
        <v>0.09</v>
      </c>
      <c r="I797" s="2">
        <v>0.67</v>
      </c>
      <c r="J797" s="2">
        <v>54.15</v>
      </c>
      <c r="K797" s="5">
        <f>nantucket[[#This Row],[MW Factor]]-resources!$B$14</f>
        <v>-23</v>
      </c>
    </row>
    <row r="798" spans="1:11" x14ac:dyDescent="0.3">
      <c r="A798" t="s">
        <v>42</v>
      </c>
      <c r="B798">
        <v>770</v>
      </c>
      <c r="C798">
        <v>2</v>
      </c>
      <c r="D798">
        <v>16255</v>
      </c>
      <c r="E798" t="s">
        <v>10</v>
      </c>
      <c r="F798">
        <v>34</v>
      </c>
      <c r="G798" s="2">
        <v>30.36</v>
      </c>
      <c r="H798" s="2">
        <v>0</v>
      </c>
      <c r="I798" s="2">
        <v>0.15</v>
      </c>
      <c r="J798" s="2">
        <v>30.51</v>
      </c>
      <c r="K798" s="5">
        <f>nantucket[[#This Row],[MW Factor]]-resources!$B$14</f>
        <v>-23</v>
      </c>
    </row>
    <row r="799" spans="1:11" x14ac:dyDescent="0.3">
      <c r="A799" t="s">
        <v>43</v>
      </c>
      <c r="B799">
        <v>800</v>
      </c>
      <c r="C799">
        <v>8</v>
      </c>
      <c r="D799">
        <v>16255</v>
      </c>
      <c r="E799" t="s">
        <v>10</v>
      </c>
      <c r="F799">
        <v>34</v>
      </c>
      <c r="G799" s="2">
        <v>33.229999999999997</v>
      </c>
      <c r="H799" s="2">
        <v>0</v>
      </c>
      <c r="I799" s="2">
        <v>0.48</v>
      </c>
      <c r="J799" s="2">
        <v>33.71</v>
      </c>
      <c r="K799" s="5">
        <f>nantucket[[#This Row],[MW Factor]]-resources!$B$14</f>
        <v>-23</v>
      </c>
    </row>
    <row r="800" spans="1:11" x14ac:dyDescent="0.3">
      <c r="A800" t="s">
        <v>45</v>
      </c>
      <c r="B800">
        <v>848</v>
      </c>
      <c r="C800">
        <v>8</v>
      </c>
      <c r="D800">
        <v>16255</v>
      </c>
      <c r="E800" t="s">
        <v>10</v>
      </c>
      <c r="F800">
        <v>34</v>
      </c>
      <c r="G800" s="2">
        <v>23.29</v>
      </c>
      <c r="H800" s="2">
        <v>0</v>
      </c>
      <c r="I800" s="2">
        <v>0.44</v>
      </c>
      <c r="J800" s="2">
        <v>23.73</v>
      </c>
      <c r="K800" s="5">
        <f>nantucket[[#This Row],[MW Factor]]-resources!$B$14</f>
        <v>-23</v>
      </c>
    </row>
    <row r="801" spans="1:11" x14ac:dyDescent="0.3">
      <c r="A801" t="s">
        <v>46</v>
      </c>
      <c r="B801">
        <v>872</v>
      </c>
      <c r="C801">
        <v>8</v>
      </c>
      <c r="D801">
        <v>16255</v>
      </c>
      <c r="E801" t="s">
        <v>10</v>
      </c>
      <c r="F801">
        <v>34</v>
      </c>
      <c r="G801" s="2">
        <v>39.32</v>
      </c>
      <c r="H801" s="2">
        <v>0</v>
      </c>
      <c r="I801" s="2">
        <v>0.56000000000000005</v>
      </c>
      <c r="J801" s="2">
        <v>39.880000000000003</v>
      </c>
      <c r="K801" s="5">
        <f>nantucket[[#This Row],[MW Factor]]-resources!$B$14</f>
        <v>-23</v>
      </c>
    </row>
    <row r="802" spans="1:11" x14ac:dyDescent="0.3">
      <c r="A802" t="s">
        <v>48</v>
      </c>
      <c r="B802">
        <v>930</v>
      </c>
      <c r="C802">
        <v>18</v>
      </c>
      <c r="D802">
        <v>16255</v>
      </c>
      <c r="E802" t="s">
        <v>10</v>
      </c>
      <c r="F802">
        <v>34</v>
      </c>
      <c r="G802" s="2">
        <v>52.18</v>
      </c>
      <c r="H802" s="2">
        <v>0</v>
      </c>
      <c r="I802" s="2">
        <v>0.94</v>
      </c>
      <c r="J802" s="2">
        <v>53.12</v>
      </c>
      <c r="K802" s="5">
        <f>nantucket[[#This Row],[MW Factor]]-resources!$B$14</f>
        <v>-23</v>
      </c>
    </row>
    <row r="803" spans="1:11" x14ac:dyDescent="0.3">
      <c r="A803" t="s">
        <v>50</v>
      </c>
      <c r="B803">
        <v>963</v>
      </c>
      <c r="C803">
        <v>3</v>
      </c>
      <c r="D803">
        <v>16255</v>
      </c>
      <c r="E803" t="s">
        <v>10</v>
      </c>
      <c r="F803">
        <v>34</v>
      </c>
      <c r="G803" s="2">
        <v>37.17</v>
      </c>
      <c r="H803" s="2">
        <v>0.53</v>
      </c>
      <c r="I803" s="2">
        <v>0.94</v>
      </c>
      <c r="J803" s="2">
        <v>38.64</v>
      </c>
      <c r="K803" s="5">
        <f>nantucket[[#This Row],[MW Factor]]-resources!$B$14</f>
        <v>-23</v>
      </c>
    </row>
    <row r="804" spans="1:11" x14ac:dyDescent="0.3">
      <c r="A804" t="s">
        <v>51</v>
      </c>
      <c r="B804">
        <v>1008</v>
      </c>
      <c r="C804">
        <v>24</v>
      </c>
      <c r="D804">
        <v>16255</v>
      </c>
      <c r="E804" t="s">
        <v>10</v>
      </c>
      <c r="F804">
        <v>34</v>
      </c>
      <c r="G804" s="2">
        <v>22.1</v>
      </c>
      <c r="H804" s="2">
        <v>0</v>
      </c>
      <c r="I804" s="2">
        <v>0.41</v>
      </c>
      <c r="J804" s="2">
        <v>22.51</v>
      </c>
      <c r="K804" s="5">
        <f>nantucket[[#This Row],[MW Factor]]-resources!$B$14</f>
        <v>-23</v>
      </c>
    </row>
    <row r="805" spans="1:11" x14ac:dyDescent="0.3">
      <c r="A805" t="s">
        <v>52</v>
      </c>
      <c r="B805">
        <v>1018</v>
      </c>
      <c r="C805">
        <v>10</v>
      </c>
      <c r="D805">
        <v>16255</v>
      </c>
      <c r="E805" t="s">
        <v>10</v>
      </c>
      <c r="F805">
        <v>34</v>
      </c>
      <c r="G805" s="2">
        <v>20.39</v>
      </c>
      <c r="H805" s="2">
        <v>0</v>
      </c>
      <c r="I805" s="2">
        <v>0.28000000000000003</v>
      </c>
      <c r="J805" s="2">
        <v>20.67</v>
      </c>
      <c r="K805" s="5">
        <f>nantucket[[#This Row],[MW Factor]]-resources!$B$14</f>
        <v>-23</v>
      </c>
    </row>
    <row r="806" spans="1:11" x14ac:dyDescent="0.3">
      <c r="A806" t="s">
        <v>53</v>
      </c>
      <c r="B806">
        <v>1043</v>
      </c>
      <c r="C806">
        <v>11</v>
      </c>
      <c r="D806">
        <v>16255</v>
      </c>
      <c r="E806" t="s">
        <v>10</v>
      </c>
      <c r="F806">
        <v>34</v>
      </c>
      <c r="G806" s="2">
        <v>22.29</v>
      </c>
      <c r="H806" s="2">
        <v>0</v>
      </c>
      <c r="I806" s="2">
        <v>0.24</v>
      </c>
      <c r="J806" s="2">
        <v>22.53</v>
      </c>
      <c r="K806" s="5">
        <f>nantucket[[#This Row],[MW Factor]]-resources!$B$14</f>
        <v>-23</v>
      </c>
    </row>
    <row r="807" spans="1:11" x14ac:dyDescent="0.3">
      <c r="A807" t="s">
        <v>53</v>
      </c>
      <c r="B807">
        <v>1044</v>
      </c>
      <c r="C807">
        <v>12</v>
      </c>
      <c r="D807">
        <v>16255</v>
      </c>
      <c r="E807" t="s">
        <v>10</v>
      </c>
      <c r="F807">
        <v>34</v>
      </c>
      <c r="G807" s="2">
        <v>22.22</v>
      </c>
      <c r="H807" s="2">
        <v>0</v>
      </c>
      <c r="I807" s="2">
        <v>0.26</v>
      </c>
      <c r="J807" s="2">
        <v>22.48</v>
      </c>
      <c r="K807" s="5">
        <f>nantucket[[#This Row],[MW Factor]]-resources!$B$14</f>
        <v>-23</v>
      </c>
    </row>
    <row r="808" spans="1:11" x14ac:dyDescent="0.3">
      <c r="A808" t="s">
        <v>56</v>
      </c>
      <c r="B808">
        <v>1115</v>
      </c>
      <c r="C808">
        <v>11</v>
      </c>
      <c r="D808">
        <v>16255</v>
      </c>
      <c r="E808" t="s">
        <v>10</v>
      </c>
      <c r="F808">
        <v>34</v>
      </c>
      <c r="G808" s="2">
        <v>27.75</v>
      </c>
      <c r="H808" s="2">
        <v>0</v>
      </c>
      <c r="I808" s="2">
        <v>0.34</v>
      </c>
      <c r="J808" s="2">
        <v>28.09</v>
      </c>
      <c r="K808" s="5">
        <f>nantucket[[#This Row],[MW Factor]]-resources!$B$14</f>
        <v>-23</v>
      </c>
    </row>
    <row r="809" spans="1:11" x14ac:dyDescent="0.3">
      <c r="A809" t="s">
        <v>57</v>
      </c>
      <c r="B809">
        <v>1144</v>
      </c>
      <c r="C809">
        <v>16</v>
      </c>
      <c r="D809">
        <v>16255</v>
      </c>
      <c r="E809" t="s">
        <v>10</v>
      </c>
      <c r="F809">
        <v>34</v>
      </c>
      <c r="G809" s="2">
        <v>23.33</v>
      </c>
      <c r="H809" s="2">
        <v>0</v>
      </c>
      <c r="I809" s="2">
        <v>0.14000000000000001</v>
      </c>
      <c r="J809" s="2">
        <v>23.47</v>
      </c>
      <c r="K809" s="5">
        <f>nantucket[[#This Row],[MW Factor]]-resources!$B$14</f>
        <v>-23</v>
      </c>
    </row>
    <row r="810" spans="1:11" x14ac:dyDescent="0.3">
      <c r="A810" t="s">
        <v>57</v>
      </c>
      <c r="B810">
        <v>1145</v>
      </c>
      <c r="C810">
        <v>17</v>
      </c>
      <c r="D810">
        <v>16255</v>
      </c>
      <c r="E810" t="s">
        <v>10</v>
      </c>
      <c r="F810">
        <v>34</v>
      </c>
      <c r="G810" s="2">
        <v>28.62</v>
      </c>
      <c r="H810" s="2">
        <v>0</v>
      </c>
      <c r="I810" s="2">
        <v>0.18</v>
      </c>
      <c r="J810" s="2">
        <v>28.8</v>
      </c>
      <c r="K810" s="5">
        <f>nantucket[[#This Row],[MW Factor]]-resources!$B$14</f>
        <v>-23</v>
      </c>
    </row>
    <row r="811" spans="1:11" x14ac:dyDescent="0.3">
      <c r="A811" t="s">
        <v>57</v>
      </c>
      <c r="B811">
        <v>1150</v>
      </c>
      <c r="C811">
        <v>22</v>
      </c>
      <c r="D811">
        <v>16255</v>
      </c>
      <c r="E811" t="s">
        <v>10</v>
      </c>
      <c r="F811">
        <v>34</v>
      </c>
      <c r="G811" s="2">
        <v>23.41</v>
      </c>
      <c r="H811" s="2">
        <v>0</v>
      </c>
      <c r="I811" s="2">
        <v>0.33</v>
      </c>
      <c r="J811" s="2">
        <v>23.74</v>
      </c>
      <c r="K811" s="5">
        <f>nantucket[[#This Row],[MW Factor]]-resources!$B$14</f>
        <v>-23</v>
      </c>
    </row>
    <row r="812" spans="1:11" x14ac:dyDescent="0.3">
      <c r="A812" t="s">
        <v>59</v>
      </c>
      <c r="B812">
        <v>1186</v>
      </c>
      <c r="C812">
        <v>10</v>
      </c>
      <c r="D812">
        <v>16255</v>
      </c>
      <c r="E812" t="s">
        <v>10</v>
      </c>
      <c r="F812">
        <v>34</v>
      </c>
      <c r="G812" s="2">
        <v>31.25</v>
      </c>
      <c r="H812" s="2">
        <v>0</v>
      </c>
      <c r="I812" s="2">
        <v>0.27</v>
      </c>
      <c r="J812" s="2">
        <v>31.52</v>
      </c>
      <c r="K812" s="5">
        <f>nantucket[[#This Row],[MW Factor]]-resources!$B$14</f>
        <v>-23</v>
      </c>
    </row>
    <row r="813" spans="1:11" x14ac:dyDescent="0.3">
      <c r="A813" t="s">
        <v>59</v>
      </c>
      <c r="B813">
        <v>1200</v>
      </c>
      <c r="C813">
        <v>24</v>
      </c>
      <c r="D813">
        <v>16255</v>
      </c>
      <c r="E813" t="s">
        <v>10</v>
      </c>
      <c r="F813">
        <v>34</v>
      </c>
      <c r="G813" s="2">
        <v>30.63</v>
      </c>
      <c r="H813" s="2">
        <v>0</v>
      </c>
      <c r="I813" s="2">
        <v>0.59</v>
      </c>
      <c r="J813" s="2">
        <v>31.22</v>
      </c>
      <c r="K813" s="5">
        <f>nantucket[[#This Row],[MW Factor]]-resources!$B$14</f>
        <v>-23</v>
      </c>
    </row>
    <row r="814" spans="1:11" x14ac:dyDescent="0.3">
      <c r="A814" t="s">
        <v>60</v>
      </c>
      <c r="B814">
        <v>1213</v>
      </c>
      <c r="C814">
        <v>13</v>
      </c>
      <c r="D814">
        <v>16255</v>
      </c>
      <c r="E814" t="s">
        <v>10</v>
      </c>
      <c r="F814">
        <v>34</v>
      </c>
      <c r="G814" s="2">
        <v>22.22</v>
      </c>
      <c r="H814" s="2">
        <v>0</v>
      </c>
      <c r="I814" s="2">
        <v>0.28999999999999998</v>
      </c>
      <c r="J814" s="2">
        <v>22.51</v>
      </c>
      <c r="K814" s="5">
        <f>nantucket[[#This Row],[MW Factor]]-resources!$B$14</f>
        <v>-23</v>
      </c>
    </row>
    <row r="815" spans="1:11" x14ac:dyDescent="0.3">
      <c r="A815" t="s">
        <v>60</v>
      </c>
      <c r="B815">
        <v>1215</v>
      </c>
      <c r="C815">
        <v>15</v>
      </c>
      <c r="D815">
        <v>16255</v>
      </c>
      <c r="E815" t="s">
        <v>10</v>
      </c>
      <c r="F815">
        <v>34</v>
      </c>
      <c r="G815" s="2">
        <v>22.87</v>
      </c>
      <c r="H815" s="2">
        <v>0</v>
      </c>
      <c r="I815" s="2">
        <v>0.41</v>
      </c>
      <c r="J815" s="2">
        <v>23.28</v>
      </c>
      <c r="K815" s="5">
        <f>nantucket[[#This Row],[MW Factor]]-resources!$B$14</f>
        <v>-23</v>
      </c>
    </row>
    <row r="816" spans="1:11" x14ac:dyDescent="0.3">
      <c r="A816" t="s">
        <v>61</v>
      </c>
      <c r="B816">
        <v>1246</v>
      </c>
      <c r="C816">
        <v>22</v>
      </c>
      <c r="D816">
        <v>16255</v>
      </c>
      <c r="E816" t="s">
        <v>10</v>
      </c>
      <c r="F816">
        <v>34</v>
      </c>
      <c r="G816" s="2">
        <v>49.2</v>
      </c>
      <c r="H816" s="2">
        <v>0</v>
      </c>
      <c r="I816" s="2">
        <v>1.27</v>
      </c>
      <c r="J816" s="2">
        <v>50.47</v>
      </c>
      <c r="K816" s="5">
        <f>nantucket[[#This Row],[MW Factor]]-resources!$B$14</f>
        <v>-23</v>
      </c>
    </row>
    <row r="817" spans="1:11" x14ac:dyDescent="0.3">
      <c r="A817" t="s">
        <v>62</v>
      </c>
      <c r="B817">
        <v>1266</v>
      </c>
      <c r="C817">
        <v>18</v>
      </c>
      <c r="D817">
        <v>16255</v>
      </c>
      <c r="E817" t="s">
        <v>10</v>
      </c>
      <c r="F817">
        <v>34</v>
      </c>
      <c r="G817" s="2">
        <v>34.04</v>
      </c>
      <c r="H817" s="2">
        <v>0</v>
      </c>
      <c r="I817" s="2">
        <v>0.77</v>
      </c>
      <c r="J817" s="2">
        <v>34.81</v>
      </c>
      <c r="K817" s="5">
        <f>nantucket[[#This Row],[MW Factor]]-resources!$B$14</f>
        <v>-23</v>
      </c>
    </row>
    <row r="818" spans="1:11" x14ac:dyDescent="0.3">
      <c r="A818" t="s">
        <v>62</v>
      </c>
      <c r="B818">
        <v>1270</v>
      </c>
      <c r="C818">
        <v>22</v>
      </c>
      <c r="D818">
        <v>16255</v>
      </c>
      <c r="E818" t="s">
        <v>10</v>
      </c>
      <c r="F818">
        <v>34</v>
      </c>
      <c r="G818" s="2">
        <v>33.11</v>
      </c>
      <c r="H818" s="2">
        <v>0</v>
      </c>
      <c r="I818" s="2">
        <v>0.86</v>
      </c>
      <c r="J818" s="2">
        <v>33.97</v>
      </c>
      <c r="K818" s="5">
        <f>nantucket[[#This Row],[MW Factor]]-resources!$B$14</f>
        <v>-23</v>
      </c>
    </row>
    <row r="819" spans="1:11" x14ac:dyDescent="0.3">
      <c r="A819" t="s">
        <v>63</v>
      </c>
      <c r="B819">
        <v>1285</v>
      </c>
      <c r="C819">
        <v>13</v>
      </c>
      <c r="D819">
        <v>16255</v>
      </c>
      <c r="E819" t="s">
        <v>10</v>
      </c>
      <c r="F819">
        <v>34</v>
      </c>
      <c r="G819" s="2">
        <v>24.51</v>
      </c>
      <c r="H819" s="2">
        <v>0</v>
      </c>
      <c r="I819" s="2">
        <v>0.38</v>
      </c>
      <c r="J819" s="2">
        <v>24.89</v>
      </c>
      <c r="K819" s="5">
        <f>nantucket[[#This Row],[MW Factor]]-resources!$B$14</f>
        <v>-23</v>
      </c>
    </row>
    <row r="820" spans="1:11" x14ac:dyDescent="0.3">
      <c r="A820" t="s">
        <v>63</v>
      </c>
      <c r="B820">
        <v>1286</v>
      </c>
      <c r="C820">
        <v>14</v>
      </c>
      <c r="D820">
        <v>16255</v>
      </c>
      <c r="E820" t="s">
        <v>10</v>
      </c>
      <c r="F820">
        <v>34</v>
      </c>
      <c r="G820" s="2">
        <v>41.84</v>
      </c>
      <c r="H820" s="2">
        <v>0</v>
      </c>
      <c r="I820" s="2">
        <v>0.73</v>
      </c>
      <c r="J820" s="2">
        <v>42.57</v>
      </c>
      <c r="K820" s="5">
        <f>nantucket[[#This Row],[MW Factor]]-resources!$B$14</f>
        <v>-23</v>
      </c>
    </row>
    <row r="821" spans="1:11" x14ac:dyDescent="0.3">
      <c r="A821" t="s">
        <v>63</v>
      </c>
      <c r="B821">
        <v>1295</v>
      </c>
      <c r="C821">
        <v>23</v>
      </c>
      <c r="D821">
        <v>16255</v>
      </c>
      <c r="E821" t="s">
        <v>10</v>
      </c>
      <c r="F821">
        <v>34</v>
      </c>
      <c r="G821" s="2">
        <v>21.64</v>
      </c>
      <c r="H821" s="2">
        <v>0</v>
      </c>
      <c r="I821" s="2">
        <v>0.5</v>
      </c>
      <c r="J821" s="2">
        <v>22.14</v>
      </c>
      <c r="K821" s="5">
        <f>nantucket[[#This Row],[MW Factor]]-resources!$B$14</f>
        <v>-23</v>
      </c>
    </row>
    <row r="822" spans="1:11" x14ac:dyDescent="0.3">
      <c r="A822" t="s">
        <v>64</v>
      </c>
      <c r="B822">
        <v>1308</v>
      </c>
      <c r="C822">
        <v>12</v>
      </c>
      <c r="D822">
        <v>16255</v>
      </c>
      <c r="E822" t="s">
        <v>10</v>
      </c>
      <c r="F822">
        <v>34</v>
      </c>
      <c r="G822" s="2">
        <v>21.72</v>
      </c>
      <c r="H822" s="2">
        <v>0</v>
      </c>
      <c r="I822" s="2">
        <v>0.36</v>
      </c>
      <c r="J822" s="2">
        <v>22.08</v>
      </c>
      <c r="K822" s="5">
        <f>nantucket[[#This Row],[MW Factor]]-resources!$B$14</f>
        <v>-23</v>
      </c>
    </row>
    <row r="823" spans="1:11" x14ac:dyDescent="0.3">
      <c r="A823" t="s">
        <v>64</v>
      </c>
      <c r="B823">
        <v>1319</v>
      </c>
      <c r="C823">
        <v>23</v>
      </c>
      <c r="D823">
        <v>16255</v>
      </c>
      <c r="E823" t="s">
        <v>10</v>
      </c>
      <c r="F823">
        <v>34</v>
      </c>
      <c r="G823" s="2">
        <v>31.8</v>
      </c>
      <c r="H823" s="2">
        <v>0</v>
      </c>
      <c r="I823" s="2">
        <v>0.7</v>
      </c>
      <c r="J823" s="2">
        <v>32.5</v>
      </c>
      <c r="K823" s="5">
        <f>nantucket[[#This Row],[MW Factor]]-resources!$B$14</f>
        <v>-23</v>
      </c>
    </row>
    <row r="824" spans="1:11" x14ac:dyDescent="0.3">
      <c r="A824" t="s">
        <v>65</v>
      </c>
      <c r="B824">
        <v>1331</v>
      </c>
      <c r="C824">
        <v>11</v>
      </c>
      <c r="D824">
        <v>16255</v>
      </c>
      <c r="E824" t="s">
        <v>10</v>
      </c>
      <c r="F824">
        <v>34</v>
      </c>
      <c r="G824" s="2">
        <v>25.68</v>
      </c>
      <c r="H824" s="2">
        <v>0</v>
      </c>
      <c r="I824" s="2">
        <v>0.34</v>
      </c>
      <c r="J824" s="2">
        <v>26.02</v>
      </c>
      <c r="K824" s="5">
        <f>nantucket[[#This Row],[MW Factor]]-resources!$B$14</f>
        <v>-23</v>
      </c>
    </row>
    <row r="825" spans="1:11" x14ac:dyDescent="0.3">
      <c r="A825" t="s">
        <v>66</v>
      </c>
      <c r="B825">
        <v>1355</v>
      </c>
      <c r="C825">
        <v>11</v>
      </c>
      <c r="D825">
        <v>16255</v>
      </c>
      <c r="E825" t="s">
        <v>10</v>
      </c>
      <c r="F825">
        <v>34</v>
      </c>
      <c r="G825" s="2">
        <v>26.11</v>
      </c>
      <c r="H825" s="2">
        <v>0</v>
      </c>
      <c r="I825" s="2">
        <v>7.0000000000000007E-2</v>
      </c>
      <c r="J825" s="2">
        <v>26.18</v>
      </c>
      <c r="K825" s="5">
        <f>nantucket[[#This Row],[MW Factor]]-resources!$B$14</f>
        <v>-23</v>
      </c>
    </row>
    <row r="826" spans="1:11" x14ac:dyDescent="0.3">
      <c r="A826" t="s">
        <v>66</v>
      </c>
      <c r="B826">
        <v>1362</v>
      </c>
      <c r="C826">
        <v>18</v>
      </c>
      <c r="D826">
        <v>16255</v>
      </c>
      <c r="E826" t="s">
        <v>10</v>
      </c>
      <c r="F826">
        <v>34</v>
      </c>
      <c r="G826" s="2">
        <v>32.03</v>
      </c>
      <c r="H826" s="2">
        <v>0</v>
      </c>
      <c r="I826" s="2">
        <v>7.0000000000000007E-2</v>
      </c>
      <c r="J826" s="2">
        <v>32.1</v>
      </c>
      <c r="K826" s="5">
        <f>nantucket[[#This Row],[MW Factor]]-resources!$B$14</f>
        <v>-23</v>
      </c>
    </row>
    <row r="827" spans="1:11" x14ac:dyDescent="0.3">
      <c r="A827" t="s">
        <v>66</v>
      </c>
      <c r="B827">
        <v>1363</v>
      </c>
      <c r="C827">
        <v>19</v>
      </c>
      <c r="D827">
        <v>16255</v>
      </c>
      <c r="E827" t="s">
        <v>10</v>
      </c>
      <c r="F827">
        <v>34</v>
      </c>
      <c r="G827" s="2">
        <v>33.11</v>
      </c>
      <c r="H827" s="2">
        <v>0</v>
      </c>
      <c r="I827" s="2">
        <v>0.04</v>
      </c>
      <c r="J827" s="2">
        <v>33.15</v>
      </c>
      <c r="K827" s="5">
        <f>nantucket[[#This Row],[MW Factor]]-resources!$B$14</f>
        <v>-23</v>
      </c>
    </row>
    <row r="828" spans="1:11" x14ac:dyDescent="0.3">
      <c r="A828" t="s">
        <v>66</v>
      </c>
      <c r="B828">
        <v>1364</v>
      </c>
      <c r="C828">
        <v>20</v>
      </c>
      <c r="D828">
        <v>16255</v>
      </c>
      <c r="E828" t="s">
        <v>10</v>
      </c>
      <c r="F828">
        <v>34</v>
      </c>
      <c r="G828" s="2">
        <v>39.68</v>
      </c>
      <c r="H828" s="2">
        <v>0</v>
      </c>
      <c r="I828" s="2">
        <v>0.03</v>
      </c>
      <c r="J828" s="2">
        <v>39.71</v>
      </c>
      <c r="K828" s="5">
        <f>nantucket[[#This Row],[MW Factor]]-resources!$B$14</f>
        <v>-23</v>
      </c>
    </row>
    <row r="829" spans="1:11" x14ac:dyDescent="0.3">
      <c r="A829" t="s">
        <v>66</v>
      </c>
      <c r="B829">
        <v>1365</v>
      </c>
      <c r="C829">
        <v>21</v>
      </c>
      <c r="D829">
        <v>16255</v>
      </c>
      <c r="E829" t="s">
        <v>10</v>
      </c>
      <c r="F829">
        <v>34</v>
      </c>
      <c r="G829" s="2">
        <v>42.66</v>
      </c>
      <c r="H829" s="2">
        <v>0</v>
      </c>
      <c r="I829" s="2">
        <v>-0.03</v>
      </c>
      <c r="J829" s="2">
        <v>42.63</v>
      </c>
      <c r="K829" s="5">
        <f>nantucket[[#This Row],[MW Factor]]-resources!$B$14</f>
        <v>-23</v>
      </c>
    </row>
    <row r="830" spans="1:11" x14ac:dyDescent="0.3">
      <c r="A830" t="s">
        <v>67</v>
      </c>
      <c r="B830">
        <v>1383</v>
      </c>
      <c r="C830">
        <v>15</v>
      </c>
      <c r="D830">
        <v>16255</v>
      </c>
      <c r="E830" t="s">
        <v>10</v>
      </c>
      <c r="F830">
        <v>34</v>
      </c>
      <c r="G830" s="2">
        <v>29.34</v>
      </c>
      <c r="H830" s="2">
        <v>0</v>
      </c>
      <c r="I830" s="2">
        <v>0.01</v>
      </c>
      <c r="J830" s="2">
        <v>29.35</v>
      </c>
      <c r="K830" s="5">
        <f>nantucket[[#This Row],[MW Factor]]-resources!$B$14</f>
        <v>-23</v>
      </c>
    </row>
    <row r="831" spans="1:11" x14ac:dyDescent="0.3">
      <c r="A831" t="s">
        <v>69</v>
      </c>
      <c r="B831">
        <v>1436</v>
      </c>
      <c r="C831">
        <v>20</v>
      </c>
      <c r="D831">
        <v>16255</v>
      </c>
      <c r="E831" t="s">
        <v>10</v>
      </c>
      <c r="F831">
        <v>34</v>
      </c>
      <c r="G831" s="2">
        <v>54.31</v>
      </c>
      <c r="H831" s="2">
        <v>0.2</v>
      </c>
      <c r="I831" s="2">
        <v>1.35</v>
      </c>
      <c r="J831" s="2">
        <v>55.86</v>
      </c>
      <c r="K831" s="5">
        <f>nantucket[[#This Row],[MW Factor]]-resources!$B$14</f>
        <v>-23</v>
      </c>
    </row>
    <row r="832" spans="1:11" x14ac:dyDescent="0.3">
      <c r="A832" t="s">
        <v>69</v>
      </c>
      <c r="B832">
        <v>1437</v>
      </c>
      <c r="C832">
        <v>21</v>
      </c>
      <c r="D832">
        <v>16255</v>
      </c>
      <c r="E832" t="s">
        <v>10</v>
      </c>
      <c r="F832">
        <v>34</v>
      </c>
      <c r="G832" s="2">
        <v>52.23</v>
      </c>
      <c r="H832" s="2">
        <v>0.18</v>
      </c>
      <c r="I832" s="2">
        <v>1.25</v>
      </c>
      <c r="J832" s="2">
        <v>53.66</v>
      </c>
      <c r="K832" s="5">
        <f>nantucket[[#This Row],[MW Factor]]-resources!$B$14</f>
        <v>-23</v>
      </c>
    </row>
    <row r="833" spans="1:11" x14ac:dyDescent="0.3">
      <c r="A833" t="s">
        <v>70</v>
      </c>
      <c r="B833">
        <v>1458</v>
      </c>
      <c r="C833">
        <v>18</v>
      </c>
      <c r="D833">
        <v>16255</v>
      </c>
      <c r="E833" t="s">
        <v>10</v>
      </c>
      <c r="F833">
        <v>34</v>
      </c>
      <c r="G833" s="2">
        <v>52.19</v>
      </c>
      <c r="H833" s="2">
        <v>0.13</v>
      </c>
      <c r="I833" s="2">
        <v>1.32</v>
      </c>
      <c r="J833" s="2">
        <v>53.64</v>
      </c>
      <c r="K833" s="5">
        <f>nantucket[[#This Row],[MW Factor]]-resources!$B$14</f>
        <v>-23</v>
      </c>
    </row>
    <row r="834" spans="1:11" x14ac:dyDescent="0.3">
      <c r="A834" t="s">
        <v>70</v>
      </c>
      <c r="B834">
        <v>1461</v>
      </c>
      <c r="C834">
        <v>21</v>
      </c>
      <c r="D834">
        <v>16255</v>
      </c>
      <c r="E834" t="s">
        <v>10</v>
      </c>
      <c r="F834">
        <v>34</v>
      </c>
      <c r="G834" s="2">
        <v>38.08</v>
      </c>
      <c r="H834" s="2">
        <v>0.12</v>
      </c>
      <c r="I834" s="2">
        <v>1.1499999999999999</v>
      </c>
      <c r="J834" s="2">
        <v>39.35</v>
      </c>
      <c r="K834" s="5">
        <f>nantucket[[#This Row],[MW Factor]]-resources!$B$14</f>
        <v>-23</v>
      </c>
    </row>
    <row r="835" spans="1:11" x14ac:dyDescent="0.3">
      <c r="A835" t="s">
        <v>71</v>
      </c>
      <c r="B835">
        <v>1478</v>
      </c>
      <c r="C835">
        <v>14</v>
      </c>
      <c r="D835">
        <v>16255</v>
      </c>
      <c r="E835" t="s">
        <v>10</v>
      </c>
      <c r="F835">
        <v>34</v>
      </c>
      <c r="G835" s="2">
        <v>22.26</v>
      </c>
      <c r="H835" s="2">
        <v>0</v>
      </c>
      <c r="I835" s="2">
        <v>0.32</v>
      </c>
      <c r="J835" s="2">
        <v>22.58</v>
      </c>
      <c r="K835" s="5">
        <f>nantucket[[#This Row],[MW Factor]]-resources!$B$14</f>
        <v>-23</v>
      </c>
    </row>
    <row r="836" spans="1:11" x14ac:dyDescent="0.3">
      <c r="A836" t="s">
        <v>9</v>
      </c>
      <c r="B836">
        <v>13</v>
      </c>
      <c r="C836">
        <v>13</v>
      </c>
      <c r="D836">
        <v>16255</v>
      </c>
      <c r="E836" t="s">
        <v>10</v>
      </c>
      <c r="F836">
        <v>33</v>
      </c>
      <c r="G836" s="2">
        <v>23.02</v>
      </c>
      <c r="H836" s="2">
        <v>0</v>
      </c>
      <c r="I836" s="2">
        <v>0.27</v>
      </c>
      <c r="J836" s="2">
        <v>23.29</v>
      </c>
      <c r="K836" s="5">
        <f>nantucket[[#This Row],[MW Factor]]-resources!$B$14</f>
        <v>-24</v>
      </c>
    </row>
    <row r="837" spans="1:11" x14ac:dyDescent="0.3">
      <c r="A837" t="s">
        <v>9</v>
      </c>
      <c r="B837">
        <v>17</v>
      </c>
      <c r="C837">
        <v>17</v>
      </c>
      <c r="D837">
        <v>16255</v>
      </c>
      <c r="E837" t="s">
        <v>10</v>
      </c>
      <c r="F837">
        <v>33</v>
      </c>
      <c r="G837" s="2">
        <v>26.91</v>
      </c>
      <c r="H837" s="2">
        <v>0</v>
      </c>
      <c r="I837" s="2">
        <v>0.37</v>
      </c>
      <c r="J837" s="2">
        <v>27.28</v>
      </c>
      <c r="K837" s="5">
        <f>nantucket[[#This Row],[MW Factor]]-resources!$B$14</f>
        <v>-24</v>
      </c>
    </row>
    <row r="838" spans="1:11" x14ac:dyDescent="0.3">
      <c r="A838" t="s">
        <v>11</v>
      </c>
      <c r="B838">
        <v>40</v>
      </c>
      <c r="C838">
        <v>16</v>
      </c>
      <c r="D838">
        <v>16255</v>
      </c>
      <c r="E838" t="s">
        <v>10</v>
      </c>
      <c r="F838">
        <v>33</v>
      </c>
      <c r="G838" s="2">
        <v>31.53</v>
      </c>
      <c r="H838" s="2">
        <v>0</v>
      </c>
      <c r="I838" s="2">
        <v>0.41</v>
      </c>
      <c r="J838" s="2">
        <v>31.94</v>
      </c>
      <c r="K838" s="5">
        <f>nantucket[[#This Row],[MW Factor]]-resources!$B$14</f>
        <v>-24</v>
      </c>
    </row>
    <row r="839" spans="1:11" x14ac:dyDescent="0.3">
      <c r="A839" t="s">
        <v>12</v>
      </c>
      <c r="B839">
        <v>60</v>
      </c>
      <c r="C839">
        <v>12</v>
      </c>
      <c r="D839">
        <v>16255</v>
      </c>
      <c r="E839" t="s">
        <v>10</v>
      </c>
      <c r="F839">
        <v>33</v>
      </c>
      <c r="G839" s="2">
        <v>22.44</v>
      </c>
      <c r="H839" s="2">
        <v>0</v>
      </c>
      <c r="I839" s="2">
        <v>0.23</v>
      </c>
      <c r="J839" s="2">
        <v>22.67</v>
      </c>
      <c r="K839" s="5">
        <f>nantucket[[#This Row],[MW Factor]]-resources!$B$14</f>
        <v>-24</v>
      </c>
    </row>
    <row r="840" spans="1:11" x14ac:dyDescent="0.3">
      <c r="A840" t="s">
        <v>12</v>
      </c>
      <c r="B840">
        <v>72</v>
      </c>
      <c r="C840">
        <v>24</v>
      </c>
      <c r="D840">
        <v>16255</v>
      </c>
      <c r="E840" t="s">
        <v>10</v>
      </c>
      <c r="F840">
        <v>33</v>
      </c>
      <c r="G840" s="2">
        <v>35.53</v>
      </c>
      <c r="H840" s="2">
        <v>0</v>
      </c>
      <c r="I840" s="2">
        <v>0.66</v>
      </c>
      <c r="J840" s="2">
        <v>36.19</v>
      </c>
      <c r="K840" s="5">
        <f>nantucket[[#This Row],[MW Factor]]-resources!$B$14</f>
        <v>-24</v>
      </c>
    </row>
    <row r="841" spans="1:11" x14ac:dyDescent="0.3">
      <c r="A841" t="s">
        <v>13</v>
      </c>
      <c r="B841">
        <v>83</v>
      </c>
      <c r="C841">
        <v>11</v>
      </c>
      <c r="D841">
        <v>16255</v>
      </c>
      <c r="E841" t="s">
        <v>10</v>
      </c>
      <c r="F841">
        <v>33</v>
      </c>
      <c r="G841" s="2">
        <v>22.23</v>
      </c>
      <c r="H841" s="2">
        <v>0</v>
      </c>
      <c r="I841" s="2">
        <v>0.21</v>
      </c>
      <c r="J841" s="2">
        <v>22.44</v>
      </c>
      <c r="K841" s="5">
        <f>nantucket[[#This Row],[MW Factor]]-resources!$B$14</f>
        <v>-24</v>
      </c>
    </row>
    <row r="842" spans="1:11" x14ac:dyDescent="0.3">
      <c r="A842" t="s">
        <v>13</v>
      </c>
      <c r="B842">
        <v>85</v>
      </c>
      <c r="C842">
        <v>13</v>
      </c>
      <c r="D842">
        <v>16255</v>
      </c>
      <c r="E842" t="s">
        <v>10</v>
      </c>
      <c r="F842">
        <v>33</v>
      </c>
      <c r="G842" s="2">
        <v>35.86</v>
      </c>
      <c r="H842" s="2">
        <v>0</v>
      </c>
      <c r="I842" s="2">
        <v>0.16</v>
      </c>
      <c r="J842" s="2">
        <v>36.020000000000003</v>
      </c>
      <c r="K842" s="5">
        <f>nantucket[[#This Row],[MW Factor]]-resources!$B$14</f>
        <v>-24</v>
      </c>
    </row>
    <row r="843" spans="1:11" x14ac:dyDescent="0.3">
      <c r="A843" t="s">
        <v>13</v>
      </c>
      <c r="B843">
        <v>86</v>
      </c>
      <c r="C843">
        <v>14</v>
      </c>
      <c r="D843">
        <v>16255</v>
      </c>
      <c r="E843" t="s">
        <v>10</v>
      </c>
      <c r="F843">
        <v>33</v>
      </c>
      <c r="G843" s="2">
        <v>30.41</v>
      </c>
      <c r="H843" s="2">
        <v>0</v>
      </c>
      <c r="I843" s="2">
        <v>0.11</v>
      </c>
      <c r="J843" s="2">
        <v>30.52</v>
      </c>
      <c r="K843" s="5">
        <f>nantucket[[#This Row],[MW Factor]]-resources!$B$14</f>
        <v>-24</v>
      </c>
    </row>
    <row r="844" spans="1:11" x14ac:dyDescent="0.3">
      <c r="A844" t="s">
        <v>13</v>
      </c>
      <c r="B844">
        <v>87</v>
      </c>
      <c r="C844">
        <v>15</v>
      </c>
      <c r="D844">
        <v>16255</v>
      </c>
      <c r="E844" t="s">
        <v>10</v>
      </c>
      <c r="F844">
        <v>33</v>
      </c>
      <c r="G844" s="2">
        <v>39.44</v>
      </c>
      <c r="H844" s="2">
        <v>0</v>
      </c>
      <c r="I844" s="2">
        <v>0.1</v>
      </c>
      <c r="J844" s="2">
        <v>39.54</v>
      </c>
      <c r="K844" s="5">
        <f>nantucket[[#This Row],[MW Factor]]-resources!$B$14</f>
        <v>-24</v>
      </c>
    </row>
    <row r="845" spans="1:11" x14ac:dyDescent="0.3">
      <c r="A845" t="s">
        <v>17</v>
      </c>
      <c r="B845">
        <v>177</v>
      </c>
      <c r="C845">
        <v>9</v>
      </c>
      <c r="D845">
        <v>16255</v>
      </c>
      <c r="E845" t="s">
        <v>10</v>
      </c>
      <c r="F845">
        <v>33</v>
      </c>
      <c r="G845" s="2">
        <v>33.229999999999997</v>
      </c>
      <c r="H845" s="2">
        <v>0</v>
      </c>
      <c r="I845" s="2">
        <v>0.39</v>
      </c>
      <c r="J845" s="2">
        <v>33.619999999999997</v>
      </c>
      <c r="K845" s="5">
        <f>nantucket[[#This Row],[MW Factor]]-resources!$B$14</f>
        <v>-24</v>
      </c>
    </row>
    <row r="846" spans="1:11" x14ac:dyDescent="0.3">
      <c r="A846" t="s">
        <v>18</v>
      </c>
      <c r="B846">
        <v>193</v>
      </c>
      <c r="C846">
        <v>1</v>
      </c>
      <c r="D846">
        <v>16255</v>
      </c>
      <c r="E846" t="s">
        <v>10</v>
      </c>
      <c r="F846">
        <v>33</v>
      </c>
      <c r="G846" s="2">
        <v>76.84</v>
      </c>
      <c r="H846" s="2">
        <v>0</v>
      </c>
      <c r="I846" s="2">
        <v>0.83</v>
      </c>
      <c r="J846" s="2">
        <v>77.67</v>
      </c>
      <c r="K846" s="5">
        <f>nantucket[[#This Row],[MW Factor]]-resources!$B$14</f>
        <v>-24</v>
      </c>
    </row>
    <row r="847" spans="1:11" x14ac:dyDescent="0.3">
      <c r="A847" t="s">
        <v>18</v>
      </c>
      <c r="B847">
        <v>200</v>
      </c>
      <c r="C847">
        <v>8</v>
      </c>
      <c r="D847">
        <v>16255</v>
      </c>
      <c r="E847" t="s">
        <v>10</v>
      </c>
      <c r="F847">
        <v>33</v>
      </c>
      <c r="G847" s="2">
        <v>43.46</v>
      </c>
      <c r="H847" s="2">
        <v>0</v>
      </c>
      <c r="I847" s="2">
        <v>0.47</v>
      </c>
      <c r="J847" s="2">
        <v>43.93</v>
      </c>
      <c r="K847" s="5">
        <f>nantucket[[#This Row],[MW Factor]]-resources!$B$14</f>
        <v>-24</v>
      </c>
    </row>
    <row r="848" spans="1:11" x14ac:dyDescent="0.3">
      <c r="A848" t="s">
        <v>19</v>
      </c>
      <c r="B848">
        <v>217</v>
      </c>
      <c r="C848">
        <v>1</v>
      </c>
      <c r="D848">
        <v>16255</v>
      </c>
      <c r="E848" t="s">
        <v>10</v>
      </c>
      <c r="F848">
        <v>33</v>
      </c>
      <c r="G848" s="2">
        <v>43.62</v>
      </c>
      <c r="H848" s="2">
        <v>0.26</v>
      </c>
      <c r="I848" s="2">
        <v>0.51</v>
      </c>
      <c r="J848" s="2">
        <v>44.39</v>
      </c>
      <c r="K848" s="5">
        <f>nantucket[[#This Row],[MW Factor]]-resources!$B$14</f>
        <v>-24</v>
      </c>
    </row>
    <row r="849" spans="1:11" x14ac:dyDescent="0.3">
      <c r="A849" t="s">
        <v>24</v>
      </c>
      <c r="B849">
        <v>344</v>
      </c>
      <c r="C849">
        <v>8</v>
      </c>
      <c r="D849">
        <v>16255</v>
      </c>
      <c r="E849" t="s">
        <v>10</v>
      </c>
      <c r="F849">
        <v>33</v>
      </c>
      <c r="G849" s="2">
        <v>26.96</v>
      </c>
      <c r="H849" s="2">
        <v>0</v>
      </c>
      <c r="I849" s="2">
        <v>0.37</v>
      </c>
      <c r="J849" s="2">
        <v>27.33</v>
      </c>
      <c r="K849" s="5">
        <f>nantucket[[#This Row],[MW Factor]]-resources!$B$14</f>
        <v>-24</v>
      </c>
    </row>
    <row r="850" spans="1:11" x14ac:dyDescent="0.3">
      <c r="A850" t="s">
        <v>25</v>
      </c>
      <c r="B850">
        <v>364</v>
      </c>
      <c r="C850">
        <v>4</v>
      </c>
      <c r="D850">
        <v>16255</v>
      </c>
      <c r="E850" t="s">
        <v>10</v>
      </c>
      <c r="F850">
        <v>33</v>
      </c>
      <c r="G850" s="2">
        <v>56.52</v>
      </c>
      <c r="H850" s="2">
        <v>0.1</v>
      </c>
      <c r="I850" s="2">
        <v>0.28000000000000003</v>
      </c>
      <c r="J850" s="2">
        <v>56.9</v>
      </c>
      <c r="K850" s="5">
        <f>nantucket[[#This Row],[MW Factor]]-resources!$B$14</f>
        <v>-24</v>
      </c>
    </row>
    <row r="851" spans="1:11" x14ac:dyDescent="0.3">
      <c r="A851" t="s">
        <v>26</v>
      </c>
      <c r="B851">
        <v>389</v>
      </c>
      <c r="C851">
        <v>5</v>
      </c>
      <c r="D851">
        <v>16255</v>
      </c>
      <c r="E851" t="s">
        <v>10</v>
      </c>
      <c r="F851">
        <v>33</v>
      </c>
      <c r="G851" s="2">
        <v>28.59</v>
      </c>
      <c r="H851" s="2">
        <v>0</v>
      </c>
      <c r="I851" s="2">
        <v>0.28000000000000003</v>
      </c>
      <c r="J851" s="2">
        <v>28.87</v>
      </c>
      <c r="K851" s="5">
        <f>nantucket[[#This Row],[MW Factor]]-resources!$B$14</f>
        <v>-24</v>
      </c>
    </row>
    <row r="852" spans="1:11" x14ac:dyDescent="0.3">
      <c r="A852" t="s">
        <v>29</v>
      </c>
      <c r="B852">
        <v>457</v>
      </c>
      <c r="C852">
        <v>1</v>
      </c>
      <c r="D852">
        <v>16255</v>
      </c>
      <c r="E852" t="s">
        <v>10</v>
      </c>
      <c r="F852">
        <v>33</v>
      </c>
      <c r="G852" s="2">
        <v>23.85</v>
      </c>
      <c r="H852" s="2">
        <v>0</v>
      </c>
      <c r="I852" s="2">
        <v>0.44</v>
      </c>
      <c r="J852" s="2">
        <v>24.29</v>
      </c>
      <c r="K852" s="5">
        <f>nantucket[[#This Row],[MW Factor]]-resources!$B$14</f>
        <v>-24</v>
      </c>
    </row>
    <row r="853" spans="1:11" x14ac:dyDescent="0.3">
      <c r="A853" t="s">
        <v>29</v>
      </c>
      <c r="B853">
        <v>465</v>
      </c>
      <c r="C853">
        <v>9</v>
      </c>
      <c r="D853">
        <v>16255</v>
      </c>
      <c r="E853" t="s">
        <v>10</v>
      </c>
      <c r="F853">
        <v>33</v>
      </c>
      <c r="G853" s="2">
        <v>20.65</v>
      </c>
      <c r="H853" s="2">
        <v>0</v>
      </c>
      <c r="I853" s="2">
        <v>0.34</v>
      </c>
      <c r="J853" s="2">
        <v>20.99</v>
      </c>
      <c r="K853" s="5">
        <f>nantucket[[#This Row],[MW Factor]]-resources!$B$14</f>
        <v>-24</v>
      </c>
    </row>
    <row r="854" spans="1:11" x14ac:dyDescent="0.3">
      <c r="A854" t="s">
        <v>31</v>
      </c>
      <c r="B854">
        <v>505</v>
      </c>
      <c r="C854">
        <v>1</v>
      </c>
      <c r="D854">
        <v>16255</v>
      </c>
      <c r="E854" t="s">
        <v>10</v>
      </c>
      <c r="F854">
        <v>33</v>
      </c>
      <c r="G854" s="2">
        <v>29.99</v>
      </c>
      <c r="H854" s="2">
        <v>0</v>
      </c>
      <c r="I854" s="2">
        <v>0.42</v>
      </c>
      <c r="J854" s="2">
        <v>30.41</v>
      </c>
      <c r="K854" s="5">
        <f>nantucket[[#This Row],[MW Factor]]-resources!$B$14</f>
        <v>-24</v>
      </c>
    </row>
    <row r="855" spans="1:11" x14ac:dyDescent="0.3">
      <c r="A855" t="s">
        <v>32</v>
      </c>
      <c r="B855">
        <v>538</v>
      </c>
      <c r="C855">
        <v>10</v>
      </c>
      <c r="D855">
        <v>16255</v>
      </c>
      <c r="E855" t="s">
        <v>10</v>
      </c>
      <c r="F855">
        <v>33</v>
      </c>
      <c r="G855" s="2">
        <v>31</v>
      </c>
      <c r="H855" s="2">
        <v>0</v>
      </c>
      <c r="I855" s="2">
        <v>0.27</v>
      </c>
      <c r="J855" s="2">
        <v>31.27</v>
      </c>
      <c r="K855" s="5">
        <f>nantucket[[#This Row],[MW Factor]]-resources!$B$14</f>
        <v>-24</v>
      </c>
    </row>
    <row r="856" spans="1:11" x14ac:dyDescent="0.3">
      <c r="A856" t="s">
        <v>33</v>
      </c>
      <c r="B856">
        <v>564</v>
      </c>
      <c r="C856">
        <v>12</v>
      </c>
      <c r="D856">
        <v>16255</v>
      </c>
      <c r="E856" t="s">
        <v>10</v>
      </c>
      <c r="F856">
        <v>33</v>
      </c>
      <c r="G856" s="2">
        <v>35.31</v>
      </c>
      <c r="H856" s="2">
        <v>0</v>
      </c>
      <c r="I856" s="2">
        <v>0.08</v>
      </c>
      <c r="J856" s="2">
        <v>35.39</v>
      </c>
      <c r="K856" s="5">
        <f>nantucket[[#This Row],[MW Factor]]-resources!$B$14</f>
        <v>-24</v>
      </c>
    </row>
    <row r="857" spans="1:11" x14ac:dyDescent="0.3">
      <c r="A857" t="s">
        <v>37</v>
      </c>
      <c r="B857">
        <v>659</v>
      </c>
      <c r="C857">
        <v>11</v>
      </c>
      <c r="D857">
        <v>16255</v>
      </c>
      <c r="E857" t="s">
        <v>10</v>
      </c>
      <c r="F857">
        <v>33</v>
      </c>
      <c r="G857" s="2">
        <v>21.45</v>
      </c>
      <c r="H857" s="2">
        <v>0</v>
      </c>
      <c r="I857" s="2">
        <v>0.23</v>
      </c>
      <c r="J857" s="2">
        <v>21.68</v>
      </c>
      <c r="K857" s="5">
        <f>nantucket[[#This Row],[MW Factor]]-resources!$B$14</f>
        <v>-24</v>
      </c>
    </row>
    <row r="858" spans="1:11" x14ac:dyDescent="0.3">
      <c r="A858" t="s">
        <v>38</v>
      </c>
      <c r="B858">
        <v>685</v>
      </c>
      <c r="C858">
        <v>13</v>
      </c>
      <c r="D858">
        <v>16255</v>
      </c>
      <c r="E858" t="s">
        <v>10</v>
      </c>
      <c r="F858">
        <v>33</v>
      </c>
      <c r="G858" s="2">
        <v>33.61</v>
      </c>
      <c r="H858" s="2">
        <v>0</v>
      </c>
      <c r="I858" s="2">
        <v>0.11</v>
      </c>
      <c r="J858" s="2">
        <v>33.72</v>
      </c>
      <c r="K858" s="5">
        <f>nantucket[[#This Row],[MW Factor]]-resources!$B$14</f>
        <v>-24</v>
      </c>
    </row>
    <row r="859" spans="1:11" x14ac:dyDescent="0.3">
      <c r="A859" t="s">
        <v>38</v>
      </c>
      <c r="B859">
        <v>686</v>
      </c>
      <c r="C859">
        <v>14</v>
      </c>
      <c r="D859">
        <v>16255</v>
      </c>
      <c r="E859" t="s">
        <v>10</v>
      </c>
      <c r="F859">
        <v>33</v>
      </c>
      <c r="G859" s="2">
        <v>30.43</v>
      </c>
      <c r="H859" s="2">
        <v>0</v>
      </c>
      <c r="I859" s="2">
        <v>0.08</v>
      </c>
      <c r="J859" s="2">
        <v>30.51</v>
      </c>
      <c r="K859" s="5">
        <f>nantucket[[#This Row],[MW Factor]]-resources!$B$14</f>
        <v>-24</v>
      </c>
    </row>
    <row r="860" spans="1:11" x14ac:dyDescent="0.3">
      <c r="A860" t="s">
        <v>38</v>
      </c>
      <c r="B860">
        <v>696</v>
      </c>
      <c r="C860">
        <v>24</v>
      </c>
      <c r="D860">
        <v>16255</v>
      </c>
      <c r="E860" t="s">
        <v>10</v>
      </c>
      <c r="F860">
        <v>33</v>
      </c>
      <c r="G860" s="2">
        <v>27.95</v>
      </c>
      <c r="H860" s="2">
        <v>0</v>
      </c>
      <c r="I860" s="2">
        <v>0.28000000000000003</v>
      </c>
      <c r="J860" s="2">
        <v>28.23</v>
      </c>
      <c r="K860" s="5">
        <f>nantucket[[#This Row],[MW Factor]]-resources!$B$14</f>
        <v>-24</v>
      </c>
    </row>
    <row r="861" spans="1:11" x14ac:dyDescent="0.3">
      <c r="A861" t="s">
        <v>40</v>
      </c>
      <c r="B861">
        <v>721</v>
      </c>
      <c r="C861">
        <v>1</v>
      </c>
      <c r="D861">
        <v>16255</v>
      </c>
      <c r="E861" t="s">
        <v>10</v>
      </c>
      <c r="F861">
        <v>33</v>
      </c>
      <c r="G861" s="2">
        <v>39.78</v>
      </c>
      <c r="H861" s="2">
        <v>0</v>
      </c>
      <c r="I861" s="2">
        <v>0.25</v>
      </c>
      <c r="J861" s="2">
        <v>40.03</v>
      </c>
      <c r="K861" s="5">
        <f>nantucket[[#This Row],[MW Factor]]-resources!$B$14</f>
        <v>-24</v>
      </c>
    </row>
    <row r="862" spans="1:11" x14ac:dyDescent="0.3">
      <c r="A862" t="s">
        <v>43</v>
      </c>
      <c r="B862">
        <v>796</v>
      </c>
      <c r="C862">
        <v>4</v>
      </c>
      <c r="D862">
        <v>16255</v>
      </c>
      <c r="E862" t="s">
        <v>10</v>
      </c>
      <c r="F862">
        <v>33</v>
      </c>
      <c r="G862" s="2">
        <v>34.21</v>
      </c>
      <c r="H862" s="2">
        <v>0</v>
      </c>
      <c r="I862" s="2">
        <v>0.36</v>
      </c>
      <c r="J862" s="2">
        <v>34.57</v>
      </c>
      <c r="K862" s="5">
        <f>nantucket[[#This Row],[MW Factor]]-resources!$B$14</f>
        <v>-24</v>
      </c>
    </row>
    <row r="863" spans="1:11" x14ac:dyDescent="0.3">
      <c r="A863" t="s">
        <v>44</v>
      </c>
      <c r="B863">
        <v>821</v>
      </c>
      <c r="C863">
        <v>5</v>
      </c>
      <c r="D863">
        <v>16255</v>
      </c>
      <c r="E863" t="s">
        <v>10</v>
      </c>
      <c r="F863">
        <v>33</v>
      </c>
      <c r="G863" s="2">
        <v>29.37</v>
      </c>
      <c r="H863" s="2">
        <v>0</v>
      </c>
      <c r="I863" s="2">
        <v>0.32</v>
      </c>
      <c r="J863" s="2">
        <v>29.69</v>
      </c>
      <c r="K863" s="5">
        <f>nantucket[[#This Row],[MW Factor]]-resources!$B$14</f>
        <v>-24</v>
      </c>
    </row>
    <row r="864" spans="1:11" x14ac:dyDescent="0.3">
      <c r="A864" t="s">
        <v>44</v>
      </c>
      <c r="B864">
        <v>822</v>
      </c>
      <c r="C864">
        <v>6</v>
      </c>
      <c r="D864">
        <v>16255</v>
      </c>
      <c r="E864" t="s">
        <v>10</v>
      </c>
      <c r="F864">
        <v>33</v>
      </c>
      <c r="G864" s="2">
        <v>31.97</v>
      </c>
      <c r="H864" s="2">
        <v>0</v>
      </c>
      <c r="I864" s="2">
        <v>0.38</v>
      </c>
      <c r="J864" s="2">
        <v>32.35</v>
      </c>
      <c r="K864" s="5">
        <f>nantucket[[#This Row],[MW Factor]]-resources!$B$14</f>
        <v>-24</v>
      </c>
    </row>
    <row r="865" spans="1:11" x14ac:dyDescent="0.3">
      <c r="A865" t="s">
        <v>44</v>
      </c>
      <c r="B865">
        <v>824</v>
      </c>
      <c r="C865">
        <v>8</v>
      </c>
      <c r="D865">
        <v>16255</v>
      </c>
      <c r="E865" t="s">
        <v>10</v>
      </c>
      <c r="F865">
        <v>33</v>
      </c>
      <c r="G865" s="2">
        <v>96.03</v>
      </c>
      <c r="H865" s="2">
        <v>0</v>
      </c>
      <c r="I865" s="2">
        <v>1.19</v>
      </c>
      <c r="J865" s="2">
        <v>97.22</v>
      </c>
      <c r="K865" s="5">
        <f>nantucket[[#This Row],[MW Factor]]-resources!$B$14</f>
        <v>-24</v>
      </c>
    </row>
    <row r="866" spans="1:11" x14ac:dyDescent="0.3">
      <c r="A866" t="s">
        <v>45</v>
      </c>
      <c r="B866">
        <v>843</v>
      </c>
      <c r="C866">
        <v>3</v>
      </c>
      <c r="D866">
        <v>16255</v>
      </c>
      <c r="E866" t="s">
        <v>10</v>
      </c>
      <c r="F866">
        <v>33</v>
      </c>
      <c r="G866" s="2">
        <v>23.34</v>
      </c>
      <c r="H866" s="2">
        <v>0</v>
      </c>
      <c r="I866" s="2">
        <v>0.36</v>
      </c>
      <c r="J866" s="2">
        <v>23.7</v>
      </c>
      <c r="K866" s="5">
        <f>nantucket[[#This Row],[MW Factor]]-resources!$B$14</f>
        <v>-24</v>
      </c>
    </row>
    <row r="867" spans="1:11" x14ac:dyDescent="0.3">
      <c r="A867" t="s">
        <v>46</v>
      </c>
      <c r="B867">
        <v>867</v>
      </c>
      <c r="C867">
        <v>3</v>
      </c>
      <c r="D867">
        <v>16255</v>
      </c>
      <c r="E867" t="s">
        <v>10</v>
      </c>
      <c r="F867">
        <v>33</v>
      </c>
      <c r="G867" s="2">
        <v>28.18</v>
      </c>
      <c r="H867" s="2">
        <v>0</v>
      </c>
      <c r="I867" s="2">
        <v>0.37</v>
      </c>
      <c r="J867" s="2">
        <v>28.55</v>
      </c>
      <c r="K867" s="5">
        <f>nantucket[[#This Row],[MW Factor]]-resources!$B$14</f>
        <v>-24</v>
      </c>
    </row>
    <row r="868" spans="1:11" x14ac:dyDescent="0.3">
      <c r="A868" t="s">
        <v>47</v>
      </c>
      <c r="B868">
        <v>899</v>
      </c>
      <c r="C868">
        <v>11</v>
      </c>
      <c r="D868">
        <v>16255</v>
      </c>
      <c r="E868" t="s">
        <v>10</v>
      </c>
      <c r="F868">
        <v>33</v>
      </c>
      <c r="G868" s="2">
        <v>23.05</v>
      </c>
      <c r="H868" s="2">
        <v>0</v>
      </c>
      <c r="I868" s="2">
        <v>0.4</v>
      </c>
      <c r="J868" s="2">
        <v>23.45</v>
      </c>
      <c r="K868" s="5">
        <f>nantucket[[#This Row],[MW Factor]]-resources!$B$14</f>
        <v>-24</v>
      </c>
    </row>
    <row r="869" spans="1:11" x14ac:dyDescent="0.3">
      <c r="A869" t="s">
        <v>47</v>
      </c>
      <c r="B869">
        <v>900</v>
      </c>
      <c r="C869">
        <v>12</v>
      </c>
      <c r="D869">
        <v>16255</v>
      </c>
      <c r="E869" t="s">
        <v>10</v>
      </c>
      <c r="F869">
        <v>33</v>
      </c>
      <c r="G869" s="2">
        <v>23.44</v>
      </c>
      <c r="H869" s="2">
        <v>0</v>
      </c>
      <c r="I869" s="2">
        <v>0.38</v>
      </c>
      <c r="J869" s="2">
        <v>23.82</v>
      </c>
      <c r="K869" s="5">
        <f>nantucket[[#This Row],[MW Factor]]-resources!$B$14</f>
        <v>-24</v>
      </c>
    </row>
    <row r="870" spans="1:11" x14ac:dyDescent="0.3">
      <c r="A870" t="s">
        <v>47</v>
      </c>
      <c r="B870">
        <v>901</v>
      </c>
      <c r="C870">
        <v>13</v>
      </c>
      <c r="D870">
        <v>16255</v>
      </c>
      <c r="E870" t="s">
        <v>10</v>
      </c>
      <c r="F870">
        <v>33</v>
      </c>
      <c r="G870" s="2">
        <v>25.93</v>
      </c>
      <c r="H870" s="2">
        <v>0</v>
      </c>
      <c r="I870" s="2">
        <v>0.41</v>
      </c>
      <c r="J870" s="2">
        <v>26.34</v>
      </c>
      <c r="K870" s="5">
        <f>nantucket[[#This Row],[MW Factor]]-resources!$B$14</f>
        <v>-24</v>
      </c>
    </row>
    <row r="871" spans="1:11" x14ac:dyDescent="0.3">
      <c r="A871" t="s">
        <v>47</v>
      </c>
      <c r="B871">
        <v>905</v>
      </c>
      <c r="C871">
        <v>17</v>
      </c>
      <c r="D871">
        <v>16255</v>
      </c>
      <c r="E871" t="s">
        <v>10</v>
      </c>
      <c r="F871">
        <v>33</v>
      </c>
      <c r="G871" s="2">
        <v>23.88</v>
      </c>
      <c r="H871" s="2">
        <v>0</v>
      </c>
      <c r="I871" s="2">
        <v>0.37</v>
      </c>
      <c r="J871" s="2">
        <v>24.25</v>
      </c>
      <c r="K871" s="5">
        <f>nantucket[[#This Row],[MW Factor]]-resources!$B$14</f>
        <v>-24</v>
      </c>
    </row>
    <row r="872" spans="1:11" x14ac:dyDescent="0.3">
      <c r="A872" t="s">
        <v>48</v>
      </c>
      <c r="B872">
        <v>927</v>
      </c>
      <c r="C872">
        <v>15</v>
      </c>
      <c r="D872">
        <v>16255</v>
      </c>
      <c r="E872" t="s">
        <v>10</v>
      </c>
      <c r="F872">
        <v>33</v>
      </c>
      <c r="G872" s="2">
        <v>56.36</v>
      </c>
      <c r="H872" s="2">
        <v>0</v>
      </c>
      <c r="I872" s="2">
        <v>0.84</v>
      </c>
      <c r="J872" s="2">
        <v>57.2</v>
      </c>
      <c r="K872" s="5">
        <f>nantucket[[#This Row],[MW Factor]]-resources!$B$14</f>
        <v>-24</v>
      </c>
    </row>
    <row r="873" spans="1:11" x14ac:dyDescent="0.3">
      <c r="A873" t="s">
        <v>48</v>
      </c>
      <c r="B873">
        <v>935</v>
      </c>
      <c r="C873">
        <v>23</v>
      </c>
      <c r="D873">
        <v>16255</v>
      </c>
      <c r="E873" t="s">
        <v>10</v>
      </c>
      <c r="F873">
        <v>33</v>
      </c>
      <c r="G873" s="2">
        <v>38.619999999999997</v>
      </c>
      <c r="H873" s="2">
        <v>0</v>
      </c>
      <c r="I873" s="2">
        <v>0.56999999999999995</v>
      </c>
      <c r="J873" s="2">
        <v>39.19</v>
      </c>
      <c r="K873" s="5">
        <f>nantucket[[#This Row],[MW Factor]]-resources!$B$14</f>
        <v>-24</v>
      </c>
    </row>
    <row r="874" spans="1:11" x14ac:dyDescent="0.3">
      <c r="A874" t="s">
        <v>52</v>
      </c>
      <c r="B874">
        <v>1032</v>
      </c>
      <c r="C874">
        <v>24</v>
      </c>
      <c r="D874">
        <v>16255</v>
      </c>
      <c r="E874" t="s">
        <v>10</v>
      </c>
      <c r="F874">
        <v>33</v>
      </c>
      <c r="G874" s="2">
        <v>22.12</v>
      </c>
      <c r="H874" s="2">
        <v>0</v>
      </c>
      <c r="I874" s="2">
        <v>0.4</v>
      </c>
      <c r="J874" s="2">
        <v>22.52</v>
      </c>
      <c r="K874" s="5">
        <f>nantucket[[#This Row],[MW Factor]]-resources!$B$14</f>
        <v>-24</v>
      </c>
    </row>
    <row r="875" spans="1:11" x14ac:dyDescent="0.3">
      <c r="A875" t="s">
        <v>53</v>
      </c>
      <c r="B875">
        <v>1042</v>
      </c>
      <c r="C875">
        <v>10</v>
      </c>
      <c r="D875">
        <v>16255</v>
      </c>
      <c r="E875" t="s">
        <v>10</v>
      </c>
      <c r="F875">
        <v>33</v>
      </c>
      <c r="G875" s="2">
        <v>22.18</v>
      </c>
      <c r="H875" s="2">
        <v>0</v>
      </c>
      <c r="I875" s="2">
        <v>0.28000000000000003</v>
      </c>
      <c r="J875" s="2">
        <v>22.46</v>
      </c>
      <c r="K875" s="5">
        <f>nantucket[[#This Row],[MW Factor]]-resources!$B$14</f>
        <v>-24</v>
      </c>
    </row>
    <row r="876" spans="1:11" x14ac:dyDescent="0.3">
      <c r="A876" t="s">
        <v>54</v>
      </c>
      <c r="B876">
        <v>1066</v>
      </c>
      <c r="C876">
        <v>10</v>
      </c>
      <c r="D876">
        <v>16255</v>
      </c>
      <c r="E876" t="s">
        <v>10</v>
      </c>
      <c r="F876">
        <v>33</v>
      </c>
      <c r="G876" s="2">
        <v>27.61</v>
      </c>
      <c r="H876" s="2">
        <v>0</v>
      </c>
      <c r="I876" s="2">
        <v>0.34</v>
      </c>
      <c r="J876" s="2">
        <v>27.95</v>
      </c>
      <c r="K876" s="5">
        <f>nantucket[[#This Row],[MW Factor]]-resources!$B$14</f>
        <v>-24</v>
      </c>
    </row>
    <row r="877" spans="1:11" x14ac:dyDescent="0.3">
      <c r="A877" t="s">
        <v>54</v>
      </c>
      <c r="B877">
        <v>1080</v>
      </c>
      <c r="C877">
        <v>24</v>
      </c>
      <c r="D877">
        <v>16255</v>
      </c>
      <c r="E877" t="s">
        <v>10</v>
      </c>
      <c r="F877">
        <v>33</v>
      </c>
      <c r="G877" s="2">
        <v>31.73</v>
      </c>
      <c r="H877" s="2">
        <v>0</v>
      </c>
      <c r="I877" s="2">
        <v>0.41</v>
      </c>
      <c r="J877" s="2">
        <v>32.14</v>
      </c>
      <c r="K877" s="5">
        <f>nantucket[[#This Row],[MW Factor]]-resources!$B$14</f>
        <v>-24</v>
      </c>
    </row>
    <row r="878" spans="1:11" x14ac:dyDescent="0.3">
      <c r="A878" t="s">
        <v>55</v>
      </c>
      <c r="B878">
        <v>1090</v>
      </c>
      <c r="C878">
        <v>10</v>
      </c>
      <c r="D878">
        <v>16255</v>
      </c>
      <c r="E878" t="s">
        <v>10</v>
      </c>
      <c r="F878">
        <v>33</v>
      </c>
      <c r="G878" s="2">
        <v>28.13</v>
      </c>
      <c r="H878" s="2">
        <v>0</v>
      </c>
      <c r="I878" s="2">
        <v>0.26</v>
      </c>
      <c r="J878" s="2">
        <v>28.39</v>
      </c>
      <c r="K878" s="5">
        <f>nantucket[[#This Row],[MW Factor]]-resources!$B$14</f>
        <v>-24</v>
      </c>
    </row>
    <row r="879" spans="1:11" x14ac:dyDescent="0.3">
      <c r="A879" t="s">
        <v>57</v>
      </c>
      <c r="B879">
        <v>1139</v>
      </c>
      <c r="C879">
        <v>11</v>
      </c>
      <c r="D879">
        <v>16255</v>
      </c>
      <c r="E879" t="s">
        <v>10</v>
      </c>
      <c r="F879">
        <v>33</v>
      </c>
      <c r="G879" s="2">
        <v>24.24</v>
      </c>
      <c r="H879" s="2">
        <v>0</v>
      </c>
      <c r="I879" s="2">
        <v>0.24</v>
      </c>
      <c r="J879" s="2">
        <v>24.48</v>
      </c>
      <c r="K879" s="5">
        <f>nantucket[[#This Row],[MW Factor]]-resources!$B$14</f>
        <v>-24</v>
      </c>
    </row>
    <row r="880" spans="1:11" x14ac:dyDescent="0.3">
      <c r="A880" t="s">
        <v>57</v>
      </c>
      <c r="B880">
        <v>1140</v>
      </c>
      <c r="C880">
        <v>12</v>
      </c>
      <c r="D880">
        <v>16255</v>
      </c>
      <c r="E880" t="s">
        <v>10</v>
      </c>
      <c r="F880">
        <v>33</v>
      </c>
      <c r="G880" s="2">
        <v>21.83</v>
      </c>
      <c r="H880" s="2">
        <v>0</v>
      </c>
      <c r="I880" s="2">
        <v>0.18</v>
      </c>
      <c r="J880" s="2">
        <v>22.01</v>
      </c>
      <c r="K880" s="5">
        <f>nantucket[[#This Row],[MW Factor]]-resources!$B$14</f>
        <v>-24</v>
      </c>
    </row>
    <row r="881" spans="1:11" x14ac:dyDescent="0.3">
      <c r="A881" t="s">
        <v>57</v>
      </c>
      <c r="B881">
        <v>1141</v>
      </c>
      <c r="C881">
        <v>13</v>
      </c>
      <c r="D881">
        <v>16255</v>
      </c>
      <c r="E881" t="s">
        <v>10</v>
      </c>
      <c r="F881">
        <v>33</v>
      </c>
      <c r="G881" s="2">
        <v>21.78</v>
      </c>
      <c r="H881" s="2">
        <v>0</v>
      </c>
      <c r="I881" s="2">
        <v>0.12</v>
      </c>
      <c r="J881" s="2">
        <v>21.9</v>
      </c>
      <c r="K881" s="5">
        <f>nantucket[[#This Row],[MW Factor]]-resources!$B$14</f>
        <v>-24</v>
      </c>
    </row>
    <row r="882" spans="1:11" x14ac:dyDescent="0.3">
      <c r="A882" t="s">
        <v>57</v>
      </c>
      <c r="B882">
        <v>1142</v>
      </c>
      <c r="C882">
        <v>14</v>
      </c>
      <c r="D882">
        <v>16255</v>
      </c>
      <c r="E882" t="s">
        <v>10</v>
      </c>
      <c r="F882">
        <v>33</v>
      </c>
      <c r="G882" s="2">
        <v>21.81</v>
      </c>
      <c r="H882" s="2">
        <v>0</v>
      </c>
      <c r="I882" s="2">
        <v>7.0000000000000007E-2</v>
      </c>
      <c r="J882" s="2">
        <v>21.88</v>
      </c>
      <c r="K882" s="5">
        <f>nantucket[[#This Row],[MW Factor]]-resources!$B$14</f>
        <v>-24</v>
      </c>
    </row>
    <row r="883" spans="1:11" x14ac:dyDescent="0.3">
      <c r="A883" t="s">
        <v>57</v>
      </c>
      <c r="B883">
        <v>1143</v>
      </c>
      <c r="C883">
        <v>15</v>
      </c>
      <c r="D883">
        <v>16255</v>
      </c>
      <c r="E883" t="s">
        <v>10</v>
      </c>
      <c r="F883">
        <v>33</v>
      </c>
      <c r="G883" s="2">
        <v>22.17</v>
      </c>
      <c r="H883" s="2">
        <v>0</v>
      </c>
      <c r="I883" s="2">
        <v>0.08</v>
      </c>
      <c r="J883" s="2">
        <v>22.25</v>
      </c>
      <c r="K883" s="5">
        <f>nantucket[[#This Row],[MW Factor]]-resources!$B$14</f>
        <v>-24</v>
      </c>
    </row>
    <row r="884" spans="1:11" x14ac:dyDescent="0.3">
      <c r="A884" t="s">
        <v>57</v>
      </c>
      <c r="B884">
        <v>1151</v>
      </c>
      <c r="C884">
        <v>23</v>
      </c>
      <c r="D884">
        <v>16255</v>
      </c>
      <c r="E884" t="s">
        <v>10</v>
      </c>
      <c r="F884">
        <v>33</v>
      </c>
      <c r="G884" s="2">
        <v>22.32</v>
      </c>
      <c r="H884" s="2">
        <v>0</v>
      </c>
      <c r="I884" s="2">
        <v>0.28999999999999998</v>
      </c>
      <c r="J884" s="2">
        <v>22.61</v>
      </c>
      <c r="K884" s="5">
        <f>nantucket[[#This Row],[MW Factor]]-resources!$B$14</f>
        <v>-24</v>
      </c>
    </row>
    <row r="885" spans="1:11" x14ac:dyDescent="0.3">
      <c r="A885" t="s">
        <v>60</v>
      </c>
      <c r="B885">
        <v>1201</v>
      </c>
      <c r="C885">
        <v>1</v>
      </c>
      <c r="D885">
        <v>16255</v>
      </c>
      <c r="E885" t="s">
        <v>10</v>
      </c>
      <c r="F885">
        <v>33</v>
      </c>
      <c r="G885" s="2">
        <v>28.7</v>
      </c>
      <c r="H885" s="2">
        <v>0</v>
      </c>
      <c r="I885" s="2">
        <v>0.68</v>
      </c>
      <c r="J885" s="2">
        <v>29.38</v>
      </c>
      <c r="K885" s="5">
        <f>nantucket[[#This Row],[MW Factor]]-resources!$B$14</f>
        <v>-24</v>
      </c>
    </row>
    <row r="886" spans="1:11" x14ac:dyDescent="0.3">
      <c r="A886" t="s">
        <v>60</v>
      </c>
      <c r="B886">
        <v>1211</v>
      </c>
      <c r="C886">
        <v>11</v>
      </c>
      <c r="D886">
        <v>16255</v>
      </c>
      <c r="E886" t="s">
        <v>10</v>
      </c>
      <c r="F886">
        <v>33</v>
      </c>
      <c r="G886" s="2">
        <v>21.35</v>
      </c>
      <c r="H886" s="2">
        <v>0</v>
      </c>
      <c r="I886" s="2">
        <v>0.3</v>
      </c>
      <c r="J886" s="2">
        <v>21.65</v>
      </c>
      <c r="K886" s="5">
        <f>nantucket[[#This Row],[MW Factor]]-resources!$B$14</f>
        <v>-24</v>
      </c>
    </row>
    <row r="887" spans="1:11" x14ac:dyDescent="0.3">
      <c r="A887" t="s">
        <v>60</v>
      </c>
      <c r="B887">
        <v>1212</v>
      </c>
      <c r="C887">
        <v>12</v>
      </c>
      <c r="D887">
        <v>16255</v>
      </c>
      <c r="E887" t="s">
        <v>10</v>
      </c>
      <c r="F887">
        <v>33</v>
      </c>
      <c r="G887" s="2">
        <v>21.7</v>
      </c>
      <c r="H887" s="2">
        <v>0</v>
      </c>
      <c r="I887" s="2">
        <v>0.28000000000000003</v>
      </c>
      <c r="J887" s="2">
        <v>21.98</v>
      </c>
      <c r="K887" s="5">
        <f>nantucket[[#This Row],[MW Factor]]-resources!$B$14</f>
        <v>-24</v>
      </c>
    </row>
    <row r="888" spans="1:11" x14ac:dyDescent="0.3">
      <c r="A888" t="s">
        <v>60</v>
      </c>
      <c r="B888">
        <v>1214</v>
      </c>
      <c r="C888">
        <v>14</v>
      </c>
      <c r="D888">
        <v>16255</v>
      </c>
      <c r="E888" t="s">
        <v>10</v>
      </c>
      <c r="F888">
        <v>33</v>
      </c>
      <c r="G888" s="2">
        <v>22.26</v>
      </c>
      <c r="H888" s="2">
        <v>0</v>
      </c>
      <c r="I888" s="2">
        <v>0.34</v>
      </c>
      <c r="J888" s="2">
        <v>22.6</v>
      </c>
      <c r="K888" s="5">
        <f>nantucket[[#This Row],[MW Factor]]-resources!$B$14</f>
        <v>-24</v>
      </c>
    </row>
    <row r="889" spans="1:11" x14ac:dyDescent="0.3">
      <c r="A889" t="s">
        <v>63</v>
      </c>
      <c r="B889">
        <v>1284</v>
      </c>
      <c r="C889">
        <v>12</v>
      </c>
      <c r="D889">
        <v>16255</v>
      </c>
      <c r="E889" t="s">
        <v>10</v>
      </c>
      <c r="F889">
        <v>33</v>
      </c>
      <c r="G889" s="2">
        <v>22.04</v>
      </c>
      <c r="H889" s="2">
        <v>0</v>
      </c>
      <c r="I889" s="2">
        <v>0.36</v>
      </c>
      <c r="J889" s="2">
        <v>22.4</v>
      </c>
      <c r="K889" s="5">
        <f>nantucket[[#This Row],[MW Factor]]-resources!$B$14</f>
        <v>-24</v>
      </c>
    </row>
    <row r="890" spans="1:11" x14ac:dyDescent="0.3">
      <c r="A890" t="s">
        <v>64</v>
      </c>
      <c r="B890">
        <v>1307</v>
      </c>
      <c r="C890">
        <v>11</v>
      </c>
      <c r="D890">
        <v>16255</v>
      </c>
      <c r="E890" t="s">
        <v>10</v>
      </c>
      <c r="F890">
        <v>33</v>
      </c>
      <c r="G890" s="2">
        <v>21.56</v>
      </c>
      <c r="H890" s="2">
        <v>0</v>
      </c>
      <c r="I890" s="2">
        <v>0.39</v>
      </c>
      <c r="J890" s="2">
        <v>21.95</v>
      </c>
      <c r="K890" s="5">
        <f>nantucket[[#This Row],[MW Factor]]-resources!$B$14</f>
        <v>-24</v>
      </c>
    </row>
    <row r="891" spans="1:11" x14ac:dyDescent="0.3">
      <c r="A891" t="s">
        <v>67</v>
      </c>
      <c r="B891">
        <v>1381</v>
      </c>
      <c r="C891">
        <v>13</v>
      </c>
      <c r="D891">
        <v>16255</v>
      </c>
      <c r="E891" t="s">
        <v>10</v>
      </c>
      <c r="F891">
        <v>33</v>
      </c>
      <c r="G891" s="2">
        <v>24.18</v>
      </c>
      <c r="H891" s="2">
        <v>0</v>
      </c>
      <c r="I891" s="2">
        <v>0.16</v>
      </c>
      <c r="J891" s="2">
        <v>24.34</v>
      </c>
      <c r="K891" s="5">
        <f>nantucket[[#This Row],[MW Factor]]-resources!$B$14</f>
        <v>-24</v>
      </c>
    </row>
    <row r="892" spans="1:11" x14ac:dyDescent="0.3">
      <c r="A892" t="s">
        <v>67</v>
      </c>
      <c r="B892">
        <v>1382</v>
      </c>
      <c r="C892">
        <v>14</v>
      </c>
      <c r="D892">
        <v>16255</v>
      </c>
      <c r="E892" t="s">
        <v>10</v>
      </c>
      <c r="F892">
        <v>33</v>
      </c>
      <c r="G892" s="2">
        <v>25.84</v>
      </c>
      <c r="H892" s="2">
        <v>0</v>
      </c>
      <c r="I892" s="2">
        <v>7.0000000000000007E-2</v>
      </c>
      <c r="J892" s="2">
        <v>25.91</v>
      </c>
      <c r="K892" s="5">
        <f>nantucket[[#This Row],[MW Factor]]-resources!$B$14</f>
        <v>-24</v>
      </c>
    </row>
    <row r="893" spans="1:11" x14ac:dyDescent="0.3">
      <c r="A893" t="s">
        <v>67</v>
      </c>
      <c r="B893">
        <v>1391</v>
      </c>
      <c r="C893">
        <v>23</v>
      </c>
      <c r="D893">
        <v>16255</v>
      </c>
      <c r="E893" t="s">
        <v>10</v>
      </c>
      <c r="F893">
        <v>33</v>
      </c>
      <c r="G893" s="2">
        <v>27.43</v>
      </c>
      <c r="H893" s="2">
        <v>0</v>
      </c>
      <c r="I893" s="2">
        <v>0.34</v>
      </c>
      <c r="J893" s="2">
        <v>27.77</v>
      </c>
      <c r="K893" s="5">
        <f>nantucket[[#This Row],[MW Factor]]-resources!$B$14</f>
        <v>-24</v>
      </c>
    </row>
    <row r="894" spans="1:11" x14ac:dyDescent="0.3">
      <c r="A894" t="s">
        <v>68</v>
      </c>
      <c r="B894">
        <v>1402</v>
      </c>
      <c r="C894">
        <v>10</v>
      </c>
      <c r="D894">
        <v>16255</v>
      </c>
      <c r="E894" t="s">
        <v>10</v>
      </c>
      <c r="F894">
        <v>33</v>
      </c>
      <c r="G894" s="2">
        <v>29.18</v>
      </c>
      <c r="H894" s="2">
        <v>0</v>
      </c>
      <c r="I894" s="2">
        <v>0.35</v>
      </c>
      <c r="J894" s="2">
        <v>29.53</v>
      </c>
      <c r="K894" s="5">
        <f>nantucket[[#This Row],[MW Factor]]-resources!$B$14</f>
        <v>-24</v>
      </c>
    </row>
    <row r="895" spans="1:11" x14ac:dyDescent="0.3">
      <c r="A895" t="s">
        <v>69</v>
      </c>
      <c r="B895">
        <v>1434</v>
      </c>
      <c r="C895">
        <v>18</v>
      </c>
      <c r="D895">
        <v>16255</v>
      </c>
      <c r="E895" t="s">
        <v>10</v>
      </c>
      <c r="F895">
        <v>33</v>
      </c>
      <c r="G895" s="2">
        <v>45.13</v>
      </c>
      <c r="H895" s="2">
        <v>0</v>
      </c>
      <c r="I895" s="2">
        <v>0.99</v>
      </c>
      <c r="J895" s="2">
        <v>46.12</v>
      </c>
      <c r="K895" s="5">
        <f>nantucket[[#This Row],[MW Factor]]-resources!$B$14</f>
        <v>-24</v>
      </c>
    </row>
    <row r="896" spans="1:11" x14ac:dyDescent="0.3">
      <c r="A896" t="s">
        <v>71</v>
      </c>
      <c r="B896">
        <v>1477</v>
      </c>
      <c r="C896">
        <v>13</v>
      </c>
      <c r="D896">
        <v>16255</v>
      </c>
      <c r="E896" t="s">
        <v>10</v>
      </c>
      <c r="F896">
        <v>33</v>
      </c>
      <c r="G896" s="2">
        <v>21.45</v>
      </c>
      <c r="H896" s="2">
        <v>0</v>
      </c>
      <c r="I896" s="2">
        <v>0.28999999999999998</v>
      </c>
      <c r="J896" s="2">
        <v>21.74</v>
      </c>
      <c r="K896" s="5">
        <f>nantucket[[#This Row],[MW Factor]]-resources!$B$14</f>
        <v>-24</v>
      </c>
    </row>
    <row r="897" spans="1:11" x14ac:dyDescent="0.3">
      <c r="A897" t="s">
        <v>9</v>
      </c>
      <c r="B897">
        <v>11</v>
      </c>
      <c r="C897">
        <v>11</v>
      </c>
      <c r="D897">
        <v>16255</v>
      </c>
      <c r="E897" t="s">
        <v>10</v>
      </c>
      <c r="F897">
        <v>32</v>
      </c>
      <c r="G897" s="2">
        <v>22.15</v>
      </c>
      <c r="H897" s="2">
        <v>0</v>
      </c>
      <c r="I897" s="2">
        <v>0.28000000000000003</v>
      </c>
      <c r="J897" s="2">
        <v>22.43</v>
      </c>
      <c r="K897" s="5">
        <f>nantucket[[#This Row],[MW Factor]]-resources!$B$14</f>
        <v>-25</v>
      </c>
    </row>
    <row r="898" spans="1:11" x14ac:dyDescent="0.3">
      <c r="A898" t="s">
        <v>9</v>
      </c>
      <c r="B898">
        <v>12</v>
      </c>
      <c r="C898">
        <v>12</v>
      </c>
      <c r="D898">
        <v>16255</v>
      </c>
      <c r="E898" t="s">
        <v>10</v>
      </c>
      <c r="F898">
        <v>32</v>
      </c>
      <c r="G898" s="2">
        <v>23</v>
      </c>
      <c r="H898" s="2">
        <v>0</v>
      </c>
      <c r="I898" s="2">
        <v>0.26</v>
      </c>
      <c r="J898" s="2">
        <v>23.26</v>
      </c>
      <c r="K898" s="5">
        <f>nantucket[[#This Row],[MW Factor]]-resources!$B$14</f>
        <v>-25</v>
      </c>
    </row>
    <row r="899" spans="1:11" x14ac:dyDescent="0.3">
      <c r="A899" t="s">
        <v>9</v>
      </c>
      <c r="B899">
        <v>14</v>
      </c>
      <c r="C899">
        <v>14</v>
      </c>
      <c r="D899">
        <v>16255</v>
      </c>
      <c r="E899" t="s">
        <v>10</v>
      </c>
      <c r="F899">
        <v>32</v>
      </c>
      <c r="G899" s="2">
        <v>23.91</v>
      </c>
      <c r="H899" s="2">
        <v>0</v>
      </c>
      <c r="I899" s="2">
        <v>0.28999999999999998</v>
      </c>
      <c r="J899" s="2">
        <v>24.2</v>
      </c>
      <c r="K899" s="5">
        <f>nantucket[[#This Row],[MW Factor]]-resources!$B$14</f>
        <v>-25</v>
      </c>
    </row>
    <row r="900" spans="1:11" x14ac:dyDescent="0.3">
      <c r="A900" t="s">
        <v>11</v>
      </c>
      <c r="B900">
        <v>36</v>
      </c>
      <c r="C900">
        <v>12</v>
      </c>
      <c r="D900">
        <v>16255</v>
      </c>
      <c r="E900" t="s">
        <v>10</v>
      </c>
      <c r="F900">
        <v>32</v>
      </c>
      <c r="G900" s="2">
        <v>23.64</v>
      </c>
      <c r="H900" s="2">
        <v>0</v>
      </c>
      <c r="I900" s="2">
        <v>0.23</v>
      </c>
      <c r="J900" s="2">
        <v>23.87</v>
      </c>
      <c r="K900" s="5">
        <f>nantucket[[#This Row],[MW Factor]]-resources!$B$14</f>
        <v>-25</v>
      </c>
    </row>
    <row r="901" spans="1:11" x14ac:dyDescent="0.3">
      <c r="A901" t="s">
        <v>11</v>
      </c>
      <c r="B901">
        <v>37</v>
      </c>
      <c r="C901">
        <v>13</v>
      </c>
      <c r="D901">
        <v>16255</v>
      </c>
      <c r="E901" t="s">
        <v>10</v>
      </c>
      <c r="F901">
        <v>32</v>
      </c>
      <c r="G901" s="2">
        <v>26.52</v>
      </c>
      <c r="H901" s="2">
        <v>0</v>
      </c>
      <c r="I901" s="2">
        <v>0.24</v>
      </c>
      <c r="J901" s="2">
        <v>26.76</v>
      </c>
      <c r="K901" s="5">
        <f>nantucket[[#This Row],[MW Factor]]-resources!$B$14</f>
        <v>-25</v>
      </c>
    </row>
    <row r="902" spans="1:11" x14ac:dyDescent="0.3">
      <c r="A902" t="s">
        <v>11</v>
      </c>
      <c r="B902">
        <v>38</v>
      </c>
      <c r="C902">
        <v>14</v>
      </c>
      <c r="D902">
        <v>16255</v>
      </c>
      <c r="E902" t="s">
        <v>10</v>
      </c>
      <c r="F902">
        <v>32</v>
      </c>
      <c r="G902" s="2">
        <v>34.619999999999997</v>
      </c>
      <c r="H902" s="2">
        <v>0</v>
      </c>
      <c r="I902" s="2">
        <v>0.28999999999999998</v>
      </c>
      <c r="J902" s="2">
        <v>34.909999999999997</v>
      </c>
      <c r="K902" s="5">
        <f>nantucket[[#This Row],[MW Factor]]-resources!$B$14</f>
        <v>-25</v>
      </c>
    </row>
    <row r="903" spans="1:11" x14ac:dyDescent="0.3">
      <c r="A903" t="s">
        <v>11</v>
      </c>
      <c r="B903">
        <v>39</v>
      </c>
      <c r="C903">
        <v>15</v>
      </c>
      <c r="D903">
        <v>16255</v>
      </c>
      <c r="E903" t="s">
        <v>10</v>
      </c>
      <c r="F903">
        <v>32</v>
      </c>
      <c r="G903" s="2">
        <v>40.89</v>
      </c>
      <c r="H903" s="2">
        <v>0</v>
      </c>
      <c r="I903" s="2">
        <v>0.38</v>
      </c>
      <c r="J903" s="2">
        <v>41.27</v>
      </c>
      <c r="K903" s="5">
        <f>nantucket[[#This Row],[MW Factor]]-resources!$B$14</f>
        <v>-25</v>
      </c>
    </row>
    <row r="904" spans="1:11" x14ac:dyDescent="0.3">
      <c r="A904" t="s">
        <v>12</v>
      </c>
      <c r="B904">
        <v>59</v>
      </c>
      <c r="C904">
        <v>11</v>
      </c>
      <c r="D904">
        <v>16255</v>
      </c>
      <c r="E904" t="s">
        <v>10</v>
      </c>
      <c r="F904">
        <v>32</v>
      </c>
      <c r="G904" s="2">
        <v>21.61</v>
      </c>
      <c r="H904" s="2">
        <v>0</v>
      </c>
      <c r="I904" s="2">
        <v>0.25</v>
      </c>
      <c r="J904" s="2">
        <v>21.86</v>
      </c>
      <c r="K904" s="5">
        <f>nantucket[[#This Row],[MW Factor]]-resources!$B$14</f>
        <v>-25</v>
      </c>
    </row>
    <row r="905" spans="1:11" x14ac:dyDescent="0.3">
      <c r="A905" t="s">
        <v>13</v>
      </c>
      <c r="B905">
        <v>82</v>
      </c>
      <c r="C905">
        <v>10</v>
      </c>
      <c r="D905">
        <v>16255</v>
      </c>
      <c r="E905" t="s">
        <v>10</v>
      </c>
      <c r="F905">
        <v>32</v>
      </c>
      <c r="G905" s="2">
        <v>23.97</v>
      </c>
      <c r="H905" s="2">
        <v>0</v>
      </c>
      <c r="I905" s="2">
        <v>0.31</v>
      </c>
      <c r="J905" s="2">
        <v>24.28</v>
      </c>
      <c r="K905" s="5">
        <f>nantucket[[#This Row],[MW Factor]]-resources!$B$14</f>
        <v>-25</v>
      </c>
    </row>
    <row r="906" spans="1:11" x14ac:dyDescent="0.3">
      <c r="A906" t="s">
        <v>13</v>
      </c>
      <c r="B906">
        <v>84</v>
      </c>
      <c r="C906">
        <v>12</v>
      </c>
      <c r="D906">
        <v>16255</v>
      </c>
      <c r="E906" t="s">
        <v>10</v>
      </c>
      <c r="F906">
        <v>32</v>
      </c>
      <c r="G906" s="2">
        <v>23.86</v>
      </c>
      <c r="H906" s="2">
        <v>0</v>
      </c>
      <c r="I906" s="2">
        <v>0.18</v>
      </c>
      <c r="J906" s="2">
        <v>24.04</v>
      </c>
      <c r="K906" s="5">
        <f>nantucket[[#This Row],[MW Factor]]-resources!$B$14</f>
        <v>-25</v>
      </c>
    </row>
    <row r="907" spans="1:11" x14ac:dyDescent="0.3">
      <c r="A907" t="s">
        <v>14</v>
      </c>
      <c r="B907">
        <v>97</v>
      </c>
      <c r="C907">
        <v>1</v>
      </c>
      <c r="D907">
        <v>16255</v>
      </c>
      <c r="E907" t="s">
        <v>10</v>
      </c>
      <c r="F907">
        <v>32</v>
      </c>
      <c r="G907" s="2">
        <v>39.85</v>
      </c>
      <c r="H907" s="2">
        <v>0</v>
      </c>
      <c r="I907" s="2">
        <v>0.35</v>
      </c>
      <c r="J907" s="2">
        <v>40.200000000000003</v>
      </c>
      <c r="K907" s="5">
        <f>nantucket[[#This Row],[MW Factor]]-resources!$B$14</f>
        <v>-25</v>
      </c>
    </row>
    <row r="908" spans="1:11" x14ac:dyDescent="0.3">
      <c r="A908" t="s">
        <v>15</v>
      </c>
      <c r="B908">
        <v>121</v>
      </c>
      <c r="C908">
        <v>1</v>
      </c>
      <c r="D908">
        <v>16255</v>
      </c>
      <c r="E908" t="s">
        <v>10</v>
      </c>
      <c r="F908">
        <v>32</v>
      </c>
      <c r="G908" s="2">
        <v>37.96</v>
      </c>
      <c r="H908" s="2">
        <v>0</v>
      </c>
      <c r="I908" s="2">
        <v>0.38</v>
      </c>
      <c r="J908" s="2">
        <v>38.340000000000003</v>
      </c>
      <c r="K908" s="5">
        <f>nantucket[[#This Row],[MW Factor]]-resources!$B$14</f>
        <v>-25</v>
      </c>
    </row>
    <row r="909" spans="1:11" x14ac:dyDescent="0.3">
      <c r="A909" t="s">
        <v>15</v>
      </c>
      <c r="B909">
        <v>129</v>
      </c>
      <c r="C909">
        <v>9</v>
      </c>
      <c r="D909">
        <v>16255</v>
      </c>
      <c r="E909" t="s">
        <v>10</v>
      </c>
      <c r="F909">
        <v>32</v>
      </c>
      <c r="G909" s="2">
        <v>28.18</v>
      </c>
      <c r="H909" s="2">
        <v>0</v>
      </c>
      <c r="I909" s="2">
        <v>0.38</v>
      </c>
      <c r="J909" s="2">
        <v>28.56</v>
      </c>
      <c r="K909" s="5">
        <f>nantucket[[#This Row],[MW Factor]]-resources!$B$14</f>
        <v>-25</v>
      </c>
    </row>
    <row r="910" spans="1:11" x14ac:dyDescent="0.3">
      <c r="A910" t="s">
        <v>16</v>
      </c>
      <c r="B910">
        <v>145</v>
      </c>
      <c r="C910">
        <v>1</v>
      </c>
      <c r="D910">
        <v>16255</v>
      </c>
      <c r="E910" t="s">
        <v>10</v>
      </c>
      <c r="F910">
        <v>32</v>
      </c>
      <c r="G910" s="2">
        <v>36.32</v>
      </c>
      <c r="H910" s="2">
        <v>0</v>
      </c>
      <c r="I910" s="2">
        <v>0.48</v>
      </c>
      <c r="J910" s="2">
        <v>36.799999999999997</v>
      </c>
      <c r="K910" s="5">
        <f>nantucket[[#This Row],[MW Factor]]-resources!$B$14</f>
        <v>-25</v>
      </c>
    </row>
    <row r="911" spans="1:11" x14ac:dyDescent="0.3">
      <c r="A911" t="s">
        <v>19</v>
      </c>
      <c r="B911">
        <v>224</v>
      </c>
      <c r="C911">
        <v>8</v>
      </c>
      <c r="D911">
        <v>16255</v>
      </c>
      <c r="E911" t="s">
        <v>10</v>
      </c>
      <c r="F911">
        <v>32</v>
      </c>
      <c r="G911" s="2">
        <v>42.65</v>
      </c>
      <c r="H911" s="2">
        <v>0</v>
      </c>
      <c r="I911" s="2">
        <v>0.16</v>
      </c>
      <c r="J911" s="2">
        <v>42.81</v>
      </c>
      <c r="K911" s="5">
        <f>nantucket[[#This Row],[MW Factor]]-resources!$B$14</f>
        <v>-25</v>
      </c>
    </row>
    <row r="912" spans="1:11" x14ac:dyDescent="0.3">
      <c r="A912" t="s">
        <v>20</v>
      </c>
      <c r="B912">
        <v>248</v>
      </c>
      <c r="C912">
        <v>8</v>
      </c>
      <c r="D912">
        <v>16255</v>
      </c>
      <c r="E912" t="s">
        <v>10</v>
      </c>
      <c r="F912">
        <v>32</v>
      </c>
      <c r="G912" s="2">
        <v>51.56</v>
      </c>
      <c r="H912" s="2">
        <v>0</v>
      </c>
      <c r="I912" s="2">
        <v>0.35</v>
      </c>
      <c r="J912" s="2">
        <v>51.91</v>
      </c>
      <c r="K912" s="5">
        <f>nantucket[[#This Row],[MW Factor]]-resources!$B$14</f>
        <v>-25</v>
      </c>
    </row>
    <row r="913" spans="1:11" x14ac:dyDescent="0.3">
      <c r="A913" t="s">
        <v>21</v>
      </c>
      <c r="B913">
        <v>267</v>
      </c>
      <c r="C913">
        <v>3</v>
      </c>
      <c r="D913">
        <v>16255</v>
      </c>
      <c r="E913" t="s">
        <v>10</v>
      </c>
      <c r="F913">
        <v>32</v>
      </c>
      <c r="G913" s="2">
        <v>35.159999999999997</v>
      </c>
      <c r="H913" s="2">
        <v>0</v>
      </c>
      <c r="I913" s="2">
        <v>0.25</v>
      </c>
      <c r="J913" s="2">
        <v>35.409999999999997</v>
      </c>
      <c r="K913" s="5">
        <f>nantucket[[#This Row],[MW Factor]]-resources!$B$14</f>
        <v>-25</v>
      </c>
    </row>
    <row r="914" spans="1:11" x14ac:dyDescent="0.3">
      <c r="A914" t="s">
        <v>21</v>
      </c>
      <c r="B914">
        <v>271</v>
      </c>
      <c r="C914">
        <v>7</v>
      </c>
      <c r="D914">
        <v>16255</v>
      </c>
      <c r="E914" t="s">
        <v>10</v>
      </c>
      <c r="F914">
        <v>32</v>
      </c>
      <c r="G914" s="2">
        <v>36.11</v>
      </c>
      <c r="H914" s="2">
        <v>0</v>
      </c>
      <c r="I914" s="2">
        <v>0.32</v>
      </c>
      <c r="J914" s="2">
        <v>36.43</v>
      </c>
      <c r="K914" s="5">
        <f>nantucket[[#This Row],[MW Factor]]-resources!$B$14</f>
        <v>-25</v>
      </c>
    </row>
    <row r="915" spans="1:11" x14ac:dyDescent="0.3">
      <c r="A915" t="s">
        <v>22</v>
      </c>
      <c r="B915">
        <v>291</v>
      </c>
      <c r="C915">
        <v>3</v>
      </c>
      <c r="D915">
        <v>16255</v>
      </c>
      <c r="E915" t="s">
        <v>10</v>
      </c>
      <c r="F915">
        <v>32</v>
      </c>
      <c r="G915" s="2">
        <v>33.520000000000003</v>
      </c>
      <c r="H915" s="2">
        <v>0</v>
      </c>
      <c r="I915" s="2">
        <v>0.39</v>
      </c>
      <c r="J915" s="2">
        <v>33.909999999999997</v>
      </c>
      <c r="K915" s="5">
        <f>nantucket[[#This Row],[MW Factor]]-resources!$B$14</f>
        <v>-25</v>
      </c>
    </row>
    <row r="916" spans="1:11" x14ac:dyDescent="0.3">
      <c r="A916" t="s">
        <v>24</v>
      </c>
      <c r="B916">
        <v>338</v>
      </c>
      <c r="C916">
        <v>2</v>
      </c>
      <c r="D916">
        <v>16255</v>
      </c>
      <c r="E916" t="s">
        <v>10</v>
      </c>
      <c r="F916">
        <v>32</v>
      </c>
      <c r="G916" s="2">
        <v>46.15</v>
      </c>
      <c r="H916" s="2">
        <v>0.17</v>
      </c>
      <c r="I916" s="2">
        <v>0.45</v>
      </c>
      <c r="J916" s="2">
        <v>46.77</v>
      </c>
      <c r="K916" s="5">
        <f>nantucket[[#This Row],[MW Factor]]-resources!$B$14</f>
        <v>-25</v>
      </c>
    </row>
    <row r="917" spans="1:11" x14ac:dyDescent="0.3">
      <c r="A917" t="s">
        <v>25</v>
      </c>
      <c r="B917">
        <v>365</v>
      </c>
      <c r="C917">
        <v>5</v>
      </c>
      <c r="D917">
        <v>16255</v>
      </c>
      <c r="E917" t="s">
        <v>10</v>
      </c>
      <c r="F917">
        <v>32</v>
      </c>
      <c r="G917" s="2">
        <v>31.94</v>
      </c>
      <c r="H917" s="2">
        <v>0</v>
      </c>
      <c r="I917" s="2">
        <v>0.2</v>
      </c>
      <c r="J917" s="2">
        <v>32.14</v>
      </c>
      <c r="K917" s="5">
        <f>nantucket[[#This Row],[MW Factor]]-resources!$B$14</f>
        <v>-25</v>
      </c>
    </row>
    <row r="918" spans="1:11" x14ac:dyDescent="0.3">
      <c r="A918" t="s">
        <v>25</v>
      </c>
      <c r="B918">
        <v>367</v>
      </c>
      <c r="C918">
        <v>7</v>
      </c>
      <c r="D918">
        <v>16255</v>
      </c>
      <c r="E918" t="s">
        <v>10</v>
      </c>
      <c r="F918">
        <v>32</v>
      </c>
      <c r="G918" s="2">
        <v>44.2</v>
      </c>
      <c r="H918" s="2">
        <v>0</v>
      </c>
      <c r="I918" s="2">
        <v>0.37</v>
      </c>
      <c r="J918" s="2">
        <v>44.57</v>
      </c>
      <c r="K918" s="5">
        <f>nantucket[[#This Row],[MW Factor]]-resources!$B$14</f>
        <v>-25</v>
      </c>
    </row>
    <row r="919" spans="1:11" x14ac:dyDescent="0.3">
      <c r="A919" t="s">
        <v>26</v>
      </c>
      <c r="B919">
        <v>390</v>
      </c>
      <c r="C919">
        <v>6</v>
      </c>
      <c r="D919">
        <v>16255</v>
      </c>
      <c r="E919" t="s">
        <v>10</v>
      </c>
      <c r="F919">
        <v>32</v>
      </c>
      <c r="G919" s="2">
        <v>26.23</v>
      </c>
      <c r="H919" s="2">
        <v>0</v>
      </c>
      <c r="I919" s="2">
        <v>0.31</v>
      </c>
      <c r="J919" s="2">
        <v>26.54</v>
      </c>
      <c r="K919" s="5">
        <f>nantucket[[#This Row],[MW Factor]]-resources!$B$14</f>
        <v>-25</v>
      </c>
    </row>
    <row r="920" spans="1:11" x14ac:dyDescent="0.3">
      <c r="A920" t="s">
        <v>26</v>
      </c>
      <c r="B920">
        <v>391</v>
      </c>
      <c r="C920">
        <v>7</v>
      </c>
      <c r="D920">
        <v>16255</v>
      </c>
      <c r="E920" t="s">
        <v>10</v>
      </c>
      <c r="F920">
        <v>32</v>
      </c>
      <c r="G920" s="2">
        <v>28.82</v>
      </c>
      <c r="H920" s="2">
        <v>0</v>
      </c>
      <c r="I920" s="2">
        <v>0.33</v>
      </c>
      <c r="J920" s="2">
        <v>29.15</v>
      </c>
      <c r="K920" s="5">
        <f>nantucket[[#This Row],[MW Factor]]-resources!$B$14</f>
        <v>-25</v>
      </c>
    </row>
    <row r="921" spans="1:11" x14ac:dyDescent="0.3">
      <c r="A921" t="s">
        <v>27</v>
      </c>
      <c r="B921">
        <v>412</v>
      </c>
      <c r="C921">
        <v>4</v>
      </c>
      <c r="D921">
        <v>16255</v>
      </c>
      <c r="E921" t="s">
        <v>10</v>
      </c>
      <c r="F921">
        <v>32</v>
      </c>
      <c r="G921" s="2">
        <v>32.840000000000003</v>
      </c>
      <c r="H921" s="2">
        <v>0.05</v>
      </c>
      <c r="I921" s="2">
        <v>0.37</v>
      </c>
      <c r="J921" s="2">
        <v>33.26</v>
      </c>
      <c r="K921" s="5">
        <f>nantucket[[#This Row],[MW Factor]]-resources!$B$14</f>
        <v>-25</v>
      </c>
    </row>
    <row r="922" spans="1:11" x14ac:dyDescent="0.3">
      <c r="A922" t="s">
        <v>27</v>
      </c>
      <c r="B922">
        <v>413</v>
      </c>
      <c r="C922">
        <v>5</v>
      </c>
      <c r="D922">
        <v>16255</v>
      </c>
      <c r="E922" t="s">
        <v>10</v>
      </c>
      <c r="F922">
        <v>32</v>
      </c>
      <c r="G922" s="2">
        <v>39.83</v>
      </c>
      <c r="H922" s="2">
        <v>0.06</v>
      </c>
      <c r="I922" s="2">
        <v>0.46</v>
      </c>
      <c r="J922" s="2">
        <v>40.35</v>
      </c>
      <c r="K922" s="5">
        <f>nantucket[[#This Row],[MW Factor]]-resources!$B$14</f>
        <v>-25</v>
      </c>
    </row>
    <row r="923" spans="1:11" x14ac:dyDescent="0.3">
      <c r="A923" t="s">
        <v>28</v>
      </c>
      <c r="B923">
        <v>434</v>
      </c>
      <c r="C923">
        <v>2</v>
      </c>
      <c r="D923">
        <v>16255</v>
      </c>
      <c r="E923" t="s">
        <v>10</v>
      </c>
      <c r="F923">
        <v>32</v>
      </c>
      <c r="G923" s="2">
        <v>24.95</v>
      </c>
      <c r="H923" s="2">
        <v>0</v>
      </c>
      <c r="I923" s="2">
        <v>0.54</v>
      </c>
      <c r="J923" s="2">
        <v>25.49</v>
      </c>
      <c r="K923" s="5">
        <f>nantucket[[#This Row],[MW Factor]]-resources!$B$14</f>
        <v>-25</v>
      </c>
    </row>
    <row r="924" spans="1:11" x14ac:dyDescent="0.3">
      <c r="A924" t="s">
        <v>30</v>
      </c>
      <c r="B924">
        <v>489</v>
      </c>
      <c r="C924">
        <v>9</v>
      </c>
      <c r="D924">
        <v>16255</v>
      </c>
      <c r="E924" t="s">
        <v>10</v>
      </c>
      <c r="F924">
        <v>32</v>
      </c>
      <c r="G924" s="2">
        <v>21.69</v>
      </c>
      <c r="H924" s="2">
        <v>0</v>
      </c>
      <c r="I924" s="2">
        <v>0.32</v>
      </c>
      <c r="J924" s="2">
        <v>22.01</v>
      </c>
      <c r="K924" s="5">
        <f>nantucket[[#This Row],[MW Factor]]-resources!$B$14</f>
        <v>-25</v>
      </c>
    </row>
    <row r="925" spans="1:11" x14ac:dyDescent="0.3">
      <c r="A925" t="s">
        <v>33</v>
      </c>
      <c r="B925">
        <v>563</v>
      </c>
      <c r="C925">
        <v>11</v>
      </c>
      <c r="D925">
        <v>16255</v>
      </c>
      <c r="E925" t="s">
        <v>10</v>
      </c>
      <c r="F925">
        <v>32</v>
      </c>
      <c r="G925" s="2">
        <v>36.49</v>
      </c>
      <c r="H925" s="2">
        <v>0</v>
      </c>
      <c r="I925" s="2">
        <v>0.09</v>
      </c>
      <c r="J925" s="2">
        <v>36.58</v>
      </c>
      <c r="K925" s="5">
        <f>nantucket[[#This Row],[MW Factor]]-resources!$B$14</f>
        <v>-25</v>
      </c>
    </row>
    <row r="926" spans="1:11" x14ac:dyDescent="0.3">
      <c r="A926" t="s">
        <v>34</v>
      </c>
      <c r="B926">
        <v>586</v>
      </c>
      <c r="C926">
        <v>10</v>
      </c>
      <c r="D926">
        <v>16255</v>
      </c>
      <c r="E926" t="s">
        <v>10</v>
      </c>
      <c r="F926">
        <v>32</v>
      </c>
      <c r="G926" s="2">
        <v>48.98</v>
      </c>
      <c r="H926" s="2">
        <v>0</v>
      </c>
      <c r="I926" s="2">
        <v>0.16</v>
      </c>
      <c r="J926" s="2">
        <v>49.14</v>
      </c>
      <c r="K926" s="5">
        <f>nantucket[[#This Row],[MW Factor]]-resources!$B$14</f>
        <v>-25</v>
      </c>
    </row>
    <row r="927" spans="1:11" x14ac:dyDescent="0.3">
      <c r="A927" t="s">
        <v>37</v>
      </c>
      <c r="B927">
        <v>671</v>
      </c>
      <c r="C927">
        <v>23</v>
      </c>
      <c r="D927">
        <v>16255</v>
      </c>
      <c r="E927" t="s">
        <v>10</v>
      </c>
      <c r="F927">
        <v>32</v>
      </c>
      <c r="G927" s="2">
        <v>30.35</v>
      </c>
      <c r="H927" s="2">
        <v>0</v>
      </c>
      <c r="I927" s="2">
        <v>0.21</v>
      </c>
      <c r="J927" s="2">
        <v>30.56</v>
      </c>
      <c r="K927" s="5">
        <f>nantucket[[#This Row],[MW Factor]]-resources!$B$14</f>
        <v>-25</v>
      </c>
    </row>
    <row r="928" spans="1:11" x14ac:dyDescent="0.3">
      <c r="A928" t="s">
        <v>38</v>
      </c>
      <c r="B928">
        <v>683</v>
      </c>
      <c r="C928">
        <v>11</v>
      </c>
      <c r="D928">
        <v>16255</v>
      </c>
      <c r="E928" t="s">
        <v>10</v>
      </c>
      <c r="F928">
        <v>32</v>
      </c>
      <c r="G928" s="2">
        <v>30.08</v>
      </c>
      <c r="H928" s="2">
        <v>0</v>
      </c>
      <c r="I928" s="2">
        <v>0.22</v>
      </c>
      <c r="J928" s="2">
        <v>30.3</v>
      </c>
      <c r="K928" s="5">
        <f>nantucket[[#This Row],[MW Factor]]-resources!$B$14</f>
        <v>-25</v>
      </c>
    </row>
    <row r="929" spans="1:11" x14ac:dyDescent="0.3">
      <c r="A929" t="s">
        <v>39</v>
      </c>
      <c r="B929">
        <v>705</v>
      </c>
      <c r="C929">
        <v>9</v>
      </c>
      <c r="D929">
        <v>16255</v>
      </c>
      <c r="E929" t="s">
        <v>10</v>
      </c>
      <c r="F929">
        <v>32</v>
      </c>
      <c r="G929" s="2">
        <v>45.49</v>
      </c>
      <c r="H929" s="2">
        <v>0</v>
      </c>
      <c r="I929" s="2">
        <v>0.53</v>
      </c>
      <c r="J929" s="2">
        <v>46.02</v>
      </c>
      <c r="K929" s="5">
        <f>nantucket[[#This Row],[MW Factor]]-resources!$B$14</f>
        <v>-25</v>
      </c>
    </row>
    <row r="930" spans="1:11" x14ac:dyDescent="0.3">
      <c r="A930" t="s">
        <v>41</v>
      </c>
      <c r="B930">
        <v>746</v>
      </c>
      <c r="C930">
        <v>2</v>
      </c>
      <c r="D930">
        <v>16255</v>
      </c>
      <c r="E930" t="s">
        <v>10</v>
      </c>
      <c r="F930">
        <v>32</v>
      </c>
      <c r="G930" s="2">
        <v>33.11</v>
      </c>
      <c r="H930" s="2">
        <v>0</v>
      </c>
      <c r="I930" s="2">
        <v>0.39</v>
      </c>
      <c r="J930" s="2">
        <v>33.5</v>
      </c>
      <c r="K930" s="5">
        <f>nantucket[[#This Row],[MW Factor]]-resources!$B$14</f>
        <v>-25</v>
      </c>
    </row>
    <row r="931" spans="1:11" x14ac:dyDescent="0.3">
      <c r="A931" t="s">
        <v>42</v>
      </c>
      <c r="B931">
        <v>771</v>
      </c>
      <c r="C931">
        <v>3</v>
      </c>
      <c r="D931">
        <v>16255</v>
      </c>
      <c r="E931" t="s">
        <v>10</v>
      </c>
      <c r="F931">
        <v>32</v>
      </c>
      <c r="G931" s="2">
        <v>35.01</v>
      </c>
      <c r="H931" s="2">
        <v>0</v>
      </c>
      <c r="I931" s="2">
        <v>0.08</v>
      </c>
      <c r="J931" s="2">
        <v>35.090000000000003</v>
      </c>
      <c r="K931" s="5">
        <f>nantucket[[#This Row],[MW Factor]]-resources!$B$14</f>
        <v>-25</v>
      </c>
    </row>
    <row r="932" spans="1:11" x14ac:dyDescent="0.3">
      <c r="A932" t="s">
        <v>42</v>
      </c>
      <c r="B932">
        <v>776</v>
      </c>
      <c r="C932">
        <v>8</v>
      </c>
      <c r="D932">
        <v>16255</v>
      </c>
      <c r="E932" t="s">
        <v>10</v>
      </c>
      <c r="F932">
        <v>32</v>
      </c>
      <c r="G932" s="2">
        <v>39.01</v>
      </c>
      <c r="H932" s="2">
        <v>0</v>
      </c>
      <c r="I932" s="2">
        <v>0.1</v>
      </c>
      <c r="J932" s="2">
        <v>39.11</v>
      </c>
      <c r="K932" s="5">
        <f>nantucket[[#This Row],[MW Factor]]-resources!$B$14</f>
        <v>-25</v>
      </c>
    </row>
    <row r="933" spans="1:11" x14ac:dyDescent="0.3">
      <c r="A933" t="s">
        <v>43</v>
      </c>
      <c r="B933">
        <v>797</v>
      </c>
      <c r="C933">
        <v>5</v>
      </c>
      <c r="D933">
        <v>16255</v>
      </c>
      <c r="E933" t="s">
        <v>10</v>
      </c>
      <c r="F933">
        <v>32</v>
      </c>
      <c r="G933" s="2">
        <v>33.81</v>
      </c>
      <c r="H933" s="2">
        <v>0</v>
      </c>
      <c r="I933" s="2">
        <v>0.32</v>
      </c>
      <c r="J933" s="2">
        <v>34.130000000000003</v>
      </c>
      <c r="K933" s="5">
        <f>nantucket[[#This Row],[MW Factor]]-resources!$B$14</f>
        <v>-25</v>
      </c>
    </row>
    <row r="934" spans="1:11" x14ac:dyDescent="0.3">
      <c r="A934" t="s">
        <v>43</v>
      </c>
      <c r="B934">
        <v>798</v>
      </c>
      <c r="C934">
        <v>6</v>
      </c>
      <c r="D934">
        <v>16255</v>
      </c>
      <c r="E934" t="s">
        <v>10</v>
      </c>
      <c r="F934">
        <v>32</v>
      </c>
      <c r="G934" s="2">
        <v>32.97</v>
      </c>
      <c r="H934" s="2">
        <v>0</v>
      </c>
      <c r="I934" s="2">
        <v>0.4</v>
      </c>
      <c r="J934" s="2">
        <v>33.369999999999997</v>
      </c>
      <c r="K934" s="5">
        <f>nantucket[[#This Row],[MW Factor]]-resources!$B$14</f>
        <v>-25</v>
      </c>
    </row>
    <row r="935" spans="1:11" x14ac:dyDescent="0.3">
      <c r="A935" t="s">
        <v>43</v>
      </c>
      <c r="B935">
        <v>799</v>
      </c>
      <c r="C935">
        <v>7</v>
      </c>
      <c r="D935">
        <v>16255</v>
      </c>
      <c r="E935" t="s">
        <v>10</v>
      </c>
      <c r="F935">
        <v>32</v>
      </c>
      <c r="G935" s="2">
        <v>36.93</v>
      </c>
      <c r="H935" s="2">
        <v>0</v>
      </c>
      <c r="I935" s="2">
        <v>0.45</v>
      </c>
      <c r="J935" s="2">
        <v>37.380000000000003</v>
      </c>
      <c r="K935" s="5">
        <f>nantucket[[#This Row],[MW Factor]]-resources!$B$14</f>
        <v>-25</v>
      </c>
    </row>
    <row r="936" spans="1:11" x14ac:dyDescent="0.3">
      <c r="A936" t="s">
        <v>44</v>
      </c>
      <c r="B936">
        <v>823</v>
      </c>
      <c r="C936">
        <v>7</v>
      </c>
      <c r="D936">
        <v>16255</v>
      </c>
      <c r="E936" t="s">
        <v>10</v>
      </c>
      <c r="F936">
        <v>32</v>
      </c>
      <c r="G936" s="2">
        <v>37.97</v>
      </c>
      <c r="H936" s="2">
        <v>0</v>
      </c>
      <c r="I936" s="2">
        <v>0.46</v>
      </c>
      <c r="J936" s="2">
        <v>38.43</v>
      </c>
      <c r="K936" s="5">
        <f>nantucket[[#This Row],[MW Factor]]-resources!$B$14</f>
        <v>-25</v>
      </c>
    </row>
    <row r="937" spans="1:11" x14ac:dyDescent="0.3">
      <c r="A937" t="s">
        <v>45</v>
      </c>
      <c r="B937">
        <v>844</v>
      </c>
      <c r="C937">
        <v>4</v>
      </c>
      <c r="D937">
        <v>16255</v>
      </c>
      <c r="E937" t="s">
        <v>10</v>
      </c>
      <c r="F937">
        <v>32</v>
      </c>
      <c r="G937" s="2">
        <v>23.05</v>
      </c>
      <c r="H937" s="2">
        <v>0</v>
      </c>
      <c r="I937" s="2">
        <v>0.34</v>
      </c>
      <c r="J937" s="2">
        <v>23.39</v>
      </c>
      <c r="K937" s="5">
        <f>nantucket[[#This Row],[MW Factor]]-resources!$B$14</f>
        <v>-25</v>
      </c>
    </row>
    <row r="938" spans="1:11" x14ac:dyDescent="0.3">
      <c r="A938" t="s">
        <v>46</v>
      </c>
      <c r="B938">
        <v>868</v>
      </c>
      <c r="C938">
        <v>4</v>
      </c>
      <c r="D938">
        <v>16255</v>
      </c>
      <c r="E938" t="s">
        <v>10</v>
      </c>
      <c r="F938">
        <v>32</v>
      </c>
      <c r="G938" s="2">
        <v>26.04</v>
      </c>
      <c r="H938" s="2">
        <v>0</v>
      </c>
      <c r="I938" s="2">
        <v>0.33</v>
      </c>
      <c r="J938" s="2">
        <v>26.37</v>
      </c>
      <c r="K938" s="5">
        <f>nantucket[[#This Row],[MW Factor]]-resources!$B$14</f>
        <v>-25</v>
      </c>
    </row>
    <row r="939" spans="1:11" x14ac:dyDescent="0.3">
      <c r="A939" t="s">
        <v>46</v>
      </c>
      <c r="B939">
        <v>888</v>
      </c>
      <c r="C939">
        <v>24</v>
      </c>
      <c r="D939">
        <v>16255</v>
      </c>
      <c r="E939" t="s">
        <v>10</v>
      </c>
      <c r="F939">
        <v>32</v>
      </c>
      <c r="G939" s="2">
        <v>24.35</v>
      </c>
      <c r="H939" s="2">
        <v>0</v>
      </c>
      <c r="I939" s="2">
        <v>0.28999999999999998</v>
      </c>
      <c r="J939" s="2">
        <v>24.64</v>
      </c>
      <c r="K939" s="5">
        <f>nantucket[[#This Row],[MW Factor]]-resources!$B$14</f>
        <v>-25</v>
      </c>
    </row>
    <row r="940" spans="1:11" x14ac:dyDescent="0.3">
      <c r="A940" t="s">
        <v>47</v>
      </c>
      <c r="B940">
        <v>898</v>
      </c>
      <c r="C940">
        <v>10</v>
      </c>
      <c r="D940">
        <v>16255</v>
      </c>
      <c r="E940" t="s">
        <v>10</v>
      </c>
      <c r="F940">
        <v>32</v>
      </c>
      <c r="G940" s="2">
        <v>22.52</v>
      </c>
      <c r="H940" s="2">
        <v>0</v>
      </c>
      <c r="I940" s="2">
        <v>0.44</v>
      </c>
      <c r="J940" s="2">
        <v>22.96</v>
      </c>
      <c r="K940" s="5">
        <f>nantucket[[#This Row],[MW Factor]]-resources!$B$14</f>
        <v>-25</v>
      </c>
    </row>
    <row r="941" spans="1:11" x14ac:dyDescent="0.3">
      <c r="A941" t="s">
        <v>47</v>
      </c>
      <c r="B941">
        <v>902</v>
      </c>
      <c r="C941">
        <v>14</v>
      </c>
      <c r="D941">
        <v>16255</v>
      </c>
      <c r="E941" t="s">
        <v>10</v>
      </c>
      <c r="F941">
        <v>32</v>
      </c>
      <c r="G941" s="2">
        <v>23.5</v>
      </c>
      <c r="H941" s="2">
        <v>0</v>
      </c>
      <c r="I941" s="2">
        <v>0.33</v>
      </c>
      <c r="J941" s="2">
        <v>23.83</v>
      </c>
      <c r="K941" s="5">
        <f>nantucket[[#This Row],[MW Factor]]-resources!$B$14</f>
        <v>-25</v>
      </c>
    </row>
    <row r="942" spans="1:11" x14ac:dyDescent="0.3">
      <c r="A942" t="s">
        <v>47</v>
      </c>
      <c r="B942">
        <v>911</v>
      </c>
      <c r="C942">
        <v>23</v>
      </c>
      <c r="D942">
        <v>16255</v>
      </c>
      <c r="E942" t="s">
        <v>10</v>
      </c>
      <c r="F942">
        <v>32</v>
      </c>
      <c r="G942" s="2">
        <v>24.84</v>
      </c>
      <c r="H942" s="2">
        <v>0</v>
      </c>
      <c r="I942" s="2">
        <v>0.41</v>
      </c>
      <c r="J942" s="2">
        <v>25.25</v>
      </c>
      <c r="K942" s="5">
        <f>nantucket[[#This Row],[MW Factor]]-resources!$B$14</f>
        <v>-25</v>
      </c>
    </row>
    <row r="943" spans="1:11" x14ac:dyDescent="0.3">
      <c r="A943" t="s">
        <v>48</v>
      </c>
      <c r="B943">
        <v>925</v>
      </c>
      <c r="C943">
        <v>13</v>
      </c>
      <c r="D943">
        <v>16255</v>
      </c>
      <c r="E943" t="s">
        <v>10</v>
      </c>
      <c r="F943">
        <v>32</v>
      </c>
      <c r="G943" s="2">
        <v>45.29</v>
      </c>
      <c r="H943" s="2">
        <v>0</v>
      </c>
      <c r="I943" s="2">
        <v>0.7</v>
      </c>
      <c r="J943" s="2">
        <v>45.99</v>
      </c>
      <c r="K943" s="5">
        <f>nantucket[[#This Row],[MW Factor]]-resources!$B$14</f>
        <v>-25</v>
      </c>
    </row>
    <row r="944" spans="1:11" x14ac:dyDescent="0.3">
      <c r="A944" t="s">
        <v>48</v>
      </c>
      <c r="B944">
        <v>926</v>
      </c>
      <c r="C944">
        <v>14</v>
      </c>
      <c r="D944">
        <v>16255</v>
      </c>
      <c r="E944" t="s">
        <v>10</v>
      </c>
      <c r="F944">
        <v>32</v>
      </c>
      <c r="G944" s="2">
        <v>54.88</v>
      </c>
      <c r="H944" s="2">
        <v>0</v>
      </c>
      <c r="I944" s="2">
        <v>0.78</v>
      </c>
      <c r="J944" s="2">
        <v>55.66</v>
      </c>
      <c r="K944" s="5">
        <f>nantucket[[#This Row],[MW Factor]]-resources!$B$14</f>
        <v>-25</v>
      </c>
    </row>
    <row r="945" spans="1:11" x14ac:dyDescent="0.3">
      <c r="A945" t="s">
        <v>48</v>
      </c>
      <c r="B945">
        <v>928</v>
      </c>
      <c r="C945">
        <v>16</v>
      </c>
      <c r="D945">
        <v>16255</v>
      </c>
      <c r="E945" t="s">
        <v>10</v>
      </c>
      <c r="F945">
        <v>32</v>
      </c>
      <c r="G945" s="2">
        <v>41.62</v>
      </c>
      <c r="H945" s="2">
        <v>0</v>
      </c>
      <c r="I945" s="2">
        <v>0.69</v>
      </c>
      <c r="J945" s="2">
        <v>42.31</v>
      </c>
      <c r="K945" s="5">
        <f>nantucket[[#This Row],[MW Factor]]-resources!$B$14</f>
        <v>-25</v>
      </c>
    </row>
    <row r="946" spans="1:11" x14ac:dyDescent="0.3">
      <c r="A946" t="s">
        <v>48</v>
      </c>
      <c r="B946">
        <v>929</v>
      </c>
      <c r="C946">
        <v>17</v>
      </c>
      <c r="D946">
        <v>16255</v>
      </c>
      <c r="E946" t="s">
        <v>10</v>
      </c>
      <c r="F946">
        <v>32</v>
      </c>
      <c r="G946" s="2">
        <v>41.44</v>
      </c>
      <c r="H946" s="2">
        <v>0</v>
      </c>
      <c r="I946" s="2">
        <v>0.74</v>
      </c>
      <c r="J946" s="2">
        <v>42.18</v>
      </c>
      <c r="K946" s="5">
        <f>nantucket[[#This Row],[MW Factor]]-resources!$B$14</f>
        <v>-25</v>
      </c>
    </row>
    <row r="947" spans="1:11" x14ac:dyDescent="0.3">
      <c r="A947" t="s">
        <v>51</v>
      </c>
      <c r="B947">
        <v>985</v>
      </c>
      <c r="C947">
        <v>1</v>
      </c>
      <c r="D947">
        <v>16255</v>
      </c>
      <c r="E947" t="s">
        <v>10</v>
      </c>
      <c r="F947">
        <v>32</v>
      </c>
      <c r="G947" s="2">
        <v>37.29</v>
      </c>
      <c r="H947" s="2">
        <v>0</v>
      </c>
      <c r="I947" s="2">
        <v>1.08</v>
      </c>
      <c r="J947" s="2">
        <v>38.369999999999997</v>
      </c>
      <c r="K947" s="5">
        <f>nantucket[[#This Row],[MW Factor]]-resources!$B$14</f>
        <v>-25</v>
      </c>
    </row>
    <row r="948" spans="1:11" x14ac:dyDescent="0.3">
      <c r="A948" t="s">
        <v>53</v>
      </c>
      <c r="B948">
        <v>1056</v>
      </c>
      <c r="C948">
        <v>24</v>
      </c>
      <c r="D948">
        <v>16255</v>
      </c>
      <c r="E948" t="s">
        <v>10</v>
      </c>
      <c r="F948">
        <v>32</v>
      </c>
      <c r="G948" s="2">
        <v>42.1</v>
      </c>
      <c r="H948" s="2">
        <v>0</v>
      </c>
      <c r="I948" s="2">
        <v>0.75</v>
      </c>
      <c r="J948" s="2">
        <v>42.85</v>
      </c>
      <c r="K948" s="5">
        <f>nantucket[[#This Row],[MW Factor]]-resources!$B$14</f>
        <v>-25</v>
      </c>
    </row>
    <row r="949" spans="1:11" x14ac:dyDescent="0.3">
      <c r="A949" t="s">
        <v>55</v>
      </c>
      <c r="B949">
        <v>1104</v>
      </c>
      <c r="C949">
        <v>24</v>
      </c>
      <c r="D949">
        <v>16255</v>
      </c>
      <c r="E949" t="s">
        <v>10</v>
      </c>
      <c r="F949">
        <v>32</v>
      </c>
      <c r="G949" s="2">
        <v>29.07</v>
      </c>
      <c r="H949" s="2">
        <v>0</v>
      </c>
      <c r="I949" s="2">
        <v>0.19</v>
      </c>
      <c r="J949" s="2">
        <v>29.26</v>
      </c>
      <c r="K949" s="5">
        <f>nantucket[[#This Row],[MW Factor]]-resources!$B$14</f>
        <v>-25</v>
      </c>
    </row>
    <row r="950" spans="1:11" x14ac:dyDescent="0.3">
      <c r="A950" t="s">
        <v>56</v>
      </c>
      <c r="B950">
        <v>1114</v>
      </c>
      <c r="C950">
        <v>10</v>
      </c>
      <c r="D950">
        <v>16255</v>
      </c>
      <c r="E950" t="s">
        <v>10</v>
      </c>
      <c r="F950">
        <v>32</v>
      </c>
      <c r="G950" s="2">
        <v>45.98</v>
      </c>
      <c r="H950" s="2">
        <v>0</v>
      </c>
      <c r="I950" s="2">
        <v>0.63</v>
      </c>
      <c r="J950" s="2">
        <v>46.61</v>
      </c>
      <c r="K950" s="5">
        <f>nantucket[[#This Row],[MW Factor]]-resources!$B$14</f>
        <v>-25</v>
      </c>
    </row>
    <row r="951" spans="1:11" x14ac:dyDescent="0.3">
      <c r="A951" t="s">
        <v>58</v>
      </c>
      <c r="B951">
        <v>1163</v>
      </c>
      <c r="C951">
        <v>11</v>
      </c>
      <c r="D951">
        <v>16255</v>
      </c>
      <c r="E951" t="s">
        <v>10</v>
      </c>
      <c r="F951">
        <v>32</v>
      </c>
      <c r="G951" s="2">
        <v>34.61</v>
      </c>
      <c r="H951" s="2">
        <v>0</v>
      </c>
      <c r="I951" s="2">
        <v>0.56000000000000005</v>
      </c>
      <c r="J951" s="2">
        <v>35.17</v>
      </c>
      <c r="K951" s="5">
        <f>nantucket[[#This Row],[MW Factor]]-resources!$B$14</f>
        <v>-25</v>
      </c>
    </row>
    <row r="952" spans="1:11" x14ac:dyDescent="0.3">
      <c r="A952" t="s">
        <v>60</v>
      </c>
      <c r="B952">
        <v>1210</v>
      </c>
      <c r="C952">
        <v>10</v>
      </c>
      <c r="D952">
        <v>16255</v>
      </c>
      <c r="E952" t="s">
        <v>10</v>
      </c>
      <c r="F952">
        <v>32</v>
      </c>
      <c r="G952" s="2">
        <v>21.99</v>
      </c>
      <c r="H952" s="2">
        <v>0</v>
      </c>
      <c r="I952" s="2">
        <v>0.4</v>
      </c>
      <c r="J952" s="2">
        <v>22.39</v>
      </c>
      <c r="K952" s="5">
        <f>nantucket[[#This Row],[MW Factor]]-resources!$B$14</f>
        <v>-25</v>
      </c>
    </row>
    <row r="953" spans="1:11" x14ac:dyDescent="0.3">
      <c r="A953" t="s">
        <v>60</v>
      </c>
      <c r="B953">
        <v>1223</v>
      </c>
      <c r="C953">
        <v>23</v>
      </c>
      <c r="D953">
        <v>16255</v>
      </c>
      <c r="E953" t="s">
        <v>10</v>
      </c>
      <c r="F953">
        <v>32</v>
      </c>
      <c r="G953" s="2">
        <v>22.17</v>
      </c>
      <c r="H953" s="2">
        <v>0</v>
      </c>
      <c r="I953" s="2">
        <v>0.5</v>
      </c>
      <c r="J953" s="2">
        <v>22.67</v>
      </c>
      <c r="K953" s="5">
        <f>nantucket[[#This Row],[MW Factor]]-resources!$B$14</f>
        <v>-25</v>
      </c>
    </row>
    <row r="954" spans="1:11" x14ac:dyDescent="0.3">
      <c r="A954" t="s">
        <v>61</v>
      </c>
      <c r="B954">
        <v>1241</v>
      </c>
      <c r="C954">
        <v>17</v>
      </c>
      <c r="D954">
        <v>16255</v>
      </c>
      <c r="E954" t="s">
        <v>10</v>
      </c>
      <c r="F954">
        <v>32</v>
      </c>
      <c r="G954" s="2">
        <v>28.22</v>
      </c>
      <c r="H954" s="2">
        <v>0</v>
      </c>
      <c r="I954" s="2">
        <v>0.57999999999999996</v>
      </c>
      <c r="J954" s="2">
        <v>28.8</v>
      </c>
      <c r="K954" s="5">
        <f>nantucket[[#This Row],[MW Factor]]-resources!$B$14</f>
        <v>-25</v>
      </c>
    </row>
    <row r="955" spans="1:11" x14ac:dyDescent="0.3">
      <c r="A955" t="s">
        <v>62</v>
      </c>
      <c r="B955">
        <v>1265</v>
      </c>
      <c r="C955">
        <v>17</v>
      </c>
      <c r="D955">
        <v>16255</v>
      </c>
      <c r="E955" t="s">
        <v>10</v>
      </c>
      <c r="F955">
        <v>32</v>
      </c>
      <c r="G955" s="2">
        <v>30.88</v>
      </c>
      <c r="H955" s="2">
        <v>0</v>
      </c>
      <c r="I955" s="2">
        <v>0.54</v>
      </c>
      <c r="J955" s="2">
        <v>31.42</v>
      </c>
      <c r="K955" s="5">
        <f>nantucket[[#This Row],[MW Factor]]-resources!$B$14</f>
        <v>-25</v>
      </c>
    </row>
    <row r="956" spans="1:11" x14ac:dyDescent="0.3">
      <c r="A956" t="s">
        <v>63</v>
      </c>
      <c r="B956">
        <v>1283</v>
      </c>
      <c r="C956">
        <v>11</v>
      </c>
      <c r="D956">
        <v>16255</v>
      </c>
      <c r="E956" t="s">
        <v>10</v>
      </c>
      <c r="F956">
        <v>32</v>
      </c>
      <c r="G956" s="2">
        <v>22.53</v>
      </c>
      <c r="H956" s="2">
        <v>0</v>
      </c>
      <c r="I956" s="2">
        <v>0.4</v>
      </c>
      <c r="J956" s="2">
        <v>22.93</v>
      </c>
      <c r="K956" s="5">
        <f>nantucket[[#This Row],[MW Factor]]-resources!$B$14</f>
        <v>-25</v>
      </c>
    </row>
    <row r="957" spans="1:11" x14ac:dyDescent="0.3">
      <c r="A957" t="s">
        <v>64</v>
      </c>
      <c r="B957">
        <v>1306</v>
      </c>
      <c r="C957">
        <v>10</v>
      </c>
      <c r="D957">
        <v>16255</v>
      </c>
      <c r="E957" t="s">
        <v>10</v>
      </c>
      <c r="F957">
        <v>32</v>
      </c>
      <c r="G957" s="2">
        <v>20.79</v>
      </c>
      <c r="H957" s="2">
        <v>0</v>
      </c>
      <c r="I957" s="2">
        <v>0.41</v>
      </c>
      <c r="J957" s="2">
        <v>21.2</v>
      </c>
      <c r="K957" s="5">
        <f>nantucket[[#This Row],[MW Factor]]-resources!$B$14</f>
        <v>-25</v>
      </c>
    </row>
    <row r="958" spans="1:11" x14ac:dyDescent="0.3">
      <c r="A958" t="s">
        <v>65</v>
      </c>
      <c r="B958">
        <v>1330</v>
      </c>
      <c r="C958">
        <v>10</v>
      </c>
      <c r="D958">
        <v>16255</v>
      </c>
      <c r="E958" t="s">
        <v>10</v>
      </c>
      <c r="F958">
        <v>32</v>
      </c>
      <c r="G958" s="2">
        <v>22.56</v>
      </c>
      <c r="H958" s="2">
        <v>0</v>
      </c>
      <c r="I958" s="2">
        <v>0.31</v>
      </c>
      <c r="J958" s="2">
        <v>22.87</v>
      </c>
      <c r="K958" s="5">
        <f>nantucket[[#This Row],[MW Factor]]-resources!$B$14</f>
        <v>-25</v>
      </c>
    </row>
    <row r="959" spans="1:11" x14ac:dyDescent="0.3">
      <c r="A959" t="s">
        <v>66</v>
      </c>
      <c r="B959">
        <v>1354</v>
      </c>
      <c r="C959">
        <v>10</v>
      </c>
      <c r="D959">
        <v>16255</v>
      </c>
      <c r="E959" t="s">
        <v>10</v>
      </c>
      <c r="F959">
        <v>32</v>
      </c>
      <c r="G959" s="2">
        <v>25.63</v>
      </c>
      <c r="H959" s="2">
        <v>0</v>
      </c>
      <c r="I959" s="2">
        <v>7.0000000000000007E-2</v>
      </c>
      <c r="J959" s="2">
        <v>25.7</v>
      </c>
      <c r="K959" s="5">
        <f>nantucket[[#This Row],[MW Factor]]-resources!$B$14</f>
        <v>-25</v>
      </c>
    </row>
    <row r="960" spans="1:11" x14ac:dyDescent="0.3">
      <c r="A960" t="s">
        <v>66</v>
      </c>
      <c r="B960">
        <v>1366</v>
      </c>
      <c r="C960">
        <v>22</v>
      </c>
      <c r="D960">
        <v>16255</v>
      </c>
      <c r="E960" t="s">
        <v>10</v>
      </c>
      <c r="F960">
        <v>32</v>
      </c>
      <c r="G960" s="2">
        <v>32.99</v>
      </c>
      <c r="H960" s="2">
        <v>0</v>
      </c>
      <c r="I960" s="2">
        <v>-0.03</v>
      </c>
      <c r="J960" s="2">
        <v>32.96</v>
      </c>
      <c r="K960" s="5">
        <f>nantucket[[#This Row],[MW Factor]]-resources!$B$14</f>
        <v>-25</v>
      </c>
    </row>
    <row r="961" spans="1:11" x14ac:dyDescent="0.3">
      <c r="A961" t="s">
        <v>69</v>
      </c>
      <c r="B961">
        <v>1417</v>
      </c>
      <c r="C961">
        <v>1</v>
      </c>
      <c r="D961">
        <v>16255</v>
      </c>
      <c r="E961" t="s">
        <v>10</v>
      </c>
      <c r="F961">
        <v>32</v>
      </c>
      <c r="G961" s="2">
        <v>52.83</v>
      </c>
      <c r="H961" s="2">
        <v>0.16</v>
      </c>
      <c r="I961" s="2">
        <v>1.07</v>
      </c>
      <c r="J961" s="2">
        <v>54.06</v>
      </c>
      <c r="K961" s="5">
        <f>nantucket[[#This Row],[MW Factor]]-resources!$B$14</f>
        <v>-25</v>
      </c>
    </row>
    <row r="962" spans="1:11" x14ac:dyDescent="0.3">
      <c r="A962" t="s">
        <v>69</v>
      </c>
      <c r="B962">
        <v>1433</v>
      </c>
      <c r="C962">
        <v>17</v>
      </c>
      <c r="D962">
        <v>16255</v>
      </c>
      <c r="E962" t="s">
        <v>10</v>
      </c>
      <c r="F962">
        <v>32</v>
      </c>
      <c r="G962" s="2">
        <v>41.24</v>
      </c>
      <c r="H962" s="2">
        <v>0</v>
      </c>
      <c r="I962" s="2">
        <v>0.74</v>
      </c>
      <c r="J962" s="2">
        <v>41.98</v>
      </c>
      <c r="K962" s="5">
        <f>nantucket[[#This Row],[MW Factor]]-resources!$B$14</f>
        <v>-25</v>
      </c>
    </row>
    <row r="963" spans="1:11" x14ac:dyDescent="0.3">
      <c r="A963" t="s">
        <v>69</v>
      </c>
      <c r="B963">
        <v>1438</v>
      </c>
      <c r="C963">
        <v>22</v>
      </c>
      <c r="D963">
        <v>16255</v>
      </c>
      <c r="E963" t="s">
        <v>10</v>
      </c>
      <c r="F963">
        <v>32</v>
      </c>
      <c r="G963" s="2">
        <v>55.86</v>
      </c>
      <c r="H963" s="2">
        <v>0.39</v>
      </c>
      <c r="I963" s="2">
        <v>1.32</v>
      </c>
      <c r="J963" s="2">
        <v>57.57</v>
      </c>
      <c r="K963" s="5">
        <f>nantucket[[#This Row],[MW Factor]]-resources!$B$14</f>
        <v>-25</v>
      </c>
    </row>
    <row r="964" spans="1:11" x14ac:dyDescent="0.3">
      <c r="A964" t="s">
        <v>70</v>
      </c>
      <c r="B964">
        <v>1457</v>
      </c>
      <c r="C964">
        <v>17</v>
      </c>
      <c r="D964">
        <v>16255</v>
      </c>
      <c r="E964" t="s">
        <v>10</v>
      </c>
      <c r="F964">
        <v>32</v>
      </c>
      <c r="G964" s="2">
        <v>38.950000000000003</v>
      </c>
      <c r="H964" s="2">
        <v>0.19</v>
      </c>
      <c r="I964" s="2">
        <v>0.78</v>
      </c>
      <c r="J964" s="2">
        <v>39.92</v>
      </c>
      <c r="K964" s="5">
        <f>nantucket[[#This Row],[MW Factor]]-resources!$B$14</f>
        <v>-25</v>
      </c>
    </row>
    <row r="965" spans="1:11" x14ac:dyDescent="0.3">
      <c r="A965" t="s">
        <v>70</v>
      </c>
      <c r="B965">
        <v>1462</v>
      </c>
      <c r="C965">
        <v>22</v>
      </c>
      <c r="D965">
        <v>16255</v>
      </c>
      <c r="E965" t="s">
        <v>10</v>
      </c>
      <c r="F965">
        <v>32</v>
      </c>
      <c r="G965" s="2">
        <v>29.07</v>
      </c>
      <c r="H965" s="2">
        <v>0.01</v>
      </c>
      <c r="I965" s="2">
        <v>0.84</v>
      </c>
      <c r="J965" s="2">
        <v>29.92</v>
      </c>
      <c r="K965" s="5">
        <f>nantucket[[#This Row],[MW Factor]]-resources!$B$14</f>
        <v>-25</v>
      </c>
    </row>
    <row r="966" spans="1:11" x14ac:dyDescent="0.3">
      <c r="A966" t="s">
        <v>71</v>
      </c>
      <c r="B966">
        <v>1476</v>
      </c>
      <c r="C966">
        <v>12</v>
      </c>
      <c r="D966">
        <v>16255</v>
      </c>
      <c r="E966" t="s">
        <v>10</v>
      </c>
      <c r="F966">
        <v>32</v>
      </c>
      <c r="G966" s="2">
        <v>20.73</v>
      </c>
      <c r="H966" s="2">
        <v>0</v>
      </c>
      <c r="I966" s="2">
        <v>0.28000000000000003</v>
      </c>
      <c r="J966" s="2">
        <v>21.01</v>
      </c>
      <c r="K966" s="5">
        <f>nantucket[[#This Row],[MW Factor]]-resources!$B$14</f>
        <v>-25</v>
      </c>
    </row>
    <row r="967" spans="1:11" x14ac:dyDescent="0.3">
      <c r="A967" t="s">
        <v>71</v>
      </c>
      <c r="B967">
        <v>1488</v>
      </c>
      <c r="C967">
        <v>24</v>
      </c>
      <c r="D967">
        <v>16255</v>
      </c>
      <c r="E967" t="s">
        <v>10</v>
      </c>
      <c r="F967">
        <v>32</v>
      </c>
      <c r="G967" s="2">
        <v>24.78</v>
      </c>
      <c r="H967" s="2">
        <v>0</v>
      </c>
      <c r="I967" s="2">
        <v>0.53</v>
      </c>
      <c r="J967" s="2">
        <v>25.31</v>
      </c>
      <c r="K967" s="5">
        <f>nantucket[[#This Row],[MW Factor]]-resources!$B$14</f>
        <v>-25</v>
      </c>
    </row>
    <row r="968" spans="1:11" x14ac:dyDescent="0.3">
      <c r="A968" t="s">
        <v>9</v>
      </c>
      <c r="B968">
        <v>15</v>
      </c>
      <c r="C968">
        <v>15</v>
      </c>
      <c r="D968">
        <v>16255</v>
      </c>
      <c r="E968" t="s">
        <v>10</v>
      </c>
      <c r="F968">
        <v>31</v>
      </c>
      <c r="G968" s="2">
        <v>29.51</v>
      </c>
      <c r="H968" s="2">
        <v>0</v>
      </c>
      <c r="I968" s="2">
        <v>0.35</v>
      </c>
      <c r="J968" s="2">
        <v>29.86</v>
      </c>
      <c r="K968" s="5">
        <f>nantucket[[#This Row],[MW Factor]]-resources!$B$14</f>
        <v>-26</v>
      </c>
    </row>
    <row r="969" spans="1:11" x14ac:dyDescent="0.3">
      <c r="A969" t="s">
        <v>9</v>
      </c>
      <c r="B969">
        <v>16</v>
      </c>
      <c r="C969">
        <v>16</v>
      </c>
      <c r="D969">
        <v>16255</v>
      </c>
      <c r="E969" t="s">
        <v>10</v>
      </c>
      <c r="F969">
        <v>31</v>
      </c>
      <c r="G969" s="2">
        <v>23.36</v>
      </c>
      <c r="H969" s="2">
        <v>0</v>
      </c>
      <c r="I969" s="2">
        <v>0.32</v>
      </c>
      <c r="J969" s="2">
        <v>23.68</v>
      </c>
      <c r="K969" s="5">
        <f>nantucket[[#This Row],[MW Factor]]-resources!$B$14</f>
        <v>-26</v>
      </c>
    </row>
    <row r="970" spans="1:11" x14ac:dyDescent="0.3">
      <c r="A970" t="s">
        <v>11</v>
      </c>
      <c r="B970">
        <v>34</v>
      </c>
      <c r="C970">
        <v>10</v>
      </c>
      <c r="D970">
        <v>16255</v>
      </c>
      <c r="E970" t="s">
        <v>10</v>
      </c>
      <c r="F970">
        <v>31</v>
      </c>
      <c r="G970" s="2">
        <v>22.26</v>
      </c>
      <c r="H970" s="2">
        <v>0</v>
      </c>
      <c r="I970" s="2">
        <v>0.28000000000000003</v>
      </c>
      <c r="J970" s="2">
        <v>22.54</v>
      </c>
      <c r="K970" s="5">
        <f>nantucket[[#This Row],[MW Factor]]-resources!$B$14</f>
        <v>-26</v>
      </c>
    </row>
    <row r="971" spans="1:11" x14ac:dyDescent="0.3">
      <c r="A971" t="s">
        <v>11</v>
      </c>
      <c r="B971">
        <v>35</v>
      </c>
      <c r="C971">
        <v>11</v>
      </c>
      <c r="D971">
        <v>16255</v>
      </c>
      <c r="E971" t="s">
        <v>10</v>
      </c>
      <c r="F971">
        <v>31</v>
      </c>
      <c r="G971" s="2">
        <v>22.67</v>
      </c>
      <c r="H971" s="2">
        <v>0</v>
      </c>
      <c r="I971" s="2">
        <v>0.24</v>
      </c>
      <c r="J971" s="2">
        <v>22.91</v>
      </c>
      <c r="K971" s="5">
        <f>nantucket[[#This Row],[MW Factor]]-resources!$B$14</f>
        <v>-26</v>
      </c>
    </row>
    <row r="972" spans="1:11" x14ac:dyDescent="0.3">
      <c r="A972" t="s">
        <v>16</v>
      </c>
      <c r="B972">
        <v>153</v>
      </c>
      <c r="C972">
        <v>9</v>
      </c>
      <c r="D972">
        <v>16255</v>
      </c>
      <c r="E972" t="s">
        <v>10</v>
      </c>
      <c r="F972">
        <v>31</v>
      </c>
      <c r="G972" s="2">
        <v>24.41</v>
      </c>
      <c r="H972" s="2">
        <v>0</v>
      </c>
      <c r="I972" s="2">
        <v>0.36</v>
      </c>
      <c r="J972" s="2">
        <v>24.77</v>
      </c>
      <c r="K972" s="5">
        <f>nantucket[[#This Row],[MW Factor]]-resources!$B$14</f>
        <v>-26</v>
      </c>
    </row>
    <row r="973" spans="1:11" x14ac:dyDescent="0.3">
      <c r="A973" t="s">
        <v>17</v>
      </c>
      <c r="B973">
        <v>169</v>
      </c>
      <c r="C973">
        <v>1</v>
      </c>
      <c r="D973">
        <v>16255</v>
      </c>
      <c r="E973" t="s">
        <v>10</v>
      </c>
      <c r="F973">
        <v>31</v>
      </c>
      <c r="G973" s="2">
        <v>33.9</v>
      </c>
      <c r="H973" s="2">
        <v>0</v>
      </c>
      <c r="I973" s="2">
        <v>0.48</v>
      </c>
      <c r="J973" s="2">
        <v>34.380000000000003</v>
      </c>
      <c r="K973" s="5">
        <f>nantucket[[#This Row],[MW Factor]]-resources!$B$14</f>
        <v>-26</v>
      </c>
    </row>
    <row r="974" spans="1:11" x14ac:dyDescent="0.3">
      <c r="A974" t="s">
        <v>18</v>
      </c>
      <c r="B974">
        <v>194</v>
      </c>
      <c r="C974">
        <v>2</v>
      </c>
      <c r="D974">
        <v>16255</v>
      </c>
      <c r="E974" t="s">
        <v>10</v>
      </c>
      <c r="F974">
        <v>31</v>
      </c>
      <c r="G974" s="2">
        <v>47.46</v>
      </c>
      <c r="H974" s="2">
        <v>0</v>
      </c>
      <c r="I974" s="2">
        <v>0.4</v>
      </c>
      <c r="J974" s="2">
        <v>47.86</v>
      </c>
      <c r="K974" s="5">
        <f>nantucket[[#This Row],[MW Factor]]-resources!$B$14</f>
        <v>-26</v>
      </c>
    </row>
    <row r="975" spans="1:11" x14ac:dyDescent="0.3">
      <c r="A975" t="s">
        <v>19</v>
      </c>
      <c r="B975">
        <v>218</v>
      </c>
      <c r="C975">
        <v>2</v>
      </c>
      <c r="D975">
        <v>16255</v>
      </c>
      <c r="E975" t="s">
        <v>10</v>
      </c>
      <c r="F975">
        <v>31</v>
      </c>
      <c r="G975" s="2">
        <v>39.29</v>
      </c>
      <c r="H975" s="2">
        <v>0.38</v>
      </c>
      <c r="I975" s="2">
        <v>0.3</v>
      </c>
      <c r="J975" s="2">
        <v>39.97</v>
      </c>
      <c r="K975" s="5">
        <f>nantucket[[#This Row],[MW Factor]]-resources!$B$14</f>
        <v>-26</v>
      </c>
    </row>
    <row r="976" spans="1:11" x14ac:dyDescent="0.3">
      <c r="A976" t="s">
        <v>20</v>
      </c>
      <c r="B976">
        <v>242</v>
      </c>
      <c r="C976">
        <v>2</v>
      </c>
      <c r="D976">
        <v>16255</v>
      </c>
      <c r="E976" t="s">
        <v>10</v>
      </c>
      <c r="F976">
        <v>31</v>
      </c>
      <c r="G976" s="2">
        <v>80.819999999999993</v>
      </c>
      <c r="H976" s="2">
        <v>0.01</v>
      </c>
      <c r="I976" s="2">
        <v>0.21</v>
      </c>
      <c r="J976" s="2">
        <v>81.040000000000006</v>
      </c>
      <c r="K976" s="5">
        <f>nantucket[[#This Row],[MW Factor]]-resources!$B$14</f>
        <v>-26</v>
      </c>
    </row>
    <row r="977" spans="1:11" x14ac:dyDescent="0.3">
      <c r="A977" t="s">
        <v>21</v>
      </c>
      <c r="B977">
        <v>268</v>
      </c>
      <c r="C977">
        <v>4</v>
      </c>
      <c r="D977">
        <v>16255</v>
      </c>
      <c r="E977" t="s">
        <v>10</v>
      </c>
      <c r="F977">
        <v>31</v>
      </c>
      <c r="G977" s="2">
        <v>34.17</v>
      </c>
      <c r="H977" s="2">
        <v>0</v>
      </c>
      <c r="I977" s="2">
        <v>0.23</v>
      </c>
      <c r="J977" s="2">
        <v>34.4</v>
      </c>
      <c r="K977" s="5">
        <f>nantucket[[#This Row],[MW Factor]]-resources!$B$14</f>
        <v>-26</v>
      </c>
    </row>
    <row r="978" spans="1:11" x14ac:dyDescent="0.3">
      <c r="A978" t="s">
        <v>21</v>
      </c>
      <c r="B978">
        <v>269</v>
      </c>
      <c r="C978">
        <v>5</v>
      </c>
      <c r="D978">
        <v>16255</v>
      </c>
      <c r="E978" t="s">
        <v>10</v>
      </c>
      <c r="F978">
        <v>31</v>
      </c>
      <c r="G978" s="2">
        <v>33.53</v>
      </c>
      <c r="H978" s="2">
        <v>0</v>
      </c>
      <c r="I978" s="2">
        <v>0.23</v>
      </c>
      <c r="J978" s="2">
        <v>33.76</v>
      </c>
      <c r="K978" s="5">
        <f>nantucket[[#This Row],[MW Factor]]-resources!$B$14</f>
        <v>-26</v>
      </c>
    </row>
    <row r="979" spans="1:11" x14ac:dyDescent="0.3">
      <c r="A979" t="s">
        <v>22</v>
      </c>
      <c r="B979">
        <v>292</v>
      </c>
      <c r="C979">
        <v>4</v>
      </c>
      <c r="D979">
        <v>16255</v>
      </c>
      <c r="E979" t="s">
        <v>10</v>
      </c>
      <c r="F979">
        <v>31</v>
      </c>
      <c r="G979" s="2">
        <v>26.48</v>
      </c>
      <c r="H979" s="2">
        <v>0</v>
      </c>
      <c r="I979" s="2">
        <v>0.26</v>
      </c>
      <c r="J979" s="2">
        <v>26.74</v>
      </c>
      <c r="K979" s="5">
        <f>nantucket[[#This Row],[MW Factor]]-resources!$B$14</f>
        <v>-26</v>
      </c>
    </row>
    <row r="980" spans="1:11" x14ac:dyDescent="0.3">
      <c r="A980" t="s">
        <v>22</v>
      </c>
      <c r="B980">
        <v>293</v>
      </c>
      <c r="C980">
        <v>5</v>
      </c>
      <c r="D980">
        <v>16255</v>
      </c>
      <c r="E980" t="s">
        <v>10</v>
      </c>
      <c r="F980">
        <v>31</v>
      </c>
      <c r="G980" s="2">
        <v>30.05</v>
      </c>
      <c r="H980" s="2">
        <v>0</v>
      </c>
      <c r="I980" s="2">
        <v>0.28000000000000003</v>
      </c>
      <c r="J980" s="2">
        <v>30.33</v>
      </c>
      <c r="K980" s="5">
        <f>nantucket[[#This Row],[MW Factor]]-resources!$B$14</f>
        <v>-26</v>
      </c>
    </row>
    <row r="981" spans="1:11" x14ac:dyDescent="0.3">
      <c r="A981" t="s">
        <v>23</v>
      </c>
      <c r="B981">
        <v>314</v>
      </c>
      <c r="C981">
        <v>2</v>
      </c>
      <c r="D981">
        <v>16255</v>
      </c>
      <c r="E981" t="s">
        <v>10</v>
      </c>
      <c r="F981">
        <v>31</v>
      </c>
      <c r="G981" s="2">
        <v>30.19</v>
      </c>
      <c r="H981" s="2">
        <v>0</v>
      </c>
      <c r="I981" s="2">
        <v>0.5</v>
      </c>
      <c r="J981" s="2">
        <v>30.69</v>
      </c>
      <c r="K981" s="5">
        <f>nantucket[[#This Row],[MW Factor]]-resources!$B$14</f>
        <v>-26</v>
      </c>
    </row>
    <row r="982" spans="1:11" x14ac:dyDescent="0.3">
      <c r="A982" t="s">
        <v>23</v>
      </c>
      <c r="B982">
        <v>321</v>
      </c>
      <c r="C982">
        <v>9</v>
      </c>
      <c r="D982">
        <v>16255</v>
      </c>
      <c r="E982" t="s">
        <v>10</v>
      </c>
      <c r="F982">
        <v>31</v>
      </c>
      <c r="G982" s="2">
        <v>21.23</v>
      </c>
      <c r="H982" s="2">
        <v>0</v>
      </c>
      <c r="I982" s="2">
        <v>0.33</v>
      </c>
      <c r="J982" s="2">
        <v>21.56</v>
      </c>
      <c r="K982" s="5">
        <f>nantucket[[#This Row],[MW Factor]]-resources!$B$14</f>
        <v>-26</v>
      </c>
    </row>
    <row r="983" spans="1:11" x14ac:dyDescent="0.3">
      <c r="A983" t="s">
        <v>25</v>
      </c>
      <c r="B983">
        <v>366</v>
      </c>
      <c r="C983">
        <v>6</v>
      </c>
      <c r="D983">
        <v>16255</v>
      </c>
      <c r="E983" t="s">
        <v>10</v>
      </c>
      <c r="F983">
        <v>31</v>
      </c>
      <c r="G983" s="2">
        <v>43.76</v>
      </c>
      <c r="H983" s="2">
        <v>0</v>
      </c>
      <c r="I983" s="2">
        <v>0.32</v>
      </c>
      <c r="J983" s="2">
        <v>44.08</v>
      </c>
      <c r="K983" s="5">
        <f>nantucket[[#This Row],[MW Factor]]-resources!$B$14</f>
        <v>-26</v>
      </c>
    </row>
    <row r="984" spans="1:11" x14ac:dyDescent="0.3">
      <c r="A984" t="s">
        <v>27</v>
      </c>
      <c r="B984">
        <v>414</v>
      </c>
      <c r="C984">
        <v>6</v>
      </c>
      <c r="D984">
        <v>16255</v>
      </c>
      <c r="E984" t="s">
        <v>10</v>
      </c>
      <c r="F984">
        <v>31</v>
      </c>
      <c r="G984" s="2">
        <v>66.88</v>
      </c>
      <c r="H984" s="2">
        <v>0.38</v>
      </c>
      <c r="I984" s="2">
        <v>0.7</v>
      </c>
      <c r="J984" s="2">
        <v>67.959999999999994</v>
      </c>
      <c r="K984" s="5">
        <f>nantucket[[#This Row],[MW Factor]]-resources!$B$14</f>
        <v>-26</v>
      </c>
    </row>
    <row r="985" spans="1:11" x14ac:dyDescent="0.3">
      <c r="A985" t="s">
        <v>27</v>
      </c>
      <c r="B985">
        <v>415</v>
      </c>
      <c r="C985">
        <v>7</v>
      </c>
      <c r="D985">
        <v>16255</v>
      </c>
      <c r="E985" t="s">
        <v>10</v>
      </c>
      <c r="F985">
        <v>31</v>
      </c>
      <c r="G985" s="2">
        <v>47.19</v>
      </c>
      <c r="H985" s="2">
        <v>0.04</v>
      </c>
      <c r="I985" s="2">
        <v>0.5</v>
      </c>
      <c r="J985" s="2">
        <v>47.73</v>
      </c>
      <c r="K985" s="5">
        <f>nantucket[[#This Row],[MW Factor]]-resources!$B$14</f>
        <v>-26</v>
      </c>
    </row>
    <row r="986" spans="1:11" x14ac:dyDescent="0.3">
      <c r="A986" t="s">
        <v>28</v>
      </c>
      <c r="B986">
        <v>440</v>
      </c>
      <c r="C986">
        <v>8</v>
      </c>
      <c r="D986">
        <v>16255</v>
      </c>
      <c r="E986" t="s">
        <v>10</v>
      </c>
      <c r="F986">
        <v>31</v>
      </c>
      <c r="G986" s="2">
        <v>22.68</v>
      </c>
      <c r="H986" s="2">
        <v>0</v>
      </c>
      <c r="I986" s="2">
        <v>0.39</v>
      </c>
      <c r="J986" s="2">
        <v>23.07</v>
      </c>
      <c r="K986" s="5">
        <f>nantucket[[#This Row],[MW Factor]]-resources!$B$14</f>
        <v>-26</v>
      </c>
    </row>
    <row r="987" spans="1:11" x14ac:dyDescent="0.3">
      <c r="A987" t="s">
        <v>30</v>
      </c>
      <c r="B987">
        <v>482</v>
      </c>
      <c r="C987">
        <v>2</v>
      </c>
      <c r="D987">
        <v>16255</v>
      </c>
      <c r="E987" t="s">
        <v>10</v>
      </c>
      <c r="F987">
        <v>31</v>
      </c>
      <c r="G987" s="2">
        <v>26.6</v>
      </c>
      <c r="H987" s="2">
        <v>0</v>
      </c>
      <c r="I987" s="2">
        <v>0.56000000000000005</v>
      </c>
      <c r="J987" s="2">
        <v>27.16</v>
      </c>
      <c r="K987" s="5">
        <f>nantucket[[#This Row],[MW Factor]]-resources!$B$14</f>
        <v>-26</v>
      </c>
    </row>
    <row r="988" spans="1:11" x14ac:dyDescent="0.3">
      <c r="A988" t="s">
        <v>31</v>
      </c>
      <c r="B988">
        <v>506</v>
      </c>
      <c r="C988">
        <v>2</v>
      </c>
      <c r="D988">
        <v>16255</v>
      </c>
      <c r="E988" t="s">
        <v>10</v>
      </c>
      <c r="F988">
        <v>31</v>
      </c>
      <c r="G988" s="2">
        <v>26.69</v>
      </c>
      <c r="H988" s="2">
        <v>0</v>
      </c>
      <c r="I988" s="2">
        <v>0.32</v>
      </c>
      <c r="J988" s="2">
        <v>27.01</v>
      </c>
      <c r="K988" s="5">
        <f>nantucket[[#This Row],[MW Factor]]-resources!$B$14</f>
        <v>-26</v>
      </c>
    </row>
    <row r="989" spans="1:11" x14ac:dyDescent="0.3">
      <c r="A989" t="s">
        <v>31</v>
      </c>
      <c r="B989">
        <v>513</v>
      </c>
      <c r="C989">
        <v>9</v>
      </c>
      <c r="D989">
        <v>16255</v>
      </c>
      <c r="E989" t="s">
        <v>10</v>
      </c>
      <c r="F989">
        <v>31</v>
      </c>
      <c r="G989" s="2">
        <v>32.340000000000003</v>
      </c>
      <c r="H989" s="2">
        <v>0</v>
      </c>
      <c r="I989" s="2">
        <v>0.31</v>
      </c>
      <c r="J989" s="2">
        <v>32.65</v>
      </c>
      <c r="K989" s="5">
        <f>nantucket[[#This Row],[MW Factor]]-resources!$B$14</f>
        <v>-26</v>
      </c>
    </row>
    <row r="990" spans="1:11" x14ac:dyDescent="0.3">
      <c r="A990" t="s">
        <v>32</v>
      </c>
      <c r="B990">
        <v>530</v>
      </c>
      <c r="C990">
        <v>2</v>
      </c>
      <c r="D990">
        <v>16255</v>
      </c>
      <c r="E990" t="s">
        <v>10</v>
      </c>
      <c r="F990">
        <v>31</v>
      </c>
      <c r="G990" s="2">
        <v>33.450000000000003</v>
      </c>
      <c r="H990" s="2">
        <v>0</v>
      </c>
      <c r="I990" s="2">
        <v>0.41</v>
      </c>
      <c r="J990" s="2">
        <v>33.86</v>
      </c>
      <c r="K990" s="5">
        <f>nantucket[[#This Row],[MW Factor]]-resources!$B$14</f>
        <v>-26</v>
      </c>
    </row>
    <row r="991" spans="1:11" x14ac:dyDescent="0.3">
      <c r="A991" t="s">
        <v>32</v>
      </c>
      <c r="B991">
        <v>537</v>
      </c>
      <c r="C991">
        <v>9</v>
      </c>
      <c r="D991">
        <v>16255</v>
      </c>
      <c r="E991" t="s">
        <v>10</v>
      </c>
      <c r="F991">
        <v>31</v>
      </c>
      <c r="G991" s="2">
        <v>33.520000000000003</v>
      </c>
      <c r="H991" s="2">
        <v>0</v>
      </c>
      <c r="I991" s="2">
        <v>0.34</v>
      </c>
      <c r="J991" s="2">
        <v>33.86</v>
      </c>
      <c r="K991" s="5">
        <f>nantucket[[#This Row],[MW Factor]]-resources!$B$14</f>
        <v>-26</v>
      </c>
    </row>
    <row r="992" spans="1:11" x14ac:dyDescent="0.3">
      <c r="A992" t="s">
        <v>32</v>
      </c>
      <c r="B992">
        <v>552</v>
      </c>
      <c r="C992">
        <v>24</v>
      </c>
      <c r="D992">
        <v>16255</v>
      </c>
      <c r="E992" t="s">
        <v>10</v>
      </c>
      <c r="F992">
        <v>31</v>
      </c>
      <c r="G992" s="2">
        <v>27.75</v>
      </c>
      <c r="H992" s="2">
        <v>0</v>
      </c>
      <c r="I992" s="2">
        <v>0.22</v>
      </c>
      <c r="J992" s="2">
        <v>27.97</v>
      </c>
      <c r="K992" s="5">
        <f>nantucket[[#This Row],[MW Factor]]-resources!$B$14</f>
        <v>-26</v>
      </c>
    </row>
    <row r="993" spans="1:11" x14ac:dyDescent="0.3">
      <c r="A993" t="s">
        <v>33</v>
      </c>
      <c r="B993">
        <v>562</v>
      </c>
      <c r="C993">
        <v>10</v>
      </c>
      <c r="D993">
        <v>16255</v>
      </c>
      <c r="E993" t="s">
        <v>10</v>
      </c>
      <c r="F993">
        <v>31</v>
      </c>
      <c r="G993" s="2">
        <v>35.380000000000003</v>
      </c>
      <c r="H993" s="2">
        <v>0</v>
      </c>
      <c r="I993" s="2">
        <v>0.1</v>
      </c>
      <c r="J993" s="2">
        <v>35.479999999999997</v>
      </c>
      <c r="K993" s="5">
        <f>nantucket[[#This Row],[MW Factor]]-resources!$B$14</f>
        <v>-26</v>
      </c>
    </row>
    <row r="994" spans="1:11" x14ac:dyDescent="0.3">
      <c r="A994" t="s">
        <v>35</v>
      </c>
      <c r="B994">
        <v>601</v>
      </c>
      <c r="C994">
        <v>1</v>
      </c>
      <c r="D994">
        <v>16255</v>
      </c>
      <c r="E994" t="s">
        <v>10</v>
      </c>
      <c r="F994">
        <v>31</v>
      </c>
      <c r="G994" s="2">
        <v>27.16</v>
      </c>
      <c r="H994" s="2">
        <v>0</v>
      </c>
      <c r="I994" s="2">
        <v>0.44</v>
      </c>
      <c r="J994" s="2">
        <v>27.6</v>
      </c>
      <c r="K994" s="5">
        <f>nantucket[[#This Row],[MW Factor]]-resources!$B$14</f>
        <v>-26</v>
      </c>
    </row>
    <row r="995" spans="1:11" x14ac:dyDescent="0.3">
      <c r="A995" t="s">
        <v>35</v>
      </c>
      <c r="B995">
        <v>609</v>
      </c>
      <c r="C995">
        <v>9</v>
      </c>
      <c r="D995">
        <v>16255</v>
      </c>
      <c r="E995" t="s">
        <v>10</v>
      </c>
      <c r="F995">
        <v>31</v>
      </c>
      <c r="G995" s="2">
        <v>20.09</v>
      </c>
      <c r="H995" s="2">
        <v>0</v>
      </c>
      <c r="I995" s="2">
        <v>0.35</v>
      </c>
      <c r="J995" s="2">
        <v>20.440000000000001</v>
      </c>
      <c r="K995" s="5">
        <f>nantucket[[#This Row],[MW Factor]]-resources!$B$14</f>
        <v>-26</v>
      </c>
    </row>
    <row r="996" spans="1:11" x14ac:dyDescent="0.3">
      <c r="A996" t="s">
        <v>36</v>
      </c>
      <c r="B996">
        <v>633</v>
      </c>
      <c r="C996">
        <v>9</v>
      </c>
      <c r="D996">
        <v>16255</v>
      </c>
      <c r="E996" t="s">
        <v>10</v>
      </c>
      <c r="F996">
        <v>31</v>
      </c>
      <c r="G996" s="2">
        <v>20.32</v>
      </c>
      <c r="H996" s="2">
        <v>0</v>
      </c>
      <c r="I996" s="2">
        <v>0.27</v>
      </c>
      <c r="J996" s="2">
        <v>20.59</v>
      </c>
      <c r="K996" s="5">
        <f>nantucket[[#This Row],[MW Factor]]-resources!$B$14</f>
        <v>-26</v>
      </c>
    </row>
    <row r="997" spans="1:11" x14ac:dyDescent="0.3">
      <c r="A997" t="s">
        <v>37</v>
      </c>
      <c r="B997">
        <v>658</v>
      </c>
      <c r="C997">
        <v>10</v>
      </c>
      <c r="D997">
        <v>16255</v>
      </c>
      <c r="E997" t="s">
        <v>10</v>
      </c>
      <c r="F997">
        <v>31</v>
      </c>
      <c r="G997" s="2">
        <v>19.29</v>
      </c>
      <c r="H997" s="2">
        <v>0</v>
      </c>
      <c r="I997" s="2">
        <v>0.22</v>
      </c>
      <c r="J997" s="2">
        <v>19.510000000000002</v>
      </c>
      <c r="K997" s="5">
        <f>nantucket[[#This Row],[MW Factor]]-resources!$B$14</f>
        <v>-26</v>
      </c>
    </row>
    <row r="998" spans="1:11" x14ac:dyDescent="0.3">
      <c r="A998" t="s">
        <v>38</v>
      </c>
      <c r="B998">
        <v>682</v>
      </c>
      <c r="C998">
        <v>10</v>
      </c>
      <c r="D998">
        <v>16255</v>
      </c>
      <c r="E998" t="s">
        <v>10</v>
      </c>
      <c r="F998">
        <v>31</v>
      </c>
      <c r="G998" s="2">
        <v>29.2</v>
      </c>
      <c r="H998" s="2">
        <v>0</v>
      </c>
      <c r="I998" s="2">
        <v>0.26</v>
      </c>
      <c r="J998" s="2">
        <v>29.46</v>
      </c>
      <c r="K998" s="5">
        <f>nantucket[[#This Row],[MW Factor]]-resources!$B$14</f>
        <v>-26</v>
      </c>
    </row>
    <row r="999" spans="1:11" x14ac:dyDescent="0.3">
      <c r="A999" t="s">
        <v>40</v>
      </c>
      <c r="B999">
        <v>722</v>
      </c>
      <c r="C999">
        <v>2</v>
      </c>
      <c r="D999">
        <v>16255</v>
      </c>
      <c r="E999" t="s">
        <v>10</v>
      </c>
      <c r="F999">
        <v>31</v>
      </c>
      <c r="G999" s="2">
        <v>86.27</v>
      </c>
      <c r="H999" s="2">
        <v>0</v>
      </c>
      <c r="I999" s="2">
        <v>0.47</v>
      </c>
      <c r="J999" s="2">
        <v>86.74</v>
      </c>
      <c r="K999" s="5">
        <f>nantucket[[#This Row],[MW Factor]]-resources!$B$14</f>
        <v>-26</v>
      </c>
    </row>
    <row r="1000" spans="1:11" x14ac:dyDescent="0.3">
      <c r="A1000" t="s">
        <v>41</v>
      </c>
      <c r="B1000">
        <v>747</v>
      </c>
      <c r="C1000">
        <v>3</v>
      </c>
      <c r="D1000">
        <v>16255</v>
      </c>
      <c r="E1000" t="s">
        <v>10</v>
      </c>
      <c r="F1000">
        <v>31</v>
      </c>
      <c r="G1000" s="2">
        <v>31.1</v>
      </c>
      <c r="H1000" s="2">
        <v>0</v>
      </c>
      <c r="I1000" s="2">
        <v>0.36</v>
      </c>
      <c r="J1000" s="2">
        <v>31.46</v>
      </c>
      <c r="K1000" s="5">
        <f>nantucket[[#This Row],[MW Factor]]-resources!$B$14</f>
        <v>-26</v>
      </c>
    </row>
    <row r="1001" spans="1:11" x14ac:dyDescent="0.3">
      <c r="A1001" t="s">
        <v>41</v>
      </c>
      <c r="B1001">
        <v>751</v>
      </c>
      <c r="C1001">
        <v>7</v>
      </c>
      <c r="D1001">
        <v>16255</v>
      </c>
      <c r="E1001" t="s">
        <v>10</v>
      </c>
      <c r="F1001">
        <v>31</v>
      </c>
      <c r="G1001" s="2">
        <v>41.37</v>
      </c>
      <c r="H1001" s="2">
        <v>0</v>
      </c>
      <c r="I1001" s="2">
        <v>0.54</v>
      </c>
      <c r="J1001" s="2">
        <v>41.91</v>
      </c>
      <c r="K1001" s="5">
        <f>nantucket[[#This Row],[MW Factor]]-resources!$B$14</f>
        <v>-26</v>
      </c>
    </row>
    <row r="1002" spans="1:11" x14ac:dyDescent="0.3">
      <c r="A1002" t="s">
        <v>42</v>
      </c>
      <c r="B1002">
        <v>772</v>
      </c>
      <c r="C1002">
        <v>4</v>
      </c>
      <c r="D1002">
        <v>16255</v>
      </c>
      <c r="E1002" t="s">
        <v>10</v>
      </c>
      <c r="F1002">
        <v>31</v>
      </c>
      <c r="G1002" s="2">
        <v>30.31</v>
      </c>
      <c r="H1002" s="2">
        <v>0</v>
      </c>
      <c r="I1002" s="2">
        <v>0.1</v>
      </c>
      <c r="J1002" s="2">
        <v>30.41</v>
      </c>
      <c r="K1002" s="5">
        <f>nantucket[[#This Row],[MW Factor]]-resources!$B$14</f>
        <v>-26</v>
      </c>
    </row>
    <row r="1003" spans="1:11" x14ac:dyDescent="0.3">
      <c r="A1003" t="s">
        <v>42</v>
      </c>
      <c r="B1003">
        <v>775</v>
      </c>
      <c r="C1003">
        <v>7</v>
      </c>
      <c r="D1003">
        <v>16255</v>
      </c>
      <c r="E1003" t="s">
        <v>10</v>
      </c>
      <c r="F1003">
        <v>31</v>
      </c>
      <c r="G1003" s="2">
        <v>41.42</v>
      </c>
      <c r="H1003" s="2">
        <v>0</v>
      </c>
      <c r="I1003" s="2">
        <v>0.03</v>
      </c>
      <c r="J1003" s="2">
        <v>41.45</v>
      </c>
      <c r="K1003" s="5">
        <f>nantucket[[#This Row],[MW Factor]]-resources!$B$14</f>
        <v>-26</v>
      </c>
    </row>
    <row r="1004" spans="1:11" x14ac:dyDescent="0.3">
      <c r="A1004" t="s">
        <v>46</v>
      </c>
      <c r="B1004">
        <v>869</v>
      </c>
      <c r="C1004">
        <v>5</v>
      </c>
      <c r="D1004">
        <v>16255</v>
      </c>
      <c r="E1004" t="s">
        <v>10</v>
      </c>
      <c r="F1004">
        <v>31</v>
      </c>
      <c r="G1004" s="2">
        <v>29.23</v>
      </c>
      <c r="H1004" s="2">
        <v>0</v>
      </c>
      <c r="I1004" s="2">
        <v>0.36</v>
      </c>
      <c r="J1004" s="2">
        <v>29.59</v>
      </c>
      <c r="K1004" s="5">
        <f>nantucket[[#This Row],[MW Factor]]-resources!$B$14</f>
        <v>-26</v>
      </c>
    </row>
    <row r="1005" spans="1:11" x14ac:dyDescent="0.3">
      <c r="A1005" t="s">
        <v>46</v>
      </c>
      <c r="B1005">
        <v>870</v>
      </c>
      <c r="C1005">
        <v>6</v>
      </c>
      <c r="D1005">
        <v>16255</v>
      </c>
      <c r="E1005" t="s">
        <v>10</v>
      </c>
      <c r="F1005">
        <v>31</v>
      </c>
      <c r="G1005" s="2">
        <v>39.85</v>
      </c>
      <c r="H1005" s="2">
        <v>0</v>
      </c>
      <c r="I1005" s="2">
        <v>0.51</v>
      </c>
      <c r="J1005" s="2">
        <v>40.36</v>
      </c>
      <c r="K1005" s="5">
        <f>nantucket[[#This Row],[MW Factor]]-resources!$B$14</f>
        <v>-26</v>
      </c>
    </row>
    <row r="1006" spans="1:11" x14ac:dyDescent="0.3">
      <c r="A1006" t="s">
        <v>46</v>
      </c>
      <c r="B1006">
        <v>871</v>
      </c>
      <c r="C1006">
        <v>7</v>
      </c>
      <c r="D1006">
        <v>16255</v>
      </c>
      <c r="E1006" t="s">
        <v>10</v>
      </c>
      <c r="F1006">
        <v>31</v>
      </c>
      <c r="G1006" s="2">
        <v>45.23</v>
      </c>
      <c r="H1006" s="2">
        <v>0</v>
      </c>
      <c r="I1006" s="2">
        <v>0.63</v>
      </c>
      <c r="J1006" s="2">
        <v>45.86</v>
      </c>
      <c r="K1006" s="5">
        <f>nantucket[[#This Row],[MW Factor]]-resources!$B$14</f>
        <v>-26</v>
      </c>
    </row>
    <row r="1007" spans="1:11" x14ac:dyDescent="0.3">
      <c r="A1007" t="s">
        <v>47</v>
      </c>
      <c r="B1007">
        <v>903</v>
      </c>
      <c r="C1007">
        <v>15</v>
      </c>
      <c r="D1007">
        <v>16255</v>
      </c>
      <c r="E1007" t="s">
        <v>10</v>
      </c>
      <c r="F1007">
        <v>31</v>
      </c>
      <c r="G1007" s="2">
        <v>23.91</v>
      </c>
      <c r="H1007" s="2">
        <v>0</v>
      </c>
      <c r="I1007" s="2">
        <v>0.3</v>
      </c>
      <c r="J1007" s="2">
        <v>24.21</v>
      </c>
      <c r="K1007" s="5">
        <f>nantucket[[#This Row],[MW Factor]]-resources!$B$14</f>
        <v>-26</v>
      </c>
    </row>
    <row r="1008" spans="1:11" x14ac:dyDescent="0.3">
      <c r="A1008" t="s">
        <v>47</v>
      </c>
      <c r="B1008">
        <v>904</v>
      </c>
      <c r="C1008">
        <v>16</v>
      </c>
      <c r="D1008">
        <v>16255</v>
      </c>
      <c r="E1008" t="s">
        <v>10</v>
      </c>
      <c r="F1008">
        <v>31</v>
      </c>
      <c r="G1008" s="2">
        <v>21.37</v>
      </c>
      <c r="H1008" s="2">
        <v>0</v>
      </c>
      <c r="I1008" s="2">
        <v>0.3</v>
      </c>
      <c r="J1008" s="2">
        <v>21.67</v>
      </c>
      <c r="K1008" s="5">
        <f>nantucket[[#This Row],[MW Factor]]-resources!$B$14</f>
        <v>-26</v>
      </c>
    </row>
    <row r="1009" spans="1:11" x14ac:dyDescent="0.3">
      <c r="A1009" t="s">
        <v>49</v>
      </c>
      <c r="B1009">
        <v>945</v>
      </c>
      <c r="C1009">
        <v>9</v>
      </c>
      <c r="D1009">
        <v>16255</v>
      </c>
      <c r="E1009" t="s">
        <v>10</v>
      </c>
      <c r="F1009">
        <v>31</v>
      </c>
      <c r="G1009" s="2">
        <v>52.95</v>
      </c>
      <c r="H1009" s="2">
        <v>0</v>
      </c>
      <c r="I1009" s="2">
        <v>0.3</v>
      </c>
      <c r="J1009" s="2">
        <v>53.25</v>
      </c>
      <c r="K1009" s="5">
        <f>nantucket[[#This Row],[MW Factor]]-resources!$B$14</f>
        <v>-26</v>
      </c>
    </row>
    <row r="1010" spans="1:11" x14ac:dyDescent="0.3">
      <c r="A1010" t="s">
        <v>50</v>
      </c>
      <c r="B1010">
        <v>964</v>
      </c>
      <c r="C1010">
        <v>4</v>
      </c>
      <c r="D1010">
        <v>16255</v>
      </c>
      <c r="E1010" t="s">
        <v>10</v>
      </c>
      <c r="F1010">
        <v>31</v>
      </c>
      <c r="G1010" s="2">
        <v>25.7</v>
      </c>
      <c r="H1010" s="2">
        <v>0.38</v>
      </c>
      <c r="I1010" s="2">
        <v>0.64</v>
      </c>
      <c r="J1010" s="2">
        <v>26.72</v>
      </c>
      <c r="K1010" s="5">
        <f>nantucket[[#This Row],[MW Factor]]-resources!$B$14</f>
        <v>-26</v>
      </c>
    </row>
    <row r="1011" spans="1:11" x14ac:dyDescent="0.3">
      <c r="A1011" t="s">
        <v>50</v>
      </c>
      <c r="B1011">
        <v>968</v>
      </c>
      <c r="C1011">
        <v>8</v>
      </c>
      <c r="D1011">
        <v>16255</v>
      </c>
      <c r="E1011" t="s">
        <v>10</v>
      </c>
      <c r="F1011">
        <v>31</v>
      </c>
      <c r="G1011" s="2">
        <v>40.04</v>
      </c>
      <c r="H1011" s="2">
        <v>0</v>
      </c>
      <c r="I1011" s="2">
        <v>0.98</v>
      </c>
      <c r="J1011" s="2">
        <v>41.02</v>
      </c>
      <c r="K1011" s="5">
        <f>nantucket[[#This Row],[MW Factor]]-resources!$B$14</f>
        <v>-26</v>
      </c>
    </row>
    <row r="1012" spans="1:11" x14ac:dyDescent="0.3">
      <c r="A1012" t="s">
        <v>51</v>
      </c>
      <c r="B1012">
        <v>993</v>
      </c>
      <c r="C1012">
        <v>9</v>
      </c>
      <c r="D1012">
        <v>16255</v>
      </c>
      <c r="E1012" t="s">
        <v>10</v>
      </c>
      <c r="F1012">
        <v>31</v>
      </c>
      <c r="G1012" s="2">
        <v>21.05</v>
      </c>
      <c r="H1012" s="2">
        <v>0</v>
      </c>
      <c r="I1012" s="2">
        <v>0.48</v>
      </c>
      <c r="J1012" s="2">
        <v>21.53</v>
      </c>
      <c r="K1012" s="5">
        <f>nantucket[[#This Row],[MW Factor]]-resources!$B$14</f>
        <v>-26</v>
      </c>
    </row>
    <row r="1013" spans="1:11" x14ac:dyDescent="0.3">
      <c r="A1013" t="s">
        <v>52</v>
      </c>
      <c r="B1013">
        <v>1017</v>
      </c>
      <c r="C1013">
        <v>9</v>
      </c>
      <c r="D1013">
        <v>16255</v>
      </c>
      <c r="E1013" t="s">
        <v>10</v>
      </c>
      <c r="F1013">
        <v>31</v>
      </c>
      <c r="G1013" s="2">
        <v>21.26</v>
      </c>
      <c r="H1013" s="2">
        <v>0</v>
      </c>
      <c r="I1013" s="2">
        <v>0.33</v>
      </c>
      <c r="J1013" s="2">
        <v>21.59</v>
      </c>
      <c r="K1013" s="5">
        <f>nantucket[[#This Row],[MW Factor]]-resources!$B$14</f>
        <v>-26</v>
      </c>
    </row>
    <row r="1014" spans="1:11" x14ac:dyDescent="0.3">
      <c r="A1014" t="s">
        <v>56</v>
      </c>
      <c r="B1014">
        <v>1128</v>
      </c>
      <c r="C1014">
        <v>24</v>
      </c>
      <c r="D1014">
        <v>16255</v>
      </c>
      <c r="E1014" t="s">
        <v>10</v>
      </c>
      <c r="F1014">
        <v>31</v>
      </c>
      <c r="G1014" s="2">
        <v>26.98</v>
      </c>
      <c r="H1014" s="2">
        <v>0</v>
      </c>
      <c r="I1014" s="2">
        <v>0.24</v>
      </c>
      <c r="J1014" s="2">
        <v>27.22</v>
      </c>
      <c r="K1014" s="5">
        <f>nantucket[[#This Row],[MW Factor]]-resources!$B$14</f>
        <v>-26</v>
      </c>
    </row>
    <row r="1015" spans="1:11" x14ac:dyDescent="0.3">
      <c r="A1015" t="s">
        <v>57</v>
      </c>
      <c r="B1015">
        <v>1138</v>
      </c>
      <c r="C1015">
        <v>10</v>
      </c>
      <c r="D1015">
        <v>16255</v>
      </c>
      <c r="E1015" t="s">
        <v>10</v>
      </c>
      <c r="F1015">
        <v>31</v>
      </c>
      <c r="G1015" s="2">
        <v>37.96</v>
      </c>
      <c r="H1015" s="2">
        <v>0</v>
      </c>
      <c r="I1015" s="2">
        <v>0.47</v>
      </c>
      <c r="J1015" s="2">
        <v>38.43</v>
      </c>
      <c r="K1015" s="5">
        <f>nantucket[[#This Row],[MW Factor]]-resources!$B$14</f>
        <v>-26</v>
      </c>
    </row>
    <row r="1016" spans="1:11" x14ac:dyDescent="0.3">
      <c r="A1016" t="s">
        <v>58</v>
      </c>
      <c r="B1016">
        <v>1176</v>
      </c>
      <c r="C1016">
        <v>24</v>
      </c>
      <c r="D1016">
        <v>16255</v>
      </c>
      <c r="E1016" t="s">
        <v>10</v>
      </c>
      <c r="F1016">
        <v>31</v>
      </c>
      <c r="G1016" s="2">
        <v>25.69</v>
      </c>
      <c r="H1016" s="2">
        <v>0</v>
      </c>
      <c r="I1016" s="2">
        <v>0.43</v>
      </c>
      <c r="J1016" s="2">
        <v>26.12</v>
      </c>
      <c r="K1016" s="5">
        <f>nantucket[[#This Row],[MW Factor]]-resources!$B$14</f>
        <v>-26</v>
      </c>
    </row>
    <row r="1017" spans="1:11" x14ac:dyDescent="0.3">
      <c r="A1017" t="s">
        <v>61</v>
      </c>
      <c r="B1017">
        <v>1247</v>
      </c>
      <c r="C1017">
        <v>23</v>
      </c>
      <c r="D1017">
        <v>16255</v>
      </c>
      <c r="E1017" t="s">
        <v>10</v>
      </c>
      <c r="F1017">
        <v>31</v>
      </c>
      <c r="G1017" s="2">
        <v>22.71</v>
      </c>
      <c r="H1017" s="2">
        <v>0</v>
      </c>
      <c r="I1017" s="2">
        <v>0.56999999999999995</v>
      </c>
      <c r="J1017" s="2">
        <v>23.28</v>
      </c>
      <c r="K1017" s="5">
        <f>nantucket[[#This Row],[MW Factor]]-resources!$B$14</f>
        <v>-26</v>
      </c>
    </row>
    <row r="1018" spans="1:11" x14ac:dyDescent="0.3">
      <c r="A1018" t="s">
        <v>62</v>
      </c>
      <c r="B1018">
        <v>1271</v>
      </c>
      <c r="C1018">
        <v>23</v>
      </c>
      <c r="D1018">
        <v>16255</v>
      </c>
      <c r="E1018" t="s">
        <v>10</v>
      </c>
      <c r="F1018">
        <v>31</v>
      </c>
      <c r="G1018" s="2">
        <v>23.05</v>
      </c>
      <c r="H1018" s="2">
        <v>0</v>
      </c>
      <c r="I1018" s="2">
        <v>0.56000000000000005</v>
      </c>
      <c r="J1018" s="2">
        <v>23.61</v>
      </c>
      <c r="K1018" s="5">
        <f>nantucket[[#This Row],[MW Factor]]-resources!$B$14</f>
        <v>-26</v>
      </c>
    </row>
    <row r="1019" spans="1:11" x14ac:dyDescent="0.3">
      <c r="A1019" t="s">
        <v>63</v>
      </c>
      <c r="B1019">
        <v>1282</v>
      </c>
      <c r="C1019">
        <v>10</v>
      </c>
      <c r="D1019">
        <v>16255</v>
      </c>
      <c r="E1019" t="s">
        <v>10</v>
      </c>
      <c r="F1019">
        <v>31</v>
      </c>
      <c r="G1019" s="2">
        <v>22.72</v>
      </c>
      <c r="H1019" s="2">
        <v>0</v>
      </c>
      <c r="I1019" s="2">
        <v>0.46</v>
      </c>
      <c r="J1019" s="2">
        <v>23.18</v>
      </c>
      <c r="K1019" s="5">
        <f>nantucket[[#This Row],[MW Factor]]-resources!$B$14</f>
        <v>-26</v>
      </c>
    </row>
    <row r="1020" spans="1:11" x14ac:dyDescent="0.3">
      <c r="A1020" t="s">
        <v>64</v>
      </c>
      <c r="B1020">
        <v>1320</v>
      </c>
      <c r="C1020">
        <v>24</v>
      </c>
      <c r="D1020">
        <v>16255</v>
      </c>
      <c r="E1020" t="s">
        <v>10</v>
      </c>
      <c r="F1020">
        <v>31</v>
      </c>
      <c r="G1020" s="2">
        <v>26.83</v>
      </c>
      <c r="H1020" s="2">
        <v>0</v>
      </c>
      <c r="I1020" s="2">
        <v>0.59</v>
      </c>
      <c r="J1020" s="2">
        <v>27.42</v>
      </c>
      <c r="K1020" s="5">
        <f>nantucket[[#This Row],[MW Factor]]-resources!$B$14</f>
        <v>-26</v>
      </c>
    </row>
    <row r="1021" spans="1:11" x14ac:dyDescent="0.3">
      <c r="A1021" t="s">
        <v>65</v>
      </c>
      <c r="B1021">
        <v>1344</v>
      </c>
      <c r="C1021">
        <v>24</v>
      </c>
      <c r="D1021">
        <v>16255</v>
      </c>
      <c r="E1021" t="s">
        <v>10</v>
      </c>
      <c r="F1021">
        <v>31</v>
      </c>
      <c r="G1021" s="2">
        <v>46.93</v>
      </c>
      <c r="H1021" s="2">
        <v>0</v>
      </c>
      <c r="I1021" s="2">
        <v>0.75</v>
      </c>
      <c r="J1021" s="2">
        <v>47.68</v>
      </c>
      <c r="K1021" s="5">
        <f>nantucket[[#This Row],[MW Factor]]-resources!$B$14</f>
        <v>-26</v>
      </c>
    </row>
    <row r="1022" spans="1:11" x14ac:dyDescent="0.3">
      <c r="A1022" t="s">
        <v>67</v>
      </c>
      <c r="B1022">
        <v>1380</v>
      </c>
      <c r="C1022">
        <v>12</v>
      </c>
      <c r="D1022">
        <v>16255</v>
      </c>
      <c r="E1022" t="s">
        <v>10</v>
      </c>
      <c r="F1022">
        <v>31</v>
      </c>
      <c r="G1022" s="2">
        <v>23.41</v>
      </c>
      <c r="H1022" s="2">
        <v>0</v>
      </c>
      <c r="I1022" s="2">
        <v>0.19</v>
      </c>
      <c r="J1022" s="2">
        <v>23.6</v>
      </c>
      <c r="K1022" s="5">
        <f>nantucket[[#This Row],[MW Factor]]-resources!$B$14</f>
        <v>-26</v>
      </c>
    </row>
    <row r="1023" spans="1:11" x14ac:dyDescent="0.3">
      <c r="A1023" t="s">
        <v>68</v>
      </c>
      <c r="B1023">
        <v>1403</v>
      </c>
      <c r="C1023">
        <v>11</v>
      </c>
      <c r="D1023">
        <v>16255</v>
      </c>
      <c r="E1023" t="s">
        <v>10</v>
      </c>
      <c r="F1023">
        <v>31</v>
      </c>
      <c r="G1023" s="2">
        <v>29.85</v>
      </c>
      <c r="H1023" s="2">
        <v>0</v>
      </c>
      <c r="I1023" s="2">
        <v>0.11</v>
      </c>
      <c r="J1023" s="2">
        <v>29.96</v>
      </c>
      <c r="K1023" s="5">
        <f>nantucket[[#This Row],[MW Factor]]-resources!$B$14</f>
        <v>-26</v>
      </c>
    </row>
    <row r="1024" spans="1:11" x14ac:dyDescent="0.3">
      <c r="A1024" t="s">
        <v>69</v>
      </c>
      <c r="B1024">
        <v>1432</v>
      </c>
      <c r="C1024">
        <v>16</v>
      </c>
      <c r="D1024">
        <v>16255</v>
      </c>
      <c r="E1024" t="s">
        <v>10</v>
      </c>
      <c r="F1024">
        <v>31</v>
      </c>
      <c r="G1024" s="2">
        <v>27.46</v>
      </c>
      <c r="H1024" s="2">
        <v>0</v>
      </c>
      <c r="I1024" s="2">
        <v>0.43</v>
      </c>
      <c r="J1024" s="2">
        <v>27.89</v>
      </c>
      <c r="K1024" s="5">
        <f>nantucket[[#This Row],[MW Factor]]-resources!$B$14</f>
        <v>-26</v>
      </c>
    </row>
    <row r="1025" spans="1:11" x14ac:dyDescent="0.3">
      <c r="A1025" t="s">
        <v>71</v>
      </c>
      <c r="B1025">
        <v>1475</v>
      </c>
      <c r="C1025">
        <v>11</v>
      </c>
      <c r="D1025">
        <v>16255</v>
      </c>
      <c r="E1025" t="s">
        <v>10</v>
      </c>
      <c r="F1025">
        <v>31</v>
      </c>
      <c r="G1025" s="2">
        <v>20.71</v>
      </c>
      <c r="H1025" s="2">
        <v>0</v>
      </c>
      <c r="I1025" s="2">
        <v>0.32</v>
      </c>
      <c r="J1025" s="2">
        <v>21.03</v>
      </c>
      <c r="K1025" s="5">
        <f>nantucket[[#This Row],[MW Factor]]-resources!$B$14</f>
        <v>-26</v>
      </c>
    </row>
    <row r="1026" spans="1:11" x14ac:dyDescent="0.3">
      <c r="A1026" t="s">
        <v>9</v>
      </c>
      <c r="B1026">
        <v>9</v>
      </c>
      <c r="C1026">
        <v>9</v>
      </c>
      <c r="D1026">
        <v>16255</v>
      </c>
      <c r="E1026" t="s">
        <v>10</v>
      </c>
      <c r="F1026">
        <v>30</v>
      </c>
      <c r="G1026" s="2">
        <v>24.01</v>
      </c>
      <c r="H1026" s="2">
        <v>0</v>
      </c>
      <c r="I1026" s="2">
        <v>0.41</v>
      </c>
      <c r="J1026" s="2">
        <v>24.42</v>
      </c>
      <c r="K1026" s="5">
        <f>nantucket[[#This Row],[MW Factor]]-resources!$B$14</f>
        <v>-27</v>
      </c>
    </row>
    <row r="1027" spans="1:11" x14ac:dyDescent="0.3">
      <c r="A1027" t="s">
        <v>9</v>
      </c>
      <c r="B1027">
        <v>24</v>
      </c>
      <c r="C1027">
        <v>24</v>
      </c>
      <c r="D1027">
        <v>16255</v>
      </c>
      <c r="E1027" t="s">
        <v>10</v>
      </c>
      <c r="F1027">
        <v>30</v>
      </c>
      <c r="G1027" s="2">
        <v>30.9</v>
      </c>
      <c r="H1027" s="2">
        <v>0</v>
      </c>
      <c r="I1027" s="2">
        <v>0.48</v>
      </c>
      <c r="J1027" s="2">
        <v>31.38</v>
      </c>
      <c r="K1027" s="5">
        <f>nantucket[[#This Row],[MW Factor]]-resources!$B$14</f>
        <v>-27</v>
      </c>
    </row>
    <row r="1028" spans="1:11" x14ac:dyDescent="0.3">
      <c r="A1028" t="s">
        <v>11</v>
      </c>
      <c r="B1028">
        <v>48</v>
      </c>
      <c r="C1028">
        <v>24</v>
      </c>
      <c r="D1028">
        <v>16255</v>
      </c>
      <c r="E1028" t="s">
        <v>10</v>
      </c>
      <c r="F1028">
        <v>30</v>
      </c>
      <c r="G1028" s="2">
        <v>23.96</v>
      </c>
      <c r="H1028" s="2">
        <v>0</v>
      </c>
      <c r="I1028" s="2">
        <v>0.42</v>
      </c>
      <c r="J1028" s="2">
        <v>24.38</v>
      </c>
      <c r="K1028" s="5">
        <f>nantucket[[#This Row],[MW Factor]]-resources!$B$14</f>
        <v>-27</v>
      </c>
    </row>
    <row r="1029" spans="1:11" x14ac:dyDescent="0.3">
      <c r="A1029" t="s">
        <v>12</v>
      </c>
      <c r="B1029">
        <v>58</v>
      </c>
      <c r="C1029">
        <v>10</v>
      </c>
      <c r="D1029">
        <v>16255</v>
      </c>
      <c r="E1029" t="s">
        <v>10</v>
      </c>
      <c r="F1029">
        <v>30</v>
      </c>
      <c r="G1029" s="2">
        <v>23.74</v>
      </c>
      <c r="H1029" s="2">
        <v>0</v>
      </c>
      <c r="I1029" s="2">
        <v>0.28000000000000003</v>
      </c>
      <c r="J1029" s="2">
        <v>24.02</v>
      </c>
      <c r="K1029" s="5">
        <f>nantucket[[#This Row],[MW Factor]]-resources!$B$14</f>
        <v>-27</v>
      </c>
    </row>
    <row r="1030" spans="1:11" x14ac:dyDescent="0.3">
      <c r="A1030" t="s">
        <v>14</v>
      </c>
      <c r="B1030">
        <v>98</v>
      </c>
      <c r="C1030">
        <v>2</v>
      </c>
      <c r="D1030">
        <v>16255</v>
      </c>
      <c r="E1030" t="s">
        <v>10</v>
      </c>
      <c r="F1030">
        <v>30</v>
      </c>
      <c r="G1030" s="2">
        <v>26.62</v>
      </c>
      <c r="H1030" s="2">
        <v>0</v>
      </c>
      <c r="I1030" s="2">
        <v>0.24</v>
      </c>
      <c r="J1030" s="2">
        <v>26.86</v>
      </c>
      <c r="K1030" s="5">
        <f>nantucket[[#This Row],[MW Factor]]-resources!$B$14</f>
        <v>-27</v>
      </c>
    </row>
    <row r="1031" spans="1:11" x14ac:dyDescent="0.3">
      <c r="A1031" t="s">
        <v>14</v>
      </c>
      <c r="B1031">
        <v>105</v>
      </c>
      <c r="C1031">
        <v>9</v>
      </c>
      <c r="D1031">
        <v>16255</v>
      </c>
      <c r="E1031" t="s">
        <v>10</v>
      </c>
      <c r="F1031">
        <v>30</v>
      </c>
      <c r="G1031" s="2">
        <v>26.62</v>
      </c>
      <c r="H1031" s="2">
        <v>0</v>
      </c>
      <c r="I1031" s="2">
        <v>0.18</v>
      </c>
      <c r="J1031" s="2">
        <v>26.8</v>
      </c>
      <c r="K1031" s="5">
        <f>nantucket[[#This Row],[MW Factor]]-resources!$B$14</f>
        <v>-27</v>
      </c>
    </row>
    <row r="1032" spans="1:11" x14ac:dyDescent="0.3">
      <c r="A1032" t="s">
        <v>15</v>
      </c>
      <c r="B1032">
        <v>122</v>
      </c>
      <c r="C1032">
        <v>2</v>
      </c>
      <c r="D1032">
        <v>16255</v>
      </c>
      <c r="E1032" t="s">
        <v>10</v>
      </c>
      <c r="F1032">
        <v>30</v>
      </c>
      <c r="G1032" s="2">
        <v>50.93</v>
      </c>
      <c r="H1032" s="2">
        <v>0</v>
      </c>
      <c r="I1032" s="2">
        <v>0.66</v>
      </c>
      <c r="J1032" s="2">
        <v>51.59</v>
      </c>
      <c r="K1032" s="5">
        <f>nantucket[[#This Row],[MW Factor]]-resources!$B$14</f>
        <v>-27</v>
      </c>
    </row>
    <row r="1033" spans="1:11" x14ac:dyDescent="0.3">
      <c r="A1033" t="s">
        <v>16</v>
      </c>
      <c r="B1033">
        <v>146</v>
      </c>
      <c r="C1033">
        <v>2</v>
      </c>
      <c r="D1033">
        <v>16255</v>
      </c>
      <c r="E1033" t="s">
        <v>10</v>
      </c>
      <c r="F1033">
        <v>30</v>
      </c>
      <c r="G1033" s="2">
        <v>27.67</v>
      </c>
      <c r="H1033" s="2">
        <v>0</v>
      </c>
      <c r="I1033" s="2">
        <v>0.34</v>
      </c>
      <c r="J1033" s="2">
        <v>28.01</v>
      </c>
      <c r="K1033" s="5">
        <f>nantucket[[#This Row],[MW Factor]]-resources!$B$14</f>
        <v>-27</v>
      </c>
    </row>
    <row r="1034" spans="1:11" x14ac:dyDescent="0.3">
      <c r="A1034" t="s">
        <v>17</v>
      </c>
      <c r="B1034">
        <v>176</v>
      </c>
      <c r="C1034">
        <v>8</v>
      </c>
      <c r="D1034">
        <v>16255</v>
      </c>
      <c r="E1034" t="s">
        <v>10</v>
      </c>
      <c r="F1034">
        <v>30</v>
      </c>
      <c r="G1034" s="2">
        <v>28.68</v>
      </c>
      <c r="H1034" s="2">
        <v>0</v>
      </c>
      <c r="I1034" s="2">
        <v>0.31</v>
      </c>
      <c r="J1034" s="2">
        <v>28.99</v>
      </c>
      <c r="K1034" s="5">
        <f>nantucket[[#This Row],[MW Factor]]-resources!$B$14</f>
        <v>-27</v>
      </c>
    </row>
    <row r="1035" spans="1:11" x14ac:dyDescent="0.3">
      <c r="A1035" t="s">
        <v>18</v>
      </c>
      <c r="B1035">
        <v>195</v>
      </c>
      <c r="C1035">
        <v>3</v>
      </c>
      <c r="D1035">
        <v>16255</v>
      </c>
      <c r="E1035" t="s">
        <v>10</v>
      </c>
      <c r="F1035">
        <v>30</v>
      </c>
      <c r="G1035" s="2">
        <v>39.380000000000003</v>
      </c>
      <c r="H1035" s="2">
        <v>0</v>
      </c>
      <c r="I1035" s="2">
        <v>0.33</v>
      </c>
      <c r="J1035" s="2">
        <v>39.71</v>
      </c>
      <c r="K1035" s="5">
        <f>nantucket[[#This Row],[MW Factor]]-resources!$B$14</f>
        <v>-27</v>
      </c>
    </row>
    <row r="1036" spans="1:11" x14ac:dyDescent="0.3">
      <c r="A1036" t="s">
        <v>18</v>
      </c>
      <c r="B1036">
        <v>199</v>
      </c>
      <c r="C1036">
        <v>7</v>
      </c>
      <c r="D1036">
        <v>16255</v>
      </c>
      <c r="E1036" t="s">
        <v>10</v>
      </c>
      <c r="F1036">
        <v>30</v>
      </c>
      <c r="G1036" s="2">
        <v>40.130000000000003</v>
      </c>
      <c r="H1036" s="2">
        <v>0</v>
      </c>
      <c r="I1036" s="2">
        <v>0.45</v>
      </c>
      <c r="J1036" s="2">
        <v>40.58</v>
      </c>
      <c r="K1036" s="5">
        <f>nantucket[[#This Row],[MW Factor]]-resources!$B$14</f>
        <v>-27</v>
      </c>
    </row>
    <row r="1037" spans="1:11" x14ac:dyDescent="0.3">
      <c r="A1037" t="s">
        <v>19</v>
      </c>
      <c r="B1037">
        <v>219</v>
      </c>
      <c r="C1037">
        <v>3</v>
      </c>
      <c r="D1037">
        <v>16255</v>
      </c>
      <c r="E1037" t="s">
        <v>10</v>
      </c>
      <c r="F1037">
        <v>30</v>
      </c>
      <c r="G1037" s="2">
        <v>40.229999999999997</v>
      </c>
      <c r="H1037" s="2">
        <v>0.7</v>
      </c>
      <c r="I1037" s="2">
        <v>0.31</v>
      </c>
      <c r="J1037" s="2">
        <v>41.24</v>
      </c>
      <c r="K1037" s="5">
        <f>nantucket[[#This Row],[MW Factor]]-resources!$B$14</f>
        <v>-27</v>
      </c>
    </row>
    <row r="1038" spans="1:11" x14ac:dyDescent="0.3">
      <c r="A1038" t="s">
        <v>20</v>
      </c>
      <c r="B1038">
        <v>243</v>
      </c>
      <c r="C1038">
        <v>3</v>
      </c>
      <c r="D1038">
        <v>16255</v>
      </c>
      <c r="E1038" t="s">
        <v>10</v>
      </c>
      <c r="F1038">
        <v>30</v>
      </c>
      <c r="G1038" s="2">
        <v>34.58</v>
      </c>
      <c r="H1038" s="2">
        <v>0.01</v>
      </c>
      <c r="I1038" s="2">
        <v>0.06</v>
      </c>
      <c r="J1038" s="2">
        <v>34.65</v>
      </c>
      <c r="K1038" s="5">
        <f>nantucket[[#This Row],[MW Factor]]-resources!$B$14</f>
        <v>-27</v>
      </c>
    </row>
    <row r="1039" spans="1:11" x14ac:dyDescent="0.3">
      <c r="A1039" t="s">
        <v>21</v>
      </c>
      <c r="B1039">
        <v>270</v>
      </c>
      <c r="C1039">
        <v>6</v>
      </c>
      <c r="D1039">
        <v>16255</v>
      </c>
      <c r="E1039" t="s">
        <v>10</v>
      </c>
      <c r="F1039">
        <v>30</v>
      </c>
      <c r="G1039" s="2">
        <v>30.72</v>
      </c>
      <c r="H1039" s="2">
        <v>0</v>
      </c>
      <c r="I1039" s="2">
        <v>0.25</v>
      </c>
      <c r="J1039" s="2">
        <v>30.97</v>
      </c>
      <c r="K1039" s="5">
        <f>nantucket[[#This Row],[MW Factor]]-resources!$B$14</f>
        <v>-27</v>
      </c>
    </row>
    <row r="1040" spans="1:11" x14ac:dyDescent="0.3">
      <c r="A1040" t="s">
        <v>22</v>
      </c>
      <c r="B1040">
        <v>294</v>
      </c>
      <c r="C1040">
        <v>6</v>
      </c>
      <c r="D1040">
        <v>16255</v>
      </c>
      <c r="E1040" t="s">
        <v>10</v>
      </c>
      <c r="F1040">
        <v>30</v>
      </c>
      <c r="G1040" s="2">
        <v>30.26</v>
      </c>
      <c r="H1040" s="2">
        <v>0</v>
      </c>
      <c r="I1040" s="2">
        <v>0.27</v>
      </c>
      <c r="J1040" s="2">
        <v>30.53</v>
      </c>
      <c r="K1040" s="5">
        <f>nantucket[[#This Row],[MW Factor]]-resources!$B$14</f>
        <v>-27</v>
      </c>
    </row>
    <row r="1041" spans="1:11" x14ac:dyDescent="0.3">
      <c r="A1041" t="s">
        <v>22</v>
      </c>
      <c r="B1041">
        <v>295</v>
      </c>
      <c r="C1041">
        <v>7</v>
      </c>
      <c r="D1041">
        <v>16255</v>
      </c>
      <c r="E1041" t="s">
        <v>10</v>
      </c>
      <c r="F1041">
        <v>30</v>
      </c>
      <c r="G1041" s="2">
        <v>31.95</v>
      </c>
      <c r="H1041" s="2">
        <v>0</v>
      </c>
      <c r="I1041" s="2">
        <v>0.27</v>
      </c>
      <c r="J1041" s="2">
        <v>32.22</v>
      </c>
      <c r="K1041" s="5">
        <f>nantucket[[#This Row],[MW Factor]]-resources!$B$14</f>
        <v>-27</v>
      </c>
    </row>
    <row r="1042" spans="1:11" x14ac:dyDescent="0.3">
      <c r="A1042" t="s">
        <v>23</v>
      </c>
      <c r="B1042">
        <v>315</v>
      </c>
      <c r="C1042">
        <v>3</v>
      </c>
      <c r="D1042">
        <v>16255</v>
      </c>
      <c r="E1042" t="s">
        <v>10</v>
      </c>
      <c r="F1042">
        <v>30</v>
      </c>
      <c r="G1042" s="2">
        <v>26.36</v>
      </c>
      <c r="H1042" s="2">
        <v>0</v>
      </c>
      <c r="I1042" s="2">
        <v>0.43</v>
      </c>
      <c r="J1042" s="2">
        <v>26.79</v>
      </c>
      <c r="K1042" s="5">
        <f>nantucket[[#This Row],[MW Factor]]-resources!$B$14</f>
        <v>-27</v>
      </c>
    </row>
    <row r="1043" spans="1:11" x14ac:dyDescent="0.3">
      <c r="A1043" t="s">
        <v>24</v>
      </c>
      <c r="B1043">
        <v>339</v>
      </c>
      <c r="C1043">
        <v>3</v>
      </c>
      <c r="D1043">
        <v>16255</v>
      </c>
      <c r="E1043" t="s">
        <v>10</v>
      </c>
      <c r="F1043">
        <v>30</v>
      </c>
      <c r="G1043" s="2">
        <v>30.8</v>
      </c>
      <c r="H1043" s="2">
        <v>0</v>
      </c>
      <c r="I1043" s="2">
        <v>0.28000000000000003</v>
      </c>
      <c r="J1043" s="2">
        <v>31.08</v>
      </c>
      <c r="K1043" s="5">
        <f>nantucket[[#This Row],[MW Factor]]-resources!$B$14</f>
        <v>-27</v>
      </c>
    </row>
    <row r="1044" spans="1:11" x14ac:dyDescent="0.3">
      <c r="A1044" t="s">
        <v>24</v>
      </c>
      <c r="B1044">
        <v>340</v>
      </c>
      <c r="C1044">
        <v>4</v>
      </c>
      <c r="D1044">
        <v>16255</v>
      </c>
      <c r="E1044" t="s">
        <v>10</v>
      </c>
      <c r="F1044">
        <v>30</v>
      </c>
      <c r="G1044" s="2">
        <v>31.25</v>
      </c>
      <c r="H1044" s="2">
        <v>0</v>
      </c>
      <c r="I1044" s="2">
        <v>0.28999999999999998</v>
      </c>
      <c r="J1044" s="2">
        <v>31.54</v>
      </c>
      <c r="K1044" s="5">
        <f>nantucket[[#This Row],[MW Factor]]-resources!$B$14</f>
        <v>-27</v>
      </c>
    </row>
    <row r="1045" spans="1:11" x14ac:dyDescent="0.3">
      <c r="A1045" t="s">
        <v>24</v>
      </c>
      <c r="B1045">
        <v>343</v>
      </c>
      <c r="C1045">
        <v>7</v>
      </c>
      <c r="D1045">
        <v>16255</v>
      </c>
      <c r="E1045" t="s">
        <v>10</v>
      </c>
      <c r="F1045">
        <v>30</v>
      </c>
      <c r="G1045" s="2">
        <v>26.32</v>
      </c>
      <c r="H1045" s="2">
        <v>0</v>
      </c>
      <c r="I1045" s="2">
        <v>0.39</v>
      </c>
      <c r="J1045" s="2">
        <v>26.71</v>
      </c>
      <c r="K1045" s="5">
        <f>nantucket[[#This Row],[MW Factor]]-resources!$B$14</f>
        <v>-27</v>
      </c>
    </row>
    <row r="1046" spans="1:11" x14ac:dyDescent="0.3">
      <c r="A1046" t="s">
        <v>28</v>
      </c>
      <c r="B1046">
        <v>435</v>
      </c>
      <c r="C1046">
        <v>3</v>
      </c>
      <c r="D1046">
        <v>16255</v>
      </c>
      <c r="E1046" t="s">
        <v>10</v>
      </c>
      <c r="F1046">
        <v>30</v>
      </c>
      <c r="G1046" s="2">
        <v>25.21</v>
      </c>
      <c r="H1046" s="2">
        <v>0</v>
      </c>
      <c r="I1046" s="2">
        <v>0.54</v>
      </c>
      <c r="J1046" s="2">
        <v>25.75</v>
      </c>
      <c r="K1046" s="5">
        <f>nantucket[[#This Row],[MW Factor]]-resources!$B$14</f>
        <v>-27</v>
      </c>
    </row>
    <row r="1047" spans="1:11" x14ac:dyDescent="0.3">
      <c r="A1047" t="s">
        <v>30</v>
      </c>
      <c r="B1047">
        <v>483</v>
      </c>
      <c r="C1047">
        <v>3</v>
      </c>
      <c r="D1047">
        <v>16255</v>
      </c>
      <c r="E1047" t="s">
        <v>10</v>
      </c>
      <c r="F1047">
        <v>30</v>
      </c>
      <c r="G1047" s="2">
        <v>26.34</v>
      </c>
      <c r="H1047" s="2">
        <v>0</v>
      </c>
      <c r="I1047" s="2">
        <v>0.55000000000000004</v>
      </c>
      <c r="J1047" s="2">
        <v>26.89</v>
      </c>
      <c r="K1047" s="5">
        <f>nantucket[[#This Row],[MW Factor]]-resources!$B$14</f>
        <v>-27</v>
      </c>
    </row>
    <row r="1048" spans="1:11" x14ac:dyDescent="0.3">
      <c r="A1048" t="s">
        <v>32</v>
      </c>
      <c r="B1048">
        <v>531</v>
      </c>
      <c r="C1048">
        <v>3</v>
      </c>
      <c r="D1048">
        <v>16255</v>
      </c>
      <c r="E1048" t="s">
        <v>10</v>
      </c>
      <c r="F1048">
        <v>30</v>
      </c>
      <c r="G1048" s="2">
        <v>34.9</v>
      </c>
      <c r="H1048" s="2">
        <v>0</v>
      </c>
      <c r="I1048" s="2">
        <v>0.38</v>
      </c>
      <c r="J1048" s="2">
        <v>35.28</v>
      </c>
      <c r="K1048" s="5">
        <f>nantucket[[#This Row],[MW Factor]]-resources!$B$14</f>
        <v>-27</v>
      </c>
    </row>
    <row r="1049" spans="1:11" x14ac:dyDescent="0.3">
      <c r="A1049" t="s">
        <v>33</v>
      </c>
      <c r="B1049">
        <v>576</v>
      </c>
      <c r="C1049">
        <v>24</v>
      </c>
      <c r="D1049">
        <v>16255</v>
      </c>
      <c r="E1049" t="s">
        <v>10</v>
      </c>
      <c r="F1049">
        <v>30</v>
      </c>
      <c r="G1049" s="2">
        <v>28.53</v>
      </c>
      <c r="H1049" s="2">
        <v>0</v>
      </c>
      <c r="I1049" s="2">
        <v>0.06</v>
      </c>
      <c r="J1049" s="2">
        <v>28.59</v>
      </c>
      <c r="K1049" s="5">
        <f>nantucket[[#This Row],[MW Factor]]-resources!$B$14</f>
        <v>-27</v>
      </c>
    </row>
    <row r="1050" spans="1:11" x14ac:dyDescent="0.3">
      <c r="A1050" t="s">
        <v>34</v>
      </c>
      <c r="B1050">
        <v>585</v>
      </c>
      <c r="C1050">
        <v>9</v>
      </c>
      <c r="D1050">
        <v>16255</v>
      </c>
      <c r="E1050" t="s">
        <v>10</v>
      </c>
      <c r="F1050">
        <v>30</v>
      </c>
      <c r="G1050" s="2">
        <v>41.62</v>
      </c>
      <c r="H1050" s="2">
        <v>0</v>
      </c>
      <c r="I1050" s="2">
        <v>0.09</v>
      </c>
      <c r="J1050" s="2">
        <v>41.71</v>
      </c>
      <c r="K1050" s="5">
        <f>nantucket[[#This Row],[MW Factor]]-resources!$B$14</f>
        <v>-27</v>
      </c>
    </row>
    <row r="1051" spans="1:11" x14ac:dyDescent="0.3">
      <c r="A1051" t="s">
        <v>36</v>
      </c>
      <c r="B1051">
        <v>625</v>
      </c>
      <c r="C1051">
        <v>1</v>
      </c>
      <c r="D1051">
        <v>16255</v>
      </c>
      <c r="E1051" t="s">
        <v>10</v>
      </c>
      <c r="F1051">
        <v>30</v>
      </c>
      <c r="G1051" s="2">
        <v>26.84</v>
      </c>
      <c r="H1051" s="2">
        <v>0</v>
      </c>
      <c r="I1051" s="2">
        <v>0.5</v>
      </c>
      <c r="J1051" s="2">
        <v>27.34</v>
      </c>
      <c r="K1051" s="5">
        <f>nantucket[[#This Row],[MW Factor]]-resources!$B$14</f>
        <v>-27</v>
      </c>
    </row>
    <row r="1052" spans="1:11" x14ac:dyDescent="0.3">
      <c r="A1052" t="s">
        <v>37</v>
      </c>
      <c r="B1052">
        <v>649</v>
      </c>
      <c r="C1052">
        <v>1</v>
      </c>
      <c r="D1052">
        <v>16255</v>
      </c>
      <c r="E1052" t="s">
        <v>10</v>
      </c>
      <c r="F1052">
        <v>30</v>
      </c>
      <c r="G1052" s="2">
        <v>24.84</v>
      </c>
      <c r="H1052" s="2">
        <v>0</v>
      </c>
      <c r="I1052" s="2">
        <v>0.4</v>
      </c>
      <c r="J1052" s="2">
        <v>25.24</v>
      </c>
      <c r="K1052" s="5">
        <f>nantucket[[#This Row],[MW Factor]]-resources!$B$14</f>
        <v>-27</v>
      </c>
    </row>
    <row r="1053" spans="1:11" x14ac:dyDescent="0.3">
      <c r="A1053" t="s">
        <v>40</v>
      </c>
      <c r="B1053">
        <v>723</v>
      </c>
      <c r="C1053">
        <v>3</v>
      </c>
      <c r="D1053">
        <v>16255</v>
      </c>
      <c r="E1053" t="s">
        <v>10</v>
      </c>
      <c r="F1053">
        <v>30</v>
      </c>
      <c r="G1053" s="2">
        <v>40.61</v>
      </c>
      <c r="H1053" s="2">
        <v>0</v>
      </c>
      <c r="I1053" s="2">
        <v>0.1</v>
      </c>
      <c r="J1053" s="2">
        <v>40.71</v>
      </c>
      <c r="K1053" s="5">
        <f>nantucket[[#This Row],[MW Factor]]-resources!$B$14</f>
        <v>-27</v>
      </c>
    </row>
    <row r="1054" spans="1:11" x14ac:dyDescent="0.3">
      <c r="A1054" t="s">
        <v>40</v>
      </c>
      <c r="B1054">
        <v>728</v>
      </c>
      <c r="C1054">
        <v>8</v>
      </c>
      <c r="D1054">
        <v>16255</v>
      </c>
      <c r="E1054" t="s">
        <v>10</v>
      </c>
      <c r="F1054">
        <v>30</v>
      </c>
      <c r="G1054" s="2">
        <v>48.84</v>
      </c>
      <c r="H1054" s="2">
        <v>0</v>
      </c>
      <c r="I1054" s="2">
        <v>0.44</v>
      </c>
      <c r="J1054" s="2">
        <v>49.28</v>
      </c>
      <c r="K1054" s="5">
        <f>nantucket[[#This Row],[MW Factor]]-resources!$B$14</f>
        <v>-27</v>
      </c>
    </row>
    <row r="1055" spans="1:11" x14ac:dyDescent="0.3">
      <c r="A1055" t="s">
        <v>41</v>
      </c>
      <c r="B1055">
        <v>748</v>
      </c>
      <c r="C1055">
        <v>4</v>
      </c>
      <c r="D1055">
        <v>16255</v>
      </c>
      <c r="E1055" t="s">
        <v>10</v>
      </c>
      <c r="F1055">
        <v>30</v>
      </c>
      <c r="G1055" s="2">
        <v>31.43</v>
      </c>
      <c r="H1055" s="2">
        <v>0</v>
      </c>
      <c r="I1055" s="2">
        <v>0.37</v>
      </c>
      <c r="J1055" s="2">
        <v>31.8</v>
      </c>
      <c r="K1055" s="5">
        <f>nantucket[[#This Row],[MW Factor]]-resources!$B$14</f>
        <v>-27</v>
      </c>
    </row>
    <row r="1056" spans="1:11" x14ac:dyDescent="0.3">
      <c r="A1056" t="s">
        <v>41</v>
      </c>
      <c r="B1056">
        <v>749</v>
      </c>
      <c r="C1056">
        <v>5</v>
      </c>
      <c r="D1056">
        <v>16255</v>
      </c>
      <c r="E1056" t="s">
        <v>10</v>
      </c>
      <c r="F1056">
        <v>30</v>
      </c>
      <c r="G1056" s="2">
        <v>34.54</v>
      </c>
      <c r="H1056" s="2">
        <v>0</v>
      </c>
      <c r="I1056" s="2">
        <v>0.4</v>
      </c>
      <c r="J1056" s="2">
        <v>34.94</v>
      </c>
      <c r="K1056" s="5">
        <f>nantucket[[#This Row],[MW Factor]]-resources!$B$14</f>
        <v>-27</v>
      </c>
    </row>
    <row r="1057" spans="1:11" x14ac:dyDescent="0.3">
      <c r="A1057" t="s">
        <v>45</v>
      </c>
      <c r="B1057">
        <v>845</v>
      </c>
      <c r="C1057">
        <v>5</v>
      </c>
      <c r="D1057">
        <v>16255</v>
      </c>
      <c r="E1057" t="s">
        <v>10</v>
      </c>
      <c r="F1057">
        <v>30</v>
      </c>
      <c r="G1057" s="2">
        <v>22.89</v>
      </c>
      <c r="H1057" s="2">
        <v>0</v>
      </c>
      <c r="I1057" s="2">
        <v>0.34</v>
      </c>
      <c r="J1057" s="2">
        <v>23.23</v>
      </c>
      <c r="K1057" s="5">
        <f>nantucket[[#This Row],[MW Factor]]-resources!$B$14</f>
        <v>-27</v>
      </c>
    </row>
    <row r="1058" spans="1:11" x14ac:dyDescent="0.3">
      <c r="A1058" t="s">
        <v>45</v>
      </c>
      <c r="B1058">
        <v>846</v>
      </c>
      <c r="C1058">
        <v>6</v>
      </c>
      <c r="D1058">
        <v>16255</v>
      </c>
      <c r="E1058" t="s">
        <v>10</v>
      </c>
      <c r="F1058">
        <v>30</v>
      </c>
      <c r="G1058" s="2">
        <v>22.39</v>
      </c>
      <c r="H1058" s="2">
        <v>0</v>
      </c>
      <c r="I1058" s="2">
        <v>0.34</v>
      </c>
      <c r="J1058" s="2">
        <v>22.73</v>
      </c>
      <c r="K1058" s="5">
        <f>nantucket[[#This Row],[MW Factor]]-resources!$B$14</f>
        <v>-27</v>
      </c>
    </row>
    <row r="1059" spans="1:11" x14ac:dyDescent="0.3">
      <c r="A1059" t="s">
        <v>45</v>
      </c>
      <c r="B1059">
        <v>847</v>
      </c>
      <c r="C1059">
        <v>7</v>
      </c>
      <c r="D1059">
        <v>16255</v>
      </c>
      <c r="E1059" t="s">
        <v>10</v>
      </c>
      <c r="F1059">
        <v>30</v>
      </c>
      <c r="G1059" s="2">
        <v>22.53</v>
      </c>
      <c r="H1059" s="2">
        <v>0</v>
      </c>
      <c r="I1059" s="2">
        <v>0.4</v>
      </c>
      <c r="J1059" s="2">
        <v>22.93</v>
      </c>
      <c r="K1059" s="5">
        <f>nantucket[[#This Row],[MW Factor]]-resources!$B$14</f>
        <v>-27</v>
      </c>
    </row>
    <row r="1060" spans="1:11" x14ac:dyDescent="0.3">
      <c r="A1060" t="s">
        <v>48</v>
      </c>
      <c r="B1060">
        <v>923</v>
      </c>
      <c r="C1060">
        <v>11</v>
      </c>
      <c r="D1060">
        <v>16255</v>
      </c>
      <c r="E1060" t="s">
        <v>10</v>
      </c>
      <c r="F1060">
        <v>30</v>
      </c>
      <c r="G1060" s="2">
        <v>33.020000000000003</v>
      </c>
      <c r="H1060" s="2">
        <v>0</v>
      </c>
      <c r="I1060" s="2">
        <v>0.57999999999999996</v>
      </c>
      <c r="J1060" s="2">
        <v>33.6</v>
      </c>
      <c r="K1060" s="5">
        <f>nantucket[[#This Row],[MW Factor]]-resources!$B$14</f>
        <v>-27</v>
      </c>
    </row>
    <row r="1061" spans="1:11" x14ac:dyDescent="0.3">
      <c r="A1061" t="s">
        <v>48</v>
      </c>
      <c r="B1061">
        <v>924</v>
      </c>
      <c r="C1061">
        <v>12</v>
      </c>
      <c r="D1061">
        <v>16255</v>
      </c>
      <c r="E1061" t="s">
        <v>10</v>
      </c>
      <c r="F1061">
        <v>30</v>
      </c>
      <c r="G1061" s="2">
        <v>31.16</v>
      </c>
      <c r="H1061" s="2">
        <v>0</v>
      </c>
      <c r="I1061" s="2">
        <v>0.49</v>
      </c>
      <c r="J1061" s="2">
        <v>31.65</v>
      </c>
      <c r="K1061" s="5">
        <f>nantucket[[#This Row],[MW Factor]]-resources!$B$14</f>
        <v>-27</v>
      </c>
    </row>
    <row r="1062" spans="1:11" x14ac:dyDescent="0.3">
      <c r="A1062" t="s">
        <v>50</v>
      </c>
      <c r="B1062">
        <v>965</v>
      </c>
      <c r="C1062">
        <v>5</v>
      </c>
      <c r="D1062">
        <v>16255</v>
      </c>
      <c r="E1062" t="s">
        <v>10</v>
      </c>
      <c r="F1062">
        <v>30</v>
      </c>
      <c r="G1062" s="2">
        <v>25.73</v>
      </c>
      <c r="H1062" s="2">
        <v>0.22</v>
      </c>
      <c r="I1062" s="2">
        <v>0.61</v>
      </c>
      <c r="J1062" s="2">
        <v>26.56</v>
      </c>
      <c r="K1062" s="5">
        <f>nantucket[[#This Row],[MW Factor]]-resources!$B$14</f>
        <v>-27</v>
      </c>
    </row>
    <row r="1063" spans="1:11" x14ac:dyDescent="0.3">
      <c r="A1063" t="s">
        <v>50</v>
      </c>
      <c r="B1063">
        <v>966</v>
      </c>
      <c r="C1063">
        <v>6</v>
      </c>
      <c r="D1063">
        <v>16255</v>
      </c>
      <c r="E1063" t="s">
        <v>10</v>
      </c>
      <c r="F1063">
        <v>30</v>
      </c>
      <c r="G1063" s="2">
        <v>27.51</v>
      </c>
      <c r="H1063" s="2">
        <v>0.12</v>
      </c>
      <c r="I1063" s="2">
        <v>0.63</v>
      </c>
      <c r="J1063" s="2">
        <v>28.26</v>
      </c>
      <c r="K1063" s="5">
        <f>nantucket[[#This Row],[MW Factor]]-resources!$B$14</f>
        <v>-27</v>
      </c>
    </row>
    <row r="1064" spans="1:11" x14ac:dyDescent="0.3">
      <c r="A1064" t="s">
        <v>51</v>
      </c>
      <c r="B1064">
        <v>986</v>
      </c>
      <c r="C1064">
        <v>2</v>
      </c>
      <c r="D1064">
        <v>16255</v>
      </c>
      <c r="E1064" t="s">
        <v>10</v>
      </c>
      <c r="F1064">
        <v>30</v>
      </c>
      <c r="G1064" s="2">
        <v>22.85</v>
      </c>
      <c r="H1064" s="2">
        <v>0</v>
      </c>
      <c r="I1064" s="2">
        <v>0.66</v>
      </c>
      <c r="J1064" s="2">
        <v>23.51</v>
      </c>
      <c r="K1064" s="5">
        <f>nantucket[[#This Row],[MW Factor]]-resources!$B$14</f>
        <v>-27</v>
      </c>
    </row>
    <row r="1065" spans="1:11" x14ac:dyDescent="0.3">
      <c r="A1065" t="s">
        <v>52</v>
      </c>
      <c r="B1065">
        <v>1009</v>
      </c>
      <c r="C1065">
        <v>1</v>
      </c>
      <c r="D1065">
        <v>16255</v>
      </c>
      <c r="E1065" t="s">
        <v>10</v>
      </c>
      <c r="F1065">
        <v>30</v>
      </c>
      <c r="G1065" s="2">
        <v>21.26</v>
      </c>
      <c r="H1065" s="2">
        <v>0</v>
      </c>
      <c r="I1065" s="2">
        <v>0.41</v>
      </c>
      <c r="J1065" s="2">
        <v>21.67</v>
      </c>
      <c r="K1065" s="5">
        <f>nantucket[[#This Row],[MW Factor]]-resources!$B$14</f>
        <v>-27</v>
      </c>
    </row>
    <row r="1066" spans="1:11" x14ac:dyDescent="0.3">
      <c r="A1066" t="s">
        <v>53</v>
      </c>
      <c r="B1066">
        <v>1041</v>
      </c>
      <c r="C1066">
        <v>9</v>
      </c>
      <c r="D1066">
        <v>16255</v>
      </c>
      <c r="E1066" t="s">
        <v>10</v>
      </c>
      <c r="F1066">
        <v>30</v>
      </c>
      <c r="G1066" s="2">
        <v>25.11</v>
      </c>
      <c r="H1066" s="2">
        <v>0</v>
      </c>
      <c r="I1066" s="2">
        <v>0.39</v>
      </c>
      <c r="J1066" s="2">
        <v>25.5</v>
      </c>
      <c r="K1066" s="5">
        <f>nantucket[[#This Row],[MW Factor]]-resources!$B$14</f>
        <v>-27</v>
      </c>
    </row>
    <row r="1067" spans="1:11" x14ac:dyDescent="0.3">
      <c r="A1067" t="s">
        <v>54</v>
      </c>
      <c r="B1067">
        <v>1065</v>
      </c>
      <c r="C1067">
        <v>9</v>
      </c>
      <c r="D1067">
        <v>16255</v>
      </c>
      <c r="E1067" t="s">
        <v>10</v>
      </c>
      <c r="F1067">
        <v>30</v>
      </c>
      <c r="G1067" s="2">
        <v>27.02</v>
      </c>
      <c r="H1067" s="2">
        <v>0</v>
      </c>
      <c r="I1067" s="2">
        <v>0.38</v>
      </c>
      <c r="J1067" s="2">
        <v>27.4</v>
      </c>
      <c r="K1067" s="5">
        <f>nantucket[[#This Row],[MW Factor]]-resources!$B$14</f>
        <v>-27</v>
      </c>
    </row>
    <row r="1068" spans="1:11" x14ac:dyDescent="0.3">
      <c r="A1068" t="s">
        <v>56</v>
      </c>
      <c r="B1068">
        <v>1113</v>
      </c>
      <c r="C1068">
        <v>9</v>
      </c>
      <c r="D1068">
        <v>16255</v>
      </c>
      <c r="E1068" t="s">
        <v>10</v>
      </c>
      <c r="F1068">
        <v>30</v>
      </c>
      <c r="G1068" s="2">
        <v>42.91</v>
      </c>
      <c r="H1068" s="2">
        <v>0</v>
      </c>
      <c r="I1068" s="2">
        <v>0.56999999999999995</v>
      </c>
      <c r="J1068" s="2">
        <v>43.48</v>
      </c>
      <c r="K1068" s="5">
        <f>nantucket[[#This Row],[MW Factor]]-resources!$B$14</f>
        <v>-27</v>
      </c>
    </row>
    <row r="1069" spans="1:11" x14ac:dyDescent="0.3">
      <c r="A1069" t="s">
        <v>57</v>
      </c>
      <c r="B1069">
        <v>1152</v>
      </c>
      <c r="C1069">
        <v>24</v>
      </c>
      <c r="D1069">
        <v>16255</v>
      </c>
      <c r="E1069" t="s">
        <v>10</v>
      </c>
      <c r="F1069">
        <v>30</v>
      </c>
      <c r="G1069" s="2">
        <v>21.98</v>
      </c>
      <c r="H1069" s="2">
        <v>0</v>
      </c>
      <c r="I1069" s="2">
        <v>0.33</v>
      </c>
      <c r="J1069" s="2">
        <v>22.31</v>
      </c>
      <c r="K1069" s="5">
        <f>nantucket[[#This Row],[MW Factor]]-resources!$B$14</f>
        <v>-27</v>
      </c>
    </row>
    <row r="1070" spans="1:11" x14ac:dyDescent="0.3">
      <c r="A1070" t="s">
        <v>58</v>
      </c>
      <c r="B1070">
        <v>1162</v>
      </c>
      <c r="C1070">
        <v>10</v>
      </c>
      <c r="D1070">
        <v>16255</v>
      </c>
      <c r="E1070" t="s">
        <v>10</v>
      </c>
      <c r="F1070">
        <v>30</v>
      </c>
      <c r="G1070" s="2">
        <v>22.38</v>
      </c>
      <c r="H1070" s="2">
        <v>0</v>
      </c>
      <c r="I1070" s="2">
        <v>0.37</v>
      </c>
      <c r="J1070" s="2">
        <v>22.75</v>
      </c>
      <c r="K1070" s="5">
        <f>nantucket[[#This Row],[MW Factor]]-resources!$B$14</f>
        <v>-27</v>
      </c>
    </row>
    <row r="1071" spans="1:11" x14ac:dyDescent="0.3">
      <c r="A1071" t="s">
        <v>59</v>
      </c>
      <c r="B1071">
        <v>1185</v>
      </c>
      <c r="C1071">
        <v>9</v>
      </c>
      <c r="D1071">
        <v>16255</v>
      </c>
      <c r="E1071" t="s">
        <v>10</v>
      </c>
      <c r="F1071">
        <v>30</v>
      </c>
      <c r="G1071" s="2">
        <v>26.69</v>
      </c>
      <c r="H1071" s="2">
        <v>0</v>
      </c>
      <c r="I1071" s="2">
        <v>0.25</v>
      </c>
      <c r="J1071" s="2">
        <v>26.94</v>
      </c>
      <c r="K1071" s="5">
        <f>nantucket[[#This Row],[MW Factor]]-resources!$B$14</f>
        <v>-27</v>
      </c>
    </row>
    <row r="1072" spans="1:11" x14ac:dyDescent="0.3">
      <c r="A1072" t="s">
        <v>60</v>
      </c>
      <c r="B1072">
        <v>1209</v>
      </c>
      <c r="C1072">
        <v>9</v>
      </c>
      <c r="D1072">
        <v>16255</v>
      </c>
      <c r="E1072" t="s">
        <v>10</v>
      </c>
      <c r="F1072">
        <v>30</v>
      </c>
      <c r="G1072" s="2">
        <v>27.18</v>
      </c>
      <c r="H1072" s="2">
        <v>0</v>
      </c>
      <c r="I1072" s="2">
        <v>0.57999999999999996</v>
      </c>
      <c r="J1072" s="2">
        <v>27.76</v>
      </c>
      <c r="K1072" s="5">
        <f>nantucket[[#This Row],[MW Factor]]-resources!$B$14</f>
        <v>-27</v>
      </c>
    </row>
    <row r="1073" spans="1:11" x14ac:dyDescent="0.3">
      <c r="A1073" t="s">
        <v>61</v>
      </c>
      <c r="B1073">
        <v>1237</v>
      </c>
      <c r="C1073">
        <v>13</v>
      </c>
      <c r="D1073">
        <v>16255</v>
      </c>
      <c r="E1073" t="s">
        <v>10</v>
      </c>
      <c r="F1073">
        <v>30</v>
      </c>
      <c r="G1073" s="2">
        <v>21.54</v>
      </c>
      <c r="H1073" s="2">
        <v>0</v>
      </c>
      <c r="I1073" s="2">
        <v>0.3</v>
      </c>
      <c r="J1073" s="2">
        <v>21.84</v>
      </c>
      <c r="K1073" s="5">
        <f>nantucket[[#This Row],[MW Factor]]-resources!$B$14</f>
        <v>-27</v>
      </c>
    </row>
    <row r="1074" spans="1:11" x14ac:dyDescent="0.3">
      <c r="A1074" t="s">
        <v>61</v>
      </c>
      <c r="B1074">
        <v>1238</v>
      </c>
      <c r="C1074">
        <v>14</v>
      </c>
      <c r="D1074">
        <v>16255</v>
      </c>
      <c r="E1074" t="s">
        <v>10</v>
      </c>
      <c r="F1074">
        <v>30</v>
      </c>
      <c r="G1074" s="2">
        <v>21.76</v>
      </c>
      <c r="H1074" s="2">
        <v>0</v>
      </c>
      <c r="I1074" s="2">
        <v>0.31</v>
      </c>
      <c r="J1074" s="2">
        <v>22.07</v>
      </c>
      <c r="K1074" s="5">
        <f>nantucket[[#This Row],[MW Factor]]-resources!$B$14</f>
        <v>-27</v>
      </c>
    </row>
    <row r="1075" spans="1:11" x14ac:dyDescent="0.3">
      <c r="A1075" t="s">
        <v>61</v>
      </c>
      <c r="B1075">
        <v>1239</v>
      </c>
      <c r="C1075">
        <v>15</v>
      </c>
      <c r="D1075">
        <v>16255</v>
      </c>
      <c r="E1075" t="s">
        <v>10</v>
      </c>
      <c r="F1075">
        <v>30</v>
      </c>
      <c r="G1075" s="2">
        <v>21.82</v>
      </c>
      <c r="H1075" s="2">
        <v>0</v>
      </c>
      <c r="I1075" s="2">
        <v>0.34</v>
      </c>
      <c r="J1075" s="2">
        <v>22.16</v>
      </c>
      <c r="K1075" s="5">
        <f>nantucket[[#This Row],[MW Factor]]-resources!$B$14</f>
        <v>-27</v>
      </c>
    </row>
    <row r="1076" spans="1:11" x14ac:dyDescent="0.3">
      <c r="A1076" t="s">
        <v>61</v>
      </c>
      <c r="B1076">
        <v>1240</v>
      </c>
      <c r="C1076">
        <v>16</v>
      </c>
      <c r="D1076">
        <v>16255</v>
      </c>
      <c r="E1076" t="s">
        <v>10</v>
      </c>
      <c r="F1076">
        <v>30</v>
      </c>
      <c r="G1076" s="2">
        <v>21.84</v>
      </c>
      <c r="H1076" s="2">
        <v>0</v>
      </c>
      <c r="I1076" s="2">
        <v>0.39</v>
      </c>
      <c r="J1076" s="2">
        <v>22.23</v>
      </c>
      <c r="K1076" s="5">
        <f>nantucket[[#This Row],[MW Factor]]-resources!$B$14</f>
        <v>-27</v>
      </c>
    </row>
    <row r="1077" spans="1:11" x14ac:dyDescent="0.3">
      <c r="A1077" t="s">
        <v>62</v>
      </c>
      <c r="B1077">
        <v>1264</v>
      </c>
      <c r="C1077">
        <v>16</v>
      </c>
      <c r="D1077">
        <v>16255</v>
      </c>
      <c r="E1077" t="s">
        <v>10</v>
      </c>
      <c r="F1077">
        <v>30</v>
      </c>
      <c r="G1077" s="2">
        <v>21.9</v>
      </c>
      <c r="H1077" s="2">
        <v>0</v>
      </c>
      <c r="I1077" s="2">
        <v>0.3</v>
      </c>
      <c r="J1077" s="2">
        <v>22.2</v>
      </c>
      <c r="K1077" s="5">
        <f>nantucket[[#This Row],[MW Factor]]-resources!$B$14</f>
        <v>-27</v>
      </c>
    </row>
    <row r="1078" spans="1:11" x14ac:dyDescent="0.3">
      <c r="A1078" t="s">
        <v>63</v>
      </c>
      <c r="B1078">
        <v>1296</v>
      </c>
      <c r="C1078">
        <v>24</v>
      </c>
      <c r="D1078">
        <v>16255</v>
      </c>
      <c r="E1078" t="s">
        <v>10</v>
      </c>
      <c r="F1078">
        <v>30</v>
      </c>
      <c r="G1078" s="2">
        <v>21.41</v>
      </c>
      <c r="H1078" s="2">
        <v>0</v>
      </c>
      <c r="I1078" s="2">
        <v>0.47</v>
      </c>
      <c r="J1078" s="2">
        <v>21.88</v>
      </c>
      <c r="K1078" s="5">
        <f>nantucket[[#This Row],[MW Factor]]-resources!$B$14</f>
        <v>-27</v>
      </c>
    </row>
    <row r="1079" spans="1:11" x14ac:dyDescent="0.3">
      <c r="A1079" t="s">
        <v>66</v>
      </c>
      <c r="B1079">
        <v>1353</v>
      </c>
      <c r="C1079">
        <v>9</v>
      </c>
      <c r="D1079">
        <v>16255</v>
      </c>
      <c r="E1079" t="s">
        <v>10</v>
      </c>
      <c r="F1079">
        <v>30</v>
      </c>
      <c r="G1079" s="2">
        <v>26.32</v>
      </c>
      <c r="H1079" s="2">
        <v>0</v>
      </c>
      <c r="I1079" s="2">
        <v>0.1</v>
      </c>
      <c r="J1079" s="2">
        <v>26.42</v>
      </c>
      <c r="K1079" s="5">
        <f>nantucket[[#This Row],[MW Factor]]-resources!$B$14</f>
        <v>-27</v>
      </c>
    </row>
    <row r="1080" spans="1:11" x14ac:dyDescent="0.3">
      <c r="A1080" t="s">
        <v>67</v>
      </c>
      <c r="B1080">
        <v>1379</v>
      </c>
      <c r="C1080">
        <v>11</v>
      </c>
      <c r="D1080">
        <v>16255</v>
      </c>
      <c r="E1080" t="s">
        <v>10</v>
      </c>
      <c r="F1080">
        <v>30</v>
      </c>
      <c r="G1080" s="2">
        <v>23.88</v>
      </c>
      <c r="H1080" s="2">
        <v>0</v>
      </c>
      <c r="I1080" s="2">
        <v>0.19</v>
      </c>
      <c r="J1080" s="2">
        <v>24.07</v>
      </c>
      <c r="K1080" s="5">
        <f>nantucket[[#This Row],[MW Factor]]-resources!$B$14</f>
        <v>-27</v>
      </c>
    </row>
    <row r="1081" spans="1:11" x14ac:dyDescent="0.3">
      <c r="A1081" t="s">
        <v>67</v>
      </c>
      <c r="B1081">
        <v>1392</v>
      </c>
      <c r="C1081">
        <v>24</v>
      </c>
      <c r="D1081">
        <v>16255</v>
      </c>
      <c r="E1081" t="s">
        <v>10</v>
      </c>
      <c r="F1081">
        <v>30</v>
      </c>
      <c r="G1081" s="2">
        <v>24.58</v>
      </c>
      <c r="H1081" s="2">
        <v>0</v>
      </c>
      <c r="I1081" s="2">
        <v>0.39</v>
      </c>
      <c r="J1081" s="2">
        <v>24.97</v>
      </c>
      <c r="K1081" s="5">
        <f>nantucket[[#This Row],[MW Factor]]-resources!$B$14</f>
        <v>-27</v>
      </c>
    </row>
    <row r="1082" spans="1:11" x14ac:dyDescent="0.3">
      <c r="A1082" t="s">
        <v>68</v>
      </c>
      <c r="B1082">
        <v>1401</v>
      </c>
      <c r="C1082">
        <v>9</v>
      </c>
      <c r="D1082">
        <v>16255</v>
      </c>
      <c r="E1082" t="s">
        <v>10</v>
      </c>
      <c r="F1082">
        <v>30</v>
      </c>
      <c r="G1082" s="2">
        <v>25.6</v>
      </c>
      <c r="H1082" s="2">
        <v>0</v>
      </c>
      <c r="I1082" s="2">
        <v>0.39</v>
      </c>
      <c r="J1082" s="2">
        <v>25.99</v>
      </c>
      <c r="K1082" s="5">
        <f>nantucket[[#This Row],[MW Factor]]-resources!$B$14</f>
        <v>-27</v>
      </c>
    </row>
    <row r="1083" spans="1:11" x14ac:dyDescent="0.3">
      <c r="A1083" t="s">
        <v>69</v>
      </c>
      <c r="B1083">
        <v>1426</v>
      </c>
      <c r="C1083">
        <v>10</v>
      </c>
      <c r="D1083">
        <v>16255</v>
      </c>
      <c r="E1083" t="s">
        <v>10</v>
      </c>
      <c r="F1083">
        <v>30</v>
      </c>
      <c r="G1083" s="2">
        <v>51.16</v>
      </c>
      <c r="H1083" s="2">
        <v>0.15</v>
      </c>
      <c r="I1083" s="2">
        <v>0.91</v>
      </c>
      <c r="J1083" s="2">
        <v>52.22</v>
      </c>
      <c r="K1083" s="5">
        <f>nantucket[[#This Row],[MW Factor]]-resources!$B$14</f>
        <v>-27</v>
      </c>
    </row>
    <row r="1084" spans="1:11" x14ac:dyDescent="0.3">
      <c r="A1084" t="s">
        <v>69</v>
      </c>
      <c r="B1084">
        <v>1427</v>
      </c>
      <c r="C1084">
        <v>11</v>
      </c>
      <c r="D1084">
        <v>16255</v>
      </c>
      <c r="E1084" t="s">
        <v>10</v>
      </c>
      <c r="F1084">
        <v>30</v>
      </c>
      <c r="G1084" s="2">
        <v>37.369999999999997</v>
      </c>
      <c r="H1084" s="2">
        <v>0.06</v>
      </c>
      <c r="I1084" s="2">
        <v>0.67</v>
      </c>
      <c r="J1084" s="2">
        <v>38.1</v>
      </c>
      <c r="K1084" s="5">
        <f>nantucket[[#This Row],[MW Factor]]-resources!$B$14</f>
        <v>-27</v>
      </c>
    </row>
    <row r="1085" spans="1:11" x14ac:dyDescent="0.3">
      <c r="A1085" t="s">
        <v>69</v>
      </c>
      <c r="B1085">
        <v>1428</v>
      </c>
      <c r="C1085">
        <v>12</v>
      </c>
      <c r="D1085">
        <v>16255</v>
      </c>
      <c r="E1085" t="s">
        <v>10</v>
      </c>
      <c r="F1085">
        <v>30</v>
      </c>
      <c r="G1085" s="2">
        <v>40.380000000000003</v>
      </c>
      <c r="H1085" s="2">
        <v>0.1</v>
      </c>
      <c r="I1085" s="2">
        <v>0.69</v>
      </c>
      <c r="J1085" s="2">
        <v>41.17</v>
      </c>
      <c r="K1085" s="5">
        <f>nantucket[[#This Row],[MW Factor]]-resources!$B$14</f>
        <v>-27</v>
      </c>
    </row>
    <row r="1086" spans="1:11" x14ac:dyDescent="0.3">
      <c r="A1086" t="s">
        <v>69</v>
      </c>
      <c r="B1086">
        <v>1431</v>
      </c>
      <c r="C1086">
        <v>15</v>
      </c>
      <c r="D1086">
        <v>16255</v>
      </c>
      <c r="E1086" t="s">
        <v>10</v>
      </c>
      <c r="F1086">
        <v>30</v>
      </c>
      <c r="G1086" s="2">
        <v>35.61</v>
      </c>
      <c r="H1086" s="2">
        <v>0</v>
      </c>
      <c r="I1086" s="2">
        <v>0.52</v>
      </c>
      <c r="J1086" s="2">
        <v>36.130000000000003</v>
      </c>
      <c r="K1086" s="5">
        <f>nantucket[[#This Row],[MW Factor]]-resources!$B$14</f>
        <v>-27</v>
      </c>
    </row>
    <row r="1087" spans="1:11" x14ac:dyDescent="0.3">
      <c r="A1087" t="s">
        <v>70</v>
      </c>
      <c r="B1087">
        <v>1456</v>
      </c>
      <c r="C1087">
        <v>16</v>
      </c>
      <c r="D1087">
        <v>16255</v>
      </c>
      <c r="E1087" t="s">
        <v>10</v>
      </c>
      <c r="F1087">
        <v>30</v>
      </c>
      <c r="G1087" s="2">
        <v>24.85</v>
      </c>
      <c r="H1087" s="2">
        <v>0.11</v>
      </c>
      <c r="I1087" s="2">
        <v>0.43</v>
      </c>
      <c r="J1087" s="2">
        <v>25.39</v>
      </c>
      <c r="K1087" s="5">
        <f>nantucket[[#This Row],[MW Factor]]-resources!$B$14</f>
        <v>-27</v>
      </c>
    </row>
    <row r="1088" spans="1:11" x14ac:dyDescent="0.3">
      <c r="A1088" t="s">
        <v>70</v>
      </c>
      <c r="B1088">
        <v>1463</v>
      </c>
      <c r="C1088">
        <v>23</v>
      </c>
      <c r="D1088">
        <v>16255</v>
      </c>
      <c r="E1088" t="s">
        <v>10</v>
      </c>
      <c r="F1088">
        <v>30</v>
      </c>
      <c r="G1088" s="2">
        <v>31.27</v>
      </c>
      <c r="H1088" s="2">
        <v>0.05</v>
      </c>
      <c r="I1088" s="2">
        <v>0.81</v>
      </c>
      <c r="J1088" s="2">
        <v>32.130000000000003</v>
      </c>
      <c r="K1088" s="5">
        <f>nantucket[[#This Row],[MW Factor]]-resources!$B$14</f>
        <v>-27</v>
      </c>
    </row>
    <row r="1089" spans="1:11" x14ac:dyDescent="0.3">
      <c r="A1089" t="s">
        <v>13</v>
      </c>
      <c r="B1089">
        <v>73</v>
      </c>
      <c r="C1089">
        <v>1</v>
      </c>
      <c r="D1089">
        <v>16255</v>
      </c>
      <c r="E1089" t="s">
        <v>10</v>
      </c>
      <c r="F1089">
        <v>29</v>
      </c>
      <c r="G1089" s="2">
        <v>43.99</v>
      </c>
      <c r="H1089" s="2">
        <v>0</v>
      </c>
      <c r="I1089" s="2">
        <v>0.88</v>
      </c>
      <c r="J1089" s="2">
        <v>44.87</v>
      </c>
      <c r="K1089" s="5">
        <f>nantucket[[#This Row],[MW Factor]]-resources!$B$14</f>
        <v>-28</v>
      </c>
    </row>
    <row r="1090" spans="1:11" x14ac:dyDescent="0.3">
      <c r="A1090" t="s">
        <v>13</v>
      </c>
      <c r="B1090">
        <v>81</v>
      </c>
      <c r="C1090">
        <v>9</v>
      </c>
      <c r="D1090">
        <v>16255</v>
      </c>
      <c r="E1090" t="s">
        <v>10</v>
      </c>
      <c r="F1090">
        <v>29</v>
      </c>
      <c r="G1090" s="2">
        <v>22.72</v>
      </c>
      <c r="H1090" s="2">
        <v>0</v>
      </c>
      <c r="I1090" s="2">
        <v>0.36</v>
      </c>
      <c r="J1090" s="2">
        <v>23.08</v>
      </c>
      <c r="K1090" s="5">
        <f>nantucket[[#This Row],[MW Factor]]-resources!$B$14</f>
        <v>-28</v>
      </c>
    </row>
    <row r="1091" spans="1:11" x14ac:dyDescent="0.3">
      <c r="A1091" t="s">
        <v>14</v>
      </c>
      <c r="B1091">
        <v>99</v>
      </c>
      <c r="C1091">
        <v>3</v>
      </c>
      <c r="D1091">
        <v>16255</v>
      </c>
      <c r="E1091" t="s">
        <v>10</v>
      </c>
      <c r="F1091">
        <v>29</v>
      </c>
      <c r="G1091" s="2">
        <v>33.07</v>
      </c>
      <c r="H1091" s="2">
        <v>0</v>
      </c>
      <c r="I1091" s="2">
        <v>0.25</v>
      </c>
      <c r="J1091" s="2">
        <v>33.32</v>
      </c>
      <c r="K1091" s="5">
        <f>nantucket[[#This Row],[MW Factor]]-resources!$B$14</f>
        <v>-28</v>
      </c>
    </row>
    <row r="1092" spans="1:11" x14ac:dyDescent="0.3">
      <c r="A1092" t="s">
        <v>17</v>
      </c>
      <c r="B1092">
        <v>170</v>
      </c>
      <c r="C1092">
        <v>2</v>
      </c>
      <c r="D1092">
        <v>16255</v>
      </c>
      <c r="E1092" t="s">
        <v>10</v>
      </c>
      <c r="F1092">
        <v>29</v>
      </c>
      <c r="G1092" s="2">
        <v>28.57</v>
      </c>
      <c r="H1092" s="2">
        <v>0</v>
      </c>
      <c r="I1092" s="2">
        <v>0.34</v>
      </c>
      <c r="J1092" s="2">
        <v>28.91</v>
      </c>
      <c r="K1092" s="5">
        <f>nantucket[[#This Row],[MW Factor]]-resources!$B$14</f>
        <v>-28</v>
      </c>
    </row>
    <row r="1093" spans="1:11" x14ac:dyDescent="0.3">
      <c r="A1093" t="s">
        <v>18</v>
      </c>
      <c r="B1093">
        <v>196</v>
      </c>
      <c r="C1093">
        <v>4</v>
      </c>
      <c r="D1093">
        <v>16255</v>
      </c>
      <c r="E1093" t="s">
        <v>10</v>
      </c>
      <c r="F1093">
        <v>29</v>
      </c>
      <c r="G1093" s="2">
        <v>48.22</v>
      </c>
      <c r="H1093" s="2">
        <v>0</v>
      </c>
      <c r="I1093" s="2">
        <v>0.43</v>
      </c>
      <c r="J1093" s="2">
        <v>48.65</v>
      </c>
      <c r="K1093" s="5">
        <f>nantucket[[#This Row],[MW Factor]]-resources!$B$14</f>
        <v>-28</v>
      </c>
    </row>
    <row r="1094" spans="1:11" x14ac:dyDescent="0.3">
      <c r="A1094" t="s">
        <v>18</v>
      </c>
      <c r="B1094">
        <v>197</v>
      </c>
      <c r="C1094">
        <v>5</v>
      </c>
      <c r="D1094">
        <v>16255</v>
      </c>
      <c r="E1094" t="s">
        <v>10</v>
      </c>
      <c r="F1094">
        <v>29</v>
      </c>
      <c r="G1094" s="2">
        <v>29.96</v>
      </c>
      <c r="H1094" s="2">
        <v>0</v>
      </c>
      <c r="I1094" s="2">
        <v>0.24</v>
      </c>
      <c r="J1094" s="2">
        <v>30.2</v>
      </c>
      <c r="K1094" s="5">
        <f>nantucket[[#This Row],[MW Factor]]-resources!$B$14</f>
        <v>-28</v>
      </c>
    </row>
    <row r="1095" spans="1:11" x14ac:dyDescent="0.3">
      <c r="A1095" t="s">
        <v>19</v>
      </c>
      <c r="B1095">
        <v>220</v>
      </c>
      <c r="C1095">
        <v>4</v>
      </c>
      <c r="D1095">
        <v>16255</v>
      </c>
      <c r="E1095" t="s">
        <v>10</v>
      </c>
      <c r="F1095">
        <v>29</v>
      </c>
      <c r="G1095" s="2">
        <v>33.69</v>
      </c>
      <c r="H1095" s="2">
        <v>0.01</v>
      </c>
      <c r="I1095" s="2">
        <v>0.27</v>
      </c>
      <c r="J1095" s="2">
        <v>33.97</v>
      </c>
      <c r="K1095" s="5">
        <f>nantucket[[#This Row],[MW Factor]]-resources!$B$14</f>
        <v>-28</v>
      </c>
    </row>
    <row r="1096" spans="1:11" x14ac:dyDescent="0.3">
      <c r="A1096" t="s">
        <v>19</v>
      </c>
      <c r="B1096">
        <v>223</v>
      </c>
      <c r="C1096">
        <v>7</v>
      </c>
      <c r="D1096">
        <v>16255</v>
      </c>
      <c r="E1096" t="s">
        <v>10</v>
      </c>
      <c r="F1096">
        <v>29</v>
      </c>
      <c r="G1096" s="2">
        <v>37.119999999999997</v>
      </c>
      <c r="H1096" s="2">
        <v>0</v>
      </c>
      <c r="I1096" s="2">
        <v>0.2</v>
      </c>
      <c r="J1096" s="2">
        <v>37.32</v>
      </c>
      <c r="K1096" s="5">
        <f>nantucket[[#This Row],[MW Factor]]-resources!$B$14</f>
        <v>-28</v>
      </c>
    </row>
    <row r="1097" spans="1:11" x14ac:dyDescent="0.3">
      <c r="A1097" t="s">
        <v>20</v>
      </c>
      <c r="B1097">
        <v>244</v>
      </c>
      <c r="C1097">
        <v>4</v>
      </c>
      <c r="D1097">
        <v>16255</v>
      </c>
      <c r="E1097" t="s">
        <v>10</v>
      </c>
      <c r="F1097">
        <v>29</v>
      </c>
      <c r="G1097" s="2">
        <v>34.36</v>
      </c>
      <c r="H1097" s="2">
        <v>0</v>
      </c>
      <c r="I1097" s="2">
        <v>0.08</v>
      </c>
      <c r="J1097" s="2">
        <v>34.44</v>
      </c>
      <c r="K1097" s="5">
        <f>nantucket[[#This Row],[MW Factor]]-resources!$B$14</f>
        <v>-28</v>
      </c>
    </row>
    <row r="1098" spans="1:11" x14ac:dyDescent="0.3">
      <c r="A1098" t="s">
        <v>20</v>
      </c>
      <c r="B1098">
        <v>247</v>
      </c>
      <c r="C1098">
        <v>7</v>
      </c>
      <c r="D1098">
        <v>16255</v>
      </c>
      <c r="E1098" t="s">
        <v>10</v>
      </c>
      <c r="F1098">
        <v>29</v>
      </c>
      <c r="G1098" s="2">
        <v>41.47</v>
      </c>
      <c r="H1098" s="2">
        <v>0</v>
      </c>
      <c r="I1098" s="2">
        <v>0.23</v>
      </c>
      <c r="J1098" s="2">
        <v>41.7</v>
      </c>
      <c r="K1098" s="5">
        <f>nantucket[[#This Row],[MW Factor]]-resources!$B$14</f>
        <v>-28</v>
      </c>
    </row>
    <row r="1099" spans="1:11" x14ac:dyDescent="0.3">
      <c r="A1099" t="s">
        <v>24</v>
      </c>
      <c r="B1099">
        <v>341</v>
      </c>
      <c r="C1099">
        <v>5</v>
      </c>
      <c r="D1099">
        <v>16255</v>
      </c>
      <c r="E1099" t="s">
        <v>10</v>
      </c>
      <c r="F1099">
        <v>29</v>
      </c>
      <c r="G1099" s="2">
        <v>31.55</v>
      </c>
      <c r="H1099" s="2">
        <v>0</v>
      </c>
      <c r="I1099" s="2">
        <v>0.32</v>
      </c>
      <c r="J1099" s="2">
        <v>31.87</v>
      </c>
      <c r="K1099" s="5">
        <f>nantucket[[#This Row],[MW Factor]]-resources!$B$14</f>
        <v>-28</v>
      </c>
    </row>
    <row r="1100" spans="1:11" x14ac:dyDescent="0.3">
      <c r="A1100" t="s">
        <v>28</v>
      </c>
      <c r="B1100">
        <v>436</v>
      </c>
      <c r="C1100">
        <v>4</v>
      </c>
      <c r="D1100">
        <v>16255</v>
      </c>
      <c r="E1100" t="s">
        <v>10</v>
      </c>
      <c r="F1100">
        <v>29</v>
      </c>
      <c r="G1100" s="2">
        <v>25.21</v>
      </c>
      <c r="H1100" s="2">
        <v>0</v>
      </c>
      <c r="I1100" s="2">
        <v>0.54</v>
      </c>
      <c r="J1100" s="2">
        <v>25.75</v>
      </c>
      <c r="K1100" s="5">
        <f>nantucket[[#This Row],[MW Factor]]-resources!$B$14</f>
        <v>-28</v>
      </c>
    </row>
    <row r="1101" spans="1:11" x14ac:dyDescent="0.3">
      <c r="A1101" t="s">
        <v>28</v>
      </c>
      <c r="B1101">
        <v>437</v>
      </c>
      <c r="C1101">
        <v>5</v>
      </c>
      <c r="D1101">
        <v>16255</v>
      </c>
      <c r="E1101" t="s">
        <v>10</v>
      </c>
      <c r="F1101">
        <v>29</v>
      </c>
      <c r="G1101" s="2">
        <v>25.21</v>
      </c>
      <c r="H1101" s="2">
        <v>0</v>
      </c>
      <c r="I1101" s="2">
        <v>0.54</v>
      </c>
      <c r="J1101" s="2">
        <v>25.75</v>
      </c>
      <c r="K1101" s="5">
        <f>nantucket[[#This Row],[MW Factor]]-resources!$B$14</f>
        <v>-28</v>
      </c>
    </row>
    <row r="1102" spans="1:11" x14ac:dyDescent="0.3">
      <c r="A1102" t="s">
        <v>29</v>
      </c>
      <c r="B1102">
        <v>458</v>
      </c>
      <c r="C1102">
        <v>2</v>
      </c>
      <c r="D1102">
        <v>16255</v>
      </c>
      <c r="E1102" t="s">
        <v>10</v>
      </c>
      <c r="F1102">
        <v>29</v>
      </c>
      <c r="G1102" s="2">
        <v>23.1</v>
      </c>
      <c r="H1102" s="2">
        <v>0</v>
      </c>
      <c r="I1102" s="2">
        <v>0.44</v>
      </c>
      <c r="J1102" s="2">
        <v>23.54</v>
      </c>
      <c r="K1102" s="5">
        <f>nantucket[[#This Row],[MW Factor]]-resources!$B$14</f>
        <v>-28</v>
      </c>
    </row>
    <row r="1103" spans="1:11" x14ac:dyDescent="0.3">
      <c r="A1103" t="s">
        <v>30</v>
      </c>
      <c r="B1103">
        <v>484</v>
      </c>
      <c r="C1103">
        <v>4</v>
      </c>
      <c r="D1103">
        <v>16255</v>
      </c>
      <c r="E1103" t="s">
        <v>10</v>
      </c>
      <c r="F1103">
        <v>29</v>
      </c>
      <c r="G1103" s="2">
        <v>25.32</v>
      </c>
      <c r="H1103" s="2">
        <v>0</v>
      </c>
      <c r="I1103" s="2">
        <v>0.49</v>
      </c>
      <c r="J1103" s="2">
        <v>25.81</v>
      </c>
      <c r="K1103" s="5">
        <f>nantucket[[#This Row],[MW Factor]]-resources!$B$14</f>
        <v>-28</v>
      </c>
    </row>
    <row r="1104" spans="1:11" x14ac:dyDescent="0.3">
      <c r="A1104" t="s">
        <v>30</v>
      </c>
      <c r="B1104">
        <v>485</v>
      </c>
      <c r="C1104">
        <v>5</v>
      </c>
      <c r="D1104">
        <v>16255</v>
      </c>
      <c r="E1104" t="s">
        <v>10</v>
      </c>
      <c r="F1104">
        <v>29</v>
      </c>
      <c r="G1104" s="2">
        <v>24.45</v>
      </c>
      <c r="H1104" s="2">
        <v>0</v>
      </c>
      <c r="I1104" s="2">
        <v>0.46</v>
      </c>
      <c r="J1104" s="2">
        <v>24.91</v>
      </c>
      <c r="K1104" s="5">
        <f>nantucket[[#This Row],[MW Factor]]-resources!$B$14</f>
        <v>-28</v>
      </c>
    </row>
    <row r="1105" spans="1:11" x14ac:dyDescent="0.3">
      <c r="A1105" t="s">
        <v>31</v>
      </c>
      <c r="B1105">
        <v>507</v>
      </c>
      <c r="C1105">
        <v>3</v>
      </c>
      <c r="D1105">
        <v>16255</v>
      </c>
      <c r="E1105" t="s">
        <v>10</v>
      </c>
      <c r="F1105">
        <v>29</v>
      </c>
      <c r="G1105" s="2">
        <v>27.4</v>
      </c>
      <c r="H1105" s="2">
        <v>0</v>
      </c>
      <c r="I1105" s="2">
        <v>0.26</v>
      </c>
      <c r="J1105" s="2">
        <v>27.66</v>
      </c>
      <c r="K1105" s="5">
        <f>nantucket[[#This Row],[MW Factor]]-resources!$B$14</f>
        <v>-28</v>
      </c>
    </row>
    <row r="1106" spans="1:11" x14ac:dyDescent="0.3">
      <c r="A1106" t="s">
        <v>31</v>
      </c>
      <c r="B1106">
        <v>512</v>
      </c>
      <c r="C1106">
        <v>8</v>
      </c>
      <c r="D1106">
        <v>16255</v>
      </c>
      <c r="E1106" t="s">
        <v>10</v>
      </c>
      <c r="F1106">
        <v>29</v>
      </c>
      <c r="G1106" s="2">
        <v>32.130000000000003</v>
      </c>
      <c r="H1106" s="2">
        <v>0</v>
      </c>
      <c r="I1106" s="2">
        <v>0.33</v>
      </c>
      <c r="J1106" s="2">
        <v>32.46</v>
      </c>
      <c r="K1106" s="5">
        <f>nantucket[[#This Row],[MW Factor]]-resources!$B$14</f>
        <v>-28</v>
      </c>
    </row>
    <row r="1107" spans="1:11" x14ac:dyDescent="0.3">
      <c r="A1107" t="s">
        <v>35</v>
      </c>
      <c r="B1107">
        <v>602</v>
      </c>
      <c r="C1107">
        <v>2</v>
      </c>
      <c r="D1107">
        <v>16255</v>
      </c>
      <c r="E1107" t="s">
        <v>10</v>
      </c>
      <c r="F1107">
        <v>29</v>
      </c>
      <c r="G1107" s="2">
        <v>24.53</v>
      </c>
      <c r="H1107" s="2">
        <v>0</v>
      </c>
      <c r="I1107" s="2">
        <v>0.41</v>
      </c>
      <c r="J1107" s="2">
        <v>24.94</v>
      </c>
      <c r="K1107" s="5">
        <f>nantucket[[#This Row],[MW Factor]]-resources!$B$14</f>
        <v>-28</v>
      </c>
    </row>
    <row r="1108" spans="1:11" x14ac:dyDescent="0.3">
      <c r="A1108" t="s">
        <v>37</v>
      </c>
      <c r="B1108">
        <v>672</v>
      </c>
      <c r="C1108">
        <v>24</v>
      </c>
      <c r="D1108">
        <v>16255</v>
      </c>
      <c r="E1108" t="s">
        <v>10</v>
      </c>
      <c r="F1108">
        <v>29</v>
      </c>
      <c r="G1108" s="2">
        <v>27.6</v>
      </c>
      <c r="H1108" s="2">
        <v>0</v>
      </c>
      <c r="I1108" s="2">
        <v>0.22</v>
      </c>
      <c r="J1108" s="2">
        <v>27.82</v>
      </c>
      <c r="K1108" s="5">
        <f>nantucket[[#This Row],[MW Factor]]-resources!$B$14</f>
        <v>-28</v>
      </c>
    </row>
    <row r="1109" spans="1:11" x14ac:dyDescent="0.3">
      <c r="A1109" t="s">
        <v>38</v>
      </c>
      <c r="B1109">
        <v>681</v>
      </c>
      <c r="C1109">
        <v>9</v>
      </c>
      <c r="D1109">
        <v>16255</v>
      </c>
      <c r="E1109" t="s">
        <v>10</v>
      </c>
      <c r="F1109">
        <v>29</v>
      </c>
      <c r="G1109" s="2">
        <v>29.91</v>
      </c>
      <c r="H1109" s="2">
        <v>0</v>
      </c>
      <c r="I1109" s="2">
        <v>0.3</v>
      </c>
      <c r="J1109" s="2">
        <v>30.21</v>
      </c>
      <c r="K1109" s="5">
        <f>nantucket[[#This Row],[MW Factor]]-resources!$B$14</f>
        <v>-28</v>
      </c>
    </row>
    <row r="1110" spans="1:11" x14ac:dyDescent="0.3">
      <c r="A1110" t="s">
        <v>39</v>
      </c>
      <c r="B1110">
        <v>697</v>
      </c>
      <c r="C1110">
        <v>1</v>
      </c>
      <c r="D1110">
        <v>16255</v>
      </c>
      <c r="E1110" t="s">
        <v>10</v>
      </c>
      <c r="F1110">
        <v>29</v>
      </c>
      <c r="G1110" s="2">
        <v>32.86</v>
      </c>
      <c r="H1110" s="2">
        <v>0</v>
      </c>
      <c r="I1110" s="2">
        <v>0.43</v>
      </c>
      <c r="J1110" s="2">
        <v>33.29</v>
      </c>
      <c r="K1110" s="5">
        <f>nantucket[[#This Row],[MW Factor]]-resources!$B$14</f>
        <v>-28</v>
      </c>
    </row>
    <row r="1111" spans="1:11" x14ac:dyDescent="0.3">
      <c r="A1111" t="s">
        <v>39</v>
      </c>
      <c r="B1111">
        <v>704</v>
      </c>
      <c r="C1111">
        <v>8</v>
      </c>
      <c r="D1111">
        <v>16255</v>
      </c>
      <c r="E1111" t="s">
        <v>10</v>
      </c>
      <c r="F1111">
        <v>29</v>
      </c>
      <c r="G1111" s="2">
        <v>41.06</v>
      </c>
      <c r="H1111" s="2">
        <v>0</v>
      </c>
      <c r="I1111" s="2">
        <v>0.56000000000000005</v>
      </c>
      <c r="J1111" s="2">
        <v>41.62</v>
      </c>
      <c r="K1111" s="5">
        <f>nantucket[[#This Row],[MW Factor]]-resources!$B$14</f>
        <v>-28</v>
      </c>
    </row>
    <row r="1112" spans="1:11" x14ac:dyDescent="0.3">
      <c r="A1112" t="s">
        <v>41</v>
      </c>
      <c r="B1112">
        <v>750</v>
      </c>
      <c r="C1112">
        <v>6</v>
      </c>
      <c r="D1112">
        <v>16255</v>
      </c>
      <c r="E1112" t="s">
        <v>10</v>
      </c>
      <c r="F1112">
        <v>29</v>
      </c>
      <c r="G1112" s="2">
        <v>30.54</v>
      </c>
      <c r="H1112" s="2">
        <v>0</v>
      </c>
      <c r="I1112" s="2">
        <v>0.34</v>
      </c>
      <c r="J1112" s="2">
        <v>30.88</v>
      </c>
      <c r="K1112" s="5">
        <f>nantucket[[#This Row],[MW Factor]]-resources!$B$14</f>
        <v>-28</v>
      </c>
    </row>
    <row r="1113" spans="1:11" x14ac:dyDescent="0.3">
      <c r="A1113" t="s">
        <v>42</v>
      </c>
      <c r="B1113">
        <v>773</v>
      </c>
      <c r="C1113">
        <v>5</v>
      </c>
      <c r="D1113">
        <v>16255</v>
      </c>
      <c r="E1113" t="s">
        <v>10</v>
      </c>
      <c r="F1113">
        <v>29</v>
      </c>
      <c r="G1113" s="2">
        <v>30.45</v>
      </c>
      <c r="H1113" s="2">
        <v>0</v>
      </c>
      <c r="I1113" s="2">
        <v>0.09</v>
      </c>
      <c r="J1113" s="2">
        <v>30.54</v>
      </c>
      <c r="K1113" s="5">
        <f>nantucket[[#This Row],[MW Factor]]-resources!$B$14</f>
        <v>-28</v>
      </c>
    </row>
    <row r="1114" spans="1:11" x14ac:dyDescent="0.3">
      <c r="A1114" t="s">
        <v>42</v>
      </c>
      <c r="B1114">
        <v>774</v>
      </c>
      <c r="C1114">
        <v>6</v>
      </c>
      <c r="D1114">
        <v>16255</v>
      </c>
      <c r="E1114" t="s">
        <v>10</v>
      </c>
      <c r="F1114">
        <v>29</v>
      </c>
      <c r="G1114" s="2">
        <v>31.67</v>
      </c>
      <c r="H1114" s="2">
        <v>0</v>
      </c>
      <c r="I1114" s="2">
        <v>0.09</v>
      </c>
      <c r="J1114" s="2">
        <v>31.76</v>
      </c>
      <c r="K1114" s="5">
        <f>nantucket[[#This Row],[MW Factor]]-resources!$B$14</f>
        <v>-28</v>
      </c>
    </row>
    <row r="1115" spans="1:11" x14ac:dyDescent="0.3">
      <c r="A1115" t="s">
        <v>47</v>
      </c>
      <c r="B1115">
        <v>897</v>
      </c>
      <c r="C1115">
        <v>9</v>
      </c>
      <c r="D1115">
        <v>16255</v>
      </c>
      <c r="E1115" t="s">
        <v>10</v>
      </c>
      <c r="F1115">
        <v>29</v>
      </c>
      <c r="G1115" s="2">
        <v>23.09</v>
      </c>
      <c r="H1115" s="2">
        <v>0</v>
      </c>
      <c r="I1115" s="2">
        <v>0.41</v>
      </c>
      <c r="J1115" s="2">
        <v>23.5</v>
      </c>
      <c r="K1115" s="5">
        <f>nantucket[[#This Row],[MW Factor]]-resources!$B$14</f>
        <v>-28</v>
      </c>
    </row>
    <row r="1116" spans="1:11" x14ac:dyDescent="0.3">
      <c r="A1116" t="s">
        <v>47</v>
      </c>
      <c r="B1116">
        <v>912</v>
      </c>
      <c r="C1116">
        <v>24</v>
      </c>
      <c r="D1116">
        <v>16255</v>
      </c>
      <c r="E1116" t="s">
        <v>10</v>
      </c>
      <c r="F1116">
        <v>29</v>
      </c>
      <c r="G1116" s="2">
        <v>30.38</v>
      </c>
      <c r="H1116" s="2">
        <v>0</v>
      </c>
      <c r="I1116" s="2">
        <v>0.55000000000000004</v>
      </c>
      <c r="J1116" s="2">
        <v>30.93</v>
      </c>
      <c r="K1116" s="5">
        <f>nantucket[[#This Row],[MW Factor]]-resources!$B$14</f>
        <v>-28</v>
      </c>
    </row>
    <row r="1117" spans="1:11" x14ac:dyDescent="0.3">
      <c r="A1117" t="s">
        <v>48</v>
      </c>
      <c r="B1117">
        <v>922</v>
      </c>
      <c r="C1117">
        <v>10</v>
      </c>
      <c r="D1117">
        <v>16255</v>
      </c>
      <c r="E1117" t="s">
        <v>10</v>
      </c>
      <c r="F1117">
        <v>29</v>
      </c>
      <c r="G1117" s="2">
        <v>23.23</v>
      </c>
      <c r="H1117" s="2">
        <v>0</v>
      </c>
      <c r="I1117" s="2">
        <v>0.39</v>
      </c>
      <c r="J1117" s="2">
        <v>23.62</v>
      </c>
      <c r="K1117" s="5">
        <f>nantucket[[#This Row],[MW Factor]]-resources!$B$14</f>
        <v>-28</v>
      </c>
    </row>
    <row r="1118" spans="1:11" x14ac:dyDescent="0.3">
      <c r="A1118" t="s">
        <v>48</v>
      </c>
      <c r="B1118">
        <v>936</v>
      </c>
      <c r="C1118">
        <v>24</v>
      </c>
      <c r="D1118">
        <v>16255</v>
      </c>
      <c r="E1118" t="s">
        <v>10</v>
      </c>
      <c r="F1118">
        <v>29</v>
      </c>
      <c r="G1118" s="2">
        <v>29.58</v>
      </c>
      <c r="H1118" s="2">
        <v>0</v>
      </c>
      <c r="I1118" s="2">
        <v>0.44</v>
      </c>
      <c r="J1118" s="2">
        <v>30.02</v>
      </c>
      <c r="K1118" s="5">
        <f>nantucket[[#This Row],[MW Factor]]-resources!$B$14</f>
        <v>-28</v>
      </c>
    </row>
    <row r="1119" spans="1:11" x14ac:dyDescent="0.3">
      <c r="A1119" t="s">
        <v>50</v>
      </c>
      <c r="B1119">
        <v>967</v>
      </c>
      <c r="C1119">
        <v>7</v>
      </c>
      <c r="D1119">
        <v>16255</v>
      </c>
      <c r="E1119" t="s">
        <v>10</v>
      </c>
      <c r="F1119">
        <v>29</v>
      </c>
      <c r="G1119" s="2">
        <v>28.19</v>
      </c>
      <c r="H1119" s="2">
        <v>0.01</v>
      </c>
      <c r="I1119" s="2">
        <v>0.66</v>
      </c>
      <c r="J1119" s="2">
        <v>28.86</v>
      </c>
      <c r="K1119" s="5">
        <f>nantucket[[#This Row],[MW Factor]]-resources!$B$14</f>
        <v>-28</v>
      </c>
    </row>
    <row r="1120" spans="1:11" x14ac:dyDescent="0.3">
      <c r="A1120" t="s">
        <v>53</v>
      </c>
      <c r="B1120">
        <v>1033</v>
      </c>
      <c r="C1120">
        <v>1</v>
      </c>
      <c r="D1120">
        <v>16255</v>
      </c>
      <c r="E1120" t="s">
        <v>10</v>
      </c>
      <c r="F1120">
        <v>29</v>
      </c>
      <c r="G1120" s="2">
        <v>24.83</v>
      </c>
      <c r="H1120" s="2">
        <v>0</v>
      </c>
      <c r="I1120" s="2">
        <v>0.45</v>
      </c>
      <c r="J1120" s="2">
        <v>25.28</v>
      </c>
      <c r="K1120" s="5">
        <f>nantucket[[#This Row],[MW Factor]]-resources!$B$14</f>
        <v>-28</v>
      </c>
    </row>
    <row r="1121" spans="1:11" x14ac:dyDescent="0.3">
      <c r="A1121" t="s">
        <v>55</v>
      </c>
      <c r="B1121">
        <v>1081</v>
      </c>
      <c r="C1121">
        <v>1</v>
      </c>
      <c r="D1121">
        <v>16255</v>
      </c>
      <c r="E1121" t="s">
        <v>10</v>
      </c>
      <c r="F1121">
        <v>29</v>
      </c>
      <c r="G1121" s="2">
        <v>31.94</v>
      </c>
      <c r="H1121" s="2">
        <v>0</v>
      </c>
      <c r="I1121" s="2">
        <v>0.46</v>
      </c>
      <c r="J1121" s="2">
        <v>32.4</v>
      </c>
      <c r="K1121" s="5">
        <f>nantucket[[#This Row],[MW Factor]]-resources!$B$14</f>
        <v>-28</v>
      </c>
    </row>
    <row r="1122" spans="1:11" x14ac:dyDescent="0.3">
      <c r="A1122" t="s">
        <v>55</v>
      </c>
      <c r="B1122">
        <v>1089</v>
      </c>
      <c r="C1122">
        <v>9</v>
      </c>
      <c r="D1122">
        <v>16255</v>
      </c>
      <c r="E1122" t="s">
        <v>10</v>
      </c>
      <c r="F1122">
        <v>29</v>
      </c>
      <c r="G1122" s="2">
        <v>28.44</v>
      </c>
      <c r="H1122" s="2">
        <v>0</v>
      </c>
      <c r="I1122" s="2">
        <v>0.28999999999999998</v>
      </c>
      <c r="J1122" s="2">
        <v>28.73</v>
      </c>
      <c r="K1122" s="5">
        <f>nantucket[[#This Row],[MW Factor]]-resources!$B$14</f>
        <v>-28</v>
      </c>
    </row>
    <row r="1123" spans="1:11" x14ac:dyDescent="0.3">
      <c r="A1123" t="s">
        <v>60</v>
      </c>
      <c r="B1123">
        <v>1202</v>
      </c>
      <c r="C1123">
        <v>2</v>
      </c>
      <c r="D1123">
        <v>16255</v>
      </c>
      <c r="E1123" t="s">
        <v>10</v>
      </c>
      <c r="F1123">
        <v>29</v>
      </c>
      <c r="G1123" s="2">
        <v>23.01</v>
      </c>
      <c r="H1123" s="2">
        <v>0</v>
      </c>
      <c r="I1123" s="2">
        <v>0.56999999999999995</v>
      </c>
      <c r="J1123" s="2">
        <v>23.58</v>
      </c>
      <c r="K1123" s="5">
        <f>nantucket[[#This Row],[MW Factor]]-resources!$B$14</f>
        <v>-28</v>
      </c>
    </row>
    <row r="1124" spans="1:11" x14ac:dyDescent="0.3">
      <c r="A1124" t="s">
        <v>61</v>
      </c>
      <c r="B1124">
        <v>1234</v>
      </c>
      <c r="C1124">
        <v>10</v>
      </c>
      <c r="D1124">
        <v>16255</v>
      </c>
      <c r="E1124" t="s">
        <v>10</v>
      </c>
      <c r="F1124">
        <v>29</v>
      </c>
      <c r="G1124" s="2">
        <v>21.14</v>
      </c>
      <c r="H1124" s="2">
        <v>0</v>
      </c>
      <c r="I1124" s="2">
        <v>0.33</v>
      </c>
      <c r="J1124" s="2">
        <v>21.47</v>
      </c>
      <c r="K1124" s="5">
        <f>nantucket[[#This Row],[MW Factor]]-resources!$B$14</f>
        <v>-28</v>
      </c>
    </row>
    <row r="1125" spans="1:11" x14ac:dyDescent="0.3">
      <c r="A1125" t="s">
        <v>61</v>
      </c>
      <c r="B1125">
        <v>1235</v>
      </c>
      <c r="C1125">
        <v>11</v>
      </c>
      <c r="D1125">
        <v>16255</v>
      </c>
      <c r="E1125" t="s">
        <v>10</v>
      </c>
      <c r="F1125">
        <v>29</v>
      </c>
      <c r="G1125" s="2">
        <v>20.99</v>
      </c>
      <c r="H1125" s="2">
        <v>0</v>
      </c>
      <c r="I1125" s="2">
        <v>0.27</v>
      </c>
      <c r="J1125" s="2">
        <v>21.26</v>
      </c>
      <c r="K1125" s="5">
        <f>nantucket[[#This Row],[MW Factor]]-resources!$B$14</f>
        <v>-28</v>
      </c>
    </row>
    <row r="1126" spans="1:11" x14ac:dyDescent="0.3">
      <c r="A1126" t="s">
        <v>61</v>
      </c>
      <c r="B1126">
        <v>1236</v>
      </c>
      <c r="C1126">
        <v>12</v>
      </c>
      <c r="D1126">
        <v>16255</v>
      </c>
      <c r="E1126" t="s">
        <v>10</v>
      </c>
      <c r="F1126">
        <v>29</v>
      </c>
      <c r="G1126" s="2">
        <v>20.89</v>
      </c>
      <c r="H1126" s="2">
        <v>0</v>
      </c>
      <c r="I1126" s="2">
        <v>0.28999999999999998</v>
      </c>
      <c r="J1126" s="2">
        <v>21.18</v>
      </c>
      <c r="K1126" s="5">
        <f>nantucket[[#This Row],[MW Factor]]-resources!$B$14</f>
        <v>-28</v>
      </c>
    </row>
    <row r="1127" spans="1:11" x14ac:dyDescent="0.3">
      <c r="A1127" t="s">
        <v>62</v>
      </c>
      <c r="B1127">
        <v>1272</v>
      </c>
      <c r="C1127">
        <v>24</v>
      </c>
      <c r="D1127">
        <v>16255</v>
      </c>
      <c r="E1127" t="s">
        <v>10</v>
      </c>
      <c r="F1127">
        <v>29</v>
      </c>
      <c r="G1127" s="2">
        <v>22.96</v>
      </c>
      <c r="H1127" s="2">
        <v>0</v>
      </c>
      <c r="I1127" s="2">
        <v>0.51</v>
      </c>
      <c r="J1127" s="2">
        <v>23.47</v>
      </c>
      <c r="K1127" s="5">
        <f>nantucket[[#This Row],[MW Factor]]-resources!$B$14</f>
        <v>-28</v>
      </c>
    </row>
    <row r="1128" spans="1:11" x14ac:dyDescent="0.3">
      <c r="A1128" t="s">
        <v>65</v>
      </c>
      <c r="B1128">
        <v>1329</v>
      </c>
      <c r="C1128">
        <v>9</v>
      </c>
      <c r="D1128">
        <v>16255</v>
      </c>
      <c r="E1128" t="s">
        <v>10</v>
      </c>
      <c r="F1128">
        <v>29</v>
      </c>
      <c r="G1128" s="2">
        <v>21.42</v>
      </c>
      <c r="H1128" s="2">
        <v>0</v>
      </c>
      <c r="I1128" s="2">
        <v>0.31</v>
      </c>
      <c r="J1128" s="2">
        <v>21.73</v>
      </c>
      <c r="K1128" s="5">
        <f>nantucket[[#This Row],[MW Factor]]-resources!$B$14</f>
        <v>-28</v>
      </c>
    </row>
    <row r="1129" spans="1:11" x14ac:dyDescent="0.3">
      <c r="A1129" t="s">
        <v>66</v>
      </c>
      <c r="B1129">
        <v>1367</v>
      </c>
      <c r="C1129">
        <v>23</v>
      </c>
      <c r="D1129">
        <v>16255</v>
      </c>
      <c r="E1129" t="s">
        <v>10</v>
      </c>
      <c r="F1129">
        <v>29</v>
      </c>
      <c r="G1129" s="2">
        <v>30.65</v>
      </c>
      <c r="H1129" s="2">
        <v>0</v>
      </c>
      <c r="I1129" s="2">
        <v>0.1</v>
      </c>
      <c r="J1129" s="2">
        <v>30.75</v>
      </c>
      <c r="K1129" s="5">
        <f>nantucket[[#This Row],[MW Factor]]-resources!$B$14</f>
        <v>-28</v>
      </c>
    </row>
    <row r="1130" spans="1:11" x14ac:dyDescent="0.3">
      <c r="A1130" t="s">
        <v>67</v>
      </c>
      <c r="B1130">
        <v>1378</v>
      </c>
      <c r="C1130">
        <v>10</v>
      </c>
      <c r="D1130">
        <v>16255</v>
      </c>
      <c r="E1130" t="s">
        <v>10</v>
      </c>
      <c r="F1130">
        <v>29</v>
      </c>
      <c r="G1130" s="2">
        <v>23.99</v>
      </c>
      <c r="H1130" s="2">
        <v>0</v>
      </c>
      <c r="I1130" s="2">
        <v>0.21</v>
      </c>
      <c r="J1130" s="2">
        <v>24.2</v>
      </c>
      <c r="K1130" s="5">
        <f>nantucket[[#This Row],[MW Factor]]-resources!$B$14</f>
        <v>-28</v>
      </c>
    </row>
    <row r="1131" spans="1:11" x14ac:dyDescent="0.3">
      <c r="A1131" t="s">
        <v>69</v>
      </c>
      <c r="B1131">
        <v>1418</v>
      </c>
      <c r="C1131">
        <v>2</v>
      </c>
      <c r="D1131">
        <v>16255</v>
      </c>
      <c r="E1131" t="s">
        <v>10</v>
      </c>
      <c r="F1131">
        <v>29</v>
      </c>
      <c r="G1131" s="2">
        <v>43.75</v>
      </c>
      <c r="H1131" s="2">
        <v>0.05</v>
      </c>
      <c r="I1131" s="2">
        <v>0.91</v>
      </c>
      <c r="J1131" s="2">
        <v>44.71</v>
      </c>
      <c r="K1131" s="5">
        <f>nantucket[[#This Row],[MW Factor]]-resources!$B$14</f>
        <v>-28</v>
      </c>
    </row>
    <row r="1132" spans="1:11" x14ac:dyDescent="0.3">
      <c r="A1132" t="s">
        <v>69</v>
      </c>
      <c r="B1132">
        <v>1425</v>
      </c>
      <c r="C1132">
        <v>9</v>
      </c>
      <c r="D1132">
        <v>16255</v>
      </c>
      <c r="E1132" t="s">
        <v>10</v>
      </c>
      <c r="F1132">
        <v>29</v>
      </c>
      <c r="G1132" s="2">
        <v>39.08</v>
      </c>
      <c r="H1132" s="2">
        <v>0.06</v>
      </c>
      <c r="I1132" s="2">
        <v>0.81</v>
      </c>
      <c r="J1132" s="2">
        <v>39.950000000000003</v>
      </c>
      <c r="K1132" s="5">
        <f>nantucket[[#This Row],[MW Factor]]-resources!$B$14</f>
        <v>-28</v>
      </c>
    </row>
    <row r="1133" spans="1:11" x14ac:dyDescent="0.3">
      <c r="A1133" t="s">
        <v>69</v>
      </c>
      <c r="B1133">
        <v>1429</v>
      </c>
      <c r="C1133">
        <v>13</v>
      </c>
      <c r="D1133">
        <v>16255</v>
      </c>
      <c r="E1133" t="s">
        <v>10</v>
      </c>
      <c r="F1133">
        <v>29</v>
      </c>
      <c r="G1133" s="2">
        <v>40.549999999999997</v>
      </c>
      <c r="H1133" s="2">
        <v>0.08</v>
      </c>
      <c r="I1133" s="2">
        <v>0.64</v>
      </c>
      <c r="J1133" s="2">
        <v>41.27</v>
      </c>
      <c r="K1133" s="5">
        <f>nantucket[[#This Row],[MW Factor]]-resources!$B$14</f>
        <v>-28</v>
      </c>
    </row>
    <row r="1134" spans="1:11" x14ac:dyDescent="0.3">
      <c r="A1134" t="s">
        <v>69</v>
      </c>
      <c r="B1134">
        <v>1430</v>
      </c>
      <c r="C1134">
        <v>14</v>
      </c>
      <c r="D1134">
        <v>16255</v>
      </c>
      <c r="E1134" t="s">
        <v>10</v>
      </c>
      <c r="F1134">
        <v>29</v>
      </c>
      <c r="G1134" s="2">
        <v>67.73</v>
      </c>
      <c r="H1134" s="2">
        <v>0.01</v>
      </c>
      <c r="I1134" s="2">
        <v>1.04</v>
      </c>
      <c r="J1134" s="2">
        <v>68.78</v>
      </c>
      <c r="K1134" s="5">
        <f>nantucket[[#This Row],[MW Factor]]-resources!$B$14</f>
        <v>-28</v>
      </c>
    </row>
    <row r="1135" spans="1:11" x14ac:dyDescent="0.3">
      <c r="A1135" t="s">
        <v>69</v>
      </c>
      <c r="B1135">
        <v>1439</v>
      </c>
      <c r="C1135">
        <v>23</v>
      </c>
      <c r="D1135">
        <v>16255</v>
      </c>
      <c r="E1135" t="s">
        <v>10</v>
      </c>
      <c r="F1135">
        <v>29</v>
      </c>
      <c r="G1135" s="2">
        <v>43.58</v>
      </c>
      <c r="H1135" s="2">
        <v>0.41</v>
      </c>
      <c r="I1135" s="2">
        <v>0.97</v>
      </c>
      <c r="J1135" s="2">
        <v>44.96</v>
      </c>
      <c r="K1135" s="5">
        <f>nantucket[[#This Row],[MW Factor]]-resources!$B$14</f>
        <v>-28</v>
      </c>
    </row>
    <row r="1136" spans="1:11" x14ac:dyDescent="0.3">
      <c r="A1136" t="s">
        <v>70</v>
      </c>
      <c r="B1136">
        <v>1455</v>
      </c>
      <c r="C1136">
        <v>15</v>
      </c>
      <c r="D1136">
        <v>16255</v>
      </c>
      <c r="E1136" t="s">
        <v>10</v>
      </c>
      <c r="F1136">
        <v>29</v>
      </c>
      <c r="G1136" s="2">
        <v>25.01</v>
      </c>
      <c r="H1136" s="2">
        <v>0.11</v>
      </c>
      <c r="I1136" s="2">
        <v>0.4</v>
      </c>
      <c r="J1136" s="2">
        <v>25.52</v>
      </c>
      <c r="K1136" s="5">
        <f>nantucket[[#This Row],[MW Factor]]-resources!$B$14</f>
        <v>-28</v>
      </c>
    </row>
    <row r="1137" spans="1:11" x14ac:dyDescent="0.3">
      <c r="A1137" t="s">
        <v>71</v>
      </c>
      <c r="B1137">
        <v>1474</v>
      </c>
      <c r="C1137">
        <v>10</v>
      </c>
      <c r="D1137">
        <v>16255</v>
      </c>
      <c r="E1137" t="s">
        <v>10</v>
      </c>
      <c r="F1137">
        <v>29</v>
      </c>
      <c r="G1137" s="2">
        <v>20.68</v>
      </c>
      <c r="H1137" s="2">
        <v>0</v>
      </c>
      <c r="I1137" s="2">
        <v>0.38</v>
      </c>
      <c r="J1137" s="2">
        <v>21.06</v>
      </c>
      <c r="K1137" s="5">
        <f>nantucket[[#This Row],[MW Factor]]-resources!$B$14</f>
        <v>-28</v>
      </c>
    </row>
    <row r="1138" spans="1:11" x14ac:dyDescent="0.3">
      <c r="A1138" t="s">
        <v>9</v>
      </c>
      <c r="B1138">
        <v>1</v>
      </c>
      <c r="C1138">
        <v>1</v>
      </c>
      <c r="D1138">
        <v>16255</v>
      </c>
      <c r="E1138" t="s">
        <v>10</v>
      </c>
      <c r="F1138">
        <v>28</v>
      </c>
      <c r="G1138" s="2">
        <v>25.94</v>
      </c>
      <c r="H1138" s="2">
        <v>0</v>
      </c>
      <c r="I1138" s="2">
        <v>0.52</v>
      </c>
      <c r="J1138" s="2">
        <v>26.46</v>
      </c>
      <c r="K1138" s="5">
        <f>nantucket[[#This Row],[MW Factor]]-resources!$B$14</f>
        <v>-29</v>
      </c>
    </row>
    <row r="1139" spans="1:11" x14ac:dyDescent="0.3">
      <c r="A1139" t="s">
        <v>11</v>
      </c>
      <c r="B1139">
        <v>33</v>
      </c>
      <c r="C1139">
        <v>9</v>
      </c>
      <c r="D1139">
        <v>16255</v>
      </c>
      <c r="E1139" t="s">
        <v>10</v>
      </c>
      <c r="F1139">
        <v>28</v>
      </c>
      <c r="G1139" s="2">
        <v>22.78</v>
      </c>
      <c r="H1139" s="2">
        <v>0</v>
      </c>
      <c r="I1139" s="2">
        <v>0.35</v>
      </c>
      <c r="J1139" s="2">
        <v>23.13</v>
      </c>
      <c r="K1139" s="5">
        <f>nantucket[[#This Row],[MW Factor]]-resources!$B$14</f>
        <v>-29</v>
      </c>
    </row>
    <row r="1140" spans="1:11" x14ac:dyDescent="0.3">
      <c r="A1140" t="s">
        <v>15</v>
      </c>
      <c r="B1140">
        <v>123</v>
      </c>
      <c r="C1140">
        <v>3</v>
      </c>
      <c r="D1140">
        <v>16255</v>
      </c>
      <c r="E1140" t="s">
        <v>10</v>
      </c>
      <c r="F1140">
        <v>28</v>
      </c>
      <c r="G1140" s="2">
        <v>39.08</v>
      </c>
      <c r="H1140" s="2">
        <v>0</v>
      </c>
      <c r="I1140" s="2">
        <v>0.43</v>
      </c>
      <c r="J1140" s="2">
        <v>39.51</v>
      </c>
      <c r="K1140" s="5">
        <f>nantucket[[#This Row],[MW Factor]]-resources!$B$14</f>
        <v>-29</v>
      </c>
    </row>
    <row r="1141" spans="1:11" x14ac:dyDescent="0.3">
      <c r="A1141" t="s">
        <v>15</v>
      </c>
      <c r="B1141">
        <v>128</v>
      </c>
      <c r="C1141">
        <v>8</v>
      </c>
      <c r="D1141">
        <v>16255</v>
      </c>
      <c r="E1141" t="s">
        <v>10</v>
      </c>
      <c r="F1141">
        <v>28</v>
      </c>
      <c r="G1141" s="2">
        <v>30.64</v>
      </c>
      <c r="H1141" s="2">
        <v>0</v>
      </c>
      <c r="I1141" s="2">
        <v>0.39</v>
      </c>
      <c r="J1141" s="2">
        <v>31.03</v>
      </c>
      <c r="K1141" s="5">
        <f>nantucket[[#This Row],[MW Factor]]-resources!$B$14</f>
        <v>-29</v>
      </c>
    </row>
    <row r="1142" spans="1:11" x14ac:dyDescent="0.3">
      <c r="A1142" t="s">
        <v>16</v>
      </c>
      <c r="B1142">
        <v>147</v>
      </c>
      <c r="C1142">
        <v>3</v>
      </c>
      <c r="D1142">
        <v>16255</v>
      </c>
      <c r="E1142" t="s">
        <v>10</v>
      </c>
      <c r="F1142">
        <v>28</v>
      </c>
      <c r="G1142" s="2">
        <v>28.81</v>
      </c>
      <c r="H1142" s="2">
        <v>0</v>
      </c>
      <c r="I1142" s="2">
        <v>0.25</v>
      </c>
      <c r="J1142" s="2">
        <v>29.06</v>
      </c>
      <c r="K1142" s="5">
        <f>nantucket[[#This Row],[MW Factor]]-resources!$B$14</f>
        <v>-29</v>
      </c>
    </row>
    <row r="1143" spans="1:11" x14ac:dyDescent="0.3">
      <c r="A1143" t="s">
        <v>16</v>
      </c>
      <c r="B1143">
        <v>152</v>
      </c>
      <c r="C1143">
        <v>8</v>
      </c>
      <c r="D1143">
        <v>16255</v>
      </c>
      <c r="E1143" t="s">
        <v>10</v>
      </c>
      <c r="F1143">
        <v>28</v>
      </c>
      <c r="G1143" s="2">
        <v>25.39</v>
      </c>
      <c r="H1143" s="2">
        <v>0</v>
      </c>
      <c r="I1143" s="2">
        <v>0.31</v>
      </c>
      <c r="J1143" s="2">
        <v>25.7</v>
      </c>
      <c r="K1143" s="5">
        <f>nantucket[[#This Row],[MW Factor]]-resources!$B$14</f>
        <v>-29</v>
      </c>
    </row>
    <row r="1144" spans="1:11" x14ac:dyDescent="0.3">
      <c r="A1144" t="s">
        <v>17</v>
      </c>
      <c r="B1144">
        <v>171</v>
      </c>
      <c r="C1144">
        <v>3</v>
      </c>
      <c r="D1144">
        <v>16255</v>
      </c>
      <c r="E1144" t="s">
        <v>10</v>
      </c>
      <c r="F1144">
        <v>28</v>
      </c>
      <c r="G1144" s="2">
        <v>29.39</v>
      </c>
      <c r="H1144" s="2">
        <v>0</v>
      </c>
      <c r="I1144" s="2">
        <v>0.3</v>
      </c>
      <c r="J1144" s="2">
        <v>29.69</v>
      </c>
      <c r="K1144" s="5">
        <f>nantucket[[#This Row],[MW Factor]]-resources!$B$14</f>
        <v>-29</v>
      </c>
    </row>
    <row r="1145" spans="1:11" x14ac:dyDescent="0.3">
      <c r="A1145" t="s">
        <v>18</v>
      </c>
      <c r="B1145">
        <v>198</v>
      </c>
      <c r="C1145">
        <v>6</v>
      </c>
      <c r="D1145">
        <v>16255</v>
      </c>
      <c r="E1145" t="s">
        <v>10</v>
      </c>
      <c r="F1145">
        <v>28</v>
      </c>
      <c r="G1145" s="2">
        <v>29.46</v>
      </c>
      <c r="H1145" s="2">
        <v>0</v>
      </c>
      <c r="I1145" s="2">
        <v>0.25</v>
      </c>
      <c r="J1145" s="2">
        <v>29.71</v>
      </c>
      <c r="K1145" s="5">
        <f>nantucket[[#This Row],[MW Factor]]-resources!$B$14</f>
        <v>-29</v>
      </c>
    </row>
    <row r="1146" spans="1:11" x14ac:dyDescent="0.3">
      <c r="A1146" t="s">
        <v>19</v>
      </c>
      <c r="B1146">
        <v>221</v>
      </c>
      <c r="C1146">
        <v>5</v>
      </c>
      <c r="D1146">
        <v>16255</v>
      </c>
      <c r="E1146" t="s">
        <v>10</v>
      </c>
      <c r="F1146">
        <v>28</v>
      </c>
      <c r="G1146" s="2">
        <v>29.69</v>
      </c>
      <c r="H1146" s="2">
        <v>0.05</v>
      </c>
      <c r="I1146" s="2">
        <v>0.26</v>
      </c>
      <c r="J1146" s="2">
        <v>30</v>
      </c>
      <c r="K1146" s="5">
        <f>nantucket[[#This Row],[MW Factor]]-resources!$B$14</f>
        <v>-29</v>
      </c>
    </row>
    <row r="1147" spans="1:11" x14ac:dyDescent="0.3">
      <c r="A1147" t="s">
        <v>19</v>
      </c>
      <c r="B1147">
        <v>222</v>
      </c>
      <c r="C1147">
        <v>6</v>
      </c>
      <c r="D1147">
        <v>16255</v>
      </c>
      <c r="E1147" t="s">
        <v>10</v>
      </c>
      <c r="F1147">
        <v>28</v>
      </c>
      <c r="G1147" s="2">
        <v>37.299999999999997</v>
      </c>
      <c r="H1147" s="2">
        <v>0.06</v>
      </c>
      <c r="I1147" s="2">
        <v>0.33</v>
      </c>
      <c r="J1147" s="2">
        <v>37.69</v>
      </c>
      <c r="K1147" s="5">
        <f>nantucket[[#This Row],[MW Factor]]-resources!$B$14</f>
        <v>-29</v>
      </c>
    </row>
    <row r="1148" spans="1:11" x14ac:dyDescent="0.3">
      <c r="A1148" t="s">
        <v>20</v>
      </c>
      <c r="B1148">
        <v>245</v>
      </c>
      <c r="C1148">
        <v>5</v>
      </c>
      <c r="D1148">
        <v>16255</v>
      </c>
      <c r="E1148" t="s">
        <v>10</v>
      </c>
      <c r="F1148">
        <v>28</v>
      </c>
      <c r="G1148" s="2">
        <v>68.14</v>
      </c>
      <c r="H1148" s="2">
        <v>0</v>
      </c>
      <c r="I1148" s="2">
        <v>0.15</v>
      </c>
      <c r="J1148" s="2">
        <v>68.290000000000006</v>
      </c>
      <c r="K1148" s="5">
        <f>nantucket[[#This Row],[MW Factor]]-resources!$B$14</f>
        <v>-29</v>
      </c>
    </row>
    <row r="1149" spans="1:11" x14ac:dyDescent="0.3">
      <c r="A1149" t="s">
        <v>20</v>
      </c>
      <c r="B1149">
        <v>246</v>
      </c>
      <c r="C1149">
        <v>6</v>
      </c>
      <c r="D1149">
        <v>16255</v>
      </c>
      <c r="E1149" t="s">
        <v>10</v>
      </c>
      <c r="F1149">
        <v>28</v>
      </c>
      <c r="G1149" s="2">
        <v>48.33</v>
      </c>
      <c r="H1149" s="2">
        <v>0</v>
      </c>
      <c r="I1149" s="2">
        <v>0.2</v>
      </c>
      <c r="J1149" s="2">
        <v>48.53</v>
      </c>
      <c r="K1149" s="5">
        <f>nantucket[[#This Row],[MW Factor]]-resources!$B$14</f>
        <v>-29</v>
      </c>
    </row>
    <row r="1150" spans="1:11" x14ac:dyDescent="0.3">
      <c r="A1150" t="s">
        <v>23</v>
      </c>
      <c r="B1150">
        <v>316</v>
      </c>
      <c r="C1150">
        <v>4</v>
      </c>
      <c r="D1150">
        <v>16255</v>
      </c>
      <c r="E1150" t="s">
        <v>10</v>
      </c>
      <c r="F1150">
        <v>28</v>
      </c>
      <c r="G1150" s="2">
        <v>25.99</v>
      </c>
      <c r="H1150" s="2">
        <v>0</v>
      </c>
      <c r="I1150" s="2">
        <v>0.4</v>
      </c>
      <c r="J1150" s="2">
        <v>26.39</v>
      </c>
      <c r="K1150" s="5">
        <f>nantucket[[#This Row],[MW Factor]]-resources!$B$14</f>
        <v>-29</v>
      </c>
    </row>
    <row r="1151" spans="1:11" x14ac:dyDescent="0.3">
      <c r="A1151" t="s">
        <v>23</v>
      </c>
      <c r="B1151">
        <v>320</v>
      </c>
      <c r="C1151">
        <v>8</v>
      </c>
      <c r="D1151">
        <v>16255</v>
      </c>
      <c r="E1151" t="s">
        <v>10</v>
      </c>
      <c r="F1151">
        <v>28</v>
      </c>
      <c r="G1151" s="2">
        <v>21.66</v>
      </c>
      <c r="H1151" s="2">
        <v>0</v>
      </c>
      <c r="I1151" s="2">
        <v>0.36</v>
      </c>
      <c r="J1151" s="2">
        <v>22.02</v>
      </c>
      <c r="K1151" s="5">
        <f>nantucket[[#This Row],[MW Factor]]-resources!$B$14</f>
        <v>-29</v>
      </c>
    </row>
    <row r="1152" spans="1:11" x14ac:dyDescent="0.3">
      <c r="A1152" t="s">
        <v>24</v>
      </c>
      <c r="B1152">
        <v>342</v>
      </c>
      <c r="C1152">
        <v>6</v>
      </c>
      <c r="D1152">
        <v>16255</v>
      </c>
      <c r="E1152" t="s">
        <v>10</v>
      </c>
      <c r="F1152">
        <v>28</v>
      </c>
      <c r="G1152" s="2">
        <v>28.64</v>
      </c>
      <c r="H1152" s="2">
        <v>0</v>
      </c>
      <c r="I1152" s="2">
        <v>0.34</v>
      </c>
      <c r="J1152" s="2">
        <v>28.98</v>
      </c>
      <c r="K1152" s="5">
        <f>nantucket[[#This Row],[MW Factor]]-resources!$B$14</f>
        <v>-29</v>
      </c>
    </row>
    <row r="1153" spans="1:11" x14ac:dyDescent="0.3">
      <c r="A1153" t="s">
        <v>28</v>
      </c>
      <c r="B1153">
        <v>438</v>
      </c>
      <c r="C1153">
        <v>6</v>
      </c>
      <c r="D1153">
        <v>16255</v>
      </c>
      <c r="E1153" t="s">
        <v>10</v>
      </c>
      <c r="F1153">
        <v>28</v>
      </c>
      <c r="G1153" s="2">
        <v>25.21</v>
      </c>
      <c r="H1153" s="2">
        <v>0</v>
      </c>
      <c r="I1153" s="2">
        <v>0.54</v>
      </c>
      <c r="J1153" s="2">
        <v>25.75</v>
      </c>
      <c r="K1153" s="5">
        <f>nantucket[[#This Row],[MW Factor]]-resources!$B$14</f>
        <v>-29</v>
      </c>
    </row>
    <row r="1154" spans="1:11" x14ac:dyDescent="0.3">
      <c r="A1154" t="s">
        <v>29</v>
      </c>
      <c r="B1154">
        <v>464</v>
      </c>
      <c r="C1154">
        <v>8</v>
      </c>
      <c r="D1154">
        <v>16255</v>
      </c>
      <c r="E1154" t="s">
        <v>10</v>
      </c>
      <c r="F1154">
        <v>28</v>
      </c>
      <c r="G1154" s="2">
        <v>19.71</v>
      </c>
      <c r="H1154" s="2">
        <v>0</v>
      </c>
      <c r="I1154" s="2">
        <v>0.36</v>
      </c>
      <c r="J1154" s="2">
        <v>20.07</v>
      </c>
      <c r="K1154" s="5">
        <f>nantucket[[#This Row],[MW Factor]]-resources!$B$14</f>
        <v>-29</v>
      </c>
    </row>
    <row r="1155" spans="1:11" x14ac:dyDescent="0.3">
      <c r="A1155" t="s">
        <v>30</v>
      </c>
      <c r="B1155">
        <v>488</v>
      </c>
      <c r="C1155">
        <v>8</v>
      </c>
      <c r="D1155">
        <v>16255</v>
      </c>
      <c r="E1155" t="s">
        <v>10</v>
      </c>
      <c r="F1155">
        <v>28</v>
      </c>
      <c r="G1155" s="2">
        <v>22.79</v>
      </c>
      <c r="H1155" s="2">
        <v>0</v>
      </c>
      <c r="I1155" s="2">
        <v>0.38</v>
      </c>
      <c r="J1155" s="2">
        <v>23.17</v>
      </c>
      <c r="K1155" s="5">
        <f>nantucket[[#This Row],[MW Factor]]-resources!$B$14</f>
        <v>-29</v>
      </c>
    </row>
    <row r="1156" spans="1:11" x14ac:dyDescent="0.3">
      <c r="A1156" t="s">
        <v>32</v>
      </c>
      <c r="B1156">
        <v>532</v>
      </c>
      <c r="C1156">
        <v>4</v>
      </c>
      <c r="D1156">
        <v>16255</v>
      </c>
      <c r="E1156" t="s">
        <v>10</v>
      </c>
      <c r="F1156">
        <v>28</v>
      </c>
      <c r="G1156" s="2">
        <v>34.130000000000003</v>
      </c>
      <c r="H1156" s="2">
        <v>0</v>
      </c>
      <c r="I1156" s="2">
        <v>0.28999999999999998</v>
      </c>
      <c r="J1156" s="2">
        <v>34.42</v>
      </c>
      <c r="K1156" s="5">
        <f>nantucket[[#This Row],[MW Factor]]-resources!$B$14</f>
        <v>-29</v>
      </c>
    </row>
    <row r="1157" spans="1:11" x14ac:dyDescent="0.3">
      <c r="A1157" t="s">
        <v>32</v>
      </c>
      <c r="B1157">
        <v>536</v>
      </c>
      <c r="C1157">
        <v>8</v>
      </c>
      <c r="D1157">
        <v>16255</v>
      </c>
      <c r="E1157" t="s">
        <v>10</v>
      </c>
      <c r="F1157">
        <v>28</v>
      </c>
      <c r="G1157" s="2">
        <v>36.04</v>
      </c>
      <c r="H1157" s="2">
        <v>0</v>
      </c>
      <c r="I1157" s="2">
        <v>0.45</v>
      </c>
      <c r="J1157" s="2">
        <v>36.49</v>
      </c>
      <c r="K1157" s="5">
        <f>nantucket[[#This Row],[MW Factor]]-resources!$B$14</f>
        <v>-29</v>
      </c>
    </row>
    <row r="1158" spans="1:11" x14ac:dyDescent="0.3">
      <c r="A1158" t="s">
        <v>33</v>
      </c>
      <c r="B1158">
        <v>553</v>
      </c>
      <c r="C1158">
        <v>1</v>
      </c>
      <c r="D1158">
        <v>16255</v>
      </c>
      <c r="E1158" t="s">
        <v>10</v>
      </c>
      <c r="F1158">
        <v>28</v>
      </c>
      <c r="G1158" s="2">
        <v>31.51</v>
      </c>
      <c r="H1158" s="2">
        <v>0</v>
      </c>
      <c r="I1158" s="2">
        <v>0.13</v>
      </c>
      <c r="J1158" s="2">
        <v>31.64</v>
      </c>
      <c r="K1158" s="5">
        <f>nantucket[[#This Row],[MW Factor]]-resources!$B$14</f>
        <v>-29</v>
      </c>
    </row>
    <row r="1159" spans="1:11" x14ac:dyDescent="0.3">
      <c r="A1159" t="s">
        <v>33</v>
      </c>
      <c r="B1159">
        <v>561</v>
      </c>
      <c r="C1159">
        <v>9</v>
      </c>
      <c r="D1159">
        <v>16255</v>
      </c>
      <c r="E1159" t="s">
        <v>10</v>
      </c>
      <c r="F1159">
        <v>28</v>
      </c>
      <c r="G1159" s="2">
        <v>32.1</v>
      </c>
      <c r="H1159" s="2">
        <v>0</v>
      </c>
      <c r="I1159" s="2">
        <v>0.15</v>
      </c>
      <c r="J1159" s="2">
        <v>32.25</v>
      </c>
      <c r="K1159" s="5">
        <f>nantucket[[#This Row],[MW Factor]]-resources!$B$14</f>
        <v>-29</v>
      </c>
    </row>
    <row r="1160" spans="1:11" x14ac:dyDescent="0.3">
      <c r="A1160" t="s">
        <v>36</v>
      </c>
      <c r="B1160">
        <v>626</v>
      </c>
      <c r="C1160">
        <v>2</v>
      </c>
      <c r="D1160">
        <v>16255</v>
      </c>
      <c r="E1160" t="s">
        <v>10</v>
      </c>
      <c r="F1160">
        <v>28</v>
      </c>
      <c r="G1160" s="2">
        <v>23.23</v>
      </c>
      <c r="H1160" s="2">
        <v>0</v>
      </c>
      <c r="I1160" s="2">
        <v>0.46</v>
      </c>
      <c r="J1160" s="2">
        <v>23.69</v>
      </c>
      <c r="K1160" s="5">
        <f>nantucket[[#This Row],[MW Factor]]-resources!$B$14</f>
        <v>-29</v>
      </c>
    </row>
    <row r="1161" spans="1:11" x14ac:dyDescent="0.3">
      <c r="A1161" t="s">
        <v>37</v>
      </c>
      <c r="B1161">
        <v>650</v>
      </c>
      <c r="C1161">
        <v>2</v>
      </c>
      <c r="D1161">
        <v>16255</v>
      </c>
      <c r="E1161" t="s">
        <v>10</v>
      </c>
      <c r="F1161">
        <v>28</v>
      </c>
      <c r="G1161" s="2">
        <v>23.06</v>
      </c>
      <c r="H1161" s="2">
        <v>0</v>
      </c>
      <c r="I1161" s="2">
        <v>0.4</v>
      </c>
      <c r="J1161" s="2">
        <v>23.46</v>
      </c>
      <c r="K1161" s="5">
        <f>nantucket[[#This Row],[MW Factor]]-resources!$B$14</f>
        <v>-29</v>
      </c>
    </row>
    <row r="1162" spans="1:11" x14ac:dyDescent="0.3">
      <c r="A1162" t="s">
        <v>40</v>
      </c>
      <c r="B1162">
        <v>724</v>
      </c>
      <c r="C1162">
        <v>4</v>
      </c>
      <c r="D1162">
        <v>16255</v>
      </c>
      <c r="E1162" t="s">
        <v>10</v>
      </c>
      <c r="F1162">
        <v>28</v>
      </c>
      <c r="G1162" s="2">
        <v>47</v>
      </c>
      <c r="H1162" s="2">
        <v>0</v>
      </c>
      <c r="I1162" s="2">
        <v>0.17</v>
      </c>
      <c r="J1162" s="2">
        <v>47.17</v>
      </c>
      <c r="K1162" s="5">
        <f>nantucket[[#This Row],[MW Factor]]-resources!$B$14</f>
        <v>-29</v>
      </c>
    </row>
    <row r="1163" spans="1:11" x14ac:dyDescent="0.3">
      <c r="A1163" t="s">
        <v>40</v>
      </c>
      <c r="B1163">
        <v>725</v>
      </c>
      <c r="C1163">
        <v>5</v>
      </c>
      <c r="D1163">
        <v>16255</v>
      </c>
      <c r="E1163" t="s">
        <v>10</v>
      </c>
      <c r="F1163">
        <v>28</v>
      </c>
      <c r="G1163" s="2">
        <v>33.44</v>
      </c>
      <c r="H1163" s="2">
        <v>0</v>
      </c>
      <c r="I1163" s="2">
        <v>0.15</v>
      </c>
      <c r="J1163" s="2">
        <v>33.590000000000003</v>
      </c>
      <c r="K1163" s="5">
        <f>nantucket[[#This Row],[MW Factor]]-resources!$B$14</f>
        <v>-29</v>
      </c>
    </row>
    <row r="1164" spans="1:11" x14ac:dyDescent="0.3">
      <c r="A1164" t="s">
        <v>47</v>
      </c>
      <c r="B1164">
        <v>889</v>
      </c>
      <c r="C1164">
        <v>1</v>
      </c>
      <c r="D1164">
        <v>16255</v>
      </c>
      <c r="E1164" t="s">
        <v>10</v>
      </c>
      <c r="F1164">
        <v>28</v>
      </c>
      <c r="G1164" s="2">
        <v>37.630000000000003</v>
      </c>
      <c r="H1164" s="2">
        <v>0</v>
      </c>
      <c r="I1164" s="2">
        <v>0.54</v>
      </c>
      <c r="J1164" s="2">
        <v>38.17</v>
      </c>
      <c r="K1164" s="5">
        <f>nantucket[[#This Row],[MW Factor]]-resources!$B$14</f>
        <v>-29</v>
      </c>
    </row>
    <row r="1165" spans="1:11" x14ac:dyDescent="0.3">
      <c r="A1165" t="s">
        <v>49</v>
      </c>
      <c r="B1165">
        <v>944</v>
      </c>
      <c r="C1165">
        <v>8</v>
      </c>
      <c r="D1165">
        <v>16255</v>
      </c>
      <c r="E1165" t="s">
        <v>10</v>
      </c>
      <c r="F1165">
        <v>28</v>
      </c>
      <c r="G1165" s="2">
        <v>35.57</v>
      </c>
      <c r="H1165" s="2">
        <v>0</v>
      </c>
      <c r="I1165" s="2">
        <v>0.24</v>
      </c>
      <c r="J1165" s="2">
        <v>35.81</v>
      </c>
      <c r="K1165" s="5">
        <f>nantucket[[#This Row],[MW Factor]]-resources!$B$14</f>
        <v>-29</v>
      </c>
    </row>
    <row r="1166" spans="1:11" x14ac:dyDescent="0.3">
      <c r="A1166" t="s">
        <v>51</v>
      </c>
      <c r="B1166">
        <v>987</v>
      </c>
      <c r="C1166">
        <v>3</v>
      </c>
      <c r="D1166">
        <v>16255</v>
      </c>
      <c r="E1166" t="s">
        <v>10</v>
      </c>
      <c r="F1166">
        <v>28</v>
      </c>
      <c r="G1166" s="2">
        <v>22.64</v>
      </c>
      <c r="H1166" s="2">
        <v>0</v>
      </c>
      <c r="I1166" s="2">
        <v>0.6</v>
      </c>
      <c r="J1166" s="2">
        <v>23.24</v>
      </c>
      <c r="K1166" s="5">
        <f>nantucket[[#This Row],[MW Factor]]-resources!$B$14</f>
        <v>-29</v>
      </c>
    </row>
    <row r="1167" spans="1:11" x14ac:dyDescent="0.3">
      <c r="A1167" t="s">
        <v>52</v>
      </c>
      <c r="B1167">
        <v>1010</v>
      </c>
      <c r="C1167">
        <v>2</v>
      </c>
      <c r="D1167">
        <v>16255</v>
      </c>
      <c r="E1167" t="s">
        <v>10</v>
      </c>
      <c r="F1167">
        <v>28</v>
      </c>
      <c r="G1167" s="2">
        <v>20.85</v>
      </c>
      <c r="H1167" s="2">
        <v>0</v>
      </c>
      <c r="I1167" s="2">
        <v>0.36</v>
      </c>
      <c r="J1167" s="2">
        <v>21.21</v>
      </c>
      <c r="K1167" s="5">
        <f>nantucket[[#This Row],[MW Factor]]-resources!$B$14</f>
        <v>-29</v>
      </c>
    </row>
    <row r="1168" spans="1:11" x14ac:dyDescent="0.3">
      <c r="A1168" t="s">
        <v>54</v>
      </c>
      <c r="B1168">
        <v>1057</v>
      </c>
      <c r="C1168">
        <v>1</v>
      </c>
      <c r="D1168">
        <v>16255</v>
      </c>
      <c r="E1168" t="s">
        <v>10</v>
      </c>
      <c r="F1168">
        <v>28</v>
      </c>
      <c r="G1168" s="2">
        <v>33.479999999999997</v>
      </c>
      <c r="H1168" s="2">
        <v>0</v>
      </c>
      <c r="I1168" s="2">
        <v>0.61</v>
      </c>
      <c r="J1168" s="2">
        <v>34.090000000000003</v>
      </c>
      <c r="K1168" s="5">
        <f>nantucket[[#This Row],[MW Factor]]-resources!$B$14</f>
        <v>-29</v>
      </c>
    </row>
    <row r="1169" spans="1:11" x14ac:dyDescent="0.3">
      <c r="A1169" t="s">
        <v>56</v>
      </c>
      <c r="B1169">
        <v>1105</v>
      </c>
      <c r="C1169">
        <v>1</v>
      </c>
      <c r="D1169">
        <v>16255</v>
      </c>
      <c r="E1169" t="s">
        <v>10</v>
      </c>
      <c r="F1169">
        <v>28</v>
      </c>
      <c r="G1169" s="2">
        <v>27.27</v>
      </c>
      <c r="H1169" s="2">
        <v>0</v>
      </c>
      <c r="I1169" s="2">
        <v>0.31</v>
      </c>
      <c r="J1169" s="2">
        <v>27.58</v>
      </c>
      <c r="K1169" s="5">
        <f>nantucket[[#This Row],[MW Factor]]-resources!$B$14</f>
        <v>-29</v>
      </c>
    </row>
    <row r="1170" spans="1:11" x14ac:dyDescent="0.3">
      <c r="A1170" t="s">
        <v>57</v>
      </c>
      <c r="B1170">
        <v>1129</v>
      </c>
      <c r="C1170">
        <v>1</v>
      </c>
      <c r="D1170">
        <v>16255</v>
      </c>
      <c r="E1170" t="s">
        <v>10</v>
      </c>
      <c r="F1170">
        <v>28</v>
      </c>
      <c r="G1170" s="2">
        <v>41.21</v>
      </c>
      <c r="H1170" s="2">
        <v>0</v>
      </c>
      <c r="I1170" s="2">
        <v>0.48</v>
      </c>
      <c r="J1170" s="2">
        <v>41.69</v>
      </c>
      <c r="K1170" s="5">
        <f>nantucket[[#This Row],[MW Factor]]-resources!$B$14</f>
        <v>-29</v>
      </c>
    </row>
    <row r="1171" spans="1:11" x14ac:dyDescent="0.3">
      <c r="A1171" t="s">
        <v>57</v>
      </c>
      <c r="B1171">
        <v>1137</v>
      </c>
      <c r="C1171">
        <v>9</v>
      </c>
      <c r="D1171">
        <v>16255</v>
      </c>
      <c r="E1171" t="s">
        <v>10</v>
      </c>
      <c r="F1171">
        <v>28</v>
      </c>
      <c r="G1171" s="2">
        <v>37.619999999999997</v>
      </c>
      <c r="H1171" s="2">
        <v>0</v>
      </c>
      <c r="I1171" s="2">
        <v>0.46</v>
      </c>
      <c r="J1171" s="2">
        <v>38.08</v>
      </c>
      <c r="K1171" s="5">
        <f>nantucket[[#This Row],[MW Factor]]-resources!$B$14</f>
        <v>-29</v>
      </c>
    </row>
    <row r="1172" spans="1:11" x14ac:dyDescent="0.3">
      <c r="A1172" t="s">
        <v>59</v>
      </c>
      <c r="B1172">
        <v>1177</v>
      </c>
      <c r="C1172">
        <v>1</v>
      </c>
      <c r="D1172">
        <v>16255</v>
      </c>
      <c r="E1172" t="s">
        <v>10</v>
      </c>
      <c r="F1172">
        <v>28</v>
      </c>
      <c r="G1172" s="2">
        <v>24.64</v>
      </c>
      <c r="H1172" s="2">
        <v>0</v>
      </c>
      <c r="I1172" s="2">
        <v>0.42</v>
      </c>
      <c r="J1172" s="2">
        <v>25.06</v>
      </c>
      <c r="K1172" s="5">
        <f>nantucket[[#This Row],[MW Factor]]-resources!$B$14</f>
        <v>-29</v>
      </c>
    </row>
    <row r="1173" spans="1:11" x14ac:dyDescent="0.3">
      <c r="A1173" t="s">
        <v>60</v>
      </c>
      <c r="B1173">
        <v>1203</v>
      </c>
      <c r="C1173">
        <v>3</v>
      </c>
      <c r="D1173">
        <v>16255</v>
      </c>
      <c r="E1173" t="s">
        <v>10</v>
      </c>
      <c r="F1173">
        <v>28</v>
      </c>
      <c r="G1173" s="2">
        <v>21.98</v>
      </c>
      <c r="H1173" s="2">
        <v>0</v>
      </c>
      <c r="I1173" s="2">
        <v>0.49</v>
      </c>
      <c r="J1173" s="2">
        <v>22.47</v>
      </c>
      <c r="K1173" s="5">
        <f>nantucket[[#This Row],[MW Factor]]-resources!$B$14</f>
        <v>-29</v>
      </c>
    </row>
    <row r="1174" spans="1:11" x14ac:dyDescent="0.3">
      <c r="A1174" t="s">
        <v>60</v>
      </c>
      <c r="B1174">
        <v>1208</v>
      </c>
      <c r="C1174">
        <v>8</v>
      </c>
      <c r="D1174">
        <v>16255</v>
      </c>
      <c r="E1174" t="s">
        <v>10</v>
      </c>
      <c r="F1174">
        <v>28</v>
      </c>
      <c r="G1174" s="2">
        <v>26.5</v>
      </c>
      <c r="H1174" s="2">
        <v>0</v>
      </c>
      <c r="I1174" s="2">
        <v>0.56999999999999995</v>
      </c>
      <c r="J1174" s="2">
        <v>27.07</v>
      </c>
      <c r="K1174" s="5">
        <f>nantucket[[#This Row],[MW Factor]]-resources!$B$14</f>
        <v>-29</v>
      </c>
    </row>
    <row r="1175" spans="1:11" x14ac:dyDescent="0.3">
      <c r="A1175" t="s">
        <v>60</v>
      </c>
      <c r="B1175">
        <v>1224</v>
      </c>
      <c r="C1175">
        <v>24</v>
      </c>
      <c r="D1175">
        <v>16255</v>
      </c>
      <c r="E1175" t="s">
        <v>10</v>
      </c>
      <c r="F1175">
        <v>28</v>
      </c>
      <c r="G1175" s="2">
        <v>21.12</v>
      </c>
      <c r="H1175" s="2">
        <v>0</v>
      </c>
      <c r="I1175" s="2">
        <v>0.45</v>
      </c>
      <c r="J1175" s="2">
        <v>21.57</v>
      </c>
      <c r="K1175" s="5">
        <f>nantucket[[#This Row],[MW Factor]]-resources!$B$14</f>
        <v>-29</v>
      </c>
    </row>
    <row r="1176" spans="1:11" x14ac:dyDescent="0.3">
      <c r="A1176" t="s">
        <v>61</v>
      </c>
      <c r="B1176">
        <v>1248</v>
      </c>
      <c r="C1176">
        <v>24</v>
      </c>
      <c r="D1176">
        <v>16255</v>
      </c>
      <c r="E1176" t="s">
        <v>10</v>
      </c>
      <c r="F1176">
        <v>28</v>
      </c>
      <c r="G1176" s="2">
        <v>25.18</v>
      </c>
      <c r="H1176" s="2">
        <v>0</v>
      </c>
      <c r="I1176" s="2">
        <v>0.56000000000000005</v>
      </c>
      <c r="J1176" s="2">
        <v>25.74</v>
      </c>
      <c r="K1176" s="5">
        <f>nantucket[[#This Row],[MW Factor]]-resources!$B$14</f>
        <v>-29</v>
      </c>
    </row>
    <row r="1177" spans="1:11" x14ac:dyDescent="0.3">
      <c r="A1177" t="s">
        <v>62</v>
      </c>
      <c r="B1177">
        <v>1258</v>
      </c>
      <c r="C1177">
        <v>10</v>
      </c>
      <c r="D1177">
        <v>16255</v>
      </c>
      <c r="E1177" t="s">
        <v>10</v>
      </c>
      <c r="F1177">
        <v>28</v>
      </c>
      <c r="G1177" s="2">
        <v>17.55</v>
      </c>
      <c r="H1177" s="2">
        <v>0</v>
      </c>
      <c r="I1177" s="2">
        <v>0.23</v>
      </c>
      <c r="J1177" s="2">
        <v>17.78</v>
      </c>
      <c r="K1177" s="5">
        <f>nantucket[[#This Row],[MW Factor]]-resources!$B$14</f>
        <v>-29</v>
      </c>
    </row>
    <row r="1178" spans="1:11" x14ac:dyDescent="0.3">
      <c r="A1178" t="s">
        <v>62</v>
      </c>
      <c r="B1178">
        <v>1259</v>
      </c>
      <c r="C1178">
        <v>11</v>
      </c>
      <c r="D1178">
        <v>16255</v>
      </c>
      <c r="E1178" t="s">
        <v>10</v>
      </c>
      <c r="F1178">
        <v>28</v>
      </c>
      <c r="G1178" s="2">
        <v>20.45</v>
      </c>
      <c r="H1178" s="2">
        <v>0</v>
      </c>
      <c r="I1178" s="2">
        <v>0.24</v>
      </c>
      <c r="J1178" s="2">
        <v>20.69</v>
      </c>
      <c r="K1178" s="5">
        <f>nantucket[[#This Row],[MW Factor]]-resources!$B$14</f>
        <v>-29</v>
      </c>
    </row>
    <row r="1179" spans="1:11" x14ac:dyDescent="0.3">
      <c r="A1179" t="s">
        <v>62</v>
      </c>
      <c r="B1179">
        <v>1260</v>
      </c>
      <c r="C1179">
        <v>12</v>
      </c>
      <c r="D1179">
        <v>16255</v>
      </c>
      <c r="E1179" t="s">
        <v>10</v>
      </c>
      <c r="F1179">
        <v>28</v>
      </c>
      <c r="G1179" s="2">
        <v>21.07</v>
      </c>
      <c r="H1179" s="2">
        <v>0</v>
      </c>
      <c r="I1179" s="2">
        <v>0.23</v>
      </c>
      <c r="J1179" s="2">
        <v>21.3</v>
      </c>
      <c r="K1179" s="5">
        <f>nantucket[[#This Row],[MW Factor]]-resources!$B$14</f>
        <v>-29</v>
      </c>
    </row>
    <row r="1180" spans="1:11" x14ac:dyDescent="0.3">
      <c r="A1180" t="s">
        <v>62</v>
      </c>
      <c r="B1180">
        <v>1261</v>
      </c>
      <c r="C1180">
        <v>13</v>
      </c>
      <c r="D1180">
        <v>16255</v>
      </c>
      <c r="E1180" t="s">
        <v>10</v>
      </c>
      <c r="F1180">
        <v>28</v>
      </c>
      <c r="G1180" s="2">
        <v>21.33</v>
      </c>
      <c r="H1180" s="2">
        <v>0</v>
      </c>
      <c r="I1180" s="2">
        <v>0.24</v>
      </c>
      <c r="J1180" s="2">
        <v>21.57</v>
      </c>
      <c r="K1180" s="5">
        <f>nantucket[[#This Row],[MW Factor]]-resources!$B$14</f>
        <v>-29</v>
      </c>
    </row>
    <row r="1181" spans="1:11" x14ac:dyDescent="0.3">
      <c r="A1181" t="s">
        <v>62</v>
      </c>
      <c r="B1181">
        <v>1262</v>
      </c>
      <c r="C1181">
        <v>14</v>
      </c>
      <c r="D1181">
        <v>16255</v>
      </c>
      <c r="E1181" t="s">
        <v>10</v>
      </c>
      <c r="F1181">
        <v>28</v>
      </c>
      <c r="G1181" s="2">
        <v>21.89</v>
      </c>
      <c r="H1181" s="2">
        <v>0</v>
      </c>
      <c r="I1181" s="2">
        <v>0.26</v>
      </c>
      <c r="J1181" s="2">
        <v>22.15</v>
      </c>
      <c r="K1181" s="5">
        <f>nantucket[[#This Row],[MW Factor]]-resources!$B$14</f>
        <v>-29</v>
      </c>
    </row>
    <row r="1182" spans="1:11" x14ac:dyDescent="0.3">
      <c r="A1182" t="s">
        <v>62</v>
      </c>
      <c r="B1182">
        <v>1263</v>
      </c>
      <c r="C1182">
        <v>15</v>
      </c>
      <c r="D1182">
        <v>16255</v>
      </c>
      <c r="E1182" t="s">
        <v>10</v>
      </c>
      <c r="F1182">
        <v>28</v>
      </c>
      <c r="G1182" s="2">
        <v>21.76</v>
      </c>
      <c r="H1182" s="2">
        <v>0</v>
      </c>
      <c r="I1182" s="2">
        <v>0.28000000000000003</v>
      </c>
      <c r="J1182" s="2">
        <v>22.04</v>
      </c>
      <c r="K1182" s="5">
        <f>nantucket[[#This Row],[MW Factor]]-resources!$B$14</f>
        <v>-29</v>
      </c>
    </row>
    <row r="1183" spans="1:11" x14ac:dyDescent="0.3">
      <c r="A1183" t="s">
        <v>63</v>
      </c>
      <c r="B1183">
        <v>1281</v>
      </c>
      <c r="C1183">
        <v>9</v>
      </c>
      <c r="D1183">
        <v>16255</v>
      </c>
      <c r="E1183" t="s">
        <v>10</v>
      </c>
      <c r="F1183">
        <v>28</v>
      </c>
      <c r="G1183" s="2">
        <v>22.08</v>
      </c>
      <c r="H1183" s="2">
        <v>0</v>
      </c>
      <c r="I1183" s="2">
        <v>0.52</v>
      </c>
      <c r="J1183" s="2">
        <v>22.6</v>
      </c>
      <c r="K1183" s="5">
        <f>nantucket[[#This Row],[MW Factor]]-resources!$B$14</f>
        <v>-29</v>
      </c>
    </row>
    <row r="1184" spans="1:11" x14ac:dyDescent="0.3">
      <c r="A1184" t="s">
        <v>64</v>
      </c>
      <c r="B1184">
        <v>1305</v>
      </c>
      <c r="C1184">
        <v>9</v>
      </c>
      <c r="D1184">
        <v>16255</v>
      </c>
      <c r="E1184" t="s">
        <v>10</v>
      </c>
      <c r="F1184">
        <v>28</v>
      </c>
      <c r="G1184" s="2">
        <v>21.01</v>
      </c>
      <c r="H1184" s="2">
        <v>0</v>
      </c>
      <c r="I1184" s="2">
        <v>0.44</v>
      </c>
      <c r="J1184" s="2">
        <v>21.45</v>
      </c>
      <c r="K1184" s="5">
        <f>nantucket[[#This Row],[MW Factor]]-resources!$B$14</f>
        <v>-29</v>
      </c>
    </row>
    <row r="1185" spans="1:11" x14ac:dyDescent="0.3">
      <c r="A1185" t="s">
        <v>65</v>
      </c>
      <c r="B1185">
        <v>1321</v>
      </c>
      <c r="C1185">
        <v>1</v>
      </c>
      <c r="D1185">
        <v>16255</v>
      </c>
      <c r="E1185" t="s">
        <v>10</v>
      </c>
      <c r="F1185">
        <v>28</v>
      </c>
      <c r="G1185" s="2">
        <v>30.2</v>
      </c>
      <c r="H1185" s="2">
        <v>0</v>
      </c>
      <c r="I1185" s="2">
        <v>0.59</v>
      </c>
      <c r="J1185" s="2">
        <v>30.79</v>
      </c>
      <c r="K1185" s="5">
        <f>nantucket[[#This Row],[MW Factor]]-resources!$B$14</f>
        <v>-29</v>
      </c>
    </row>
    <row r="1186" spans="1:11" x14ac:dyDescent="0.3">
      <c r="A1186" t="s">
        <v>66</v>
      </c>
      <c r="B1186">
        <v>1345</v>
      </c>
      <c r="C1186">
        <v>1</v>
      </c>
      <c r="D1186">
        <v>16255</v>
      </c>
      <c r="E1186" t="s">
        <v>10</v>
      </c>
      <c r="F1186">
        <v>28</v>
      </c>
      <c r="G1186" s="2">
        <v>28.71</v>
      </c>
      <c r="H1186" s="2">
        <v>0</v>
      </c>
      <c r="I1186" s="2">
        <v>0.54</v>
      </c>
      <c r="J1186" s="2">
        <v>29.25</v>
      </c>
      <c r="K1186" s="5">
        <f>nantucket[[#This Row],[MW Factor]]-resources!$B$14</f>
        <v>-29</v>
      </c>
    </row>
    <row r="1187" spans="1:11" x14ac:dyDescent="0.3">
      <c r="A1187" t="s">
        <v>69</v>
      </c>
      <c r="B1187">
        <v>1424</v>
      </c>
      <c r="C1187">
        <v>8</v>
      </c>
      <c r="D1187">
        <v>16255</v>
      </c>
      <c r="E1187" t="s">
        <v>10</v>
      </c>
      <c r="F1187">
        <v>28</v>
      </c>
      <c r="G1187" s="2">
        <v>53.01</v>
      </c>
      <c r="H1187" s="2">
        <v>0.23</v>
      </c>
      <c r="I1187" s="2">
        <v>1.1299999999999999</v>
      </c>
      <c r="J1187" s="2">
        <v>54.37</v>
      </c>
      <c r="K1187" s="5">
        <f>nantucket[[#This Row],[MW Factor]]-resources!$B$14</f>
        <v>-29</v>
      </c>
    </row>
    <row r="1188" spans="1:11" x14ac:dyDescent="0.3">
      <c r="A1188" t="s">
        <v>70</v>
      </c>
      <c r="B1188">
        <v>1452</v>
      </c>
      <c r="C1188">
        <v>12</v>
      </c>
      <c r="D1188">
        <v>16255</v>
      </c>
      <c r="E1188" t="s">
        <v>10</v>
      </c>
      <c r="F1188">
        <v>28</v>
      </c>
      <c r="G1188" s="2">
        <v>22.71</v>
      </c>
      <c r="H1188" s="2">
        <v>0.06</v>
      </c>
      <c r="I1188" s="2">
        <v>0.32</v>
      </c>
      <c r="J1188" s="2">
        <v>23.09</v>
      </c>
      <c r="K1188" s="5">
        <f>nantucket[[#This Row],[MW Factor]]-resources!$B$14</f>
        <v>-29</v>
      </c>
    </row>
    <row r="1189" spans="1:11" x14ac:dyDescent="0.3">
      <c r="A1189" t="s">
        <v>70</v>
      </c>
      <c r="B1189">
        <v>1453</v>
      </c>
      <c r="C1189">
        <v>13</v>
      </c>
      <c r="D1189">
        <v>16255</v>
      </c>
      <c r="E1189" t="s">
        <v>10</v>
      </c>
      <c r="F1189">
        <v>28</v>
      </c>
      <c r="G1189" s="2">
        <v>25.96</v>
      </c>
      <c r="H1189" s="2">
        <v>0.14000000000000001</v>
      </c>
      <c r="I1189" s="2">
        <v>0.36</v>
      </c>
      <c r="J1189" s="2">
        <v>26.46</v>
      </c>
      <c r="K1189" s="5">
        <f>nantucket[[#This Row],[MW Factor]]-resources!$B$14</f>
        <v>-29</v>
      </c>
    </row>
    <row r="1190" spans="1:11" x14ac:dyDescent="0.3">
      <c r="A1190" t="s">
        <v>70</v>
      </c>
      <c r="B1190">
        <v>1454</v>
      </c>
      <c r="C1190">
        <v>14</v>
      </c>
      <c r="D1190">
        <v>16255</v>
      </c>
      <c r="E1190" t="s">
        <v>10</v>
      </c>
      <c r="F1190">
        <v>28</v>
      </c>
      <c r="G1190" s="2">
        <v>24.08</v>
      </c>
      <c r="H1190" s="2">
        <v>0.09</v>
      </c>
      <c r="I1190" s="2">
        <v>0.35</v>
      </c>
      <c r="J1190" s="2">
        <v>24.52</v>
      </c>
      <c r="K1190" s="5">
        <f>nantucket[[#This Row],[MW Factor]]-resources!$B$14</f>
        <v>-29</v>
      </c>
    </row>
    <row r="1191" spans="1:11" x14ac:dyDescent="0.3">
      <c r="A1191" t="s">
        <v>70</v>
      </c>
      <c r="B1191">
        <v>1464</v>
      </c>
      <c r="C1191">
        <v>24</v>
      </c>
      <c r="D1191">
        <v>16255</v>
      </c>
      <c r="E1191" t="s">
        <v>10</v>
      </c>
      <c r="F1191">
        <v>28</v>
      </c>
      <c r="G1191" s="2">
        <v>25.56</v>
      </c>
      <c r="H1191" s="2">
        <v>0.03</v>
      </c>
      <c r="I1191" s="2">
        <v>0.61</v>
      </c>
      <c r="J1191" s="2">
        <v>26.2</v>
      </c>
      <c r="K1191" s="5">
        <f>nantucket[[#This Row],[MW Factor]]-resources!$B$14</f>
        <v>-29</v>
      </c>
    </row>
    <row r="1192" spans="1:11" x14ac:dyDescent="0.3">
      <c r="A1192" t="s">
        <v>9</v>
      </c>
      <c r="B1192">
        <v>8</v>
      </c>
      <c r="C1192">
        <v>8</v>
      </c>
      <c r="D1192">
        <v>16255</v>
      </c>
      <c r="E1192" t="s">
        <v>10</v>
      </c>
      <c r="F1192">
        <v>27</v>
      </c>
      <c r="G1192" s="2">
        <v>23.12</v>
      </c>
      <c r="H1192" s="2">
        <v>0</v>
      </c>
      <c r="I1192" s="2">
        <v>0.45</v>
      </c>
      <c r="J1192" s="2">
        <v>23.57</v>
      </c>
      <c r="K1192" s="5">
        <f>nantucket[[#This Row],[MW Factor]]-resources!$B$14</f>
        <v>-30</v>
      </c>
    </row>
    <row r="1193" spans="1:11" x14ac:dyDescent="0.3">
      <c r="A1193" t="s">
        <v>12</v>
      </c>
      <c r="B1193">
        <v>57</v>
      </c>
      <c r="C1193">
        <v>9</v>
      </c>
      <c r="D1193">
        <v>16255</v>
      </c>
      <c r="E1193" t="s">
        <v>10</v>
      </c>
      <c r="F1193">
        <v>27</v>
      </c>
      <c r="G1193" s="2">
        <v>23.77</v>
      </c>
      <c r="H1193" s="2">
        <v>0</v>
      </c>
      <c r="I1193" s="2">
        <v>0.32</v>
      </c>
      <c r="J1193" s="2">
        <v>24.09</v>
      </c>
      <c r="K1193" s="5">
        <f>nantucket[[#This Row],[MW Factor]]-resources!$B$14</f>
        <v>-30</v>
      </c>
    </row>
    <row r="1194" spans="1:11" x14ac:dyDescent="0.3">
      <c r="A1194" t="s">
        <v>14</v>
      </c>
      <c r="B1194">
        <v>104</v>
      </c>
      <c r="C1194">
        <v>8</v>
      </c>
      <c r="D1194">
        <v>16255</v>
      </c>
      <c r="E1194" t="s">
        <v>10</v>
      </c>
      <c r="F1194">
        <v>27</v>
      </c>
      <c r="G1194" s="2">
        <v>27.17</v>
      </c>
      <c r="H1194" s="2">
        <v>0</v>
      </c>
      <c r="I1194" s="2">
        <v>0.2</v>
      </c>
      <c r="J1194" s="2">
        <v>27.37</v>
      </c>
      <c r="K1194" s="5">
        <f>nantucket[[#This Row],[MW Factor]]-resources!$B$14</f>
        <v>-30</v>
      </c>
    </row>
    <row r="1195" spans="1:11" x14ac:dyDescent="0.3">
      <c r="A1195" t="s">
        <v>15</v>
      </c>
      <c r="B1195">
        <v>124</v>
      </c>
      <c r="C1195">
        <v>4</v>
      </c>
      <c r="D1195">
        <v>16255</v>
      </c>
      <c r="E1195" t="s">
        <v>10</v>
      </c>
      <c r="F1195">
        <v>27</v>
      </c>
      <c r="G1195" s="2">
        <v>23.81</v>
      </c>
      <c r="H1195" s="2">
        <v>0</v>
      </c>
      <c r="I1195" s="2">
        <v>0.23</v>
      </c>
      <c r="J1195" s="2">
        <v>24.04</v>
      </c>
      <c r="K1195" s="5">
        <f>nantucket[[#This Row],[MW Factor]]-resources!$B$14</f>
        <v>-30</v>
      </c>
    </row>
    <row r="1196" spans="1:11" x14ac:dyDescent="0.3">
      <c r="A1196" t="s">
        <v>16</v>
      </c>
      <c r="B1196">
        <v>148</v>
      </c>
      <c r="C1196">
        <v>4</v>
      </c>
      <c r="D1196">
        <v>16255</v>
      </c>
      <c r="E1196" t="s">
        <v>10</v>
      </c>
      <c r="F1196">
        <v>27</v>
      </c>
      <c r="G1196" s="2">
        <v>25.66</v>
      </c>
      <c r="H1196" s="2">
        <v>0</v>
      </c>
      <c r="I1196" s="2">
        <v>0.23</v>
      </c>
      <c r="J1196" s="2">
        <v>25.89</v>
      </c>
      <c r="K1196" s="5">
        <f>nantucket[[#This Row],[MW Factor]]-resources!$B$14</f>
        <v>-30</v>
      </c>
    </row>
    <row r="1197" spans="1:11" x14ac:dyDescent="0.3">
      <c r="A1197" t="s">
        <v>17</v>
      </c>
      <c r="B1197">
        <v>172</v>
      </c>
      <c r="C1197">
        <v>4</v>
      </c>
      <c r="D1197">
        <v>16255</v>
      </c>
      <c r="E1197" t="s">
        <v>10</v>
      </c>
      <c r="F1197">
        <v>27</v>
      </c>
      <c r="G1197" s="2">
        <v>29.54</v>
      </c>
      <c r="H1197" s="2">
        <v>0</v>
      </c>
      <c r="I1197" s="2">
        <v>0.28999999999999998</v>
      </c>
      <c r="J1197" s="2">
        <v>29.83</v>
      </c>
      <c r="K1197" s="5">
        <f>nantucket[[#This Row],[MW Factor]]-resources!$B$14</f>
        <v>-30</v>
      </c>
    </row>
    <row r="1198" spans="1:11" x14ac:dyDescent="0.3">
      <c r="A1198" t="s">
        <v>17</v>
      </c>
      <c r="B1198">
        <v>173</v>
      </c>
      <c r="C1198">
        <v>5</v>
      </c>
      <c r="D1198">
        <v>16255</v>
      </c>
      <c r="E1198" t="s">
        <v>10</v>
      </c>
      <c r="F1198">
        <v>27</v>
      </c>
      <c r="G1198" s="2">
        <v>32.82</v>
      </c>
      <c r="H1198" s="2">
        <v>0</v>
      </c>
      <c r="I1198" s="2">
        <v>0.32</v>
      </c>
      <c r="J1198" s="2">
        <v>33.14</v>
      </c>
      <c r="K1198" s="5">
        <f>nantucket[[#This Row],[MW Factor]]-resources!$B$14</f>
        <v>-30</v>
      </c>
    </row>
    <row r="1199" spans="1:11" x14ac:dyDescent="0.3">
      <c r="A1199" t="s">
        <v>17</v>
      </c>
      <c r="B1199">
        <v>175</v>
      </c>
      <c r="C1199">
        <v>7</v>
      </c>
      <c r="D1199">
        <v>16255</v>
      </c>
      <c r="E1199" t="s">
        <v>10</v>
      </c>
      <c r="F1199">
        <v>27</v>
      </c>
      <c r="G1199" s="2">
        <v>29.76</v>
      </c>
      <c r="H1199" s="2">
        <v>0</v>
      </c>
      <c r="I1199" s="2">
        <v>0.34</v>
      </c>
      <c r="J1199" s="2">
        <v>30.1</v>
      </c>
      <c r="K1199" s="5">
        <f>nantucket[[#This Row],[MW Factor]]-resources!$B$14</f>
        <v>-30</v>
      </c>
    </row>
    <row r="1200" spans="1:11" x14ac:dyDescent="0.3">
      <c r="A1200" t="s">
        <v>23</v>
      </c>
      <c r="B1200">
        <v>317</v>
      </c>
      <c r="C1200">
        <v>5</v>
      </c>
      <c r="D1200">
        <v>16255</v>
      </c>
      <c r="E1200" t="s">
        <v>10</v>
      </c>
      <c r="F1200">
        <v>27</v>
      </c>
      <c r="G1200" s="2">
        <v>25.14</v>
      </c>
      <c r="H1200" s="2">
        <v>0</v>
      </c>
      <c r="I1200" s="2">
        <v>0.38</v>
      </c>
      <c r="J1200" s="2">
        <v>25.52</v>
      </c>
      <c r="K1200" s="5">
        <f>nantucket[[#This Row],[MW Factor]]-resources!$B$14</f>
        <v>-30</v>
      </c>
    </row>
    <row r="1201" spans="1:11" x14ac:dyDescent="0.3">
      <c r="A1201" t="s">
        <v>23</v>
      </c>
      <c r="B1201">
        <v>318</v>
      </c>
      <c r="C1201">
        <v>6</v>
      </c>
      <c r="D1201">
        <v>16255</v>
      </c>
      <c r="E1201" t="s">
        <v>10</v>
      </c>
      <c r="F1201">
        <v>27</v>
      </c>
      <c r="G1201" s="2">
        <v>23.01</v>
      </c>
      <c r="H1201" s="2">
        <v>0</v>
      </c>
      <c r="I1201" s="2">
        <v>0.36</v>
      </c>
      <c r="J1201" s="2">
        <v>23.37</v>
      </c>
      <c r="K1201" s="5">
        <f>nantucket[[#This Row],[MW Factor]]-resources!$B$14</f>
        <v>-30</v>
      </c>
    </row>
    <row r="1202" spans="1:11" x14ac:dyDescent="0.3">
      <c r="A1202" t="s">
        <v>23</v>
      </c>
      <c r="B1202">
        <v>319</v>
      </c>
      <c r="C1202">
        <v>7</v>
      </c>
      <c r="D1202">
        <v>16255</v>
      </c>
      <c r="E1202" t="s">
        <v>10</v>
      </c>
      <c r="F1202">
        <v>27</v>
      </c>
      <c r="G1202" s="2">
        <v>22.54</v>
      </c>
      <c r="H1202" s="2">
        <v>0</v>
      </c>
      <c r="I1202" s="2">
        <v>0.35</v>
      </c>
      <c r="J1202" s="2">
        <v>22.89</v>
      </c>
      <c r="K1202" s="5">
        <f>nantucket[[#This Row],[MW Factor]]-resources!$B$14</f>
        <v>-30</v>
      </c>
    </row>
    <row r="1203" spans="1:11" x14ac:dyDescent="0.3">
      <c r="A1203" t="s">
        <v>28</v>
      </c>
      <c r="B1203">
        <v>439</v>
      </c>
      <c r="C1203">
        <v>7</v>
      </c>
      <c r="D1203">
        <v>16255</v>
      </c>
      <c r="E1203" t="s">
        <v>10</v>
      </c>
      <c r="F1203">
        <v>27</v>
      </c>
      <c r="G1203" s="2">
        <v>25.39</v>
      </c>
      <c r="H1203" s="2">
        <v>0</v>
      </c>
      <c r="I1203" s="2">
        <v>0.53</v>
      </c>
      <c r="J1203" s="2">
        <v>25.92</v>
      </c>
      <c r="K1203" s="5">
        <f>nantucket[[#This Row],[MW Factor]]-resources!$B$14</f>
        <v>-30</v>
      </c>
    </row>
    <row r="1204" spans="1:11" x14ac:dyDescent="0.3">
      <c r="A1204" t="s">
        <v>29</v>
      </c>
      <c r="B1204">
        <v>459</v>
      </c>
      <c r="C1204">
        <v>3</v>
      </c>
      <c r="D1204">
        <v>16255</v>
      </c>
      <c r="E1204" t="s">
        <v>10</v>
      </c>
      <c r="F1204">
        <v>27</v>
      </c>
      <c r="G1204" s="2">
        <v>23.71</v>
      </c>
      <c r="H1204" s="2">
        <v>0</v>
      </c>
      <c r="I1204" s="2">
        <v>0.45</v>
      </c>
      <c r="J1204" s="2">
        <v>24.16</v>
      </c>
      <c r="K1204" s="5">
        <f>nantucket[[#This Row],[MW Factor]]-resources!$B$14</f>
        <v>-30</v>
      </c>
    </row>
    <row r="1205" spans="1:11" x14ac:dyDescent="0.3">
      <c r="A1205" t="s">
        <v>30</v>
      </c>
      <c r="B1205">
        <v>486</v>
      </c>
      <c r="C1205">
        <v>6</v>
      </c>
      <c r="D1205">
        <v>16255</v>
      </c>
      <c r="E1205" t="s">
        <v>10</v>
      </c>
      <c r="F1205">
        <v>27</v>
      </c>
      <c r="G1205" s="2">
        <v>24.1</v>
      </c>
      <c r="H1205" s="2">
        <v>0</v>
      </c>
      <c r="I1205" s="2">
        <v>0.47</v>
      </c>
      <c r="J1205" s="2">
        <v>24.57</v>
      </c>
      <c r="K1205" s="5">
        <f>nantucket[[#This Row],[MW Factor]]-resources!$B$14</f>
        <v>-30</v>
      </c>
    </row>
    <row r="1206" spans="1:11" x14ac:dyDescent="0.3">
      <c r="A1206" t="s">
        <v>30</v>
      </c>
      <c r="B1206">
        <v>487</v>
      </c>
      <c r="C1206">
        <v>7</v>
      </c>
      <c r="D1206">
        <v>16255</v>
      </c>
      <c r="E1206" t="s">
        <v>10</v>
      </c>
      <c r="F1206">
        <v>27</v>
      </c>
      <c r="G1206" s="2">
        <v>23.97</v>
      </c>
      <c r="H1206" s="2">
        <v>0</v>
      </c>
      <c r="I1206" s="2">
        <v>0.44</v>
      </c>
      <c r="J1206" s="2">
        <v>24.41</v>
      </c>
      <c r="K1206" s="5">
        <f>nantucket[[#This Row],[MW Factor]]-resources!$B$14</f>
        <v>-30</v>
      </c>
    </row>
    <row r="1207" spans="1:11" x14ac:dyDescent="0.3">
      <c r="A1207" t="s">
        <v>31</v>
      </c>
      <c r="B1207">
        <v>508</v>
      </c>
      <c r="C1207">
        <v>4</v>
      </c>
      <c r="D1207">
        <v>16255</v>
      </c>
      <c r="E1207" t="s">
        <v>10</v>
      </c>
      <c r="F1207">
        <v>27</v>
      </c>
      <c r="G1207" s="2">
        <v>25.92</v>
      </c>
      <c r="H1207" s="2">
        <v>0</v>
      </c>
      <c r="I1207" s="2">
        <v>0.22</v>
      </c>
      <c r="J1207" s="2">
        <v>26.14</v>
      </c>
      <c r="K1207" s="5">
        <f>nantucket[[#This Row],[MW Factor]]-resources!$B$14</f>
        <v>-30</v>
      </c>
    </row>
    <row r="1208" spans="1:11" x14ac:dyDescent="0.3">
      <c r="A1208" t="s">
        <v>31</v>
      </c>
      <c r="B1208">
        <v>509</v>
      </c>
      <c r="C1208">
        <v>5</v>
      </c>
      <c r="D1208">
        <v>16255</v>
      </c>
      <c r="E1208" t="s">
        <v>10</v>
      </c>
      <c r="F1208">
        <v>27</v>
      </c>
      <c r="G1208" s="2">
        <v>26</v>
      </c>
      <c r="H1208" s="2">
        <v>0.02</v>
      </c>
      <c r="I1208" s="2">
        <v>0.22</v>
      </c>
      <c r="J1208" s="2">
        <v>26.24</v>
      </c>
      <c r="K1208" s="5">
        <f>nantucket[[#This Row],[MW Factor]]-resources!$B$14</f>
        <v>-30</v>
      </c>
    </row>
    <row r="1209" spans="1:11" x14ac:dyDescent="0.3">
      <c r="A1209" t="s">
        <v>31</v>
      </c>
      <c r="B1209">
        <v>511</v>
      </c>
      <c r="C1209">
        <v>7</v>
      </c>
      <c r="D1209">
        <v>16255</v>
      </c>
      <c r="E1209" t="s">
        <v>10</v>
      </c>
      <c r="F1209">
        <v>27</v>
      </c>
      <c r="G1209" s="2">
        <v>25.75</v>
      </c>
      <c r="H1209" s="2">
        <v>0</v>
      </c>
      <c r="I1209" s="2">
        <v>0.27</v>
      </c>
      <c r="J1209" s="2">
        <v>26.02</v>
      </c>
      <c r="K1209" s="5">
        <f>nantucket[[#This Row],[MW Factor]]-resources!$B$14</f>
        <v>-30</v>
      </c>
    </row>
    <row r="1210" spans="1:11" x14ac:dyDescent="0.3">
      <c r="A1210" t="s">
        <v>32</v>
      </c>
      <c r="B1210">
        <v>533</v>
      </c>
      <c r="C1210">
        <v>5</v>
      </c>
      <c r="D1210">
        <v>16255</v>
      </c>
      <c r="E1210" t="s">
        <v>10</v>
      </c>
      <c r="F1210">
        <v>27</v>
      </c>
      <c r="G1210" s="2">
        <v>32.450000000000003</v>
      </c>
      <c r="H1210" s="2">
        <v>0</v>
      </c>
      <c r="I1210" s="2">
        <v>0.21</v>
      </c>
      <c r="J1210" s="2">
        <v>32.659999999999997</v>
      </c>
      <c r="K1210" s="5">
        <f>nantucket[[#This Row],[MW Factor]]-resources!$B$14</f>
        <v>-30</v>
      </c>
    </row>
    <row r="1211" spans="1:11" x14ac:dyDescent="0.3">
      <c r="A1211" t="s">
        <v>33</v>
      </c>
      <c r="B1211">
        <v>565</v>
      </c>
      <c r="C1211">
        <v>13</v>
      </c>
      <c r="D1211">
        <v>16255</v>
      </c>
      <c r="E1211" t="s">
        <v>10</v>
      </c>
      <c r="F1211">
        <v>27</v>
      </c>
      <c r="G1211" s="2">
        <v>41.76</v>
      </c>
      <c r="H1211" s="2">
        <v>0</v>
      </c>
      <c r="I1211" s="2">
        <v>0.12</v>
      </c>
      <c r="J1211" s="2">
        <v>41.88</v>
      </c>
      <c r="K1211" s="5">
        <f>nantucket[[#This Row],[MW Factor]]-resources!$B$14</f>
        <v>-30</v>
      </c>
    </row>
    <row r="1212" spans="1:11" x14ac:dyDescent="0.3">
      <c r="A1212" t="s">
        <v>34</v>
      </c>
      <c r="B1212">
        <v>577</v>
      </c>
      <c r="C1212">
        <v>1</v>
      </c>
      <c r="D1212">
        <v>16255</v>
      </c>
      <c r="E1212" t="s">
        <v>10</v>
      </c>
      <c r="F1212">
        <v>27</v>
      </c>
      <c r="G1212" s="2">
        <v>25.59</v>
      </c>
      <c r="H1212" s="2">
        <v>0</v>
      </c>
      <c r="I1212" s="2">
        <v>0.12</v>
      </c>
      <c r="J1212" s="2">
        <v>25.71</v>
      </c>
      <c r="K1212" s="5">
        <f>nantucket[[#This Row],[MW Factor]]-resources!$B$14</f>
        <v>-30</v>
      </c>
    </row>
    <row r="1213" spans="1:11" x14ac:dyDescent="0.3">
      <c r="A1213" t="s">
        <v>35</v>
      </c>
      <c r="B1213">
        <v>603</v>
      </c>
      <c r="C1213">
        <v>3</v>
      </c>
      <c r="D1213">
        <v>16255</v>
      </c>
      <c r="E1213" t="s">
        <v>10</v>
      </c>
      <c r="F1213">
        <v>27</v>
      </c>
      <c r="G1213" s="2">
        <v>22.47</v>
      </c>
      <c r="H1213" s="2">
        <v>0</v>
      </c>
      <c r="I1213" s="2">
        <v>0.35</v>
      </c>
      <c r="J1213" s="2">
        <v>22.82</v>
      </c>
      <c r="K1213" s="5">
        <f>nantucket[[#This Row],[MW Factor]]-resources!$B$14</f>
        <v>-30</v>
      </c>
    </row>
    <row r="1214" spans="1:11" x14ac:dyDescent="0.3">
      <c r="A1214" t="s">
        <v>35</v>
      </c>
      <c r="B1214">
        <v>608</v>
      </c>
      <c r="C1214">
        <v>8</v>
      </c>
      <c r="D1214">
        <v>16255</v>
      </c>
      <c r="E1214" t="s">
        <v>10</v>
      </c>
      <c r="F1214">
        <v>27</v>
      </c>
      <c r="G1214" s="2">
        <v>22</v>
      </c>
      <c r="H1214" s="2">
        <v>0</v>
      </c>
      <c r="I1214" s="2">
        <v>0.39</v>
      </c>
      <c r="J1214" s="2">
        <v>22.39</v>
      </c>
      <c r="K1214" s="5">
        <f>nantucket[[#This Row],[MW Factor]]-resources!$B$14</f>
        <v>-30</v>
      </c>
    </row>
    <row r="1215" spans="1:11" x14ac:dyDescent="0.3">
      <c r="A1215" t="s">
        <v>36</v>
      </c>
      <c r="B1215">
        <v>627</v>
      </c>
      <c r="C1215">
        <v>3</v>
      </c>
      <c r="D1215">
        <v>16255</v>
      </c>
      <c r="E1215" t="s">
        <v>10</v>
      </c>
      <c r="F1215">
        <v>27</v>
      </c>
      <c r="G1215" s="2">
        <v>22.53</v>
      </c>
      <c r="H1215" s="2">
        <v>0</v>
      </c>
      <c r="I1215" s="2">
        <v>0.42</v>
      </c>
      <c r="J1215" s="2">
        <v>22.95</v>
      </c>
      <c r="K1215" s="5">
        <f>nantucket[[#This Row],[MW Factor]]-resources!$B$14</f>
        <v>-30</v>
      </c>
    </row>
    <row r="1216" spans="1:11" x14ac:dyDescent="0.3">
      <c r="A1216" t="s">
        <v>36</v>
      </c>
      <c r="B1216">
        <v>632</v>
      </c>
      <c r="C1216">
        <v>8</v>
      </c>
      <c r="D1216">
        <v>16255</v>
      </c>
      <c r="E1216" t="s">
        <v>10</v>
      </c>
      <c r="F1216">
        <v>27</v>
      </c>
      <c r="G1216" s="2">
        <v>20.95</v>
      </c>
      <c r="H1216" s="2">
        <v>0</v>
      </c>
      <c r="I1216" s="2">
        <v>0.32</v>
      </c>
      <c r="J1216" s="2">
        <v>21.27</v>
      </c>
      <c r="K1216" s="5">
        <f>nantucket[[#This Row],[MW Factor]]-resources!$B$14</f>
        <v>-30</v>
      </c>
    </row>
    <row r="1217" spans="1:11" x14ac:dyDescent="0.3">
      <c r="A1217" t="s">
        <v>37</v>
      </c>
      <c r="B1217">
        <v>657</v>
      </c>
      <c r="C1217">
        <v>9</v>
      </c>
      <c r="D1217">
        <v>16255</v>
      </c>
      <c r="E1217" t="s">
        <v>10</v>
      </c>
      <c r="F1217">
        <v>27</v>
      </c>
      <c r="G1217" s="2">
        <v>19.37</v>
      </c>
      <c r="H1217" s="2">
        <v>0</v>
      </c>
      <c r="I1217" s="2">
        <v>0.25</v>
      </c>
      <c r="J1217" s="2">
        <v>19.62</v>
      </c>
      <c r="K1217" s="5">
        <f>nantucket[[#This Row],[MW Factor]]-resources!$B$14</f>
        <v>-30</v>
      </c>
    </row>
    <row r="1218" spans="1:11" x14ac:dyDescent="0.3">
      <c r="A1218" t="s">
        <v>39</v>
      </c>
      <c r="B1218">
        <v>698</v>
      </c>
      <c r="C1218">
        <v>2</v>
      </c>
      <c r="D1218">
        <v>16255</v>
      </c>
      <c r="E1218" t="s">
        <v>10</v>
      </c>
      <c r="F1218">
        <v>27</v>
      </c>
      <c r="G1218" s="2">
        <v>33.76</v>
      </c>
      <c r="H1218" s="2">
        <v>0</v>
      </c>
      <c r="I1218" s="2">
        <v>0.51</v>
      </c>
      <c r="J1218" s="2">
        <v>34.270000000000003</v>
      </c>
      <c r="K1218" s="5">
        <f>nantucket[[#This Row],[MW Factor]]-resources!$B$14</f>
        <v>-30</v>
      </c>
    </row>
    <row r="1219" spans="1:11" x14ac:dyDescent="0.3">
      <c r="A1219" t="s">
        <v>40</v>
      </c>
      <c r="B1219">
        <v>726</v>
      </c>
      <c r="C1219">
        <v>6</v>
      </c>
      <c r="D1219">
        <v>16255</v>
      </c>
      <c r="E1219" t="s">
        <v>10</v>
      </c>
      <c r="F1219">
        <v>27</v>
      </c>
      <c r="G1219" s="2">
        <v>70.63</v>
      </c>
      <c r="H1219" s="2">
        <v>0</v>
      </c>
      <c r="I1219" s="2">
        <v>0.34</v>
      </c>
      <c r="J1219" s="2">
        <v>70.97</v>
      </c>
      <c r="K1219" s="5">
        <f>nantucket[[#This Row],[MW Factor]]-resources!$B$14</f>
        <v>-30</v>
      </c>
    </row>
    <row r="1220" spans="1:11" x14ac:dyDescent="0.3">
      <c r="A1220" t="s">
        <v>40</v>
      </c>
      <c r="B1220">
        <v>727</v>
      </c>
      <c r="C1220">
        <v>7</v>
      </c>
      <c r="D1220">
        <v>16255</v>
      </c>
      <c r="E1220" t="s">
        <v>10</v>
      </c>
      <c r="F1220">
        <v>27</v>
      </c>
      <c r="G1220" s="2">
        <v>40.01</v>
      </c>
      <c r="H1220" s="2">
        <v>0</v>
      </c>
      <c r="I1220" s="2">
        <v>0.28000000000000003</v>
      </c>
      <c r="J1220" s="2">
        <v>40.29</v>
      </c>
      <c r="K1220" s="5">
        <f>nantucket[[#This Row],[MW Factor]]-resources!$B$14</f>
        <v>-30</v>
      </c>
    </row>
    <row r="1221" spans="1:11" x14ac:dyDescent="0.3">
      <c r="A1221" t="s">
        <v>48</v>
      </c>
      <c r="B1221">
        <v>921</v>
      </c>
      <c r="C1221">
        <v>9</v>
      </c>
      <c r="D1221">
        <v>16255</v>
      </c>
      <c r="E1221" t="s">
        <v>10</v>
      </c>
      <c r="F1221">
        <v>27</v>
      </c>
      <c r="G1221" s="2">
        <v>47.35</v>
      </c>
      <c r="H1221" s="2">
        <v>0</v>
      </c>
      <c r="I1221" s="2">
        <v>0.86</v>
      </c>
      <c r="J1221" s="2">
        <v>48.21</v>
      </c>
      <c r="K1221" s="5">
        <f>nantucket[[#This Row],[MW Factor]]-resources!$B$14</f>
        <v>-30</v>
      </c>
    </row>
    <row r="1222" spans="1:11" x14ac:dyDescent="0.3">
      <c r="A1222" t="s">
        <v>51</v>
      </c>
      <c r="B1222">
        <v>992</v>
      </c>
      <c r="C1222">
        <v>8</v>
      </c>
      <c r="D1222">
        <v>16255</v>
      </c>
      <c r="E1222" t="s">
        <v>10</v>
      </c>
      <c r="F1222">
        <v>27</v>
      </c>
      <c r="G1222" s="2">
        <v>21.09</v>
      </c>
      <c r="H1222" s="2">
        <v>0</v>
      </c>
      <c r="I1222" s="2">
        <v>0.48</v>
      </c>
      <c r="J1222" s="2">
        <v>21.57</v>
      </c>
      <c r="K1222" s="5">
        <f>nantucket[[#This Row],[MW Factor]]-resources!$B$14</f>
        <v>-30</v>
      </c>
    </row>
    <row r="1223" spans="1:11" x14ac:dyDescent="0.3">
      <c r="A1223" t="s">
        <v>52</v>
      </c>
      <c r="B1223">
        <v>1016</v>
      </c>
      <c r="C1223">
        <v>8</v>
      </c>
      <c r="D1223">
        <v>16255</v>
      </c>
      <c r="E1223" t="s">
        <v>10</v>
      </c>
      <c r="F1223">
        <v>27</v>
      </c>
      <c r="G1223" s="2">
        <v>21.5</v>
      </c>
      <c r="H1223" s="2">
        <v>0</v>
      </c>
      <c r="I1223" s="2">
        <v>0.35</v>
      </c>
      <c r="J1223" s="2">
        <v>21.85</v>
      </c>
      <c r="K1223" s="5">
        <f>nantucket[[#This Row],[MW Factor]]-resources!$B$14</f>
        <v>-30</v>
      </c>
    </row>
    <row r="1224" spans="1:11" x14ac:dyDescent="0.3">
      <c r="A1224" t="s">
        <v>53</v>
      </c>
      <c r="B1224">
        <v>1034</v>
      </c>
      <c r="C1224">
        <v>2</v>
      </c>
      <c r="D1224">
        <v>16255</v>
      </c>
      <c r="E1224" t="s">
        <v>10</v>
      </c>
      <c r="F1224">
        <v>27</v>
      </c>
      <c r="G1224" s="2">
        <v>23.25</v>
      </c>
      <c r="H1224" s="2">
        <v>0</v>
      </c>
      <c r="I1224" s="2">
        <v>0.37</v>
      </c>
      <c r="J1224" s="2">
        <v>23.62</v>
      </c>
      <c r="K1224" s="5">
        <f>nantucket[[#This Row],[MW Factor]]-resources!$B$14</f>
        <v>-30</v>
      </c>
    </row>
    <row r="1225" spans="1:11" x14ac:dyDescent="0.3">
      <c r="A1225" t="s">
        <v>53</v>
      </c>
      <c r="B1225">
        <v>1040</v>
      </c>
      <c r="C1225">
        <v>8</v>
      </c>
      <c r="D1225">
        <v>16255</v>
      </c>
      <c r="E1225" t="s">
        <v>10</v>
      </c>
      <c r="F1225">
        <v>27</v>
      </c>
      <c r="G1225" s="2">
        <v>27.38</v>
      </c>
      <c r="H1225" s="2">
        <v>0</v>
      </c>
      <c r="I1225" s="2">
        <v>0.47</v>
      </c>
      <c r="J1225" s="2">
        <v>27.85</v>
      </c>
      <c r="K1225" s="5">
        <f>nantucket[[#This Row],[MW Factor]]-resources!$B$14</f>
        <v>-30</v>
      </c>
    </row>
    <row r="1226" spans="1:11" x14ac:dyDescent="0.3">
      <c r="A1226" t="s">
        <v>54</v>
      </c>
      <c r="B1226">
        <v>1064</v>
      </c>
      <c r="C1226">
        <v>8</v>
      </c>
      <c r="D1226">
        <v>16255</v>
      </c>
      <c r="E1226" t="s">
        <v>10</v>
      </c>
      <c r="F1226">
        <v>27</v>
      </c>
      <c r="G1226" s="2">
        <v>25.82</v>
      </c>
      <c r="H1226" s="2">
        <v>0</v>
      </c>
      <c r="I1226" s="2">
        <v>0.39</v>
      </c>
      <c r="J1226" s="2">
        <v>26.21</v>
      </c>
      <c r="K1226" s="5">
        <f>nantucket[[#This Row],[MW Factor]]-resources!$B$14</f>
        <v>-30</v>
      </c>
    </row>
    <row r="1227" spans="1:11" x14ac:dyDescent="0.3">
      <c r="A1227" t="s">
        <v>55</v>
      </c>
      <c r="B1227">
        <v>1082</v>
      </c>
      <c r="C1227">
        <v>2</v>
      </c>
      <c r="D1227">
        <v>16255</v>
      </c>
      <c r="E1227" t="s">
        <v>10</v>
      </c>
      <c r="F1227">
        <v>27</v>
      </c>
      <c r="G1227" s="2">
        <v>28.15</v>
      </c>
      <c r="H1227" s="2">
        <v>0</v>
      </c>
      <c r="I1227" s="2">
        <v>0.44</v>
      </c>
      <c r="J1227" s="2">
        <v>28.59</v>
      </c>
      <c r="K1227" s="5">
        <f>nantucket[[#This Row],[MW Factor]]-resources!$B$14</f>
        <v>-30</v>
      </c>
    </row>
    <row r="1228" spans="1:11" x14ac:dyDescent="0.3">
      <c r="A1228" t="s">
        <v>56</v>
      </c>
      <c r="B1228">
        <v>1107</v>
      </c>
      <c r="C1228">
        <v>3</v>
      </c>
      <c r="D1228">
        <v>16255</v>
      </c>
      <c r="E1228" t="s">
        <v>10</v>
      </c>
      <c r="F1228">
        <v>27</v>
      </c>
      <c r="G1228" s="2">
        <v>26.28</v>
      </c>
      <c r="H1228" s="2">
        <v>0</v>
      </c>
      <c r="I1228" s="2">
        <v>0.31</v>
      </c>
      <c r="J1228" s="2">
        <v>26.59</v>
      </c>
      <c r="K1228" s="5">
        <f>nantucket[[#This Row],[MW Factor]]-resources!$B$14</f>
        <v>-30</v>
      </c>
    </row>
    <row r="1229" spans="1:11" x14ac:dyDescent="0.3">
      <c r="A1229" t="s">
        <v>58</v>
      </c>
      <c r="B1229">
        <v>1153</v>
      </c>
      <c r="C1229">
        <v>1</v>
      </c>
      <c r="D1229">
        <v>16255</v>
      </c>
      <c r="E1229" t="s">
        <v>10</v>
      </c>
      <c r="F1229">
        <v>27</v>
      </c>
      <c r="G1229" s="2">
        <v>22.54</v>
      </c>
      <c r="H1229" s="2">
        <v>0</v>
      </c>
      <c r="I1229" s="2">
        <v>0.37</v>
      </c>
      <c r="J1229" s="2">
        <v>22.91</v>
      </c>
      <c r="K1229" s="5">
        <f>nantucket[[#This Row],[MW Factor]]-resources!$B$14</f>
        <v>-30</v>
      </c>
    </row>
    <row r="1230" spans="1:11" x14ac:dyDescent="0.3">
      <c r="A1230" t="s">
        <v>58</v>
      </c>
      <c r="B1230">
        <v>1161</v>
      </c>
      <c r="C1230">
        <v>9</v>
      </c>
      <c r="D1230">
        <v>16255</v>
      </c>
      <c r="E1230" t="s">
        <v>10</v>
      </c>
      <c r="F1230">
        <v>27</v>
      </c>
      <c r="G1230" s="2">
        <v>22.19</v>
      </c>
      <c r="H1230" s="2">
        <v>0</v>
      </c>
      <c r="I1230" s="2">
        <v>0.4</v>
      </c>
      <c r="J1230" s="2">
        <v>22.59</v>
      </c>
      <c r="K1230" s="5">
        <f>nantucket[[#This Row],[MW Factor]]-resources!$B$14</f>
        <v>-30</v>
      </c>
    </row>
    <row r="1231" spans="1:11" x14ac:dyDescent="0.3">
      <c r="A1231" t="s">
        <v>60</v>
      </c>
      <c r="B1231">
        <v>1204</v>
      </c>
      <c r="C1231">
        <v>4</v>
      </c>
      <c r="D1231">
        <v>16255</v>
      </c>
      <c r="E1231" t="s">
        <v>10</v>
      </c>
      <c r="F1231">
        <v>27</v>
      </c>
      <c r="G1231" s="2">
        <v>21.2</v>
      </c>
      <c r="H1231" s="2">
        <v>0</v>
      </c>
      <c r="I1231" s="2">
        <v>0.46</v>
      </c>
      <c r="J1231" s="2">
        <v>21.66</v>
      </c>
      <c r="K1231" s="5">
        <f>nantucket[[#This Row],[MW Factor]]-resources!$B$14</f>
        <v>-30</v>
      </c>
    </row>
    <row r="1232" spans="1:11" x14ac:dyDescent="0.3">
      <c r="A1232" t="s">
        <v>64</v>
      </c>
      <c r="B1232">
        <v>1297</v>
      </c>
      <c r="C1232">
        <v>1</v>
      </c>
      <c r="D1232">
        <v>16255</v>
      </c>
      <c r="E1232" t="s">
        <v>10</v>
      </c>
      <c r="F1232">
        <v>27</v>
      </c>
      <c r="G1232" s="2">
        <v>23.01</v>
      </c>
      <c r="H1232" s="2">
        <v>0</v>
      </c>
      <c r="I1232" s="2">
        <v>0.44</v>
      </c>
      <c r="J1232" s="2">
        <v>23.45</v>
      </c>
      <c r="K1232" s="5">
        <f>nantucket[[#This Row],[MW Factor]]-resources!$B$14</f>
        <v>-30</v>
      </c>
    </row>
    <row r="1233" spans="1:11" x14ac:dyDescent="0.3">
      <c r="A1233" t="s">
        <v>66</v>
      </c>
      <c r="B1233">
        <v>1346</v>
      </c>
      <c r="C1233">
        <v>2</v>
      </c>
      <c r="D1233">
        <v>16255</v>
      </c>
      <c r="E1233" t="s">
        <v>10</v>
      </c>
      <c r="F1233">
        <v>27</v>
      </c>
      <c r="G1233" s="2">
        <v>26.18</v>
      </c>
      <c r="H1233" s="2">
        <v>0.01</v>
      </c>
      <c r="I1233" s="2">
        <v>0.42</v>
      </c>
      <c r="J1233" s="2">
        <v>26.61</v>
      </c>
      <c r="K1233" s="5">
        <f>nantucket[[#This Row],[MW Factor]]-resources!$B$14</f>
        <v>-30</v>
      </c>
    </row>
    <row r="1234" spans="1:11" x14ac:dyDescent="0.3">
      <c r="A1234" t="s">
        <v>66</v>
      </c>
      <c r="B1234">
        <v>1352</v>
      </c>
      <c r="C1234">
        <v>8</v>
      </c>
      <c r="D1234">
        <v>16255</v>
      </c>
      <c r="E1234" t="s">
        <v>10</v>
      </c>
      <c r="F1234">
        <v>27</v>
      </c>
      <c r="G1234" s="2">
        <v>25.84</v>
      </c>
      <c r="H1234" s="2">
        <v>0</v>
      </c>
      <c r="I1234" s="2">
        <v>0.21</v>
      </c>
      <c r="J1234" s="2">
        <v>26.05</v>
      </c>
      <c r="K1234" s="5">
        <f>nantucket[[#This Row],[MW Factor]]-resources!$B$14</f>
        <v>-30</v>
      </c>
    </row>
    <row r="1235" spans="1:11" x14ac:dyDescent="0.3">
      <c r="A1235" t="s">
        <v>67</v>
      </c>
      <c r="B1235">
        <v>1377</v>
      </c>
      <c r="C1235">
        <v>9</v>
      </c>
      <c r="D1235">
        <v>16255</v>
      </c>
      <c r="E1235" t="s">
        <v>10</v>
      </c>
      <c r="F1235">
        <v>27</v>
      </c>
      <c r="G1235" s="2">
        <v>25.3</v>
      </c>
      <c r="H1235" s="2">
        <v>0.02</v>
      </c>
      <c r="I1235" s="2">
        <v>0.27</v>
      </c>
      <c r="J1235" s="2">
        <v>25.59</v>
      </c>
      <c r="K1235" s="5">
        <f>nantucket[[#This Row],[MW Factor]]-resources!$B$14</f>
        <v>-30</v>
      </c>
    </row>
    <row r="1236" spans="1:11" x14ac:dyDescent="0.3">
      <c r="A1236" t="s">
        <v>68</v>
      </c>
      <c r="B1236">
        <v>1393</v>
      </c>
      <c r="C1236">
        <v>1</v>
      </c>
      <c r="D1236">
        <v>16255</v>
      </c>
      <c r="E1236" t="s">
        <v>10</v>
      </c>
      <c r="F1236">
        <v>27</v>
      </c>
      <c r="G1236" s="2">
        <v>26.39</v>
      </c>
      <c r="H1236" s="2">
        <v>0</v>
      </c>
      <c r="I1236" s="2">
        <v>0.44</v>
      </c>
      <c r="J1236" s="2">
        <v>26.83</v>
      </c>
      <c r="K1236" s="5">
        <f>nantucket[[#This Row],[MW Factor]]-resources!$B$14</f>
        <v>-30</v>
      </c>
    </row>
    <row r="1237" spans="1:11" x14ac:dyDescent="0.3">
      <c r="A1237" t="s">
        <v>68</v>
      </c>
      <c r="B1237">
        <v>1400</v>
      </c>
      <c r="C1237">
        <v>8</v>
      </c>
      <c r="D1237">
        <v>16255</v>
      </c>
      <c r="E1237" t="s">
        <v>10</v>
      </c>
      <c r="F1237">
        <v>27</v>
      </c>
      <c r="G1237" s="2">
        <v>26.07</v>
      </c>
      <c r="H1237" s="2">
        <v>0</v>
      </c>
      <c r="I1237" s="2">
        <v>0.42</v>
      </c>
      <c r="J1237" s="2">
        <v>26.49</v>
      </c>
      <c r="K1237" s="5">
        <f>nantucket[[#This Row],[MW Factor]]-resources!$B$14</f>
        <v>-30</v>
      </c>
    </row>
    <row r="1238" spans="1:11" x14ac:dyDescent="0.3">
      <c r="A1238" t="s">
        <v>69</v>
      </c>
      <c r="B1238">
        <v>1419</v>
      </c>
      <c r="C1238">
        <v>3</v>
      </c>
      <c r="D1238">
        <v>16255</v>
      </c>
      <c r="E1238" t="s">
        <v>10</v>
      </c>
      <c r="F1238">
        <v>27</v>
      </c>
      <c r="G1238" s="2">
        <v>32.54</v>
      </c>
      <c r="H1238" s="2">
        <v>0.01</v>
      </c>
      <c r="I1238" s="2">
        <v>0.68</v>
      </c>
      <c r="J1238" s="2">
        <v>33.229999999999997</v>
      </c>
      <c r="K1238" s="5">
        <f>nantucket[[#This Row],[MW Factor]]-resources!$B$14</f>
        <v>-30</v>
      </c>
    </row>
    <row r="1239" spans="1:11" x14ac:dyDescent="0.3">
      <c r="A1239" t="s">
        <v>69</v>
      </c>
      <c r="B1239">
        <v>1420</v>
      </c>
      <c r="C1239">
        <v>4</v>
      </c>
      <c r="D1239">
        <v>16255</v>
      </c>
      <c r="E1239" t="s">
        <v>10</v>
      </c>
      <c r="F1239">
        <v>27</v>
      </c>
      <c r="G1239" s="2">
        <v>30.97</v>
      </c>
      <c r="H1239" s="2">
        <v>0</v>
      </c>
      <c r="I1239" s="2">
        <v>0.65</v>
      </c>
      <c r="J1239" s="2">
        <v>31.62</v>
      </c>
      <c r="K1239" s="5">
        <f>nantucket[[#This Row],[MW Factor]]-resources!$B$14</f>
        <v>-30</v>
      </c>
    </row>
    <row r="1240" spans="1:11" x14ac:dyDescent="0.3">
      <c r="A1240" t="s">
        <v>70</v>
      </c>
      <c r="B1240">
        <v>1451</v>
      </c>
      <c r="C1240">
        <v>11</v>
      </c>
      <c r="D1240">
        <v>16255</v>
      </c>
      <c r="E1240" t="s">
        <v>10</v>
      </c>
      <c r="F1240">
        <v>27</v>
      </c>
      <c r="G1240" s="2">
        <v>22.37</v>
      </c>
      <c r="H1240" s="2">
        <v>0.05</v>
      </c>
      <c r="I1240" s="2">
        <v>0.36</v>
      </c>
      <c r="J1240" s="2">
        <v>22.78</v>
      </c>
      <c r="K1240" s="5">
        <f>nantucket[[#This Row],[MW Factor]]-resources!$B$14</f>
        <v>-30</v>
      </c>
    </row>
    <row r="1241" spans="1:11" x14ac:dyDescent="0.3">
      <c r="A1241" t="s">
        <v>9</v>
      </c>
      <c r="B1241">
        <v>2</v>
      </c>
      <c r="C1241">
        <v>2</v>
      </c>
      <c r="D1241">
        <v>16255</v>
      </c>
      <c r="E1241" t="s">
        <v>10</v>
      </c>
      <c r="F1241">
        <v>26</v>
      </c>
      <c r="G1241" s="2">
        <v>28.7</v>
      </c>
      <c r="H1241" s="2">
        <v>0</v>
      </c>
      <c r="I1241" s="2">
        <v>0.49</v>
      </c>
      <c r="J1241" s="2">
        <v>29.19</v>
      </c>
      <c r="K1241" s="5">
        <f>nantucket[[#This Row],[MW Factor]]-resources!$B$14</f>
        <v>-31</v>
      </c>
    </row>
    <row r="1242" spans="1:11" x14ac:dyDescent="0.3">
      <c r="A1242" t="s">
        <v>11</v>
      </c>
      <c r="B1242">
        <v>25</v>
      </c>
      <c r="C1242">
        <v>1</v>
      </c>
      <c r="D1242">
        <v>16255</v>
      </c>
      <c r="E1242" t="s">
        <v>10</v>
      </c>
      <c r="F1242">
        <v>26</v>
      </c>
      <c r="G1242" s="2">
        <v>22.8</v>
      </c>
      <c r="H1242" s="2">
        <v>0</v>
      </c>
      <c r="I1242" s="2">
        <v>0.42</v>
      </c>
      <c r="J1242" s="2">
        <v>23.22</v>
      </c>
      <c r="K1242" s="5">
        <f>nantucket[[#This Row],[MW Factor]]-resources!$B$14</f>
        <v>-31</v>
      </c>
    </row>
    <row r="1243" spans="1:11" x14ac:dyDescent="0.3">
      <c r="A1243" t="s">
        <v>12</v>
      </c>
      <c r="B1243">
        <v>49</v>
      </c>
      <c r="C1243">
        <v>1</v>
      </c>
      <c r="D1243">
        <v>16255</v>
      </c>
      <c r="E1243" t="s">
        <v>10</v>
      </c>
      <c r="F1243">
        <v>26</v>
      </c>
      <c r="G1243" s="2">
        <v>27.88</v>
      </c>
      <c r="H1243" s="2">
        <v>0</v>
      </c>
      <c r="I1243" s="2">
        <v>0.52</v>
      </c>
      <c r="J1243" s="2">
        <v>28.4</v>
      </c>
      <c r="K1243" s="5">
        <f>nantucket[[#This Row],[MW Factor]]-resources!$B$14</f>
        <v>-31</v>
      </c>
    </row>
    <row r="1244" spans="1:11" x14ac:dyDescent="0.3">
      <c r="A1244" t="s">
        <v>13</v>
      </c>
      <c r="B1244">
        <v>74</v>
      </c>
      <c r="C1244">
        <v>2</v>
      </c>
      <c r="D1244">
        <v>16255</v>
      </c>
      <c r="E1244" t="s">
        <v>10</v>
      </c>
      <c r="F1244">
        <v>26</v>
      </c>
      <c r="G1244" s="2">
        <v>24.07</v>
      </c>
      <c r="H1244" s="2">
        <v>0</v>
      </c>
      <c r="I1244" s="2">
        <v>0.52</v>
      </c>
      <c r="J1244" s="2">
        <v>24.59</v>
      </c>
      <c r="K1244" s="5">
        <f>nantucket[[#This Row],[MW Factor]]-resources!$B$14</f>
        <v>-31</v>
      </c>
    </row>
    <row r="1245" spans="1:11" x14ac:dyDescent="0.3">
      <c r="A1245" t="s">
        <v>14</v>
      </c>
      <c r="B1245">
        <v>100</v>
      </c>
      <c r="C1245">
        <v>4</v>
      </c>
      <c r="D1245">
        <v>16255</v>
      </c>
      <c r="E1245" t="s">
        <v>10</v>
      </c>
      <c r="F1245">
        <v>26</v>
      </c>
      <c r="G1245" s="2">
        <v>30.79</v>
      </c>
      <c r="H1245" s="2">
        <v>0</v>
      </c>
      <c r="I1245" s="2">
        <v>0.24</v>
      </c>
      <c r="J1245" s="2">
        <v>31.03</v>
      </c>
      <c r="K1245" s="5">
        <f>nantucket[[#This Row],[MW Factor]]-resources!$B$14</f>
        <v>-31</v>
      </c>
    </row>
    <row r="1246" spans="1:11" x14ac:dyDescent="0.3">
      <c r="A1246" t="s">
        <v>15</v>
      </c>
      <c r="B1246">
        <v>125</v>
      </c>
      <c r="C1246">
        <v>5</v>
      </c>
      <c r="D1246">
        <v>16255</v>
      </c>
      <c r="E1246" t="s">
        <v>10</v>
      </c>
      <c r="F1246">
        <v>26</v>
      </c>
      <c r="G1246" s="2">
        <v>22.3</v>
      </c>
      <c r="H1246" s="2">
        <v>0</v>
      </c>
      <c r="I1246" s="2">
        <v>0.25</v>
      </c>
      <c r="J1246" s="2">
        <v>22.55</v>
      </c>
      <c r="K1246" s="5">
        <f>nantucket[[#This Row],[MW Factor]]-resources!$B$14</f>
        <v>-31</v>
      </c>
    </row>
    <row r="1247" spans="1:11" x14ac:dyDescent="0.3">
      <c r="A1247" t="s">
        <v>15</v>
      </c>
      <c r="B1247">
        <v>127</v>
      </c>
      <c r="C1247">
        <v>7</v>
      </c>
      <c r="D1247">
        <v>16255</v>
      </c>
      <c r="E1247" t="s">
        <v>10</v>
      </c>
      <c r="F1247">
        <v>26</v>
      </c>
      <c r="G1247" s="2">
        <v>38.24</v>
      </c>
      <c r="H1247" s="2">
        <v>0</v>
      </c>
      <c r="I1247" s="2">
        <v>0.4</v>
      </c>
      <c r="J1247" s="2">
        <v>38.64</v>
      </c>
      <c r="K1247" s="5">
        <f>nantucket[[#This Row],[MW Factor]]-resources!$B$14</f>
        <v>-31</v>
      </c>
    </row>
    <row r="1248" spans="1:11" x14ac:dyDescent="0.3">
      <c r="A1248" t="s">
        <v>16</v>
      </c>
      <c r="B1248">
        <v>149</v>
      </c>
      <c r="C1248">
        <v>5</v>
      </c>
      <c r="D1248">
        <v>16255</v>
      </c>
      <c r="E1248" t="s">
        <v>10</v>
      </c>
      <c r="F1248">
        <v>26</v>
      </c>
      <c r="G1248" s="2">
        <v>27.48</v>
      </c>
      <c r="H1248" s="2">
        <v>0</v>
      </c>
      <c r="I1248" s="2">
        <v>0.27</v>
      </c>
      <c r="J1248" s="2">
        <v>27.75</v>
      </c>
      <c r="K1248" s="5">
        <f>nantucket[[#This Row],[MW Factor]]-resources!$B$14</f>
        <v>-31</v>
      </c>
    </row>
    <row r="1249" spans="1:11" x14ac:dyDescent="0.3">
      <c r="A1249" t="s">
        <v>16</v>
      </c>
      <c r="B1249">
        <v>150</v>
      </c>
      <c r="C1249">
        <v>6</v>
      </c>
      <c r="D1249">
        <v>16255</v>
      </c>
      <c r="E1249" t="s">
        <v>10</v>
      </c>
      <c r="F1249">
        <v>26</v>
      </c>
      <c r="G1249" s="2">
        <v>28.22</v>
      </c>
      <c r="H1249" s="2">
        <v>0</v>
      </c>
      <c r="I1249" s="2">
        <v>0.3</v>
      </c>
      <c r="J1249" s="2">
        <v>28.52</v>
      </c>
      <c r="K1249" s="5">
        <f>nantucket[[#This Row],[MW Factor]]-resources!$B$14</f>
        <v>-31</v>
      </c>
    </row>
    <row r="1250" spans="1:11" x14ac:dyDescent="0.3">
      <c r="A1250" t="s">
        <v>16</v>
      </c>
      <c r="B1250">
        <v>151</v>
      </c>
      <c r="C1250">
        <v>7</v>
      </c>
      <c r="D1250">
        <v>16255</v>
      </c>
      <c r="E1250" t="s">
        <v>10</v>
      </c>
      <c r="F1250">
        <v>26</v>
      </c>
      <c r="G1250" s="2">
        <v>26.83</v>
      </c>
      <c r="H1250" s="2">
        <v>0</v>
      </c>
      <c r="I1250" s="2">
        <v>0.28999999999999998</v>
      </c>
      <c r="J1250" s="2">
        <v>27.12</v>
      </c>
      <c r="K1250" s="5">
        <f>nantucket[[#This Row],[MW Factor]]-resources!$B$14</f>
        <v>-31</v>
      </c>
    </row>
    <row r="1251" spans="1:11" x14ac:dyDescent="0.3">
      <c r="A1251" t="s">
        <v>17</v>
      </c>
      <c r="B1251">
        <v>174</v>
      </c>
      <c r="C1251">
        <v>6</v>
      </c>
      <c r="D1251">
        <v>16255</v>
      </c>
      <c r="E1251" t="s">
        <v>10</v>
      </c>
      <c r="F1251">
        <v>26</v>
      </c>
      <c r="G1251" s="2">
        <v>32.1</v>
      </c>
      <c r="H1251" s="2">
        <v>0</v>
      </c>
      <c r="I1251" s="2">
        <v>0.35</v>
      </c>
      <c r="J1251" s="2">
        <v>32.450000000000003</v>
      </c>
      <c r="K1251" s="5">
        <f>nantucket[[#This Row],[MW Factor]]-resources!$B$14</f>
        <v>-31</v>
      </c>
    </row>
    <row r="1252" spans="1:11" x14ac:dyDescent="0.3">
      <c r="A1252" t="s">
        <v>29</v>
      </c>
      <c r="B1252">
        <v>460</v>
      </c>
      <c r="C1252">
        <v>4</v>
      </c>
      <c r="D1252">
        <v>16255</v>
      </c>
      <c r="E1252" t="s">
        <v>10</v>
      </c>
      <c r="F1252">
        <v>26</v>
      </c>
      <c r="G1252" s="2">
        <v>20.84</v>
      </c>
      <c r="H1252" s="2">
        <v>0</v>
      </c>
      <c r="I1252" s="2">
        <v>0.38</v>
      </c>
      <c r="J1252" s="2">
        <v>21.22</v>
      </c>
      <c r="K1252" s="5">
        <f>nantucket[[#This Row],[MW Factor]]-resources!$B$14</f>
        <v>-31</v>
      </c>
    </row>
    <row r="1253" spans="1:11" x14ac:dyDescent="0.3">
      <c r="A1253" t="s">
        <v>31</v>
      </c>
      <c r="B1253">
        <v>510</v>
      </c>
      <c r="C1253">
        <v>6</v>
      </c>
      <c r="D1253">
        <v>16255</v>
      </c>
      <c r="E1253" t="s">
        <v>10</v>
      </c>
      <c r="F1253">
        <v>26</v>
      </c>
      <c r="G1253" s="2">
        <v>26.29</v>
      </c>
      <c r="H1253" s="2">
        <v>0</v>
      </c>
      <c r="I1253" s="2">
        <v>0.22</v>
      </c>
      <c r="J1253" s="2">
        <v>26.51</v>
      </c>
      <c r="K1253" s="5">
        <f>nantucket[[#This Row],[MW Factor]]-resources!$B$14</f>
        <v>-31</v>
      </c>
    </row>
    <row r="1254" spans="1:11" x14ac:dyDescent="0.3">
      <c r="A1254" t="s">
        <v>33</v>
      </c>
      <c r="B1254">
        <v>554</v>
      </c>
      <c r="C1254">
        <v>2</v>
      </c>
      <c r="D1254">
        <v>16255</v>
      </c>
      <c r="E1254" t="s">
        <v>10</v>
      </c>
      <c r="F1254">
        <v>26</v>
      </c>
      <c r="G1254" s="2">
        <v>26.59</v>
      </c>
      <c r="H1254" s="2">
        <v>0</v>
      </c>
      <c r="I1254" s="2">
        <v>0.15</v>
      </c>
      <c r="J1254" s="2">
        <v>26.74</v>
      </c>
      <c r="K1254" s="5">
        <f>nantucket[[#This Row],[MW Factor]]-resources!$B$14</f>
        <v>-31</v>
      </c>
    </row>
    <row r="1255" spans="1:11" x14ac:dyDescent="0.3">
      <c r="A1255" t="s">
        <v>33</v>
      </c>
      <c r="B1255">
        <v>560</v>
      </c>
      <c r="C1255">
        <v>8</v>
      </c>
      <c r="D1255">
        <v>16255</v>
      </c>
      <c r="E1255" t="s">
        <v>10</v>
      </c>
      <c r="F1255">
        <v>26</v>
      </c>
      <c r="G1255" s="2">
        <v>31.23</v>
      </c>
      <c r="H1255" s="2">
        <v>0</v>
      </c>
      <c r="I1255" s="2">
        <v>7.0000000000000007E-2</v>
      </c>
      <c r="J1255" s="2">
        <v>31.3</v>
      </c>
      <c r="K1255" s="5">
        <f>nantucket[[#This Row],[MW Factor]]-resources!$B$14</f>
        <v>-31</v>
      </c>
    </row>
    <row r="1256" spans="1:11" x14ac:dyDescent="0.3">
      <c r="A1256" t="s">
        <v>34</v>
      </c>
      <c r="B1256">
        <v>584</v>
      </c>
      <c r="C1256">
        <v>8</v>
      </c>
      <c r="D1256">
        <v>16255</v>
      </c>
      <c r="E1256" t="s">
        <v>10</v>
      </c>
      <c r="F1256">
        <v>26</v>
      </c>
      <c r="G1256" s="2">
        <v>39.369999999999997</v>
      </c>
      <c r="H1256" s="2">
        <v>0</v>
      </c>
      <c r="I1256" s="2">
        <v>0.05</v>
      </c>
      <c r="J1256" s="2">
        <v>39.42</v>
      </c>
      <c r="K1256" s="5">
        <f>nantucket[[#This Row],[MW Factor]]-resources!$B$14</f>
        <v>-31</v>
      </c>
    </row>
    <row r="1257" spans="1:11" x14ac:dyDescent="0.3">
      <c r="A1257" t="s">
        <v>35</v>
      </c>
      <c r="B1257">
        <v>604</v>
      </c>
      <c r="C1257">
        <v>4</v>
      </c>
      <c r="D1257">
        <v>16255</v>
      </c>
      <c r="E1257" t="s">
        <v>10</v>
      </c>
      <c r="F1257">
        <v>26</v>
      </c>
      <c r="G1257" s="2">
        <v>20.95</v>
      </c>
      <c r="H1257" s="2">
        <v>0</v>
      </c>
      <c r="I1257" s="2">
        <v>0.32</v>
      </c>
      <c r="J1257" s="2">
        <v>21.27</v>
      </c>
      <c r="K1257" s="5">
        <f>nantucket[[#This Row],[MW Factor]]-resources!$B$14</f>
        <v>-31</v>
      </c>
    </row>
    <row r="1258" spans="1:11" x14ac:dyDescent="0.3">
      <c r="A1258" t="s">
        <v>36</v>
      </c>
      <c r="B1258">
        <v>628</v>
      </c>
      <c r="C1258">
        <v>4</v>
      </c>
      <c r="D1258">
        <v>16255</v>
      </c>
      <c r="E1258" t="s">
        <v>10</v>
      </c>
      <c r="F1258">
        <v>26</v>
      </c>
      <c r="G1258" s="2">
        <v>21.74</v>
      </c>
      <c r="H1258" s="2">
        <v>0</v>
      </c>
      <c r="I1258" s="2">
        <v>0.37</v>
      </c>
      <c r="J1258" s="2">
        <v>22.11</v>
      </c>
      <c r="K1258" s="5">
        <f>nantucket[[#This Row],[MW Factor]]-resources!$B$14</f>
        <v>-31</v>
      </c>
    </row>
    <row r="1259" spans="1:11" x14ac:dyDescent="0.3">
      <c r="A1259" t="s">
        <v>37</v>
      </c>
      <c r="B1259">
        <v>651</v>
      </c>
      <c r="C1259">
        <v>3</v>
      </c>
      <c r="D1259">
        <v>16255</v>
      </c>
      <c r="E1259" t="s">
        <v>10</v>
      </c>
      <c r="F1259">
        <v>26</v>
      </c>
      <c r="G1259" s="2">
        <v>21.61</v>
      </c>
      <c r="H1259" s="2">
        <v>0</v>
      </c>
      <c r="I1259" s="2">
        <v>0.37</v>
      </c>
      <c r="J1259" s="2">
        <v>21.98</v>
      </c>
      <c r="K1259" s="5">
        <f>nantucket[[#This Row],[MW Factor]]-resources!$B$14</f>
        <v>-31</v>
      </c>
    </row>
    <row r="1260" spans="1:11" x14ac:dyDescent="0.3">
      <c r="A1260" t="s">
        <v>37</v>
      </c>
      <c r="B1260">
        <v>652</v>
      </c>
      <c r="C1260">
        <v>4</v>
      </c>
      <c r="D1260">
        <v>16255</v>
      </c>
      <c r="E1260" t="s">
        <v>10</v>
      </c>
      <c r="F1260">
        <v>26</v>
      </c>
      <c r="G1260" s="2">
        <v>21.41</v>
      </c>
      <c r="H1260" s="2">
        <v>0</v>
      </c>
      <c r="I1260" s="2">
        <v>0.35</v>
      </c>
      <c r="J1260" s="2">
        <v>21.76</v>
      </c>
      <c r="K1260" s="5">
        <f>nantucket[[#This Row],[MW Factor]]-resources!$B$14</f>
        <v>-31</v>
      </c>
    </row>
    <row r="1261" spans="1:11" x14ac:dyDescent="0.3">
      <c r="A1261" t="s">
        <v>38</v>
      </c>
      <c r="B1261">
        <v>673</v>
      </c>
      <c r="C1261">
        <v>1</v>
      </c>
      <c r="D1261">
        <v>16255</v>
      </c>
      <c r="E1261" t="s">
        <v>10</v>
      </c>
      <c r="F1261">
        <v>26</v>
      </c>
      <c r="G1261" s="2">
        <v>31.24</v>
      </c>
      <c r="H1261" s="2">
        <v>0</v>
      </c>
      <c r="I1261" s="2">
        <v>0.26</v>
      </c>
      <c r="J1261" s="2">
        <v>31.5</v>
      </c>
      <c r="K1261" s="5">
        <f>nantucket[[#This Row],[MW Factor]]-resources!$B$14</f>
        <v>-31</v>
      </c>
    </row>
    <row r="1262" spans="1:11" x14ac:dyDescent="0.3">
      <c r="A1262" t="s">
        <v>39</v>
      </c>
      <c r="B1262">
        <v>699</v>
      </c>
      <c r="C1262">
        <v>3</v>
      </c>
      <c r="D1262">
        <v>16255</v>
      </c>
      <c r="E1262" t="s">
        <v>10</v>
      </c>
      <c r="F1262">
        <v>26</v>
      </c>
      <c r="G1262" s="2">
        <v>68.819999999999993</v>
      </c>
      <c r="H1262" s="2">
        <v>0</v>
      </c>
      <c r="I1262" s="2">
        <v>0.89</v>
      </c>
      <c r="J1262" s="2">
        <v>69.709999999999994</v>
      </c>
      <c r="K1262" s="5">
        <f>nantucket[[#This Row],[MW Factor]]-resources!$B$14</f>
        <v>-31</v>
      </c>
    </row>
    <row r="1263" spans="1:11" x14ac:dyDescent="0.3">
      <c r="A1263" t="s">
        <v>39</v>
      </c>
      <c r="B1263">
        <v>703</v>
      </c>
      <c r="C1263">
        <v>7</v>
      </c>
      <c r="D1263">
        <v>16255</v>
      </c>
      <c r="E1263" t="s">
        <v>10</v>
      </c>
      <c r="F1263">
        <v>26</v>
      </c>
      <c r="G1263" s="2">
        <v>33.119999999999997</v>
      </c>
      <c r="H1263" s="2">
        <v>0</v>
      </c>
      <c r="I1263" s="2">
        <v>0.43</v>
      </c>
      <c r="J1263" s="2">
        <v>33.549999999999997</v>
      </c>
      <c r="K1263" s="5">
        <f>nantucket[[#This Row],[MW Factor]]-resources!$B$14</f>
        <v>-31</v>
      </c>
    </row>
    <row r="1264" spans="1:11" x14ac:dyDescent="0.3">
      <c r="A1264" t="s">
        <v>47</v>
      </c>
      <c r="B1264">
        <v>890</v>
      </c>
      <c r="C1264">
        <v>2</v>
      </c>
      <c r="D1264">
        <v>16255</v>
      </c>
      <c r="E1264" t="s">
        <v>10</v>
      </c>
      <c r="F1264">
        <v>26</v>
      </c>
      <c r="G1264" s="2">
        <v>28.8</v>
      </c>
      <c r="H1264" s="2">
        <v>0</v>
      </c>
      <c r="I1264" s="2">
        <v>0.45</v>
      </c>
      <c r="J1264" s="2">
        <v>29.25</v>
      </c>
      <c r="K1264" s="5">
        <f>nantucket[[#This Row],[MW Factor]]-resources!$B$14</f>
        <v>-31</v>
      </c>
    </row>
    <row r="1265" spans="1:11" x14ac:dyDescent="0.3">
      <c r="A1265" t="s">
        <v>47</v>
      </c>
      <c r="B1265">
        <v>896</v>
      </c>
      <c r="C1265">
        <v>8</v>
      </c>
      <c r="D1265">
        <v>16255</v>
      </c>
      <c r="E1265" t="s">
        <v>10</v>
      </c>
      <c r="F1265">
        <v>26</v>
      </c>
      <c r="G1265" s="2">
        <v>25.56</v>
      </c>
      <c r="H1265" s="2">
        <v>0</v>
      </c>
      <c r="I1265" s="2">
        <v>0.41</v>
      </c>
      <c r="J1265" s="2">
        <v>25.97</v>
      </c>
      <c r="K1265" s="5">
        <f>nantucket[[#This Row],[MW Factor]]-resources!$B$14</f>
        <v>-31</v>
      </c>
    </row>
    <row r="1266" spans="1:11" x14ac:dyDescent="0.3">
      <c r="A1266" t="s">
        <v>49</v>
      </c>
      <c r="B1266">
        <v>937</v>
      </c>
      <c r="C1266">
        <v>1</v>
      </c>
      <c r="D1266">
        <v>16255</v>
      </c>
      <c r="E1266" t="s">
        <v>10</v>
      </c>
      <c r="F1266">
        <v>26</v>
      </c>
      <c r="G1266" s="2">
        <v>23.3</v>
      </c>
      <c r="H1266" s="2">
        <v>0</v>
      </c>
      <c r="I1266" s="2">
        <v>0.34</v>
      </c>
      <c r="J1266" s="2">
        <v>23.64</v>
      </c>
      <c r="K1266" s="5">
        <f>nantucket[[#This Row],[MW Factor]]-resources!$B$14</f>
        <v>-31</v>
      </c>
    </row>
    <row r="1267" spans="1:11" x14ac:dyDescent="0.3">
      <c r="A1267" t="s">
        <v>51</v>
      </c>
      <c r="B1267">
        <v>988</v>
      </c>
      <c r="C1267">
        <v>4</v>
      </c>
      <c r="D1267">
        <v>16255</v>
      </c>
      <c r="E1267" t="s">
        <v>10</v>
      </c>
      <c r="F1267">
        <v>26</v>
      </c>
      <c r="G1267" s="2">
        <v>21.6</v>
      </c>
      <c r="H1267" s="2">
        <v>0</v>
      </c>
      <c r="I1267" s="2">
        <v>0.53</v>
      </c>
      <c r="J1267" s="2">
        <v>22.13</v>
      </c>
      <c r="K1267" s="5">
        <f>nantucket[[#This Row],[MW Factor]]-resources!$B$14</f>
        <v>-31</v>
      </c>
    </row>
    <row r="1268" spans="1:11" x14ac:dyDescent="0.3">
      <c r="A1268" t="s">
        <v>52</v>
      </c>
      <c r="B1268">
        <v>1011</v>
      </c>
      <c r="C1268">
        <v>3</v>
      </c>
      <c r="D1268">
        <v>16255</v>
      </c>
      <c r="E1268" t="s">
        <v>10</v>
      </c>
      <c r="F1268">
        <v>26</v>
      </c>
      <c r="G1268" s="2">
        <v>20.329999999999998</v>
      </c>
      <c r="H1268" s="2">
        <v>0</v>
      </c>
      <c r="I1268" s="2">
        <v>0.32</v>
      </c>
      <c r="J1268" s="2">
        <v>20.65</v>
      </c>
      <c r="K1268" s="5">
        <f>nantucket[[#This Row],[MW Factor]]-resources!$B$14</f>
        <v>-31</v>
      </c>
    </row>
    <row r="1269" spans="1:11" x14ac:dyDescent="0.3">
      <c r="A1269" t="s">
        <v>53</v>
      </c>
      <c r="B1269">
        <v>1035</v>
      </c>
      <c r="C1269">
        <v>3</v>
      </c>
      <c r="D1269">
        <v>16255</v>
      </c>
      <c r="E1269" t="s">
        <v>10</v>
      </c>
      <c r="F1269">
        <v>26</v>
      </c>
      <c r="G1269" s="2">
        <v>22.41</v>
      </c>
      <c r="H1269" s="2">
        <v>0</v>
      </c>
      <c r="I1269" s="2">
        <v>0.33</v>
      </c>
      <c r="J1269" s="2">
        <v>22.74</v>
      </c>
      <c r="K1269" s="5">
        <f>nantucket[[#This Row],[MW Factor]]-resources!$B$14</f>
        <v>-31</v>
      </c>
    </row>
    <row r="1270" spans="1:11" x14ac:dyDescent="0.3">
      <c r="A1270" t="s">
        <v>54</v>
      </c>
      <c r="B1270">
        <v>1058</v>
      </c>
      <c r="C1270">
        <v>2</v>
      </c>
      <c r="D1270">
        <v>16255</v>
      </c>
      <c r="E1270" t="s">
        <v>10</v>
      </c>
      <c r="F1270">
        <v>26</v>
      </c>
      <c r="G1270" s="2">
        <v>26.61</v>
      </c>
      <c r="H1270" s="2">
        <v>0</v>
      </c>
      <c r="I1270" s="2">
        <v>0.44</v>
      </c>
      <c r="J1270" s="2">
        <v>27.05</v>
      </c>
      <c r="K1270" s="5">
        <f>nantucket[[#This Row],[MW Factor]]-resources!$B$14</f>
        <v>-31</v>
      </c>
    </row>
    <row r="1271" spans="1:11" x14ac:dyDescent="0.3">
      <c r="A1271" t="s">
        <v>55</v>
      </c>
      <c r="B1271">
        <v>1088</v>
      </c>
      <c r="C1271">
        <v>8</v>
      </c>
      <c r="D1271">
        <v>16255</v>
      </c>
      <c r="E1271" t="s">
        <v>10</v>
      </c>
      <c r="F1271">
        <v>26</v>
      </c>
      <c r="G1271" s="2">
        <v>26.89</v>
      </c>
      <c r="H1271" s="2">
        <v>0</v>
      </c>
      <c r="I1271" s="2">
        <v>0.28000000000000003</v>
      </c>
      <c r="J1271" s="2">
        <v>27.17</v>
      </c>
      <c r="K1271" s="5">
        <f>nantucket[[#This Row],[MW Factor]]-resources!$B$14</f>
        <v>-31</v>
      </c>
    </row>
    <row r="1272" spans="1:11" x14ac:dyDescent="0.3">
      <c r="A1272" t="s">
        <v>56</v>
      </c>
      <c r="B1272">
        <v>1106</v>
      </c>
      <c r="C1272">
        <v>2</v>
      </c>
      <c r="D1272">
        <v>16255</v>
      </c>
      <c r="E1272" t="s">
        <v>10</v>
      </c>
      <c r="F1272">
        <v>26</v>
      </c>
      <c r="G1272" s="2">
        <v>28.19</v>
      </c>
      <c r="H1272" s="2">
        <v>0</v>
      </c>
      <c r="I1272" s="2">
        <v>0.38</v>
      </c>
      <c r="J1272" s="2">
        <v>28.57</v>
      </c>
      <c r="K1272" s="5">
        <f>nantucket[[#This Row],[MW Factor]]-resources!$B$14</f>
        <v>-31</v>
      </c>
    </row>
    <row r="1273" spans="1:11" x14ac:dyDescent="0.3">
      <c r="A1273" t="s">
        <v>56</v>
      </c>
      <c r="B1273">
        <v>1112</v>
      </c>
      <c r="C1273">
        <v>8</v>
      </c>
      <c r="D1273">
        <v>16255</v>
      </c>
      <c r="E1273" t="s">
        <v>10</v>
      </c>
      <c r="F1273">
        <v>26</v>
      </c>
      <c r="G1273" s="2">
        <v>27.93</v>
      </c>
      <c r="H1273" s="2">
        <v>0</v>
      </c>
      <c r="I1273" s="2">
        <v>0.34</v>
      </c>
      <c r="J1273" s="2">
        <v>28.27</v>
      </c>
      <c r="K1273" s="5">
        <f>nantucket[[#This Row],[MW Factor]]-resources!$B$14</f>
        <v>-31</v>
      </c>
    </row>
    <row r="1274" spans="1:11" x14ac:dyDescent="0.3">
      <c r="A1274" t="s">
        <v>57</v>
      </c>
      <c r="B1274">
        <v>1130</v>
      </c>
      <c r="C1274">
        <v>2</v>
      </c>
      <c r="D1274">
        <v>16255</v>
      </c>
      <c r="E1274" t="s">
        <v>10</v>
      </c>
      <c r="F1274">
        <v>26</v>
      </c>
      <c r="G1274" s="2">
        <v>25.34</v>
      </c>
      <c r="H1274" s="2">
        <v>0</v>
      </c>
      <c r="I1274" s="2">
        <v>0.32</v>
      </c>
      <c r="J1274" s="2">
        <v>25.66</v>
      </c>
      <c r="K1274" s="5">
        <f>nantucket[[#This Row],[MW Factor]]-resources!$B$14</f>
        <v>-31</v>
      </c>
    </row>
    <row r="1275" spans="1:11" x14ac:dyDescent="0.3">
      <c r="A1275" t="s">
        <v>59</v>
      </c>
      <c r="B1275">
        <v>1178</v>
      </c>
      <c r="C1275">
        <v>2</v>
      </c>
      <c r="D1275">
        <v>16255</v>
      </c>
      <c r="E1275" t="s">
        <v>10</v>
      </c>
      <c r="F1275">
        <v>26</v>
      </c>
      <c r="G1275" s="2">
        <v>21.66</v>
      </c>
      <c r="H1275" s="2">
        <v>0</v>
      </c>
      <c r="I1275" s="2">
        <v>0.36</v>
      </c>
      <c r="J1275" s="2">
        <v>22.02</v>
      </c>
      <c r="K1275" s="5">
        <f>nantucket[[#This Row],[MW Factor]]-resources!$B$14</f>
        <v>-31</v>
      </c>
    </row>
    <row r="1276" spans="1:11" x14ac:dyDescent="0.3">
      <c r="A1276" t="s">
        <v>59</v>
      </c>
      <c r="B1276">
        <v>1184</v>
      </c>
      <c r="C1276">
        <v>8</v>
      </c>
      <c r="D1276">
        <v>16255</v>
      </c>
      <c r="E1276" t="s">
        <v>10</v>
      </c>
      <c r="F1276">
        <v>26</v>
      </c>
      <c r="G1276" s="2">
        <v>28.31</v>
      </c>
      <c r="H1276" s="2">
        <v>0</v>
      </c>
      <c r="I1276" s="2">
        <v>0.28000000000000003</v>
      </c>
      <c r="J1276" s="2">
        <v>28.59</v>
      </c>
      <c r="K1276" s="5">
        <f>nantucket[[#This Row],[MW Factor]]-resources!$B$14</f>
        <v>-31</v>
      </c>
    </row>
    <row r="1277" spans="1:11" x14ac:dyDescent="0.3">
      <c r="A1277" t="s">
        <v>60</v>
      </c>
      <c r="B1277">
        <v>1205</v>
      </c>
      <c r="C1277">
        <v>5</v>
      </c>
      <c r="D1277">
        <v>16255</v>
      </c>
      <c r="E1277" t="s">
        <v>10</v>
      </c>
      <c r="F1277">
        <v>26</v>
      </c>
      <c r="G1277" s="2">
        <v>21.42</v>
      </c>
      <c r="H1277" s="2">
        <v>0</v>
      </c>
      <c r="I1277" s="2">
        <v>0.46</v>
      </c>
      <c r="J1277" s="2">
        <v>21.88</v>
      </c>
      <c r="K1277" s="5">
        <f>nantucket[[#This Row],[MW Factor]]-resources!$B$14</f>
        <v>-31</v>
      </c>
    </row>
    <row r="1278" spans="1:11" x14ac:dyDescent="0.3">
      <c r="A1278" t="s">
        <v>60</v>
      </c>
      <c r="B1278">
        <v>1206</v>
      </c>
      <c r="C1278">
        <v>6</v>
      </c>
      <c r="D1278">
        <v>16255</v>
      </c>
      <c r="E1278" t="s">
        <v>10</v>
      </c>
      <c r="F1278">
        <v>26</v>
      </c>
      <c r="G1278" s="2">
        <v>22.03</v>
      </c>
      <c r="H1278" s="2">
        <v>0</v>
      </c>
      <c r="I1278" s="2">
        <v>0.46</v>
      </c>
      <c r="J1278" s="2">
        <v>22.49</v>
      </c>
      <c r="K1278" s="5">
        <f>nantucket[[#This Row],[MW Factor]]-resources!$B$14</f>
        <v>-31</v>
      </c>
    </row>
    <row r="1279" spans="1:11" x14ac:dyDescent="0.3">
      <c r="A1279" t="s">
        <v>60</v>
      </c>
      <c r="B1279">
        <v>1207</v>
      </c>
      <c r="C1279">
        <v>7</v>
      </c>
      <c r="D1279">
        <v>16255</v>
      </c>
      <c r="E1279" t="s">
        <v>10</v>
      </c>
      <c r="F1279">
        <v>26</v>
      </c>
      <c r="G1279" s="2">
        <v>23.99</v>
      </c>
      <c r="H1279" s="2">
        <v>0</v>
      </c>
      <c r="I1279" s="2">
        <v>0.5</v>
      </c>
      <c r="J1279" s="2">
        <v>24.49</v>
      </c>
      <c r="K1279" s="5">
        <f>nantucket[[#This Row],[MW Factor]]-resources!$B$14</f>
        <v>-31</v>
      </c>
    </row>
    <row r="1280" spans="1:11" x14ac:dyDescent="0.3">
      <c r="A1280" t="s">
        <v>61</v>
      </c>
      <c r="B1280">
        <v>1225</v>
      </c>
      <c r="C1280">
        <v>1</v>
      </c>
      <c r="D1280">
        <v>16255</v>
      </c>
      <c r="E1280" t="s">
        <v>10</v>
      </c>
      <c r="F1280">
        <v>26</v>
      </c>
      <c r="G1280" s="2">
        <v>21.64</v>
      </c>
      <c r="H1280" s="2">
        <v>0</v>
      </c>
      <c r="I1280" s="2">
        <v>0.44</v>
      </c>
      <c r="J1280" s="2">
        <v>22.08</v>
      </c>
      <c r="K1280" s="5">
        <f>nantucket[[#This Row],[MW Factor]]-resources!$B$14</f>
        <v>-31</v>
      </c>
    </row>
    <row r="1281" spans="1:11" x14ac:dyDescent="0.3">
      <c r="A1281" t="s">
        <v>61</v>
      </c>
      <c r="B1281">
        <v>1233</v>
      </c>
      <c r="C1281">
        <v>9</v>
      </c>
      <c r="D1281">
        <v>16255</v>
      </c>
      <c r="E1281" t="s">
        <v>10</v>
      </c>
      <c r="F1281">
        <v>26</v>
      </c>
      <c r="G1281" s="2">
        <v>21.66</v>
      </c>
      <c r="H1281" s="2">
        <v>0</v>
      </c>
      <c r="I1281" s="2">
        <v>0.4</v>
      </c>
      <c r="J1281" s="2">
        <v>22.06</v>
      </c>
      <c r="K1281" s="5">
        <f>nantucket[[#This Row],[MW Factor]]-resources!$B$14</f>
        <v>-31</v>
      </c>
    </row>
    <row r="1282" spans="1:11" x14ac:dyDescent="0.3">
      <c r="A1282" t="s">
        <v>65</v>
      </c>
      <c r="B1282">
        <v>1322</v>
      </c>
      <c r="C1282">
        <v>2</v>
      </c>
      <c r="D1282">
        <v>16255</v>
      </c>
      <c r="E1282" t="s">
        <v>10</v>
      </c>
      <c r="F1282">
        <v>26</v>
      </c>
      <c r="G1282" s="2">
        <v>25.22</v>
      </c>
      <c r="H1282" s="2">
        <v>0</v>
      </c>
      <c r="I1282" s="2">
        <v>0.44</v>
      </c>
      <c r="J1282" s="2">
        <v>25.66</v>
      </c>
      <c r="K1282" s="5">
        <f>nantucket[[#This Row],[MW Factor]]-resources!$B$14</f>
        <v>-31</v>
      </c>
    </row>
    <row r="1283" spans="1:11" x14ac:dyDescent="0.3">
      <c r="A1283" t="s">
        <v>66</v>
      </c>
      <c r="B1283">
        <v>1347</v>
      </c>
      <c r="C1283">
        <v>3</v>
      </c>
      <c r="D1283">
        <v>16255</v>
      </c>
      <c r="E1283" t="s">
        <v>10</v>
      </c>
      <c r="F1283">
        <v>26</v>
      </c>
      <c r="G1283" s="2">
        <v>26.06</v>
      </c>
      <c r="H1283" s="2">
        <v>0.04</v>
      </c>
      <c r="I1283" s="2">
        <v>0.36</v>
      </c>
      <c r="J1283" s="2">
        <v>26.46</v>
      </c>
      <c r="K1283" s="5">
        <f>nantucket[[#This Row],[MW Factor]]-resources!$B$14</f>
        <v>-31</v>
      </c>
    </row>
    <row r="1284" spans="1:11" x14ac:dyDescent="0.3">
      <c r="A1284" t="s">
        <v>66</v>
      </c>
      <c r="B1284">
        <v>1368</v>
      </c>
      <c r="C1284">
        <v>24</v>
      </c>
      <c r="D1284">
        <v>16255</v>
      </c>
      <c r="E1284" t="s">
        <v>10</v>
      </c>
      <c r="F1284">
        <v>26</v>
      </c>
      <c r="G1284" s="2">
        <v>28.64</v>
      </c>
      <c r="H1284" s="2">
        <v>0</v>
      </c>
      <c r="I1284" s="2">
        <v>0.23</v>
      </c>
      <c r="J1284" s="2">
        <v>28.87</v>
      </c>
      <c r="K1284" s="5">
        <f>nantucket[[#This Row],[MW Factor]]-resources!$B$14</f>
        <v>-31</v>
      </c>
    </row>
    <row r="1285" spans="1:11" x14ac:dyDescent="0.3">
      <c r="A1285" t="s">
        <v>68</v>
      </c>
      <c r="B1285">
        <v>1394</v>
      </c>
      <c r="C1285">
        <v>2</v>
      </c>
      <c r="D1285">
        <v>16255</v>
      </c>
      <c r="E1285" t="s">
        <v>10</v>
      </c>
      <c r="F1285">
        <v>26</v>
      </c>
      <c r="G1285" s="2">
        <v>26.51</v>
      </c>
      <c r="H1285" s="2">
        <v>0</v>
      </c>
      <c r="I1285" s="2">
        <v>0.4</v>
      </c>
      <c r="J1285" s="2">
        <v>26.91</v>
      </c>
      <c r="K1285" s="5">
        <f>nantucket[[#This Row],[MW Factor]]-resources!$B$14</f>
        <v>-31</v>
      </c>
    </row>
    <row r="1286" spans="1:11" x14ac:dyDescent="0.3">
      <c r="A1286" t="s">
        <v>69</v>
      </c>
      <c r="B1286">
        <v>1421</v>
      </c>
      <c r="C1286">
        <v>5</v>
      </c>
      <c r="D1286">
        <v>16255</v>
      </c>
      <c r="E1286" t="s">
        <v>10</v>
      </c>
      <c r="F1286">
        <v>26</v>
      </c>
      <c r="G1286" s="2">
        <v>44.41</v>
      </c>
      <c r="H1286" s="2">
        <v>0.31</v>
      </c>
      <c r="I1286" s="2">
        <v>0.93</v>
      </c>
      <c r="J1286" s="2">
        <v>45.65</v>
      </c>
      <c r="K1286" s="5">
        <f>nantucket[[#This Row],[MW Factor]]-resources!$B$14</f>
        <v>-31</v>
      </c>
    </row>
    <row r="1287" spans="1:11" x14ac:dyDescent="0.3">
      <c r="A1287" t="s">
        <v>69</v>
      </c>
      <c r="B1287">
        <v>1440</v>
      </c>
      <c r="C1287">
        <v>24</v>
      </c>
      <c r="D1287">
        <v>16255</v>
      </c>
      <c r="E1287" t="s">
        <v>10</v>
      </c>
      <c r="F1287">
        <v>26</v>
      </c>
      <c r="G1287" s="2">
        <v>49.2</v>
      </c>
      <c r="H1287" s="2">
        <v>0.56000000000000005</v>
      </c>
      <c r="I1287" s="2">
        <v>1.08</v>
      </c>
      <c r="J1287" s="2">
        <v>50.84</v>
      </c>
      <c r="K1287" s="5">
        <f>nantucket[[#This Row],[MW Factor]]-resources!$B$14</f>
        <v>-31</v>
      </c>
    </row>
    <row r="1288" spans="1:11" x14ac:dyDescent="0.3">
      <c r="A1288" t="s">
        <v>70</v>
      </c>
      <c r="B1288">
        <v>1450</v>
      </c>
      <c r="C1288">
        <v>10</v>
      </c>
      <c r="D1288">
        <v>16255</v>
      </c>
      <c r="E1288" t="s">
        <v>10</v>
      </c>
      <c r="F1288">
        <v>26</v>
      </c>
      <c r="G1288" s="2">
        <v>23.9</v>
      </c>
      <c r="H1288" s="2">
        <v>7.0000000000000007E-2</v>
      </c>
      <c r="I1288" s="2">
        <v>0.47</v>
      </c>
      <c r="J1288" s="2">
        <v>24.44</v>
      </c>
      <c r="K1288" s="5">
        <f>nantucket[[#This Row],[MW Factor]]-resources!$B$14</f>
        <v>-31</v>
      </c>
    </row>
    <row r="1289" spans="1:11" x14ac:dyDescent="0.3">
      <c r="A1289" t="s">
        <v>71</v>
      </c>
      <c r="B1289">
        <v>1473</v>
      </c>
      <c r="C1289">
        <v>9</v>
      </c>
      <c r="D1289">
        <v>16255</v>
      </c>
      <c r="E1289" t="s">
        <v>10</v>
      </c>
      <c r="F1289">
        <v>26</v>
      </c>
      <c r="G1289" s="2">
        <v>21.66</v>
      </c>
      <c r="H1289" s="2">
        <v>0</v>
      </c>
      <c r="I1289" s="2">
        <v>0.44</v>
      </c>
      <c r="J1289" s="2">
        <v>22.1</v>
      </c>
      <c r="K1289" s="5">
        <f>nantucket[[#This Row],[MW Factor]]-resources!$B$14</f>
        <v>-31</v>
      </c>
    </row>
    <row r="1290" spans="1:11" x14ac:dyDescent="0.3">
      <c r="A1290" t="s">
        <v>11</v>
      </c>
      <c r="B1290">
        <v>28</v>
      </c>
      <c r="C1290">
        <v>4</v>
      </c>
      <c r="D1290">
        <v>16255</v>
      </c>
      <c r="E1290" t="s">
        <v>10</v>
      </c>
      <c r="F1290">
        <v>25</v>
      </c>
      <c r="G1290" s="2">
        <v>22.13</v>
      </c>
      <c r="H1290" s="2">
        <v>0</v>
      </c>
      <c r="I1290" s="2">
        <v>0.37</v>
      </c>
      <c r="J1290" s="2">
        <v>22.5</v>
      </c>
      <c r="K1290" s="5">
        <f>nantucket[[#This Row],[MW Factor]]-resources!$B$14</f>
        <v>-32</v>
      </c>
    </row>
    <row r="1291" spans="1:11" x14ac:dyDescent="0.3">
      <c r="A1291" t="s">
        <v>11</v>
      </c>
      <c r="B1291">
        <v>32</v>
      </c>
      <c r="C1291">
        <v>8</v>
      </c>
      <c r="D1291">
        <v>16255</v>
      </c>
      <c r="E1291" t="s">
        <v>10</v>
      </c>
      <c r="F1291">
        <v>25</v>
      </c>
      <c r="G1291" s="2">
        <v>22.41</v>
      </c>
      <c r="H1291" s="2">
        <v>0</v>
      </c>
      <c r="I1291" s="2">
        <v>0.37</v>
      </c>
      <c r="J1291" s="2">
        <v>22.78</v>
      </c>
      <c r="K1291" s="5">
        <f>nantucket[[#This Row],[MW Factor]]-resources!$B$14</f>
        <v>-32</v>
      </c>
    </row>
    <row r="1292" spans="1:11" x14ac:dyDescent="0.3">
      <c r="A1292" t="s">
        <v>12</v>
      </c>
      <c r="B1292">
        <v>56</v>
      </c>
      <c r="C1292">
        <v>8</v>
      </c>
      <c r="D1292">
        <v>16255</v>
      </c>
      <c r="E1292" t="s">
        <v>10</v>
      </c>
      <c r="F1292">
        <v>25</v>
      </c>
      <c r="G1292" s="2">
        <v>22.65</v>
      </c>
      <c r="H1292" s="2">
        <v>0</v>
      </c>
      <c r="I1292" s="2">
        <v>0.36</v>
      </c>
      <c r="J1292" s="2">
        <v>23.01</v>
      </c>
      <c r="K1292" s="5">
        <f>nantucket[[#This Row],[MW Factor]]-resources!$B$14</f>
        <v>-32</v>
      </c>
    </row>
    <row r="1293" spans="1:11" x14ac:dyDescent="0.3">
      <c r="A1293" t="s">
        <v>13</v>
      </c>
      <c r="B1293">
        <v>75</v>
      </c>
      <c r="C1293">
        <v>3</v>
      </c>
      <c r="D1293">
        <v>16255</v>
      </c>
      <c r="E1293" t="s">
        <v>10</v>
      </c>
      <c r="F1293">
        <v>25</v>
      </c>
      <c r="G1293" s="2">
        <v>21.97</v>
      </c>
      <c r="H1293" s="2">
        <v>0</v>
      </c>
      <c r="I1293" s="2">
        <v>0.43</v>
      </c>
      <c r="J1293" s="2">
        <v>22.4</v>
      </c>
      <c r="K1293" s="5">
        <f>nantucket[[#This Row],[MW Factor]]-resources!$B$14</f>
        <v>-32</v>
      </c>
    </row>
    <row r="1294" spans="1:11" x14ac:dyDescent="0.3">
      <c r="A1294" t="s">
        <v>13</v>
      </c>
      <c r="B1294">
        <v>80</v>
      </c>
      <c r="C1294">
        <v>8</v>
      </c>
      <c r="D1294">
        <v>16255</v>
      </c>
      <c r="E1294" t="s">
        <v>10</v>
      </c>
      <c r="F1294">
        <v>25</v>
      </c>
      <c r="G1294" s="2">
        <v>24.14</v>
      </c>
      <c r="H1294" s="2">
        <v>0</v>
      </c>
      <c r="I1294" s="2">
        <v>0.42</v>
      </c>
      <c r="J1294" s="2">
        <v>24.56</v>
      </c>
      <c r="K1294" s="5">
        <f>nantucket[[#This Row],[MW Factor]]-resources!$B$14</f>
        <v>-32</v>
      </c>
    </row>
    <row r="1295" spans="1:11" x14ac:dyDescent="0.3">
      <c r="A1295" t="s">
        <v>14</v>
      </c>
      <c r="B1295">
        <v>101</v>
      </c>
      <c r="C1295">
        <v>5</v>
      </c>
      <c r="D1295">
        <v>16255</v>
      </c>
      <c r="E1295" t="s">
        <v>10</v>
      </c>
      <c r="F1295">
        <v>25</v>
      </c>
      <c r="G1295" s="2">
        <v>30.31</v>
      </c>
      <c r="H1295" s="2">
        <v>0</v>
      </c>
      <c r="I1295" s="2">
        <v>0.25</v>
      </c>
      <c r="J1295" s="2">
        <v>30.56</v>
      </c>
      <c r="K1295" s="5">
        <f>nantucket[[#This Row],[MW Factor]]-resources!$B$14</f>
        <v>-32</v>
      </c>
    </row>
    <row r="1296" spans="1:11" x14ac:dyDescent="0.3">
      <c r="A1296" t="s">
        <v>14</v>
      </c>
      <c r="B1296">
        <v>102</v>
      </c>
      <c r="C1296">
        <v>6</v>
      </c>
      <c r="D1296">
        <v>16255</v>
      </c>
      <c r="E1296" t="s">
        <v>10</v>
      </c>
      <c r="F1296">
        <v>25</v>
      </c>
      <c r="G1296" s="2">
        <v>35.11</v>
      </c>
      <c r="H1296" s="2">
        <v>0</v>
      </c>
      <c r="I1296" s="2">
        <v>0.3</v>
      </c>
      <c r="J1296" s="2">
        <v>35.409999999999997</v>
      </c>
      <c r="K1296" s="5">
        <f>nantucket[[#This Row],[MW Factor]]-resources!$B$14</f>
        <v>-32</v>
      </c>
    </row>
    <row r="1297" spans="1:11" x14ac:dyDescent="0.3">
      <c r="A1297" t="s">
        <v>14</v>
      </c>
      <c r="B1297">
        <v>103</v>
      </c>
      <c r="C1297">
        <v>7</v>
      </c>
      <c r="D1297">
        <v>16255</v>
      </c>
      <c r="E1297" t="s">
        <v>10</v>
      </c>
      <c r="F1297">
        <v>25</v>
      </c>
      <c r="G1297" s="2">
        <v>34.76</v>
      </c>
      <c r="H1297" s="2">
        <v>0</v>
      </c>
      <c r="I1297" s="2">
        <v>0.3</v>
      </c>
      <c r="J1297" s="2">
        <v>35.06</v>
      </c>
      <c r="K1297" s="5">
        <f>nantucket[[#This Row],[MW Factor]]-resources!$B$14</f>
        <v>-32</v>
      </c>
    </row>
    <row r="1298" spans="1:11" x14ac:dyDescent="0.3">
      <c r="A1298" t="s">
        <v>15</v>
      </c>
      <c r="B1298">
        <v>126</v>
      </c>
      <c r="C1298">
        <v>6</v>
      </c>
      <c r="D1298">
        <v>16255</v>
      </c>
      <c r="E1298" t="s">
        <v>10</v>
      </c>
      <c r="F1298">
        <v>25</v>
      </c>
      <c r="G1298" s="2">
        <v>68.569999999999993</v>
      </c>
      <c r="H1298" s="2">
        <v>0</v>
      </c>
      <c r="I1298" s="2">
        <v>0.7</v>
      </c>
      <c r="J1298" s="2">
        <v>69.27</v>
      </c>
      <c r="K1298" s="5">
        <f>nantucket[[#This Row],[MW Factor]]-resources!$B$14</f>
        <v>-32</v>
      </c>
    </row>
    <row r="1299" spans="1:11" x14ac:dyDescent="0.3">
      <c r="A1299" t="s">
        <v>29</v>
      </c>
      <c r="B1299">
        <v>461</v>
      </c>
      <c r="C1299">
        <v>5</v>
      </c>
      <c r="D1299">
        <v>16255</v>
      </c>
      <c r="E1299" t="s">
        <v>10</v>
      </c>
      <c r="F1299">
        <v>25</v>
      </c>
      <c r="G1299" s="2">
        <v>21</v>
      </c>
      <c r="H1299" s="2">
        <v>0</v>
      </c>
      <c r="I1299" s="2">
        <v>0.37</v>
      </c>
      <c r="J1299" s="2">
        <v>21.37</v>
      </c>
      <c r="K1299" s="5">
        <f>nantucket[[#This Row],[MW Factor]]-resources!$B$14</f>
        <v>-32</v>
      </c>
    </row>
    <row r="1300" spans="1:11" x14ac:dyDescent="0.3">
      <c r="A1300" t="s">
        <v>29</v>
      </c>
      <c r="B1300">
        <v>462</v>
      </c>
      <c r="C1300">
        <v>6</v>
      </c>
      <c r="D1300">
        <v>16255</v>
      </c>
      <c r="E1300" t="s">
        <v>10</v>
      </c>
      <c r="F1300">
        <v>25</v>
      </c>
      <c r="G1300" s="2">
        <v>22.29</v>
      </c>
      <c r="H1300" s="2">
        <v>0</v>
      </c>
      <c r="I1300" s="2">
        <v>0.36</v>
      </c>
      <c r="J1300" s="2">
        <v>22.65</v>
      </c>
      <c r="K1300" s="5">
        <f>nantucket[[#This Row],[MW Factor]]-resources!$B$14</f>
        <v>-32</v>
      </c>
    </row>
    <row r="1301" spans="1:11" x14ac:dyDescent="0.3">
      <c r="A1301" t="s">
        <v>29</v>
      </c>
      <c r="B1301">
        <v>463</v>
      </c>
      <c r="C1301">
        <v>7</v>
      </c>
      <c r="D1301">
        <v>16255</v>
      </c>
      <c r="E1301" t="s">
        <v>10</v>
      </c>
      <c r="F1301">
        <v>25</v>
      </c>
      <c r="G1301" s="2">
        <v>20.059999999999999</v>
      </c>
      <c r="H1301" s="2">
        <v>0</v>
      </c>
      <c r="I1301" s="2">
        <v>0.34</v>
      </c>
      <c r="J1301" s="2">
        <v>20.399999999999999</v>
      </c>
      <c r="K1301" s="5">
        <f>nantucket[[#This Row],[MW Factor]]-resources!$B$14</f>
        <v>-32</v>
      </c>
    </row>
    <row r="1302" spans="1:11" x14ac:dyDescent="0.3">
      <c r="A1302" t="s">
        <v>32</v>
      </c>
      <c r="B1302">
        <v>534</v>
      </c>
      <c r="C1302">
        <v>6</v>
      </c>
      <c r="D1302">
        <v>16255</v>
      </c>
      <c r="E1302" t="s">
        <v>10</v>
      </c>
      <c r="F1302">
        <v>25</v>
      </c>
      <c r="G1302" s="2">
        <v>29.28</v>
      </c>
      <c r="H1302" s="2">
        <v>0</v>
      </c>
      <c r="I1302" s="2">
        <v>0.28999999999999998</v>
      </c>
      <c r="J1302" s="2">
        <v>29.57</v>
      </c>
      <c r="K1302" s="5">
        <f>nantucket[[#This Row],[MW Factor]]-resources!$B$14</f>
        <v>-32</v>
      </c>
    </row>
    <row r="1303" spans="1:11" x14ac:dyDescent="0.3">
      <c r="A1303" t="s">
        <v>32</v>
      </c>
      <c r="B1303">
        <v>535</v>
      </c>
      <c r="C1303">
        <v>7</v>
      </c>
      <c r="D1303">
        <v>16255</v>
      </c>
      <c r="E1303" t="s">
        <v>10</v>
      </c>
      <c r="F1303">
        <v>25</v>
      </c>
      <c r="G1303" s="2">
        <v>31.41</v>
      </c>
      <c r="H1303" s="2">
        <v>0</v>
      </c>
      <c r="I1303" s="2">
        <v>0.38</v>
      </c>
      <c r="J1303" s="2">
        <v>31.79</v>
      </c>
      <c r="K1303" s="5">
        <f>nantucket[[#This Row],[MW Factor]]-resources!$B$14</f>
        <v>-32</v>
      </c>
    </row>
    <row r="1304" spans="1:11" x14ac:dyDescent="0.3">
      <c r="A1304" t="s">
        <v>33</v>
      </c>
      <c r="B1304">
        <v>555</v>
      </c>
      <c r="C1304">
        <v>3</v>
      </c>
      <c r="D1304">
        <v>16255</v>
      </c>
      <c r="E1304" t="s">
        <v>10</v>
      </c>
      <c r="F1304">
        <v>25</v>
      </c>
      <c r="G1304" s="2">
        <v>29.53</v>
      </c>
      <c r="H1304" s="2">
        <v>0</v>
      </c>
      <c r="I1304" s="2">
        <v>0.03</v>
      </c>
      <c r="J1304" s="2">
        <v>29.56</v>
      </c>
      <c r="K1304" s="5">
        <f>nantucket[[#This Row],[MW Factor]]-resources!$B$14</f>
        <v>-32</v>
      </c>
    </row>
    <row r="1305" spans="1:11" x14ac:dyDescent="0.3">
      <c r="A1305" t="s">
        <v>34</v>
      </c>
      <c r="B1305">
        <v>578</v>
      </c>
      <c r="C1305">
        <v>2</v>
      </c>
      <c r="D1305">
        <v>16255</v>
      </c>
      <c r="E1305" t="s">
        <v>10</v>
      </c>
      <c r="F1305">
        <v>25</v>
      </c>
      <c r="G1305" s="2">
        <v>28.04</v>
      </c>
      <c r="H1305" s="2">
        <v>0</v>
      </c>
      <c r="I1305" s="2">
        <v>0.17</v>
      </c>
      <c r="J1305" s="2">
        <v>28.21</v>
      </c>
      <c r="K1305" s="5">
        <f>nantucket[[#This Row],[MW Factor]]-resources!$B$14</f>
        <v>-32</v>
      </c>
    </row>
    <row r="1306" spans="1:11" x14ac:dyDescent="0.3">
      <c r="A1306" t="s">
        <v>36</v>
      </c>
      <c r="B1306">
        <v>629</v>
      </c>
      <c r="C1306">
        <v>5</v>
      </c>
      <c r="D1306">
        <v>16255</v>
      </c>
      <c r="E1306" t="s">
        <v>10</v>
      </c>
      <c r="F1306">
        <v>25</v>
      </c>
      <c r="G1306" s="2">
        <v>21.27</v>
      </c>
      <c r="H1306" s="2">
        <v>0</v>
      </c>
      <c r="I1306" s="2">
        <v>0.35</v>
      </c>
      <c r="J1306" s="2">
        <v>21.62</v>
      </c>
      <c r="K1306" s="5">
        <f>nantucket[[#This Row],[MW Factor]]-resources!$B$14</f>
        <v>-32</v>
      </c>
    </row>
    <row r="1307" spans="1:11" x14ac:dyDescent="0.3">
      <c r="A1307" t="s">
        <v>38</v>
      </c>
      <c r="B1307">
        <v>674</v>
      </c>
      <c r="C1307">
        <v>2</v>
      </c>
      <c r="D1307">
        <v>16255</v>
      </c>
      <c r="E1307" t="s">
        <v>10</v>
      </c>
      <c r="F1307">
        <v>25</v>
      </c>
      <c r="G1307" s="2">
        <v>26.39</v>
      </c>
      <c r="H1307" s="2">
        <v>0</v>
      </c>
      <c r="I1307" s="2">
        <v>0.3</v>
      </c>
      <c r="J1307" s="2">
        <v>26.69</v>
      </c>
      <c r="K1307" s="5">
        <f>nantucket[[#This Row],[MW Factor]]-resources!$B$14</f>
        <v>-32</v>
      </c>
    </row>
    <row r="1308" spans="1:11" x14ac:dyDescent="0.3">
      <c r="A1308" t="s">
        <v>38</v>
      </c>
      <c r="B1308">
        <v>680</v>
      </c>
      <c r="C1308">
        <v>8</v>
      </c>
      <c r="D1308">
        <v>16255</v>
      </c>
      <c r="E1308" t="s">
        <v>10</v>
      </c>
      <c r="F1308">
        <v>25</v>
      </c>
      <c r="G1308" s="2">
        <v>24.25</v>
      </c>
      <c r="H1308" s="2">
        <v>0</v>
      </c>
      <c r="I1308" s="2">
        <v>0.3</v>
      </c>
      <c r="J1308" s="2">
        <v>24.55</v>
      </c>
      <c r="K1308" s="5">
        <f>nantucket[[#This Row],[MW Factor]]-resources!$B$14</f>
        <v>-32</v>
      </c>
    </row>
    <row r="1309" spans="1:11" x14ac:dyDescent="0.3">
      <c r="A1309" t="s">
        <v>39</v>
      </c>
      <c r="B1309">
        <v>700</v>
      </c>
      <c r="C1309">
        <v>4</v>
      </c>
      <c r="D1309">
        <v>16255</v>
      </c>
      <c r="E1309" t="s">
        <v>10</v>
      </c>
      <c r="F1309">
        <v>25</v>
      </c>
      <c r="G1309" s="2">
        <v>30.72</v>
      </c>
      <c r="H1309" s="2">
        <v>0</v>
      </c>
      <c r="I1309" s="2">
        <v>0.41</v>
      </c>
      <c r="J1309" s="2">
        <v>31.13</v>
      </c>
      <c r="K1309" s="5">
        <f>nantucket[[#This Row],[MW Factor]]-resources!$B$14</f>
        <v>-32</v>
      </c>
    </row>
    <row r="1310" spans="1:11" x14ac:dyDescent="0.3">
      <c r="A1310" t="s">
        <v>39</v>
      </c>
      <c r="B1310">
        <v>701</v>
      </c>
      <c r="C1310">
        <v>5</v>
      </c>
      <c r="D1310">
        <v>16255</v>
      </c>
      <c r="E1310" t="s">
        <v>10</v>
      </c>
      <c r="F1310">
        <v>25</v>
      </c>
      <c r="G1310" s="2">
        <v>32.54</v>
      </c>
      <c r="H1310" s="2">
        <v>0</v>
      </c>
      <c r="I1310" s="2">
        <v>0.44</v>
      </c>
      <c r="J1310" s="2">
        <v>32.979999999999997</v>
      </c>
      <c r="K1310" s="5">
        <f>nantucket[[#This Row],[MW Factor]]-resources!$B$14</f>
        <v>-32</v>
      </c>
    </row>
    <row r="1311" spans="1:11" x14ac:dyDescent="0.3">
      <c r="A1311" t="s">
        <v>39</v>
      </c>
      <c r="B1311">
        <v>702</v>
      </c>
      <c r="C1311">
        <v>6</v>
      </c>
      <c r="D1311">
        <v>16255</v>
      </c>
      <c r="E1311" t="s">
        <v>10</v>
      </c>
      <c r="F1311">
        <v>25</v>
      </c>
      <c r="G1311" s="2">
        <v>27.75</v>
      </c>
      <c r="H1311" s="2">
        <v>0</v>
      </c>
      <c r="I1311" s="2">
        <v>0.39</v>
      </c>
      <c r="J1311" s="2">
        <v>28.14</v>
      </c>
      <c r="K1311" s="5">
        <f>nantucket[[#This Row],[MW Factor]]-resources!$B$14</f>
        <v>-32</v>
      </c>
    </row>
    <row r="1312" spans="1:11" x14ac:dyDescent="0.3">
      <c r="A1312" t="s">
        <v>47</v>
      </c>
      <c r="B1312">
        <v>891</v>
      </c>
      <c r="C1312">
        <v>3</v>
      </c>
      <c r="D1312">
        <v>16255</v>
      </c>
      <c r="E1312" t="s">
        <v>10</v>
      </c>
      <c r="F1312">
        <v>25</v>
      </c>
      <c r="G1312" s="2">
        <v>23.55</v>
      </c>
      <c r="H1312" s="2">
        <v>0</v>
      </c>
      <c r="I1312" s="2">
        <v>0.32</v>
      </c>
      <c r="J1312" s="2">
        <v>23.87</v>
      </c>
      <c r="K1312" s="5">
        <f>nantucket[[#This Row],[MW Factor]]-resources!$B$14</f>
        <v>-32</v>
      </c>
    </row>
    <row r="1313" spans="1:11" x14ac:dyDescent="0.3">
      <c r="A1313" t="s">
        <v>48</v>
      </c>
      <c r="B1313">
        <v>913</v>
      </c>
      <c r="C1313">
        <v>1</v>
      </c>
      <c r="D1313">
        <v>16255</v>
      </c>
      <c r="E1313" t="s">
        <v>10</v>
      </c>
      <c r="F1313">
        <v>25</v>
      </c>
      <c r="G1313" s="2">
        <v>23.9</v>
      </c>
      <c r="H1313" s="2">
        <v>0</v>
      </c>
      <c r="I1313" s="2">
        <v>0.45</v>
      </c>
      <c r="J1313" s="2">
        <v>24.35</v>
      </c>
      <c r="K1313" s="5">
        <f>nantucket[[#This Row],[MW Factor]]-resources!$B$14</f>
        <v>-32</v>
      </c>
    </row>
    <row r="1314" spans="1:11" x14ac:dyDescent="0.3">
      <c r="A1314" t="s">
        <v>49</v>
      </c>
      <c r="B1314">
        <v>938</v>
      </c>
      <c r="C1314">
        <v>2</v>
      </c>
      <c r="D1314">
        <v>16255</v>
      </c>
      <c r="E1314" t="s">
        <v>10</v>
      </c>
      <c r="F1314">
        <v>25</v>
      </c>
      <c r="G1314" s="2">
        <v>23.32</v>
      </c>
      <c r="H1314" s="2">
        <v>0</v>
      </c>
      <c r="I1314" s="2">
        <v>0.3</v>
      </c>
      <c r="J1314" s="2">
        <v>23.62</v>
      </c>
      <c r="K1314" s="5">
        <f>nantucket[[#This Row],[MW Factor]]-resources!$B$14</f>
        <v>-32</v>
      </c>
    </row>
    <row r="1315" spans="1:11" x14ac:dyDescent="0.3">
      <c r="A1315" t="s">
        <v>49</v>
      </c>
      <c r="B1315">
        <v>943</v>
      </c>
      <c r="C1315">
        <v>7</v>
      </c>
      <c r="D1315">
        <v>16255</v>
      </c>
      <c r="E1315" t="s">
        <v>10</v>
      </c>
      <c r="F1315">
        <v>25</v>
      </c>
      <c r="G1315" s="2">
        <v>25.61</v>
      </c>
      <c r="H1315" s="2">
        <v>0</v>
      </c>
      <c r="I1315" s="2">
        <v>0.2</v>
      </c>
      <c r="J1315" s="2">
        <v>25.81</v>
      </c>
      <c r="K1315" s="5">
        <f>nantucket[[#This Row],[MW Factor]]-resources!$B$14</f>
        <v>-32</v>
      </c>
    </row>
    <row r="1316" spans="1:11" x14ac:dyDescent="0.3">
      <c r="A1316" t="s">
        <v>51</v>
      </c>
      <c r="B1316">
        <v>989</v>
      </c>
      <c r="C1316">
        <v>5</v>
      </c>
      <c r="D1316">
        <v>16255</v>
      </c>
      <c r="E1316" t="s">
        <v>10</v>
      </c>
      <c r="F1316">
        <v>25</v>
      </c>
      <c r="G1316" s="2">
        <v>21.13</v>
      </c>
      <c r="H1316" s="2">
        <v>0</v>
      </c>
      <c r="I1316" s="2">
        <v>0.51</v>
      </c>
      <c r="J1316" s="2">
        <v>21.64</v>
      </c>
      <c r="K1316" s="5">
        <f>nantucket[[#This Row],[MW Factor]]-resources!$B$14</f>
        <v>-32</v>
      </c>
    </row>
    <row r="1317" spans="1:11" x14ac:dyDescent="0.3">
      <c r="A1317" t="s">
        <v>51</v>
      </c>
      <c r="B1317">
        <v>990</v>
      </c>
      <c r="C1317">
        <v>6</v>
      </c>
      <c r="D1317">
        <v>16255</v>
      </c>
      <c r="E1317" t="s">
        <v>10</v>
      </c>
      <c r="F1317">
        <v>25</v>
      </c>
      <c r="G1317" s="2">
        <v>21.66</v>
      </c>
      <c r="H1317" s="2">
        <v>0</v>
      </c>
      <c r="I1317" s="2">
        <v>0.5</v>
      </c>
      <c r="J1317" s="2">
        <v>22.16</v>
      </c>
      <c r="K1317" s="5">
        <f>nantucket[[#This Row],[MW Factor]]-resources!$B$14</f>
        <v>-32</v>
      </c>
    </row>
    <row r="1318" spans="1:11" x14ac:dyDescent="0.3">
      <c r="A1318" t="s">
        <v>51</v>
      </c>
      <c r="B1318">
        <v>991</v>
      </c>
      <c r="C1318">
        <v>7</v>
      </c>
      <c r="D1318">
        <v>16255</v>
      </c>
      <c r="E1318" t="s">
        <v>10</v>
      </c>
      <c r="F1318">
        <v>25</v>
      </c>
      <c r="G1318" s="2">
        <v>20.91</v>
      </c>
      <c r="H1318" s="2">
        <v>0</v>
      </c>
      <c r="I1318" s="2">
        <v>0.48</v>
      </c>
      <c r="J1318" s="2">
        <v>21.39</v>
      </c>
      <c r="K1318" s="5">
        <f>nantucket[[#This Row],[MW Factor]]-resources!$B$14</f>
        <v>-32</v>
      </c>
    </row>
    <row r="1319" spans="1:11" x14ac:dyDescent="0.3">
      <c r="A1319" t="s">
        <v>52</v>
      </c>
      <c r="B1319">
        <v>1012</v>
      </c>
      <c r="C1319">
        <v>4</v>
      </c>
      <c r="D1319">
        <v>16255</v>
      </c>
      <c r="E1319" t="s">
        <v>10</v>
      </c>
      <c r="F1319">
        <v>25</v>
      </c>
      <c r="G1319" s="2">
        <v>19.45</v>
      </c>
      <c r="H1319" s="2">
        <v>0</v>
      </c>
      <c r="I1319" s="2">
        <v>0.3</v>
      </c>
      <c r="J1319" s="2">
        <v>19.75</v>
      </c>
      <c r="K1319" s="5">
        <f>nantucket[[#This Row],[MW Factor]]-resources!$B$14</f>
        <v>-32</v>
      </c>
    </row>
    <row r="1320" spans="1:11" x14ac:dyDescent="0.3">
      <c r="A1320" t="s">
        <v>52</v>
      </c>
      <c r="B1320">
        <v>1013</v>
      </c>
      <c r="C1320">
        <v>5</v>
      </c>
      <c r="D1320">
        <v>16255</v>
      </c>
      <c r="E1320" t="s">
        <v>10</v>
      </c>
      <c r="F1320">
        <v>25</v>
      </c>
      <c r="G1320" s="2">
        <v>19.64</v>
      </c>
      <c r="H1320" s="2">
        <v>0</v>
      </c>
      <c r="I1320" s="2">
        <v>0.3</v>
      </c>
      <c r="J1320" s="2">
        <v>19.940000000000001</v>
      </c>
      <c r="K1320" s="5">
        <f>nantucket[[#This Row],[MW Factor]]-resources!$B$14</f>
        <v>-32</v>
      </c>
    </row>
    <row r="1321" spans="1:11" x14ac:dyDescent="0.3">
      <c r="A1321" t="s">
        <v>53</v>
      </c>
      <c r="B1321">
        <v>1036</v>
      </c>
      <c r="C1321">
        <v>4</v>
      </c>
      <c r="D1321">
        <v>16255</v>
      </c>
      <c r="E1321" t="s">
        <v>10</v>
      </c>
      <c r="F1321">
        <v>25</v>
      </c>
      <c r="G1321" s="2">
        <v>21.91</v>
      </c>
      <c r="H1321" s="2">
        <v>0</v>
      </c>
      <c r="I1321" s="2">
        <v>0.32</v>
      </c>
      <c r="J1321" s="2">
        <v>22.23</v>
      </c>
      <c r="K1321" s="5">
        <f>nantucket[[#This Row],[MW Factor]]-resources!$B$14</f>
        <v>-32</v>
      </c>
    </row>
    <row r="1322" spans="1:11" x14ac:dyDescent="0.3">
      <c r="A1322" t="s">
        <v>54</v>
      </c>
      <c r="B1322">
        <v>1059</v>
      </c>
      <c r="C1322">
        <v>3</v>
      </c>
      <c r="D1322">
        <v>16255</v>
      </c>
      <c r="E1322" t="s">
        <v>10</v>
      </c>
      <c r="F1322">
        <v>25</v>
      </c>
      <c r="G1322" s="2">
        <v>28.41</v>
      </c>
      <c r="H1322" s="2">
        <v>0</v>
      </c>
      <c r="I1322" s="2">
        <v>0.43</v>
      </c>
      <c r="J1322" s="2">
        <v>28.84</v>
      </c>
      <c r="K1322" s="5">
        <f>nantucket[[#This Row],[MW Factor]]-resources!$B$14</f>
        <v>-32</v>
      </c>
    </row>
    <row r="1323" spans="1:11" x14ac:dyDescent="0.3">
      <c r="A1323" t="s">
        <v>55</v>
      </c>
      <c r="B1323">
        <v>1083</v>
      </c>
      <c r="C1323">
        <v>3</v>
      </c>
      <c r="D1323">
        <v>16255</v>
      </c>
      <c r="E1323" t="s">
        <v>10</v>
      </c>
      <c r="F1323">
        <v>25</v>
      </c>
      <c r="G1323" s="2">
        <v>30.95</v>
      </c>
      <c r="H1323" s="2">
        <v>0</v>
      </c>
      <c r="I1323" s="2">
        <v>0.46</v>
      </c>
      <c r="J1323" s="2">
        <v>31.41</v>
      </c>
      <c r="K1323" s="5">
        <f>nantucket[[#This Row],[MW Factor]]-resources!$B$14</f>
        <v>-32</v>
      </c>
    </row>
    <row r="1324" spans="1:11" x14ac:dyDescent="0.3">
      <c r="A1324" t="s">
        <v>57</v>
      </c>
      <c r="B1324">
        <v>1131</v>
      </c>
      <c r="C1324">
        <v>3</v>
      </c>
      <c r="D1324">
        <v>16255</v>
      </c>
      <c r="E1324" t="s">
        <v>10</v>
      </c>
      <c r="F1324">
        <v>25</v>
      </c>
      <c r="G1324" s="2">
        <v>24.23</v>
      </c>
      <c r="H1324" s="2">
        <v>0</v>
      </c>
      <c r="I1324" s="2">
        <v>0.28000000000000003</v>
      </c>
      <c r="J1324" s="2">
        <v>24.51</v>
      </c>
      <c r="K1324" s="5">
        <f>nantucket[[#This Row],[MW Factor]]-resources!$B$14</f>
        <v>-32</v>
      </c>
    </row>
    <row r="1325" spans="1:11" x14ac:dyDescent="0.3">
      <c r="A1325" t="s">
        <v>57</v>
      </c>
      <c r="B1325">
        <v>1136</v>
      </c>
      <c r="C1325">
        <v>8</v>
      </c>
      <c r="D1325">
        <v>16255</v>
      </c>
      <c r="E1325" t="s">
        <v>10</v>
      </c>
      <c r="F1325">
        <v>25</v>
      </c>
      <c r="G1325" s="2">
        <v>22.79</v>
      </c>
      <c r="H1325" s="2">
        <v>0</v>
      </c>
      <c r="I1325" s="2">
        <v>0.3</v>
      </c>
      <c r="J1325" s="2">
        <v>23.09</v>
      </c>
      <c r="K1325" s="5">
        <f>nantucket[[#This Row],[MW Factor]]-resources!$B$14</f>
        <v>-32</v>
      </c>
    </row>
    <row r="1326" spans="1:11" x14ac:dyDescent="0.3">
      <c r="A1326" t="s">
        <v>58</v>
      </c>
      <c r="B1326">
        <v>1154</v>
      </c>
      <c r="C1326">
        <v>2</v>
      </c>
      <c r="D1326">
        <v>16255</v>
      </c>
      <c r="E1326" t="s">
        <v>10</v>
      </c>
      <c r="F1326">
        <v>25</v>
      </c>
      <c r="G1326" s="2">
        <v>21.53</v>
      </c>
      <c r="H1326" s="2">
        <v>0</v>
      </c>
      <c r="I1326" s="2">
        <v>0.38</v>
      </c>
      <c r="J1326" s="2">
        <v>21.91</v>
      </c>
      <c r="K1326" s="5">
        <f>nantucket[[#This Row],[MW Factor]]-resources!$B$14</f>
        <v>-32</v>
      </c>
    </row>
    <row r="1327" spans="1:11" x14ac:dyDescent="0.3">
      <c r="A1327" t="s">
        <v>59</v>
      </c>
      <c r="B1327">
        <v>1179</v>
      </c>
      <c r="C1327">
        <v>3</v>
      </c>
      <c r="D1327">
        <v>16255</v>
      </c>
      <c r="E1327" t="s">
        <v>10</v>
      </c>
      <c r="F1327">
        <v>25</v>
      </c>
      <c r="G1327" s="2">
        <v>21.09</v>
      </c>
      <c r="H1327" s="2">
        <v>0</v>
      </c>
      <c r="I1327" s="2">
        <v>0.34</v>
      </c>
      <c r="J1327" s="2">
        <v>21.43</v>
      </c>
      <c r="K1327" s="5">
        <f>nantucket[[#This Row],[MW Factor]]-resources!$B$14</f>
        <v>-32</v>
      </c>
    </row>
    <row r="1328" spans="1:11" x14ac:dyDescent="0.3">
      <c r="A1328" t="s">
        <v>59</v>
      </c>
      <c r="B1328">
        <v>1180</v>
      </c>
      <c r="C1328">
        <v>4</v>
      </c>
      <c r="D1328">
        <v>16255</v>
      </c>
      <c r="E1328" t="s">
        <v>10</v>
      </c>
      <c r="F1328">
        <v>25</v>
      </c>
      <c r="G1328" s="2">
        <v>20.85</v>
      </c>
      <c r="H1328" s="2">
        <v>0</v>
      </c>
      <c r="I1328" s="2">
        <v>0.32</v>
      </c>
      <c r="J1328" s="2">
        <v>21.17</v>
      </c>
      <c r="K1328" s="5">
        <f>nantucket[[#This Row],[MW Factor]]-resources!$B$14</f>
        <v>-32</v>
      </c>
    </row>
    <row r="1329" spans="1:11" x14ac:dyDescent="0.3">
      <c r="A1329" t="s">
        <v>62</v>
      </c>
      <c r="B1329">
        <v>1249</v>
      </c>
      <c r="C1329">
        <v>1</v>
      </c>
      <c r="D1329">
        <v>16255</v>
      </c>
      <c r="E1329" t="s">
        <v>10</v>
      </c>
      <c r="F1329">
        <v>25</v>
      </c>
      <c r="G1329" s="2">
        <v>24.3</v>
      </c>
      <c r="H1329" s="2">
        <v>0</v>
      </c>
      <c r="I1329" s="2">
        <v>0.48</v>
      </c>
      <c r="J1329" s="2">
        <v>24.78</v>
      </c>
      <c r="K1329" s="5">
        <f>nantucket[[#This Row],[MW Factor]]-resources!$B$14</f>
        <v>-32</v>
      </c>
    </row>
    <row r="1330" spans="1:11" x14ac:dyDescent="0.3">
      <c r="A1330" t="s">
        <v>62</v>
      </c>
      <c r="B1330">
        <v>1257</v>
      </c>
      <c r="C1330">
        <v>9</v>
      </c>
      <c r="D1330">
        <v>16255</v>
      </c>
      <c r="E1330" t="s">
        <v>10</v>
      </c>
      <c r="F1330">
        <v>25</v>
      </c>
      <c r="G1330" s="2">
        <v>24</v>
      </c>
      <c r="H1330" s="2">
        <v>0</v>
      </c>
      <c r="I1330" s="2">
        <v>0.41</v>
      </c>
      <c r="J1330" s="2">
        <v>24.41</v>
      </c>
      <c r="K1330" s="5">
        <f>nantucket[[#This Row],[MW Factor]]-resources!$B$14</f>
        <v>-32</v>
      </c>
    </row>
    <row r="1331" spans="1:11" x14ac:dyDescent="0.3">
      <c r="A1331" t="s">
        <v>63</v>
      </c>
      <c r="B1331">
        <v>1273</v>
      </c>
      <c r="C1331">
        <v>1</v>
      </c>
      <c r="D1331">
        <v>16255</v>
      </c>
      <c r="E1331" t="s">
        <v>10</v>
      </c>
      <c r="F1331">
        <v>25</v>
      </c>
      <c r="G1331" s="2">
        <v>21.99</v>
      </c>
      <c r="H1331" s="2">
        <v>0</v>
      </c>
      <c r="I1331" s="2">
        <v>0.47</v>
      </c>
      <c r="J1331" s="2">
        <v>22.46</v>
      </c>
      <c r="K1331" s="5">
        <f>nantucket[[#This Row],[MW Factor]]-resources!$B$14</f>
        <v>-32</v>
      </c>
    </row>
    <row r="1332" spans="1:11" x14ac:dyDescent="0.3">
      <c r="A1332" t="s">
        <v>63</v>
      </c>
      <c r="B1332">
        <v>1280</v>
      </c>
      <c r="C1332">
        <v>8</v>
      </c>
      <c r="D1332">
        <v>16255</v>
      </c>
      <c r="E1332" t="s">
        <v>10</v>
      </c>
      <c r="F1332">
        <v>25</v>
      </c>
      <c r="G1332" s="2">
        <v>22.13</v>
      </c>
      <c r="H1332" s="2">
        <v>0</v>
      </c>
      <c r="I1332" s="2">
        <v>0.56000000000000005</v>
      </c>
      <c r="J1332" s="2">
        <v>22.69</v>
      </c>
      <c r="K1332" s="5">
        <f>nantucket[[#This Row],[MW Factor]]-resources!$B$14</f>
        <v>-32</v>
      </c>
    </row>
    <row r="1333" spans="1:11" x14ac:dyDescent="0.3">
      <c r="A1333" t="s">
        <v>64</v>
      </c>
      <c r="B1333">
        <v>1298</v>
      </c>
      <c r="C1333">
        <v>2</v>
      </c>
      <c r="D1333">
        <v>16255</v>
      </c>
      <c r="E1333" t="s">
        <v>10</v>
      </c>
      <c r="F1333">
        <v>25</v>
      </c>
      <c r="G1333" s="2">
        <v>21.98</v>
      </c>
      <c r="H1333" s="2">
        <v>0</v>
      </c>
      <c r="I1333" s="2">
        <v>0.38</v>
      </c>
      <c r="J1333" s="2">
        <v>22.36</v>
      </c>
      <c r="K1333" s="5">
        <f>nantucket[[#This Row],[MW Factor]]-resources!$B$14</f>
        <v>-32</v>
      </c>
    </row>
    <row r="1334" spans="1:11" x14ac:dyDescent="0.3">
      <c r="A1334" t="s">
        <v>65</v>
      </c>
      <c r="B1334">
        <v>1323</v>
      </c>
      <c r="C1334">
        <v>3</v>
      </c>
      <c r="D1334">
        <v>16255</v>
      </c>
      <c r="E1334" t="s">
        <v>10</v>
      </c>
      <c r="F1334">
        <v>25</v>
      </c>
      <c r="G1334" s="2">
        <v>26.16</v>
      </c>
      <c r="H1334" s="2">
        <v>0</v>
      </c>
      <c r="I1334" s="2">
        <v>0.42</v>
      </c>
      <c r="J1334" s="2">
        <v>26.58</v>
      </c>
      <c r="K1334" s="5">
        <f>nantucket[[#This Row],[MW Factor]]-resources!$B$14</f>
        <v>-32</v>
      </c>
    </row>
    <row r="1335" spans="1:11" x14ac:dyDescent="0.3">
      <c r="A1335" t="s">
        <v>65</v>
      </c>
      <c r="B1335">
        <v>1328</v>
      </c>
      <c r="C1335">
        <v>8</v>
      </c>
      <c r="D1335">
        <v>16255</v>
      </c>
      <c r="E1335" t="s">
        <v>10</v>
      </c>
      <c r="F1335">
        <v>25</v>
      </c>
      <c r="G1335" s="2">
        <v>22.04</v>
      </c>
      <c r="H1335" s="2">
        <v>0</v>
      </c>
      <c r="I1335" s="2">
        <v>0.32</v>
      </c>
      <c r="J1335" s="2">
        <v>22.36</v>
      </c>
      <c r="K1335" s="5">
        <f>nantucket[[#This Row],[MW Factor]]-resources!$B$14</f>
        <v>-32</v>
      </c>
    </row>
    <row r="1336" spans="1:11" x14ac:dyDescent="0.3">
      <c r="A1336" t="s">
        <v>66</v>
      </c>
      <c r="B1336">
        <v>1348</v>
      </c>
      <c r="C1336">
        <v>4</v>
      </c>
      <c r="D1336">
        <v>16255</v>
      </c>
      <c r="E1336" t="s">
        <v>10</v>
      </c>
      <c r="F1336">
        <v>25</v>
      </c>
      <c r="G1336" s="2">
        <v>26.67</v>
      </c>
      <c r="H1336" s="2">
        <v>0.04</v>
      </c>
      <c r="I1336" s="2">
        <v>0.35</v>
      </c>
      <c r="J1336" s="2">
        <v>27.06</v>
      </c>
      <c r="K1336" s="5">
        <f>nantucket[[#This Row],[MW Factor]]-resources!$B$14</f>
        <v>-32</v>
      </c>
    </row>
    <row r="1337" spans="1:11" x14ac:dyDescent="0.3">
      <c r="A1337" t="s">
        <v>66</v>
      </c>
      <c r="B1337">
        <v>1349</v>
      </c>
      <c r="C1337">
        <v>5</v>
      </c>
      <c r="D1337">
        <v>16255</v>
      </c>
      <c r="E1337" t="s">
        <v>10</v>
      </c>
      <c r="F1337">
        <v>25</v>
      </c>
      <c r="G1337" s="2">
        <v>26.28</v>
      </c>
      <c r="H1337" s="2">
        <v>0.04</v>
      </c>
      <c r="I1337" s="2">
        <v>0.36</v>
      </c>
      <c r="J1337" s="2">
        <v>26.68</v>
      </c>
      <c r="K1337" s="5">
        <f>nantucket[[#This Row],[MW Factor]]-resources!$B$14</f>
        <v>-32</v>
      </c>
    </row>
    <row r="1338" spans="1:11" x14ac:dyDescent="0.3">
      <c r="A1338" t="s">
        <v>66</v>
      </c>
      <c r="B1338">
        <v>1351</v>
      </c>
      <c r="C1338">
        <v>7</v>
      </c>
      <c r="D1338">
        <v>16255</v>
      </c>
      <c r="E1338" t="s">
        <v>10</v>
      </c>
      <c r="F1338">
        <v>25</v>
      </c>
      <c r="G1338" s="2">
        <v>25.45</v>
      </c>
      <c r="H1338" s="2">
        <v>0.01</v>
      </c>
      <c r="I1338" s="2">
        <v>0.32</v>
      </c>
      <c r="J1338" s="2">
        <v>25.78</v>
      </c>
      <c r="K1338" s="5">
        <f>nantucket[[#This Row],[MW Factor]]-resources!$B$14</f>
        <v>-32</v>
      </c>
    </row>
    <row r="1339" spans="1:11" x14ac:dyDescent="0.3">
      <c r="A1339" t="s">
        <v>68</v>
      </c>
      <c r="B1339">
        <v>1395</v>
      </c>
      <c r="C1339">
        <v>3</v>
      </c>
      <c r="D1339">
        <v>16255</v>
      </c>
      <c r="E1339" t="s">
        <v>10</v>
      </c>
      <c r="F1339">
        <v>25</v>
      </c>
      <c r="G1339" s="2">
        <v>25.45</v>
      </c>
      <c r="H1339" s="2">
        <v>0</v>
      </c>
      <c r="I1339" s="2">
        <v>0.34</v>
      </c>
      <c r="J1339" s="2">
        <v>25.79</v>
      </c>
      <c r="K1339" s="5">
        <f>nantucket[[#This Row],[MW Factor]]-resources!$B$14</f>
        <v>-32</v>
      </c>
    </row>
    <row r="1340" spans="1:11" x14ac:dyDescent="0.3">
      <c r="A1340" t="s">
        <v>68</v>
      </c>
      <c r="B1340">
        <v>1396</v>
      </c>
      <c r="C1340">
        <v>4</v>
      </c>
      <c r="D1340">
        <v>16255</v>
      </c>
      <c r="E1340" t="s">
        <v>10</v>
      </c>
      <c r="F1340">
        <v>25</v>
      </c>
      <c r="G1340" s="2">
        <v>23.73</v>
      </c>
      <c r="H1340" s="2">
        <v>0</v>
      </c>
      <c r="I1340" s="2">
        <v>0.31</v>
      </c>
      <c r="J1340" s="2">
        <v>24.04</v>
      </c>
      <c r="K1340" s="5">
        <f>nantucket[[#This Row],[MW Factor]]-resources!$B$14</f>
        <v>-32</v>
      </c>
    </row>
    <row r="1341" spans="1:11" x14ac:dyDescent="0.3">
      <c r="A1341" t="s">
        <v>69</v>
      </c>
      <c r="B1341">
        <v>1422</v>
      </c>
      <c r="C1341">
        <v>6</v>
      </c>
      <c r="D1341">
        <v>16255</v>
      </c>
      <c r="E1341" t="s">
        <v>10</v>
      </c>
      <c r="F1341">
        <v>25</v>
      </c>
      <c r="G1341" s="2">
        <v>58.25</v>
      </c>
      <c r="H1341" s="2">
        <v>0.23</v>
      </c>
      <c r="I1341" s="2">
        <v>1.1399999999999999</v>
      </c>
      <c r="J1341" s="2">
        <v>59.62</v>
      </c>
      <c r="K1341" s="5">
        <f>nantucket[[#This Row],[MW Factor]]-resources!$B$14</f>
        <v>-32</v>
      </c>
    </row>
    <row r="1342" spans="1:11" x14ac:dyDescent="0.3">
      <c r="A1342" t="s">
        <v>69</v>
      </c>
      <c r="B1342">
        <v>1423</v>
      </c>
      <c r="C1342">
        <v>7</v>
      </c>
      <c r="D1342">
        <v>16255</v>
      </c>
      <c r="E1342" t="s">
        <v>10</v>
      </c>
      <c r="F1342">
        <v>25</v>
      </c>
      <c r="G1342" s="2">
        <v>42.87</v>
      </c>
      <c r="H1342" s="2">
        <v>0.1</v>
      </c>
      <c r="I1342" s="2">
        <v>0.86</v>
      </c>
      <c r="J1342" s="2">
        <v>43.83</v>
      </c>
      <c r="K1342" s="5">
        <f>nantucket[[#This Row],[MW Factor]]-resources!$B$14</f>
        <v>-32</v>
      </c>
    </row>
    <row r="1343" spans="1:11" x14ac:dyDescent="0.3">
      <c r="A1343" t="s">
        <v>70</v>
      </c>
      <c r="B1343">
        <v>1449</v>
      </c>
      <c r="C1343">
        <v>9</v>
      </c>
      <c r="D1343">
        <v>16255</v>
      </c>
      <c r="E1343" t="s">
        <v>10</v>
      </c>
      <c r="F1343">
        <v>25</v>
      </c>
      <c r="G1343" s="2">
        <v>24.15</v>
      </c>
      <c r="H1343" s="2">
        <v>7.0000000000000007E-2</v>
      </c>
      <c r="I1343" s="2">
        <v>0.55000000000000004</v>
      </c>
      <c r="J1343" s="2">
        <v>24.77</v>
      </c>
      <c r="K1343" s="5">
        <f>nantucket[[#This Row],[MW Factor]]-resources!$B$14</f>
        <v>-32</v>
      </c>
    </row>
    <row r="1344" spans="1:11" x14ac:dyDescent="0.3">
      <c r="A1344" t="s">
        <v>71</v>
      </c>
      <c r="B1344">
        <v>1465</v>
      </c>
      <c r="C1344">
        <v>1</v>
      </c>
      <c r="D1344">
        <v>16255</v>
      </c>
      <c r="E1344" t="s">
        <v>10</v>
      </c>
      <c r="F1344">
        <v>25</v>
      </c>
      <c r="G1344" s="2">
        <v>21.95</v>
      </c>
      <c r="H1344" s="2">
        <v>0.01</v>
      </c>
      <c r="I1344" s="2">
        <v>0.5</v>
      </c>
      <c r="J1344" s="2">
        <v>22.46</v>
      </c>
      <c r="K1344" s="5">
        <f>nantucket[[#This Row],[MW Factor]]-resources!$B$14</f>
        <v>-32</v>
      </c>
    </row>
    <row r="1345" spans="1:11" x14ac:dyDescent="0.3">
      <c r="A1345" t="s">
        <v>9</v>
      </c>
      <c r="B1345">
        <v>3</v>
      </c>
      <c r="C1345">
        <v>3</v>
      </c>
      <c r="D1345">
        <v>16255</v>
      </c>
      <c r="E1345" t="s">
        <v>10</v>
      </c>
      <c r="F1345">
        <v>24</v>
      </c>
      <c r="G1345" s="2">
        <v>23.7</v>
      </c>
      <c r="H1345" s="2">
        <v>0</v>
      </c>
      <c r="I1345" s="2">
        <v>0.45</v>
      </c>
      <c r="J1345" s="2">
        <v>24.15</v>
      </c>
      <c r="K1345" s="5">
        <f>nantucket[[#This Row],[MW Factor]]-resources!$B$14</f>
        <v>-33</v>
      </c>
    </row>
    <row r="1346" spans="1:11" x14ac:dyDescent="0.3">
      <c r="A1346" t="s">
        <v>9</v>
      </c>
      <c r="B1346">
        <v>4</v>
      </c>
      <c r="C1346">
        <v>4</v>
      </c>
      <c r="D1346">
        <v>16255</v>
      </c>
      <c r="E1346" t="s">
        <v>10</v>
      </c>
      <c r="F1346">
        <v>24</v>
      </c>
      <c r="G1346" s="2">
        <v>23.16</v>
      </c>
      <c r="H1346" s="2">
        <v>0</v>
      </c>
      <c r="I1346" s="2">
        <v>0.48</v>
      </c>
      <c r="J1346" s="2">
        <v>23.64</v>
      </c>
      <c r="K1346" s="5">
        <f>nantucket[[#This Row],[MW Factor]]-resources!$B$14</f>
        <v>-33</v>
      </c>
    </row>
    <row r="1347" spans="1:11" x14ac:dyDescent="0.3">
      <c r="A1347" t="s">
        <v>11</v>
      </c>
      <c r="B1347">
        <v>26</v>
      </c>
      <c r="C1347">
        <v>2</v>
      </c>
      <c r="D1347">
        <v>16255</v>
      </c>
      <c r="E1347" t="s">
        <v>10</v>
      </c>
      <c r="F1347">
        <v>24</v>
      </c>
      <c r="G1347" s="2">
        <v>23.55</v>
      </c>
      <c r="H1347" s="2">
        <v>0</v>
      </c>
      <c r="I1347" s="2">
        <v>0.46</v>
      </c>
      <c r="J1347" s="2">
        <v>24.01</v>
      </c>
      <c r="K1347" s="5">
        <f>nantucket[[#This Row],[MW Factor]]-resources!$B$14</f>
        <v>-33</v>
      </c>
    </row>
    <row r="1348" spans="1:11" x14ac:dyDescent="0.3">
      <c r="A1348" t="s">
        <v>12</v>
      </c>
      <c r="B1348">
        <v>50</v>
      </c>
      <c r="C1348">
        <v>2</v>
      </c>
      <c r="D1348">
        <v>16255</v>
      </c>
      <c r="E1348" t="s">
        <v>10</v>
      </c>
      <c r="F1348">
        <v>24</v>
      </c>
      <c r="G1348" s="2">
        <v>23.46</v>
      </c>
      <c r="H1348" s="2">
        <v>0</v>
      </c>
      <c r="I1348" s="2">
        <v>0.44</v>
      </c>
      <c r="J1348" s="2">
        <v>23.9</v>
      </c>
      <c r="K1348" s="5">
        <f>nantucket[[#This Row],[MW Factor]]-resources!$B$14</f>
        <v>-33</v>
      </c>
    </row>
    <row r="1349" spans="1:11" x14ac:dyDescent="0.3">
      <c r="A1349" t="s">
        <v>33</v>
      </c>
      <c r="B1349">
        <v>556</v>
      </c>
      <c r="C1349">
        <v>4</v>
      </c>
      <c r="D1349">
        <v>16255</v>
      </c>
      <c r="E1349" t="s">
        <v>10</v>
      </c>
      <c r="F1349">
        <v>24</v>
      </c>
      <c r="G1349" s="2">
        <v>27.62</v>
      </c>
      <c r="H1349" s="2">
        <v>0</v>
      </c>
      <c r="I1349" s="2">
        <v>0.02</v>
      </c>
      <c r="J1349" s="2">
        <v>27.64</v>
      </c>
      <c r="K1349" s="5">
        <f>nantucket[[#This Row],[MW Factor]]-resources!$B$14</f>
        <v>-33</v>
      </c>
    </row>
    <row r="1350" spans="1:11" x14ac:dyDescent="0.3">
      <c r="A1350" t="s">
        <v>33</v>
      </c>
      <c r="B1350">
        <v>557</v>
      </c>
      <c r="C1350">
        <v>5</v>
      </c>
      <c r="D1350">
        <v>16255</v>
      </c>
      <c r="E1350" t="s">
        <v>10</v>
      </c>
      <c r="F1350">
        <v>24</v>
      </c>
      <c r="G1350" s="2">
        <v>29.55</v>
      </c>
      <c r="H1350" s="2">
        <v>0</v>
      </c>
      <c r="I1350" s="2">
        <v>0.03</v>
      </c>
      <c r="J1350" s="2">
        <v>29.58</v>
      </c>
      <c r="K1350" s="5">
        <f>nantucket[[#This Row],[MW Factor]]-resources!$B$14</f>
        <v>-33</v>
      </c>
    </row>
    <row r="1351" spans="1:11" x14ac:dyDescent="0.3">
      <c r="A1351" t="s">
        <v>34</v>
      </c>
      <c r="B1351">
        <v>579</v>
      </c>
      <c r="C1351">
        <v>3</v>
      </c>
      <c r="D1351">
        <v>16255</v>
      </c>
      <c r="E1351" t="s">
        <v>10</v>
      </c>
      <c r="F1351">
        <v>24</v>
      </c>
      <c r="G1351" s="2">
        <v>25.05</v>
      </c>
      <c r="H1351" s="2">
        <v>0</v>
      </c>
      <c r="I1351" s="2">
        <v>0.15</v>
      </c>
      <c r="J1351" s="2">
        <v>25.2</v>
      </c>
      <c r="K1351" s="5">
        <f>nantucket[[#This Row],[MW Factor]]-resources!$B$14</f>
        <v>-33</v>
      </c>
    </row>
    <row r="1352" spans="1:11" x14ac:dyDescent="0.3">
      <c r="A1352" t="s">
        <v>34</v>
      </c>
      <c r="B1352">
        <v>583</v>
      </c>
      <c r="C1352">
        <v>7</v>
      </c>
      <c r="D1352">
        <v>16255</v>
      </c>
      <c r="E1352" t="s">
        <v>10</v>
      </c>
      <c r="F1352">
        <v>24</v>
      </c>
      <c r="G1352" s="2">
        <v>26.79</v>
      </c>
      <c r="H1352" s="2">
        <v>0</v>
      </c>
      <c r="I1352" s="2">
        <v>0.13</v>
      </c>
      <c r="J1352" s="2">
        <v>26.92</v>
      </c>
      <c r="K1352" s="5">
        <f>nantucket[[#This Row],[MW Factor]]-resources!$B$14</f>
        <v>-33</v>
      </c>
    </row>
    <row r="1353" spans="1:11" x14ac:dyDescent="0.3">
      <c r="A1353" t="s">
        <v>35</v>
      </c>
      <c r="B1353">
        <v>605</v>
      </c>
      <c r="C1353">
        <v>5</v>
      </c>
      <c r="D1353">
        <v>16255</v>
      </c>
      <c r="E1353" t="s">
        <v>10</v>
      </c>
      <c r="F1353">
        <v>24</v>
      </c>
      <c r="G1353" s="2">
        <v>20.14</v>
      </c>
      <c r="H1353" s="2">
        <v>0</v>
      </c>
      <c r="I1353" s="2">
        <v>0.32</v>
      </c>
      <c r="J1353" s="2">
        <v>20.46</v>
      </c>
      <c r="K1353" s="5">
        <f>nantucket[[#This Row],[MW Factor]]-resources!$B$14</f>
        <v>-33</v>
      </c>
    </row>
    <row r="1354" spans="1:11" x14ac:dyDescent="0.3">
      <c r="A1354" t="s">
        <v>35</v>
      </c>
      <c r="B1354">
        <v>606</v>
      </c>
      <c r="C1354">
        <v>6</v>
      </c>
      <c r="D1354">
        <v>16255</v>
      </c>
      <c r="E1354" t="s">
        <v>10</v>
      </c>
      <c r="F1354">
        <v>24</v>
      </c>
      <c r="G1354" s="2">
        <v>22.42</v>
      </c>
      <c r="H1354" s="2">
        <v>0</v>
      </c>
      <c r="I1354" s="2">
        <v>0.35</v>
      </c>
      <c r="J1354" s="2">
        <v>22.77</v>
      </c>
      <c r="K1354" s="5">
        <f>nantucket[[#This Row],[MW Factor]]-resources!$B$14</f>
        <v>-33</v>
      </c>
    </row>
    <row r="1355" spans="1:11" x14ac:dyDescent="0.3">
      <c r="A1355" t="s">
        <v>35</v>
      </c>
      <c r="B1355">
        <v>607</v>
      </c>
      <c r="C1355">
        <v>7</v>
      </c>
      <c r="D1355">
        <v>16255</v>
      </c>
      <c r="E1355" t="s">
        <v>10</v>
      </c>
      <c r="F1355">
        <v>24</v>
      </c>
      <c r="G1355" s="2">
        <v>21.98</v>
      </c>
      <c r="H1355" s="2">
        <v>0</v>
      </c>
      <c r="I1355" s="2">
        <v>0.38</v>
      </c>
      <c r="J1355" s="2">
        <v>22.36</v>
      </c>
      <c r="K1355" s="5">
        <f>nantucket[[#This Row],[MW Factor]]-resources!$B$14</f>
        <v>-33</v>
      </c>
    </row>
    <row r="1356" spans="1:11" x14ac:dyDescent="0.3">
      <c r="A1356" t="s">
        <v>36</v>
      </c>
      <c r="B1356">
        <v>630</v>
      </c>
      <c r="C1356">
        <v>6</v>
      </c>
      <c r="D1356">
        <v>16255</v>
      </c>
      <c r="E1356" t="s">
        <v>10</v>
      </c>
      <c r="F1356">
        <v>24</v>
      </c>
      <c r="G1356" s="2">
        <v>21.42</v>
      </c>
      <c r="H1356" s="2">
        <v>0</v>
      </c>
      <c r="I1356" s="2">
        <v>0.35</v>
      </c>
      <c r="J1356" s="2">
        <v>21.77</v>
      </c>
      <c r="K1356" s="5">
        <f>nantucket[[#This Row],[MW Factor]]-resources!$B$14</f>
        <v>-33</v>
      </c>
    </row>
    <row r="1357" spans="1:11" x14ac:dyDescent="0.3">
      <c r="A1357" t="s">
        <v>36</v>
      </c>
      <c r="B1357">
        <v>631</v>
      </c>
      <c r="C1357">
        <v>7</v>
      </c>
      <c r="D1357">
        <v>16255</v>
      </c>
      <c r="E1357" t="s">
        <v>10</v>
      </c>
      <c r="F1357">
        <v>24</v>
      </c>
      <c r="G1357" s="2">
        <v>21.35</v>
      </c>
      <c r="H1357" s="2">
        <v>0</v>
      </c>
      <c r="I1357" s="2">
        <v>0.34</v>
      </c>
      <c r="J1357" s="2">
        <v>21.69</v>
      </c>
      <c r="K1357" s="5">
        <f>nantucket[[#This Row],[MW Factor]]-resources!$B$14</f>
        <v>-33</v>
      </c>
    </row>
    <row r="1358" spans="1:11" x14ac:dyDescent="0.3">
      <c r="A1358" t="s">
        <v>37</v>
      </c>
      <c r="B1358">
        <v>653</v>
      </c>
      <c r="C1358">
        <v>5</v>
      </c>
      <c r="D1358">
        <v>16255</v>
      </c>
      <c r="E1358" t="s">
        <v>10</v>
      </c>
      <c r="F1358">
        <v>24</v>
      </c>
      <c r="G1358" s="2">
        <v>20.7</v>
      </c>
      <c r="H1358" s="2">
        <v>0</v>
      </c>
      <c r="I1358" s="2">
        <v>0.32</v>
      </c>
      <c r="J1358" s="2">
        <v>21.02</v>
      </c>
      <c r="K1358" s="5">
        <f>nantucket[[#This Row],[MW Factor]]-resources!$B$14</f>
        <v>-33</v>
      </c>
    </row>
    <row r="1359" spans="1:11" x14ac:dyDescent="0.3">
      <c r="A1359" t="s">
        <v>37</v>
      </c>
      <c r="B1359">
        <v>656</v>
      </c>
      <c r="C1359">
        <v>8</v>
      </c>
      <c r="D1359">
        <v>16255</v>
      </c>
      <c r="E1359" t="s">
        <v>10</v>
      </c>
      <c r="F1359">
        <v>24</v>
      </c>
      <c r="G1359" s="2">
        <v>19.93</v>
      </c>
      <c r="H1359" s="2">
        <v>0</v>
      </c>
      <c r="I1359" s="2">
        <v>0.28999999999999998</v>
      </c>
      <c r="J1359" s="2">
        <v>20.22</v>
      </c>
      <c r="K1359" s="5">
        <f>nantucket[[#This Row],[MW Factor]]-resources!$B$14</f>
        <v>-33</v>
      </c>
    </row>
    <row r="1360" spans="1:11" x14ac:dyDescent="0.3">
      <c r="A1360" t="s">
        <v>38</v>
      </c>
      <c r="B1360">
        <v>675</v>
      </c>
      <c r="C1360">
        <v>3</v>
      </c>
      <c r="D1360">
        <v>16255</v>
      </c>
      <c r="E1360" t="s">
        <v>10</v>
      </c>
      <c r="F1360">
        <v>24</v>
      </c>
      <c r="G1360" s="2">
        <v>31.99</v>
      </c>
      <c r="H1360" s="2">
        <v>0</v>
      </c>
      <c r="I1360" s="2">
        <v>0.36</v>
      </c>
      <c r="J1360" s="2">
        <v>32.35</v>
      </c>
      <c r="K1360" s="5">
        <f>nantucket[[#This Row],[MW Factor]]-resources!$B$14</f>
        <v>-33</v>
      </c>
    </row>
    <row r="1361" spans="1:11" x14ac:dyDescent="0.3">
      <c r="A1361" t="s">
        <v>47</v>
      </c>
      <c r="B1361">
        <v>892</v>
      </c>
      <c r="C1361">
        <v>4</v>
      </c>
      <c r="D1361">
        <v>16255</v>
      </c>
      <c r="E1361" t="s">
        <v>10</v>
      </c>
      <c r="F1361">
        <v>24</v>
      </c>
      <c r="G1361" s="2">
        <v>24.73</v>
      </c>
      <c r="H1361" s="2">
        <v>0</v>
      </c>
      <c r="I1361" s="2">
        <v>0.35</v>
      </c>
      <c r="J1361" s="2">
        <v>25.08</v>
      </c>
      <c r="K1361" s="5">
        <f>nantucket[[#This Row],[MW Factor]]-resources!$B$14</f>
        <v>-33</v>
      </c>
    </row>
    <row r="1362" spans="1:11" x14ac:dyDescent="0.3">
      <c r="A1362" t="s">
        <v>47</v>
      </c>
      <c r="B1362">
        <v>893</v>
      </c>
      <c r="C1362">
        <v>5</v>
      </c>
      <c r="D1362">
        <v>16255</v>
      </c>
      <c r="E1362" t="s">
        <v>10</v>
      </c>
      <c r="F1362">
        <v>24</v>
      </c>
      <c r="G1362" s="2">
        <v>24.95</v>
      </c>
      <c r="H1362" s="2">
        <v>0</v>
      </c>
      <c r="I1362" s="2">
        <v>0.36</v>
      </c>
      <c r="J1362" s="2">
        <v>25.31</v>
      </c>
      <c r="K1362" s="5">
        <f>nantucket[[#This Row],[MW Factor]]-resources!$B$14</f>
        <v>-33</v>
      </c>
    </row>
    <row r="1363" spans="1:11" x14ac:dyDescent="0.3">
      <c r="A1363" t="s">
        <v>47</v>
      </c>
      <c r="B1363">
        <v>894</v>
      </c>
      <c r="C1363">
        <v>6</v>
      </c>
      <c r="D1363">
        <v>16255</v>
      </c>
      <c r="E1363" t="s">
        <v>10</v>
      </c>
      <c r="F1363">
        <v>24</v>
      </c>
      <c r="G1363" s="2">
        <v>25.77</v>
      </c>
      <c r="H1363" s="2">
        <v>0</v>
      </c>
      <c r="I1363" s="2">
        <v>0.39</v>
      </c>
      <c r="J1363" s="2">
        <v>26.16</v>
      </c>
      <c r="K1363" s="5">
        <f>nantucket[[#This Row],[MW Factor]]-resources!$B$14</f>
        <v>-33</v>
      </c>
    </row>
    <row r="1364" spans="1:11" x14ac:dyDescent="0.3">
      <c r="A1364" t="s">
        <v>47</v>
      </c>
      <c r="B1364">
        <v>895</v>
      </c>
      <c r="C1364">
        <v>7</v>
      </c>
      <c r="D1364">
        <v>16255</v>
      </c>
      <c r="E1364" t="s">
        <v>10</v>
      </c>
      <c r="F1364">
        <v>24</v>
      </c>
      <c r="G1364" s="2">
        <v>41.32</v>
      </c>
      <c r="H1364" s="2">
        <v>0</v>
      </c>
      <c r="I1364" s="2">
        <v>0.69</v>
      </c>
      <c r="J1364" s="2">
        <v>42.01</v>
      </c>
      <c r="K1364" s="5">
        <f>nantucket[[#This Row],[MW Factor]]-resources!$B$14</f>
        <v>-33</v>
      </c>
    </row>
    <row r="1365" spans="1:11" x14ac:dyDescent="0.3">
      <c r="A1365" t="s">
        <v>48</v>
      </c>
      <c r="B1365">
        <v>920</v>
      </c>
      <c r="C1365">
        <v>8</v>
      </c>
      <c r="D1365">
        <v>16255</v>
      </c>
      <c r="E1365" t="s">
        <v>10</v>
      </c>
      <c r="F1365">
        <v>24</v>
      </c>
      <c r="G1365" s="2">
        <v>25.47</v>
      </c>
      <c r="H1365" s="2">
        <v>0</v>
      </c>
      <c r="I1365" s="2">
        <v>0.43</v>
      </c>
      <c r="J1365" s="2">
        <v>25.9</v>
      </c>
      <c r="K1365" s="5">
        <f>nantucket[[#This Row],[MW Factor]]-resources!$B$14</f>
        <v>-33</v>
      </c>
    </row>
    <row r="1366" spans="1:11" x14ac:dyDescent="0.3">
      <c r="A1366" t="s">
        <v>49</v>
      </c>
      <c r="B1366">
        <v>939</v>
      </c>
      <c r="C1366">
        <v>3</v>
      </c>
      <c r="D1366">
        <v>16255</v>
      </c>
      <c r="E1366" t="s">
        <v>10</v>
      </c>
      <c r="F1366">
        <v>24</v>
      </c>
      <c r="G1366" s="2">
        <v>22.46</v>
      </c>
      <c r="H1366" s="2">
        <v>0</v>
      </c>
      <c r="I1366" s="2">
        <v>0.26</v>
      </c>
      <c r="J1366" s="2">
        <v>22.72</v>
      </c>
      <c r="K1366" s="5">
        <f>nantucket[[#This Row],[MW Factor]]-resources!$B$14</f>
        <v>-33</v>
      </c>
    </row>
    <row r="1367" spans="1:11" x14ac:dyDescent="0.3">
      <c r="A1367" t="s">
        <v>49</v>
      </c>
      <c r="B1367">
        <v>942</v>
      </c>
      <c r="C1367">
        <v>6</v>
      </c>
      <c r="D1367">
        <v>16255</v>
      </c>
      <c r="E1367" t="s">
        <v>10</v>
      </c>
      <c r="F1367">
        <v>24</v>
      </c>
      <c r="G1367" s="2">
        <v>23.58</v>
      </c>
      <c r="H1367" s="2">
        <v>0</v>
      </c>
      <c r="I1367" s="2">
        <v>0.21</v>
      </c>
      <c r="J1367" s="2">
        <v>23.79</v>
      </c>
      <c r="K1367" s="5">
        <f>nantucket[[#This Row],[MW Factor]]-resources!$B$14</f>
        <v>-33</v>
      </c>
    </row>
    <row r="1368" spans="1:11" x14ac:dyDescent="0.3">
      <c r="A1368" t="s">
        <v>52</v>
      </c>
      <c r="B1368">
        <v>1014</v>
      </c>
      <c r="C1368">
        <v>6</v>
      </c>
      <c r="D1368">
        <v>16255</v>
      </c>
      <c r="E1368" t="s">
        <v>10</v>
      </c>
      <c r="F1368">
        <v>24</v>
      </c>
      <c r="G1368" s="2">
        <v>19.809999999999999</v>
      </c>
      <c r="H1368" s="2">
        <v>0</v>
      </c>
      <c r="I1368" s="2">
        <v>0.31</v>
      </c>
      <c r="J1368" s="2">
        <v>20.12</v>
      </c>
      <c r="K1368" s="5">
        <f>nantucket[[#This Row],[MW Factor]]-resources!$B$14</f>
        <v>-33</v>
      </c>
    </row>
    <row r="1369" spans="1:11" x14ac:dyDescent="0.3">
      <c r="A1369" t="s">
        <v>52</v>
      </c>
      <c r="B1369">
        <v>1015</v>
      </c>
      <c r="C1369">
        <v>7</v>
      </c>
      <c r="D1369">
        <v>16255</v>
      </c>
      <c r="E1369" t="s">
        <v>10</v>
      </c>
      <c r="F1369">
        <v>24</v>
      </c>
      <c r="G1369" s="2">
        <v>20.059999999999999</v>
      </c>
      <c r="H1369" s="2">
        <v>0</v>
      </c>
      <c r="I1369" s="2">
        <v>0.31</v>
      </c>
      <c r="J1369" s="2">
        <v>20.37</v>
      </c>
      <c r="K1369" s="5">
        <f>nantucket[[#This Row],[MW Factor]]-resources!$B$14</f>
        <v>-33</v>
      </c>
    </row>
    <row r="1370" spans="1:11" x14ac:dyDescent="0.3">
      <c r="A1370" t="s">
        <v>53</v>
      </c>
      <c r="B1370">
        <v>1037</v>
      </c>
      <c r="C1370">
        <v>5</v>
      </c>
      <c r="D1370">
        <v>16255</v>
      </c>
      <c r="E1370" t="s">
        <v>10</v>
      </c>
      <c r="F1370">
        <v>24</v>
      </c>
      <c r="G1370" s="2">
        <v>22.01</v>
      </c>
      <c r="H1370" s="2">
        <v>0</v>
      </c>
      <c r="I1370" s="2">
        <v>0.32</v>
      </c>
      <c r="J1370" s="2">
        <v>22.33</v>
      </c>
      <c r="K1370" s="5">
        <f>nantucket[[#This Row],[MW Factor]]-resources!$B$14</f>
        <v>-33</v>
      </c>
    </row>
    <row r="1371" spans="1:11" x14ac:dyDescent="0.3">
      <c r="A1371" t="s">
        <v>53</v>
      </c>
      <c r="B1371">
        <v>1038</v>
      </c>
      <c r="C1371">
        <v>6</v>
      </c>
      <c r="D1371">
        <v>16255</v>
      </c>
      <c r="E1371" t="s">
        <v>10</v>
      </c>
      <c r="F1371">
        <v>24</v>
      </c>
      <c r="G1371" s="2">
        <v>22.87</v>
      </c>
      <c r="H1371" s="2">
        <v>0</v>
      </c>
      <c r="I1371" s="2">
        <v>0.34</v>
      </c>
      <c r="J1371" s="2">
        <v>23.21</v>
      </c>
      <c r="K1371" s="5">
        <f>nantucket[[#This Row],[MW Factor]]-resources!$B$14</f>
        <v>-33</v>
      </c>
    </row>
    <row r="1372" spans="1:11" x14ac:dyDescent="0.3">
      <c r="A1372" t="s">
        <v>53</v>
      </c>
      <c r="B1372">
        <v>1039</v>
      </c>
      <c r="C1372">
        <v>7</v>
      </c>
      <c r="D1372">
        <v>16255</v>
      </c>
      <c r="E1372" t="s">
        <v>10</v>
      </c>
      <c r="F1372">
        <v>24</v>
      </c>
      <c r="G1372" s="2">
        <v>22.6</v>
      </c>
      <c r="H1372" s="2">
        <v>0</v>
      </c>
      <c r="I1372" s="2">
        <v>0.35</v>
      </c>
      <c r="J1372" s="2">
        <v>22.95</v>
      </c>
      <c r="K1372" s="5">
        <f>nantucket[[#This Row],[MW Factor]]-resources!$B$14</f>
        <v>-33</v>
      </c>
    </row>
    <row r="1373" spans="1:11" x14ac:dyDescent="0.3">
      <c r="A1373" t="s">
        <v>54</v>
      </c>
      <c r="B1373">
        <v>1060</v>
      </c>
      <c r="C1373">
        <v>4</v>
      </c>
      <c r="D1373">
        <v>16255</v>
      </c>
      <c r="E1373" t="s">
        <v>10</v>
      </c>
      <c r="F1373">
        <v>24</v>
      </c>
      <c r="G1373" s="2">
        <v>27.59</v>
      </c>
      <c r="H1373" s="2">
        <v>0</v>
      </c>
      <c r="I1373" s="2">
        <v>0.41</v>
      </c>
      <c r="J1373" s="2">
        <v>28</v>
      </c>
      <c r="K1373" s="5">
        <f>nantucket[[#This Row],[MW Factor]]-resources!$B$14</f>
        <v>-33</v>
      </c>
    </row>
    <row r="1374" spans="1:11" x14ac:dyDescent="0.3">
      <c r="A1374" t="s">
        <v>54</v>
      </c>
      <c r="B1374">
        <v>1061</v>
      </c>
      <c r="C1374">
        <v>5</v>
      </c>
      <c r="D1374">
        <v>16255</v>
      </c>
      <c r="E1374" t="s">
        <v>10</v>
      </c>
      <c r="F1374">
        <v>24</v>
      </c>
      <c r="G1374" s="2">
        <v>28.14</v>
      </c>
      <c r="H1374" s="2">
        <v>0</v>
      </c>
      <c r="I1374" s="2">
        <v>0.41</v>
      </c>
      <c r="J1374" s="2">
        <v>28.55</v>
      </c>
      <c r="K1374" s="5">
        <f>nantucket[[#This Row],[MW Factor]]-resources!$B$14</f>
        <v>-33</v>
      </c>
    </row>
    <row r="1375" spans="1:11" x14ac:dyDescent="0.3">
      <c r="A1375" t="s">
        <v>54</v>
      </c>
      <c r="B1375">
        <v>1063</v>
      </c>
      <c r="C1375">
        <v>7</v>
      </c>
      <c r="D1375">
        <v>16255</v>
      </c>
      <c r="E1375" t="s">
        <v>10</v>
      </c>
      <c r="F1375">
        <v>24</v>
      </c>
      <c r="G1375" s="2">
        <v>25.9</v>
      </c>
      <c r="H1375" s="2">
        <v>0</v>
      </c>
      <c r="I1375" s="2">
        <v>0.4</v>
      </c>
      <c r="J1375" s="2">
        <v>26.3</v>
      </c>
      <c r="K1375" s="5">
        <f>nantucket[[#This Row],[MW Factor]]-resources!$B$14</f>
        <v>-33</v>
      </c>
    </row>
    <row r="1376" spans="1:11" x14ac:dyDescent="0.3">
      <c r="A1376" t="s">
        <v>55</v>
      </c>
      <c r="B1376">
        <v>1084</v>
      </c>
      <c r="C1376">
        <v>4</v>
      </c>
      <c r="D1376">
        <v>16255</v>
      </c>
      <c r="E1376" t="s">
        <v>10</v>
      </c>
      <c r="F1376">
        <v>24</v>
      </c>
      <c r="G1376" s="2">
        <v>29.31</v>
      </c>
      <c r="H1376" s="2">
        <v>0</v>
      </c>
      <c r="I1376" s="2">
        <v>0.39</v>
      </c>
      <c r="J1376" s="2">
        <v>29.7</v>
      </c>
      <c r="K1376" s="5">
        <f>nantucket[[#This Row],[MW Factor]]-resources!$B$14</f>
        <v>-33</v>
      </c>
    </row>
    <row r="1377" spans="1:11" x14ac:dyDescent="0.3">
      <c r="A1377" t="s">
        <v>55</v>
      </c>
      <c r="B1377">
        <v>1087</v>
      </c>
      <c r="C1377">
        <v>7</v>
      </c>
      <c r="D1377">
        <v>16255</v>
      </c>
      <c r="E1377" t="s">
        <v>10</v>
      </c>
      <c r="F1377">
        <v>24</v>
      </c>
      <c r="G1377" s="2">
        <v>26.55</v>
      </c>
      <c r="H1377" s="2">
        <v>0</v>
      </c>
      <c r="I1377" s="2">
        <v>0.32</v>
      </c>
      <c r="J1377" s="2">
        <v>26.87</v>
      </c>
      <c r="K1377" s="5">
        <f>nantucket[[#This Row],[MW Factor]]-resources!$B$14</f>
        <v>-33</v>
      </c>
    </row>
    <row r="1378" spans="1:11" x14ac:dyDescent="0.3">
      <c r="A1378" t="s">
        <v>56</v>
      </c>
      <c r="B1378">
        <v>1108</v>
      </c>
      <c r="C1378">
        <v>4</v>
      </c>
      <c r="D1378">
        <v>16255</v>
      </c>
      <c r="E1378" t="s">
        <v>10</v>
      </c>
      <c r="F1378">
        <v>24</v>
      </c>
      <c r="G1378" s="2">
        <v>23.84</v>
      </c>
      <c r="H1378" s="2">
        <v>0</v>
      </c>
      <c r="I1378" s="2">
        <v>0.28000000000000003</v>
      </c>
      <c r="J1378" s="2">
        <v>24.12</v>
      </c>
      <c r="K1378" s="5">
        <f>nantucket[[#This Row],[MW Factor]]-resources!$B$14</f>
        <v>-33</v>
      </c>
    </row>
    <row r="1379" spans="1:11" x14ac:dyDescent="0.3">
      <c r="A1379" t="s">
        <v>57</v>
      </c>
      <c r="B1379">
        <v>1132</v>
      </c>
      <c r="C1379">
        <v>4</v>
      </c>
      <c r="D1379">
        <v>16255</v>
      </c>
      <c r="E1379" t="s">
        <v>10</v>
      </c>
      <c r="F1379">
        <v>24</v>
      </c>
      <c r="G1379" s="2">
        <v>23.89</v>
      </c>
      <c r="H1379" s="2">
        <v>0</v>
      </c>
      <c r="I1379" s="2">
        <v>0.26</v>
      </c>
      <c r="J1379" s="2">
        <v>24.15</v>
      </c>
      <c r="K1379" s="5">
        <f>nantucket[[#This Row],[MW Factor]]-resources!$B$14</f>
        <v>-33</v>
      </c>
    </row>
    <row r="1380" spans="1:11" x14ac:dyDescent="0.3">
      <c r="A1380" t="s">
        <v>58</v>
      </c>
      <c r="B1380">
        <v>1155</v>
      </c>
      <c r="C1380">
        <v>3</v>
      </c>
      <c r="D1380">
        <v>16255</v>
      </c>
      <c r="E1380" t="s">
        <v>10</v>
      </c>
      <c r="F1380">
        <v>24</v>
      </c>
      <c r="G1380" s="2">
        <v>21.29</v>
      </c>
      <c r="H1380" s="2">
        <v>0</v>
      </c>
      <c r="I1380" s="2">
        <v>0.38</v>
      </c>
      <c r="J1380" s="2">
        <v>21.67</v>
      </c>
      <c r="K1380" s="5">
        <f>nantucket[[#This Row],[MW Factor]]-resources!$B$14</f>
        <v>-33</v>
      </c>
    </row>
    <row r="1381" spans="1:11" x14ac:dyDescent="0.3">
      <c r="A1381" t="s">
        <v>59</v>
      </c>
      <c r="B1381">
        <v>1181</v>
      </c>
      <c r="C1381">
        <v>5</v>
      </c>
      <c r="D1381">
        <v>16255</v>
      </c>
      <c r="E1381" t="s">
        <v>10</v>
      </c>
      <c r="F1381">
        <v>24</v>
      </c>
      <c r="G1381" s="2">
        <v>20.72</v>
      </c>
      <c r="H1381" s="2">
        <v>0</v>
      </c>
      <c r="I1381" s="2">
        <v>0.32</v>
      </c>
      <c r="J1381" s="2">
        <v>21.04</v>
      </c>
      <c r="K1381" s="5">
        <f>nantucket[[#This Row],[MW Factor]]-resources!$B$14</f>
        <v>-33</v>
      </c>
    </row>
    <row r="1382" spans="1:11" x14ac:dyDescent="0.3">
      <c r="A1382" t="s">
        <v>59</v>
      </c>
      <c r="B1382">
        <v>1182</v>
      </c>
      <c r="C1382">
        <v>6</v>
      </c>
      <c r="D1382">
        <v>16255</v>
      </c>
      <c r="E1382" t="s">
        <v>10</v>
      </c>
      <c r="F1382">
        <v>24</v>
      </c>
      <c r="G1382" s="2">
        <v>21.21</v>
      </c>
      <c r="H1382" s="2">
        <v>0</v>
      </c>
      <c r="I1382" s="2">
        <v>0.32</v>
      </c>
      <c r="J1382" s="2">
        <v>21.53</v>
      </c>
      <c r="K1382" s="5">
        <f>nantucket[[#This Row],[MW Factor]]-resources!$B$14</f>
        <v>-33</v>
      </c>
    </row>
    <row r="1383" spans="1:11" x14ac:dyDescent="0.3">
      <c r="A1383" t="s">
        <v>59</v>
      </c>
      <c r="B1383">
        <v>1183</v>
      </c>
      <c r="C1383">
        <v>7</v>
      </c>
      <c r="D1383">
        <v>16255</v>
      </c>
      <c r="E1383" t="s">
        <v>10</v>
      </c>
      <c r="F1383">
        <v>24</v>
      </c>
      <c r="G1383" s="2">
        <v>24.78</v>
      </c>
      <c r="H1383" s="2">
        <v>0</v>
      </c>
      <c r="I1383" s="2">
        <v>0.31</v>
      </c>
      <c r="J1383" s="2">
        <v>25.09</v>
      </c>
      <c r="K1383" s="5">
        <f>nantucket[[#This Row],[MW Factor]]-resources!$B$14</f>
        <v>-33</v>
      </c>
    </row>
    <row r="1384" spans="1:11" x14ac:dyDescent="0.3">
      <c r="A1384" t="s">
        <v>61</v>
      </c>
      <c r="B1384">
        <v>1226</v>
      </c>
      <c r="C1384">
        <v>2</v>
      </c>
      <c r="D1384">
        <v>16255</v>
      </c>
      <c r="E1384" t="s">
        <v>10</v>
      </c>
      <c r="F1384">
        <v>24</v>
      </c>
      <c r="G1384" s="2">
        <v>20.99</v>
      </c>
      <c r="H1384" s="2">
        <v>0</v>
      </c>
      <c r="I1384" s="2">
        <v>0.38</v>
      </c>
      <c r="J1384" s="2">
        <v>21.37</v>
      </c>
      <c r="K1384" s="5">
        <f>nantucket[[#This Row],[MW Factor]]-resources!$B$14</f>
        <v>-33</v>
      </c>
    </row>
    <row r="1385" spans="1:11" x14ac:dyDescent="0.3">
      <c r="A1385" t="s">
        <v>61</v>
      </c>
      <c r="B1385">
        <v>1232</v>
      </c>
      <c r="C1385">
        <v>8</v>
      </c>
      <c r="D1385">
        <v>16255</v>
      </c>
      <c r="E1385" t="s">
        <v>10</v>
      </c>
      <c r="F1385">
        <v>24</v>
      </c>
      <c r="G1385" s="2">
        <v>22.76</v>
      </c>
      <c r="H1385" s="2">
        <v>0</v>
      </c>
      <c r="I1385" s="2">
        <v>0.43</v>
      </c>
      <c r="J1385" s="2">
        <v>23.19</v>
      </c>
      <c r="K1385" s="5">
        <f>nantucket[[#This Row],[MW Factor]]-resources!$B$14</f>
        <v>-33</v>
      </c>
    </row>
    <row r="1386" spans="1:11" x14ac:dyDescent="0.3">
      <c r="A1386" t="s">
        <v>62</v>
      </c>
      <c r="B1386">
        <v>1256</v>
      </c>
      <c r="C1386">
        <v>8</v>
      </c>
      <c r="D1386">
        <v>16255</v>
      </c>
      <c r="E1386" t="s">
        <v>10</v>
      </c>
      <c r="F1386">
        <v>24</v>
      </c>
      <c r="G1386" s="2">
        <v>35.31</v>
      </c>
      <c r="H1386" s="2">
        <v>0</v>
      </c>
      <c r="I1386" s="2">
        <v>0.67</v>
      </c>
      <c r="J1386" s="2">
        <v>35.979999999999997</v>
      </c>
      <c r="K1386" s="5">
        <f>nantucket[[#This Row],[MW Factor]]-resources!$B$14</f>
        <v>-33</v>
      </c>
    </row>
    <row r="1387" spans="1:11" x14ac:dyDescent="0.3">
      <c r="A1387" t="s">
        <v>63</v>
      </c>
      <c r="B1387">
        <v>1274</v>
      </c>
      <c r="C1387">
        <v>2</v>
      </c>
      <c r="D1387">
        <v>16255</v>
      </c>
      <c r="E1387" t="s">
        <v>10</v>
      </c>
      <c r="F1387">
        <v>24</v>
      </c>
      <c r="G1387" s="2">
        <v>21.02</v>
      </c>
      <c r="H1387" s="2">
        <v>0</v>
      </c>
      <c r="I1387" s="2">
        <v>0.44</v>
      </c>
      <c r="J1387" s="2">
        <v>21.46</v>
      </c>
      <c r="K1387" s="5">
        <f>nantucket[[#This Row],[MW Factor]]-resources!$B$14</f>
        <v>-33</v>
      </c>
    </row>
    <row r="1388" spans="1:11" x14ac:dyDescent="0.3">
      <c r="A1388" t="s">
        <v>64</v>
      </c>
      <c r="B1388">
        <v>1299</v>
      </c>
      <c r="C1388">
        <v>3</v>
      </c>
      <c r="D1388">
        <v>16255</v>
      </c>
      <c r="E1388" t="s">
        <v>10</v>
      </c>
      <c r="F1388">
        <v>24</v>
      </c>
      <c r="G1388" s="2">
        <v>22.88</v>
      </c>
      <c r="H1388" s="2">
        <v>0</v>
      </c>
      <c r="I1388" s="2">
        <v>0.4</v>
      </c>
      <c r="J1388" s="2">
        <v>23.28</v>
      </c>
      <c r="K1388" s="5">
        <f>nantucket[[#This Row],[MW Factor]]-resources!$B$14</f>
        <v>-33</v>
      </c>
    </row>
    <row r="1389" spans="1:11" x14ac:dyDescent="0.3">
      <c r="A1389" t="s">
        <v>64</v>
      </c>
      <c r="B1389">
        <v>1304</v>
      </c>
      <c r="C1389">
        <v>8</v>
      </c>
      <c r="D1389">
        <v>16255</v>
      </c>
      <c r="E1389" t="s">
        <v>10</v>
      </c>
      <c r="F1389">
        <v>24</v>
      </c>
      <c r="G1389" s="2">
        <v>22.06</v>
      </c>
      <c r="H1389" s="2">
        <v>0</v>
      </c>
      <c r="I1389" s="2">
        <v>0.47</v>
      </c>
      <c r="J1389" s="2">
        <v>22.53</v>
      </c>
      <c r="K1389" s="5">
        <f>nantucket[[#This Row],[MW Factor]]-resources!$B$14</f>
        <v>-33</v>
      </c>
    </row>
    <row r="1390" spans="1:11" x14ac:dyDescent="0.3">
      <c r="A1390" t="s">
        <v>65</v>
      </c>
      <c r="B1390">
        <v>1324</v>
      </c>
      <c r="C1390">
        <v>4</v>
      </c>
      <c r="D1390">
        <v>16255</v>
      </c>
      <c r="E1390" t="s">
        <v>10</v>
      </c>
      <c r="F1390">
        <v>24</v>
      </c>
      <c r="G1390" s="2">
        <v>24.01</v>
      </c>
      <c r="H1390" s="2">
        <v>0</v>
      </c>
      <c r="I1390" s="2">
        <v>0.36</v>
      </c>
      <c r="J1390" s="2">
        <v>24.37</v>
      </c>
      <c r="K1390" s="5">
        <f>nantucket[[#This Row],[MW Factor]]-resources!$B$14</f>
        <v>-33</v>
      </c>
    </row>
    <row r="1391" spans="1:11" x14ac:dyDescent="0.3">
      <c r="A1391" t="s">
        <v>65</v>
      </c>
      <c r="B1391">
        <v>1325</v>
      </c>
      <c r="C1391">
        <v>5</v>
      </c>
      <c r="D1391">
        <v>16255</v>
      </c>
      <c r="E1391" t="s">
        <v>10</v>
      </c>
      <c r="F1391">
        <v>24</v>
      </c>
      <c r="G1391" s="2">
        <v>23.33</v>
      </c>
      <c r="H1391" s="2">
        <v>0</v>
      </c>
      <c r="I1391" s="2">
        <v>0.34</v>
      </c>
      <c r="J1391" s="2">
        <v>23.67</v>
      </c>
      <c r="K1391" s="5">
        <f>nantucket[[#This Row],[MW Factor]]-resources!$B$14</f>
        <v>-33</v>
      </c>
    </row>
    <row r="1392" spans="1:11" x14ac:dyDescent="0.3">
      <c r="A1392" t="s">
        <v>66</v>
      </c>
      <c r="B1392">
        <v>1350</v>
      </c>
      <c r="C1392">
        <v>6</v>
      </c>
      <c r="D1392">
        <v>16255</v>
      </c>
      <c r="E1392" t="s">
        <v>10</v>
      </c>
      <c r="F1392">
        <v>24</v>
      </c>
      <c r="G1392" s="2">
        <v>25.61</v>
      </c>
      <c r="H1392" s="2">
        <v>0.03</v>
      </c>
      <c r="I1392" s="2">
        <v>0.34</v>
      </c>
      <c r="J1392" s="2">
        <v>25.98</v>
      </c>
      <c r="K1392" s="5">
        <f>nantucket[[#This Row],[MW Factor]]-resources!$B$14</f>
        <v>-33</v>
      </c>
    </row>
    <row r="1393" spans="1:11" x14ac:dyDescent="0.3">
      <c r="A1393" t="s">
        <v>67</v>
      </c>
      <c r="B1393">
        <v>1376</v>
      </c>
      <c r="C1393">
        <v>8</v>
      </c>
      <c r="D1393">
        <v>16255</v>
      </c>
      <c r="E1393" t="s">
        <v>10</v>
      </c>
      <c r="F1393">
        <v>24</v>
      </c>
      <c r="G1393" s="2">
        <v>27.02</v>
      </c>
      <c r="H1393" s="2">
        <v>0.03</v>
      </c>
      <c r="I1393" s="2">
        <v>0.31</v>
      </c>
      <c r="J1393" s="2">
        <v>27.36</v>
      </c>
      <c r="K1393" s="5">
        <f>nantucket[[#This Row],[MW Factor]]-resources!$B$14</f>
        <v>-33</v>
      </c>
    </row>
    <row r="1394" spans="1:11" x14ac:dyDescent="0.3">
      <c r="A1394" t="s">
        <v>68</v>
      </c>
      <c r="B1394">
        <v>1397</v>
      </c>
      <c r="C1394">
        <v>5</v>
      </c>
      <c r="D1394">
        <v>16255</v>
      </c>
      <c r="E1394" t="s">
        <v>10</v>
      </c>
      <c r="F1394">
        <v>24</v>
      </c>
      <c r="G1394" s="2">
        <v>23.8</v>
      </c>
      <c r="H1394" s="2">
        <v>0</v>
      </c>
      <c r="I1394" s="2">
        <v>0.32</v>
      </c>
      <c r="J1394" s="2">
        <v>24.12</v>
      </c>
      <c r="K1394" s="5">
        <f>nantucket[[#This Row],[MW Factor]]-resources!$B$14</f>
        <v>-33</v>
      </c>
    </row>
    <row r="1395" spans="1:11" x14ac:dyDescent="0.3">
      <c r="A1395" t="s">
        <v>68</v>
      </c>
      <c r="B1395">
        <v>1398</v>
      </c>
      <c r="C1395">
        <v>6</v>
      </c>
      <c r="D1395">
        <v>16255</v>
      </c>
      <c r="E1395" t="s">
        <v>10</v>
      </c>
      <c r="F1395">
        <v>24</v>
      </c>
      <c r="G1395" s="2">
        <v>24.26</v>
      </c>
      <c r="H1395" s="2">
        <v>0</v>
      </c>
      <c r="I1395" s="2">
        <v>0.35</v>
      </c>
      <c r="J1395" s="2">
        <v>24.61</v>
      </c>
      <c r="K1395" s="5">
        <f>nantucket[[#This Row],[MW Factor]]-resources!$B$14</f>
        <v>-33</v>
      </c>
    </row>
    <row r="1396" spans="1:11" x14ac:dyDescent="0.3">
      <c r="A1396" t="s">
        <v>68</v>
      </c>
      <c r="B1396">
        <v>1399</v>
      </c>
      <c r="C1396">
        <v>7</v>
      </c>
      <c r="D1396">
        <v>16255</v>
      </c>
      <c r="E1396" t="s">
        <v>10</v>
      </c>
      <c r="F1396">
        <v>24</v>
      </c>
      <c r="G1396" s="2">
        <v>26.39</v>
      </c>
      <c r="H1396" s="2">
        <v>0.01</v>
      </c>
      <c r="I1396" s="2">
        <v>0.43</v>
      </c>
      <c r="J1396" s="2">
        <v>26.83</v>
      </c>
      <c r="K1396" s="5">
        <f>nantucket[[#This Row],[MW Factor]]-resources!$B$14</f>
        <v>-33</v>
      </c>
    </row>
    <row r="1397" spans="1:11" x14ac:dyDescent="0.3">
      <c r="A1397" t="s">
        <v>71</v>
      </c>
      <c r="B1397">
        <v>1466</v>
      </c>
      <c r="C1397">
        <v>2</v>
      </c>
      <c r="D1397">
        <v>16255</v>
      </c>
      <c r="E1397" t="s">
        <v>10</v>
      </c>
      <c r="F1397">
        <v>24</v>
      </c>
      <c r="G1397" s="2">
        <v>21.42</v>
      </c>
      <c r="H1397" s="2">
        <v>0</v>
      </c>
      <c r="I1397" s="2">
        <v>0.47</v>
      </c>
      <c r="J1397" s="2">
        <v>21.89</v>
      </c>
      <c r="K1397" s="5">
        <f>nantucket[[#This Row],[MW Factor]]-resources!$B$14</f>
        <v>-33</v>
      </c>
    </row>
    <row r="1398" spans="1:11" x14ac:dyDescent="0.3">
      <c r="A1398" t="s">
        <v>71</v>
      </c>
      <c r="B1398">
        <v>1472</v>
      </c>
      <c r="C1398">
        <v>8</v>
      </c>
      <c r="D1398">
        <v>16255</v>
      </c>
      <c r="E1398" t="s">
        <v>10</v>
      </c>
      <c r="F1398">
        <v>24</v>
      </c>
      <c r="G1398" s="2">
        <v>21.34</v>
      </c>
      <c r="H1398" s="2">
        <v>0</v>
      </c>
      <c r="I1398" s="2">
        <v>0.45</v>
      </c>
      <c r="J1398" s="2">
        <v>21.79</v>
      </c>
      <c r="K1398" s="5">
        <f>nantucket[[#This Row],[MW Factor]]-resources!$B$14</f>
        <v>-33</v>
      </c>
    </row>
    <row r="1399" spans="1:11" x14ac:dyDescent="0.3">
      <c r="A1399" t="s">
        <v>9</v>
      </c>
      <c r="B1399">
        <v>5</v>
      </c>
      <c r="C1399">
        <v>5</v>
      </c>
      <c r="D1399">
        <v>16255</v>
      </c>
      <c r="E1399" t="s">
        <v>10</v>
      </c>
      <c r="F1399">
        <v>23</v>
      </c>
      <c r="G1399" s="2">
        <v>24.01</v>
      </c>
      <c r="H1399" s="2">
        <v>0</v>
      </c>
      <c r="I1399" s="2">
        <v>0.5</v>
      </c>
      <c r="J1399" s="2">
        <v>24.51</v>
      </c>
      <c r="K1399" s="5">
        <f>nantucket[[#This Row],[MW Factor]]-resources!$B$14</f>
        <v>-34</v>
      </c>
    </row>
    <row r="1400" spans="1:11" x14ac:dyDescent="0.3">
      <c r="A1400" t="s">
        <v>9</v>
      </c>
      <c r="B1400">
        <v>6</v>
      </c>
      <c r="C1400">
        <v>6</v>
      </c>
      <c r="D1400">
        <v>16255</v>
      </c>
      <c r="E1400" t="s">
        <v>10</v>
      </c>
      <c r="F1400">
        <v>23</v>
      </c>
      <c r="G1400" s="2">
        <v>22.48</v>
      </c>
      <c r="H1400" s="2">
        <v>0</v>
      </c>
      <c r="I1400" s="2">
        <v>0.46</v>
      </c>
      <c r="J1400" s="2">
        <v>22.94</v>
      </c>
      <c r="K1400" s="5">
        <f>nantucket[[#This Row],[MW Factor]]-resources!$B$14</f>
        <v>-34</v>
      </c>
    </row>
    <row r="1401" spans="1:11" x14ac:dyDescent="0.3">
      <c r="A1401" t="s">
        <v>9</v>
      </c>
      <c r="B1401">
        <v>7</v>
      </c>
      <c r="C1401">
        <v>7</v>
      </c>
      <c r="D1401">
        <v>16255</v>
      </c>
      <c r="E1401" t="s">
        <v>10</v>
      </c>
      <c r="F1401">
        <v>23</v>
      </c>
      <c r="G1401" s="2">
        <v>22.77</v>
      </c>
      <c r="H1401" s="2">
        <v>0</v>
      </c>
      <c r="I1401" s="2">
        <v>0.48</v>
      </c>
      <c r="J1401" s="2">
        <v>23.25</v>
      </c>
      <c r="K1401" s="5">
        <f>nantucket[[#This Row],[MW Factor]]-resources!$B$14</f>
        <v>-34</v>
      </c>
    </row>
    <row r="1402" spans="1:11" x14ac:dyDescent="0.3">
      <c r="A1402" t="s">
        <v>11</v>
      </c>
      <c r="B1402">
        <v>27</v>
      </c>
      <c r="C1402">
        <v>3</v>
      </c>
      <c r="D1402">
        <v>16255</v>
      </c>
      <c r="E1402" t="s">
        <v>10</v>
      </c>
      <c r="F1402">
        <v>23</v>
      </c>
      <c r="G1402" s="2">
        <v>22.28</v>
      </c>
      <c r="H1402" s="2">
        <v>0</v>
      </c>
      <c r="I1402" s="2">
        <v>0.41</v>
      </c>
      <c r="J1402" s="2">
        <v>22.69</v>
      </c>
      <c r="K1402" s="5">
        <f>nantucket[[#This Row],[MW Factor]]-resources!$B$14</f>
        <v>-34</v>
      </c>
    </row>
    <row r="1403" spans="1:11" x14ac:dyDescent="0.3">
      <c r="A1403" t="s">
        <v>11</v>
      </c>
      <c r="B1403">
        <v>31</v>
      </c>
      <c r="C1403">
        <v>7</v>
      </c>
      <c r="D1403">
        <v>16255</v>
      </c>
      <c r="E1403" t="s">
        <v>10</v>
      </c>
      <c r="F1403">
        <v>23</v>
      </c>
      <c r="G1403" s="2">
        <v>24.58</v>
      </c>
      <c r="H1403" s="2">
        <v>0</v>
      </c>
      <c r="I1403" s="2">
        <v>0.39</v>
      </c>
      <c r="J1403" s="2">
        <v>24.97</v>
      </c>
      <c r="K1403" s="5">
        <f>nantucket[[#This Row],[MW Factor]]-resources!$B$14</f>
        <v>-34</v>
      </c>
    </row>
    <row r="1404" spans="1:11" x14ac:dyDescent="0.3">
      <c r="A1404" t="s">
        <v>12</v>
      </c>
      <c r="B1404">
        <v>51</v>
      </c>
      <c r="C1404">
        <v>3</v>
      </c>
      <c r="D1404">
        <v>16255</v>
      </c>
      <c r="E1404" t="s">
        <v>10</v>
      </c>
      <c r="F1404">
        <v>23</v>
      </c>
      <c r="G1404" s="2">
        <v>21.23</v>
      </c>
      <c r="H1404" s="2">
        <v>0</v>
      </c>
      <c r="I1404" s="2">
        <v>0.37</v>
      </c>
      <c r="J1404" s="2">
        <v>21.6</v>
      </c>
      <c r="K1404" s="5">
        <f>nantucket[[#This Row],[MW Factor]]-resources!$B$14</f>
        <v>-34</v>
      </c>
    </row>
    <row r="1405" spans="1:11" x14ac:dyDescent="0.3">
      <c r="A1405" t="s">
        <v>13</v>
      </c>
      <c r="B1405">
        <v>76</v>
      </c>
      <c r="C1405">
        <v>4</v>
      </c>
      <c r="D1405">
        <v>16255</v>
      </c>
      <c r="E1405" t="s">
        <v>10</v>
      </c>
      <c r="F1405">
        <v>23</v>
      </c>
      <c r="G1405" s="2">
        <v>21.81</v>
      </c>
      <c r="H1405" s="2">
        <v>0</v>
      </c>
      <c r="I1405" s="2">
        <v>0.39</v>
      </c>
      <c r="J1405" s="2">
        <v>22.2</v>
      </c>
      <c r="K1405" s="5">
        <f>nantucket[[#This Row],[MW Factor]]-resources!$B$14</f>
        <v>-34</v>
      </c>
    </row>
    <row r="1406" spans="1:11" x14ac:dyDescent="0.3">
      <c r="A1406" t="s">
        <v>13</v>
      </c>
      <c r="B1406">
        <v>77</v>
      </c>
      <c r="C1406">
        <v>5</v>
      </c>
      <c r="D1406">
        <v>16255</v>
      </c>
      <c r="E1406" t="s">
        <v>10</v>
      </c>
      <c r="F1406">
        <v>23</v>
      </c>
      <c r="G1406" s="2">
        <v>23.52</v>
      </c>
      <c r="H1406" s="2">
        <v>0</v>
      </c>
      <c r="I1406" s="2">
        <v>0.39</v>
      </c>
      <c r="J1406" s="2">
        <v>23.91</v>
      </c>
      <c r="K1406" s="5">
        <f>nantucket[[#This Row],[MW Factor]]-resources!$B$14</f>
        <v>-34</v>
      </c>
    </row>
    <row r="1407" spans="1:11" x14ac:dyDescent="0.3">
      <c r="A1407" t="s">
        <v>33</v>
      </c>
      <c r="B1407">
        <v>558</v>
      </c>
      <c r="C1407">
        <v>6</v>
      </c>
      <c r="D1407">
        <v>16255</v>
      </c>
      <c r="E1407" t="s">
        <v>10</v>
      </c>
      <c r="F1407">
        <v>23</v>
      </c>
      <c r="G1407" s="2">
        <v>35.71</v>
      </c>
      <c r="H1407" s="2">
        <v>0</v>
      </c>
      <c r="I1407" s="2">
        <v>0.02</v>
      </c>
      <c r="J1407" s="2">
        <v>35.729999999999997</v>
      </c>
      <c r="K1407" s="5">
        <f>nantucket[[#This Row],[MW Factor]]-resources!$B$14</f>
        <v>-34</v>
      </c>
    </row>
    <row r="1408" spans="1:11" x14ac:dyDescent="0.3">
      <c r="A1408" t="s">
        <v>33</v>
      </c>
      <c r="B1408">
        <v>559</v>
      </c>
      <c r="C1408">
        <v>7</v>
      </c>
      <c r="D1408">
        <v>16255</v>
      </c>
      <c r="E1408" t="s">
        <v>10</v>
      </c>
      <c r="F1408">
        <v>23</v>
      </c>
      <c r="G1408" s="2">
        <v>31.43</v>
      </c>
      <c r="H1408" s="2">
        <v>0</v>
      </c>
      <c r="I1408" s="2">
        <v>0.06</v>
      </c>
      <c r="J1408" s="2">
        <v>31.49</v>
      </c>
      <c r="K1408" s="5">
        <f>nantucket[[#This Row],[MW Factor]]-resources!$B$14</f>
        <v>-34</v>
      </c>
    </row>
    <row r="1409" spans="1:11" x14ac:dyDescent="0.3">
      <c r="A1409" t="s">
        <v>34</v>
      </c>
      <c r="B1409">
        <v>580</v>
      </c>
      <c r="C1409">
        <v>4</v>
      </c>
      <c r="D1409">
        <v>16255</v>
      </c>
      <c r="E1409" t="s">
        <v>10</v>
      </c>
      <c r="F1409">
        <v>23</v>
      </c>
      <c r="G1409" s="2">
        <v>24.39</v>
      </c>
      <c r="H1409" s="2">
        <v>0</v>
      </c>
      <c r="I1409" s="2">
        <v>0.17</v>
      </c>
      <c r="J1409" s="2">
        <v>24.56</v>
      </c>
      <c r="K1409" s="5">
        <f>nantucket[[#This Row],[MW Factor]]-resources!$B$14</f>
        <v>-34</v>
      </c>
    </row>
    <row r="1410" spans="1:11" x14ac:dyDescent="0.3">
      <c r="A1410" t="s">
        <v>34</v>
      </c>
      <c r="B1410">
        <v>581</v>
      </c>
      <c r="C1410">
        <v>5</v>
      </c>
      <c r="D1410">
        <v>16255</v>
      </c>
      <c r="E1410" t="s">
        <v>10</v>
      </c>
      <c r="F1410">
        <v>23</v>
      </c>
      <c r="G1410" s="2">
        <v>25.31</v>
      </c>
      <c r="H1410" s="2">
        <v>0</v>
      </c>
      <c r="I1410" s="2">
        <v>0.16</v>
      </c>
      <c r="J1410" s="2">
        <v>25.47</v>
      </c>
      <c r="K1410" s="5">
        <f>nantucket[[#This Row],[MW Factor]]-resources!$B$14</f>
        <v>-34</v>
      </c>
    </row>
    <row r="1411" spans="1:11" x14ac:dyDescent="0.3">
      <c r="A1411" t="s">
        <v>34</v>
      </c>
      <c r="B1411">
        <v>582</v>
      </c>
      <c r="C1411">
        <v>6</v>
      </c>
      <c r="D1411">
        <v>16255</v>
      </c>
      <c r="E1411" t="s">
        <v>10</v>
      </c>
      <c r="F1411">
        <v>23</v>
      </c>
      <c r="G1411" s="2">
        <v>31.85</v>
      </c>
      <c r="H1411" s="2">
        <v>0</v>
      </c>
      <c r="I1411" s="2">
        <v>0.16</v>
      </c>
      <c r="J1411" s="2">
        <v>32.01</v>
      </c>
      <c r="K1411" s="5">
        <f>nantucket[[#This Row],[MW Factor]]-resources!$B$14</f>
        <v>-34</v>
      </c>
    </row>
    <row r="1412" spans="1:11" x14ac:dyDescent="0.3">
      <c r="A1412" t="s">
        <v>37</v>
      </c>
      <c r="B1412">
        <v>654</v>
      </c>
      <c r="C1412">
        <v>6</v>
      </c>
      <c r="D1412">
        <v>16255</v>
      </c>
      <c r="E1412" t="s">
        <v>10</v>
      </c>
      <c r="F1412">
        <v>23</v>
      </c>
      <c r="G1412" s="2">
        <v>20.02</v>
      </c>
      <c r="H1412" s="2">
        <v>0</v>
      </c>
      <c r="I1412" s="2">
        <v>0.31</v>
      </c>
      <c r="J1412" s="2">
        <v>20.329999999999998</v>
      </c>
      <c r="K1412" s="5">
        <f>nantucket[[#This Row],[MW Factor]]-resources!$B$14</f>
        <v>-34</v>
      </c>
    </row>
    <row r="1413" spans="1:11" x14ac:dyDescent="0.3">
      <c r="A1413" t="s">
        <v>38</v>
      </c>
      <c r="B1413">
        <v>676</v>
      </c>
      <c r="C1413">
        <v>4</v>
      </c>
      <c r="D1413">
        <v>16255</v>
      </c>
      <c r="E1413" t="s">
        <v>10</v>
      </c>
      <c r="F1413">
        <v>23</v>
      </c>
      <c r="G1413" s="2">
        <v>27.62</v>
      </c>
      <c r="H1413" s="2">
        <v>0</v>
      </c>
      <c r="I1413" s="2">
        <v>0.28000000000000003</v>
      </c>
      <c r="J1413" s="2">
        <v>27.9</v>
      </c>
      <c r="K1413" s="5">
        <f>nantucket[[#This Row],[MW Factor]]-resources!$B$14</f>
        <v>-34</v>
      </c>
    </row>
    <row r="1414" spans="1:11" x14ac:dyDescent="0.3">
      <c r="A1414" t="s">
        <v>38</v>
      </c>
      <c r="B1414">
        <v>677</v>
      </c>
      <c r="C1414">
        <v>5</v>
      </c>
      <c r="D1414">
        <v>16255</v>
      </c>
      <c r="E1414" t="s">
        <v>10</v>
      </c>
      <c r="F1414">
        <v>23</v>
      </c>
      <c r="G1414" s="2">
        <v>28.73</v>
      </c>
      <c r="H1414" s="2">
        <v>0</v>
      </c>
      <c r="I1414" s="2">
        <v>0.3</v>
      </c>
      <c r="J1414" s="2">
        <v>29.03</v>
      </c>
      <c r="K1414" s="5">
        <f>nantucket[[#This Row],[MW Factor]]-resources!$B$14</f>
        <v>-34</v>
      </c>
    </row>
    <row r="1415" spans="1:11" x14ac:dyDescent="0.3">
      <c r="A1415" t="s">
        <v>38</v>
      </c>
      <c r="B1415">
        <v>679</v>
      </c>
      <c r="C1415">
        <v>7</v>
      </c>
      <c r="D1415">
        <v>16255</v>
      </c>
      <c r="E1415" t="s">
        <v>10</v>
      </c>
      <c r="F1415">
        <v>23</v>
      </c>
      <c r="G1415" s="2">
        <v>35</v>
      </c>
      <c r="H1415" s="2">
        <v>0</v>
      </c>
      <c r="I1415" s="2">
        <v>0.48</v>
      </c>
      <c r="J1415" s="2">
        <v>35.479999999999997</v>
      </c>
      <c r="K1415" s="5">
        <f>nantucket[[#This Row],[MW Factor]]-resources!$B$14</f>
        <v>-34</v>
      </c>
    </row>
    <row r="1416" spans="1:11" x14ac:dyDescent="0.3">
      <c r="A1416" t="s">
        <v>48</v>
      </c>
      <c r="B1416">
        <v>914</v>
      </c>
      <c r="C1416">
        <v>2</v>
      </c>
      <c r="D1416">
        <v>16255</v>
      </c>
      <c r="E1416" t="s">
        <v>10</v>
      </c>
      <c r="F1416">
        <v>23</v>
      </c>
      <c r="G1416" s="2">
        <v>29.12</v>
      </c>
      <c r="H1416" s="2">
        <v>0</v>
      </c>
      <c r="I1416" s="2">
        <v>0.48</v>
      </c>
      <c r="J1416" s="2">
        <v>29.6</v>
      </c>
      <c r="K1416" s="5">
        <f>nantucket[[#This Row],[MW Factor]]-resources!$B$14</f>
        <v>-34</v>
      </c>
    </row>
    <row r="1417" spans="1:11" x14ac:dyDescent="0.3">
      <c r="A1417" t="s">
        <v>49</v>
      </c>
      <c r="B1417">
        <v>940</v>
      </c>
      <c r="C1417">
        <v>4</v>
      </c>
      <c r="D1417">
        <v>16255</v>
      </c>
      <c r="E1417" t="s">
        <v>10</v>
      </c>
      <c r="F1417">
        <v>23</v>
      </c>
      <c r="G1417" s="2">
        <v>21.29</v>
      </c>
      <c r="H1417" s="2">
        <v>0</v>
      </c>
      <c r="I1417" s="2">
        <v>0.24</v>
      </c>
      <c r="J1417" s="2">
        <v>21.53</v>
      </c>
      <c r="K1417" s="5">
        <f>nantucket[[#This Row],[MW Factor]]-resources!$B$14</f>
        <v>-34</v>
      </c>
    </row>
    <row r="1418" spans="1:11" x14ac:dyDescent="0.3">
      <c r="A1418" t="s">
        <v>49</v>
      </c>
      <c r="B1418">
        <v>941</v>
      </c>
      <c r="C1418">
        <v>5</v>
      </c>
      <c r="D1418">
        <v>16255</v>
      </c>
      <c r="E1418" t="s">
        <v>10</v>
      </c>
      <c r="F1418">
        <v>23</v>
      </c>
      <c r="G1418" s="2">
        <v>21.43</v>
      </c>
      <c r="H1418" s="2">
        <v>0</v>
      </c>
      <c r="I1418" s="2">
        <v>0.23</v>
      </c>
      <c r="J1418" s="2">
        <v>21.66</v>
      </c>
      <c r="K1418" s="5">
        <f>nantucket[[#This Row],[MW Factor]]-resources!$B$14</f>
        <v>-34</v>
      </c>
    </row>
    <row r="1419" spans="1:11" x14ac:dyDescent="0.3">
      <c r="A1419" t="s">
        <v>54</v>
      </c>
      <c r="B1419">
        <v>1062</v>
      </c>
      <c r="C1419">
        <v>6</v>
      </c>
      <c r="D1419">
        <v>16255</v>
      </c>
      <c r="E1419" t="s">
        <v>10</v>
      </c>
      <c r="F1419">
        <v>23</v>
      </c>
      <c r="G1419" s="2">
        <v>27.08</v>
      </c>
      <c r="H1419" s="2">
        <v>0</v>
      </c>
      <c r="I1419" s="2">
        <v>0.39</v>
      </c>
      <c r="J1419" s="2">
        <v>27.47</v>
      </c>
      <c r="K1419" s="5">
        <f>nantucket[[#This Row],[MW Factor]]-resources!$B$14</f>
        <v>-34</v>
      </c>
    </row>
    <row r="1420" spans="1:11" x14ac:dyDescent="0.3">
      <c r="A1420" t="s">
        <v>55</v>
      </c>
      <c r="B1420">
        <v>1085</v>
      </c>
      <c r="C1420">
        <v>5</v>
      </c>
      <c r="D1420">
        <v>16255</v>
      </c>
      <c r="E1420" t="s">
        <v>10</v>
      </c>
      <c r="F1420">
        <v>23</v>
      </c>
      <c r="G1420" s="2">
        <v>28.81</v>
      </c>
      <c r="H1420" s="2">
        <v>0</v>
      </c>
      <c r="I1420" s="2">
        <v>0.37</v>
      </c>
      <c r="J1420" s="2">
        <v>29.18</v>
      </c>
      <c r="K1420" s="5">
        <f>nantucket[[#This Row],[MW Factor]]-resources!$B$14</f>
        <v>-34</v>
      </c>
    </row>
    <row r="1421" spans="1:11" x14ac:dyDescent="0.3">
      <c r="A1421" t="s">
        <v>55</v>
      </c>
      <c r="B1421">
        <v>1086</v>
      </c>
      <c r="C1421">
        <v>6</v>
      </c>
      <c r="D1421">
        <v>16255</v>
      </c>
      <c r="E1421" t="s">
        <v>10</v>
      </c>
      <c r="F1421">
        <v>23</v>
      </c>
      <c r="G1421" s="2">
        <v>38.97</v>
      </c>
      <c r="H1421" s="2">
        <v>0</v>
      </c>
      <c r="I1421" s="2">
        <v>0.5</v>
      </c>
      <c r="J1421" s="2">
        <v>39.47</v>
      </c>
      <c r="K1421" s="5">
        <f>nantucket[[#This Row],[MW Factor]]-resources!$B$14</f>
        <v>-34</v>
      </c>
    </row>
    <row r="1422" spans="1:11" x14ac:dyDescent="0.3">
      <c r="A1422" t="s">
        <v>56</v>
      </c>
      <c r="B1422">
        <v>1109</v>
      </c>
      <c r="C1422">
        <v>5</v>
      </c>
      <c r="D1422">
        <v>16255</v>
      </c>
      <c r="E1422" t="s">
        <v>10</v>
      </c>
      <c r="F1422">
        <v>23</v>
      </c>
      <c r="G1422" s="2">
        <v>23.98</v>
      </c>
      <c r="H1422" s="2">
        <v>0</v>
      </c>
      <c r="I1422" s="2">
        <v>0.28999999999999998</v>
      </c>
      <c r="J1422" s="2">
        <v>24.27</v>
      </c>
      <c r="K1422" s="5">
        <f>nantucket[[#This Row],[MW Factor]]-resources!$B$14</f>
        <v>-34</v>
      </c>
    </row>
    <row r="1423" spans="1:11" x14ac:dyDescent="0.3">
      <c r="A1423" t="s">
        <v>56</v>
      </c>
      <c r="B1423">
        <v>1110</v>
      </c>
      <c r="C1423">
        <v>6</v>
      </c>
      <c r="D1423">
        <v>16255</v>
      </c>
      <c r="E1423" t="s">
        <v>10</v>
      </c>
      <c r="F1423">
        <v>23</v>
      </c>
      <c r="G1423" s="2">
        <v>25.21</v>
      </c>
      <c r="H1423" s="2">
        <v>0</v>
      </c>
      <c r="I1423" s="2">
        <v>0.31</v>
      </c>
      <c r="J1423" s="2">
        <v>25.52</v>
      </c>
      <c r="K1423" s="5">
        <f>nantucket[[#This Row],[MW Factor]]-resources!$B$14</f>
        <v>-34</v>
      </c>
    </row>
    <row r="1424" spans="1:11" x14ac:dyDescent="0.3">
      <c r="A1424" t="s">
        <v>56</v>
      </c>
      <c r="B1424">
        <v>1111</v>
      </c>
      <c r="C1424">
        <v>7</v>
      </c>
      <c r="D1424">
        <v>16255</v>
      </c>
      <c r="E1424" t="s">
        <v>10</v>
      </c>
      <c r="F1424">
        <v>23</v>
      </c>
      <c r="G1424" s="2">
        <v>27.75</v>
      </c>
      <c r="H1424" s="2">
        <v>0</v>
      </c>
      <c r="I1424" s="2">
        <v>0.39</v>
      </c>
      <c r="J1424" s="2">
        <v>28.14</v>
      </c>
      <c r="K1424" s="5">
        <f>nantucket[[#This Row],[MW Factor]]-resources!$B$14</f>
        <v>-34</v>
      </c>
    </row>
    <row r="1425" spans="1:11" x14ac:dyDescent="0.3">
      <c r="A1425" t="s">
        <v>57</v>
      </c>
      <c r="B1425">
        <v>1133</v>
      </c>
      <c r="C1425">
        <v>5</v>
      </c>
      <c r="D1425">
        <v>16255</v>
      </c>
      <c r="E1425" t="s">
        <v>10</v>
      </c>
      <c r="F1425">
        <v>23</v>
      </c>
      <c r="G1425" s="2">
        <v>23.56</v>
      </c>
      <c r="H1425" s="2">
        <v>0</v>
      </c>
      <c r="I1425" s="2">
        <v>0.25</v>
      </c>
      <c r="J1425" s="2">
        <v>23.81</v>
      </c>
      <c r="K1425" s="5">
        <f>nantucket[[#This Row],[MW Factor]]-resources!$B$14</f>
        <v>-34</v>
      </c>
    </row>
    <row r="1426" spans="1:11" x14ac:dyDescent="0.3">
      <c r="A1426" t="s">
        <v>57</v>
      </c>
      <c r="B1426">
        <v>1134</v>
      </c>
      <c r="C1426">
        <v>6</v>
      </c>
      <c r="D1426">
        <v>16255</v>
      </c>
      <c r="E1426" t="s">
        <v>10</v>
      </c>
      <c r="F1426">
        <v>23</v>
      </c>
      <c r="G1426" s="2">
        <v>22.51</v>
      </c>
      <c r="H1426" s="2">
        <v>0</v>
      </c>
      <c r="I1426" s="2">
        <v>0.26</v>
      </c>
      <c r="J1426" s="2">
        <v>22.77</v>
      </c>
      <c r="K1426" s="5">
        <f>nantucket[[#This Row],[MW Factor]]-resources!$B$14</f>
        <v>-34</v>
      </c>
    </row>
    <row r="1427" spans="1:11" x14ac:dyDescent="0.3">
      <c r="A1427" t="s">
        <v>57</v>
      </c>
      <c r="B1427">
        <v>1135</v>
      </c>
      <c r="C1427">
        <v>7</v>
      </c>
      <c r="D1427">
        <v>16255</v>
      </c>
      <c r="E1427" t="s">
        <v>10</v>
      </c>
      <c r="F1427">
        <v>23</v>
      </c>
      <c r="G1427" s="2">
        <v>22.83</v>
      </c>
      <c r="H1427" s="2">
        <v>0</v>
      </c>
      <c r="I1427" s="2">
        <v>0.28000000000000003</v>
      </c>
      <c r="J1427" s="2">
        <v>23.11</v>
      </c>
      <c r="K1427" s="5">
        <f>nantucket[[#This Row],[MW Factor]]-resources!$B$14</f>
        <v>-34</v>
      </c>
    </row>
    <row r="1428" spans="1:11" x14ac:dyDescent="0.3">
      <c r="A1428" t="s">
        <v>58</v>
      </c>
      <c r="B1428">
        <v>1156</v>
      </c>
      <c r="C1428">
        <v>4</v>
      </c>
      <c r="D1428">
        <v>16255</v>
      </c>
      <c r="E1428" t="s">
        <v>10</v>
      </c>
      <c r="F1428">
        <v>23</v>
      </c>
      <c r="G1428" s="2">
        <v>20.36</v>
      </c>
      <c r="H1428" s="2">
        <v>0</v>
      </c>
      <c r="I1428" s="2">
        <v>0.34</v>
      </c>
      <c r="J1428" s="2">
        <v>20.7</v>
      </c>
      <c r="K1428" s="5">
        <f>nantucket[[#This Row],[MW Factor]]-resources!$B$14</f>
        <v>-34</v>
      </c>
    </row>
    <row r="1429" spans="1:11" x14ac:dyDescent="0.3">
      <c r="A1429" t="s">
        <v>58</v>
      </c>
      <c r="B1429">
        <v>1157</v>
      </c>
      <c r="C1429">
        <v>5</v>
      </c>
      <c r="D1429">
        <v>16255</v>
      </c>
      <c r="E1429" t="s">
        <v>10</v>
      </c>
      <c r="F1429">
        <v>23</v>
      </c>
      <c r="G1429" s="2">
        <v>21.18</v>
      </c>
      <c r="H1429" s="2">
        <v>0</v>
      </c>
      <c r="I1429" s="2">
        <v>0.34</v>
      </c>
      <c r="J1429" s="2">
        <v>21.52</v>
      </c>
      <c r="K1429" s="5">
        <f>nantucket[[#This Row],[MW Factor]]-resources!$B$14</f>
        <v>-34</v>
      </c>
    </row>
    <row r="1430" spans="1:11" x14ac:dyDescent="0.3">
      <c r="A1430" t="s">
        <v>58</v>
      </c>
      <c r="B1430">
        <v>1160</v>
      </c>
      <c r="C1430">
        <v>8</v>
      </c>
      <c r="D1430">
        <v>16255</v>
      </c>
      <c r="E1430" t="s">
        <v>10</v>
      </c>
      <c r="F1430">
        <v>23</v>
      </c>
      <c r="G1430" s="2">
        <v>22.67</v>
      </c>
      <c r="H1430" s="2">
        <v>0</v>
      </c>
      <c r="I1430" s="2">
        <v>0.39</v>
      </c>
      <c r="J1430" s="2">
        <v>23.06</v>
      </c>
      <c r="K1430" s="5">
        <f>nantucket[[#This Row],[MW Factor]]-resources!$B$14</f>
        <v>-34</v>
      </c>
    </row>
    <row r="1431" spans="1:11" x14ac:dyDescent="0.3">
      <c r="A1431" t="s">
        <v>61</v>
      </c>
      <c r="B1431">
        <v>1227</v>
      </c>
      <c r="C1431">
        <v>3</v>
      </c>
      <c r="D1431">
        <v>16255</v>
      </c>
      <c r="E1431" t="s">
        <v>10</v>
      </c>
      <c r="F1431">
        <v>23</v>
      </c>
      <c r="G1431" s="2">
        <v>21.12</v>
      </c>
      <c r="H1431" s="2">
        <v>0</v>
      </c>
      <c r="I1431" s="2">
        <v>0.38</v>
      </c>
      <c r="J1431" s="2">
        <v>21.5</v>
      </c>
      <c r="K1431" s="5">
        <f>nantucket[[#This Row],[MW Factor]]-resources!$B$14</f>
        <v>-34</v>
      </c>
    </row>
    <row r="1432" spans="1:11" x14ac:dyDescent="0.3">
      <c r="A1432" t="s">
        <v>62</v>
      </c>
      <c r="B1432">
        <v>1250</v>
      </c>
      <c r="C1432">
        <v>2</v>
      </c>
      <c r="D1432">
        <v>16255</v>
      </c>
      <c r="E1432" t="s">
        <v>10</v>
      </c>
      <c r="F1432">
        <v>23</v>
      </c>
      <c r="G1432" s="2">
        <v>23.45</v>
      </c>
      <c r="H1432" s="2">
        <v>0</v>
      </c>
      <c r="I1432" s="2">
        <v>0.4</v>
      </c>
      <c r="J1432" s="2">
        <v>23.85</v>
      </c>
      <c r="K1432" s="5">
        <f>nantucket[[#This Row],[MW Factor]]-resources!$B$14</f>
        <v>-34</v>
      </c>
    </row>
    <row r="1433" spans="1:11" x14ac:dyDescent="0.3">
      <c r="A1433" t="s">
        <v>63</v>
      </c>
      <c r="B1433">
        <v>1275</v>
      </c>
      <c r="C1433">
        <v>3</v>
      </c>
      <c r="D1433">
        <v>16255</v>
      </c>
      <c r="E1433" t="s">
        <v>10</v>
      </c>
      <c r="F1433">
        <v>23</v>
      </c>
      <c r="G1433" s="2">
        <v>20.61</v>
      </c>
      <c r="H1433" s="2">
        <v>0</v>
      </c>
      <c r="I1433" s="2">
        <v>0.45</v>
      </c>
      <c r="J1433" s="2">
        <v>21.06</v>
      </c>
      <c r="K1433" s="5">
        <f>nantucket[[#This Row],[MW Factor]]-resources!$B$14</f>
        <v>-34</v>
      </c>
    </row>
    <row r="1434" spans="1:11" x14ac:dyDescent="0.3">
      <c r="A1434" t="s">
        <v>64</v>
      </c>
      <c r="B1434">
        <v>1300</v>
      </c>
      <c r="C1434">
        <v>4</v>
      </c>
      <c r="D1434">
        <v>16255</v>
      </c>
      <c r="E1434" t="s">
        <v>10</v>
      </c>
      <c r="F1434">
        <v>23</v>
      </c>
      <c r="G1434" s="2">
        <v>22.03</v>
      </c>
      <c r="H1434" s="2">
        <v>0</v>
      </c>
      <c r="I1434" s="2">
        <v>0.38</v>
      </c>
      <c r="J1434" s="2">
        <v>22.41</v>
      </c>
      <c r="K1434" s="5">
        <f>nantucket[[#This Row],[MW Factor]]-resources!$B$14</f>
        <v>-34</v>
      </c>
    </row>
    <row r="1435" spans="1:11" x14ac:dyDescent="0.3">
      <c r="A1435" t="s">
        <v>65</v>
      </c>
      <c r="B1435">
        <v>1326</v>
      </c>
      <c r="C1435">
        <v>6</v>
      </c>
      <c r="D1435">
        <v>16255</v>
      </c>
      <c r="E1435" t="s">
        <v>10</v>
      </c>
      <c r="F1435">
        <v>23</v>
      </c>
      <c r="G1435" s="2">
        <v>23.04</v>
      </c>
      <c r="H1435" s="2">
        <v>0</v>
      </c>
      <c r="I1435" s="2">
        <v>0.33</v>
      </c>
      <c r="J1435" s="2">
        <v>23.37</v>
      </c>
      <c r="K1435" s="5">
        <f>nantucket[[#This Row],[MW Factor]]-resources!$B$14</f>
        <v>-34</v>
      </c>
    </row>
    <row r="1436" spans="1:11" x14ac:dyDescent="0.3">
      <c r="A1436" t="s">
        <v>65</v>
      </c>
      <c r="B1436">
        <v>1327</v>
      </c>
      <c r="C1436">
        <v>7</v>
      </c>
      <c r="D1436">
        <v>16255</v>
      </c>
      <c r="E1436" t="s">
        <v>10</v>
      </c>
      <c r="F1436">
        <v>23</v>
      </c>
      <c r="G1436" s="2">
        <v>22.15</v>
      </c>
      <c r="H1436" s="2">
        <v>0</v>
      </c>
      <c r="I1436" s="2">
        <v>0.32</v>
      </c>
      <c r="J1436" s="2">
        <v>22.47</v>
      </c>
      <c r="K1436" s="5">
        <f>nantucket[[#This Row],[MW Factor]]-resources!$B$14</f>
        <v>-34</v>
      </c>
    </row>
    <row r="1437" spans="1:11" x14ac:dyDescent="0.3">
      <c r="A1437" t="s">
        <v>67</v>
      </c>
      <c r="B1437">
        <v>1369</v>
      </c>
      <c r="C1437">
        <v>1</v>
      </c>
      <c r="D1437">
        <v>16255</v>
      </c>
      <c r="E1437" t="s">
        <v>10</v>
      </c>
      <c r="F1437">
        <v>23</v>
      </c>
      <c r="G1437" s="2">
        <v>25.68</v>
      </c>
      <c r="H1437" s="2">
        <v>0.02</v>
      </c>
      <c r="I1437" s="2">
        <v>0.28999999999999998</v>
      </c>
      <c r="J1437" s="2">
        <v>25.99</v>
      </c>
      <c r="K1437" s="5">
        <f>nantucket[[#This Row],[MW Factor]]-resources!$B$14</f>
        <v>-34</v>
      </c>
    </row>
    <row r="1438" spans="1:11" x14ac:dyDescent="0.3">
      <c r="A1438" t="s">
        <v>67</v>
      </c>
      <c r="B1438">
        <v>1371</v>
      </c>
      <c r="C1438">
        <v>3</v>
      </c>
      <c r="D1438">
        <v>16255</v>
      </c>
      <c r="E1438" t="s">
        <v>10</v>
      </c>
      <c r="F1438">
        <v>23</v>
      </c>
      <c r="G1438" s="2">
        <v>28.7</v>
      </c>
      <c r="H1438" s="2">
        <v>0.05</v>
      </c>
      <c r="I1438" s="2">
        <v>0.3</v>
      </c>
      <c r="J1438" s="2">
        <v>29.05</v>
      </c>
      <c r="K1438" s="5">
        <f>nantucket[[#This Row],[MW Factor]]-resources!$B$14</f>
        <v>-34</v>
      </c>
    </row>
    <row r="1439" spans="1:11" x14ac:dyDescent="0.3">
      <c r="A1439" t="s">
        <v>70</v>
      </c>
      <c r="B1439">
        <v>1441</v>
      </c>
      <c r="C1439">
        <v>1</v>
      </c>
      <c r="D1439">
        <v>16255</v>
      </c>
      <c r="E1439" t="s">
        <v>10</v>
      </c>
      <c r="F1439">
        <v>23</v>
      </c>
      <c r="G1439" s="2">
        <v>32.479999999999997</v>
      </c>
      <c r="H1439" s="2">
        <v>0.22</v>
      </c>
      <c r="I1439" s="2">
        <v>0.73</v>
      </c>
      <c r="J1439" s="2">
        <v>33.43</v>
      </c>
      <c r="K1439" s="5">
        <f>nantucket[[#This Row],[MW Factor]]-resources!$B$14</f>
        <v>-34</v>
      </c>
    </row>
    <row r="1440" spans="1:11" x14ac:dyDescent="0.3">
      <c r="A1440" t="s">
        <v>70</v>
      </c>
      <c r="B1440">
        <v>1448</v>
      </c>
      <c r="C1440">
        <v>8</v>
      </c>
      <c r="D1440">
        <v>16255</v>
      </c>
      <c r="E1440" t="s">
        <v>10</v>
      </c>
      <c r="F1440">
        <v>23</v>
      </c>
      <c r="G1440" s="2">
        <v>32.93</v>
      </c>
      <c r="H1440" s="2">
        <v>0.23</v>
      </c>
      <c r="I1440" s="2">
        <v>0.79</v>
      </c>
      <c r="J1440" s="2">
        <v>33.950000000000003</v>
      </c>
      <c r="K1440" s="5">
        <f>nantucket[[#This Row],[MW Factor]]-resources!$B$14</f>
        <v>-34</v>
      </c>
    </row>
    <row r="1441" spans="1:11" x14ac:dyDescent="0.3">
      <c r="A1441" t="s">
        <v>71</v>
      </c>
      <c r="B1441">
        <v>1467</v>
      </c>
      <c r="C1441">
        <v>3</v>
      </c>
      <c r="D1441">
        <v>16255</v>
      </c>
      <c r="E1441" t="s">
        <v>10</v>
      </c>
      <c r="F1441">
        <v>23</v>
      </c>
      <c r="G1441" s="2">
        <v>23.86</v>
      </c>
      <c r="H1441" s="2">
        <v>0.02</v>
      </c>
      <c r="I1441" s="2">
        <v>0.49</v>
      </c>
      <c r="J1441" s="2">
        <v>24.37</v>
      </c>
      <c r="K1441" s="5">
        <f>nantucket[[#This Row],[MW Factor]]-resources!$B$14</f>
        <v>-34</v>
      </c>
    </row>
    <row r="1442" spans="1:11" x14ac:dyDescent="0.3">
      <c r="A1442" t="s">
        <v>11</v>
      </c>
      <c r="B1442">
        <v>29</v>
      </c>
      <c r="C1442">
        <v>5</v>
      </c>
      <c r="D1442">
        <v>16255</v>
      </c>
      <c r="E1442" t="s">
        <v>10</v>
      </c>
      <c r="F1442">
        <v>22</v>
      </c>
      <c r="G1442" s="2">
        <v>22.95</v>
      </c>
      <c r="H1442" s="2">
        <v>0</v>
      </c>
      <c r="I1442" s="2">
        <v>0.33</v>
      </c>
      <c r="J1442" s="2">
        <v>23.28</v>
      </c>
      <c r="K1442" s="5">
        <f>nantucket[[#This Row],[MW Factor]]-resources!$B$14</f>
        <v>-35</v>
      </c>
    </row>
    <row r="1443" spans="1:11" x14ac:dyDescent="0.3">
      <c r="A1443" t="s">
        <v>11</v>
      </c>
      <c r="B1443">
        <v>30</v>
      </c>
      <c r="C1443">
        <v>6</v>
      </c>
      <c r="D1443">
        <v>16255</v>
      </c>
      <c r="E1443" t="s">
        <v>10</v>
      </c>
      <c r="F1443">
        <v>22</v>
      </c>
      <c r="G1443" s="2">
        <v>24.96</v>
      </c>
      <c r="H1443" s="2">
        <v>0</v>
      </c>
      <c r="I1443" s="2">
        <v>0.35</v>
      </c>
      <c r="J1443" s="2">
        <v>25.31</v>
      </c>
      <c r="K1443" s="5">
        <f>nantucket[[#This Row],[MW Factor]]-resources!$B$14</f>
        <v>-35</v>
      </c>
    </row>
    <row r="1444" spans="1:11" x14ac:dyDescent="0.3">
      <c r="A1444" t="s">
        <v>12</v>
      </c>
      <c r="B1444">
        <v>52</v>
      </c>
      <c r="C1444">
        <v>4</v>
      </c>
      <c r="D1444">
        <v>16255</v>
      </c>
      <c r="E1444" t="s">
        <v>10</v>
      </c>
      <c r="F1444">
        <v>22</v>
      </c>
      <c r="G1444" s="2">
        <v>22.23</v>
      </c>
      <c r="H1444" s="2">
        <v>0</v>
      </c>
      <c r="I1444" s="2">
        <v>0.36</v>
      </c>
      <c r="J1444" s="2">
        <v>22.59</v>
      </c>
      <c r="K1444" s="5">
        <f>nantucket[[#This Row],[MW Factor]]-resources!$B$14</f>
        <v>-35</v>
      </c>
    </row>
    <row r="1445" spans="1:11" x14ac:dyDescent="0.3">
      <c r="A1445" t="s">
        <v>12</v>
      </c>
      <c r="B1445">
        <v>55</v>
      </c>
      <c r="C1445">
        <v>7</v>
      </c>
      <c r="D1445">
        <v>16255</v>
      </c>
      <c r="E1445" t="s">
        <v>10</v>
      </c>
      <c r="F1445">
        <v>22</v>
      </c>
      <c r="G1445" s="2">
        <v>21.07</v>
      </c>
      <c r="H1445" s="2">
        <v>0</v>
      </c>
      <c r="I1445" s="2">
        <v>0.36</v>
      </c>
      <c r="J1445" s="2">
        <v>21.43</v>
      </c>
      <c r="K1445" s="5">
        <f>nantucket[[#This Row],[MW Factor]]-resources!$B$14</f>
        <v>-35</v>
      </c>
    </row>
    <row r="1446" spans="1:11" x14ac:dyDescent="0.3">
      <c r="A1446" t="s">
        <v>13</v>
      </c>
      <c r="B1446">
        <v>78</v>
      </c>
      <c r="C1446">
        <v>6</v>
      </c>
      <c r="D1446">
        <v>16255</v>
      </c>
      <c r="E1446" t="s">
        <v>10</v>
      </c>
      <c r="F1446">
        <v>22</v>
      </c>
      <c r="G1446" s="2">
        <v>24.27</v>
      </c>
      <c r="H1446" s="2">
        <v>0</v>
      </c>
      <c r="I1446" s="2">
        <v>0.41</v>
      </c>
      <c r="J1446" s="2">
        <v>24.68</v>
      </c>
      <c r="K1446" s="5">
        <f>nantucket[[#This Row],[MW Factor]]-resources!$B$14</f>
        <v>-35</v>
      </c>
    </row>
    <row r="1447" spans="1:11" x14ac:dyDescent="0.3">
      <c r="A1447" t="s">
        <v>13</v>
      </c>
      <c r="B1447">
        <v>79</v>
      </c>
      <c r="C1447">
        <v>7</v>
      </c>
      <c r="D1447">
        <v>16255</v>
      </c>
      <c r="E1447" t="s">
        <v>10</v>
      </c>
      <c r="F1447">
        <v>22</v>
      </c>
      <c r="G1447" s="2">
        <v>23.87</v>
      </c>
      <c r="H1447" s="2">
        <v>0</v>
      </c>
      <c r="I1447" s="2">
        <v>0.41</v>
      </c>
      <c r="J1447" s="2">
        <v>24.28</v>
      </c>
      <c r="K1447" s="5">
        <f>nantucket[[#This Row],[MW Factor]]-resources!$B$14</f>
        <v>-35</v>
      </c>
    </row>
    <row r="1448" spans="1:11" x14ac:dyDescent="0.3">
      <c r="A1448" t="s">
        <v>37</v>
      </c>
      <c r="B1448">
        <v>655</v>
      </c>
      <c r="C1448">
        <v>7</v>
      </c>
      <c r="D1448">
        <v>16255</v>
      </c>
      <c r="E1448" t="s">
        <v>10</v>
      </c>
      <c r="F1448">
        <v>22</v>
      </c>
      <c r="G1448" s="2">
        <v>19.73</v>
      </c>
      <c r="H1448" s="2">
        <v>0</v>
      </c>
      <c r="I1448" s="2">
        <v>0.3</v>
      </c>
      <c r="J1448" s="2">
        <v>20.03</v>
      </c>
      <c r="K1448" s="5">
        <f>nantucket[[#This Row],[MW Factor]]-resources!$B$14</f>
        <v>-35</v>
      </c>
    </row>
    <row r="1449" spans="1:11" x14ac:dyDescent="0.3">
      <c r="A1449" t="s">
        <v>38</v>
      </c>
      <c r="B1449">
        <v>678</v>
      </c>
      <c r="C1449">
        <v>6</v>
      </c>
      <c r="D1449">
        <v>16255</v>
      </c>
      <c r="E1449" t="s">
        <v>10</v>
      </c>
      <c r="F1449">
        <v>22</v>
      </c>
      <c r="G1449" s="2">
        <v>29.08</v>
      </c>
      <c r="H1449" s="2">
        <v>0</v>
      </c>
      <c r="I1449" s="2">
        <v>0.35</v>
      </c>
      <c r="J1449" s="2">
        <v>29.43</v>
      </c>
      <c r="K1449" s="5">
        <f>nantucket[[#This Row],[MW Factor]]-resources!$B$14</f>
        <v>-35</v>
      </c>
    </row>
    <row r="1450" spans="1:11" x14ac:dyDescent="0.3">
      <c r="A1450" t="s">
        <v>48</v>
      </c>
      <c r="B1450">
        <v>915</v>
      </c>
      <c r="C1450">
        <v>3</v>
      </c>
      <c r="D1450">
        <v>16255</v>
      </c>
      <c r="E1450" t="s">
        <v>10</v>
      </c>
      <c r="F1450">
        <v>22</v>
      </c>
      <c r="G1450" s="2">
        <v>25.58</v>
      </c>
      <c r="H1450" s="2">
        <v>0</v>
      </c>
      <c r="I1450" s="2">
        <v>0.39</v>
      </c>
      <c r="J1450" s="2">
        <v>25.97</v>
      </c>
      <c r="K1450" s="5">
        <f>nantucket[[#This Row],[MW Factor]]-resources!$B$14</f>
        <v>-35</v>
      </c>
    </row>
    <row r="1451" spans="1:11" x14ac:dyDescent="0.3">
      <c r="A1451" t="s">
        <v>48</v>
      </c>
      <c r="B1451">
        <v>916</v>
      </c>
      <c r="C1451">
        <v>4</v>
      </c>
      <c r="D1451">
        <v>16255</v>
      </c>
      <c r="E1451" t="s">
        <v>10</v>
      </c>
      <c r="F1451">
        <v>22</v>
      </c>
      <c r="G1451" s="2">
        <v>24.67</v>
      </c>
      <c r="H1451" s="2">
        <v>0</v>
      </c>
      <c r="I1451" s="2">
        <v>0.37</v>
      </c>
      <c r="J1451" s="2">
        <v>25.04</v>
      </c>
      <c r="K1451" s="5">
        <f>nantucket[[#This Row],[MW Factor]]-resources!$B$14</f>
        <v>-35</v>
      </c>
    </row>
    <row r="1452" spans="1:11" x14ac:dyDescent="0.3">
      <c r="A1452" t="s">
        <v>48</v>
      </c>
      <c r="B1452">
        <v>919</v>
      </c>
      <c r="C1452">
        <v>7</v>
      </c>
      <c r="D1452">
        <v>16255</v>
      </c>
      <c r="E1452" t="s">
        <v>10</v>
      </c>
      <c r="F1452">
        <v>22</v>
      </c>
      <c r="G1452" s="2">
        <v>25.17</v>
      </c>
      <c r="H1452" s="2">
        <v>0</v>
      </c>
      <c r="I1452" s="2">
        <v>0.41</v>
      </c>
      <c r="J1452" s="2">
        <v>25.58</v>
      </c>
      <c r="K1452" s="5">
        <f>nantucket[[#This Row],[MW Factor]]-resources!$B$14</f>
        <v>-35</v>
      </c>
    </row>
    <row r="1453" spans="1:11" x14ac:dyDescent="0.3">
      <c r="A1453" t="s">
        <v>58</v>
      </c>
      <c r="B1453">
        <v>1158</v>
      </c>
      <c r="C1453">
        <v>6</v>
      </c>
      <c r="D1453">
        <v>16255</v>
      </c>
      <c r="E1453" t="s">
        <v>10</v>
      </c>
      <c r="F1453">
        <v>22</v>
      </c>
      <c r="G1453" s="2">
        <v>21.1</v>
      </c>
      <c r="H1453" s="2">
        <v>0</v>
      </c>
      <c r="I1453" s="2">
        <v>0.34</v>
      </c>
      <c r="J1453" s="2">
        <v>21.44</v>
      </c>
      <c r="K1453" s="5">
        <f>nantucket[[#This Row],[MW Factor]]-resources!$B$14</f>
        <v>-35</v>
      </c>
    </row>
    <row r="1454" spans="1:11" x14ac:dyDescent="0.3">
      <c r="A1454" t="s">
        <v>58</v>
      </c>
      <c r="B1454">
        <v>1159</v>
      </c>
      <c r="C1454">
        <v>7</v>
      </c>
      <c r="D1454">
        <v>16255</v>
      </c>
      <c r="E1454" t="s">
        <v>10</v>
      </c>
      <c r="F1454">
        <v>22</v>
      </c>
      <c r="G1454" s="2">
        <v>21.52</v>
      </c>
      <c r="H1454" s="2">
        <v>0</v>
      </c>
      <c r="I1454" s="2">
        <v>0.35</v>
      </c>
      <c r="J1454" s="2">
        <v>21.87</v>
      </c>
      <c r="K1454" s="5">
        <f>nantucket[[#This Row],[MW Factor]]-resources!$B$14</f>
        <v>-35</v>
      </c>
    </row>
    <row r="1455" spans="1:11" x14ac:dyDescent="0.3">
      <c r="A1455" t="s">
        <v>61</v>
      </c>
      <c r="B1455">
        <v>1228</v>
      </c>
      <c r="C1455">
        <v>4</v>
      </c>
      <c r="D1455">
        <v>16255</v>
      </c>
      <c r="E1455" t="s">
        <v>10</v>
      </c>
      <c r="F1455">
        <v>22</v>
      </c>
      <c r="G1455" s="2">
        <v>21.03</v>
      </c>
      <c r="H1455" s="2">
        <v>0</v>
      </c>
      <c r="I1455" s="2">
        <v>0.36</v>
      </c>
      <c r="J1455" s="2">
        <v>21.39</v>
      </c>
      <c r="K1455" s="5">
        <f>nantucket[[#This Row],[MW Factor]]-resources!$B$14</f>
        <v>-35</v>
      </c>
    </row>
    <row r="1456" spans="1:11" x14ac:dyDescent="0.3">
      <c r="A1456" t="s">
        <v>61</v>
      </c>
      <c r="B1456">
        <v>1229</v>
      </c>
      <c r="C1456">
        <v>5</v>
      </c>
      <c r="D1456">
        <v>16255</v>
      </c>
      <c r="E1456" t="s">
        <v>10</v>
      </c>
      <c r="F1456">
        <v>22</v>
      </c>
      <c r="G1456" s="2">
        <v>21.05</v>
      </c>
      <c r="H1456" s="2">
        <v>0</v>
      </c>
      <c r="I1456" s="2">
        <v>0.36</v>
      </c>
      <c r="J1456" s="2">
        <v>21.41</v>
      </c>
      <c r="K1456" s="5">
        <f>nantucket[[#This Row],[MW Factor]]-resources!$B$14</f>
        <v>-35</v>
      </c>
    </row>
    <row r="1457" spans="1:11" x14ac:dyDescent="0.3">
      <c r="A1457" t="s">
        <v>62</v>
      </c>
      <c r="B1457">
        <v>1251</v>
      </c>
      <c r="C1457">
        <v>3</v>
      </c>
      <c r="D1457">
        <v>16255</v>
      </c>
      <c r="E1457" t="s">
        <v>10</v>
      </c>
      <c r="F1457">
        <v>22</v>
      </c>
      <c r="G1457" s="2">
        <v>22.7</v>
      </c>
      <c r="H1457" s="2">
        <v>0</v>
      </c>
      <c r="I1457" s="2">
        <v>0.38</v>
      </c>
      <c r="J1457" s="2">
        <v>23.08</v>
      </c>
      <c r="K1457" s="5">
        <f>nantucket[[#This Row],[MW Factor]]-resources!$B$14</f>
        <v>-35</v>
      </c>
    </row>
    <row r="1458" spans="1:11" x14ac:dyDescent="0.3">
      <c r="A1458" t="s">
        <v>63</v>
      </c>
      <c r="B1458">
        <v>1276</v>
      </c>
      <c r="C1458">
        <v>4</v>
      </c>
      <c r="D1458">
        <v>16255</v>
      </c>
      <c r="E1458" t="s">
        <v>10</v>
      </c>
      <c r="F1458">
        <v>22</v>
      </c>
      <c r="G1458" s="2">
        <v>20.58</v>
      </c>
      <c r="H1458" s="2">
        <v>0</v>
      </c>
      <c r="I1458" s="2">
        <v>0.44</v>
      </c>
      <c r="J1458" s="2">
        <v>21.02</v>
      </c>
      <c r="K1458" s="5">
        <f>nantucket[[#This Row],[MW Factor]]-resources!$B$14</f>
        <v>-35</v>
      </c>
    </row>
    <row r="1459" spans="1:11" x14ac:dyDescent="0.3">
      <c r="A1459" t="s">
        <v>63</v>
      </c>
      <c r="B1459">
        <v>1277</v>
      </c>
      <c r="C1459">
        <v>5</v>
      </c>
      <c r="D1459">
        <v>16255</v>
      </c>
      <c r="E1459" t="s">
        <v>10</v>
      </c>
      <c r="F1459">
        <v>22</v>
      </c>
      <c r="G1459" s="2">
        <v>20.55</v>
      </c>
      <c r="H1459" s="2">
        <v>0</v>
      </c>
      <c r="I1459" s="2">
        <v>0.44</v>
      </c>
      <c r="J1459" s="2">
        <v>20.99</v>
      </c>
      <c r="K1459" s="5">
        <f>nantucket[[#This Row],[MW Factor]]-resources!$B$14</f>
        <v>-35</v>
      </c>
    </row>
    <row r="1460" spans="1:11" x14ac:dyDescent="0.3">
      <c r="A1460" t="s">
        <v>63</v>
      </c>
      <c r="B1460">
        <v>1279</v>
      </c>
      <c r="C1460">
        <v>7</v>
      </c>
      <c r="D1460">
        <v>16255</v>
      </c>
      <c r="E1460" t="s">
        <v>10</v>
      </c>
      <c r="F1460">
        <v>22</v>
      </c>
      <c r="G1460" s="2">
        <v>21.16</v>
      </c>
      <c r="H1460" s="2">
        <v>0</v>
      </c>
      <c r="I1460" s="2">
        <v>0.51</v>
      </c>
      <c r="J1460" s="2">
        <v>21.67</v>
      </c>
      <c r="K1460" s="5">
        <f>nantucket[[#This Row],[MW Factor]]-resources!$B$14</f>
        <v>-35</v>
      </c>
    </row>
    <row r="1461" spans="1:11" x14ac:dyDescent="0.3">
      <c r="A1461" t="s">
        <v>64</v>
      </c>
      <c r="B1461">
        <v>1301</v>
      </c>
      <c r="C1461">
        <v>5</v>
      </c>
      <c r="D1461">
        <v>16255</v>
      </c>
      <c r="E1461" t="s">
        <v>10</v>
      </c>
      <c r="F1461">
        <v>22</v>
      </c>
      <c r="G1461" s="2">
        <v>21.99</v>
      </c>
      <c r="H1461" s="2">
        <v>0</v>
      </c>
      <c r="I1461" s="2">
        <v>0.39</v>
      </c>
      <c r="J1461" s="2">
        <v>22.38</v>
      </c>
      <c r="K1461" s="5">
        <f>nantucket[[#This Row],[MW Factor]]-resources!$B$14</f>
        <v>-35</v>
      </c>
    </row>
    <row r="1462" spans="1:11" x14ac:dyDescent="0.3">
      <c r="A1462" t="s">
        <v>64</v>
      </c>
      <c r="B1462">
        <v>1302</v>
      </c>
      <c r="C1462">
        <v>6</v>
      </c>
      <c r="D1462">
        <v>16255</v>
      </c>
      <c r="E1462" t="s">
        <v>10</v>
      </c>
      <c r="F1462">
        <v>22</v>
      </c>
      <c r="G1462" s="2">
        <v>22.22</v>
      </c>
      <c r="H1462" s="2">
        <v>0</v>
      </c>
      <c r="I1462" s="2">
        <v>0.44</v>
      </c>
      <c r="J1462" s="2">
        <v>22.66</v>
      </c>
      <c r="K1462" s="5">
        <f>nantucket[[#This Row],[MW Factor]]-resources!$B$14</f>
        <v>-35</v>
      </c>
    </row>
    <row r="1463" spans="1:11" x14ac:dyDescent="0.3">
      <c r="A1463" t="s">
        <v>64</v>
      </c>
      <c r="B1463">
        <v>1303</v>
      </c>
      <c r="C1463">
        <v>7</v>
      </c>
      <c r="D1463">
        <v>16255</v>
      </c>
      <c r="E1463" t="s">
        <v>10</v>
      </c>
      <c r="F1463">
        <v>22</v>
      </c>
      <c r="G1463" s="2">
        <v>21.59</v>
      </c>
      <c r="H1463" s="2">
        <v>0</v>
      </c>
      <c r="I1463" s="2">
        <v>0.44</v>
      </c>
      <c r="J1463" s="2">
        <v>22.03</v>
      </c>
      <c r="K1463" s="5">
        <f>nantucket[[#This Row],[MW Factor]]-resources!$B$14</f>
        <v>-35</v>
      </c>
    </row>
    <row r="1464" spans="1:11" x14ac:dyDescent="0.3">
      <c r="A1464" t="s">
        <v>67</v>
      </c>
      <c r="B1464">
        <v>1370</v>
      </c>
      <c r="C1464">
        <v>2</v>
      </c>
      <c r="D1464">
        <v>16255</v>
      </c>
      <c r="E1464" t="s">
        <v>10</v>
      </c>
      <c r="F1464">
        <v>22</v>
      </c>
      <c r="G1464" s="2">
        <v>36.4</v>
      </c>
      <c r="H1464" s="2">
        <v>0.11</v>
      </c>
      <c r="I1464" s="2">
        <v>0.42</v>
      </c>
      <c r="J1464" s="2">
        <v>36.93</v>
      </c>
      <c r="K1464" s="5">
        <f>nantucket[[#This Row],[MW Factor]]-resources!$B$14</f>
        <v>-35</v>
      </c>
    </row>
    <row r="1465" spans="1:11" x14ac:dyDescent="0.3">
      <c r="A1465" t="s">
        <v>67</v>
      </c>
      <c r="B1465">
        <v>1372</v>
      </c>
      <c r="C1465">
        <v>4</v>
      </c>
      <c r="D1465">
        <v>16255</v>
      </c>
      <c r="E1465" t="s">
        <v>10</v>
      </c>
      <c r="F1465">
        <v>22</v>
      </c>
      <c r="G1465" s="2">
        <v>26.22</v>
      </c>
      <c r="H1465" s="2">
        <v>0.03</v>
      </c>
      <c r="I1465" s="2">
        <v>0.28999999999999998</v>
      </c>
      <c r="J1465" s="2">
        <v>26.54</v>
      </c>
      <c r="K1465" s="5">
        <f>nantucket[[#This Row],[MW Factor]]-resources!$B$14</f>
        <v>-35</v>
      </c>
    </row>
    <row r="1466" spans="1:11" x14ac:dyDescent="0.3">
      <c r="A1466" t="s">
        <v>67</v>
      </c>
      <c r="B1466">
        <v>1373</v>
      </c>
      <c r="C1466">
        <v>5</v>
      </c>
      <c r="D1466">
        <v>16255</v>
      </c>
      <c r="E1466" t="s">
        <v>10</v>
      </c>
      <c r="F1466">
        <v>22</v>
      </c>
      <c r="G1466" s="2">
        <v>26.67</v>
      </c>
      <c r="H1466" s="2">
        <v>0.04</v>
      </c>
      <c r="I1466" s="2">
        <v>0.28999999999999998</v>
      </c>
      <c r="J1466" s="2">
        <v>27</v>
      </c>
      <c r="K1466" s="5">
        <f>nantucket[[#This Row],[MW Factor]]-resources!$B$14</f>
        <v>-35</v>
      </c>
    </row>
    <row r="1467" spans="1:11" x14ac:dyDescent="0.3">
      <c r="A1467" t="s">
        <v>67</v>
      </c>
      <c r="B1467">
        <v>1375</v>
      </c>
      <c r="C1467">
        <v>7</v>
      </c>
      <c r="D1467">
        <v>16255</v>
      </c>
      <c r="E1467" t="s">
        <v>10</v>
      </c>
      <c r="F1467">
        <v>22</v>
      </c>
      <c r="G1467" s="2">
        <v>30.25</v>
      </c>
      <c r="H1467" s="2">
        <v>0.05</v>
      </c>
      <c r="I1467" s="2">
        <v>0.34</v>
      </c>
      <c r="J1467" s="2">
        <v>30.64</v>
      </c>
      <c r="K1467" s="5">
        <f>nantucket[[#This Row],[MW Factor]]-resources!$B$14</f>
        <v>-35</v>
      </c>
    </row>
    <row r="1468" spans="1:11" x14ac:dyDescent="0.3">
      <c r="A1468" t="s">
        <v>70</v>
      </c>
      <c r="B1468">
        <v>1442</v>
      </c>
      <c r="C1468">
        <v>2</v>
      </c>
      <c r="D1468">
        <v>16255</v>
      </c>
      <c r="E1468" t="s">
        <v>10</v>
      </c>
      <c r="F1468">
        <v>22</v>
      </c>
      <c r="G1468" s="2">
        <v>31.51</v>
      </c>
      <c r="H1468" s="2">
        <v>0.21</v>
      </c>
      <c r="I1468" s="2">
        <v>0.62</v>
      </c>
      <c r="J1468" s="2">
        <v>32.340000000000003</v>
      </c>
      <c r="K1468" s="5">
        <f>nantucket[[#This Row],[MW Factor]]-resources!$B$14</f>
        <v>-35</v>
      </c>
    </row>
    <row r="1469" spans="1:11" x14ac:dyDescent="0.3">
      <c r="A1469" t="s">
        <v>70</v>
      </c>
      <c r="B1469">
        <v>1443</v>
      </c>
      <c r="C1469">
        <v>3</v>
      </c>
      <c r="D1469">
        <v>16255</v>
      </c>
      <c r="E1469" t="s">
        <v>10</v>
      </c>
      <c r="F1469">
        <v>22</v>
      </c>
      <c r="G1469" s="2">
        <v>28.7</v>
      </c>
      <c r="H1469" s="2">
        <v>0.16</v>
      </c>
      <c r="I1469" s="2">
        <v>0.56999999999999995</v>
      </c>
      <c r="J1469" s="2">
        <v>29.43</v>
      </c>
      <c r="K1469" s="5">
        <f>nantucket[[#This Row],[MW Factor]]-resources!$B$14</f>
        <v>-35</v>
      </c>
    </row>
    <row r="1470" spans="1:11" x14ac:dyDescent="0.3">
      <c r="A1470" t="s">
        <v>71</v>
      </c>
      <c r="B1470">
        <v>1468</v>
      </c>
      <c r="C1470">
        <v>4</v>
      </c>
      <c r="D1470">
        <v>16255</v>
      </c>
      <c r="E1470" t="s">
        <v>10</v>
      </c>
      <c r="F1470">
        <v>22</v>
      </c>
      <c r="G1470" s="2">
        <v>22.84</v>
      </c>
      <c r="H1470" s="2">
        <v>0.01</v>
      </c>
      <c r="I1470" s="2">
        <v>0.44</v>
      </c>
      <c r="J1470" s="2">
        <v>23.29</v>
      </c>
      <c r="K1470" s="5">
        <f>nantucket[[#This Row],[MW Factor]]-resources!$B$14</f>
        <v>-35</v>
      </c>
    </row>
    <row r="1471" spans="1:11" x14ac:dyDescent="0.3">
      <c r="A1471" t="s">
        <v>71</v>
      </c>
      <c r="B1471">
        <v>1469</v>
      </c>
      <c r="C1471">
        <v>5</v>
      </c>
      <c r="D1471">
        <v>16255</v>
      </c>
      <c r="E1471" t="s">
        <v>10</v>
      </c>
      <c r="F1471">
        <v>22</v>
      </c>
      <c r="G1471" s="2">
        <v>23.57</v>
      </c>
      <c r="H1471" s="2">
        <v>0.01</v>
      </c>
      <c r="I1471" s="2">
        <v>0.45</v>
      </c>
      <c r="J1471" s="2">
        <v>24.03</v>
      </c>
      <c r="K1471" s="5">
        <f>nantucket[[#This Row],[MW Factor]]-resources!$B$14</f>
        <v>-35</v>
      </c>
    </row>
    <row r="1472" spans="1:11" x14ac:dyDescent="0.3">
      <c r="A1472" t="s">
        <v>71</v>
      </c>
      <c r="B1472">
        <v>1471</v>
      </c>
      <c r="C1472">
        <v>7</v>
      </c>
      <c r="D1472">
        <v>16255</v>
      </c>
      <c r="E1472" t="s">
        <v>10</v>
      </c>
      <c r="F1472">
        <v>22</v>
      </c>
      <c r="G1472" s="2">
        <v>20.91</v>
      </c>
      <c r="H1472" s="2">
        <v>0</v>
      </c>
      <c r="I1472" s="2">
        <v>0.43</v>
      </c>
      <c r="J1472" s="2">
        <v>21.34</v>
      </c>
      <c r="K1472" s="5">
        <f>nantucket[[#This Row],[MW Factor]]-resources!$B$14</f>
        <v>-35</v>
      </c>
    </row>
    <row r="1473" spans="1:11" x14ac:dyDescent="0.3">
      <c r="A1473" t="s">
        <v>12</v>
      </c>
      <c r="B1473">
        <v>53</v>
      </c>
      <c r="C1473">
        <v>5</v>
      </c>
      <c r="D1473">
        <v>16255</v>
      </c>
      <c r="E1473" t="s">
        <v>10</v>
      </c>
      <c r="F1473">
        <v>21</v>
      </c>
      <c r="G1473" s="2">
        <v>23.39</v>
      </c>
      <c r="H1473" s="2">
        <v>0</v>
      </c>
      <c r="I1473" s="2">
        <v>0.36</v>
      </c>
      <c r="J1473" s="2">
        <v>23.75</v>
      </c>
      <c r="K1473" s="5">
        <f>nantucket[[#This Row],[MW Factor]]-resources!$B$14</f>
        <v>-36</v>
      </c>
    </row>
    <row r="1474" spans="1:11" x14ac:dyDescent="0.3">
      <c r="A1474" t="s">
        <v>48</v>
      </c>
      <c r="B1474">
        <v>917</v>
      </c>
      <c r="C1474">
        <v>5</v>
      </c>
      <c r="D1474">
        <v>16255</v>
      </c>
      <c r="E1474" t="s">
        <v>10</v>
      </c>
      <c r="F1474">
        <v>21</v>
      </c>
      <c r="G1474" s="2">
        <v>22.99</v>
      </c>
      <c r="H1474" s="2">
        <v>0</v>
      </c>
      <c r="I1474" s="2">
        <v>0.33</v>
      </c>
      <c r="J1474" s="2">
        <v>23.32</v>
      </c>
      <c r="K1474" s="5">
        <f>nantucket[[#This Row],[MW Factor]]-resources!$B$14</f>
        <v>-36</v>
      </c>
    </row>
    <row r="1475" spans="1:11" x14ac:dyDescent="0.3">
      <c r="A1475" t="s">
        <v>48</v>
      </c>
      <c r="B1475">
        <v>918</v>
      </c>
      <c r="C1475">
        <v>6</v>
      </c>
      <c r="D1475">
        <v>16255</v>
      </c>
      <c r="E1475" t="s">
        <v>10</v>
      </c>
      <c r="F1475">
        <v>21</v>
      </c>
      <c r="G1475" s="2">
        <v>24.7</v>
      </c>
      <c r="H1475" s="2">
        <v>0</v>
      </c>
      <c r="I1475" s="2">
        <v>0.37</v>
      </c>
      <c r="J1475" s="2">
        <v>25.07</v>
      </c>
      <c r="K1475" s="5">
        <f>nantucket[[#This Row],[MW Factor]]-resources!$B$14</f>
        <v>-36</v>
      </c>
    </row>
    <row r="1476" spans="1:11" x14ac:dyDescent="0.3">
      <c r="A1476" t="s">
        <v>61</v>
      </c>
      <c r="B1476">
        <v>1230</v>
      </c>
      <c r="C1476">
        <v>6</v>
      </c>
      <c r="D1476">
        <v>16255</v>
      </c>
      <c r="E1476" t="s">
        <v>10</v>
      </c>
      <c r="F1476">
        <v>21</v>
      </c>
      <c r="G1476" s="2">
        <v>21.25</v>
      </c>
      <c r="H1476" s="2">
        <v>0</v>
      </c>
      <c r="I1476" s="2">
        <v>0.36</v>
      </c>
      <c r="J1476" s="2">
        <v>21.61</v>
      </c>
      <c r="K1476" s="5">
        <f>nantucket[[#This Row],[MW Factor]]-resources!$B$14</f>
        <v>-36</v>
      </c>
    </row>
    <row r="1477" spans="1:11" x14ac:dyDescent="0.3">
      <c r="A1477" t="s">
        <v>61</v>
      </c>
      <c r="B1477">
        <v>1231</v>
      </c>
      <c r="C1477">
        <v>7</v>
      </c>
      <c r="D1477">
        <v>16255</v>
      </c>
      <c r="E1477" t="s">
        <v>10</v>
      </c>
      <c r="F1477">
        <v>21</v>
      </c>
      <c r="G1477" s="2">
        <v>21.83</v>
      </c>
      <c r="H1477" s="2">
        <v>0</v>
      </c>
      <c r="I1477" s="2">
        <v>0.41</v>
      </c>
      <c r="J1477" s="2">
        <v>22.24</v>
      </c>
      <c r="K1477" s="5">
        <f>nantucket[[#This Row],[MW Factor]]-resources!$B$14</f>
        <v>-36</v>
      </c>
    </row>
    <row r="1478" spans="1:11" x14ac:dyDescent="0.3">
      <c r="A1478" t="s">
        <v>62</v>
      </c>
      <c r="B1478">
        <v>1252</v>
      </c>
      <c r="C1478">
        <v>4</v>
      </c>
      <c r="D1478">
        <v>16255</v>
      </c>
      <c r="E1478" t="s">
        <v>10</v>
      </c>
      <c r="F1478">
        <v>21</v>
      </c>
      <c r="G1478" s="2">
        <v>21.86</v>
      </c>
      <c r="H1478" s="2">
        <v>0</v>
      </c>
      <c r="I1478" s="2">
        <v>0.36</v>
      </c>
      <c r="J1478" s="2">
        <v>22.22</v>
      </c>
      <c r="K1478" s="5">
        <f>nantucket[[#This Row],[MW Factor]]-resources!$B$14</f>
        <v>-36</v>
      </c>
    </row>
    <row r="1479" spans="1:11" x14ac:dyDescent="0.3">
      <c r="A1479" t="s">
        <v>62</v>
      </c>
      <c r="B1479">
        <v>1253</v>
      </c>
      <c r="C1479">
        <v>5</v>
      </c>
      <c r="D1479">
        <v>16255</v>
      </c>
      <c r="E1479" t="s">
        <v>10</v>
      </c>
      <c r="F1479">
        <v>21</v>
      </c>
      <c r="G1479" s="2">
        <v>21.95</v>
      </c>
      <c r="H1479" s="2">
        <v>0</v>
      </c>
      <c r="I1479" s="2">
        <v>0.36</v>
      </c>
      <c r="J1479" s="2">
        <v>22.31</v>
      </c>
      <c r="K1479" s="5">
        <f>nantucket[[#This Row],[MW Factor]]-resources!$B$14</f>
        <v>-36</v>
      </c>
    </row>
    <row r="1480" spans="1:11" x14ac:dyDescent="0.3">
      <c r="A1480" t="s">
        <v>62</v>
      </c>
      <c r="B1480">
        <v>1255</v>
      </c>
      <c r="C1480">
        <v>7</v>
      </c>
      <c r="D1480">
        <v>16255</v>
      </c>
      <c r="E1480" t="s">
        <v>10</v>
      </c>
      <c r="F1480">
        <v>21</v>
      </c>
      <c r="G1480" s="2">
        <v>29.72</v>
      </c>
      <c r="H1480" s="2">
        <v>0</v>
      </c>
      <c r="I1480" s="2">
        <v>0.52</v>
      </c>
      <c r="J1480" s="2">
        <v>30.24</v>
      </c>
      <c r="K1480" s="5">
        <f>nantucket[[#This Row],[MW Factor]]-resources!$B$14</f>
        <v>-36</v>
      </c>
    </row>
    <row r="1481" spans="1:11" x14ac:dyDescent="0.3">
      <c r="A1481" t="s">
        <v>63</v>
      </c>
      <c r="B1481">
        <v>1278</v>
      </c>
      <c r="C1481">
        <v>6</v>
      </c>
      <c r="D1481">
        <v>16255</v>
      </c>
      <c r="E1481" t="s">
        <v>10</v>
      </c>
      <c r="F1481">
        <v>21</v>
      </c>
      <c r="G1481" s="2">
        <v>20.7</v>
      </c>
      <c r="H1481" s="2">
        <v>0</v>
      </c>
      <c r="I1481" s="2">
        <v>0.46</v>
      </c>
      <c r="J1481" s="2">
        <v>21.16</v>
      </c>
      <c r="K1481" s="5">
        <f>nantucket[[#This Row],[MW Factor]]-resources!$B$14</f>
        <v>-36</v>
      </c>
    </row>
    <row r="1482" spans="1:11" x14ac:dyDescent="0.3">
      <c r="A1482" t="s">
        <v>67</v>
      </c>
      <c r="B1482">
        <v>1374</v>
      </c>
      <c r="C1482">
        <v>6</v>
      </c>
      <c r="D1482">
        <v>16255</v>
      </c>
      <c r="E1482" t="s">
        <v>10</v>
      </c>
      <c r="F1482">
        <v>21</v>
      </c>
      <c r="G1482" s="2">
        <v>28.51</v>
      </c>
      <c r="H1482" s="2">
        <v>0.05</v>
      </c>
      <c r="I1482" s="2">
        <v>0.31</v>
      </c>
      <c r="J1482" s="2">
        <v>28.87</v>
      </c>
      <c r="K1482" s="5">
        <f>nantucket[[#This Row],[MW Factor]]-resources!$B$14</f>
        <v>-36</v>
      </c>
    </row>
    <row r="1483" spans="1:11" x14ac:dyDescent="0.3">
      <c r="A1483" t="s">
        <v>70</v>
      </c>
      <c r="B1483">
        <v>1444</v>
      </c>
      <c r="C1483">
        <v>4</v>
      </c>
      <c r="D1483">
        <v>16255</v>
      </c>
      <c r="E1483" t="s">
        <v>10</v>
      </c>
      <c r="F1483">
        <v>21</v>
      </c>
      <c r="G1483" s="2">
        <v>29.17</v>
      </c>
      <c r="H1483" s="2">
        <v>0.16</v>
      </c>
      <c r="I1483" s="2">
        <v>0.57999999999999996</v>
      </c>
      <c r="J1483" s="2">
        <v>29.91</v>
      </c>
      <c r="K1483" s="5">
        <f>nantucket[[#This Row],[MW Factor]]-resources!$B$14</f>
        <v>-36</v>
      </c>
    </row>
    <row r="1484" spans="1:11" x14ac:dyDescent="0.3">
      <c r="A1484" t="s">
        <v>70</v>
      </c>
      <c r="B1484">
        <v>1445</v>
      </c>
      <c r="C1484">
        <v>5</v>
      </c>
      <c r="D1484">
        <v>16255</v>
      </c>
      <c r="E1484" t="s">
        <v>10</v>
      </c>
      <c r="F1484">
        <v>21</v>
      </c>
      <c r="G1484" s="2">
        <v>24.68</v>
      </c>
      <c r="H1484" s="2">
        <v>0.08</v>
      </c>
      <c r="I1484" s="2">
        <v>0.49</v>
      </c>
      <c r="J1484" s="2">
        <v>25.25</v>
      </c>
      <c r="K1484" s="5">
        <f>nantucket[[#This Row],[MW Factor]]-resources!$B$14</f>
        <v>-36</v>
      </c>
    </row>
    <row r="1485" spans="1:11" x14ac:dyDescent="0.3">
      <c r="A1485" t="s">
        <v>70</v>
      </c>
      <c r="B1485">
        <v>1447</v>
      </c>
      <c r="C1485">
        <v>7</v>
      </c>
      <c r="D1485">
        <v>16255</v>
      </c>
      <c r="E1485" t="s">
        <v>10</v>
      </c>
      <c r="F1485">
        <v>21</v>
      </c>
      <c r="G1485" s="2">
        <v>29.98</v>
      </c>
      <c r="H1485" s="2">
        <v>0.17</v>
      </c>
      <c r="I1485" s="2">
        <v>0.64</v>
      </c>
      <c r="J1485" s="2">
        <v>30.79</v>
      </c>
      <c r="K1485" s="5">
        <f>nantucket[[#This Row],[MW Factor]]-resources!$B$14</f>
        <v>-36</v>
      </c>
    </row>
    <row r="1486" spans="1:11" x14ac:dyDescent="0.3">
      <c r="A1486" t="s">
        <v>71</v>
      </c>
      <c r="B1486">
        <v>1470</v>
      </c>
      <c r="C1486">
        <v>6</v>
      </c>
      <c r="D1486">
        <v>16255</v>
      </c>
      <c r="E1486" t="s">
        <v>10</v>
      </c>
      <c r="F1486">
        <v>21</v>
      </c>
      <c r="G1486" s="2">
        <v>20.69</v>
      </c>
      <c r="H1486" s="2">
        <v>0</v>
      </c>
      <c r="I1486" s="2">
        <v>0.41</v>
      </c>
      <c r="J1486" s="2">
        <v>21.1</v>
      </c>
      <c r="K1486" s="5">
        <f>nantucket[[#This Row],[MW Factor]]-resources!$B$14</f>
        <v>-36</v>
      </c>
    </row>
    <row r="1487" spans="1:11" x14ac:dyDescent="0.3">
      <c r="A1487" t="s">
        <v>12</v>
      </c>
      <c r="B1487">
        <v>54</v>
      </c>
      <c r="C1487">
        <v>6</v>
      </c>
      <c r="D1487">
        <v>16255</v>
      </c>
      <c r="E1487" t="s">
        <v>10</v>
      </c>
      <c r="F1487">
        <v>20</v>
      </c>
      <c r="G1487" s="2">
        <v>24.22</v>
      </c>
      <c r="H1487" s="2">
        <v>0</v>
      </c>
      <c r="I1487" s="2">
        <v>0.38</v>
      </c>
      <c r="J1487" s="2">
        <v>24.6</v>
      </c>
      <c r="K1487" s="5">
        <f>nantucket[[#This Row],[MW Factor]]-resources!$B$14</f>
        <v>-37</v>
      </c>
    </row>
    <row r="1488" spans="1:11" x14ac:dyDescent="0.3">
      <c r="A1488" t="s">
        <v>62</v>
      </c>
      <c r="B1488">
        <v>1254</v>
      </c>
      <c r="C1488">
        <v>6</v>
      </c>
      <c r="D1488">
        <v>16255</v>
      </c>
      <c r="E1488" t="s">
        <v>10</v>
      </c>
      <c r="F1488">
        <v>20</v>
      </c>
      <c r="G1488" s="2">
        <v>22.23</v>
      </c>
      <c r="H1488" s="2">
        <v>0</v>
      </c>
      <c r="I1488" s="2">
        <v>0.37</v>
      </c>
      <c r="J1488" s="2">
        <v>22.6</v>
      </c>
      <c r="K1488" s="5">
        <f>nantucket[[#This Row],[MW Factor]]-resources!$B$14</f>
        <v>-37</v>
      </c>
    </row>
    <row r="1489" spans="1:11" x14ac:dyDescent="0.3">
      <c r="A1489" t="s">
        <v>70</v>
      </c>
      <c r="B1489">
        <v>1446</v>
      </c>
      <c r="C1489">
        <v>6</v>
      </c>
      <c r="D1489">
        <v>16255</v>
      </c>
      <c r="E1489" t="s">
        <v>10</v>
      </c>
      <c r="F1489">
        <v>20</v>
      </c>
      <c r="G1489" s="2">
        <v>42.82</v>
      </c>
      <c r="H1489" s="2">
        <v>0.4</v>
      </c>
      <c r="I1489" s="2">
        <v>0.88</v>
      </c>
      <c r="J1489" s="2">
        <v>44.1</v>
      </c>
      <c r="K1489" s="5">
        <f>nantucket[[#This Row],[MW Factor]]-resources!$B$14</f>
        <v>-37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7D241-1A86-485A-984A-BB1C13A80AFF}">
  <dimension ref="A1:N19"/>
  <sheetViews>
    <sheetView tabSelected="1" workbookViewId="0">
      <selection activeCell="M27" sqref="M27"/>
    </sheetView>
  </sheetViews>
  <sheetFormatPr baseColWidth="10" defaultRowHeight="14.4" x14ac:dyDescent="0.3"/>
  <cols>
    <col min="1" max="1" width="14.44140625" bestFit="1" customWidth="1"/>
  </cols>
  <sheetData>
    <row r="1" spans="1:14" x14ac:dyDescent="0.3">
      <c r="A1" t="s">
        <v>73</v>
      </c>
      <c r="E1" t="s">
        <v>93</v>
      </c>
      <c r="I1" t="s">
        <v>80</v>
      </c>
      <c r="K1" t="s">
        <v>81</v>
      </c>
      <c r="M1" t="s">
        <v>78</v>
      </c>
      <c r="N1" s="3" t="s">
        <v>79</v>
      </c>
    </row>
    <row r="2" spans="1:14" x14ac:dyDescent="0.3">
      <c r="A2" t="s">
        <v>75</v>
      </c>
      <c r="B2" t="s">
        <v>74</v>
      </c>
      <c r="C2" t="s">
        <v>90</v>
      </c>
      <c r="D2" t="s">
        <v>109</v>
      </c>
      <c r="E2" t="s">
        <v>76</v>
      </c>
      <c r="F2" t="s">
        <v>77</v>
      </c>
      <c r="G2" t="s">
        <v>74</v>
      </c>
      <c r="I2" t="s">
        <v>76</v>
      </c>
      <c r="K2" t="s">
        <v>76</v>
      </c>
      <c r="N2" t="s">
        <v>82</v>
      </c>
    </row>
    <row r="3" spans="1:14" x14ac:dyDescent="0.3">
      <c r="A3">
        <v>36</v>
      </c>
      <c r="B3">
        <v>1996</v>
      </c>
      <c r="C3">
        <v>2026</v>
      </c>
      <c r="E3">
        <v>6</v>
      </c>
      <c r="F3">
        <v>48</v>
      </c>
      <c r="G3">
        <v>2019</v>
      </c>
      <c r="I3">
        <v>5</v>
      </c>
      <c r="K3">
        <v>15</v>
      </c>
      <c r="N3" t="s">
        <v>83</v>
      </c>
    </row>
    <row r="4" spans="1:14" x14ac:dyDescent="0.3">
      <c r="A4">
        <v>38</v>
      </c>
      <c r="B4">
        <v>2006</v>
      </c>
      <c r="C4">
        <v>2026</v>
      </c>
      <c r="D4">
        <v>41</v>
      </c>
      <c r="N4" t="s">
        <v>84</v>
      </c>
    </row>
    <row r="5" spans="1:14" x14ac:dyDescent="0.3">
      <c r="N5" t="s">
        <v>86</v>
      </c>
    </row>
    <row r="6" spans="1:14" x14ac:dyDescent="0.3">
      <c r="A6" t="s">
        <v>85</v>
      </c>
      <c r="G6" t="s">
        <v>91</v>
      </c>
      <c r="N6" t="s">
        <v>87</v>
      </c>
    </row>
    <row r="7" spans="1:14" x14ac:dyDescent="0.3">
      <c r="A7">
        <v>100</v>
      </c>
      <c r="B7">
        <v>175</v>
      </c>
      <c r="D7" t="s">
        <v>89</v>
      </c>
      <c r="G7" t="s">
        <v>99</v>
      </c>
      <c r="N7" t="s">
        <v>94</v>
      </c>
    </row>
    <row r="8" spans="1:14" x14ac:dyDescent="0.3">
      <c r="A8">
        <v>75</v>
      </c>
      <c r="B8">
        <v>100</v>
      </c>
      <c r="D8" t="s">
        <v>88</v>
      </c>
      <c r="N8" t="s">
        <v>95</v>
      </c>
    </row>
    <row r="9" spans="1:14" x14ac:dyDescent="0.3">
      <c r="G9" t="s">
        <v>96</v>
      </c>
      <c r="N9" s="3" t="s">
        <v>98</v>
      </c>
    </row>
    <row r="10" spans="1:14" x14ac:dyDescent="0.3">
      <c r="A10" t="s">
        <v>92</v>
      </c>
      <c r="G10">
        <v>81</v>
      </c>
      <c r="H10" t="s">
        <v>110</v>
      </c>
      <c r="N10" t="s">
        <v>106</v>
      </c>
    </row>
    <row r="11" spans="1:14" x14ac:dyDescent="0.3">
      <c r="A11" t="s">
        <v>100</v>
      </c>
      <c r="N11" t="s">
        <v>107</v>
      </c>
    </row>
    <row r="12" spans="1:14" x14ac:dyDescent="0.3">
      <c r="G12" t="s">
        <v>97</v>
      </c>
      <c r="N12" t="s">
        <v>108</v>
      </c>
    </row>
    <row r="13" spans="1:14" x14ac:dyDescent="0.3">
      <c r="A13" t="s">
        <v>101</v>
      </c>
      <c r="B13">
        <f>A3+A4+E3+K3</f>
        <v>95</v>
      </c>
      <c r="N13" t="s">
        <v>111</v>
      </c>
    </row>
    <row r="14" spans="1:14" x14ac:dyDescent="0.3">
      <c r="A14" t="s">
        <v>102</v>
      </c>
      <c r="B14">
        <f>B13-MAX(A3,A4,E3,K3)</f>
        <v>57</v>
      </c>
      <c r="N14" t="s">
        <v>112</v>
      </c>
    </row>
    <row r="19" spans="13:14" x14ac:dyDescent="0.3">
      <c r="M19" t="s">
        <v>103</v>
      </c>
      <c r="N19" s="4" t="s">
        <v>104</v>
      </c>
    </row>
  </sheetData>
  <hyperlinks>
    <hyperlink ref="N1" r:id="rId1" xr:uid="{17C7C1D0-9655-47F3-A462-914298A463D9}"/>
    <hyperlink ref="N9" r:id="rId2" xr:uid="{98927F6F-05FF-47CE-9A6A-D052760439E7}"/>
  </hyperlinks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F4E583D-6924-4117-81E7-272AF92FF5F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nantucket</vt:lpstr>
      <vt:lpstr>resources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Dirk Lauinger</dc:creator>
  <cp:lastModifiedBy>Dirk Lauinger</cp:lastModifiedBy>
  <dcterms:created xsi:type="dcterms:W3CDTF">2024-10-08T13:28:18Z</dcterms:created>
  <dcterms:modified xsi:type="dcterms:W3CDTF">2024-10-08T15:33:35Z</dcterms:modified>
</cp:coreProperties>
</file>