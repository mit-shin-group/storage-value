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irkl\OneDrive\Desktop\ongoing_projects\MVS\dev\data\"/>
    </mc:Choice>
  </mc:AlternateContent>
  <xr:revisionPtr revIDLastSave="0" documentId="13_ncr:1_{3C232CD8-0EFA-46BC-A5C3-942AE6DB3C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groupby_state" sheetId="2" r:id="rId2"/>
  </sheets>
  <definedNames>
    <definedName name="_xlnm._FilterDatabase" localSheetId="1" hidden="1">groupby_state!$A$1:$C$1</definedName>
    <definedName name="_xlnm._FilterDatabase" localSheetId="0" hidden="1">Sheet1!$A$1:$AB$59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2" i="1" l="1"/>
  <c r="Y3" i="1"/>
</calcChain>
</file>

<file path=xl/sharedStrings.xml><?xml version="1.0" encoding="utf-8"?>
<sst xmlns="http://schemas.openxmlformats.org/spreadsheetml/2006/main" count="698" uniqueCount="211">
  <si>
    <t>Entity ID</t>
  </si>
  <si>
    <t>Entity Name</t>
  </si>
  <si>
    <t>Plant ID</t>
  </si>
  <si>
    <t>Plant Name</t>
  </si>
  <si>
    <t>Plant State</t>
  </si>
  <si>
    <t>County</t>
  </si>
  <si>
    <t>Balancing Authority Code</t>
  </si>
  <si>
    <t>Sector</t>
  </si>
  <si>
    <t>Generator ID</t>
  </si>
  <si>
    <t>Nameplate Capacity (MW)</t>
  </si>
  <si>
    <t>Net Summer Capacity (MW)</t>
  </si>
  <si>
    <t>Net Winter Capacity (MW)</t>
  </si>
  <si>
    <t>Technology</t>
  </si>
  <si>
    <t>Energy Source Code</t>
  </si>
  <si>
    <t>Prime Mover Code</t>
  </si>
  <si>
    <t>Operating Month</t>
  </si>
  <si>
    <t>Operating Year</t>
  </si>
  <si>
    <t>Status</t>
  </si>
  <si>
    <t>Nameplate Energy Capacity (MWh)</t>
  </si>
  <si>
    <t>Latitude</t>
  </si>
  <si>
    <t>Longitude</t>
  </si>
  <si>
    <t>Nantucket Electric Co</t>
  </si>
  <si>
    <t>Nantucket Hybrid</t>
  </si>
  <si>
    <t>MA</t>
  </si>
  <si>
    <t>Nantucket</t>
  </si>
  <si>
    <t>ISNE</t>
  </si>
  <si>
    <t>Electric Utility</t>
  </si>
  <si>
    <t>20</t>
  </si>
  <si>
    <t>Batteries</t>
  </si>
  <si>
    <t>MWH</t>
  </si>
  <si>
    <t>BA</t>
  </si>
  <si>
    <t>(OP) Operating</t>
  </si>
  <si>
    <t>City of Taunton</t>
  </si>
  <si>
    <t>Cleary Flood Hybrid</t>
  </si>
  <si>
    <t>Bristol</t>
  </si>
  <si>
    <t>BS1</t>
  </si>
  <si>
    <t>Duke Energy Ohio Inc</t>
  </si>
  <si>
    <t>Walter C Beckjord</t>
  </si>
  <si>
    <t>OH</t>
  </si>
  <si>
    <t>Clermont</t>
  </si>
  <si>
    <t>PJM</t>
  </si>
  <si>
    <t>BECK1</t>
  </si>
  <si>
    <t>BECK2</t>
  </si>
  <si>
    <t>Southern California Edison Co</t>
  </si>
  <si>
    <t>Pebbly Beach Generating Station Hybrid</t>
  </si>
  <si>
    <t>CA</t>
  </si>
  <si>
    <t>Los Angeles</t>
  </si>
  <si>
    <t>CISO</t>
  </si>
  <si>
    <t>NASB1</t>
  </si>
  <si>
    <t>Grapeland Hybrid</t>
  </si>
  <si>
    <t>San Bernardino</t>
  </si>
  <si>
    <t>BA1</t>
  </si>
  <si>
    <t>Center Hybrid</t>
  </si>
  <si>
    <t>Dominion Energy Inc.</t>
  </si>
  <si>
    <t>Scott Solar Farm</t>
  </si>
  <si>
    <t>VA</t>
  </si>
  <si>
    <t>Powhatan</t>
  </si>
  <si>
    <t>SCBS</t>
  </si>
  <si>
    <t>SDGE Batteries</t>
  </si>
  <si>
    <t>Borrego Springs Energy Storage</t>
  </si>
  <si>
    <t>San Diego</t>
  </si>
  <si>
    <t>SES1</t>
  </si>
  <si>
    <t>SES2</t>
  </si>
  <si>
    <t>Pala Energy Storage Yard</t>
  </si>
  <si>
    <t>(OS) Out of service and NOT expected to return to service in next calendar year</t>
  </si>
  <si>
    <t>Ortega Highway Energy Storage</t>
  </si>
  <si>
    <t>Orange</t>
  </si>
  <si>
    <t>Canyon Crest Academy</t>
  </si>
  <si>
    <t>SES</t>
  </si>
  <si>
    <t>San Diego Gas &amp; Electric Co</t>
  </si>
  <si>
    <t>El Cajon Energy Storage</t>
  </si>
  <si>
    <t>Escondido Energy Storage</t>
  </si>
  <si>
    <t>Mira Loma Energy Storage Facility</t>
  </si>
  <si>
    <t>013A</t>
  </si>
  <si>
    <t>013B</t>
  </si>
  <si>
    <t>Arizona Electric Pwr Coop Inc</t>
  </si>
  <si>
    <t>SunAnza</t>
  </si>
  <si>
    <t>Riverside</t>
  </si>
  <si>
    <t>BA1&amp;2</t>
  </si>
  <si>
    <t>BA3</t>
  </si>
  <si>
    <t>Sterling Municipal Light Department</t>
  </si>
  <si>
    <t>Chocksett Rd Energy Storage Project</t>
  </si>
  <si>
    <t>Worcester</t>
  </si>
  <si>
    <t>Vanadium Redox Flow Battery Plant</t>
  </si>
  <si>
    <t>VRF</t>
  </si>
  <si>
    <t>Fallbrook Energy Storage</t>
  </si>
  <si>
    <t>FBES</t>
  </si>
  <si>
    <t>Top Gun Energy Storage</t>
  </si>
  <si>
    <t>TGES</t>
  </si>
  <si>
    <t>Hopewell Valley High School</t>
  </si>
  <si>
    <t>Hopewell Valley High School Hybrid</t>
  </si>
  <si>
    <t>NJ</t>
  </si>
  <si>
    <t>Mercer</t>
  </si>
  <si>
    <t>Austin Energy</t>
  </si>
  <si>
    <t>Kingsberry Energy Storage System</t>
  </si>
  <si>
    <t>TX</t>
  </si>
  <si>
    <t>Travis</t>
  </si>
  <si>
    <t>ERCO</t>
  </si>
  <si>
    <t>KBESS</t>
  </si>
  <si>
    <t>Consumers Energy Co - (MI)</t>
  </si>
  <si>
    <t>Parkview Battery</t>
  </si>
  <si>
    <t>MI</t>
  </si>
  <si>
    <t>Kalamazoo</t>
  </si>
  <si>
    <t>MISO</t>
  </si>
  <si>
    <t>PKVWB</t>
  </si>
  <si>
    <t>Ameren Illinois</t>
  </si>
  <si>
    <t>TAC-Distributed Energy Resource Hybrid</t>
  </si>
  <si>
    <t>IL</t>
  </si>
  <si>
    <t>Champaign</t>
  </si>
  <si>
    <t>Caldwell Wastewater Treatment Plant</t>
  </si>
  <si>
    <t>Caldwell Wastewater Treatment Plant Hybr</t>
  </si>
  <si>
    <t>Essex</t>
  </si>
  <si>
    <t>BAT1</t>
  </si>
  <si>
    <t>Massachusetts Mun Wholes Electric Co</t>
  </si>
  <si>
    <t>Ashburnham Energy Storage Project</t>
  </si>
  <si>
    <t>AMLPB</t>
  </si>
  <si>
    <t>Town of Braintree - (MA)</t>
  </si>
  <si>
    <t>Station 9 Energy Storage System</t>
  </si>
  <si>
    <t>Norfolk</t>
  </si>
  <si>
    <t>ESS1</t>
  </si>
  <si>
    <t>DESI-2 Battery Storage Facility</t>
  </si>
  <si>
    <t>DESI2</t>
  </si>
  <si>
    <t>Pacific Gas &amp; Electric Co.</t>
  </si>
  <si>
    <t>Elkhorn Battery Energy Storage System</t>
  </si>
  <si>
    <t>Monterey</t>
  </si>
  <si>
    <t>ELKHO</t>
  </si>
  <si>
    <t>Beebe Substation Battery Storage</t>
  </si>
  <si>
    <t>Middlesex</t>
  </si>
  <si>
    <t>WAKFD</t>
  </si>
  <si>
    <t>City of San Antonio - (TX)</t>
  </si>
  <si>
    <t>Commerce ESS</t>
  </si>
  <si>
    <t>Bexar</t>
  </si>
  <si>
    <t>Consolidated Edison Co-NY Inc</t>
  </si>
  <si>
    <t>98th Street Battery Storage Station</t>
  </si>
  <si>
    <t>NY</t>
  </si>
  <si>
    <t>Queens</t>
  </si>
  <si>
    <t>NYIS</t>
  </si>
  <si>
    <t>ESS98</t>
  </si>
  <si>
    <t>National Grid</t>
  </si>
  <si>
    <t>East Pulaski BESS</t>
  </si>
  <si>
    <t>Oswego</t>
  </si>
  <si>
    <t>BESS</t>
  </si>
  <si>
    <t>New York Power Authority</t>
  </si>
  <si>
    <t>Willis Battery Storage</t>
  </si>
  <si>
    <t>Franklin</t>
  </si>
  <si>
    <t>WB1</t>
  </si>
  <si>
    <t>Yorktown Battery Energy Storage Facility</t>
  </si>
  <si>
    <t>YORK1</t>
  </si>
  <si>
    <t>Cadillac Battery Energy Storage Facility</t>
  </si>
  <si>
    <t>CAD1</t>
  </si>
  <si>
    <t>Orange &amp; Rockland Utils Inc</t>
  </si>
  <si>
    <t>NY3 Battery</t>
  </si>
  <si>
    <t>Rockland</t>
  </si>
  <si>
    <t>NY3</t>
  </si>
  <si>
    <t>Kearny North Energy Storage</t>
  </si>
  <si>
    <t>KNES</t>
  </si>
  <si>
    <t>Kearny South Energy Storage</t>
  </si>
  <si>
    <t>KSES</t>
  </si>
  <si>
    <t>Redwood Coast Energy Authority</t>
  </si>
  <si>
    <t>Redwood Coast Airport Microgrid</t>
  </si>
  <si>
    <t>Humboldt</t>
  </si>
  <si>
    <t>RCAM2</t>
  </si>
  <si>
    <t>Bissell Solar and Battery Generator</t>
  </si>
  <si>
    <t>Kent</t>
  </si>
  <si>
    <t>BISBP</t>
  </si>
  <si>
    <t>Fox Hills Battery Station</t>
  </si>
  <si>
    <t>Richmond</t>
  </si>
  <si>
    <t>ESSFH</t>
  </si>
  <si>
    <t>Dry Bridge Storage</t>
  </si>
  <si>
    <t>Chesterfield</t>
  </si>
  <si>
    <t>DBES</t>
  </si>
  <si>
    <t>Separator (Etiwanda) BESS</t>
  </si>
  <si>
    <t>SEPAR</t>
  </si>
  <si>
    <t>Cathode (Hinson) BESS</t>
  </si>
  <si>
    <t>CATH1</t>
  </si>
  <si>
    <t>CATH2</t>
  </si>
  <si>
    <t>Public Service Elec &amp; Gas Co</t>
  </si>
  <si>
    <t>Highland Park Borough Solar</t>
  </si>
  <si>
    <t>HPBA</t>
  </si>
  <si>
    <t>Paradise Energy Storage</t>
  </si>
  <si>
    <t>1</t>
  </si>
  <si>
    <t>Clairemont Energy Storage</t>
  </si>
  <si>
    <t>Elliott Energy Storage</t>
  </si>
  <si>
    <t>Boulevard Energy Storage</t>
  </si>
  <si>
    <t>Pala Gomez Creek BESS</t>
  </si>
  <si>
    <t>Melrose BESS</t>
  </si>
  <si>
    <t>2</t>
  </si>
  <si>
    <t>Link</t>
  </si>
  <si>
    <t>Investment Cost (million $)</t>
  </si>
  <si>
    <t>Note</t>
  </si>
  <si>
    <t>with diesel</t>
  </si>
  <si>
    <t>1.25 million grant from MASS DOER, estimated revenue</t>
  </si>
  <si>
    <t>Yearly Market Revenue ($k)</t>
  </si>
  <si>
    <t>https://www.tmlp.com/2020-annual-report/</t>
  </si>
  <si>
    <t>Peak shaving</t>
  </si>
  <si>
    <t>Battery cells</t>
  </si>
  <si>
    <t>LG Chem</t>
  </si>
  <si>
    <t>Frequency regulation</t>
  </si>
  <si>
    <t>https://www.utilitydive.com/news/duke-energy-restyles-retired-ohio-coal-plant-into-battery-storage-facility/409552/</t>
  </si>
  <si>
    <t>Sodium-Sulfur</t>
  </si>
  <si>
    <t>Microgrid, run diesel generator at required minimum output so that they can function properly</t>
  </si>
  <si>
    <t>https://docs.cpuc.ca.gov/PublishedDocs/Published/G000/M517/K091/517091766.PDF, https://energized.edison.com/stories/cleaning-up-power-production-on-catalina-island, https://energized.edison.com/stories/batteries-help-keep-catalinas-lights-on. https://www.sce.com/sites/default/files/inline-files/CatalinaWhitePaperExecutiveSummary.pdf</t>
  </si>
  <si>
    <t>Missing</t>
  </si>
  <si>
    <t>Eversource battery</t>
  </si>
  <si>
    <t>Wholesale Market participation</t>
  </si>
  <si>
    <t xml:space="preserve">Distribution </t>
  </si>
  <si>
    <t>Peak shaving?</t>
  </si>
  <si>
    <t>Ancillary and arbitrage</t>
  </si>
  <si>
    <t>GA</t>
  </si>
  <si>
    <t>OR</t>
  </si>
  <si>
    <t>Allowed market participation?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</si>
</sst>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1" fontId="0" fillId="0" borderId="0" xfId="0" applyNumberFormat="1"/>
    <xf numFmtId="0" fontId="2" fillId="0" borderId="0" xfId="1"/>
    <xf numFmtId="0" fontId="1" fillId="0" borderId="1" xfId="0" applyFont="1" applyBorder="1" applyAlignment="1">
      <alignment vertical="top"/>
    </xf>
    <xf numFmtId="169" fontId="0" fillId="0" borderId="0" xfId="2" applyNumberFormat="1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mlp.com/2020-annual-re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workbookViewId="0">
      <pane ySplit="1" topLeftCell="A2" activePane="bottomLeft" state="frozen"/>
      <selection activeCell="C1" sqref="C1"/>
      <selection pane="bottomLeft" activeCell="S1" sqref="S1"/>
    </sheetView>
  </sheetViews>
  <sheetFormatPr defaultRowHeight="15" x14ac:dyDescent="0.25"/>
  <cols>
    <col min="1" max="1" width="9.7109375" customWidth="1"/>
    <col min="2" max="2" width="35.85546875" bestFit="1" customWidth="1"/>
    <col min="3" max="3" width="7.42578125" customWidth="1"/>
    <col min="4" max="4" width="40.140625" bestFit="1" customWidth="1"/>
    <col min="5" max="5" width="10.5703125" bestFit="1" customWidth="1"/>
    <col min="6" max="6" width="14.5703125" bestFit="1" customWidth="1"/>
    <col min="7" max="7" width="6.140625" customWidth="1"/>
    <col min="8" max="8" width="13.42578125" bestFit="1" customWidth="1"/>
    <col min="9" max="9" width="12.42578125" bestFit="1" customWidth="1"/>
    <col min="10" max="10" width="9.140625" customWidth="1"/>
    <col min="11" max="11" width="8.28515625" customWidth="1"/>
    <col min="12" max="12" width="10" customWidth="1"/>
    <col min="13" max="13" width="11.140625" bestFit="1" customWidth="1"/>
    <col min="14" max="14" width="8.28515625" customWidth="1"/>
    <col min="15" max="15" width="5.5703125" customWidth="1"/>
    <col min="16" max="16" width="4.5703125" customWidth="1"/>
    <col min="17" max="17" width="6" customWidth="1"/>
    <col min="18" max="18" width="26" customWidth="1"/>
    <col min="19" max="19" width="10.5703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188</v>
      </c>
      <c r="W1" s="2" t="s">
        <v>205</v>
      </c>
      <c r="X1" s="2" t="s">
        <v>204</v>
      </c>
      <c r="Y1" s="5" t="s">
        <v>192</v>
      </c>
      <c r="Z1" s="5" t="s">
        <v>187</v>
      </c>
      <c r="AA1" s="5" t="s">
        <v>195</v>
      </c>
      <c r="AB1" s="5" t="s">
        <v>189</v>
      </c>
    </row>
    <row r="2" spans="1:28" x14ac:dyDescent="0.25">
      <c r="A2">
        <v>13206</v>
      </c>
      <c r="B2" t="s">
        <v>21</v>
      </c>
      <c r="C2">
        <v>1615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6</v>
      </c>
      <c r="K2">
        <v>6</v>
      </c>
      <c r="L2">
        <v>6</v>
      </c>
      <c r="M2" t="s">
        <v>28</v>
      </c>
      <c r="N2" t="s">
        <v>29</v>
      </c>
      <c r="O2" t="s">
        <v>30</v>
      </c>
      <c r="P2">
        <v>7</v>
      </c>
      <c r="Q2">
        <v>2019</v>
      </c>
      <c r="R2" t="s">
        <v>31</v>
      </c>
      <c r="S2">
        <v>48</v>
      </c>
      <c r="T2">
        <v>41.258299999999998</v>
      </c>
      <c r="U2">
        <v>-70.051699999999997</v>
      </c>
      <c r="V2">
        <v>84</v>
      </c>
      <c r="W2" t="s">
        <v>194</v>
      </c>
      <c r="AB2" t="s">
        <v>190</v>
      </c>
    </row>
    <row r="3" spans="1:28" x14ac:dyDescent="0.25">
      <c r="A3">
        <v>18488</v>
      </c>
      <c r="B3" t="s">
        <v>32</v>
      </c>
      <c r="C3">
        <v>1682</v>
      </c>
      <c r="D3" t="s">
        <v>33</v>
      </c>
      <c r="E3" t="s">
        <v>23</v>
      </c>
      <c r="F3" t="s">
        <v>34</v>
      </c>
      <c r="G3" t="s">
        <v>25</v>
      </c>
      <c r="H3" t="s">
        <v>26</v>
      </c>
      <c r="I3" t="s">
        <v>35</v>
      </c>
      <c r="J3">
        <v>3</v>
      </c>
      <c r="K3">
        <v>2.9</v>
      </c>
      <c r="L3">
        <v>3</v>
      </c>
      <c r="M3" t="s">
        <v>28</v>
      </c>
      <c r="N3" t="s">
        <v>29</v>
      </c>
      <c r="O3" t="s">
        <v>30</v>
      </c>
      <c r="P3">
        <v>3</v>
      </c>
      <c r="Q3">
        <v>2020</v>
      </c>
      <c r="R3" t="s">
        <v>31</v>
      </c>
      <c r="S3">
        <v>6</v>
      </c>
      <c r="T3">
        <v>41.865299999999998</v>
      </c>
      <c r="U3">
        <v>-71.106099999999998</v>
      </c>
      <c r="W3" t="s">
        <v>206</v>
      </c>
      <c r="Y3" s="3">
        <f>166*12/9</f>
        <v>221.33333333333334</v>
      </c>
      <c r="Z3" s="4" t="s">
        <v>193</v>
      </c>
      <c r="AA3" s="4"/>
      <c r="AB3" t="s">
        <v>191</v>
      </c>
    </row>
    <row r="4" spans="1:28" x14ac:dyDescent="0.25">
      <c r="A4">
        <v>3542</v>
      </c>
      <c r="B4" t="s">
        <v>36</v>
      </c>
      <c r="C4">
        <v>2830</v>
      </c>
      <c r="D4" t="s">
        <v>37</v>
      </c>
      <c r="E4" t="s">
        <v>38</v>
      </c>
      <c r="F4" t="s">
        <v>39</v>
      </c>
      <c r="G4" t="s">
        <v>40</v>
      </c>
      <c r="H4" t="s">
        <v>26</v>
      </c>
      <c r="I4" t="s">
        <v>41</v>
      </c>
      <c r="J4">
        <v>2</v>
      </c>
      <c r="K4">
        <v>2</v>
      </c>
      <c r="L4">
        <v>2</v>
      </c>
      <c r="M4" t="s">
        <v>28</v>
      </c>
      <c r="N4" t="s">
        <v>29</v>
      </c>
      <c r="O4" t="s">
        <v>30</v>
      </c>
      <c r="P4">
        <v>1</v>
      </c>
      <c r="Q4">
        <v>2015</v>
      </c>
      <c r="R4" t="s">
        <v>31</v>
      </c>
      <c r="S4">
        <v>1</v>
      </c>
      <c r="T4">
        <v>38.991700000000002</v>
      </c>
      <c r="U4">
        <v>-84.298100000000005</v>
      </c>
      <c r="X4" t="s">
        <v>197</v>
      </c>
      <c r="Z4" t="s">
        <v>198</v>
      </c>
      <c r="AA4" t="s">
        <v>196</v>
      </c>
    </row>
    <row r="5" spans="1:28" x14ac:dyDescent="0.25">
      <c r="A5">
        <v>3542</v>
      </c>
      <c r="B5" t="s">
        <v>36</v>
      </c>
      <c r="C5">
        <v>2830</v>
      </c>
      <c r="D5" t="s">
        <v>37</v>
      </c>
      <c r="E5" t="s">
        <v>38</v>
      </c>
      <c r="F5" t="s">
        <v>39</v>
      </c>
      <c r="G5" t="s">
        <v>40</v>
      </c>
      <c r="H5" t="s">
        <v>26</v>
      </c>
      <c r="I5" t="s">
        <v>42</v>
      </c>
      <c r="J5">
        <v>2</v>
      </c>
      <c r="K5">
        <v>2</v>
      </c>
      <c r="L5">
        <v>2</v>
      </c>
      <c r="M5" t="s">
        <v>28</v>
      </c>
      <c r="N5" t="s">
        <v>29</v>
      </c>
      <c r="O5" t="s">
        <v>30</v>
      </c>
      <c r="P5">
        <v>11</v>
      </c>
      <c r="Q5">
        <v>2015</v>
      </c>
      <c r="R5" t="s">
        <v>31</v>
      </c>
      <c r="S5">
        <v>0.8</v>
      </c>
      <c r="T5">
        <v>38.991700000000002</v>
      </c>
      <c r="U5">
        <v>-84.298100000000005</v>
      </c>
      <c r="W5" t="s">
        <v>200</v>
      </c>
      <c r="Z5" t="s">
        <v>201</v>
      </c>
      <c r="AA5" t="s">
        <v>199</v>
      </c>
    </row>
    <row r="6" spans="1:28" x14ac:dyDescent="0.25">
      <c r="A6">
        <v>17609</v>
      </c>
      <c r="B6" t="s">
        <v>43</v>
      </c>
      <c r="C6">
        <v>6704</v>
      </c>
      <c r="D6" t="s">
        <v>44</v>
      </c>
      <c r="E6" t="s">
        <v>45</v>
      </c>
      <c r="F6" t="s">
        <v>46</v>
      </c>
      <c r="G6" t="s">
        <v>47</v>
      </c>
      <c r="H6" t="s">
        <v>26</v>
      </c>
      <c r="I6" t="s">
        <v>48</v>
      </c>
      <c r="J6">
        <v>1</v>
      </c>
      <c r="K6">
        <v>1</v>
      </c>
      <c r="L6">
        <v>1</v>
      </c>
      <c r="M6" t="s">
        <v>28</v>
      </c>
      <c r="N6" t="s">
        <v>29</v>
      </c>
      <c r="O6" t="s">
        <v>30</v>
      </c>
      <c r="P6">
        <v>8</v>
      </c>
      <c r="Q6">
        <v>2012</v>
      </c>
      <c r="R6" t="s">
        <v>31</v>
      </c>
      <c r="S6">
        <v>6.8</v>
      </c>
      <c r="T6">
        <v>33.333055999999999</v>
      </c>
      <c r="U6">
        <v>-118.3103</v>
      </c>
    </row>
    <row r="7" spans="1:28" x14ac:dyDescent="0.25">
      <c r="A7">
        <v>17609</v>
      </c>
      <c r="B7" t="s">
        <v>43</v>
      </c>
      <c r="C7">
        <v>56472</v>
      </c>
      <c r="D7" t="s">
        <v>49</v>
      </c>
      <c r="E7" t="s">
        <v>45</v>
      </c>
      <c r="F7" t="s">
        <v>50</v>
      </c>
      <c r="G7" t="s">
        <v>47</v>
      </c>
      <c r="H7" t="s">
        <v>26</v>
      </c>
      <c r="I7" t="s">
        <v>51</v>
      </c>
      <c r="J7">
        <v>10</v>
      </c>
      <c r="K7">
        <v>10</v>
      </c>
      <c r="L7">
        <v>10</v>
      </c>
      <c r="M7" t="s">
        <v>28</v>
      </c>
      <c r="N7" t="s">
        <v>29</v>
      </c>
      <c r="O7" t="s">
        <v>30</v>
      </c>
      <c r="P7">
        <v>12</v>
      </c>
      <c r="Q7">
        <v>2016</v>
      </c>
      <c r="R7" t="s">
        <v>31</v>
      </c>
      <c r="S7">
        <v>10</v>
      </c>
      <c r="T7">
        <v>34.090299999999999</v>
      </c>
      <c r="U7">
        <v>-117.5343</v>
      </c>
    </row>
    <row r="8" spans="1:28" x14ac:dyDescent="0.25">
      <c r="A8">
        <v>17609</v>
      </c>
      <c r="B8" t="s">
        <v>43</v>
      </c>
      <c r="C8">
        <v>56475</v>
      </c>
      <c r="D8" t="s">
        <v>52</v>
      </c>
      <c r="E8" t="s">
        <v>45</v>
      </c>
      <c r="F8" t="s">
        <v>46</v>
      </c>
      <c r="G8" t="s">
        <v>47</v>
      </c>
      <c r="H8" t="s">
        <v>26</v>
      </c>
      <c r="I8" t="s">
        <v>51</v>
      </c>
      <c r="J8">
        <v>10</v>
      </c>
      <c r="K8">
        <v>10</v>
      </c>
      <c r="L8">
        <v>10</v>
      </c>
      <c r="M8" t="s">
        <v>28</v>
      </c>
      <c r="N8" t="s">
        <v>29</v>
      </c>
      <c r="O8" t="s">
        <v>30</v>
      </c>
      <c r="P8">
        <v>12</v>
      </c>
      <c r="Q8">
        <v>2016</v>
      </c>
      <c r="R8" t="s">
        <v>31</v>
      </c>
      <c r="S8">
        <v>10</v>
      </c>
      <c r="T8">
        <v>33.929600000000001</v>
      </c>
      <c r="U8">
        <v>-118.1046</v>
      </c>
    </row>
    <row r="9" spans="1:28" x14ac:dyDescent="0.25">
      <c r="A9">
        <v>5248</v>
      </c>
      <c r="B9" t="s">
        <v>53</v>
      </c>
      <c r="C9">
        <v>60316</v>
      </c>
      <c r="D9" t="s">
        <v>54</v>
      </c>
      <c r="E9" t="s">
        <v>55</v>
      </c>
      <c r="F9" t="s">
        <v>56</v>
      </c>
      <c r="G9" t="s">
        <v>40</v>
      </c>
      <c r="H9" t="s">
        <v>26</v>
      </c>
      <c r="I9" t="s">
        <v>57</v>
      </c>
      <c r="J9">
        <v>40</v>
      </c>
      <c r="K9">
        <v>40</v>
      </c>
      <c r="L9">
        <v>40</v>
      </c>
      <c r="M9" t="s">
        <v>28</v>
      </c>
      <c r="N9" t="s">
        <v>29</v>
      </c>
      <c r="O9" t="s">
        <v>30</v>
      </c>
      <c r="P9">
        <v>12</v>
      </c>
      <c r="Q9">
        <v>2022</v>
      </c>
      <c r="R9" t="s">
        <v>31</v>
      </c>
      <c r="S9">
        <v>48</v>
      </c>
      <c r="T9">
        <v>37.523000000000003</v>
      </c>
      <c r="U9">
        <v>-77.933999999999997</v>
      </c>
    </row>
    <row r="10" spans="1:28" x14ac:dyDescent="0.25">
      <c r="A10">
        <v>60336</v>
      </c>
      <c r="B10" t="s">
        <v>58</v>
      </c>
      <c r="C10">
        <v>60565</v>
      </c>
      <c r="D10" t="s">
        <v>59</v>
      </c>
      <c r="E10" t="s">
        <v>45</v>
      </c>
      <c r="F10" t="s">
        <v>60</v>
      </c>
      <c r="G10" t="s">
        <v>47</v>
      </c>
      <c r="H10" t="s">
        <v>26</v>
      </c>
      <c r="I10" t="s">
        <v>61</v>
      </c>
      <c r="J10">
        <v>0.5</v>
      </c>
      <c r="K10">
        <v>0.5</v>
      </c>
      <c r="L10">
        <v>0.5</v>
      </c>
      <c r="M10" t="s">
        <v>28</v>
      </c>
      <c r="N10" t="s">
        <v>29</v>
      </c>
      <c r="O10" t="s">
        <v>30</v>
      </c>
      <c r="P10">
        <v>12</v>
      </c>
      <c r="Q10">
        <v>2012</v>
      </c>
      <c r="R10" t="s">
        <v>31</v>
      </c>
      <c r="S10">
        <v>1.5</v>
      </c>
      <c r="T10">
        <v>33.270110000000003</v>
      </c>
      <c r="U10">
        <v>-116.3496</v>
      </c>
    </row>
    <row r="11" spans="1:28" x14ac:dyDescent="0.25">
      <c r="A11">
        <v>60336</v>
      </c>
      <c r="B11" t="s">
        <v>58</v>
      </c>
      <c r="C11">
        <v>60565</v>
      </c>
      <c r="D11" t="s">
        <v>59</v>
      </c>
      <c r="E11" t="s">
        <v>45</v>
      </c>
      <c r="F11" t="s">
        <v>60</v>
      </c>
      <c r="G11" t="s">
        <v>47</v>
      </c>
      <c r="H11" t="s">
        <v>26</v>
      </c>
      <c r="I11" t="s">
        <v>62</v>
      </c>
      <c r="J11">
        <v>1</v>
      </c>
      <c r="K11">
        <v>1</v>
      </c>
      <c r="L11">
        <v>1</v>
      </c>
      <c r="M11" t="s">
        <v>28</v>
      </c>
      <c r="N11" t="s">
        <v>29</v>
      </c>
      <c r="O11" t="s">
        <v>30</v>
      </c>
      <c r="P11">
        <v>2</v>
      </c>
      <c r="Q11">
        <v>2014</v>
      </c>
      <c r="R11" t="s">
        <v>31</v>
      </c>
      <c r="S11">
        <v>3</v>
      </c>
      <c r="T11">
        <v>33.270110000000003</v>
      </c>
      <c r="U11">
        <v>-116.3496</v>
      </c>
    </row>
    <row r="12" spans="1:28" x14ac:dyDescent="0.25">
      <c r="A12">
        <v>60336</v>
      </c>
      <c r="B12" t="s">
        <v>58</v>
      </c>
      <c r="C12">
        <v>60566</v>
      </c>
      <c r="D12" t="s">
        <v>63</v>
      </c>
      <c r="E12" t="s">
        <v>45</v>
      </c>
      <c r="F12" t="s">
        <v>60</v>
      </c>
      <c r="G12" t="s">
        <v>47</v>
      </c>
      <c r="H12" t="s">
        <v>26</v>
      </c>
      <c r="I12" t="s">
        <v>62</v>
      </c>
      <c r="J12">
        <v>1</v>
      </c>
      <c r="K12">
        <v>1</v>
      </c>
      <c r="L12">
        <v>1</v>
      </c>
      <c r="M12" t="s">
        <v>28</v>
      </c>
      <c r="N12" t="s">
        <v>29</v>
      </c>
      <c r="O12" t="s">
        <v>30</v>
      </c>
      <c r="P12">
        <v>8</v>
      </c>
      <c r="Q12">
        <v>2015</v>
      </c>
      <c r="R12" t="s">
        <v>64</v>
      </c>
      <c r="S12">
        <v>2</v>
      </c>
      <c r="T12">
        <v>33.35651</v>
      </c>
      <c r="U12">
        <v>-117.11360000000001</v>
      </c>
    </row>
    <row r="13" spans="1:28" x14ac:dyDescent="0.25">
      <c r="A13">
        <v>60336</v>
      </c>
      <c r="B13" t="s">
        <v>58</v>
      </c>
      <c r="C13">
        <v>60567</v>
      </c>
      <c r="D13" t="s">
        <v>65</v>
      </c>
      <c r="E13" t="s">
        <v>45</v>
      </c>
      <c r="F13" t="s">
        <v>66</v>
      </c>
      <c r="G13" t="s">
        <v>47</v>
      </c>
      <c r="H13" t="s">
        <v>26</v>
      </c>
      <c r="I13" t="s">
        <v>61</v>
      </c>
      <c r="J13">
        <v>1</v>
      </c>
      <c r="K13">
        <v>1</v>
      </c>
      <c r="L13">
        <v>1</v>
      </c>
      <c r="M13" t="s">
        <v>28</v>
      </c>
      <c r="N13" t="s">
        <v>29</v>
      </c>
      <c r="O13" t="s">
        <v>30</v>
      </c>
      <c r="P13">
        <v>5</v>
      </c>
      <c r="Q13">
        <v>2015</v>
      </c>
      <c r="R13" t="s">
        <v>31</v>
      </c>
      <c r="S13">
        <v>3</v>
      </c>
      <c r="T13">
        <v>33.562061</v>
      </c>
      <c r="U13">
        <v>-117.5438</v>
      </c>
    </row>
    <row r="14" spans="1:28" x14ac:dyDescent="0.25">
      <c r="A14">
        <v>60336</v>
      </c>
      <c r="B14" t="s">
        <v>58</v>
      </c>
      <c r="C14">
        <v>60567</v>
      </c>
      <c r="D14" t="s">
        <v>65</v>
      </c>
      <c r="E14" t="s">
        <v>45</v>
      </c>
      <c r="F14" t="s">
        <v>66</v>
      </c>
      <c r="G14" t="s">
        <v>47</v>
      </c>
      <c r="H14" t="s">
        <v>26</v>
      </c>
      <c r="I14" t="s">
        <v>62</v>
      </c>
      <c r="J14">
        <v>1</v>
      </c>
      <c r="K14">
        <v>1</v>
      </c>
      <c r="L14">
        <v>1</v>
      </c>
      <c r="M14" t="s">
        <v>28</v>
      </c>
      <c r="N14" t="s">
        <v>29</v>
      </c>
      <c r="O14" t="s">
        <v>30</v>
      </c>
      <c r="P14">
        <v>10</v>
      </c>
      <c r="Q14">
        <v>2015</v>
      </c>
      <c r="R14" t="s">
        <v>64</v>
      </c>
      <c r="S14">
        <v>3</v>
      </c>
      <c r="T14">
        <v>33.562061</v>
      </c>
      <c r="U14">
        <v>-117.5438</v>
      </c>
    </row>
    <row r="15" spans="1:28" x14ac:dyDescent="0.25">
      <c r="A15">
        <v>60336</v>
      </c>
      <c r="B15" t="s">
        <v>58</v>
      </c>
      <c r="C15">
        <v>60568</v>
      </c>
      <c r="D15" t="s">
        <v>67</v>
      </c>
      <c r="E15" t="s">
        <v>45</v>
      </c>
      <c r="F15" t="s">
        <v>60</v>
      </c>
      <c r="G15" t="s">
        <v>47</v>
      </c>
      <c r="H15" t="s">
        <v>26</v>
      </c>
      <c r="I15" t="s">
        <v>68</v>
      </c>
      <c r="J15">
        <v>1</v>
      </c>
      <c r="K15">
        <v>1</v>
      </c>
      <c r="L15">
        <v>1</v>
      </c>
      <c r="M15" t="s">
        <v>28</v>
      </c>
      <c r="N15" t="s">
        <v>29</v>
      </c>
      <c r="O15" t="s">
        <v>30</v>
      </c>
      <c r="P15">
        <v>10</v>
      </c>
      <c r="Q15">
        <v>2014</v>
      </c>
      <c r="R15" t="s">
        <v>31</v>
      </c>
      <c r="S15">
        <v>3</v>
      </c>
      <c r="T15">
        <v>32.959069999999997</v>
      </c>
      <c r="U15">
        <v>-117.19159999999999</v>
      </c>
    </row>
    <row r="16" spans="1:28" x14ac:dyDescent="0.25">
      <c r="A16">
        <v>16609</v>
      </c>
      <c r="B16" t="s">
        <v>69</v>
      </c>
      <c r="C16">
        <v>60569</v>
      </c>
      <c r="D16" t="s">
        <v>70</v>
      </c>
      <c r="E16" t="s">
        <v>45</v>
      </c>
      <c r="F16" t="s">
        <v>60</v>
      </c>
      <c r="G16" t="s">
        <v>47</v>
      </c>
      <c r="H16" t="s">
        <v>26</v>
      </c>
      <c r="I16" t="s">
        <v>68</v>
      </c>
      <c r="J16">
        <v>7.5</v>
      </c>
      <c r="K16">
        <v>7.5</v>
      </c>
      <c r="L16">
        <v>7.5</v>
      </c>
      <c r="M16" t="s">
        <v>28</v>
      </c>
      <c r="N16" t="s">
        <v>29</v>
      </c>
      <c r="O16" t="s">
        <v>30</v>
      </c>
      <c r="P16">
        <v>2</v>
      </c>
      <c r="Q16">
        <v>2017</v>
      </c>
      <c r="R16" t="s">
        <v>31</v>
      </c>
      <c r="S16">
        <v>30</v>
      </c>
      <c r="T16">
        <v>32.811500000000002</v>
      </c>
      <c r="U16">
        <v>-117.0505</v>
      </c>
    </row>
    <row r="17" spans="1:21" x14ac:dyDescent="0.25">
      <c r="A17">
        <v>16609</v>
      </c>
      <c r="B17" t="s">
        <v>69</v>
      </c>
      <c r="C17">
        <v>60570</v>
      </c>
      <c r="D17" t="s">
        <v>71</v>
      </c>
      <c r="E17" t="s">
        <v>45</v>
      </c>
      <c r="F17" t="s">
        <v>60</v>
      </c>
      <c r="G17" t="s">
        <v>47</v>
      </c>
      <c r="H17" t="s">
        <v>26</v>
      </c>
      <c r="I17" t="s">
        <v>68</v>
      </c>
      <c r="J17">
        <v>30</v>
      </c>
      <c r="K17">
        <v>30</v>
      </c>
      <c r="L17">
        <v>30</v>
      </c>
      <c r="M17" t="s">
        <v>28</v>
      </c>
      <c r="N17" t="s">
        <v>29</v>
      </c>
      <c r="O17" t="s">
        <v>30</v>
      </c>
      <c r="P17">
        <v>3</v>
      </c>
      <c r="Q17">
        <v>2017</v>
      </c>
      <c r="R17" t="s">
        <v>31</v>
      </c>
      <c r="S17">
        <v>120</v>
      </c>
      <c r="T17">
        <v>33.124445999999999</v>
      </c>
      <c r="U17">
        <v>-117.1143</v>
      </c>
    </row>
    <row r="18" spans="1:21" x14ac:dyDescent="0.25">
      <c r="A18">
        <v>17609</v>
      </c>
      <c r="B18" t="s">
        <v>43</v>
      </c>
      <c r="C18">
        <v>60661</v>
      </c>
      <c r="D18" t="s">
        <v>72</v>
      </c>
      <c r="E18" t="s">
        <v>45</v>
      </c>
      <c r="F18" t="s">
        <v>50</v>
      </c>
      <c r="G18" t="s">
        <v>47</v>
      </c>
      <c r="H18" t="s">
        <v>26</v>
      </c>
      <c r="I18" t="s">
        <v>73</v>
      </c>
      <c r="J18">
        <v>10</v>
      </c>
      <c r="K18">
        <v>10</v>
      </c>
      <c r="L18">
        <v>10</v>
      </c>
      <c r="M18" t="s">
        <v>28</v>
      </c>
      <c r="N18" t="s">
        <v>29</v>
      </c>
      <c r="O18" t="s">
        <v>30</v>
      </c>
      <c r="P18">
        <v>12</v>
      </c>
      <c r="Q18">
        <v>2016</v>
      </c>
      <c r="R18" t="s">
        <v>31</v>
      </c>
      <c r="S18">
        <v>40</v>
      </c>
      <c r="T18">
        <v>34.006124999999997</v>
      </c>
      <c r="U18">
        <v>-117.5609</v>
      </c>
    </row>
    <row r="19" spans="1:21" x14ac:dyDescent="0.25">
      <c r="A19">
        <v>17609</v>
      </c>
      <c r="B19" t="s">
        <v>43</v>
      </c>
      <c r="C19">
        <v>60661</v>
      </c>
      <c r="D19" t="s">
        <v>72</v>
      </c>
      <c r="E19" t="s">
        <v>45</v>
      </c>
      <c r="F19" t="s">
        <v>50</v>
      </c>
      <c r="G19" t="s">
        <v>47</v>
      </c>
      <c r="H19" t="s">
        <v>26</v>
      </c>
      <c r="I19" t="s">
        <v>74</v>
      </c>
      <c r="J19">
        <v>10</v>
      </c>
      <c r="K19">
        <v>10</v>
      </c>
      <c r="L19">
        <v>10</v>
      </c>
      <c r="M19" t="s">
        <v>28</v>
      </c>
      <c r="N19" t="s">
        <v>29</v>
      </c>
      <c r="O19" t="s">
        <v>30</v>
      </c>
      <c r="P19">
        <v>12</v>
      </c>
      <c r="Q19">
        <v>2016</v>
      </c>
      <c r="R19" t="s">
        <v>31</v>
      </c>
      <c r="S19">
        <v>40</v>
      </c>
      <c r="T19">
        <v>34.006124999999997</v>
      </c>
      <c r="U19">
        <v>-117.5609</v>
      </c>
    </row>
    <row r="20" spans="1:21" x14ac:dyDescent="0.25">
      <c r="A20">
        <v>796</v>
      </c>
      <c r="B20" t="s">
        <v>75</v>
      </c>
      <c r="C20">
        <v>60791</v>
      </c>
      <c r="D20" t="s">
        <v>76</v>
      </c>
      <c r="E20" t="s">
        <v>45</v>
      </c>
      <c r="F20" t="s">
        <v>77</v>
      </c>
      <c r="G20" t="s">
        <v>47</v>
      </c>
      <c r="H20" t="s">
        <v>26</v>
      </c>
      <c r="I20" t="s">
        <v>78</v>
      </c>
      <c r="J20">
        <v>2</v>
      </c>
      <c r="K20">
        <v>2</v>
      </c>
      <c r="L20">
        <v>2</v>
      </c>
      <c r="M20" t="s">
        <v>28</v>
      </c>
      <c r="N20" t="s">
        <v>29</v>
      </c>
      <c r="O20" t="s">
        <v>30</v>
      </c>
      <c r="P20">
        <v>1</v>
      </c>
      <c r="Q20">
        <v>2022</v>
      </c>
      <c r="R20" t="s">
        <v>31</v>
      </c>
      <c r="S20">
        <v>4</v>
      </c>
      <c r="T20">
        <v>33.555267000000001</v>
      </c>
      <c r="U20">
        <v>-116.6396</v>
      </c>
    </row>
    <row r="21" spans="1:21" x14ac:dyDescent="0.25">
      <c r="A21">
        <v>796</v>
      </c>
      <c r="B21" t="s">
        <v>75</v>
      </c>
      <c r="C21">
        <v>60791</v>
      </c>
      <c r="D21" t="s">
        <v>76</v>
      </c>
      <c r="E21" t="s">
        <v>45</v>
      </c>
      <c r="F21" t="s">
        <v>77</v>
      </c>
      <c r="G21" t="s">
        <v>47</v>
      </c>
      <c r="H21" t="s">
        <v>26</v>
      </c>
      <c r="I21" t="s">
        <v>79</v>
      </c>
      <c r="J21">
        <v>2.4</v>
      </c>
      <c r="K21">
        <v>2.4</v>
      </c>
      <c r="L21">
        <v>2.4</v>
      </c>
      <c r="M21" t="s">
        <v>28</v>
      </c>
      <c r="N21" t="s">
        <v>29</v>
      </c>
      <c r="O21" t="s">
        <v>30</v>
      </c>
      <c r="P21">
        <v>1</v>
      </c>
      <c r="Q21">
        <v>2023</v>
      </c>
      <c r="R21" t="s">
        <v>31</v>
      </c>
      <c r="S21">
        <v>5.2</v>
      </c>
      <c r="T21">
        <v>33.555267000000001</v>
      </c>
      <c r="U21">
        <v>-116.6396</v>
      </c>
    </row>
    <row r="22" spans="1:21" x14ac:dyDescent="0.25">
      <c r="A22">
        <v>58375</v>
      </c>
      <c r="B22" t="s">
        <v>80</v>
      </c>
      <c r="C22">
        <v>60959</v>
      </c>
      <c r="D22" t="s">
        <v>81</v>
      </c>
      <c r="E22" t="s">
        <v>23</v>
      </c>
      <c r="F22" t="s">
        <v>82</v>
      </c>
      <c r="G22" t="s">
        <v>25</v>
      </c>
      <c r="H22" t="s">
        <v>26</v>
      </c>
      <c r="I22" t="s">
        <v>51</v>
      </c>
      <c r="J22">
        <v>2</v>
      </c>
      <c r="K22">
        <v>2</v>
      </c>
      <c r="L22">
        <v>2</v>
      </c>
      <c r="M22" t="s">
        <v>28</v>
      </c>
      <c r="N22" t="s">
        <v>29</v>
      </c>
      <c r="O22" t="s">
        <v>30</v>
      </c>
      <c r="P22">
        <v>4</v>
      </c>
      <c r="Q22">
        <v>2017</v>
      </c>
      <c r="R22" t="s">
        <v>31</v>
      </c>
      <c r="S22">
        <v>3.9</v>
      </c>
      <c r="T22">
        <v>42.451836</v>
      </c>
      <c r="U22">
        <v>-71.737750000000005</v>
      </c>
    </row>
    <row r="23" spans="1:21" x14ac:dyDescent="0.25">
      <c r="A23">
        <v>60336</v>
      </c>
      <c r="B23" t="s">
        <v>58</v>
      </c>
      <c r="C23">
        <v>61107</v>
      </c>
      <c r="D23" t="s">
        <v>83</v>
      </c>
      <c r="E23" t="s">
        <v>45</v>
      </c>
      <c r="F23" t="s">
        <v>60</v>
      </c>
      <c r="G23" t="s">
        <v>47</v>
      </c>
      <c r="H23" t="s">
        <v>26</v>
      </c>
      <c r="I23" t="s">
        <v>84</v>
      </c>
      <c r="J23">
        <v>2</v>
      </c>
      <c r="K23">
        <v>2</v>
      </c>
      <c r="L23">
        <v>2</v>
      </c>
      <c r="M23" t="s">
        <v>28</v>
      </c>
      <c r="N23" t="s">
        <v>29</v>
      </c>
      <c r="O23" t="s">
        <v>30</v>
      </c>
      <c r="P23">
        <v>6</v>
      </c>
      <c r="Q23">
        <v>2017</v>
      </c>
      <c r="R23" t="s">
        <v>31</v>
      </c>
      <c r="S23">
        <v>8</v>
      </c>
      <c r="T23">
        <v>32.682505999999997</v>
      </c>
      <c r="U23">
        <v>-116.9888</v>
      </c>
    </row>
    <row r="24" spans="1:21" x14ac:dyDescent="0.25">
      <c r="A24">
        <v>16609</v>
      </c>
      <c r="B24" t="s">
        <v>69</v>
      </c>
      <c r="C24">
        <v>61365</v>
      </c>
      <c r="D24" t="s">
        <v>85</v>
      </c>
      <c r="E24" t="s">
        <v>45</v>
      </c>
      <c r="F24" t="s">
        <v>60</v>
      </c>
      <c r="G24" t="s">
        <v>47</v>
      </c>
      <c r="H24" t="s">
        <v>26</v>
      </c>
      <c r="I24" t="s">
        <v>86</v>
      </c>
      <c r="J24">
        <v>40</v>
      </c>
      <c r="K24">
        <v>40</v>
      </c>
      <c r="L24">
        <v>40</v>
      </c>
      <c r="M24" t="s">
        <v>28</v>
      </c>
      <c r="N24" t="s">
        <v>29</v>
      </c>
      <c r="O24" t="s">
        <v>30</v>
      </c>
      <c r="P24">
        <v>3</v>
      </c>
      <c r="Q24">
        <v>2023</v>
      </c>
      <c r="R24" t="s">
        <v>31</v>
      </c>
      <c r="S24">
        <v>40</v>
      </c>
      <c r="T24">
        <v>33.384244000000002</v>
      </c>
      <c r="U24">
        <v>-117.2353</v>
      </c>
    </row>
    <row r="25" spans="1:21" x14ac:dyDescent="0.25">
      <c r="A25">
        <v>16609</v>
      </c>
      <c r="B25" t="s">
        <v>69</v>
      </c>
      <c r="C25">
        <v>61366</v>
      </c>
      <c r="D25" t="s">
        <v>87</v>
      </c>
      <c r="E25" t="s">
        <v>45</v>
      </c>
      <c r="F25" t="s">
        <v>60</v>
      </c>
      <c r="G25" t="s">
        <v>47</v>
      </c>
      <c r="H25" t="s">
        <v>26</v>
      </c>
      <c r="I25" t="s">
        <v>88</v>
      </c>
      <c r="J25">
        <v>30</v>
      </c>
      <c r="K25">
        <v>30</v>
      </c>
      <c r="L25">
        <v>30</v>
      </c>
      <c r="M25" t="s">
        <v>28</v>
      </c>
      <c r="N25" t="s">
        <v>29</v>
      </c>
      <c r="O25" t="s">
        <v>30</v>
      </c>
      <c r="P25">
        <v>6</v>
      </c>
      <c r="Q25">
        <v>2021</v>
      </c>
      <c r="R25" t="s">
        <v>31</v>
      </c>
      <c r="S25">
        <v>120</v>
      </c>
      <c r="T25">
        <v>32.876198000000002</v>
      </c>
      <c r="U25">
        <v>-117.1678</v>
      </c>
    </row>
    <row r="26" spans="1:21" x14ac:dyDescent="0.25">
      <c r="A26">
        <v>61091</v>
      </c>
      <c r="B26" t="s">
        <v>89</v>
      </c>
      <c r="C26">
        <v>61473</v>
      </c>
      <c r="D26" t="s">
        <v>90</v>
      </c>
      <c r="E26" t="s">
        <v>91</v>
      </c>
      <c r="F26" t="s">
        <v>92</v>
      </c>
      <c r="G26" t="s">
        <v>40</v>
      </c>
      <c r="H26" t="s">
        <v>26</v>
      </c>
      <c r="I26" t="s">
        <v>51</v>
      </c>
      <c r="J26">
        <v>1</v>
      </c>
      <c r="K26">
        <v>1</v>
      </c>
      <c r="L26">
        <v>1</v>
      </c>
      <c r="M26" t="s">
        <v>28</v>
      </c>
      <c r="N26" t="s">
        <v>29</v>
      </c>
      <c r="O26" t="s">
        <v>30</v>
      </c>
      <c r="P26">
        <v>12</v>
      </c>
      <c r="Q26">
        <v>2015</v>
      </c>
      <c r="R26" t="s">
        <v>31</v>
      </c>
      <c r="S26">
        <v>1</v>
      </c>
      <c r="T26">
        <v>40.328004999999997</v>
      </c>
      <c r="U26">
        <v>-74.804900000000004</v>
      </c>
    </row>
    <row r="27" spans="1:21" x14ac:dyDescent="0.25">
      <c r="A27">
        <v>1015</v>
      </c>
      <c r="B27" t="s">
        <v>93</v>
      </c>
      <c r="C27">
        <v>61741</v>
      </c>
      <c r="D27" t="s">
        <v>94</v>
      </c>
      <c r="E27" t="s">
        <v>95</v>
      </c>
      <c r="F27" t="s">
        <v>96</v>
      </c>
      <c r="G27" t="s">
        <v>97</v>
      </c>
      <c r="H27" t="s">
        <v>26</v>
      </c>
      <c r="I27" t="s">
        <v>98</v>
      </c>
      <c r="J27">
        <v>1.5</v>
      </c>
      <c r="K27">
        <v>1.5</v>
      </c>
      <c r="L27">
        <v>1.5</v>
      </c>
      <c r="M27" t="s">
        <v>28</v>
      </c>
      <c r="N27" t="s">
        <v>29</v>
      </c>
      <c r="O27" t="s">
        <v>30</v>
      </c>
      <c r="P27">
        <v>9</v>
      </c>
      <c r="Q27">
        <v>2018</v>
      </c>
      <c r="R27" t="s">
        <v>31</v>
      </c>
      <c r="S27">
        <v>3</v>
      </c>
      <c r="T27">
        <v>30.266027999999999</v>
      </c>
      <c r="U27">
        <v>-97.686139999999995</v>
      </c>
    </row>
    <row r="28" spans="1:21" x14ac:dyDescent="0.25">
      <c r="A28">
        <v>4254</v>
      </c>
      <c r="B28" t="s">
        <v>99</v>
      </c>
      <c r="C28">
        <v>61909</v>
      </c>
      <c r="D28" t="s">
        <v>100</v>
      </c>
      <c r="E28" t="s">
        <v>101</v>
      </c>
      <c r="F28" t="s">
        <v>102</v>
      </c>
      <c r="G28" t="s">
        <v>103</v>
      </c>
      <c r="H28" t="s">
        <v>26</v>
      </c>
      <c r="I28" t="s">
        <v>104</v>
      </c>
      <c r="J28">
        <v>1.1000000000000001</v>
      </c>
      <c r="K28">
        <v>1</v>
      </c>
      <c r="L28">
        <v>1</v>
      </c>
      <c r="M28" t="s">
        <v>28</v>
      </c>
      <c r="N28" t="s">
        <v>29</v>
      </c>
      <c r="O28" t="s">
        <v>30</v>
      </c>
      <c r="P28">
        <v>9</v>
      </c>
      <c r="Q28">
        <v>2018</v>
      </c>
      <c r="R28" t="s">
        <v>31</v>
      </c>
      <c r="S28">
        <v>1</v>
      </c>
      <c r="T28">
        <v>42.26</v>
      </c>
      <c r="U28">
        <v>-85.649720000000002</v>
      </c>
    </row>
    <row r="29" spans="1:21" x14ac:dyDescent="0.25">
      <c r="A29">
        <v>61576</v>
      </c>
      <c r="B29" t="s">
        <v>105</v>
      </c>
      <c r="C29">
        <v>61990</v>
      </c>
      <c r="D29" t="s">
        <v>106</v>
      </c>
      <c r="E29" t="s">
        <v>107</v>
      </c>
      <c r="F29" t="s">
        <v>108</v>
      </c>
      <c r="G29" t="s">
        <v>103</v>
      </c>
      <c r="H29" t="s">
        <v>26</v>
      </c>
      <c r="I29" t="s">
        <v>30</v>
      </c>
      <c r="J29">
        <v>0.3</v>
      </c>
      <c r="K29">
        <v>0.3</v>
      </c>
      <c r="L29">
        <v>0.3</v>
      </c>
      <c r="M29" t="s">
        <v>28</v>
      </c>
      <c r="N29" t="s">
        <v>29</v>
      </c>
      <c r="O29" t="s">
        <v>30</v>
      </c>
      <c r="P29">
        <v>5</v>
      </c>
      <c r="Q29">
        <v>2017</v>
      </c>
      <c r="R29" t="s">
        <v>31</v>
      </c>
      <c r="S29">
        <v>0.5</v>
      </c>
      <c r="T29">
        <v>40.089796999999997</v>
      </c>
      <c r="U29">
        <v>-88.243570000000005</v>
      </c>
    </row>
    <row r="30" spans="1:21" x14ac:dyDescent="0.25">
      <c r="A30">
        <v>61597</v>
      </c>
      <c r="B30" t="s">
        <v>109</v>
      </c>
      <c r="C30">
        <v>62027</v>
      </c>
      <c r="D30" t="s">
        <v>110</v>
      </c>
      <c r="E30" t="s">
        <v>91</v>
      </c>
      <c r="F30" t="s">
        <v>111</v>
      </c>
      <c r="G30" t="s">
        <v>40</v>
      </c>
      <c r="H30" t="s">
        <v>26</v>
      </c>
      <c r="I30" t="s">
        <v>112</v>
      </c>
      <c r="J30">
        <v>1</v>
      </c>
      <c r="K30">
        <v>0.5</v>
      </c>
      <c r="L30">
        <v>0.5</v>
      </c>
      <c r="M30" t="s">
        <v>28</v>
      </c>
      <c r="N30" t="s">
        <v>29</v>
      </c>
      <c r="O30" t="s">
        <v>30</v>
      </c>
      <c r="P30">
        <v>12</v>
      </c>
      <c r="Q30">
        <v>2016</v>
      </c>
      <c r="R30" t="s">
        <v>31</v>
      </c>
      <c r="S30">
        <v>2</v>
      </c>
      <c r="T30">
        <v>40.838568000000002</v>
      </c>
      <c r="U30">
        <v>-74.312479999999994</v>
      </c>
    </row>
    <row r="31" spans="1:21" x14ac:dyDescent="0.25">
      <c r="A31">
        <v>11806</v>
      </c>
      <c r="B31" t="s">
        <v>113</v>
      </c>
      <c r="C31">
        <v>62219</v>
      </c>
      <c r="D31" t="s">
        <v>114</v>
      </c>
      <c r="E31" t="s">
        <v>23</v>
      </c>
      <c r="F31" t="s">
        <v>82</v>
      </c>
      <c r="G31" t="s">
        <v>25</v>
      </c>
      <c r="H31" t="s">
        <v>26</v>
      </c>
      <c r="I31" t="s">
        <v>115</v>
      </c>
      <c r="J31">
        <v>3</v>
      </c>
      <c r="K31">
        <v>3</v>
      </c>
      <c r="L31">
        <v>3</v>
      </c>
      <c r="M31" t="s">
        <v>28</v>
      </c>
      <c r="N31" t="s">
        <v>29</v>
      </c>
      <c r="O31" t="s">
        <v>30</v>
      </c>
      <c r="P31">
        <v>3</v>
      </c>
      <c r="Q31">
        <v>2019</v>
      </c>
      <c r="R31" t="s">
        <v>31</v>
      </c>
      <c r="S31">
        <v>3</v>
      </c>
      <c r="T31">
        <v>42.671444000000001</v>
      </c>
      <c r="U31">
        <v>-71.926699999999997</v>
      </c>
    </row>
    <row r="32" spans="1:21" x14ac:dyDescent="0.25">
      <c r="A32">
        <v>2144</v>
      </c>
      <c r="B32" t="s">
        <v>116</v>
      </c>
      <c r="C32">
        <v>62257</v>
      </c>
      <c r="D32" t="s">
        <v>117</v>
      </c>
      <c r="E32" t="s">
        <v>23</v>
      </c>
      <c r="F32" t="s">
        <v>118</v>
      </c>
      <c r="G32" t="s">
        <v>25</v>
      </c>
      <c r="H32" t="s">
        <v>26</v>
      </c>
      <c r="I32" t="s">
        <v>119</v>
      </c>
      <c r="J32">
        <v>2</v>
      </c>
      <c r="K32">
        <v>2</v>
      </c>
      <c r="L32">
        <v>2</v>
      </c>
      <c r="M32" t="s">
        <v>28</v>
      </c>
      <c r="N32" t="s">
        <v>29</v>
      </c>
      <c r="O32" t="s">
        <v>30</v>
      </c>
      <c r="P32">
        <v>6</v>
      </c>
      <c r="Q32">
        <v>2018</v>
      </c>
      <c r="R32" t="s">
        <v>31</v>
      </c>
      <c r="S32">
        <v>4.2</v>
      </c>
      <c r="T32">
        <v>42.187742999999998</v>
      </c>
      <c r="U32">
        <v>-70.97645</v>
      </c>
    </row>
    <row r="33" spans="1:25" x14ac:dyDescent="0.25">
      <c r="A33">
        <v>17609</v>
      </c>
      <c r="B33" t="s">
        <v>43</v>
      </c>
      <c r="C33">
        <v>62460</v>
      </c>
      <c r="D33" t="s">
        <v>120</v>
      </c>
      <c r="E33" t="s">
        <v>45</v>
      </c>
      <c r="F33" t="s">
        <v>66</v>
      </c>
      <c r="G33" t="s">
        <v>47</v>
      </c>
      <c r="H33" t="s">
        <v>26</v>
      </c>
      <c r="I33" t="s">
        <v>121</v>
      </c>
      <c r="J33">
        <v>1.4</v>
      </c>
      <c r="K33">
        <v>1.4</v>
      </c>
      <c r="L33">
        <v>1.4</v>
      </c>
      <c r="M33" t="s">
        <v>28</v>
      </c>
      <c r="N33" t="s">
        <v>29</v>
      </c>
      <c r="O33" t="s">
        <v>30</v>
      </c>
      <c r="P33">
        <v>10</v>
      </c>
      <c r="Q33">
        <v>2019</v>
      </c>
      <c r="R33" t="s">
        <v>31</v>
      </c>
      <c r="S33">
        <v>3.7</v>
      </c>
      <c r="T33">
        <v>33.735700000000001</v>
      </c>
      <c r="U33">
        <v>-117.9153</v>
      </c>
    </row>
    <row r="34" spans="1:25" x14ac:dyDescent="0.25">
      <c r="A34">
        <v>14328</v>
      </c>
      <c r="B34" t="s">
        <v>122</v>
      </c>
      <c r="C34">
        <v>62564</v>
      </c>
      <c r="D34" t="s">
        <v>123</v>
      </c>
      <c r="E34" t="s">
        <v>45</v>
      </c>
      <c r="F34" t="s">
        <v>124</v>
      </c>
      <c r="G34" t="s">
        <v>47</v>
      </c>
      <c r="H34" t="s">
        <v>26</v>
      </c>
      <c r="I34" t="s">
        <v>125</v>
      </c>
      <c r="J34">
        <v>182.5</v>
      </c>
      <c r="K34">
        <v>182.5</v>
      </c>
      <c r="L34">
        <v>182.5</v>
      </c>
      <c r="M34" t="s">
        <v>28</v>
      </c>
      <c r="N34" t="s">
        <v>29</v>
      </c>
      <c r="O34" t="s">
        <v>30</v>
      </c>
      <c r="P34">
        <v>4</v>
      </c>
      <c r="Q34">
        <v>2022</v>
      </c>
      <c r="R34" t="s">
        <v>31</v>
      </c>
      <c r="S34">
        <v>730</v>
      </c>
      <c r="T34">
        <v>36.808039000000001</v>
      </c>
      <c r="U34">
        <v>-121.7818</v>
      </c>
    </row>
    <row r="35" spans="1:25" x14ac:dyDescent="0.25">
      <c r="A35">
        <v>11806</v>
      </c>
      <c r="B35" t="s">
        <v>113</v>
      </c>
      <c r="C35">
        <v>62585</v>
      </c>
      <c r="D35" t="s">
        <v>126</v>
      </c>
      <c r="E35" t="s">
        <v>23</v>
      </c>
      <c r="F35" t="s">
        <v>127</v>
      </c>
      <c r="G35" t="s">
        <v>25</v>
      </c>
      <c r="H35" t="s">
        <v>26</v>
      </c>
      <c r="I35" t="s">
        <v>128</v>
      </c>
      <c r="J35">
        <v>3</v>
      </c>
      <c r="K35">
        <v>3</v>
      </c>
      <c r="L35">
        <v>3</v>
      </c>
      <c r="M35" t="s">
        <v>28</v>
      </c>
      <c r="N35" t="s">
        <v>29</v>
      </c>
      <c r="O35" t="s">
        <v>30</v>
      </c>
      <c r="P35">
        <v>3</v>
      </c>
      <c r="Q35">
        <v>2019</v>
      </c>
      <c r="R35" t="s">
        <v>31</v>
      </c>
      <c r="S35">
        <v>3</v>
      </c>
      <c r="T35">
        <v>42.487909999999999</v>
      </c>
      <c r="U35">
        <v>-71.047809999999998</v>
      </c>
    </row>
    <row r="36" spans="1:25" x14ac:dyDescent="0.25">
      <c r="A36">
        <v>16604</v>
      </c>
      <c r="B36" t="s">
        <v>129</v>
      </c>
      <c r="C36">
        <v>62609</v>
      </c>
      <c r="D36" t="s">
        <v>130</v>
      </c>
      <c r="E36" t="s">
        <v>95</v>
      </c>
      <c r="F36" t="s">
        <v>131</v>
      </c>
      <c r="G36" t="s">
        <v>97</v>
      </c>
      <c r="H36" t="s">
        <v>26</v>
      </c>
      <c r="I36" t="s">
        <v>51</v>
      </c>
      <c r="J36">
        <v>10</v>
      </c>
      <c r="K36">
        <v>10</v>
      </c>
      <c r="L36">
        <v>10</v>
      </c>
      <c r="M36" t="s">
        <v>28</v>
      </c>
      <c r="N36" t="s">
        <v>29</v>
      </c>
      <c r="O36" t="s">
        <v>30</v>
      </c>
      <c r="P36">
        <v>6</v>
      </c>
      <c r="Q36">
        <v>2019</v>
      </c>
      <c r="R36" t="s">
        <v>31</v>
      </c>
      <c r="S36">
        <v>10</v>
      </c>
      <c r="T36">
        <v>29.434449999999998</v>
      </c>
      <c r="U36">
        <v>-98.617649999999998</v>
      </c>
    </row>
    <row r="37" spans="1:25" x14ac:dyDescent="0.25">
      <c r="A37">
        <v>4226</v>
      </c>
      <c r="B37" t="s">
        <v>132</v>
      </c>
      <c r="C37">
        <v>62839</v>
      </c>
      <c r="D37" t="s">
        <v>133</v>
      </c>
      <c r="E37" t="s">
        <v>134</v>
      </c>
      <c r="F37" t="s">
        <v>135</v>
      </c>
      <c r="G37" t="s">
        <v>136</v>
      </c>
      <c r="H37" t="s">
        <v>26</v>
      </c>
      <c r="I37" t="s">
        <v>137</v>
      </c>
      <c r="J37">
        <v>2</v>
      </c>
      <c r="K37">
        <v>1.8</v>
      </c>
      <c r="L37">
        <v>1.8</v>
      </c>
      <c r="M37" t="s">
        <v>28</v>
      </c>
      <c r="N37" t="s">
        <v>29</v>
      </c>
      <c r="O37" t="s">
        <v>30</v>
      </c>
      <c r="P37">
        <v>6</v>
      </c>
      <c r="Q37">
        <v>2021</v>
      </c>
      <c r="R37" t="s">
        <v>31</v>
      </c>
      <c r="S37">
        <v>12</v>
      </c>
      <c r="T37">
        <v>40.679136999999997</v>
      </c>
      <c r="U37">
        <v>-73.840190000000007</v>
      </c>
    </row>
    <row r="38" spans="1:25" x14ac:dyDescent="0.25">
      <c r="A38">
        <v>56404</v>
      </c>
      <c r="B38" t="s">
        <v>138</v>
      </c>
      <c r="C38">
        <v>62981</v>
      </c>
      <c r="D38" t="s">
        <v>139</v>
      </c>
      <c r="E38" t="s">
        <v>134</v>
      </c>
      <c r="F38" t="s">
        <v>140</v>
      </c>
      <c r="G38" t="s">
        <v>136</v>
      </c>
      <c r="H38" t="s">
        <v>26</v>
      </c>
      <c r="I38" t="s">
        <v>141</v>
      </c>
      <c r="J38">
        <v>2</v>
      </c>
      <c r="K38">
        <v>2</v>
      </c>
      <c r="L38">
        <v>2</v>
      </c>
      <c r="M38" t="s">
        <v>28</v>
      </c>
      <c r="N38" t="s">
        <v>29</v>
      </c>
      <c r="O38" t="s">
        <v>30</v>
      </c>
      <c r="P38">
        <v>12</v>
      </c>
      <c r="Q38">
        <v>2018</v>
      </c>
      <c r="R38" t="s">
        <v>31</v>
      </c>
      <c r="S38">
        <v>4.2</v>
      </c>
      <c r="T38">
        <v>43.546613000000001</v>
      </c>
      <c r="U38">
        <v>-76.104029999999995</v>
      </c>
      <c r="W38" t="s">
        <v>194</v>
      </c>
      <c r="X38">
        <v>1</v>
      </c>
    </row>
    <row r="39" spans="1:25" x14ac:dyDescent="0.25">
      <c r="A39">
        <v>15296</v>
      </c>
      <c r="B39" t="s">
        <v>142</v>
      </c>
      <c r="C39">
        <v>63238</v>
      </c>
      <c r="D39" t="s">
        <v>143</v>
      </c>
      <c r="E39" t="s">
        <v>134</v>
      </c>
      <c r="F39" t="s">
        <v>144</v>
      </c>
      <c r="G39" t="s">
        <v>136</v>
      </c>
      <c r="H39" t="s">
        <v>26</v>
      </c>
      <c r="I39" t="s">
        <v>145</v>
      </c>
      <c r="J39">
        <v>20</v>
      </c>
      <c r="K39">
        <v>20</v>
      </c>
      <c r="L39">
        <v>20</v>
      </c>
      <c r="M39" t="s">
        <v>28</v>
      </c>
      <c r="N39" t="s">
        <v>29</v>
      </c>
      <c r="O39" t="s">
        <v>30</v>
      </c>
      <c r="P39">
        <v>7</v>
      </c>
      <c r="Q39">
        <v>2023</v>
      </c>
      <c r="R39" t="s">
        <v>31</v>
      </c>
      <c r="S39">
        <v>20</v>
      </c>
      <c r="T39">
        <v>44.887905000000003</v>
      </c>
      <c r="U39">
        <v>-74.118279999999999</v>
      </c>
    </row>
    <row r="40" spans="1:25" x14ac:dyDescent="0.25">
      <c r="A40">
        <v>17609</v>
      </c>
      <c r="B40" t="s">
        <v>43</v>
      </c>
      <c r="C40">
        <v>63325</v>
      </c>
      <c r="D40" t="s">
        <v>146</v>
      </c>
      <c r="E40" t="s">
        <v>45</v>
      </c>
      <c r="F40" t="s">
        <v>46</v>
      </c>
      <c r="G40" t="s">
        <v>47</v>
      </c>
      <c r="H40" t="s">
        <v>26</v>
      </c>
      <c r="I40" t="s">
        <v>147</v>
      </c>
      <c r="J40">
        <v>3</v>
      </c>
      <c r="K40">
        <v>3</v>
      </c>
      <c r="L40">
        <v>3</v>
      </c>
      <c r="M40" t="s">
        <v>28</v>
      </c>
      <c r="N40" t="s">
        <v>29</v>
      </c>
      <c r="O40" t="s">
        <v>30</v>
      </c>
      <c r="P40">
        <v>9</v>
      </c>
      <c r="Q40">
        <v>2024</v>
      </c>
      <c r="R40" t="s">
        <v>31</v>
      </c>
      <c r="S40">
        <v>9</v>
      </c>
      <c r="T40">
        <v>34.004669999999997</v>
      </c>
      <c r="U40">
        <v>-118.0684</v>
      </c>
    </row>
    <row r="41" spans="1:25" x14ac:dyDescent="0.25">
      <c r="A41">
        <v>17609</v>
      </c>
      <c r="B41" t="s">
        <v>43</v>
      </c>
      <c r="C41">
        <v>63326</v>
      </c>
      <c r="D41" t="s">
        <v>148</v>
      </c>
      <c r="E41" t="s">
        <v>45</v>
      </c>
      <c r="F41" t="s">
        <v>46</v>
      </c>
      <c r="G41" t="s">
        <v>47</v>
      </c>
      <c r="H41" t="s">
        <v>26</v>
      </c>
      <c r="I41" t="s">
        <v>149</v>
      </c>
      <c r="J41">
        <v>3.5</v>
      </c>
      <c r="K41">
        <v>3.5</v>
      </c>
      <c r="L41">
        <v>3.5</v>
      </c>
      <c r="M41" t="s">
        <v>28</v>
      </c>
      <c r="N41" t="s">
        <v>29</v>
      </c>
      <c r="O41" t="s">
        <v>30</v>
      </c>
      <c r="P41">
        <v>9</v>
      </c>
      <c r="Q41">
        <v>2024</v>
      </c>
      <c r="R41" t="s">
        <v>31</v>
      </c>
      <c r="S41">
        <v>8.8000000000000007</v>
      </c>
      <c r="T41">
        <v>34.004689999999997</v>
      </c>
      <c r="U41">
        <v>-118.0684</v>
      </c>
    </row>
    <row r="42" spans="1:25" x14ac:dyDescent="0.25">
      <c r="A42">
        <v>14154</v>
      </c>
      <c r="B42" t="s">
        <v>150</v>
      </c>
      <c r="C42">
        <v>63585</v>
      </c>
      <c r="D42" t="s">
        <v>151</v>
      </c>
      <c r="E42" t="s">
        <v>134</v>
      </c>
      <c r="F42" t="s">
        <v>152</v>
      </c>
      <c r="G42" t="s">
        <v>136</v>
      </c>
      <c r="H42" t="s">
        <v>26</v>
      </c>
      <c r="I42" t="s">
        <v>153</v>
      </c>
      <c r="J42">
        <v>3</v>
      </c>
      <c r="K42">
        <v>3</v>
      </c>
      <c r="L42">
        <v>3</v>
      </c>
      <c r="M42" t="s">
        <v>28</v>
      </c>
      <c r="N42" t="s">
        <v>29</v>
      </c>
      <c r="O42" t="s">
        <v>30</v>
      </c>
      <c r="P42">
        <v>12</v>
      </c>
      <c r="Q42">
        <v>2020</v>
      </c>
      <c r="R42" t="s">
        <v>31</v>
      </c>
      <c r="S42">
        <v>12</v>
      </c>
      <c r="T42">
        <v>41.185119999999998</v>
      </c>
      <c r="U42">
        <v>-74.074669999999998</v>
      </c>
      <c r="V42">
        <v>7.4</v>
      </c>
      <c r="W42" t="s">
        <v>194</v>
      </c>
      <c r="X42" t="s">
        <v>207</v>
      </c>
      <c r="Y42">
        <f>23121 + 71114</f>
        <v>94235</v>
      </c>
    </row>
    <row r="43" spans="1:25" x14ac:dyDescent="0.25">
      <c r="A43">
        <v>16609</v>
      </c>
      <c r="B43" t="s">
        <v>69</v>
      </c>
      <c r="C43">
        <v>64612</v>
      </c>
      <c r="D43" t="s">
        <v>154</v>
      </c>
      <c r="E43" t="s">
        <v>45</v>
      </c>
      <c r="F43" t="s">
        <v>60</v>
      </c>
      <c r="G43" t="s">
        <v>47</v>
      </c>
      <c r="H43" t="s">
        <v>26</v>
      </c>
      <c r="I43" t="s">
        <v>155</v>
      </c>
      <c r="J43">
        <v>10</v>
      </c>
      <c r="K43">
        <v>10</v>
      </c>
      <c r="L43">
        <v>10</v>
      </c>
      <c r="M43" t="s">
        <v>28</v>
      </c>
      <c r="N43" t="s">
        <v>29</v>
      </c>
      <c r="O43" t="s">
        <v>30</v>
      </c>
      <c r="P43">
        <v>2</v>
      </c>
      <c r="Q43">
        <v>2022</v>
      </c>
      <c r="R43" t="s">
        <v>31</v>
      </c>
      <c r="S43">
        <v>40</v>
      </c>
      <c r="T43">
        <v>32.833469999999998</v>
      </c>
      <c r="U43">
        <v>-117.1344</v>
      </c>
    </row>
    <row r="44" spans="1:25" x14ac:dyDescent="0.25">
      <c r="A44">
        <v>16609</v>
      </c>
      <c r="B44" t="s">
        <v>69</v>
      </c>
      <c r="C44">
        <v>64614</v>
      </c>
      <c r="D44" t="s">
        <v>156</v>
      </c>
      <c r="E44" t="s">
        <v>45</v>
      </c>
      <c r="F44" t="s">
        <v>60</v>
      </c>
      <c r="G44" t="s">
        <v>47</v>
      </c>
      <c r="H44" t="s">
        <v>26</v>
      </c>
      <c r="I44" t="s">
        <v>157</v>
      </c>
      <c r="J44">
        <v>10</v>
      </c>
      <c r="K44">
        <v>10</v>
      </c>
      <c r="L44">
        <v>10</v>
      </c>
      <c r="M44" t="s">
        <v>28</v>
      </c>
      <c r="N44" t="s">
        <v>29</v>
      </c>
      <c r="O44" t="s">
        <v>30</v>
      </c>
      <c r="P44">
        <v>2</v>
      </c>
      <c r="Q44">
        <v>2022</v>
      </c>
      <c r="R44" t="s">
        <v>31</v>
      </c>
      <c r="S44">
        <v>40</v>
      </c>
      <c r="T44">
        <v>32.832886000000002</v>
      </c>
      <c r="U44">
        <v>-117.1323</v>
      </c>
    </row>
    <row r="45" spans="1:25" x14ac:dyDescent="0.25">
      <c r="A45">
        <v>60868</v>
      </c>
      <c r="B45" t="s">
        <v>158</v>
      </c>
      <c r="C45">
        <v>64766</v>
      </c>
      <c r="D45" t="s">
        <v>159</v>
      </c>
      <c r="E45" t="s">
        <v>45</v>
      </c>
      <c r="F45" t="s">
        <v>160</v>
      </c>
      <c r="G45" t="s">
        <v>47</v>
      </c>
      <c r="H45" t="s">
        <v>26</v>
      </c>
      <c r="I45" t="s">
        <v>161</v>
      </c>
      <c r="J45">
        <v>2.2000000000000002</v>
      </c>
      <c r="K45">
        <v>1.8</v>
      </c>
      <c r="L45">
        <v>1.8</v>
      </c>
      <c r="M45" t="s">
        <v>28</v>
      </c>
      <c r="N45" t="s">
        <v>29</v>
      </c>
      <c r="O45" t="s">
        <v>30</v>
      </c>
      <c r="P45">
        <v>12</v>
      </c>
      <c r="Q45">
        <v>2021</v>
      </c>
      <c r="R45" t="s">
        <v>31</v>
      </c>
      <c r="S45">
        <v>8.8000000000000007</v>
      </c>
      <c r="T45">
        <v>40.967222</v>
      </c>
      <c r="U45">
        <v>-124.1044</v>
      </c>
    </row>
    <row r="46" spans="1:25" x14ac:dyDescent="0.25">
      <c r="A46">
        <v>4254</v>
      </c>
      <c r="B46" t="s">
        <v>99</v>
      </c>
      <c r="C46">
        <v>65029</v>
      </c>
      <c r="D46" t="s">
        <v>162</v>
      </c>
      <c r="E46" t="s">
        <v>101</v>
      </c>
      <c r="F46" t="s">
        <v>163</v>
      </c>
      <c r="G46" t="s">
        <v>103</v>
      </c>
      <c r="H46" t="s">
        <v>26</v>
      </c>
      <c r="I46" t="s">
        <v>164</v>
      </c>
      <c r="J46">
        <v>0.3</v>
      </c>
      <c r="K46">
        <v>0.3</v>
      </c>
      <c r="L46">
        <v>0.3</v>
      </c>
      <c r="M46" t="s">
        <v>28</v>
      </c>
      <c r="N46" t="s">
        <v>29</v>
      </c>
      <c r="O46" t="s">
        <v>30</v>
      </c>
      <c r="P46">
        <v>10</v>
      </c>
      <c r="Q46">
        <v>2021</v>
      </c>
      <c r="R46" t="s">
        <v>31</v>
      </c>
      <c r="S46">
        <v>0.5</v>
      </c>
      <c r="T46">
        <v>43.006999999999998</v>
      </c>
      <c r="U46">
        <v>-85.724000000000004</v>
      </c>
    </row>
    <row r="47" spans="1:25" x14ac:dyDescent="0.25">
      <c r="A47">
        <v>4226</v>
      </c>
      <c r="B47" t="s">
        <v>132</v>
      </c>
      <c r="C47">
        <v>65035</v>
      </c>
      <c r="D47" t="s">
        <v>165</v>
      </c>
      <c r="E47" t="s">
        <v>134</v>
      </c>
      <c r="F47" t="s">
        <v>166</v>
      </c>
      <c r="G47" t="s">
        <v>136</v>
      </c>
      <c r="H47" t="s">
        <v>26</v>
      </c>
      <c r="I47" t="s">
        <v>167</v>
      </c>
      <c r="J47">
        <v>7.5</v>
      </c>
      <c r="K47">
        <v>7.5</v>
      </c>
      <c r="L47">
        <v>7.5</v>
      </c>
      <c r="M47" t="s">
        <v>28</v>
      </c>
      <c r="N47" t="s">
        <v>29</v>
      </c>
      <c r="O47" t="s">
        <v>30</v>
      </c>
      <c r="P47">
        <v>9</v>
      </c>
      <c r="Q47">
        <v>2023</v>
      </c>
      <c r="R47" t="s">
        <v>31</v>
      </c>
      <c r="S47">
        <v>30</v>
      </c>
      <c r="T47">
        <v>40.610810000000001</v>
      </c>
      <c r="U47">
        <v>-74.077169999999995</v>
      </c>
    </row>
    <row r="48" spans="1:25" x14ac:dyDescent="0.25">
      <c r="A48">
        <v>5248</v>
      </c>
      <c r="B48" t="s">
        <v>53</v>
      </c>
      <c r="C48">
        <v>65044</v>
      </c>
      <c r="D48" t="s">
        <v>168</v>
      </c>
      <c r="E48" t="s">
        <v>55</v>
      </c>
      <c r="F48" t="s">
        <v>169</v>
      </c>
      <c r="G48" t="s">
        <v>40</v>
      </c>
      <c r="H48" t="s">
        <v>26</v>
      </c>
      <c r="I48" t="s">
        <v>170</v>
      </c>
      <c r="J48">
        <v>20</v>
      </c>
      <c r="K48">
        <v>20</v>
      </c>
      <c r="L48">
        <v>20</v>
      </c>
      <c r="M48" t="s">
        <v>28</v>
      </c>
      <c r="N48" t="s">
        <v>29</v>
      </c>
      <c r="O48" t="s">
        <v>30</v>
      </c>
      <c r="P48">
        <v>11</v>
      </c>
      <c r="Q48">
        <v>2023</v>
      </c>
      <c r="R48" t="s">
        <v>31</v>
      </c>
      <c r="S48">
        <v>80</v>
      </c>
      <c r="T48">
        <v>37.5</v>
      </c>
      <c r="U48">
        <v>-77.7</v>
      </c>
    </row>
    <row r="49" spans="1:21" x14ac:dyDescent="0.25">
      <c r="A49">
        <v>17609</v>
      </c>
      <c r="B49" t="s">
        <v>43</v>
      </c>
      <c r="C49">
        <v>65456</v>
      </c>
      <c r="D49" t="s">
        <v>171</v>
      </c>
      <c r="E49" t="s">
        <v>45</v>
      </c>
      <c r="F49" t="s">
        <v>50</v>
      </c>
      <c r="G49" t="s">
        <v>47</v>
      </c>
      <c r="H49" t="s">
        <v>26</v>
      </c>
      <c r="I49" t="s">
        <v>172</v>
      </c>
      <c r="J49">
        <v>112.5</v>
      </c>
      <c r="K49">
        <v>112.5</v>
      </c>
      <c r="L49">
        <v>112.5</v>
      </c>
      <c r="M49" t="s">
        <v>28</v>
      </c>
      <c r="N49" t="s">
        <v>29</v>
      </c>
      <c r="O49" t="s">
        <v>30</v>
      </c>
      <c r="P49">
        <v>9</v>
      </c>
      <c r="Q49">
        <v>2024</v>
      </c>
      <c r="R49" t="s">
        <v>31</v>
      </c>
      <c r="S49">
        <v>450</v>
      </c>
      <c r="T49">
        <v>34.092109999999998</v>
      </c>
      <c r="U49">
        <v>-117.53400000000001</v>
      </c>
    </row>
    <row r="50" spans="1:21" x14ac:dyDescent="0.25">
      <c r="A50">
        <v>17609</v>
      </c>
      <c r="B50" t="s">
        <v>43</v>
      </c>
      <c r="C50">
        <v>65457</v>
      </c>
      <c r="D50" t="s">
        <v>173</v>
      </c>
      <c r="E50" t="s">
        <v>45</v>
      </c>
      <c r="F50" t="s">
        <v>46</v>
      </c>
      <c r="G50" t="s">
        <v>47</v>
      </c>
      <c r="H50" t="s">
        <v>26</v>
      </c>
      <c r="I50" t="s">
        <v>174</v>
      </c>
      <c r="J50">
        <v>100</v>
      </c>
      <c r="K50">
        <v>100</v>
      </c>
      <c r="L50">
        <v>100</v>
      </c>
      <c r="M50" t="s">
        <v>28</v>
      </c>
      <c r="N50" t="s">
        <v>29</v>
      </c>
      <c r="O50" t="s">
        <v>30</v>
      </c>
      <c r="P50">
        <v>9</v>
      </c>
      <c r="Q50">
        <v>2024</v>
      </c>
      <c r="R50" t="s">
        <v>31</v>
      </c>
      <c r="S50">
        <v>400</v>
      </c>
      <c r="T50">
        <v>33.776299999999999</v>
      </c>
      <c r="U50">
        <v>-118.2003</v>
      </c>
    </row>
    <row r="51" spans="1:21" x14ac:dyDescent="0.25">
      <c r="A51">
        <v>17609</v>
      </c>
      <c r="B51" t="s">
        <v>43</v>
      </c>
      <c r="C51">
        <v>65457</v>
      </c>
      <c r="D51" t="s">
        <v>173</v>
      </c>
      <c r="E51" t="s">
        <v>45</v>
      </c>
      <c r="F51" t="s">
        <v>46</v>
      </c>
      <c r="G51" t="s">
        <v>47</v>
      </c>
      <c r="H51" t="s">
        <v>26</v>
      </c>
      <c r="I51" t="s">
        <v>175</v>
      </c>
      <c r="J51">
        <v>100</v>
      </c>
      <c r="K51">
        <v>100</v>
      </c>
      <c r="L51">
        <v>100</v>
      </c>
      <c r="M51" t="s">
        <v>28</v>
      </c>
      <c r="N51" t="s">
        <v>29</v>
      </c>
      <c r="O51" t="s">
        <v>30</v>
      </c>
      <c r="P51">
        <v>9</v>
      </c>
      <c r="Q51">
        <v>2024</v>
      </c>
      <c r="R51" t="s">
        <v>31</v>
      </c>
      <c r="S51">
        <v>400</v>
      </c>
      <c r="T51">
        <v>33.776299999999999</v>
      </c>
      <c r="U51">
        <v>-118.2003</v>
      </c>
    </row>
    <row r="52" spans="1:21" x14ac:dyDescent="0.25">
      <c r="A52">
        <v>15477</v>
      </c>
      <c r="B52" t="s">
        <v>176</v>
      </c>
      <c r="C52">
        <v>65468</v>
      </c>
      <c r="D52" t="s">
        <v>177</v>
      </c>
      <c r="E52" t="s">
        <v>91</v>
      </c>
      <c r="F52" t="s">
        <v>127</v>
      </c>
      <c r="G52" t="s">
        <v>40</v>
      </c>
      <c r="H52" t="s">
        <v>26</v>
      </c>
      <c r="I52" t="s">
        <v>178</v>
      </c>
      <c r="J52">
        <v>0.6</v>
      </c>
      <c r="K52">
        <v>0.6</v>
      </c>
      <c r="L52">
        <v>0.6</v>
      </c>
      <c r="M52" t="s">
        <v>28</v>
      </c>
      <c r="N52" t="s">
        <v>29</v>
      </c>
      <c r="O52" t="s">
        <v>30</v>
      </c>
      <c r="P52">
        <v>11</v>
      </c>
      <c r="Q52">
        <v>2019</v>
      </c>
      <c r="R52" t="s">
        <v>31</v>
      </c>
      <c r="S52">
        <v>2.1</v>
      </c>
      <c r="T52">
        <v>40.496600000000001</v>
      </c>
      <c r="U52">
        <v>-74.417460000000005</v>
      </c>
    </row>
    <row r="53" spans="1:21" x14ac:dyDescent="0.25">
      <c r="A53">
        <v>16609</v>
      </c>
      <c r="B53" t="s">
        <v>69</v>
      </c>
      <c r="C53">
        <v>66265</v>
      </c>
      <c r="D53" t="s">
        <v>179</v>
      </c>
      <c r="E53" t="s">
        <v>45</v>
      </c>
      <c r="F53" t="s">
        <v>60</v>
      </c>
      <c r="G53" t="s">
        <v>47</v>
      </c>
      <c r="H53" t="s">
        <v>26</v>
      </c>
      <c r="I53" t="s">
        <v>180</v>
      </c>
      <c r="J53">
        <v>10</v>
      </c>
      <c r="K53">
        <v>10</v>
      </c>
      <c r="L53">
        <v>10</v>
      </c>
      <c r="M53" t="s">
        <v>28</v>
      </c>
      <c r="N53" t="s">
        <v>29</v>
      </c>
      <c r="O53" t="s">
        <v>30</v>
      </c>
      <c r="P53">
        <v>3</v>
      </c>
      <c r="Q53">
        <v>2024</v>
      </c>
      <c r="R53" t="s">
        <v>31</v>
      </c>
      <c r="S53">
        <v>10</v>
      </c>
      <c r="T53">
        <v>32.703629999999997</v>
      </c>
      <c r="U53">
        <v>-117.0498</v>
      </c>
    </row>
    <row r="54" spans="1:21" x14ac:dyDescent="0.25">
      <c r="A54">
        <v>16609</v>
      </c>
      <c r="B54" t="s">
        <v>69</v>
      </c>
      <c r="C54">
        <v>66266</v>
      </c>
      <c r="D54" t="s">
        <v>181</v>
      </c>
      <c r="E54" t="s">
        <v>45</v>
      </c>
      <c r="F54" t="s">
        <v>60</v>
      </c>
      <c r="G54" t="s">
        <v>47</v>
      </c>
      <c r="H54" t="s">
        <v>26</v>
      </c>
      <c r="I54" t="s">
        <v>180</v>
      </c>
      <c r="J54">
        <v>10</v>
      </c>
      <c r="K54">
        <v>10</v>
      </c>
      <c r="L54">
        <v>10</v>
      </c>
      <c r="M54" t="s">
        <v>28</v>
      </c>
      <c r="N54" t="s">
        <v>29</v>
      </c>
      <c r="O54" t="s">
        <v>30</v>
      </c>
      <c r="P54">
        <v>3</v>
      </c>
      <c r="Q54">
        <v>2024</v>
      </c>
      <c r="R54" t="s">
        <v>31</v>
      </c>
      <c r="S54">
        <v>10</v>
      </c>
      <c r="T54">
        <v>32.825603999999998</v>
      </c>
      <c r="U54">
        <v>-117.1832</v>
      </c>
    </row>
    <row r="55" spans="1:21" x14ac:dyDescent="0.25">
      <c r="A55">
        <v>16609</v>
      </c>
      <c r="B55" t="s">
        <v>69</v>
      </c>
      <c r="C55">
        <v>66278</v>
      </c>
      <c r="D55" t="s">
        <v>182</v>
      </c>
      <c r="E55" t="s">
        <v>45</v>
      </c>
      <c r="F55" t="s">
        <v>60</v>
      </c>
      <c r="G55" t="s">
        <v>47</v>
      </c>
      <c r="H55" t="s">
        <v>26</v>
      </c>
      <c r="I55" t="s">
        <v>180</v>
      </c>
      <c r="J55">
        <v>10</v>
      </c>
      <c r="K55">
        <v>10</v>
      </c>
      <c r="L55">
        <v>10</v>
      </c>
      <c r="M55" t="s">
        <v>28</v>
      </c>
      <c r="N55" t="s">
        <v>29</v>
      </c>
      <c r="O55" t="s">
        <v>30</v>
      </c>
      <c r="P55">
        <v>3</v>
      </c>
      <c r="Q55">
        <v>2024</v>
      </c>
      <c r="R55" t="s">
        <v>31</v>
      </c>
      <c r="S55">
        <v>10</v>
      </c>
      <c r="T55">
        <v>32.816380000000002</v>
      </c>
      <c r="U55">
        <v>-117.0889</v>
      </c>
    </row>
    <row r="56" spans="1:21" x14ac:dyDescent="0.25">
      <c r="A56">
        <v>16609</v>
      </c>
      <c r="B56" t="s">
        <v>69</v>
      </c>
      <c r="C56">
        <v>66279</v>
      </c>
      <c r="D56" t="s">
        <v>183</v>
      </c>
      <c r="E56" t="s">
        <v>45</v>
      </c>
      <c r="F56" t="s">
        <v>60</v>
      </c>
      <c r="G56" t="s">
        <v>47</v>
      </c>
      <c r="H56" t="s">
        <v>26</v>
      </c>
      <c r="I56" t="s">
        <v>180</v>
      </c>
      <c r="J56">
        <v>10</v>
      </c>
      <c r="K56">
        <v>10</v>
      </c>
      <c r="L56">
        <v>10</v>
      </c>
      <c r="M56" t="s">
        <v>28</v>
      </c>
      <c r="N56" t="s">
        <v>29</v>
      </c>
      <c r="O56" t="s">
        <v>30</v>
      </c>
      <c r="P56">
        <v>3</v>
      </c>
      <c r="Q56">
        <v>2024</v>
      </c>
      <c r="R56" t="s">
        <v>31</v>
      </c>
      <c r="S56">
        <v>10</v>
      </c>
      <c r="T56">
        <v>32.661839999999998</v>
      </c>
      <c r="U56">
        <v>-116.2734</v>
      </c>
    </row>
    <row r="57" spans="1:21" x14ac:dyDescent="0.25">
      <c r="A57">
        <v>16609</v>
      </c>
      <c r="B57" t="s">
        <v>69</v>
      </c>
      <c r="C57">
        <v>66280</v>
      </c>
      <c r="D57" t="s">
        <v>184</v>
      </c>
      <c r="E57" t="s">
        <v>45</v>
      </c>
      <c r="F57" t="s">
        <v>60</v>
      </c>
      <c r="G57" t="s">
        <v>47</v>
      </c>
      <c r="H57" t="s">
        <v>26</v>
      </c>
      <c r="I57" t="s">
        <v>180</v>
      </c>
      <c r="J57">
        <v>10</v>
      </c>
      <c r="K57">
        <v>10</v>
      </c>
      <c r="L57">
        <v>10</v>
      </c>
      <c r="M57" t="s">
        <v>28</v>
      </c>
      <c r="N57" t="s">
        <v>29</v>
      </c>
      <c r="O57" t="s">
        <v>30</v>
      </c>
      <c r="P57">
        <v>3</v>
      </c>
      <c r="Q57">
        <v>2024</v>
      </c>
      <c r="R57" t="s">
        <v>31</v>
      </c>
      <c r="S57">
        <v>10</v>
      </c>
      <c r="T57">
        <v>33.357666999999999</v>
      </c>
      <c r="U57">
        <v>-117.1117</v>
      </c>
    </row>
    <row r="58" spans="1:21" x14ac:dyDescent="0.25">
      <c r="A58">
        <v>16609</v>
      </c>
      <c r="B58" t="s">
        <v>69</v>
      </c>
      <c r="C58">
        <v>66281</v>
      </c>
      <c r="D58" t="s">
        <v>185</v>
      </c>
      <c r="E58" t="s">
        <v>45</v>
      </c>
      <c r="F58" t="s">
        <v>60</v>
      </c>
      <c r="G58" t="s">
        <v>47</v>
      </c>
      <c r="H58" t="s">
        <v>26</v>
      </c>
      <c r="I58" t="s">
        <v>180</v>
      </c>
      <c r="J58">
        <v>10</v>
      </c>
      <c r="K58">
        <v>10</v>
      </c>
      <c r="L58">
        <v>10</v>
      </c>
      <c r="M58" t="s">
        <v>28</v>
      </c>
      <c r="N58" t="s">
        <v>29</v>
      </c>
      <c r="O58" t="s">
        <v>30</v>
      </c>
      <c r="P58">
        <v>3</v>
      </c>
      <c r="Q58">
        <v>2024</v>
      </c>
      <c r="R58" t="s">
        <v>31</v>
      </c>
      <c r="S58">
        <v>10</v>
      </c>
      <c r="T58">
        <v>33.207233000000002</v>
      </c>
      <c r="U58">
        <v>-117.25279999999999</v>
      </c>
    </row>
    <row r="59" spans="1:21" x14ac:dyDescent="0.25">
      <c r="A59">
        <v>16609</v>
      </c>
      <c r="B59" t="s">
        <v>69</v>
      </c>
      <c r="C59">
        <v>66281</v>
      </c>
      <c r="D59" t="s">
        <v>185</v>
      </c>
      <c r="E59" t="s">
        <v>45</v>
      </c>
      <c r="F59" t="s">
        <v>60</v>
      </c>
      <c r="G59" t="s">
        <v>47</v>
      </c>
      <c r="H59" t="s">
        <v>26</v>
      </c>
      <c r="I59" t="s">
        <v>186</v>
      </c>
      <c r="J59">
        <v>10</v>
      </c>
      <c r="K59">
        <v>10</v>
      </c>
      <c r="L59">
        <v>10</v>
      </c>
      <c r="M59" t="s">
        <v>28</v>
      </c>
      <c r="N59" t="s">
        <v>29</v>
      </c>
      <c r="O59" t="s">
        <v>30</v>
      </c>
      <c r="P59">
        <v>3</v>
      </c>
      <c r="Q59">
        <v>2024</v>
      </c>
      <c r="R59" t="s">
        <v>31</v>
      </c>
      <c r="S59">
        <v>10</v>
      </c>
      <c r="T59">
        <v>33.207233000000002</v>
      </c>
      <c r="U59">
        <v>-117.25279999999999</v>
      </c>
    </row>
    <row r="61" spans="1:21" x14ac:dyDescent="0.25">
      <c r="A61" t="s">
        <v>202</v>
      </c>
      <c r="B61" t="s">
        <v>203</v>
      </c>
    </row>
  </sheetData>
  <autoFilter ref="A1:AB59" xr:uid="{00000000-0001-0000-0000-000000000000}"/>
  <hyperlinks>
    <hyperlink ref="Z3" r:id="rId1" xr:uid="{2786AB65-18DC-4A3C-B0F2-1F923C184AC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824D-1C0B-4DD4-9C7A-45E5A3C39C6B}">
  <dimension ref="A1:E12"/>
  <sheetViews>
    <sheetView tabSelected="1" workbookViewId="0">
      <selection activeCell="D7" sqref="D7"/>
    </sheetView>
  </sheetViews>
  <sheetFormatPr defaultRowHeight="15" x14ac:dyDescent="0.25"/>
  <cols>
    <col min="1" max="1" width="12.85546875" bestFit="1" customWidth="1"/>
    <col min="2" max="2" width="26.85546875" bestFit="1" customWidth="1"/>
    <col min="3" max="3" width="34.7109375" bestFit="1" customWidth="1"/>
    <col min="4" max="4" width="28.42578125" bestFit="1" customWidth="1"/>
  </cols>
  <sheetData>
    <row r="1" spans="1:5" x14ac:dyDescent="0.25">
      <c r="A1" t="s">
        <v>4</v>
      </c>
      <c r="B1" t="s">
        <v>9</v>
      </c>
      <c r="C1" t="s">
        <v>18</v>
      </c>
      <c r="D1" t="s">
        <v>210</v>
      </c>
      <c r="E1" t="s">
        <v>187</v>
      </c>
    </row>
    <row r="2" spans="1:5" x14ac:dyDescent="0.25">
      <c r="A2" t="s">
        <v>45</v>
      </c>
      <c r="B2" s="6">
        <v>805.5</v>
      </c>
      <c r="C2" s="6">
        <v>2635.8</v>
      </c>
    </row>
    <row r="3" spans="1:5" x14ac:dyDescent="0.25">
      <c r="A3" t="s">
        <v>209</v>
      </c>
      <c r="B3" s="6">
        <v>92</v>
      </c>
      <c r="C3" s="6">
        <v>334</v>
      </c>
    </row>
    <row r="4" spans="1:5" x14ac:dyDescent="0.25">
      <c r="A4" t="s">
        <v>208</v>
      </c>
      <c r="B4" s="6">
        <v>65.2</v>
      </c>
      <c r="C4" s="6">
        <v>260.39999999999998</v>
      </c>
    </row>
    <row r="5" spans="1:5" x14ac:dyDescent="0.25">
      <c r="A5" t="s">
        <v>55</v>
      </c>
      <c r="B5" s="6">
        <v>60</v>
      </c>
      <c r="C5" s="6">
        <v>128</v>
      </c>
    </row>
    <row r="6" spans="1:5" x14ac:dyDescent="0.25">
      <c r="A6" t="s">
        <v>134</v>
      </c>
      <c r="B6" s="6">
        <v>34.5</v>
      </c>
      <c r="C6" s="6">
        <v>78.2</v>
      </c>
      <c r="D6">
        <v>1</v>
      </c>
    </row>
    <row r="7" spans="1:5" x14ac:dyDescent="0.25">
      <c r="A7" t="s">
        <v>23</v>
      </c>
      <c r="B7" s="6">
        <v>19</v>
      </c>
      <c r="C7" s="6">
        <v>68.099999999999994</v>
      </c>
    </row>
    <row r="8" spans="1:5" x14ac:dyDescent="0.25">
      <c r="A8" t="s">
        <v>95</v>
      </c>
      <c r="B8" s="6">
        <v>11.5</v>
      </c>
      <c r="C8" s="6">
        <v>13</v>
      </c>
    </row>
    <row r="9" spans="1:5" x14ac:dyDescent="0.25">
      <c r="A9" t="s">
        <v>38</v>
      </c>
      <c r="B9" s="6">
        <v>4</v>
      </c>
      <c r="C9" s="6">
        <v>1.8</v>
      </c>
    </row>
    <row r="10" spans="1:5" x14ac:dyDescent="0.25">
      <c r="A10" t="s">
        <v>91</v>
      </c>
      <c r="B10" s="6">
        <v>2.6</v>
      </c>
      <c r="C10" s="6">
        <v>5.0999999999999996</v>
      </c>
    </row>
    <row r="11" spans="1:5" x14ac:dyDescent="0.25">
      <c r="A11" t="s">
        <v>101</v>
      </c>
      <c r="B11" s="6">
        <v>1.4</v>
      </c>
      <c r="C11" s="6">
        <v>1.5</v>
      </c>
    </row>
    <row r="12" spans="1:5" x14ac:dyDescent="0.25">
      <c r="A12" t="s">
        <v>107</v>
      </c>
      <c r="B12" s="6">
        <v>0.3</v>
      </c>
      <c r="C12" s="6">
        <v>0.5</v>
      </c>
    </row>
  </sheetData>
  <autoFilter ref="A1:C1" xr:uid="{AFE5824D-1C0B-4DD4-9C7A-45E5A3C39C6B}">
    <sortState xmlns:xlrd2="http://schemas.microsoft.com/office/spreadsheetml/2017/richdata2" ref="A2:C12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groupby_state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Dirk Lauinger</cp:lastModifiedBy>
  <dcterms:created xsi:type="dcterms:W3CDTF">2025-03-18T20:38:47Z</dcterms:created>
  <dcterms:modified xsi:type="dcterms:W3CDTF">2025-03-19T18:26:42Z</dcterms:modified>
</cp:coreProperties>
</file>